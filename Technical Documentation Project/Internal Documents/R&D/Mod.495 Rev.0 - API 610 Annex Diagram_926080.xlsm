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FD077929-EED7-4052-906B-2ED06A5C2E55}" xr6:coauthVersionLast="47" xr6:coauthVersionMax="47" xr10:uidLastSave="{00000000-0000-0000-0000-000000000000}"/>
  <bookViews>
    <workbookView xWindow="-19320" yWindow="-120" windowWidth="19440" windowHeight="15000" xr2:uid="{00000000-000D-0000-FFFF-FFFF00000000}"/>
  </bookViews>
  <sheets>
    <sheet name="content" sheetId="5" r:id="rId1"/>
    <sheet name="graph" sheetId="1" r:id="rId2"/>
    <sheet name="dry" sheetId="2" r:id="rId3"/>
    <sheet name="as new" sheetId="4" r:id="rId4"/>
    <sheet name="twice as new" sheetId="3" r:id="rId5"/>
  </sheets>
  <functionGroups builtInGroupCount="19"/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65" i="1" l="1" a="1"/>
  <c r="AG65" i="1"/>
  <c r="C23" i="1"/>
  <c r="AH65" i="1" a="1"/>
  <c r="AH65" i="1"/>
  <c r="M46" i="1"/>
  <c r="H65" i="1" a="1"/>
  <c r="H65" i="1"/>
  <c r="M45" i="1"/>
  <c r="H117" i="1" a="1"/>
  <c r="H117" i="1"/>
  <c r="H118" i="1" a="1"/>
  <c r="H118" i="1"/>
  <c r="H119" i="1" a="1"/>
  <c r="H119" i="1"/>
  <c r="H120" i="1" a="1"/>
  <c r="H120" i="1"/>
  <c r="H121" i="1" a="1"/>
  <c r="H121" i="1"/>
  <c r="H122" i="1" a="1"/>
  <c r="H122" i="1"/>
  <c r="H123" i="1" a="1"/>
  <c r="H123" i="1"/>
  <c r="H124" i="1" a="1"/>
  <c r="H124" i="1"/>
  <c r="U117" i="1" a="1"/>
  <c r="U117" i="1"/>
  <c r="V117" i="1" a="1"/>
  <c r="V117" i="1"/>
  <c r="AS117" i="1"/>
  <c r="U118" i="1" a="1"/>
  <c r="U118" i="1"/>
  <c r="V118" i="1" a="1"/>
  <c r="V118" i="1"/>
  <c r="AS118" i="1"/>
  <c r="U119" i="1" a="1"/>
  <c r="U119" i="1"/>
  <c r="V119" i="1" a="1"/>
  <c r="V119" i="1"/>
  <c r="U120" i="1" a="1"/>
  <c r="U120" i="1"/>
  <c r="V120" i="1" a="1"/>
  <c r="V120" i="1"/>
  <c r="U121" i="1" a="1"/>
  <c r="U121" i="1"/>
  <c r="V121" i="1" a="1"/>
  <c r="V121" i="1"/>
  <c r="U122" i="1" a="1"/>
  <c r="U122" i="1"/>
  <c r="V122" i="1" a="1"/>
  <c r="V122" i="1"/>
  <c r="AS122" i="1"/>
  <c r="U123" i="1" a="1"/>
  <c r="U123" i="1"/>
  <c r="V123" i="1" a="1"/>
  <c r="V123" i="1"/>
  <c r="AS123" i="1"/>
  <c r="U124" i="1" a="1"/>
  <c r="U124" i="1"/>
  <c r="V124" i="1" a="1"/>
  <c r="V124" i="1"/>
  <c r="W117" i="1" a="1"/>
  <c r="W117" i="1"/>
  <c r="X117" i="1" a="1"/>
  <c r="X117" i="1"/>
  <c r="AT117" i="1"/>
  <c r="W118" i="1" a="1"/>
  <c r="W118" i="1"/>
  <c r="X118" i="1" a="1"/>
  <c r="X118" i="1"/>
  <c r="AT118" i="1"/>
  <c r="W119" i="1" a="1"/>
  <c r="W119" i="1"/>
  <c r="X119" i="1" a="1"/>
  <c r="X119" i="1"/>
  <c r="W120" i="1" a="1"/>
  <c r="W120" i="1"/>
  <c r="X120" i="1" a="1"/>
  <c r="X120" i="1"/>
  <c r="W121" i="1" a="1"/>
  <c r="W121" i="1"/>
  <c r="X121" i="1" a="1"/>
  <c r="X121" i="1"/>
  <c r="W122" i="1" a="1"/>
  <c r="W122" i="1"/>
  <c r="X122" i="1" a="1"/>
  <c r="X122" i="1"/>
  <c r="AT122" i="1"/>
  <c r="W123" i="1" a="1"/>
  <c r="W123" i="1"/>
  <c r="X123" i="1" a="1"/>
  <c r="X123" i="1"/>
  <c r="AT123" i="1"/>
  <c r="W124" i="1" a="1"/>
  <c r="W124" i="1"/>
  <c r="X124" i="1" a="1"/>
  <c r="X124" i="1"/>
  <c r="Y117" i="1" a="1"/>
  <c r="Y117" i="1"/>
  <c r="Z117" i="1" a="1"/>
  <c r="Z117" i="1"/>
  <c r="AU117" i="1"/>
  <c r="Y118" i="1" a="1"/>
  <c r="Y118" i="1"/>
  <c r="Z118" i="1" a="1"/>
  <c r="Z118" i="1"/>
  <c r="AU118" i="1"/>
  <c r="Y119" i="1" a="1"/>
  <c r="Y119" i="1"/>
  <c r="Z119" i="1" a="1"/>
  <c r="Z119" i="1"/>
  <c r="Y120" i="1" a="1"/>
  <c r="Y120" i="1"/>
  <c r="Z120" i="1" a="1"/>
  <c r="Z120" i="1"/>
  <c r="Y121" i="1" a="1"/>
  <c r="Y121" i="1"/>
  <c r="Z121" i="1" a="1"/>
  <c r="Z121" i="1"/>
  <c r="Y122" i="1" a="1"/>
  <c r="Y122" i="1"/>
  <c r="Z122" i="1" a="1"/>
  <c r="Z122" i="1"/>
  <c r="AU122" i="1"/>
  <c r="Y123" i="1" a="1"/>
  <c r="Y123" i="1"/>
  <c r="Z123" i="1" a="1"/>
  <c r="Z123" i="1"/>
  <c r="AU123" i="1"/>
  <c r="Y124" i="1" a="1"/>
  <c r="Y124" i="1"/>
  <c r="Z124" i="1" a="1"/>
  <c r="Z124" i="1"/>
  <c r="AA117" i="1" a="1"/>
  <c r="AA117" i="1"/>
  <c r="AB117" i="1" a="1"/>
  <c r="AB117" i="1"/>
  <c r="AV117" i="1"/>
  <c r="AA118" i="1" a="1"/>
  <c r="AA118" i="1"/>
  <c r="AB118" i="1" a="1"/>
  <c r="AB118" i="1"/>
  <c r="AV118" i="1"/>
  <c r="AA119" i="1" a="1"/>
  <c r="AA119" i="1"/>
  <c r="AB119" i="1" a="1"/>
  <c r="AB119" i="1"/>
  <c r="AA120" i="1" a="1"/>
  <c r="AA120" i="1"/>
  <c r="AB120" i="1" a="1"/>
  <c r="AB120" i="1"/>
  <c r="AA121" i="1" a="1"/>
  <c r="AA121" i="1"/>
  <c r="AB121" i="1" a="1"/>
  <c r="AB121" i="1"/>
  <c r="AA122" i="1" a="1"/>
  <c r="AA122" i="1"/>
  <c r="AB122" i="1" a="1"/>
  <c r="AB122" i="1"/>
  <c r="AV122" i="1"/>
  <c r="AA123" i="1" a="1"/>
  <c r="AA123" i="1"/>
  <c r="AB123" i="1" a="1"/>
  <c r="AB123" i="1"/>
  <c r="AV123" i="1"/>
  <c r="AA124" i="1" a="1"/>
  <c r="AA124" i="1"/>
  <c r="AB124" i="1" a="1"/>
  <c r="AB124" i="1"/>
  <c r="AC117" i="1" a="1"/>
  <c r="AC117" i="1"/>
  <c r="AD117" i="1" a="1"/>
  <c r="AD117" i="1"/>
  <c r="AW117" i="1"/>
  <c r="AC118" i="1" a="1"/>
  <c r="AC118" i="1"/>
  <c r="AD118" i="1" a="1"/>
  <c r="AD118" i="1"/>
  <c r="AW118" i="1"/>
  <c r="AC119" i="1" a="1"/>
  <c r="AC119" i="1"/>
  <c r="AD119" i="1" a="1"/>
  <c r="AD119" i="1"/>
  <c r="AC120" i="1" a="1"/>
  <c r="AC120" i="1"/>
  <c r="AD120" i="1" a="1"/>
  <c r="AD120" i="1"/>
  <c r="AC121" i="1" a="1"/>
  <c r="AC121" i="1"/>
  <c r="AD121" i="1" a="1"/>
  <c r="AD121" i="1"/>
  <c r="AC122" i="1" a="1"/>
  <c r="AC122" i="1"/>
  <c r="AD122" i="1" a="1"/>
  <c r="AD122" i="1"/>
  <c r="AW122" i="1"/>
  <c r="AC123" i="1" a="1"/>
  <c r="AC123" i="1"/>
  <c r="AD123" i="1" a="1"/>
  <c r="AD123" i="1"/>
  <c r="AW123" i="1"/>
  <c r="AC124" i="1" a="1"/>
  <c r="AC124" i="1"/>
  <c r="AD124" i="1" a="1"/>
  <c r="AD124" i="1"/>
  <c r="AE117" i="1" a="1"/>
  <c r="AE117" i="1"/>
  <c r="AF117" i="1" a="1"/>
  <c r="AF117" i="1"/>
  <c r="AX117" i="1"/>
  <c r="AE118" i="1" a="1"/>
  <c r="AE118" i="1"/>
  <c r="AF118" i="1" a="1"/>
  <c r="AF118" i="1"/>
  <c r="AX118" i="1"/>
  <c r="AE119" i="1" a="1"/>
  <c r="AE119" i="1"/>
  <c r="AF119" i="1" a="1"/>
  <c r="AF119" i="1"/>
  <c r="AE120" i="1" a="1"/>
  <c r="AE120" i="1"/>
  <c r="AF120" i="1" a="1"/>
  <c r="AF120" i="1"/>
  <c r="AE121" i="1" a="1"/>
  <c r="AE121" i="1"/>
  <c r="AF121" i="1" a="1"/>
  <c r="AF121" i="1"/>
  <c r="AE122" i="1" a="1"/>
  <c r="AE122" i="1"/>
  <c r="AF122" i="1" a="1"/>
  <c r="AF122" i="1"/>
  <c r="AX122" i="1"/>
  <c r="AE123" i="1" a="1"/>
  <c r="AE123" i="1"/>
  <c r="AF123" i="1" a="1"/>
  <c r="AF123" i="1"/>
  <c r="AX123" i="1"/>
  <c r="AE124" i="1" a="1"/>
  <c r="AE124" i="1"/>
  <c r="AF124" i="1" a="1"/>
  <c r="AF124" i="1"/>
  <c r="AG117" i="1" a="1"/>
  <c r="AG117" i="1"/>
  <c r="AH117" i="1" a="1"/>
  <c r="AH117" i="1"/>
  <c r="AY117" i="1"/>
  <c r="AG118" i="1" a="1"/>
  <c r="AG118" i="1"/>
  <c r="AH118" i="1" a="1"/>
  <c r="AH118" i="1"/>
  <c r="AY118" i="1"/>
  <c r="AG119" i="1" a="1"/>
  <c r="AG119" i="1"/>
  <c r="AH119" i="1" a="1"/>
  <c r="AH119" i="1"/>
  <c r="AG120" i="1" a="1"/>
  <c r="AG120" i="1"/>
  <c r="AH120" i="1" a="1"/>
  <c r="AH120" i="1"/>
  <c r="AG121" i="1" a="1"/>
  <c r="AG121" i="1"/>
  <c r="AH121" i="1" a="1"/>
  <c r="AH121" i="1"/>
  <c r="AG122" i="1" a="1"/>
  <c r="AG122" i="1"/>
  <c r="AH122" i="1" a="1"/>
  <c r="AH122" i="1"/>
  <c r="AY122" i="1"/>
  <c r="AG123" i="1" a="1"/>
  <c r="AG123" i="1"/>
  <c r="AH123" i="1" a="1"/>
  <c r="AH123" i="1"/>
  <c r="AY123" i="1"/>
  <c r="AG124" i="1" a="1"/>
  <c r="AG124" i="1"/>
  <c r="AH124" i="1" a="1"/>
  <c r="AH124" i="1"/>
  <c r="AI117" i="1" a="1"/>
  <c r="AI117" i="1"/>
  <c r="AJ117" i="1" a="1"/>
  <c r="AJ117" i="1"/>
  <c r="AZ117" i="1"/>
  <c r="AI118" i="1" a="1"/>
  <c r="AI118" i="1"/>
  <c r="AJ118" i="1" a="1"/>
  <c r="AJ118" i="1"/>
  <c r="AZ118" i="1"/>
  <c r="AI119" i="1" a="1"/>
  <c r="AI119" i="1"/>
  <c r="AJ119" i="1" a="1"/>
  <c r="AJ119" i="1"/>
  <c r="AI120" i="1" a="1"/>
  <c r="AI120" i="1"/>
  <c r="AJ120" i="1" a="1"/>
  <c r="AJ120" i="1"/>
  <c r="AZ120" i="1"/>
  <c r="AI121" i="1" a="1"/>
  <c r="AI121" i="1"/>
  <c r="AJ121" i="1" a="1"/>
  <c r="AJ121" i="1"/>
  <c r="AI122" i="1" a="1"/>
  <c r="AI122" i="1"/>
  <c r="AJ122" i="1" a="1"/>
  <c r="AJ122" i="1"/>
  <c r="AZ122" i="1"/>
  <c r="AI123" i="1" a="1"/>
  <c r="AI123" i="1"/>
  <c r="AJ123" i="1" a="1"/>
  <c r="AJ123" i="1"/>
  <c r="AZ123" i="1"/>
  <c r="AI124" i="1" a="1"/>
  <c r="AI124" i="1"/>
  <c r="AJ124" i="1" a="1"/>
  <c r="AJ124" i="1"/>
  <c r="AK117" i="1"/>
  <c r="AL117" i="1"/>
  <c r="BA117" i="1"/>
  <c r="AK118" i="1"/>
  <c r="AL118" i="1"/>
  <c r="AK119" i="1"/>
  <c r="AL119" i="1"/>
  <c r="AK120" i="1"/>
  <c r="AL120" i="1"/>
  <c r="AK121" i="1"/>
  <c r="AL121" i="1"/>
  <c r="AK122" i="1"/>
  <c r="AL122" i="1"/>
  <c r="BA122" i="1"/>
  <c r="AK123" i="1"/>
  <c r="AL123" i="1"/>
  <c r="AK124" i="1"/>
  <c r="AL124" i="1"/>
  <c r="AM117" i="1"/>
  <c r="AN117" i="1"/>
  <c r="BB117" i="1"/>
  <c r="AM118" i="1"/>
  <c r="AN118" i="1"/>
  <c r="AM119" i="1"/>
  <c r="AN119" i="1"/>
  <c r="AM120" i="1"/>
  <c r="AN120" i="1"/>
  <c r="AM121" i="1"/>
  <c r="AN121" i="1"/>
  <c r="AM122" i="1"/>
  <c r="AN122" i="1"/>
  <c r="BB122" i="1"/>
  <c r="AM123" i="1"/>
  <c r="AN123" i="1"/>
  <c r="AM124" i="1"/>
  <c r="AN124" i="1"/>
  <c r="AO117" i="1"/>
  <c r="AP117" i="1"/>
  <c r="BC117" i="1"/>
  <c r="AO118" i="1"/>
  <c r="AP118" i="1"/>
  <c r="AO119" i="1"/>
  <c r="AP119" i="1"/>
  <c r="AO120" i="1"/>
  <c r="AP120" i="1"/>
  <c r="AO121" i="1"/>
  <c r="AP121" i="1"/>
  <c r="AO122" i="1"/>
  <c r="AP122" i="1"/>
  <c r="BC122" i="1"/>
  <c r="AO123" i="1"/>
  <c r="AP123" i="1"/>
  <c r="AO124" i="1"/>
  <c r="AP124" i="1"/>
  <c r="AQ117" i="1"/>
  <c r="AR117" i="1"/>
  <c r="BD117" i="1"/>
  <c r="AQ118" i="1"/>
  <c r="AR118" i="1"/>
  <c r="AQ119" i="1"/>
  <c r="AR119" i="1"/>
  <c r="AQ120" i="1"/>
  <c r="AR120" i="1"/>
  <c r="AQ121" i="1"/>
  <c r="AR121" i="1"/>
  <c r="AQ122" i="1"/>
  <c r="AR122" i="1"/>
  <c r="BD122" i="1"/>
  <c r="AQ123" i="1"/>
  <c r="AR123" i="1"/>
  <c r="AQ124" i="1"/>
  <c r="AR124" i="1"/>
  <c r="H101" i="1" a="1"/>
  <c r="H101" i="1"/>
  <c r="H102" i="1" a="1"/>
  <c r="H102" i="1"/>
  <c r="H103" i="1" a="1"/>
  <c r="H103" i="1"/>
  <c r="H104" i="1" a="1"/>
  <c r="H104" i="1"/>
  <c r="H105" i="1" a="1"/>
  <c r="H105" i="1"/>
  <c r="H106" i="1" a="1"/>
  <c r="H106" i="1"/>
  <c r="H107" i="1" a="1"/>
  <c r="H107" i="1"/>
  <c r="H108" i="1" a="1"/>
  <c r="H108" i="1"/>
  <c r="H109" i="1" a="1"/>
  <c r="H109" i="1"/>
  <c r="H110" i="1" a="1"/>
  <c r="H110" i="1"/>
  <c r="H111" i="1" a="1"/>
  <c r="H111" i="1"/>
  <c r="H112" i="1" a="1"/>
  <c r="H112" i="1"/>
  <c r="H113" i="1" a="1"/>
  <c r="H113" i="1"/>
  <c r="H114" i="1" a="1"/>
  <c r="H114" i="1"/>
  <c r="H115" i="1" a="1"/>
  <c r="H115" i="1"/>
  <c r="H116" i="1" a="1"/>
  <c r="H116" i="1"/>
  <c r="U101" i="1" a="1"/>
  <c r="U101" i="1"/>
  <c r="V101" i="1" a="1"/>
  <c r="V101" i="1"/>
  <c r="U102" i="1" a="1"/>
  <c r="U102" i="1"/>
  <c r="V102" i="1" a="1"/>
  <c r="V102" i="1"/>
  <c r="U103" i="1" a="1"/>
  <c r="U103" i="1"/>
  <c r="V103" i="1" a="1"/>
  <c r="V103" i="1"/>
  <c r="U104" i="1" a="1"/>
  <c r="U104" i="1"/>
  <c r="V104" i="1" a="1"/>
  <c r="V104" i="1"/>
  <c r="U105" i="1" a="1"/>
  <c r="U105" i="1"/>
  <c r="V105" i="1" a="1"/>
  <c r="V105" i="1"/>
  <c r="AS105" i="1"/>
  <c r="U106" i="1" a="1"/>
  <c r="U106" i="1"/>
  <c r="V106" i="1" a="1"/>
  <c r="V106" i="1"/>
  <c r="U107" i="1" a="1"/>
  <c r="U107" i="1"/>
  <c r="V107" i="1" a="1"/>
  <c r="V107" i="1"/>
  <c r="U108" i="1" a="1"/>
  <c r="U108" i="1"/>
  <c r="V108" i="1" a="1"/>
  <c r="V108" i="1"/>
  <c r="U109" i="1" a="1"/>
  <c r="U109" i="1"/>
  <c r="V109" i="1" a="1"/>
  <c r="V109" i="1"/>
  <c r="U110" i="1" a="1"/>
  <c r="U110" i="1"/>
  <c r="V110" i="1" a="1"/>
  <c r="V110" i="1"/>
  <c r="U111" i="1" a="1"/>
  <c r="U111" i="1"/>
  <c r="V111" i="1" a="1"/>
  <c r="V111" i="1"/>
  <c r="U112" i="1" a="1"/>
  <c r="U112" i="1"/>
  <c r="V112" i="1" a="1"/>
  <c r="V112" i="1"/>
  <c r="U113" i="1" a="1"/>
  <c r="U113" i="1"/>
  <c r="V113" i="1" a="1"/>
  <c r="V113" i="1"/>
  <c r="AS113" i="1"/>
  <c r="U114" i="1" a="1"/>
  <c r="U114" i="1"/>
  <c r="V114" i="1" a="1"/>
  <c r="V114" i="1"/>
  <c r="AS114" i="1"/>
  <c r="U115" i="1" a="1"/>
  <c r="U115" i="1"/>
  <c r="V115" i="1" a="1"/>
  <c r="V115" i="1"/>
  <c r="U116" i="1" a="1"/>
  <c r="U116" i="1"/>
  <c r="V116" i="1" a="1"/>
  <c r="V116" i="1"/>
  <c r="AS116" i="1"/>
  <c r="W101" i="1" a="1"/>
  <c r="W101" i="1"/>
  <c r="X101" i="1" a="1"/>
  <c r="X101" i="1"/>
  <c r="W102" i="1" a="1"/>
  <c r="W102" i="1"/>
  <c r="X102" i="1" a="1"/>
  <c r="X102" i="1"/>
  <c r="W103" i="1" a="1"/>
  <c r="W103" i="1"/>
  <c r="X103" i="1" a="1"/>
  <c r="X103" i="1"/>
  <c r="W104" i="1" a="1"/>
  <c r="W104" i="1"/>
  <c r="X104" i="1" a="1"/>
  <c r="X104" i="1"/>
  <c r="W105" i="1" a="1"/>
  <c r="W105" i="1"/>
  <c r="X105" i="1" a="1"/>
  <c r="X105" i="1"/>
  <c r="AT105" i="1"/>
  <c r="W106" i="1" a="1"/>
  <c r="W106" i="1"/>
  <c r="X106" i="1" a="1"/>
  <c r="X106" i="1"/>
  <c r="AT106" i="1"/>
  <c r="W107" i="1" a="1"/>
  <c r="W107" i="1"/>
  <c r="X107" i="1" a="1"/>
  <c r="X107" i="1"/>
  <c r="W108" i="1" a="1"/>
  <c r="W108" i="1"/>
  <c r="X108" i="1" a="1"/>
  <c r="X108" i="1"/>
  <c r="W109" i="1" a="1"/>
  <c r="W109" i="1"/>
  <c r="X109" i="1" a="1"/>
  <c r="X109" i="1"/>
  <c r="W110" i="1" a="1"/>
  <c r="W110" i="1"/>
  <c r="X110" i="1" a="1"/>
  <c r="X110" i="1"/>
  <c r="W111" i="1" a="1"/>
  <c r="W111" i="1"/>
  <c r="X111" i="1" a="1"/>
  <c r="X111" i="1"/>
  <c r="W112" i="1" a="1"/>
  <c r="W112" i="1"/>
  <c r="X112" i="1" a="1"/>
  <c r="X112" i="1"/>
  <c r="W113" i="1" a="1"/>
  <c r="W113" i="1"/>
  <c r="X113" i="1" a="1"/>
  <c r="X113" i="1"/>
  <c r="AT113" i="1"/>
  <c r="W114" i="1" a="1"/>
  <c r="W114" i="1"/>
  <c r="X114" i="1" a="1"/>
  <c r="X114" i="1"/>
  <c r="AT114" i="1"/>
  <c r="W115" i="1" a="1"/>
  <c r="W115" i="1"/>
  <c r="X115" i="1" a="1"/>
  <c r="X115" i="1"/>
  <c r="W116" i="1" a="1"/>
  <c r="W116" i="1"/>
  <c r="X116" i="1" a="1"/>
  <c r="X116" i="1"/>
  <c r="Y101" i="1" a="1"/>
  <c r="Y101" i="1"/>
  <c r="Z101" i="1" a="1"/>
  <c r="Z101" i="1"/>
  <c r="Y102" i="1" a="1"/>
  <c r="Y102" i="1"/>
  <c r="Z102" i="1" a="1"/>
  <c r="Z102" i="1"/>
  <c r="Y103" i="1" a="1"/>
  <c r="Y103" i="1"/>
  <c r="Z103" i="1" a="1"/>
  <c r="Z103" i="1"/>
  <c r="Y104" i="1" a="1"/>
  <c r="Y104" i="1"/>
  <c r="Z104" i="1" a="1"/>
  <c r="Z104" i="1"/>
  <c r="AU104" i="1"/>
  <c r="Y105" i="1" a="1"/>
  <c r="Y105" i="1"/>
  <c r="Z105" i="1" a="1"/>
  <c r="Z105" i="1"/>
  <c r="AU105" i="1"/>
  <c r="Y106" i="1" a="1"/>
  <c r="Y106" i="1"/>
  <c r="Z106" i="1" a="1"/>
  <c r="Z106" i="1"/>
  <c r="AU106" i="1"/>
  <c r="Y107" i="1" a="1"/>
  <c r="Y107" i="1"/>
  <c r="Z107" i="1" a="1"/>
  <c r="Z107" i="1"/>
  <c r="Y108" i="1" a="1"/>
  <c r="Y108" i="1"/>
  <c r="Z108" i="1" a="1"/>
  <c r="Z108" i="1"/>
  <c r="Y109" i="1" a="1"/>
  <c r="Y109" i="1"/>
  <c r="Z109" i="1" a="1"/>
  <c r="Z109" i="1"/>
  <c r="Y110" i="1" a="1"/>
  <c r="Y110" i="1"/>
  <c r="Z110" i="1" a="1"/>
  <c r="Z110" i="1"/>
  <c r="Y111" i="1" a="1"/>
  <c r="Y111" i="1"/>
  <c r="Z111" i="1" a="1"/>
  <c r="Z111" i="1"/>
  <c r="Y112" i="1" a="1"/>
  <c r="Y112" i="1"/>
  <c r="Z112" i="1" a="1"/>
  <c r="Z112" i="1"/>
  <c r="AU112" i="1"/>
  <c r="Y113" i="1" a="1"/>
  <c r="Y113" i="1"/>
  <c r="Z113" i="1" a="1"/>
  <c r="Z113" i="1"/>
  <c r="AU113" i="1"/>
  <c r="Y114" i="1" a="1"/>
  <c r="Y114" i="1"/>
  <c r="Z114" i="1" a="1"/>
  <c r="Z114" i="1"/>
  <c r="AU114" i="1"/>
  <c r="Y115" i="1" a="1"/>
  <c r="Y115" i="1"/>
  <c r="Z115" i="1" a="1"/>
  <c r="Z115" i="1"/>
  <c r="Y116" i="1" a="1"/>
  <c r="Y116" i="1"/>
  <c r="Z116" i="1" a="1"/>
  <c r="Z116" i="1"/>
  <c r="AA101" i="1" a="1"/>
  <c r="AA101" i="1"/>
  <c r="AB101" i="1" a="1"/>
  <c r="AB101" i="1"/>
  <c r="AA102" i="1" a="1"/>
  <c r="AA102" i="1"/>
  <c r="AB102" i="1" a="1"/>
  <c r="AB102" i="1"/>
  <c r="AA103" i="1" a="1"/>
  <c r="AA103" i="1"/>
  <c r="AB103" i="1" a="1"/>
  <c r="AB103" i="1"/>
  <c r="AA104" i="1" a="1"/>
  <c r="AA104" i="1"/>
  <c r="AB104" i="1" a="1"/>
  <c r="AB104" i="1"/>
  <c r="AV104" i="1"/>
  <c r="AA105" i="1" a="1"/>
  <c r="AA105" i="1"/>
  <c r="AB105" i="1" a="1"/>
  <c r="AB105" i="1"/>
  <c r="AV105" i="1"/>
  <c r="AA106" i="1" a="1"/>
  <c r="AA106" i="1"/>
  <c r="AB106" i="1" a="1"/>
  <c r="AB106" i="1"/>
  <c r="AV106" i="1"/>
  <c r="AA107" i="1" a="1"/>
  <c r="AA107" i="1"/>
  <c r="AB107" i="1" a="1"/>
  <c r="AB107" i="1"/>
  <c r="AA108" i="1" a="1"/>
  <c r="AA108" i="1"/>
  <c r="AB108" i="1" a="1"/>
  <c r="AB108" i="1"/>
  <c r="AA109" i="1" a="1"/>
  <c r="AA109" i="1"/>
  <c r="AB109" i="1" a="1"/>
  <c r="AB109" i="1"/>
  <c r="AA110" i="1" a="1"/>
  <c r="AA110" i="1"/>
  <c r="AB110" i="1" a="1"/>
  <c r="AB110" i="1"/>
  <c r="AA111" i="1" a="1"/>
  <c r="AA111" i="1"/>
  <c r="AB111" i="1" a="1"/>
  <c r="AB111" i="1"/>
  <c r="AA112" i="1" a="1"/>
  <c r="AA112" i="1"/>
  <c r="AB112" i="1" a="1"/>
  <c r="AB112" i="1"/>
  <c r="AV112" i="1"/>
  <c r="AA113" i="1" a="1"/>
  <c r="AA113" i="1"/>
  <c r="AB113" i="1" a="1"/>
  <c r="AB113" i="1"/>
  <c r="AV113" i="1"/>
  <c r="AA114" i="1" a="1"/>
  <c r="AA114" i="1"/>
  <c r="AB114" i="1" a="1"/>
  <c r="AB114" i="1"/>
  <c r="AV114" i="1"/>
  <c r="AA115" i="1" a="1"/>
  <c r="AA115" i="1"/>
  <c r="AB115" i="1" a="1"/>
  <c r="AB115" i="1"/>
  <c r="AA116" i="1" a="1"/>
  <c r="AA116" i="1"/>
  <c r="AB116" i="1" a="1"/>
  <c r="AB116" i="1"/>
  <c r="AC101" i="1" a="1"/>
  <c r="AC101" i="1"/>
  <c r="AD101" i="1" a="1"/>
  <c r="AD101" i="1"/>
  <c r="AC102" i="1" a="1"/>
  <c r="AC102" i="1"/>
  <c r="AD102" i="1" a="1"/>
  <c r="AD102" i="1"/>
  <c r="AC103" i="1" a="1"/>
  <c r="AC103" i="1"/>
  <c r="AD103" i="1" a="1"/>
  <c r="AD103" i="1"/>
  <c r="AC104" i="1" a="1"/>
  <c r="AC104" i="1"/>
  <c r="AD104" i="1" a="1"/>
  <c r="AD104" i="1"/>
  <c r="AW104" i="1"/>
  <c r="AC105" i="1" a="1"/>
  <c r="AC105" i="1"/>
  <c r="AD105" i="1" a="1"/>
  <c r="AD105" i="1"/>
  <c r="AW105" i="1"/>
  <c r="AC106" i="1" a="1"/>
  <c r="AC106" i="1"/>
  <c r="AD106" i="1" a="1"/>
  <c r="AD106" i="1"/>
  <c r="AW106" i="1"/>
  <c r="AC107" i="1" a="1"/>
  <c r="AC107" i="1"/>
  <c r="AD107" i="1" a="1"/>
  <c r="AD107" i="1"/>
  <c r="AC108" i="1" a="1"/>
  <c r="AC108" i="1"/>
  <c r="AD108" i="1" a="1"/>
  <c r="AD108" i="1"/>
  <c r="AC109" i="1" a="1"/>
  <c r="AC109" i="1"/>
  <c r="AD109" i="1" a="1"/>
  <c r="AD109" i="1"/>
  <c r="AC110" i="1" a="1"/>
  <c r="AC110" i="1"/>
  <c r="AD110" i="1" a="1"/>
  <c r="AD110" i="1"/>
  <c r="AC111" i="1" a="1"/>
  <c r="AC111" i="1"/>
  <c r="AD111" i="1" a="1"/>
  <c r="AD111" i="1"/>
  <c r="AC112" i="1" a="1"/>
  <c r="AC112" i="1"/>
  <c r="AD112" i="1" a="1"/>
  <c r="AD112" i="1"/>
  <c r="AC113" i="1" a="1"/>
  <c r="AC113" i="1"/>
  <c r="AD113" i="1" a="1"/>
  <c r="AD113" i="1"/>
  <c r="AW113" i="1"/>
  <c r="AC114" i="1" a="1"/>
  <c r="AC114" i="1"/>
  <c r="AD114" i="1" a="1"/>
  <c r="AD114" i="1"/>
  <c r="AW114" i="1"/>
  <c r="AC115" i="1" a="1"/>
  <c r="AC115" i="1"/>
  <c r="AD115" i="1" a="1"/>
  <c r="AD115" i="1"/>
  <c r="AC116" i="1" a="1"/>
  <c r="AC116" i="1"/>
  <c r="AD116" i="1" a="1"/>
  <c r="AD116" i="1"/>
  <c r="AE101" i="1" a="1"/>
  <c r="AE101" i="1"/>
  <c r="AF101" i="1" a="1"/>
  <c r="AF101" i="1"/>
  <c r="AE102" i="1" a="1"/>
  <c r="AE102" i="1"/>
  <c r="AF102" i="1" a="1"/>
  <c r="AF102" i="1"/>
  <c r="AE103" i="1" a="1"/>
  <c r="AE103" i="1"/>
  <c r="AF103" i="1" a="1"/>
  <c r="AF103" i="1"/>
  <c r="AE104" i="1" a="1"/>
  <c r="AE104" i="1"/>
  <c r="AF104" i="1" a="1"/>
  <c r="AF104" i="1"/>
  <c r="AX104" i="1"/>
  <c r="AE105" i="1" a="1"/>
  <c r="AE105" i="1"/>
  <c r="AF105" i="1" a="1"/>
  <c r="AF105" i="1"/>
  <c r="AX105" i="1"/>
  <c r="AE106" i="1" a="1"/>
  <c r="AE106" i="1"/>
  <c r="AF106" i="1" a="1"/>
  <c r="AF106" i="1"/>
  <c r="AX106" i="1"/>
  <c r="AE107" i="1" a="1"/>
  <c r="AE107" i="1"/>
  <c r="AF107" i="1" a="1"/>
  <c r="AF107" i="1"/>
  <c r="AE108" i="1" a="1"/>
  <c r="AE108" i="1"/>
  <c r="AF108" i="1" a="1"/>
  <c r="AF108" i="1"/>
  <c r="AE109" i="1" a="1"/>
  <c r="AE109" i="1"/>
  <c r="AF109" i="1" a="1"/>
  <c r="AF109" i="1"/>
  <c r="AE110" i="1" a="1"/>
  <c r="AE110" i="1"/>
  <c r="AF110" i="1" a="1"/>
  <c r="AF110" i="1"/>
  <c r="AE111" i="1" a="1"/>
  <c r="AE111" i="1"/>
  <c r="AF111" i="1" a="1"/>
  <c r="AF111" i="1"/>
  <c r="AE112" i="1" a="1"/>
  <c r="AE112" i="1"/>
  <c r="AF112" i="1" a="1"/>
  <c r="AF112" i="1"/>
  <c r="AX112" i="1"/>
  <c r="AE113" i="1" a="1"/>
  <c r="AE113" i="1"/>
  <c r="AF113" i="1" a="1"/>
  <c r="AF113" i="1"/>
  <c r="AX113" i="1"/>
  <c r="AE114" i="1" a="1"/>
  <c r="AE114" i="1"/>
  <c r="AF114" i="1" a="1"/>
  <c r="AF114" i="1"/>
  <c r="AE115" i="1" a="1"/>
  <c r="AE115" i="1"/>
  <c r="AF115" i="1" a="1"/>
  <c r="AF115" i="1"/>
  <c r="AE116" i="1" a="1"/>
  <c r="AE116" i="1"/>
  <c r="AF116" i="1" a="1"/>
  <c r="AF116" i="1"/>
  <c r="AG101" i="1" a="1"/>
  <c r="AG101" i="1"/>
  <c r="AH101" i="1" a="1"/>
  <c r="AH101" i="1"/>
  <c r="AG102" i="1" a="1"/>
  <c r="AG102" i="1"/>
  <c r="AH102" i="1" a="1"/>
  <c r="AH102" i="1"/>
  <c r="AG103" i="1" a="1"/>
  <c r="AG103" i="1"/>
  <c r="AH103" i="1" a="1"/>
  <c r="AH103" i="1"/>
  <c r="AG104" i="1" a="1"/>
  <c r="AG104" i="1"/>
  <c r="AH104" i="1" a="1"/>
  <c r="AH104" i="1"/>
  <c r="AG105" i="1" a="1"/>
  <c r="AG105" i="1"/>
  <c r="AH105" i="1" a="1"/>
  <c r="AH105" i="1"/>
  <c r="AY105" i="1"/>
  <c r="AG106" i="1" a="1"/>
  <c r="AG106" i="1"/>
  <c r="AH106" i="1" a="1"/>
  <c r="AH106" i="1"/>
  <c r="AG107" i="1" a="1"/>
  <c r="AG107" i="1"/>
  <c r="AH107" i="1" a="1"/>
  <c r="AH107" i="1"/>
  <c r="AG108" i="1" a="1"/>
  <c r="AG108" i="1"/>
  <c r="AH108" i="1" a="1"/>
  <c r="AH108" i="1"/>
  <c r="AG109" i="1" a="1"/>
  <c r="AG109" i="1"/>
  <c r="AH109" i="1" a="1"/>
  <c r="AH109" i="1"/>
  <c r="AG110" i="1" a="1"/>
  <c r="AG110" i="1"/>
  <c r="AH110" i="1" a="1"/>
  <c r="AH110" i="1"/>
  <c r="AG111" i="1" a="1"/>
  <c r="AG111" i="1"/>
  <c r="AH111" i="1" a="1"/>
  <c r="AH111" i="1"/>
  <c r="AG112" i="1" a="1"/>
  <c r="AG112" i="1"/>
  <c r="AH112" i="1" a="1"/>
  <c r="AH112" i="1"/>
  <c r="AG113" i="1" a="1"/>
  <c r="AG113" i="1"/>
  <c r="AH113" i="1" a="1"/>
  <c r="AH113" i="1"/>
  <c r="AY113" i="1"/>
  <c r="AG114" i="1" a="1"/>
  <c r="AG114" i="1"/>
  <c r="AH114" i="1" a="1"/>
  <c r="AH114" i="1"/>
  <c r="AG115" i="1" a="1"/>
  <c r="AG115" i="1"/>
  <c r="AH115" i="1" a="1"/>
  <c r="AH115" i="1"/>
  <c r="AG116" i="1" a="1"/>
  <c r="AG116" i="1"/>
  <c r="AH116" i="1" a="1"/>
  <c r="AH116" i="1"/>
  <c r="AI101" i="1" a="1"/>
  <c r="AI101" i="1"/>
  <c r="AJ101" i="1" a="1"/>
  <c r="AJ101" i="1"/>
  <c r="AI102" i="1" a="1"/>
  <c r="AI102" i="1"/>
  <c r="AJ102" i="1" a="1"/>
  <c r="AJ102" i="1"/>
  <c r="AI103" i="1" a="1"/>
  <c r="AI103" i="1"/>
  <c r="AJ103" i="1" a="1"/>
  <c r="AJ103" i="1"/>
  <c r="AI104" i="1" a="1"/>
  <c r="AI104" i="1"/>
  <c r="AJ104" i="1" a="1"/>
  <c r="AJ104" i="1"/>
  <c r="AI105" i="1" a="1"/>
  <c r="AI105" i="1"/>
  <c r="AJ105" i="1" a="1"/>
  <c r="AJ105" i="1"/>
  <c r="AZ105" i="1"/>
  <c r="AI106" i="1" a="1"/>
  <c r="AI106" i="1"/>
  <c r="AJ106" i="1" a="1"/>
  <c r="AJ106" i="1"/>
  <c r="AI107" i="1" a="1"/>
  <c r="AI107" i="1"/>
  <c r="AJ107" i="1" a="1"/>
  <c r="AJ107" i="1"/>
  <c r="AI108" i="1" a="1"/>
  <c r="AI108" i="1"/>
  <c r="AJ108" i="1" a="1"/>
  <c r="AJ108" i="1"/>
  <c r="AI109" i="1" a="1"/>
  <c r="AI109" i="1"/>
  <c r="AJ109" i="1" a="1"/>
  <c r="AJ109" i="1"/>
  <c r="AI110" i="1" a="1"/>
  <c r="AI110" i="1"/>
  <c r="AJ110" i="1" a="1"/>
  <c r="AJ110" i="1"/>
  <c r="AI111" i="1" a="1"/>
  <c r="AI111" i="1"/>
  <c r="AJ111" i="1" a="1"/>
  <c r="AJ111" i="1"/>
  <c r="AI112" i="1" a="1"/>
  <c r="AI112" i="1"/>
  <c r="AJ112" i="1" a="1"/>
  <c r="AJ112" i="1"/>
  <c r="AZ112" i="1"/>
  <c r="AI113" i="1" a="1"/>
  <c r="AI113" i="1"/>
  <c r="AJ113" i="1" a="1"/>
  <c r="AJ113" i="1"/>
  <c r="AZ113" i="1"/>
  <c r="AI114" i="1" a="1"/>
  <c r="AI114" i="1"/>
  <c r="AJ114" i="1" a="1"/>
  <c r="AJ114" i="1"/>
  <c r="AI115" i="1" a="1"/>
  <c r="AI115" i="1"/>
  <c r="AJ115" i="1" a="1"/>
  <c r="AJ115" i="1"/>
  <c r="AI116" i="1" a="1"/>
  <c r="AI116" i="1"/>
  <c r="AJ116" i="1" a="1"/>
  <c r="AJ116" i="1"/>
  <c r="AK101" i="1"/>
  <c r="AL101" i="1"/>
  <c r="AK102" i="1"/>
  <c r="AL102" i="1"/>
  <c r="AK103" i="1"/>
  <c r="AL103" i="1"/>
  <c r="AK104" i="1"/>
  <c r="AL104" i="1"/>
  <c r="AK105" i="1"/>
  <c r="AL105" i="1"/>
  <c r="BA105" i="1"/>
  <c r="AK106" i="1"/>
  <c r="AL106" i="1"/>
  <c r="BA106" i="1"/>
  <c r="AK107" i="1"/>
  <c r="AL107" i="1"/>
  <c r="AK108" i="1"/>
  <c r="AL108" i="1"/>
  <c r="AK109" i="1"/>
  <c r="AL109" i="1"/>
  <c r="BA109" i="1"/>
  <c r="AK110" i="1"/>
  <c r="AL110" i="1"/>
  <c r="BA110" i="1"/>
  <c r="AK111" i="1"/>
  <c r="AL111" i="1"/>
  <c r="AK112" i="1"/>
  <c r="AL112" i="1"/>
  <c r="AK113" i="1"/>
  <c r="AL113" i="1"/>
  <c r="BA113" i="1"/>
  <c r="AK114" i="1"/>
  <c r="AL114" i="1"/>
  <c r="AK115" i="1"/>
  <c r="AL115" i="1"/>
  <c r="AK116" i="1"/>
  <c r="AL116" i="1"/>
  <c r="AM101" i="1"/>
  <c r="AN101" i="1"/>
  <c r="AM102" i="1"/>
  <c r="AN102" i="1"/>
  <c r="AM103" i="1"/>
  <c r="AN103" i="1"/>
  <c r="AM104" i="1"/>
  <c r="AN104" i="1"/>
  <c r="BB104" i="1"/>
  <c r="AM105" i="1"/>
  <c r="AN105" i="1"/>
  <c r="BB105" i="1"/>
  <c r="AM106" i="1"/>
  <c r="AN106" i="1"/>
  <c r="AM107" i="1"/>
  <c r="AN107" i="1"/>
  <c r="AM108" i="1"/>
  <c r="AN108" i="1"/>
  <c r="AM109" i="1"/>
  <c r="AN109" i="1"/>
  <c r="AM110" i="1"/>
  <c r="AN110" i="1"/>
  <c r="AM111" i="1"/>
  <c r="AN111" i="1"/>
  <c r="BB111" i="1"/>
  <c r="AM112" i="1"/>
  <c r="AN112" i="1"/>
  <c r="AM113" i="1"/>
  <c r="AN113" i="1"/>
  <c r="BB113" i="1"/>
  <c r="AM114" i="1"/>
  <c r="AN114" i="1"/>
  <c r="AM115" i="1"/>
  <c r="AN115" i="1"/>
  <c r="AM116" i="1"/>
  <c r="AN116" i="1"/>
  <c r="AO101" i="1"/>
  <c r="AP101" i="1"/>
  <c r="AO102" i="1"/>
  <c r="AP102" i="1"/>
  <c r="AO103" i="1"/>
  <c r="AP103" i="1"/>
  <c r="AO104" i="1"/>
  <c r="AP104" i="1"/>
  <c r="AO105" i="1"/>
  <c r="AP105" i="1"/>
  <c r="BC105" i="1"/>
  <c r="AO106" i="1"/>
  <c r="AP106" i="1"/>
  <c r="AO107" i="1"/>
  <c r="AP107" i="1"/>
  <c r="AO108" i="1"/>
  <c r="AP108" i="1"/>
  <c r="AO109" i="1"/>
  <c r="AP109" i="1"/>
  <c r="AO110" i="1"/>
  <c r="AP110" i="1"/>
  <c r="AO111" i="1"/>
  <c r="AP111" i="1"/>
  <c r="BC111" i="1"/>
  <c r="AO112" i="1"/>
  <c r="AP112" i="1"/>
  <c r="AO113" i="1"/>
  <c r="AP113" i="1"/>
  <c r="BC113" i="1"/>
  <c r="AO114" i="1"/>
  <c r="AP114" i="1"/>
  <c r="AO115" i="1"/>
  <c r="AP115" i="1"/>
  <c r="AO116" i="1"/>
  <c r="AP116" i="1"/>
  <c r="AQ101" i="1"/>
  <c r="AR101" i="1"/>
  <c r="AQ102" i="1"/>
  <c r="AR102" i="1"/>
  <c r="AQ103" i="1"/>
  <c r="AR103" i="1"/>
  <c r="AQ104" i="1"/>
  <c r="AR104" i="1"/>
  <c r="BD104" i="1"/>
  <c r="AQ105" i="1"/>
  <c r="AR105" i="1"/>
  <c r="BD105" i="1"/>
  <c r="AQ106" i="1"/>
  <c r="AR106" i="1"/>
  <c r="AQ107" i="1"/>
  <c r="AR107" i="1"/>
  <c r="AQ108" i="1"/>
  <c r="AR108" i="1"/>
  <c r="AQ109" i="1"/>
  <c r="AR109" i="1"/>
  <c r="AQ110" i="1"/>
  <c r="AR110" i="1"/>
  <c r="AQ111" i="1"/>
  <c r="AR111" i="1"/>
  <c r="AQ112" i="1"/>
  <c r="AR112" i="1"/>
  <c r="AQ113" i="1"/>
  <c r="AR113" i="1"/>
  <c r="BD113" i="1"/>
  <c r="AQ114" i="1"/>
  <c r="AR114" i="1"/>
  <c r="AQ115" i="1"/>
  <c r="AR115" i="1"/>
  <c r="AQ116" i="1"/>
  <c r="AR116" i="1"/>
  <c r="V66" i="1" a="1"/>
  <c r="V66" i="1"/>
  <c r="W66" i="1" a="1"/>
  <c r="W66" i="1"/>
  <c r="X66" i="1" a="1"/>
  <c r="X66" i="1"/>
  <c r="Y66" i="1" a="1"/>
  <c r="Y66" i="1"/>
  <c r="Z66" i="1" a="1"/>
  <c r="Z66" i="1"/>
  <c r="AA66" i="1" a="1"/>
  <c r="AA66" i="1"/>
  <c r="AB66" i="1" a="1"/>
  <c r="AB66" i="1"/>
  <c r="AC66" i="1" a="1"/>
  <c r="AC66" i="1"/>
  <c r="AD66" i="1" a="1"/>
  <c r="AD66" i="1"/>
  <c r="AE66" i="1" a="1"/>
  <c r="AE66" i="1"/>
  <c r="AF66" i="1" a="1"/>
  <c r="AF66" i="1"/>
  <c r="AG66" i="1" a="1"/>
  <c r="AG66" i="1"/>
  <c r="AH66" i="1" a="1"/>
  <c r="AH66" i="1"/>
  <c r="AI66" i="1" a="1"/>
  <c r="AI66" i="1"/>
  <c r="AJ66" i="1" a="1"/>
  <c r="AJ66" i="1"/>
  <c r="V67" i="1" a="1"/>
  <c r="V67" i="1"/>
  <c r="W67" i="1" a="1"/>
  <c r="W67" i="1"/>
  <c r="X67" i="1" a="1"/>
  <c r="X67" i="1"/>
  <c r="Y67" i="1" a="1"/>
  <c r="Y67" i="1"/>
  <c r="Z67" i="1" a="1"/>
  <c r="Z67" i="1"/>
  <c r="AA67" i="1" a="1"/>
  <c r="AA67" i="1"/>
  <c r="AB67" i="1" a="1"/>
  <c r="AB67" i="1"/>
  <c r="AC67" i="1" a="1"/>
  <c r="AC67" i="1"/>
  <c r="AD67" i="1" a="1"/>
  <c r="AD67" i="1"/>
  <c r="AE67" i="1" a="1"/>
  <c r="AE67" i="1"/>
  <c r="AF67" i="1" a="1"/>
  <c r="AF67" i="1"/>
  <c r="AG67" i="1" a="1"/>
  <c r="AG67" i="1"/>
  <c r="AH67" i="1" a="1"/>
  <c r="AH67" i="1"/>
  <c r="AI67" i="1" a="1"/>
  <c r="AI67" i="1"/>
  <c r="AJ67" i="1" a="1"/>
  <c r="AJ67" i="1"/>
  <c r="V68" i="1" a="1"/>
  <c r="V68" i="1"/>
  <c r="W68" i="1" a="1"/>
  <c r="W68" i="1"/>
  <c r="X68" i="1" a="1"/>
  <c r="X68" i="1"/>
  <c r="Y68" i="1" a="1"/>
  <c r="Y68" i="1"/>
  <c r="Z68" i="1" a="1"/>
  <c r="Z68" i="1"/>
  <c r="AA68" i="1" a="1"/>
  <c r="AA68" i="1"/>
  <c r="AB68" i="1" a="1"/>
  <c r="AB68" i="1"/>
  <c r="AC68" i="1" a="1"/>
  <c r="AC68" i="1"/>
  <c r="AD68" i="1" a="1"/>
  <c r="AD68" i="1"/>
  <c r="AE68" i="1" a="1"/>
  <c r="AE68" i="1"/>
  <c r="AF68" i="1" a="1"/>
  <c r="AF68" i="1"/>
  <c r="AG68" i="1" a="1"/>
  <c r="AG68" i="1"/>
  <c r="AH68" i="1" a="1"/>
  <c r="AH68" i="1"/>
  <c r="AI68" i="1" a="1"/>
  <c r="AI68" i="1"/>
  <c r="AJ68" i="1" a="1"/>
  <c r="AJ68" i="1"/>
  <c r="V69" i="1" a="1"/>
  <c r="V69" i="1"/>
  <c r="W69" i="1" a="1"/>
  <c r="W69" i="1"/>
  <c r="X69" i="1" a="1"/>
  <c r="X69" i="1"/>
  <c r="Y69" i="1" a="1"/>
  <c r="Y69" i="1"/>
  <c r="Z69" i="1" a="1"/>
  <c r="Z69" i="1"/>
  <c r="AA69" i="1" a="1"/>
  <c r="AA69" i="1"/>
  <c r="AB69" i="1" a="1"/>
  <c r="AB69" i="1"/>
  <c r="AC69" i="1" a="1"/>
  <c r="AC69" i="1"/>
  <c r="AD69" i="1" a="1"/>
  <c r="AD69" i="1"/>
  <c r="AE69" i="1" a="1"/>
  <c r="AE69" i="1"/>
  <c r="AF69" i="1" a="1"/>
  <c r="AF69" i="1"/>
  <c r="AG69" i="1" a="1"/>
  <c r="AG69" i="1"/>
  <c r="AH69" i="1" a="1"/>
  <c r="AH69" i="1"/>
  <c r="AI69" i="1" a="1"/>
  <c r="AI69" i="1"/>
  <c r="AJ69" i="1" a="1"/>
  <c r="AJ69" i="1"/>
  <c r="V70" i="1" a="1"/>
  <c r="V70" i="1"/>
  <c r="W70" i="1" a="1"/>
  <c r="W70" i="1"/>
  <c r="X70" i="1" a="1"/>
  <c r="X70" i="1"/>
  <c r="Y70" i="1" a="1"/>
  <c r="Y70" i="1"/>
  <c r="Z70" i="1" a="1"/>
  <c r="Z70" i="1"/>
  <c r="AA70" i="1" a="1"/>
  <c r="AA70" i="1"/>
  <c r="AB70" i="1" a="1"/>
  <c r="AB70" i="1"/>
  <c r="AC70" i="1" a="1"/>
  <c r="AC70" i="1"/>
  <c r="AD70" i="1" a="1"/>
  <c r="AD70" i="1"/>
  <c r="AE70" i="1" a="1"/>
  <c r="AE70" i="1"/>
  <c r="AF70" i="1" a="1"/>
  <c r="AF70" i="1"/>
  <c r="AG70" i="1" a="1"/>
  <c r="AG70" i="1"/>
  <c r="AH70" i="1" a="1"/>
  <c r="AH70" i="1"/>
  <c r="AI70" i="1" a="1"/>
  <c r="AI70" i="1"/>
  <c r="AJ70" i="1" a="1"/>
  <c r="AJ70" i="1"/>
  <c r="V71" i="1" a="1"/>
  <c r="V71" i="1"/>
  <c r="W71" i="1" a="1"/>
  <c r="W71" i="1"/>
  <c r="X71" i="1" a="1"/>
  <c r="X71" i="1"/>
  <c r="Y71" i="1" a="1"/>
  <c r="Y71" i="1"/>
  <c r="Z71" i="1" a="1"/>
  <c r="Z71" i="1"/>
  <c r="AA71" i="1" a="1"/>
  <c r="AA71" i="1"/>
  <c r="AB71" i="1" a="1"/>
  <c r="AB71" i="1"/>
  <c r="AC71" i="1" a="1"/>
  <c r="AC71" i="1"/>
  <c r="AD71" i="1" a="1"/>
  <c r="AD71" i="1"/>
  <c r="AW71" i="1"/>
  <c r="AE71" i="1" a="1"/>
  <c r="AE71" i="1"/>
  <c r="AF71" i="1" a="1"/>
  <c r="AF71" i="1"/>
  <c r="AG71" i="1" a="1"/>
  <c r="AG71" i="1"/>
  <c r="AH71" i="1" a="1"/>
  <c r="AH71" i="1"/>
  <c r="AI71" i="1" a="1"/>
  <c r="AI71" i="1"/>
  <c r="AJ71" i="1" a="1"/>
  <c r="AJ71" i="1"/>
  <c r="V72" i="1" a="1"/>
  <c r="V72" i="1"/>
  <c r="W72" i="1" a="1"/>
  <c r="W72" i="1"/>
  <c r="X72" i="1" a="1"/>
  <c r="X72" i="1"/>
  <c r="Y72" i="1" a="1"/>
  <c r="Y72" i="1"/>
  <c r="Z72" i="1" a="1"/>
  <c r="Z72" i="1"/>
  <c r="AA72" i="1" a="1"/>
  <c r="AA72" i="1"/>
  <c r="AB72" i="1" a="1"/>
  <c r="AB72" i="1"/>
  <c r="AC72" i="1" a="1"/>
  <c r="AC72" i="1"/>
  <c r="AD72" i="1" a="1"/>
  <c r="AD72" i="1"/>
  <c r="AE72" i="1" a="1"/>
  <c r="AE72" i="1"/>
  <c r="AF72" i="1" a="1"/>
  <c r="AF72" i="1"/>
  <c r="AG72" i="1" a="1"/>
  <c r="AG72" i="1"/>
  <c r="AH72" i="1" a="1"/>
  <c r="AH72" i="1"/>
  <c r="AI72" i="1" a="1"/>
  <c r="AI72" i="1"/>
  <c r="AJ72" i="1" a="1"/>
  <c r="AJ72" i="1"/>
  <c r="V73" i="1" a="1"/>
  <c r="V73" i="1"/>
  <c r="W73" i="1" a="1"/>
  <c r="W73" i="1"/>
  <c r="X73" i="1" a="1"/>
  <c r="X73" i="1"/>
  <c r="Y73" i="1" a="1"/>
  <c r="Y73" i="1"/>
  <c r="Z73" i="1" a="1"/>
  <c r="Z73" i="1"/>
  <c r="AA73" i="1" a="1"/>
  <c r="AA73" i="1"/>
  <c r="AB73" i="1" a="1"/>
  <c r="AB73" i="1"/>
  <c r="AC73" i="1" a="1"/>
  <c r="AC73" i="1"/>
  <c r="AD73" i="1" a="1"/>
  <c r="AD73" i="1"/>
  <c r="AE73" i="1" a="1"/>
  <c r="AE73" i="1"/>
  <c r="AF73" i="1" a="1"/>
  <c r="AF73" i="1"/>
  <c r="AG73" i="1" a="1"/>
  <c r="AG73" i="1"/>
  <c r="AH73" i="1" a="1"/>
  <c r="AH73" i="1"/>
  <c r="AI73" i="1" a="1"/>
  <c r="AI73" i="1"/>
  <c r="AJ73" i="1" a="1"/>
  <c r="AJ73" i="1"/>
  <c r="V74" i="1" a="1"/>
  <c r="V74" i="1"/>
  <c r="W74" i="1" a="1"/>
  <c r="W74" i="1"/>
  <c r="X74" i="1" a="1"/>
  <c r="X74" i="1"/>
  <c r="Y74" i="1" a="1"/>
  <c r="Y74" i="1"/>
  <c r="Z74" i="1" a="1"/>
  <c r="Z74" i="1"/>
  <c r="AU74" i="1"/>
  <c r="AA74" i="1" a="1"/>
  <c r="AA74" i="1"/>
  <c r="AB74" i="1" a="1"/>
  <c r="AB74" i="1"/>
  <c r="AC74" i="1" a="1"/>
  <c r="AC74" i="1"/>
  <c r="AD74" i="1" a="1"/>
  <c r="AD74" i="1"/>
  <c r="AE74" i="1" a="1"/>
  <c r="AE74" i="1"/>
  <c r="AF74" i="1" a="1"/>
  <c r="AF74" i="1"/>
  <c r="AG74" i="1" a="1"/>
  <c r="AG74" i="1"/>
  <c r="AH74" i="1" a="1"/>
  <c r="AH74" i="1"/>
  <c r="AI74" i="1" a="1"/>
  <c r="AI74" i="1"/>
  <c r="AJ74" i="1" a="1"/>
  <c r="AJ74" i="1"/>
  <c r="V75" i="1" a="1"/>
  <c r="V75" i="1"/>
  <c r="W75" i="1" a="1"/>
  <c r="W75" i="1"/>
  <c r="X75" i="1" a="1"/>
  <c r="X75" i="1"/>
  <c r="Y75" i="1" a="1"/>
  <c r="Y75" i="1"/>
  <c r="Z75" i="1" a="1"/>
  <c r="Z75" i="1"/>
  <c r="AA75" i="1" a="1"/>
  <c r="AA75" i="1"/>
  <c r="AB75" i="1" a="1"/>
  <c r="AB75" i="1"/>
  <c r="AC75" i="1" a="1"/>
  <c r="AC75" i="1"/>
  <c r="AD75" i="1" a="1"/>
  <c r="AD75" i="1"/>
  <c r="AE75" i="1" a="1"/>
  <c r="AE75" i="1"/>
  <c r="AF75" i="1" a="1"/>
  <c r="AF75" i="1"/>
  <c r="AG75" i="1" a="1"/>
  <c r="AG75" i="1"/>
  <c r="AH75" i="1" a="1"/>
  <c r="AH75" i="1"/>
  <c r="AI75" i="1" a="1"/>
  <c r="AI75" i="1"/>
  <c r="AJ75" i="1" a="1"/>
  <c r="AJ75" i="1"/>
  <c r="V76" i="1" a="1"/>
  <c r="V76" i="1"/>
  <c r="W76" i="1" a="1"/>
  <c r="W76" i="1"/>
  <c r="X76" i="1" a="1"/>
  <c r="X76" i="1"/>
  <c r="Y76" i="1" a="1"/>
  <c r="Y76" i="1"/>
  <c r="Z76" i="1" a="1"/>
  <c r="Z76" i="1"/>
  <c r="AA76" i="1" a="1"/>
  <c r="AA76" i="1"/>
  <c r="AB76" i="1" a="1"/>
  <c r="AB76" i="1"/>
  <c r="AC76" i="1" a="1"/>
  <c r="AC76" i="1"/>
  <c r="AD76" i="1" a="1"/>
  <c r="AD76" i="1"/>
  <c r="AE76" i="1" a="1"/>
  <c r="AE76" i="1"/>
  <c r="AF76" i="1" a="1"/>
  <c r="AF76" i="1"/>
  <c r="AG76" i="1" a="1"/>
  <c r="AG76" i="1"/>
  <c r="AH76" i="1" a="1"/>
  <c r="AH76" i="1"/>
  <c r="AI76" i="1" a="1"/>
  <c r="AI76" i="1"/>
  <c r="AJ76" i="1" a="1"/>
  <c r="AJ76" i="1"/>
  <c r="V77" i="1" a="1"/>
  <c r="V77" i="1"/>
  <c r="W77" i="1" a="1"/>
  <c r="W77" i="1"/>
  <c r="X77" i="1" a="1"/>
  <c r="X77" i="1"/>
  <c r="Y77" i="1" a="1"/>
  <c r="Y77" i="1"/>
  <c r="Z77" i="1" a="1"/>
  <c r="Z77" i="1"/>
  <c r="AA77" i="1" a="1"/>
  <c r="AA77" i="1"/>
  <c r="AB77" i="1" a="1"/>
  <c r="AB77" i="1"/>
  <c r="AC77" i="1" a="1"/>
  <c r="AC77" i="1"/>
  <c r="AD77" i="1" a="1"/>
  <c r="AD77" i="1"/>
  <c r="AE77" i="1" a="1"/>
  <c r="AE77" i="1"/>
  <c r="AF77" i="1" a="1"/>
  <c r="AF77" i="1"/>
  <c r="AG77" i="1" a="1"/>
  <c r="AG77" i="1"/>
  <c r="AH77" i="1" a="1"/>
  <c r="AH77" i="1"/>
  <c r="AI77" i="1" a="1"/>
  <c r="AI77" i="1"/>
  <c r="AJ77" i="1" a="1"/>
  <c r="AJ77" i="1"/>
  <c r="V78" i="1" a="1"/>
  <c r="V78" i="1"/>
  <c r="W78" i="1" a="1"/>
  <c r="W78" i="1"/>
  <c r="X78" i="1" a="1"/>
  <c r="X78" i="1"/>
  <c r="Y78" i="1" a="1"/>
  <c r="Y78" i="1"/>
  <c r="Z78" i="1" a="1"/>
  <c r="Z78" i="1"/>
  <c r="AA78" i="1" a="1"/>
  <c r="AA78" i="1"/>
  <c r="AB78" i="1" a="1"/>
  <c r="AB78" i="1"/>
  <c r="AC78" i="1" a="1"/>
  <c r="AC78" i="1"/>
  <c r="AD78" i="1" a="1"/>
  <c r="AD78" i="1"/>
  <c r="AE78" i="1" a="1"/>
  <c r="AE78" i="1"/>
  <c r="AF78" i="1" a="1"/>
  <c r="AF78" i="1"/>
  <c r="AG78" i="1" a="1"/>
  <c r="AG78" i="1"/>
  <c r="AH78" i="1" a="1"/>
  <c r="AH78" i="1"/>
  <c r="AI78" i="1" a="1"/>
  <c r="AI78" i="1"/>
  <c r="AJ78" i="1" a="1"/>
  <c r="AJ78" i="1"/>
  <c r="V79" i="1" a="1"/>
  <c r="V79" i="1"/>
  <c r="W79" i="1" a="1"/>
  <c r="W79" i="1"/>
  <c r="X79" i="1" a="1"/>
  <c r="X79" i="1"/>
  <c r="Y79" i="1" a="1"/>
  <c r="Y79" i="1"/>
  <c r="Z79" i="1" a="1"/>
  <c r="Z79" i="1"/>
  <c r="AA79" i="1" a="1"/>
  <c r="AA79" i="1"/>
  <c r="AB79" i="1" a="1"/>
  <c r="AB79" i="1"/>
  <c r="AC79" i="1" a="1"/>
  <c r="AC79" i="1"/>
  <c r="AD79" i="1" a="1"/>
  <c r="AD79" i="1"/>
  <c r="AE79" i="1" a="1"/>
  <c r="AE79" i="1"/>
  <c r="AF79" i="1" a="1"/>
  <c r="AF79" i="1"/>
  <c r="AG79" i="1" a="1"/>
  <c r="AG79" i="1"/>
  <c r="AH79" i="1" a="1"/>
  <c r="AH79" i="1"/>
  <c r="AI79" i="1" a="1"/>
  <c r="AI79" i="1"/>
  <c r="AJ79" i="1" a="1"/>
  <c r="AJ79" i="1"/>
  <c r="V80" i="1" a="1"/>
  <c r="V80" i="1"/>
  <c r="W80" i="1" a="1"/>
  <c r="W80" i="1"/>
  <c r="X80" i="1" a="1"/>
  <c r="X80" i="1"/>
  <c r="AT80" i="1"/>
  <c r="Y80" i="1" a="1"/>
  <c r="Y80" i="1"/>
  <c r="Z80" i="1" a="1"/>
  <c r="Z80" i="1"/>
  <c r="AA80" i="1" a="1"/>
  <c r="AA80" i="1"/>
  <c r="AB80" i="1" a="1"/>
  <c r="AB80" i="1"/>
  <c r="AC80" i="1" a="1"/>
  <c r="AC80" i="1"/>
  <c r="AD80" i="1" a="1"/>
  <c r="AD80" i="1"/>
  <c r="AE80" i="1" a="1"/>
  <c r="AE80" i="1"/>
  <c r="AF80" i="1" a="1"/>
  <c r="AF80" i="1"/>
  <c r="AG80" i="1" a="1"/>
  <c r="AG80" i="1"/>
  <c r="AH80" i="1" a="1"/>
  <c r="AH80" i="1"/>
  <c r="AI80" i="1" a="1"/>
  <c r="AI80" i="1"/>
  <c r="AJ80" i="1" a="1"/>
  <c r="AJ80" i="1"/>
  <c r="V81" i="1" a="1"/>
  <c r="V81" i="1"/>
  <c r="W81" i="1" a="1"/>
  <c r="W81" i="1"/>
  <c r="X81" i="1" a="1"/>
  <c r="X81" i="1"/>
  <c r="Y81" i="1" a="1"/>
  <c r="Y81" i="1"/>
  <c r="Z81" i="1" a="1"/>
  <c r="Z81" i="1"/>
  <c r="AA81" i="1" a="1"/>
  <c r="AA81" i="1"/>
  <c r="AB81" i="1" a="1"/>
  <c r="AB81" i="1"/>
  <c r="AC81" i="1" a="1"/>
  <c r="AC81" i="1"/>
  <c r="AD81" i="1" a="1"/>
  <c r="AD81" i="1"/>
  <c r="AE81" i="1" a="1"/>
  <c r="AE81" i="1"/>
  <c r="AF81" i="1" a="1"/>
  <c r="AF81" i="1"/>
  <c r="AG81" i="1" a="1"/>
  <c r="AG81" i="1"/>
  <c r="AH81" i="1" a="1"/>
  <c r="AH81" i="1"/>
  <c r="AI81" i="1" a="1"/>
  <c r="AI81" i="1"/>
  <c r="AJ81" i="1" a="1"/>
  <c r="AJ81" i="1"/>
  <c r="V82" i="1" a="1"/>
  <c r="V82" i="1"/>
  <c r="W82" i="1" a="1"/>
  <c r="W82" i="1"/>
  <c r="X82" i="1" a="1"/>
  <c r="X82" i="1"/>
  <c r="Y82" i="1" a="1"/>
  <c r="Y82" i="1"/>
  <c r="Z82" i="1" a="1"/>
  <c r="Z82" i="1"/>
  <c r="AA82" i="1" a="1"/>
  <c r="AA82" i="1"/>
  <c r="AB82" i="1" a="1"/>
  <c r="AB82" i="1"/>
  <c r="AC82" i="1" a="1"/>
  <c r="AC82" i="1"/>
  <c r="AD82" i="1" a="1"/>
  <c r="AD82" i="1"/>
  <c r="AE82" i="1" a="1"/>
  <c r="AE82" i="1"/>
  <c r="AF82" i="1" a="1"/>
  <c r="AF82" i="1"/>
  <c r="AG82" i="1" a="1"/>
  <c r="AG82" i="1"/>
  <c r="AH82" i="1" a="1"/>
  <c r="AH82" i="1"/>
  <c r="AY82" i="1"/>
  <c r="AI82" i="1" a="1"/>
  <c r="AI82" i="1"/>
  <c r="AJ82" i="1" a="1"/>
  <c r="AJ82" i="1"/>
  <c r="V83" i="1" a="1"/>
  <c r="V83" i="1"/>
  <c r="W83" i="1" a="1"/>
  <c r="W83" i="1"/>
  <c r="X83" i="1" a="1"/>
  <c r="X83" i="1"/>
  <c r="Y83" i="1" a="1"/>
  <c r="Y83" i="1"/>
  <c r="Z83" i="1" a="1"/>
  <c r="Z83" i="1"/>
  <c r="AA83" i="1" a="1"/>
  <c r="AA83" i="1"/>
  <c r="AB83" i="1" a="1"/>
  <c r="AB83" i="1"/>
  <c r="AC83" i="1" a="1"/>
  <c r="AC83" i="1"/>
  <c r="AD83" i="1" a="1"/>
  <c r="AD83" i="1"/>
  <c r="AE83" i="1" a="1"/>
  <c r="AE83" i="1"/>
  <c r="AF83" i="1" a="1"/>
  <c r="AF83" i="1"/>
  <c r="AG83" i="1" a="1"/>
  <c r="AG83" i="1"/>
  <c r="AH83" i="1" a="1"/>
  <c r="AH83" i="1"/>
  <c r="AI83" i="1" a="1"/>
  <c r="AI83" i="1"/>
  <c r="AJ83" i="1" a="1"/>
  <c r="AJ83" i="1"/>
  <c r="V84" i="1" a="1"/>
  <c r="V84" i="1"/>
  <c r="W84" i="1" a="1"/>
  <c r="W84" i="1"/>
  <c r="X84" i="1" a="1"/>
  <c r="X84" i="1"/>
  <c r="Y84" i="1" a="1"/>
  <c r="Y84" i="1"/>
  <c r="Z84" i="1" a="1"/>
  <c r="Z84" i="1"/>
  <c r="AA84" i="1" a="1"/>
  <c r="AA84" i="1"/>
  <c r="AB84" i="1" a="1"/>
  <c r="AB84" i="1"/>
  <c r="AC84" i="1" a="1"/>
  <c r="AC84" i="1"/>
  <c r="AD84" i="1" a="1"/>
  <c r="AD84" i="1"/>
  <c r="AE84" i="1" a="1"/>
  <c r="AE84" i="1"/>
  <c r="AF84" i="1" a="1"/>
  <c r="AF84" i="1"/>
  <c r="AG84" i="1" a="1"/>
  <c r="AG84" i="1"/>
  <c r="AH84" i="1" a="1"/>
  <c r="AH84" i="1"/>
  <c r="AI84" i="1" a="1"/>
  <c r="AI84" i="1"/>
  <c r="AJ84" i="1" a="1"/>
  <c r="AJ84" i="1"/>
  <c r="V85" i="1" a="1"/>
  <c r="V85" i="1"/>
  <c r="W85" i="1" a="1"/>
  <c r="W85" i="1"/>
  <c r="X85" i="1" a="1"/>
  <c r="X85" i="1"/>
  <c r="Y85" i="1" a="1"/>
  <c r="Y85" i="1"/>
  <c r="Z85" i="1" a="1"/>
  <c r="Z85" i="1"/>
  <c r="AA85" i="1" a="1"/>
  <c r="AA85" i="1"/>
  <c r="AB85" i="1" a="1"/>
  <c r="AB85" i="1"/>
  <c r="AC85" i="1" a="1"/>
  <c r="AC85" i="1"/>
  <c r="AD85" i="1" a="1"/>
  <c r="AD85" i="1"/>
  <c r="AE85" i="1" a="1"/>
  <c r="AE85" i="1"/>
  <c r="AF85" i="1" a="1"/>
  <c r="AF85" i="1"/>
  <c r="AG85" i="1" a="1"/>
  <c r="AG85" i="1"/>
  <c r="AH85" i="1" a="1"/>
  <c r="AH85" i="1"/>
  <c r="AI85" i="1" a="1"/>
  <c r="AI85" i="1"/>
  <c r="AJ85" i="1" a="1"/>
  <c r="AJ85" i="1"/>
  <c r="V86" i="1" a="1"/>
  <c r="V86" i="1"/>
  <c r="W86" i="1" a="1"/>
  <c r="W86" i="1"/>
  <c r="X86" i="1" a="1"/>
  <c r="X86" i="1"/>
  <c r="Y86" i="1" a="1"/>
  <c r="Y86" i="1"/>
  <c r="Z86" i="1" a="1"/>
  <c r="Z86" i="1"/>
  <c r="AA86" i="1" a="1"/>
  <c r="AA86" i="1"/>
  <c r="AB86" i="1" a="1"/>
  <c r="AB86" i="1"/>
  <c r="AV86" i="1"/>
  <c r="AC86" i="1" a="1"/>
  <c r="AC86" i="1"/>
  <c r="AD86" i="1" a="1"/>
  <c r="AD86" i="1"/>
  <c r="AE86" i="1" a="1"/>
  <c r="AE86" i="1"/>
  <c r="AF86" i="1" a="1"/>
  <c r="AF86" i="1"/>
  <c r="AG86" i="1" a="1"/>
  <c r="AG86" i="1"/>
  <c r="AH86" i="1" a="1"/>
  <c r="AH86" i="1"/>
  <c r="AI86" i="1" a="1"/>
  <c r="AI86" i="1"/>
  <c r="AJ86" i="1" a="1"/>
  <c r="AJ86" i="1"/>
  <c r="V87" i="1" a="1"/>
  <c r="V87" i="1"/>
  <c r="W87" i="1" a="1"/>
  <c r="W87" i="1"/>
  <c r="X87" i="1" a="1"/>
  <c r="X87" i="1"/>
  <c r="Y87" i="1" a="1"/>
  <c r="Y87" i="1"/>
  <c r="Z87" i="1" a="1"/>
  <c r="Z87" i="1"/>
  <c r="AA87" i="1" a="1"/>
  <c r="AA87" i="1"/>
  <c r="AB87" i="1" a="1"/>
  <c r="AB87" i="1"/>
  <c r="AC87" i="1" a="1"/>
  <c r="AC87" i="1"/>
  <c r="AD87" i="1" a="1"/>
  <c r="AD87" i="1"/>
  <c r="AE87" i="1" a="1"/>
  <c r="AE87" i="1"/>
  <c r="AF87" i="1" a="1"/>
  <c r="AF87" i="1"/>
  <c r="AG87" i="1" a="1"/>
  <c r="AG87" i="1"/>
  <c r="AH87" i="1" a="1"/>
  <c r="AH87" i="1"/>
  <c r="AI87" i="1" a="1"/>
  <c r="AI87" i="1"/>
  <c r="AJ87" i="1" a="1"/>
  <c r="AJ87" i="1"/>
  <c r="V88" i="1" a="1"/>
  <c r="V88" i="1"/>
  <c r="W88" i="1" a="1"/>
  <c r="W88" i="1"/>
  <c r="X88" i="1" a="1"/>
  <c r="X88" i="1"/>
  <c r="Y88" i="1" a="1"/>
  <c r="Y88" i="1"/>
  <c r="Z88" i="1" a="1"/>
  <c r="Z88" i="1"/>
  <c r="AA88" i="1" a="1"/>
  <c r="AA88" i="1"/>
  <c r="AB88" i="1" a="1"/>
  <c r="AB88" i="1"/>
  <c r="AC88" i="1" a="1"/>
  <c r="AC88" i="1"/>
  <c r="AD88" i="1" a="1"/>
  <c r="AD88" i="1"/>
  <c r="AE88" i="1" a="1"/>
  <c r="AE88" i="1"/>
  <c r="AF88" i="1" a="1"/>
  <c r="AF88" i="1"/>
  <c r="AG88" i="1" a="1"/>
  <c r="AG88" i="1"/>
  <c r="AH88" i="1" a="1"/>
  <c r="AH88" i="1"/>
  <c r="AI88" i="1" a="1"/>
  <c r="AI88" i="1"/>
  <c r="AJ88" i="1" a="1"/>
  <c r="AJ88" i="1"/>
  <c r="V89" i="1" a="1"/>
  <c r="V89" i="1"/>
  <c r="W89" i="1" a="1"/>
  <c r="W89" i="1"/>
  <c r="X89" i="1" a="1"/>
  <c r="X89" i="1"/>
  <c r="Y89" i="1" a="1"/>
  <c r="Y89" i="1"/>
  <c r="Z89" i="1" a="1"/>
  <c r="Z89" i="1"/>
  <c r="AA89" i="1" a="1"/>
  <c r="AA89" i="1"/>
  <c r="AB89" i="1" a="1"/>
  <c r="AB89" i="1"/>
  <c r="AC89" i="1" a="1"/>
  <c r="AC89" i="1"/>
  <c r="AD89" i="1" a="1"/>
  <c r="AD89" i="1"/>
  <c r="AE89" i="1" a="1"/>
  <c r="AE89" i="1"/>
  <c r="AF89" i="1" a="1"/>
  <c r="AF89" i="1"/>
  <c r="AG89" i="1" a="1"/>
  <c r="AG89" i="1"/>
  <c r="AH89" i="1" a="1"/>
  <c r="AH89" i="1"/>
  <c r="AI89" i="1" a="1"/>
  <c r="AI89" i="1"/>
  <c r="AJ89" i="1" a="1"/>
  <c r="AJ89" i="1"/>
  <c r="V90" i="1" a="1"/>
  <c r="V90" i="1"/>
  <c r="W90" i="1" a="1"/>
  <c r="W90" i="1"/>
  <c r="X90" i="1" a="1"/>
  <c r="X90" i="1"/>
  <c r="Y90" i="1" a="1"/>
  <c r="Y90" i="1"/>
  <c r="Z90" i="1" a="1"/>
  <c r="Z90" i="1"/>
  <c r="AA90" i="1" a="1"/>
  <c r="AA90" i="1"/>
  <c r="AB90" i="1" a="1"/>
  <c r="AB90" i="1"/>
  <c r="AC90" i="1" a="1"/>
  <c r="AC90" i="1"/>
  <c r="AD90" i="1" a="1"/>
  <c r="AD90" i="1"/>
  <c r="AE90" i="1" a="1"/>
  <c r="AE90" i="1"/>
  <c r="AF90" i="1" a="1"/>
  <c r="AF90" i="1"/>
  <c r="AX90" i="1"/>
  <c r="AG90" i="1" a="1"/>
  <c r="AG90" i="1"/>
  <c r="AH90" i="1" a="1"/>
  <c r="AH90" i="1"/>
  <c r="AY90" i="1"/>
  <c r="AI90" i="1" a="1"/>
  <c r="AI90" i="1"/>
  <c r="AJ90" i="1" a="1"/>
  <c r="AJ90" i="1"/>
  <c r="V91" i="1" a="1"/>
  <c r="V91" i="1"/>
  <c r="W91" i="1" a="1"/>
  <c r="W91" i="1"/>
  <c r="X91" i="1" a="1"/>
  <c r="X91" i="1"/>
  <c r="Y91" i="1" a="1"/>
  <c r="Y91" i="1"/>
  <c r="Z91" i="1" a="1"/>
  <c r="Z91" i="1"/>
  <c r="AU91" i="1"/>
  <c r="AA91" i="1" a="1"/>
  <c r="AA91" i="1"/>
  <c r="AB91" i="1" a="1"/>
  <c r="AB91" i="1"/>
  <c r="AC91" i="1" a="1"/>
  <c r="AC91" i="1"/>
  <c r="AD91" i="1" a="1"/>
  <c r="AD91" i="1"/>
  <c r="AE91" i="1" a="1"/>
  <c r="AE91" i="1"/>
  <c r="AF91" i="1" a="1"/>
  <c r="AF91" i="1"/>
  <c r="AG91" i="1" a="1"/>
  <c r="AG91" i="1"/>
  <c r="AH91" i="1" a="1"/>
  <c r="AH91" i="1"/>
  <c r="AY91" i="1"/>
  <c r="AI91" i="1" a="1"/>
  <c r="AI91" i="1"/>
  <c r="AJ91" i="1" a="1"/>
  <c r="AJ91" i="1"/>
  <c r="V92" i="1" a="1"/>
  <c r="V92" i="1"/>
  <c r="W92" i="1" a="1"/>
  <c r="W92" i="1"/>
  <c r="X92" i="1" a="1"/>
  <c r="X92" i="1"/>
  <c r="Y92" i="1" a="1"/>
  <c r="Y92" i="1"/>
  <c r="Z92" i="1" a="1"/>
  <c r="Z92" i="1"/>
  <c r="AA92" i="1" a="1"/>
  <c r="AA92" i="1"/>
  <c r="AB92" i="1" a="1"/>
  <c r="AB92" i="1"/>
  <c r="AC92" i="1" a="1"/>
  <c r="AC92" i="1"/>
  <c r="AD92" i="1" a="1"/>
  <c r="AD92" i="1"/>
  <c r="AE92" i="1" a="1"/>
  <c r="AE92" i="1"/>
  <c r="AF92" i="1" a="1"/>
  <c r="AF92" i="1"/>
  <c r="AG92" i="1" a="1"/>
  <c r="AG92" i="1"/>
  <c r="AH92" i="1" a="1"/>
  <c r="AH92" i="1"/>
  <c r="AI92" i="1" a="1"/>
  <c r="AI92" i="1"/>
  <c r="AJ92" i="1" a="1"/>
  <c r="AJ92" i="1"/>
  <c r="V93" i="1" a="1"/>
  <c r="V93" i="1"/>
  <c r="W93" i="1" a="1"/>
  <c r="W93" i="1"/>
  <c r="X93" i="1" a="1"/>
  <c r="X93" i="1"/>
  <c r="Y93" i="1" a="1"/>
  <c r="Y93" i="1"/>
  <c r="Z93" i="1" a="1"/>
  <c r="Z93" i="1"/>
  <c r="AA93" i="1" a="1"/>
  <c r="AA93" i="1"/>
  <c r="AB93" i="1" a="1"/>
  <c r="AB93" i="1"/>
  <c r="AC93" i="1" a="1"/>
  <c r="AC93" i="1"/>
  <c r="AD93" i="1" a="1"/>
  <c r="AD93" i="1"/>
  <c r="AE93" i="1" a="1"/>
  <c r="AE93" i="1"/>
  <c r="AF93" i="1" a="1"/>
  <c r="AF93" i="1"/>
  <c r="AG93" i="1" a="1"/>
  <c r="AG93" i="1"/>
  <c r="AH93" i="1" a="1"/>
  <c r="AH93" i="1"/>
  <c r="AI93" i="1" a="1"/>
  <c r="AI93" i="1"/>
  <c r="AJ93" i="1" a="1"/>
  <c r="AJ93" i="1"/>
  <c r="V94" i="1" a="1"/>
  <c r="V94" i="1"/>
  <c r="W94" i="1" a="1"/>
  <c r="W94" i="1"/>
  <c r="X94" i="1" a="1"/>
  <c r="X94" i="1"/>
  <c r="Y94" i="1" a="1"/>
  <c r="Y94" i="1"/>
  <c r="Z94" i="1" a="1"/>
  <c r="Z94" i="1"/>
  <c r="AA94" i="1" a="1"/>
  <c r="AA94" i="1"/>
  <c r="AB94" i="1" a="1"/>
  <c r="AB94" i="1"/>
  <c r="AC94" i="1" a="1"/>
  <c r="AC94" i="1"/>
  <c r="AD94" i="1" a="1"/>
  <c r="AD94" i="1"/>
  <c r="AE94" i="1" a="1"/>
  <c r="AE94" i="1"/>
  <c r="AF94" i="1" a="1"/>
  <c r="AF94" i="1"/>
  <c r="AG94" i="1" a="1"/>
  <c r="AG94" i="1"/>
  <c r="AH94" i="1" a="1"/>
  <c r="AH94" i="1"/>
  <c r="AI94" i="1" a="1"/>
  <c r="AI94" i="1"/>
  <c r="AJ94" i="1" a="1"/>
  <c r="AJ94" i="1"/>
  <c r="V95" i="1" a="1"/>
  <c r="V95" i="1"/>
  <c r="W95" i="1" a="1"/>
  <c r="W95" i="1"/>
  <c r="X95" i="1" a="1"/>
  <c r="X95" i="1"/>
  <c r="Y95" i="1" a="1"/>
  <c r="Y95" i="1"/>
  <c r="Z95" i="1" a="1"/>
  <c r="Z95" i="1"/>
  <c r="AA95" i="1" a="1"/>
  <c r="AA95" i="1"/>
  <c r="AB95" i="1" a="1"/>
  <c r="AB95" i="1"/>
  <c r="AC95" i="1" a="1"/>
  <c r="AC95" i="1"/>
  <c r="AD95" i="1" a="1"/>
  <c r="AD95" i="1"/>
  <c r="AE95" i="1" a="1"/>
  <c r="AE95" i="1"/>
  <c r="AF95" i="1" a="1"/>
  <c r="AF95" i="1"/>
  <c r="AG95" i="1" a="1"/>
  <c r="AG95" i="1"/>
  <c r="AH95" i="1" a="1"/>
  <c r="AH95" i="1"/>
  <c r="AI95" i="1" a="1"/>
  <c r="AI95" i="1"/>
  <c r="AJ95" i="1" a="1"/>
  <c r="AJ95" i="1"/>
  <c r="V96" i="1" a="1"/>
  <c r="V96" i="1"/>
  <c r="W96" i="1" a="1"/>
  <c r="W96" i="1"/>
  <c r="X96" i="1" a="1"/>
  <c r="X96" i="1"/>
  <c r="Y96" i="1" a="1"/>
  <c r="Y96" i="1"/>
  <c r="Z96" i="1" a="1"/>
  <c r="Z96" i="1"/>
  <c r="AA96" i="1" a="1"/>
  <c r="AA96" i="1"/>
  <c r="AB96" i="1" a="1"/>
  <c r="AB96" i="1"/>
  <c r="AC96" i="1" a="1"/>
  <c r="AC96" i="1"/>
  <c r="AD96" i="1" a="1"/>
  <c r="AD96" i="1"/>
  <c r="AE96" i="1" a="1"/>
  <c r="AE96" i="1"/>
  <c r="AF96" i="1" a="1"/>
  <c r="AF96" i="1"/>
  <c r="AG96" i="1" a="1"/>
  <c r="AG96" i="1"/>
  <c r="AH96" i="1" a="1"/>
  <c r="AH96" i="1"/>
  <c r="AI96" i="1" a="1"/>
  <c r="AI96" i="1"/>
  <c r="AJ96" i="1" a="1"/>
  <c r="AJ96" i="1"/>
  <c r="V97" i="1" a="1"/>
  <c r="V97" i="1"/>
  <c r="W97" i="1" a="1"/>
  <c r="W97" i="1"/>
  <c r="X97" i="1" a="1"/>
  <c r="X97" i="1"/>
  <c r="Y97" i="1" a="1"/>
  <c r="Y97" i="1"/>
  <c r="Z97" i="1" a="1"/>
  <c r="Z97" i="1"/>
  <c r="AA97" i="1" a="1"/>
  <c r="AA97" i="1"/>
  <c r="AB97" i="1" a="1"/>
  <c r="AB97" i="1"/>
  <c r="AC97" i="1" a="1"/>
  <c r="AC97" i="1"/>
  <c r="AD97" i="1" a="1"/>
  <c r="AD97" i="1"/>
  <c r="AE97" i="1" a="1"/>
  <c r="AE97" i="1"/>
  <c r="AF97" i="1" a="1"/>
  <c r="AF97" i="1"/>
  <c r="AG97" i="1" a="1"/>
  <c r="AG97" i="1"/>
  <c r="AH97" i="1" a="1"/>
  <c r="AH97" i="1"/>
  <c r="AI97" i="1" a="1"/>
  <c r="AI97" i="1"/>
  <c r="AJ97" i="1" a="1"/>
  <c r="AJ97" i="1"/>
  <c r="V98" i="1" a="1"/>
  <c r="V98" i="1"/>
  <c r="W98" i="1" a="1"/>
  <c r="W98" i="1"/>
  <c r="X98" i="1" a="1"/>
  <c r="X98" i="1"/>
  <c r="Y98" i="1" a="1"/>
  <c r="Y98" i="1"/>
  <c r="Z98" i="1" a="1"/>
  <c r="Z98" i="1"/>
  <c r="AA98" i="1" a="1"/>
  <c r="AA98" i="1"/>
  <c r="AB98" i="1" a="1"/>
  <c r="AB98" i="1"/>
  <c r="AC98" i="1" a="1"/>
  <c r="AC98" i="1"/>
  <c r="AD98" i="1" a="1"/>
  <c r="AD98" i="1"/>
  <c r="AE98" i="1" a="1"/>
  <c r="AE98" i="1"/>
  <c r="AF98" i="1" a="1"/>
  <c r="AF98" i="1"/>
  <c r="AX98" i="1"/>
  <c r="AG98" i="1" a="1"/>
  <c r="AG98" i="1"/>
  <c r="AH98" i="1" a="1"/>
  <c r="AH98" i="1"/>
  <c r="AI98" i="1" a="1"/>
  <c r="AI98" i="1"/>
  <c r="AJ98" i="1" a="1"/>
  <c r="AJ98" i="1"/>
  <c r="V99" i="1" a="1"/>
  <c r="V99" i="1"/>
  <c r="W99" i="1" a="1"/>
  <c r="W99" i="1"/>
  <c r="X99" i="1" a="1"/>
  <c r="X99" i="1"/>
  <c r="Y99" i="1" a="1"/>
  <c r="Y99" i="1"/>
  <c r="Z99" i="1" a="1"/>
  <c r="Z99" i="1"/>
  <c r="AA99" i="1" a="1"/>
  <c r="AA99" i="1"/>
  <c r="AB99" i="1" a="1"/>
  <c r="AB99" i="1"/>
  <c r="AC99" i="1" a="1"/>
  <c r="AC99" i="1"/>
  <c r="AD99" i="1" a="1"/>
  <c r="AD99" i="1"/>
  <c r="AE99" i="1" a="1"/>
  <c r="AE99" i="1"/>
  <c r="AF99" i="1" a="1"/>
  <c r="AF99" i="1"/>
  <c r="AG99" i="1" a="1"/>
  <c r="AG99" i="1"/>
  <c r="AH99" i="1" a="1"/>
  <c r="AH99" i="1"/>
  <c r="AI99" i="1" a="1"/>
  <c r="AI99" i="1"/>
  <c r="AJ99" i="1" a="1"/>
  <c r="AJ99" i="1"/>
  <c r="V100" i="1" a="1"/>
  <c r="V100" i="1"/>
  <c r="W100" i="1" a="1"/>
  <c r="W100" i="1"/>
  <c r="X100" i="1" a="1"/>
  <c r="X100" i="1"/>
  <c r="Y100" i="1" a="1"/>
  <c r="Y100" i="1"/>
  <c r="Z100" i="1" a="1"/>
  <c r="Z100" i="1"/>
  <c r="AA100" i="1" a="1"/>
  <c r="AA100" i="1"/>
  <c r="AB100" i="1" a="1"/>
  <c r="AB100" i="1"/>
  <c r="AC100" i="1" a="1"/>
  <c r="AC100" i="1"/>
  <c r="AD100" i="1" a="1"/>
  <c r="AD100" i="1"/>
  <c r="AE100" i="1" a="1"/>
  <c r="AE100" i="1"/>
  <c r="AF100" i="1" a="1"/>
  <c r="AF100" i="1"/>
  <c r="AG100" i="1" a="1"/>
  <c r="AG100" i="1"/>
  <c r="AH100" i="1" a="1"/>
  <c r="AH100" i="1"/>
  <c r="AI100" i="1" a="1"/>
  <c r="AI100" i="1"/>
  <c r="AJ100" i="1" a="1"/>
  <c r="AJ100" i="1"/>
  <c r="W65" i="1" a="1"/>
  <c r="W65" i="1"/>
  <c r="X65" i="1" a="1"/>
  <c r="X65" i="1"/>
  <c r="Y65" i="1" a="1"/>
  <c r="Y65" i="1"/>
  <c r="Z65" i="1" a="1"/>
  <c r="Z65" i="1"/>
  <c r="AA65" i="1" a="1"/>
  <c r="AA65" i="1"/>
  <c r="AB65" i="1" a="1"/>
  <c r="AB65" i="1"/>
  <c r="AV65" i="1"/>
  <c r="AC65" i="1" a="1"/>
  <c r="AC65" i="1"/>
  <c r="AD65" i="1" a="1"/>
  <c r="AD65" i="1"/>
  <c r="AW65" i="1"/>
  <c r="AE65" i="1" a="1"/>
  <c r="AE65" i="1"/>
  <c r="AF65" i="1" a="1"/>
  <c r="AF65" i="1"/>
  <c r="AI65" i="1" a="1"/>
  <c r="AI65" i="1"/>
  <c r="AJ65" i="1" a="1"/>
  <c r="AJ65" i="1"/>
  <c r="V65" i="1" a="1"/>
  <c r="V65" i="1"/>
  <c r="AS65" i="1"/>
  <c r="U65" i="1" a="1"/>
  <c r="U65" i="1"/>
  <c r="U66" i="1" a="1"/>
  <c r="U66" i="1"/>
  <c r="U67" i="1" a="1"/>
  <c r="U67" i="1"/>
  <c r="U68" i="1" a="1"/>
  <c r="U68" i="1"/>
  <c r="U69" i="1" a="1"/>
  <c r="U69" i="1"/>
  <c r="U70" i="1" a="1"/>
  <c r="U70" i="1"/>
  <c r="U71" i="1" a="1"/>
  <c r="U71" i="1"/>
  <c r="U72" i="1" a="1"/>
  <c r="U72" i="1"/>
  <c r="U73" i="1" a="1"/>
  <c r="U73" i="1"/>
  <c r="U74" i="1" a="1"/>
  <c r="U74" i="1"/>
  <c r="U75" i="1" a="1"/>
  <c r="U75" i="1"/>
  <c r="U76" i="1" a="1"/>
  <c r="U76" i="1"/>
  <c r="U77" i="1" a="1"/>
  <c r="U77" i="1"/>
  <c r="U78" i="1" a="1"/>
  <c r="U78" i="1"/>
  <c r="U79" i="1" a="1"/>
  <c r="U79" i="1"/>
  <c r="U80" i="1" a="1"/>
  <c r="U80" i="1"/>
  <c r="U81" i="1" a="1"/>
  <c r="U81" i="1"/>
  <c r="U82" i="1" a="1"/>
  <c r="U82" i="1"/>
  <c r="U83" i="1" a="1"/>
  <c r="U83" i="1"/>
  <c r="U84" i="1" a="1"/>
  <c r="U84" i="1"/>
  <c r="U85" i="1" a="1"/>
  <c r="U85" i="1"/>
  <c r="U86" i="1" a="1"/>
  <c r="U86" i="1"/>
  <c r="U87" i="1" a="1"/>
  <c r="U87" i="1"/>
  <c r="U88" i="1" a="1"/>
  <c r="U88" i="1"/>
  <c r="U89" i="1" a="1"/>
  <c r="U89" i="1"/>
  <c r="U90" i="1" a="1"/>
  <c r="U90" i="1"/>
  <c r="U91" i="1" a="1"/>
  <c r="U91" i="1"/>
  <c r="U92" i="1" a="1"/>
  <c r="U92" i="1"/>
  <c r="U93" i="1" a="1"/>
  <c r="U93" i="1"/>
  <c r="U94" i="1" a="1"/>
  <c r="U94" i="1"/>
  <c r="U95" i="1" a="1"/>
  <c r="U95" i="1"/>
  <c r="U96" i="1" a="1"/>
  <c r="U96" i="1"/>
  <c r="U97" i="1" a="1"/>
  <c r="U97" i="1"/>
  <c r="U98" i="1" a="1"/>
  <c r="U98" i="1"/>
  <c r="U99" i="1" a="1"/>
  <c r="U99" i="1"/>
  <c r="U100" i="1" a="1"/>
  <c r="U100" i="1"/>
  <c r="H66" i="1" a="1"/>
  <c r="H66" i="1"/>
  <c r="H67" i="1" a="1"/>
  <c r="H67" i="1"/>
  <c r="H68" i="1" a="1"/>
  <c r="H68" i="1"/>
  <c r="AT68" i="1"/>
  <c r="H69" i="1" a="1"/>
  <c r="H69" i="1"/>
  <c r="H70" i="1" a="1"/>
  <c r="H70" i="1"/>
  <c r="AW70" i="1"/>
  <c r="H71" i="1" a="1"/>
  <c r="H71" i="1"/>
  <c r="H72" i="1" a="1"/>
  <c r="H72" i="1"/>
  <c r="AZ72" i="1"/>
  <c r="H73" i="1" a="1"/>
  <c r="H73" i="1"/>
  <c r="H74" i="1" a="1"/>
  <c r="H74" i="1"/>
  <c r="AT74" i="1"/>
  <c r="H75" i="1" a="1"/>
  <c r="H75" i="1"/>
  <c r="H76" i="1" a="1"/>
  <c r="H76" i="1"/>
  <c r="H77" i="1" a="1"/>
  <c r="H77" i="1"/>
  <c r="H78" i="1" a="1"/>
  <c r="H78" i="1"/>
  <c r="AS78" i="1"/>
  <c r="H79" i="1" a="1"/>
  <c r="H79" i="1"/>
  <c r="H80" i="1" a="1"/>
  <c r="H80" i="1"/>
  <c r="H81" i="1" a="1"/>
  <c r="H81" i="1"/>
  <c r="H82" i="1" a="1"/>
  <c r="H82" i="1"/>
  <c r="H83" i="1" a="1"/>
  <c r="H83" i="1"/>
  <c r="H84" i="1" a="1"/>
  <c r="H84" i="1"/>
  <c r="H85" i="1" a="1"/>
  <c r="H85" i="1"/>
  <c r="H86" i="1" a="1"/>
  <c r="H86" i="1"/>
  <c r="H87" i="1" a="1"/>
  <c r="H87" i="1"/>
  <c r="H88" i="1" a="1"/>
  <c r="H88" i="1"/>
  <c r="H89" i="1" a="1"/>
  <c r="H89" i="1"/>
  <c r="H90" i="1" a="1"/>
  <c r="H90" i="1"/>
  <c r="AV90" i="1"/>
  <c r="H91" i="1" a="1"/>
  <c r="H91" i="1"/>
  <c r="H92" i="1" a="1"/>
  <c r="H92" i="1"/>
  <c r="AX92" i="1"/>
  <c r="H93" i="1" a="1"/>
  <c r="H93" i="1"/>
  <c r="AX93" i="1"/>
  <c r="H94" i="1" a="1"/>
  <c r="H94" i="1"/>
  <c r="AU94" i="1"/>
  <c r="H95" i="1" a="1"/>
  <c r="H95" i="1"/>
  <c r="AW95" i="1"/>
  <c r="H96" i="1" a="1"/>
  <c r="H96" i="1"/>
  <c r="AY96" i="1"/>
  <c r="H97" i="1" a="1"/>
  <c r="H97" i="1"/>
  <c r="H98" i="1" a="1"/>
  <c r="H98" i="1"/>
  <c r="AW98" i="1"/>
  <c r="H99" i="1" a="1"/>
  <c r="H99" i="1"/>
  <c r="H100" i="1" a="1"/>
  <c r="H100" i="1"/>
  <c r="AT100" i="1"/>
  <c r="AY65" i="1"/>
  <c r="AY66" i="1"/>
  <c r="AU90" i="1"/>
  <c r="AW90" i="1"/>
  <c r="AW91" i="1"/>
  <c r="AY98" i="1"/>
  <c r="AK87" i="1"/>
  <c r="AL87" i="1"/>
  <c r="AK88" i="1"/>
  <c r="AL88" i="1"/>
  <c r="BA88" i="1"/>
  <c r="AK89" i="1"/>
  <c r="AL89" i="1"/>
  <c r="AK90" i="1"/>
  <c r="AL90" i="1"/>
  <c r="BA90" i="1"/>
  <c r="AK91" i="1"/>
  <c r="AL91" i="1"/>
  <c r="AK92" i="1"/>
  <c r="AL92" i="1"/>
  <c r="AK93" i="1"/>
  <c r="AL93" i="1"/>
  <c r="AK94" i="1"/>
  <c r="AL94" i="1"/>
  <c r="AK95" i="1"/>
  <c r="AL95" i="1"/>
  <c r="AK96" i="1"/>
  <c r="AL96" i="1"/>
  <c r="AK97" i="1"/>
  <c r="AL97" i="1"/>
  <c r="AK98" i="1"/>
  <c r="AL98" i="1"/>
  <c r="AK99" i="1"/>
  <c r="AL99" i="1"/>
  <c r="AK100" i="1"/>
  <c r="AL100" i="1"/>
  <c r="AM87" i="1"/>
  <c r="AN87" i="1"/>
  <c r="AM88" i="1"/>
  <c r="AN88" i="1"/>
  <c r="AM89" i="1"/>
  <c r="AN89" i="1"/>
  <c r="AM90" i="1"/>
  <c r="AN90" i="1"/>
  <c r="BB90" i="1"/>
  <c r="AM91" i="1"/>
  <c r="AN91" i="1"/>
  <c r="AM92" i="1"/>
  <c r="AN92" i="1"/>
  <c r="BB92" i="1"/>
  <c r="AM93" i="1"/>
  <c r="AN93" i="1"/>
  <c r="AM94" i="1"/>
  <c r="AN94" i="1"/>
  <c r="AM95" i="1"/>
  <c r="AN95" i="1"/>
  <c r="AM96" i="1"/>
  <c r="AN96" i="1"/>
  <c r="BB96" i="1"/>
  <c r="AM97" i="1"/>
  <c r="AN97" i="1"/>
  <c r="AM98" i="1"/>
  <c r="AN98" i="1"/>
  <c r="BB98" i="1"/>
  <c r="AM99" i="1"/>
  <c r="AN99" i="1"/>
  <c r="AM100" i="1"/>
  <c r="AN100" i="1"/>
  <c r="BB100" i="1"/>
  <c r="AO87" i="1"/>
  <c r="AP87" i="1"/>
  <c r="AO88" i="1"/>
  <c r="AP88" i="1"/>
  <c r="BC88" i="1"/>
  <c r="AO89" i="1"/>
  <c r="AP89" i="1"/>
  <c r="AO90" i="1"/>
  <c r="AP90" i="1"/>
  <c r="BC90" i="1"/>
  <c r="AO91" i="1"/>
  <c r="AP91" i="1"/>
  <c r="AO92" i="1"/>
  <c r="AP92" i="1"/>
  <c r="AO93" i="1"/>
  <c r="AP93" i="1"/>
  <c r="AO94" i="1"/>
  <c r="AP94" i="1"/>
  <c r="AO95" i="1"/>
  <c r="AP95" i="1"/>
  <c r="AO96" i="1"/>
  <c r="AP96" i="1"/>
  <c r="BC96" i="1"/>
  <c r="AO97" i="1"/>
  <c r="AP97" i="1"/>
  <c r="AO98" i="1"/>
  <c r="AP98" i="1"/>
  <c r="BC98" i="1"/>
  <c r="AO99" i="1"/>
  <c r="AP99" i="1"/>
  <c r="AO100" i="1"/>
  <c r="AP100" i="1"/>
  <c r="AQ87" i="1"/>
  <c r="AR87" i="1"/>
  <c r="AQ88" i="1"/>
  <c r="AR88" i="1"/>
  <c r="BD88" i="1"/>
  <c r="AQ89" i="1"/>
  <c r="AR89" i="1"/>
  <c r="AQ90" i="1"/>
  <c r="AR90" i="1"/>
  <c r="BD90" i="1"/>
  <c r="AQ91" i="1"/>
  <c r="AR91" i="1"/>
  <c r="AQ92" i="1"/>
  <c r="AR92" i="1"/>
  <c r="BD92" i="1"/>
  <c r="AQ93" i="1"/>
  <c r="AR93" i="1"/>
  <c r="AQ94" i="1"/>
  <c r="AR94" i="1"/>
  <c r="AQ95" i="1"/>
  <c r="AR95" i="1"/>
  <c r="AQ96" i="1"/>
  <c r="AR96" i="1"/>
  <c r="BD96" i="1"/>
  <c r="AQ97" i="1"/>
  <c r="AR97" i="1"/>
  <c r="AQ98" i="1"/>
  <c r="AR98" i="1"/>
  <c r="BD98" i="1"/>
  <c r="AQ99" i="1"/>
  <c r="AR99" i="1"/>
  <c r="AQ100" i="1"/>
  <c r="AR100" i="1"/>
  <c r="BD100" i="1"/>
  <c r="AQ65" i="1"/>
  <c r="AR65" i="1"/>
  <c r="BD65" i="1"/>
  <c r="AQ86" i="1"/>
  <c r="AR86" i="1"/>
  <c r="AO86" i="1"/>
  <c r="AP86" i="1"/>
  <c r="AM86" i="1"/>
  <c r="AN86" i="1"/>
  <c r="AK86" i="1"/>
  <c r="AL86" i="1"/>
  <c r="AQ85" i="1"/>
  <c r="AR85" i="1"/>
  <c r="AO85" i="1"/>
  <c r="AP85" i="1"/>
  <c r="AM85" i="1"/>
  <c r="AN85" i="1"/>
  <c r="AK85" i="1"/>
  <c r="AL85" i="1"/>
  <c r="AQ84" i="1"/>
  <c r="AR84" i="1"/>
  <c r="AO84" i="1"/>
  <c r="AP84" i="1"/>
  <c r="AM84" i="1"/>
  <c r="AN84" i="1"/>
  <c r="AK84" i="1"/>
  <c r="AL84" i="1"/>
  <c r="AQ83" i="1"/>
  <c r="AR83" i="1"/>
  <c r="AO83" i="1"/>
  <c r="AP83" i="1"/>
  <c r="BC83" i="1"/>
  <c r="AM83" i="1"/>
  <c r="AN83" i="1"/>
  <c r="AK83" i="1"/>
  <c r="AL83" i="1"/>
  <c r="BA83" i="1"/>
  <c r="AX83" i="1"/>
  <c r="AQ82" i="1"/>
  <c r="AR82" i="1"/>
  <c r="BD82" i="1"/>
  <c r="AO82" i="1"/>
  <c r="AP82" i="1"/>
  <c r="BC82" i="1"/>
  <c r="AM82" i="1"/>
  <c r="AN82" i="1"/>
  <c r="BB82" i="1"/>
  <c r="AK82" i="1"/>
  <c r="AL82" i="1"/>
  <c r="BA82" i="1"/>
  <c r="AX82" i="1"/>
  <c r="AQ81" i="1"/>
  <c r="AR81" i="1"/>
  <c r="AO81" i="1"/>
  <c r="AP81" i="1"/>
  <c r="AM81" i="1"/>
  <c r="AN81" i="1"/>
  <c r="AK81" i="1"/>
  <c r="AL81" i="1"/>
  <c r="BA81" i="1"/>
  <c r="AQ80" i="1"/>
  <c r="AR80" i="1"/>
  <c r="BD80" i="1"/>
  <c r="AO80" i="1"/>
  <c r="AP80" i="1"/>
  <c r="AM80" i="1"/>
  <c r="AN80" i="1"/>
  <c r="BB80" i="1"/>
  <c r="AK80" i="1"/>
  <c r="AL80" i="1"/>
  <c r="AZ80" i="1"/>
  <c r="AQ79" i="1"/>
  <c r="AR79" i="1"/>
  <c r="AO79" i="1"/>
  <c r="AP79" i="1"/>
  <c r="AM79" i="1"/>
  <c r="AN79" i="1"/>
  <c r="AK79" i="1"/>
  <c r="AL79" i="1"/>
  <c r="AQ78" i="1"/>
  <c r="AR78" i="1"/>
  <c r="AO78" i="1"/>
  <c r="AP78" i="1"/>
  <c r="AM78" i="1"/>
  <c r="AN78" i="1"/>
  <c r="BB78" i="1"/>
  <c r="AK78" i="1"/>
  <c r="AL78" i="1"/>
  <c r="AQ77" i="1"/>
  <c r="AR77" i="1"/>
  <c r="AO77" i="1"/>
  <c r="AP77" i="1"/>
  <c r="AM77" i="1"/>
  <c r="AN77" i="1"/>
  <c r="AK77" i="1"/>
  <c r="AL77" i="1"/>
  <c r="AQ76" i="1"/>
  <c r="AR76" i="1"/>
  <c r="AO76" i="1"/>
  <c r="AP76" i="1"/>
  <c r="BC76" i="1"/>
  <c r="AM76" i="1"/>
  <c r="AN76" i="1"/>
  <c r="AK76" i="1"/>
  <c r="AL76" i="1"/>
  <c r="AW76" i="1"/>
  <c r="AQ75" i="1"/>
  <c r="AR75" i="1"/>
  <c r="BD75" i="1"/>
  <c r="AO75" i="1"/>
  <c r="AP75" i="1"/>
  <c r="AM75" i="1"/>
  <c r="AN75" i="1"/>
  <c r="BB75" i="1"/>
  <c r="AK75" i="1"/>
  <c r="AL75" i="1"/>
  <c r="BA75" i="1"/>
  <c r="AQ74" i="1"/>
  <c r="AR74" i="1"/>
  <c r="BD74" i="1"/>
  <c r="AO74" i="1"/>
  <c r="AP74" i="1"/>
  <c r="BC74" i="1"/>
  <c r="AM74" i="1"/>
  <c r="AN74" i="1"/>
  <c r="AK74" i="1"/>
  <c r="AL74" i="1"/>
  <c r="BA74" i="1"/>
  <c r="AQ73" i="1"/>
  <c r="AR73" i="1"/>
  <c r="AO73" i="1"/>
  <c r="AP73" i="1"/>
  <c r="AM73" i="1"/>
  <c r="AN73" i="1"/>
  <c r="AK73" i="1"/>
  <c r="AL73" i="1"/>
  <c r="AQ72" i="1"/>
  <c r="AR72" i="1"/>
  <c r="AO72" i="1"/>
  <c r="AP72" i="1"/>
  <c r="AM72" i="1"/>
  <c r="AN72" i="1"/>
  <c r="BB72" i="1"/>
  <c r="AK72" i="1"/>
  <c r="AL72" i="1"/>
  <c r="AQ71" i="1"/>
  <c r="AR71" i="1"/>
  <c r="AO71" i="1"/>
  <c r="AP71" i="1"/>
  <c r="BC71" i="1"/>
  <c r="AM71" i="1"/>
  <c r="AN71" i="1"/>
  <c r="AK71" i="1"/>
  <c r="AL71" i="1"/>
  <c r="AQ70" i="1"/>
  <c r="AR70" i="1"/>
  <c r="AO70" i="1"/>
  <c r="AP70" i="1"/>
  <c r="AM70" i="1"/>
  <c r="AN70" i="1"/>
  <c r="AK70" i="1"/>
  <c r="AL70" i="1"/>
  <c r="AQ69" i="1"/>
  <c r="AR69" i="1"/>
  <c r="AO69" i="1"/>
  <c r="AP69" i="1"/>
  <c r="AM69" i="1"/>
  <c r="AN69" i="1"/>
  <c r="AK69" i="1"/>
  <c r="AL69" i="1"/>
  <c r="AQ68" i="1"/>
  <c r="AR68" i="1"/>
  <c r="BD68" i="1"/>
  <c r="AO68" i="1"/>
  <c r="AP68" i="1"/>
  <c r="BC68" i="1"/>
  <c r="AM68" i="1"/>
  <c r="AN68" i="1"/>
  <c r="AK68" i="1"/>
  <c r="AL68" i="1"/>
  <c r="AQ67" i="1"/>
  <c r="AR67" i="1"/>
  <c r="BD67" i="1"/>
  <c r="AO67" i="1"/>
  <c r="AP67" i="1"/>
  <c r="BC67" i="1"/>
  <c r="AM67" i="1"/>
  <c r="AN67" i="1"/>
  <c r="BB67" i="1"/>
  <c r="AK67" i="1"/>
  <c r="AL67" i="1"/>
  <c r="BA67" i="1"/>
  <c r="AW67" i="1"/>
  <c r="AQ66" i="1"/>
  <c r="AR66" i="1"/>
  <c r="BD66" i="1"/>
  <c r="AO66" i="1"/>
  <c r="AP66" i="1"/>
  <c r="BC66" i="1"/>
  <c r="AM66" i="1"/>
  <c r="AN66" i="1"/>
  <c r="AK66" i="1"/>
  <c r="AL66" i="1"/>
  <c r="AW66" i="1"/>
  <c r="AO65" i="1"/>
  <c r="AP65" i="1"/>
  <c r="BC65" i="1"/>
  <c r="AM65" i="1"/>
  <c r="AN65" i="1"/>
  <c r="BB65" i="1"/>
  <c r="AK65" i="1"/>
  <c r="AL65" i="1"/>
  <c r="BA65" i="1"/>
  <c r="AZ65" i="1"/>
  <c r="AX65" i="1"/>
  <c r="AU65" i="1"/>
  <c r="AT65" i="1"/>
  <c r="T90" i="1"/>
  <c r="J118" i="1"/>
  <c r="J80" i="1"/>
  <c r="M98" i="1"/>
  <c r="P117" i="1"/>
  <c r="Q67" i="1"/>
  <c r="M91" i="1"/>
  <c r="J117" i="1"/>
  <c r="R98" i="1"/>
  <c r="R117" i="1"/>
  <c r="K90" i="1"/>
  <c r="O105" i="1"/>
  <c r="M114" i="1"/>
  <c r="M118" i="1"/>
  <c r="M104" i="1"/>
  <c r="O117" i="1"/>
  <c r="T96" i="1"/>
  <c r="M122" i="1"/>
  <c r="J122" i="1"/>
  <c r="S113" i="1"/>
  <c r="Q122" i="1"/>
  <c r="S88" i="1"/>
  <c r="Q105" i="1"/>
  <c r="R75" i="1"/>
  <c r="R82" i="1"/>
  <c r="Q110" i="1"/>
  <c r="K106" i="1"/>
  <c r="O123" i="1"/>
  <c r="R105" i="1"/>
  <c r="L114" i="1"/>
  <c r="L65" i="1"/>
  <c r="S65" i="1"/>
  <c r="K118" i="1"/>
  <c r="T88" i="1"/>
  <c r="S76" i="1"/>
  <c r="L90" i="1"/>
  <c r="L123" i="1"/>
  <c r="K113" i="1"/>
  <c r="T67" i="1"/>
  <c r="L118" i="1"/>
  <c r="S71" i="1"/>
  <c r="P105" i="1"/>
  <c r="I122" i="1"/>
  <c r="R113" i="1"/>
  <c r="T113" i="1"/>
  <c r="N92" i="1"/>
  <c r="M117" i="1"/>
  <c r="J123" i="1"/>
  <c r="K94" i="1"/>
  <c r="J65" i="1"/>
  <c r="I114" i="1"/>
  <c r="R92" i="1"/>
  <c r="Q74" i="1"/>
  <c r="K112" i="1"/>
  <c r="Q88" i="1"/>
  <c r="K114" i="1"/>
  <c r="K65" i="1"/>
  <c r="S111" i="1"/>
  <c r="S122" i="1"/>
  <c r="N105" i="1"/>
  <c r="N117" i="1"/>
  <c r="Q75" i="1"/>
  <c r="N82" i="1"/>
  <c r="N106" i="1"/>
  <c r="T105" i="1"/>
  <c r="O98" i="1"/>
  <c r="I123" i="1"/>
  <c r="I116" i="1"/>
  <c r="N112" i="1"/>
  <c r="Q117" i="1"/>
  <c r="L86" i="1"/>
  <c r="N98" i="1"/>
  <c r="T104" i="1"/>
  <c r="K74" i="1"/>
  <c r="R72" i="1"/>
  <c r="I113" i="1"/>
  <c r="R111" i="1"/>
  <c r="M70" i="1"/>
  <c r="J74" i="1"/>
  <c r="K91" i="1"/>
  <c r="Q90" i="1"/>
  <c r="O96" i="1"/>
  <c r="O113" i="1"/>
  <c r="N118" i="1"/>
  <c r="R80" i="1"/>
  <c r="M66" i="1"/>
  <c r="T82" i="1"/>
  <c r="T68" i="1"/>
  <c r="R96" i="1"/>
  <c r="M123" i="1"/>
  <c r="N113" i="1"/>
  <c r="Q81" i="1"/>
  <c r="R90" i="1"/>
  <c r="N65" i="1"/>
  <c r="M65" i="1"/>
  <c r="P118" i="1"/>
  <c r="T100" i="1"/>
  <c r="J106" i="1"/>
  <c r="L106" i="1"/>
  <c r="P113" i="1"/>
  <c r="P80" i="1"/>
  <c r="N123" i="1"/>
  <c r="M105" i="1"/>
  <c r="K122" i="1"/>
  <c r="S68" i="1"/>
  <c r="N90" i="1"/>
  <c r="P112" i="1"/>
  <c r="Q113" i="1"/>
  <c r="I118" i="1"/>
  <c r="P122" i="1"/>
  <c r="S83" i="1"/>
  <c r="O90" i="1"/>
  <c r="I78" i="1"/>
  <c r="Q106" i="1"/>
  <c r="K104" i="1"/>
  <c r="O65" i="1"/>
  <c r="L113" i="1"/>
  <c r="R100" i="1"/>
  <c r="S82" i="1"/>
  <c r="S105" i="1"/>
  <c r="S67" i="1"/>
  <c r="S90" i="1"/>
  <c r="I105" i="1"/>
  <c r="Q109" i="1"/>
  <c r="Q65" i="1"/>
  <c r="R78" i="1"/>
  <c r="M76" i="1"/>
  <c r="O118" i="1"/>
  <c r="T75" i="1"/>
  <c r="N83" i="1"/>
  <c r="L112" i="1"/>
  <c r="M113" i="1"/>
  <c r="S117" i="1"/>
  <c r="O122" i="1"/>
  <c r="T74" i="1"/>
  <c r="S98" i="1"/>
  <c r="S74" i="1"/>
  <c r="O66" i="1"/>
  <c r="K105" i="1"/>
  <c r="T65" i="1"/>
  <c r="N93" i="1"/>
  <c r="N104" i="1"/>
  <c r="T80" i="1"/>
  <c r="R65" i="1"/>
  <c r="R122" i="1"/>
  <c r="O82" i="1"/>
  <c r="L122" i="1"/>
  <c r="K123" i="1"/>
  <c r="Q82" i="1"/>
  <c r="Q83" i="1"/>
  <c r="M90" i="1"/>
  <c r="T66" i="1"/>
  <c r="I117" i="1"/>
  <c r="L105" i="1"/>
  <c r="P72" i="1"/>
  <c r="T98" i="1"/>
  <c r="O91" i="1"/>
  <c r="I65" i="1"/>
  <c r="J114" i="1"/>
  <c r="T117" i="1"/>
  <c r="R104" i="1"/>
  <c r="P120" i="1"/>
  <c r="P65" i="1"/>
  <c r="J68" i="1"/>
  <c r="T92" i="1"/>
  <c r="N122" i="1"/>
  <c r="R67" i="1"/>
  <c r="S66" i="1"/>
  <c r="T122" i="1"/>
  <c r="M71" i="1"/>
  <c r="K117" i="1"/>
  <c r="L104" i="1"/>
  <c r="M67" i="1"/>
  <c r="J100" i="1"/>
  <c r="S96" i="1"/>
  <c r="J105" i="1"/>
  <c r="J113" i="1"/>
  <c r="P123" i="1"/>
  <c r="L117" i="1"/>
  <c r="M95" i="1"/>
  <c r="M106" i="1"/>
  <c r="C22" i="1"/>
  <c r="AS86" i="1"/>
  <c r="BB79" i="1"/>
  <c r="BC79" i="1"/>
  <c r="BD94" i="1"/>
  <c r="BB94" i="1"/>
  <c r="AY84" i="1"/>
  <c r="AV76" i="1"/>
  <c r="AW116" i="1"/>
  <c r="AV116" i="1"/>
  <c r="AT109" i="1"/>
  <c r="AS115" i="1"/>
  <c r="AV120" i="1"/>
  <c r="AY70" i="1"/>
  <c r="AY120" i="1"/>
  <c r="BA71" i="1"/>
  <c r="BD77" i="1"/>
  <c r="AU83" i="1"/>
  <c r="AT83" i="1"/>
  <c r="AZ79" i="1"/>
  <c r="AV79" i="1"/>
  <c r="AX75" i="1"/>
  <c r="AT75" i="1"/>
  <c r="AZ71" i="1"/>
  <c r="AV71" i="1"/>
  <c r="AX67" i="1"/>
  <c r="AT67" i="1"/>
  <c r="BD109" i="1"/>
  <c r="BD101" i="1"/>
  <c r="BC109" i="1"/>
  <c r="BC101" i="1"/>
  <c r="BB109" i="1"/>
  <c r="BB101" i="1"/>
  <c r="BD71" i="1"/>
  <c r="BB70" i="1"/>
  <c r="BD79" i="1"/>
  <c r="BC95" i="1"/>
  <c r="BA95" i="1"/>
  <c r="AU120" i="1"/>
  <c r="AT120" i="1"/>
  <c r="AS120" i="1"/>
  <c r="BB87" i="1"/>
  <c r="BB71" i="1"/>
  <c r="AV78" i="1"/>
  <c r="AW83" i="1"/>
  <c r="AS83" i="1"/>
  <c r="AY79" i="1"/>
  <c r="AU79" i="1"/>
  <c r="AW75" i="1"/>
  <c r="AS75" i="1"/>
  <c r="AY71" i="1"/>
  <c r="AU71" i="1"/>
  <c r="AS67" i="1"/>
  <c r="BD116" i="1"/>
  <c r="BD108" i="1"/>
  <c r="BC116" i="1"/>
  <c r="BC108" i="1"/>
  <c r="BB116" i="1"/>
  <c r="BB108" i="1"/>
  <c r="BA116" i="1"/>
  <c r="BD95" i="1"/>
  <c r="BA79" i="1"/>
  <c r="BB86" i="1"/>
  <c r="BC94" i="1"/>
  <c r="BA98" i="1"/>
  <c r="AU98" i="1"/>
  <c r="AZ116" i="1"/>
  <c r="AZ73" i="1"/>
  <c r="BD73" i="1"/>
  <c r="AT73" i="1"/>
  <c r="AZ70" i="1"/>
  <c r="BD70" i="1"/>
  <c r="AY83" i="1"/>
  <c r="BD83" i="1"/>
  <c r="BD91" i="1"/>
  <c r="BB91" i="1"/>
  <c r="AY115" i="1"/>
  <c r="AY101" i="1"/>
  <c r="AS107" i="1"/>
  <c r="BA70" i="1"/>
  <c r="AY99" i="1"/>
  <c r="AU68" i="1"/>
  <c r="BA85" i="1"/>
  <c r="AT90" i="1"/>
  <c r="AZ84" i="1"/>
  <c r="AZ82" i="1"/>
  <c r="AV82" i="1"/>
  <c r="AS76" i="1"/>
  <c r="AU72" i="1"/>
  <c r="AX70" i="1"/>
  <c r="AT70" i="1"/>
  <c r="AZ66" i="1"/>
  <c r="AZ109" i="1"/>
  <c r="AY107" i="1"/>
  <c r="AW101" i="1"/>
  <c r="AV109" i="1"/>
  <c r="AV101" i="1"/>
  <c r="AU109" i="1"/>
  <c r="AU101" i="1"/>
  <c r="BC119" i="1"/>
  <c r="BA119" i="1"/>
  <c r="AV119" i="1"/>
  <c r="AX109" i="1"/>
  <c r="BA68" i="1"/>
  <c r="AS70" i="1"/>
  <c r="BB73" i="1"/>
  <c r="BC75" i="1"/>
  <c r="BB77" i="1"/>
  <c r="BB83" i="1"/>
  <c r="AV84" i="1"/>
  <c r="AZ83" i="1"/>
  <c r="AV83" i="1"/>
  <c r="BD115" i="1"/>
  <c r="BD107" i="1"/>
  <c r="BC115" i="1"/>
  <c r="BC107" i="1"/>
  <c r="BB115" i="1"/>
  <c r="BB107" i="1"/>
  <c r="BA115" i="1"/>
  <c r="AT101" i="1"/>
  <c r="BA73" i="1"/>
  <c r="AX101" i="1"/>
  <c r="AU70" i="1"/>
  <c r="AS96" i="1"/>
  <c r="AU88" i="1"/>
  <c r="AY95" i="1"/>
  <c r="BA107" i="1"/>
  <c r="AZ115" i="1"/>
  <c r="AZ101" i="1"/>
  <c r="AX115" i="1"/>
  <c r="AT107" i="1"/>
  <c r="AU119" i="1"/>
  <c r="AV70" i="1"/>
  <c r="BC77" i="1"/>
  <c r="AU87" i="1"/>
  <c r="AX107" i="1"/>
  <c r="AW115" i="1"/>
  <c r="AW107" i="1"/>
  <c r="BD111" i="1"/>
  <c r="BC103" i="1"/>
  <c r="AZ119" i="1"/>
  <c r="AW109" i="1"/>
  <c r="BC70" i="1"/>
  <c r="AZ107" i="1"/>
  <c r="AY109" i="1"/>
  <c r="AV115" i="1"/>
  <c r="AV107" i="1"/>
  <c r="AU115" i="1"/>
  <c r="AU107" i="1"/>
  <c r="AT115" i="1"/>
  <c r="AS101" i="1"/>
  <c r="AY119" i="1"/>
  <c r="BA69" i="1"/>
  <c r="AX76" i="1"/>
  <c r="BB84" i="1"/>
  <c r="AW99" i="1"/>
  <c r="AT91" i="1"/>
  <c r="AT88" i="1"/>
  <c r="AU81" i="1"/>
  <c r="AX79" i="1"/>
  <c r="AT79" i="1"/>
  <c r="AZ75" i="1"/>
  <c r="AV75" i="1"/>
  <c r="AX111" i="1"/>
  <c r="AX103" i="1"/>
  <c r="BD121" i="1"/>
  <c r="BC121" i="1"/>
  <c r="BB121" i="1"/>
  <c r="BA121" i="1"/>
  <c r="AX121" i="1"/>
  <c r="AS124" i="1"/>
  <c r="AZ99" i="1"/>
  <c r="AY76" i="1"/>
  <c r="BD76" i="1"/>
  <c r="AS84" i="1"/>
  <c r="BB99" i="1"/>
  <c r="AY92" i="1"/>
  <c r="AX95" i="1"/>
  <c r="AW89" i="1"/>
  <c r="AU82" i="1"/>
  <c r="BD103" i="1"/>
  <c r="AZ103" i="1"/>
  <c r="AY111" i="1"/>
  <c r="AY103" i="1"/>
  <c r="AW103" i="1"/>
  <c r="AV111" i="1"/>
  <c r="AU103" i="1"/>
  <c r="AZ76" i="1"/>
  <c r="AU84" i="1"/>
  <c r="BC99" i="1"/>
  <c r="AW92" i="1"/>
  <c r="AT92" i="1"/>
  <c r="AV66" i="1"/>
  <c r="AT98" i="1"/>
  <c r="AT96" i="1"/>
  <c r="AS90" i="1"/>
  <c r="AW79" i="1"/>
  <c r="AS79" i="1"/>
  <c r="AY75" i="1"/>
  <c r="AU75" i="1"/>
  <c r="AX73" i="1"/>
  <c r="AS71" i="1"/>
  <c r="AY67" i="1"/>
  <c r="AU67" i="1"/>
  <c r="AZ111" i="1"/>
  <c r="AW111" i="1"/>
  <c r="AS103" i="1"/>
  <c r="AZ124" i="1"/>
  <c r="AZ121" i="1"/>
  <c r="AU121" i="1"/>
  <c r="BA76" i="1"/>
  <c r="BC84" i="1"/>
  <c r="BC92" i="1"/>
  <c r="AZ96" i="1"/>
  <c r="AY80" i="1"/>
  <c r="AX99" i="1"/>
  <c r="AW96" i="1"/>
  <c r="AZ90" i="1"/>
  <c r="AX84" i="1"/>
  <c r="AT84" i="1"/>
  <c r="AT82" i="1"/>
  <c r="AT66" i="1"/>
  <c r="AS106" i="1"/>
  <c r="AT76" i="1"/>
  <c r="AW84" i="1"/>
  <c r="BD99" i="1"/>
  <c r="AZ92" i="1"/>
  <c r="AS98" i="1"/>
  <c r="AV92" i="1"/>
  <c r="BB103" i="1"/>
  <c r="BA111" i="1"/>
  <c r="AT103" i="1"/>
  <c r="AY121" i="1"/>
  <c r="AU76" i="1"/>
  <c r="BB76" i="1"/>
  <c r="BD84" i="1"/>
  <c r="BA96" i="1"/>
  <c r="AX96" i="1"/>
  <c r="AV95" i="1"/>
  <c r="AW82" i="1"/>
  <c r="AS82" i="1"/>
  <c r="BA103" i="1"/>
  <c r="BA84" i="1"/>
  <c r="BA99" i="1"/>
  <c r="BA92" i="1"/>
  <c r="AZ98" i="1"/>
  <c r="AY94" i="1"/>
  <c r="AU92" i="1"/>
  <c r="AY86" i="1"/>
  <c r="AT111" i="1"/>
  <c r="AY124" i="1"/>
  <c r="AY97" i="1"/>
  <c r="BA97" i="1"/>
  <c r="AV97" i="1"/>
  <c r="AZ97" i="1"/>
  <c r="BD97" i="1"/>
  <c r="AX97" i="1"/>
  <c r="BB119" i="1"/>
  <c r="BD119" i="1"/>
  <c r="AZ77" i="1"/>
  <c r="AV77" i="1"/>
  <c r="AU77" i="1"/>
  <c r="AY77" i="1"/>
  <c r="AT77" i="1"/>
  <c r="AX77" i="1"/>
  <c r="BA72" i="1"/>
  <c r="AT78" i="1"/>
  <c r="AW77" i="1"/>
  <c r="AS77" i="1"/>
  <c r="AU73" i="1"/>
  <c r="AX71" i="1"/>
  <c r="AT71" i="1"/>
  <c r="AW69" i="1"/>
  <c r="AS69" i="1"/>
  <c r="AZ67" i="1"/>
  <c r="AV67" i="1"/>
  <c r="BD112" i="1"/>
  <c r="BB112" i="1"/>
  <c r="AT112" i="1"/>
  <c r="BB124" i="1"/>
  <c r="BB120" i="1"/>
  <c r="AU93" i="1"/>
  <c r="AS72" i="1"/>
  <c r="AT86" i="1"/>
  <c r="AX66" i="1"/>
  <c r="AT72" i="1"/>
  <c r="AS73" i="1"/>
  <c r="AU78" i="1"/>
  <c r="AS80" i="1"/>
  <c r="BA80" i="1"/>
  <c r="AU86" i="1"/>
  <c r="BB95" i="1"/>
  <c r="AU95" i="1"/>
  <c r="AX94" i="1"/>
  <c r="AT97" i="1"/>
  <c r="AY93" i="1"/>
  <c r="BC106" i="1"/>
  <c r="BA124" i="1"/>
  <c r="BA120" i="1"/>
  <c r="AT124" i="1"/>
  <c r="AS104" i="1"/>
  <c r="AX120" i="1"/>
  <c r="AW120" i="1"/>
  <c r="BA66" i="1"/>
  <c r="AV72" i="1"/>
  <c r="AV73" i="1"/>
  <c r="AW78" i="1"/>
  <c r="AU80" i="1"/>
  <c r="AW86" i="1"/>
  <c r="BC100" i="1"/>
  <c r="BC97" i="1"/>
  <c r="AV99" i="1"/>
  <c r="AV98" i="1"/>
  <c r="AS97" i="1"/>
  <c r="AT95" i="1"/>
  <c r="AT94" i="1"/>
  <c r="BD114" i="1"/>
  <c r="BB114" i="1"/>
  <c r="AS109" i="1"/>
  <c r="AS119" i="1"/>
  <c r="AS66" i="1"/>
  <c r="AW72" i="1"/>
  <c r="AW73" i="1"/>
  <c r="BA77" i="1"/>
  <c r="AX78" i="1"/>
  <c r="BC78" i="1"/>
  <c r="AV80" i="1"/>
  <c r="AX86" i="1"/>
  <c r="BC86" i="1"/>
  <c r="AZ88" i="1"/>
  <c r="AV96" i="1"/>
  <c r="BC112" i="1"/>
  <c r="BA112" i="1"/>
  <c r="AZ104" i="1"/>
  <c r="AY112" i="1"/>
  <c r="AY104" i="1"/>
  <c r="AT119" i="1"/>
  <c r="BB66" i="1"/>
  <c r="AX72" i="1"/>
  <c r="BC72" i="1"/>
  <c r="BC73" i="1"/>
  <c r="AY78" i="1"/>
  <c r="AW80" i="1"/>
  <c r="BA100" i="1"/>
  <c r="AX100" i="1"/>
  <c r="AS94" i="1"/>
  <c r="AV91" i="1"/>
  <c r="AU99" i="1"/>
  <c r="AZ95" i="1"/>
  <c r="AS95" i="1"/>
  <c r="AX91" i="1"/>
  <c r="BD106" i="1"/>
  <c r="BB106" i="1"/>
  <c r="BA101" i="1"/>
  <c r="AX124" i="1"/>
  <c r="AU66" i="1"/>
  <c r="AY72" i="1"/>
  <c r="AY73" i="1"/>
  <c r="AZ78" i="1"/>
  <c r="BD78" i="1"/>
  <c r="AX80" i="1"/>
  <c r="BC80" i="1"/>
  <c r="AZ86" i="1"/>
  <c r="BD86" i="1"/>
  <c r="BC104" i="1"/>
  <c r="AZ114" i="1"/>
  <c r="AZ106" i="1"/>
  <c r="AY114" i="1"/>
  <c r="AY106" i="1"/>
  <c r="AX114" i="1"/>
  <c r="AW112" i="1"/>
  <c r="BD124" i="1"/>
  <c r="BD120" i="1"/>
  <c r="AX119" i="1"/>
  <c r="AW124" i="1"/>
  <c r="AW119" i="1"/>
  <c r="AV124" i="1"/>
  <c r="AV121" i="1"/>
  <c r="AW97" i="1"/>
  <c r="BD72" i="1"/>
  <c r="BA78" i="1"/>
  <c r="BA86" i="1"/>
  <c r="BA93" i="1"/>
  <c r="AV88" i="1"/>
  <c r="AW100" i="1"/>
  <c r="AT99" i="1"/>
  <c r="AU97" i="1"/>
  <c r="AU96" i="1"/>
  <c r="AS93" i="1"/>
  <c r="AS92" i="1"/>
  <c r="AV87" i="1"/>
  <c r="BC114" i="1"/>
  <c r="BA114" i="1"/>
  <c r="BA104" i="1"/>
  <c r="BC124" i="1"/>
  <c r="BC120" i="1"/>
  <c r="AU124" i="1"/>
  <c r="AX85" i="1"/>
  <c r="BB85" i="1"/>
  <c r="AV85" i="1"/>
  <c r="AW85" i="1"/>
  <c r="AY85" i="1"/>
  <c r="AU85" i="1"/>
  <c r="BD85" i="1"/>
  <c r="AT85" i="1"/>
  <c r="BC85" i="1"/>
  <c r="AS85" i="1"/>
  <c r="AZ85" i="1"/>
  <c r="AX69" i="1"/>
  <c r="BB69" i="1"/>
  <c r="AV69" i="1"/>
  <c r="AY69" i="1"/>
  <c r="AU69" i="1"/>
  <c r="BD69" i="1"/>
  <c r="AT69" i="1"/>
  <c r="BC69" i="1"/>
  <c r="AZ69" i="1"/>
  <c r="BC89" i="1"/>
  <c r="AV89" i="1"/>
  <c r="AZ89" i="1"/>
  <c r="AU89" i="1"/>
  <c r="AY89" i="1"/>
  <c r="BD89" i="1"/>
  <c r="AX89" i="1"/>
  <c r="BA89" i="1"/>
  <c r="AT89" i="1"/>
  <c r="BB89" i="1"/>
  <c r="AX81" i="1"/>
  <c r="BB81" i="1"/>
  <c r="AY81" i="1"/>
  <c r="AW81" i="1"/>
  <c r="AV81" i="1"/>
  <c r="BC81" i="1"/>
  <c r="BD81" i="1"/>
  <c r="AT81" i="1"/>
  <c r="AS81" i="1"/>
  <c r="AZ81" i="1"/>
  <c r="AV68" i="1"/>
  <c r="BB68" i="1"/>
  <c r="AV74" i="1"/>
  <c r="BB74" i="1"/>
  <c r="BD93" i="1"/>
  <c r="BC91" i="1"/>
  <c r="BB97" i="1"/>
  <c r="BA87" i="1"/>
  <c r="AZ87" i="1"/>
  <c r="AW68" i="1"/>
  <c r="AW74" i="1"/>
  <c r="AZ94" i="1"/>
  <c r="AY100" i="1"/>
  <c r="AW88" i="1"/>
  <c r="AV94" i="1"/>
  <c r="AU100" i="1"/>
  <c r="AS89" i="1"/>
  <c r="AX68" i="1"/>
  <c r="AX74" i="1"/>
  <c r="BD87" i="1"/>
  <c r="BC93" i="1"/>
  <c r="AZ93" i="1"/>
  <c r="AW87" i="1"/>
  <c r="AV93" i="1"/>
  <c r="AT93" i="1"/>
  <c r="AS91" i="1"/>
  <c r="AY68" i="1"/>
  <c r="AY74" i="1"/>
  <c r="BB88" i="1"/>
  <c r="BA94" i="1"/>
  <c r="AZ100" i="1"/>
  <c r="AX88" i="1"/>
  <c r="AW94" i="1"/>
  <c r="AV100" i="1"/>
  <c r="AT87" i="1"/>
  <c r="AS88" i="1"/>
  <c r="BC87" i="1"/>
  <c r="BB93" i="1"/>
  <c r="BA91" i="1"/>
  <c r="AZ91" i="1"/>
  <c r="AX87" i="1"/>
  <c r="AW93" i="1"/>
  <c r="AS100" i="1"/>
  <c r="AS99" i="1"/>
  <c r="AZ68" i="1"/>
  <c r="AS68" i="1"/>
  <c r="AS74" i="1"/>
  <c r="AY88" i="1"/>
  <c r="AS87" i="1"/>
  <c r="AZ74" i="1"/>
  <c r="AY87" i="1"/>
  <c r="AY102" i="1"/>
  <c r="BB110" i="1"/>
  <c r="BC110" i="1"/>
  <c r="BD110" i="1"/>
  <c r="BB102" i="1"/>
  <c r="BC102" i="1"/>
  <c r="BD102" i="1"/>
  <c r="AU102" i="1"/>
  <c r="AX110" i="1"/>
  <c r="AW108" i="1"/>
  <c r="AT110" i="1"/>
  <c r="AS111" i="1"/>
  <c r="AS108" i="1"/>
  <c r="AT121" i="1"/>
  <c r="AX102" i="1"/>
  <c r="AT102" i="1"/>
  <c r="AZ108" i="1"/>
  <c r="AW110" i="1"/>
  <c r="AV108" i="1"/>
  <c r="AS110" i="1"/>
  <c r="AW121" i="1"/>
  <c r="AS121" i="1"/>
  <c r="BA118" i="1"/>
  <c r="BB118" i="1"/>
  <c r="BC118" i="1"/>
  <c r="BD118" i="1"/>
  <c r="AY116" i="1"/>
  <c r="AW102" i="1"/>
  <c r="AV103" i="1"/>
  <c r="AU116" i="1"/>
  <c r="AT104" i="1"/>
  <c r="AS102" i="1"/>
  <c r="BA123" i="1"/>
  <c r="BB123" i="1"/>
  <c r="BC123" i="1"/>
  <c r="BD123" i="1"/>
  <c r="AZ110" i="1"/>
  <c r="AY108" i="1"/>
  <c r="AV110" i="1"/>
  <c r="AU111" i="1"/>
  <c r="AU108" i="1"/>
  <c r="AS112" i="1"/>
  <c r="BA102" i="1"/>
  <c r="AZ102" i="1"/>
  <c r="AX116" i="1"/>
  <c r="AV102" i="1"/>
  <c r="AT116" i="1"/>
  <c r="BA108" i="1"/>
  <c r="AY110" i="1"/>
  <c r="AX108" i="1"/>
  <c r="AU110" i="1"/>
  <c r="AT108" i="1"/>
  <c r="C24" i="1"/>
  <c r="L82" i="1"/>
  <c r="Q85" i="1"/>
  <c r="K103" i="1"/>
  <c r="T120" i="1"/>
  <c r="J119" i="1"/>
  <c r="O68" i="1"/>
  <c r="J90" i="1"/>
  <c r="M115" i="1"/>
  <c r="L124" i="1"/>
  <c r="J102" i="1"/>
  <c r="T101" i="1"/>
  <c r="K109" i="1"/>
  <c r="L92" i="1"/>
  <c r="K82" i="1"/>
  <c r="I69" i="1"/>
  <c r="R69" i="1"/>
  <c r="I85" i="1"/>
  <c r="T95" i="1"/>
  <c r="T115" i="1"/>
  <c r="O93" i="1"/>
  <c r="J81" i="1"/>
  <c r="I70" i="1"/>
  <c r="I68" i="1"/>
  <c r="K85" i="1"/>
  <c r="T77" i="1"/>
  <c r="O89" i="1"/>
  <c r="O83" i="1"/>
  <c r="I82" i="1"/>
  <c r="T84" i="1"/>
  <c r="O73" i="1"/>
  <c r="R66" i="1"/>
  <c r="O74" i="1"/>
  <c r="J73" i="1"/>
  <c r="T111" i="1"/>
  <c r="L121" i="1"/>
  <c r="P108" i="1"/>
  <c r="K79" i="1"/>
  <c r="O92" i="1"/>
  <c r="S121" i="1"/>
  <c r="Q96" i="1"/>
  <c r="S85" i="1"/>
  <c r="L69" i="1"/>
  <c r="P91" i="1"/>
  <c r="S78" i="1"/>
  <c r="T116" i="1"/>
  <c r="Q77" i="1"/>
  <c r="R114" i="1"/>
  <c r="P75" i="1"/>
  <c r="K89" i="1"/>
  <c r="O109" i="1"/>
  <c r="L85" i="1"/>
  <c r="R70" i="1"/>
  <c r="I67" i="1"/>
  <c r="J67" i="1"/>
  <c r="M120" i="1"/>
  <c r="T91" i="1"/>
  <c r="M89" i="1"/>
  <c r="I79" i="1"/>
  <c r="P78" i="1"/>
  <c r="M94" i="1"/>
  <c r="R88" i="1"/>
  <c r="S70" i="1"/>
  <c r="L111" i="1"/>
  <c r="I121" i="1"/>
  <c r="M110" i="1"/>
  <c r="I96" i="1"/>
  <c r="T99" i="1"/>
  <c r="R95" i="1"/>
  <c r="I84" i="1"/>
  <c r="R85" i="1"/>
  <c r="T85" i="1"/>
  <c r="I103" i="1"/>
  <c r="K110" i="1"/>
  <c r="N103" i="1"/>
  <c r="S102" i="1"/>
  <c r="T119" i="1"/>
  <c r="T70" i="1"/>
  <c r="L110" i="1"/>
  <c r="J108" i="1"/>
  <c r="S84" i="1"/>
  <c r="S123" i="1"/>
  <c r="K80" i="1"/>
  <c r="N107" i="1"/>
  <c r="O121" i="1"/>
  <c r="I98" i="1"/>
  <c r="Q111" i="1"/>
  <c r="Q100" i="1"/>
  <c r="I91" i="1"/>
  <c r="Q94" i="1"/>
  <c r="P101" i="1"/>
  <c r="R76" i="1"/>
  <c r="N102" i="1"/>
  <c r="L108" i="1"/>
  <c r="L84" i="1"/>
  <c r="N111" i="1"/>
  <c r="I104" i="1"/>
  <c r="J124" i="1"/>
  <c r="L103" i="1"/>
  <c r="I86" i="1"/>
  <c r="L89" i="1"/>
  <c r="J116" i="1"/>
  <c r="S80" i="1"/>
  <c r="R103" i="1"/>
  <c r="I112" i="1"/>
  <c r="K96" i="1"/>
  <c r="K69" i="1"/>
  <c r="I102" i="1"/>
  <c r="J95" i="1"/>
  <c r="K115" i="1"/>
  <c r="N120" i="1"/>
  <c r="I124" i="1"/>
  <c r="S99" i="1"/>
  <c r="K66" i="1"/>
  <c r="S86" i="1"/>
  <c r="N74" i="1"/>
  <c r="M87" i="1"/>
  <c r="J107" i="1"/>
  <c r="T103" i="1"/>
  <c r="K102" i="1"/>
  <c r="I111" i="1"/>
  <c r="L109" i="1"/>
  <c r="J82" i="1"/>
  <c r="J72" i="1"/>
  <c r="M86" i="1"/>
  <c r="M121" i="1"/>
  <c r="K120" i="1"/>
  <c r="P116" i="1"/>
  <c r="T97" i="1"/>
  <c r="P71" i="1"/>
  <c r="Q69" i="1"/>
  <c r="I71" i="1"/>
  <c r="T112" i="1"/>
  <c r="T89" i="1"/>
  <c r="Q98" i="1"/>
  <c r="Q104" i="1"/>
  <c r="S95" i="1"/>
  <c r="J84" i="1"/>
  <c r="I106" i="1"/>
  <c r="S104" i="1"/>
  <c r="P88" i="1"/>
  <c r="T87" i="1"/>
  <c r="O87" i="1"/>
  <c r="N95" i="1"/>
  <c r="P98" i="1"/>
  <c r="N110" i="1"/>
  <c r="O116" i="1"/>
  <c r="N70" i="1"/>
  <c r="K81" i="1"/>
  <c r="I73" i="1"/>
  <c r="N94" i="1"/>
  <c r="O88" i="1"/>
  <c r="O70" i="1"/>
  <c r="R94" i="1"/>
  <c r="N84" i="1"/>
  <c r="S97" i="1"/>
  <c r="S101" i="1"/>
  <c r="N81" i="1"/>
  <c r="P68" i="1"/>
  <c r="M83" i="1"/>
  <c r="P110" i="1"/>
  <c r="T114" i="1"/>
  <c r="P103" i="1"/>
  <c r="K99" i="1"/>
  <c r="I95" i="1"/>
  <c r="J93" i="1"/>
  <c r="S93" i="1"/>
  <c r="R116" i="1"/>
  <c r="P92" i="1"/>
  <c r="K92" i="1"/>
  <c r="M108" i="1"/>
  <c r="J109" i="1"/>
  <c r="Q121" i="1"/>
  <c r="J86" i="1"/>
  <c r="J71" i="1"/>
  <c r="R124" i="1"/>
  <c r="I108" i="1"/>
  <c r="R101" i="1"/>
  <c r="L71" i="1"/>
  <c r="N99" i="1"/>
  <c r="P111" i="1"/>
  <c r="J78" i="1"/>
  <c r="M109" i="1"/>
  <c r="Q115" i="1"/>
  <c r="J66" i="1"/>
  <c r="O85" i="1"/>
  <c r="P97" i="1"/>
  <c r="O80" i="1"/>
  <c r="O72" i="1"/>
  <c r="N91" i="1"/>
  <c r="N68" i="1"/>
  <c r="P93" i="1"/>
  <c r="K71" i="1"/>
  <c r="O76" i="1"/>
  <c r="Q97" i="1"/>
  <c r="J110" i="1"/>
  <c r="L79" i="1"/>
  <c r="P90" i="1"/>
  <c r="K95" i="1"/>
  <c r="N97" i="1"/>
  <c r="N77" i="1"/>
  <c r="L93" i="1"/>
  <c r="P109" i="1"/>
  <c r="P84" i="1"/>
  <c r="N78" i="1"/>
  <c r="S81" i="1"/>
  <c r="K108" i="1"/>
  <c r="P74" i="1"/>
  <c r="I109" i="1"/>
  <c r="K93" i="1"/>
  <c r="J91" i="1"/>
  <c r="J98" i="1"/>
  <c r="S103" i="1"/>
  <c r="Q66" i="1"/>
  <c r="S72" i="1"/>
  <c r="O78" i="1"/>
  <c r="O104" i="1"/>
  <c r="M74" i="1"/>
  <c r="L94" i="1"/>
  <c r="O84" i="1"/>
  <c r="N96" i="1"/>
  <c r="L96" i="1"/>
  <c r="T110" i="1"/>
  <c r="J120" i="1"/>
  <c r="M99" i="1"/>
  <c r="R112" i="1"/>
  <c r="R119" i="1"/>
  <c r="Q72" i="1"/>
  <c r="J85" i="1"/>
  <c r="I107" i="1"/>
  <c r="P70" i="1"/>
  <c r="Q70" i="1"/>
  <c r="T83" i="1"/>
  <c r="L99" i="1"/>
  <c r="T71" i="1"/>
  <c r="I80" i="1"/>
  <c r="K77" i="1"/>
  <c r="N73" i="1"/>
  <c r="M85" i="1"/>
  <c r="Q92" i="1"/>
  <c r="Q112" i="1"/>
  <c r="N115" i="1"/>
  <c r="P95" i="1"/>
  <c r="M80" i="1"/>
  <c r="I66" i="1"/>
  <c r="P94" i="1"/>
  <c r="J87" i="1"/>
  <c r="R91" i="1"/>
  <c r="J103" i="1"/>
  <c r="I72" i="1"/>
  <c r="T118" i="1"/>
  <c r="S107" i="1"/>
  <c r="S92" i="1"/>
  <c r="J112" i="1"/>
  <c r="N124" i="1"/>
  <c r="N85" i="1"/>
  <c r="O115" i="1"/>
  <c r="O119" i="1"/>
  <c r="P107" i="1"/>
  <c r="T94" i="1"/>
  <c r="N72" i="1"/>
  <c r="S119" i="1"/>
  <c r="M77" i="1"/>
  <c r="O124" i="1"/>
  <c r="T123" i="1"/>
  <c r="P69" i="1"/>
  <c r="S106" i="1"/>
  <c r="J111" i="1"/>
  <c r="S94" i="1"/>
  <c r="P86" i="1"/>
  <c r="M103" i="1"/>
  <c r="P104" i="1"/>
  <c r="N86" i="1"/>
  <c r="M72" i="1"/>
  <c r="O100" i="1"/>
  <c r="I75" i="1"/>
  <c r="K107" i="1"/>
  <c r="S120" i="1"/>
  <c r="P67" i="1"/>
  <c r="R79" i="1"/>
  <c r="L119" i="1"/>
  <c r="M82" i="1"/>
  <c r="J77" i="1"/>
  <c r="R102" i="1"/>
  <c r="N116" i="1"/>
  <c r="P121" i="1"/>
  <c r="L115" i="1"/>
  <c r="M107" i="1"/>
  <c r="N80" i="1"/>
  <c r="K111" i="1"/>
  <c r="T73" i="1"/>
  <c r="L70" i="1"/>
  <c r="Q102" i="1"/>
  <c r="I99" i="1"/>
  <c r="S69" i="1"/>
  <c r="Q123" i="1"/>
  <c r="R108" i="1"/>
  <c r="O108" i="1"/>
  <c r="T107" i="1"/>
  <c r="O112" i="1"/>
  <c r="L98" i="1"/>
  <c r="I89" i="1"/>
  <c r="M88" i="1"/>
  <c r="L78" i="1"/>
  <c r="K87" i="1"/>
  <c r="Q120" i="1"/>
  <c r="L88" i="1"/>
  <c r="L120" i="1"/>
  <c r="I76" i="1"/>
  <c r="L67" i="1"/>
  <c r="M97" i="1"/>
  <c r="Q87" i="1"/>
  <c r="P81" i="1"/>
  <c r="K75" i="1"/>
  <c r="M84" i="1"/>
  <c r="M96" i="1"/>
  <c r="Q107" i="1"/>
  <c r="P102" i="1"/>
  <c r="S115" i="1"/>
  <c r="N88" i="1"/>
  <c r="I100" i="1"/>
  <c r="N101" i="1"/>
  <c r="O77" i="1"/>
  <c r="S89" i="1"/>
  <c r="R123" i="1"/>
  <c r="O95" i="1"/>
  <c r="Q80" i="1"/>
  <c r="I119" i="1"/>
  <c r="I97" i="1"/>
  <c r="M68" i="1"/>
  <c r="R97" i="1"/>
  <c r="Q79" i="1"/>
  <c r="Q73" i="1"/>
  <c r="I92" i="1"/>
  <c r="O106" i="1"/>
  <c r="R109" i="1"/>
  <c r="K68" i="1"/>
  <c r="N66" i="1"/>
  <c r="L91" i="1"/>
  <c r="Q108" i="1"/>
  <c r="R81" i="1"/>
  <c r="J88" i="1"/>
  <c r="L75" i="1"/>
  <c r="R84" i="1"/>
  <c r="T79" i="1"/>
  <c r="M116" i="1"/>
  <c r="P124" i="1"/>
  <c r="P82" i="1"/>
  <c r="L102" i="1"/>
  <c r="T69" i="1"/>
  <c r="S75" i="1"/>
  <c r="M102" i="1"/>
  <c r="L83" i="1"/>
  <c r="L72" i="1"/>
  <c r="P87" i="1"/>
  <c r="L74" i="1"/>
  <c r="T102" i="1"/>
  <c r="P73" i="1"/>
  <c r="K70" i="1"/>
  <c r="L87" i="1"/>
  <c r="N114" i="1"/>
  <c r="R77" i="1"/>
  <c r="J79" i="1"/>
  <c r="K73" i="1"/>
  <c r="M78" i="1"/>
  <c r="O110" i="1"/>
  <c r="S112" i="1"/>
  <c r="M92" i="1"/>
  <c r="T76" i="1"/>
  <c r="K67" i="1"/>
  <c r="S91" i="1"/>
  <c r="T81" i="1"/>
  <c r="R120" i="1"/>
  <c r="Q76" i="1"/>
  <c r="P85" i="1"/>
  <c r="Q86" i="1"/>
  <c r="O69" i="1"/>
  <c r="N79" i="1"/>
  <c r="L73" i="1"/>
  <c r="R68" i="1"/>
  <c r="R74" i="1"/>
  <c r="R87" i="1"/>
  <c r="P119" i="1"/>
  <c r="N121" i="1"/>
  <c r="M119" i="1"/>
  <c r="R86" i="1"/>
  <c r="O107" i="1"/>
  <c r="K121" i="1"/>
  <c r="N71" i="1"/>
  <c r="K100" i="1"/>
  <c r="N108" i="1"/>
  <c r="O71" i="1"/>
  <c r="J94" i="1"/>
  <c r="S73" i="1"/>
  <c r="T121" i="1"/>
  <c r="L81" i="1"/>
  <c r="L80" i="1"/>
  <c r="O102" i="1"/>
  <c r="T109" i="1"/>
  <c r="L107" i="1"/>
  <c r="R71" i="1"/>
  <c r="O120" i="1"/>
  <c r="I90" i="1"/>
  <c r="L68" i="1"/>
  <c r="M81" i="1"/>
  <c r="N89" i="1"/>
  <c r="Q89" i="1"/>
  <c r="J89" i="1"/>
  <c r="P115" i="1"/>
  <c r="R89" i="1"/>
  <c r="T93" i="1"/>
  <c r="I83" i="1"/>
  <c r="M79" i="1"/>
  <c r="P89" i="1"/>
  <c r="S87" i="1"/>
  <c r="R99" i="1"/>
  <c r="I81" i="1"/>
  <c r="S110" i="1"/>
  <c r="K88" i="1"/>
  <c r="N76" i="1"/>
  <c r="R121" i="1"/>
  <c r="Q93" i="1"/>
  <c r="S124" i="1"/>
  <c r="R93" i="1"/>
  <c r="N67" i="1"/>
  <c r="P83" i="1"/>
  <c r="O67" i="1"/>
  <c r="T72" i="1"/>
  <c r="O114" i="1"/>
  <c r="Q91" i="1"/>
  <c r="Q84" i="1"/>
  <c r="I77" i="1"/>
  <c r="P76" i="1"/>
  <c r="R110" i="1"/>
  <c r="P79" i="1"/>
  <c r="L101" i="1"/>
  <c r="J76" i="1"/>
  <c r="I93" i="1"/>
  <c r="R106" i="1"/>
  <c r="J121" i="1"/>
  <c r="K84" i="1"/>
  <c r="L97" i="1"/>
  <c r="Q114" i="1"/>
  <c r="K83" i="1"/>
  <c r="Q95" i="1"/>
  <c r="K101" i="1"/>
  <c r="P96" i="1"/>
  <c r="N119" i="1"/>
  <c r="Q101" i="1"/>
  <c r="I74" i="1"/>
  <c r="O111" i="1"/>
  <c r="I115" i="1"/>
  <c r="S108" i="1"/>
  <c r="J92" i="1"/>
  <c r="O94" i="1"/>
  <c r="M124" i="1"/>
  <c r="I87" i="1"/>
  <c r="O79" i="1"/>
  <c r="O97" i="1"/>
  <c r="L116" i="1"/>
  <c r="S109" i="1"/>
  <c r="R115" i="1"/>
  <c r="J96" i="1"/>
  <c r="T124" i="1"/>
  <c r="T78" i="1"/>
  <c r="M93" i="1"/>
  <c r="J75" i="1"/>
  <c r="L77" i="1"/>
  <c r="K86" i="1"/>
  <c r="J104" i="1"/>
  <c r="S77" i="1"/>
  <c r="S79" i="1"/>
  <c r="M75" i="1"/>
  <c r="N109" i="1"/>
  <c r="Q99" i="1"/>
  <c r="Q78" i="1"/>
  <c r="N100" i="1"/>
  <c r="I88" i="1"/>
  <c r="Q71" i="1"/>
  <c r="K97" i="1"/>
  <c r="M100" i="1"/>
  <c r="R118" i="1"/>
  <c r="S116" i="1"/>
  <c r="R73" i="1"/>
  <c r="J101" i="1"/>
  <c r="N75" i="1"/>
  <c r="R83" i="1"/>
  <c r="K72" i="1"/>
  <c r="M111" i="1"/>
  <c r="P114" i="1"/>
  <c r="I94" i="1"/>
  <c r="K98" i="1"/>
  <c r="P66" i="1"/>
  <c r="M112" i="1"/>
  <c r="J99" i="1"/>
  <c r="S118" i="1"/>
  <c r="K119" i="1"/>
  <c r="I120" i="1"/>
  <c r="M101" i="1"/>
  <c r="J70" i="1"/>
  <c r="L95" i="1"/>
  <c r="P106" i="1"/>
  <c r="N87" i="1"/>
  <c r="Q116" i="1"/>
  <c r="O101" i="1"/>
  <c r="M73" i="1"/>
  <c r="K116" i="1"/>
  <c r="I110" i="1"/>
  <c r="R107" i="1"/>
  <c r="K76" i="1"/>
  <c r="L66" i="1"/>
  <c r="K78" i="1"/>
  <c r="J69" i="1"/>
  <c r="Q119" i="1"/>
  <c r="O99" i="1"/>
  <c r="O86" i="1"/>
  <c r="T86" i="1"/>
  <c r="T106" i="1"/>
  <c r="L100" i="1"/>
  <c r="L76" i="1"/>
  <c r="I101" i="1"/>
  <c r="S114" i="1"/>
  <c r="Q118" i="1"/>
  <c r="J83" i="1"/>
  <c r="Q68" i="1"/>
  <c r="P99" i="1"/>
  <c r="Q103" i="1"/>
  <c r="M69" i="1"/>
  <c r="N69" i="1"/>
  <c r="S100" i="1"/>
  <c r="O75" i="1"/>
  <c r="P100" i="1"/>
  <c r="J97" i="1"/>
  <c r="O103" i="1"/>
  <c r="Q124" i="1"/>
  <c r="O81" i="1"/>
  <c r="K124" i="1"/>
  <c r="P77" i="1"/>
  <c r="T108" i="1"/>
  <c r="J1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<sst xmlns="http://schemas.openxmlformats.org/spreadsheetml/2006/main" count="185" uniqueCount="122">
  <si>
    <t>First issue</t>
  </si>
  <si>
    <t>R&amp;D - L. Francesconi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</si>
  <si>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</si>
  <si>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</si>
  <si>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</si>
  <si>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</si>
  <si>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</si>
  <si>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</si>
  <si>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</si>
  <si>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</si>
  <si>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Input parameters</t>
  </si>
  <si>
    <t>dry</t>
  </si>
  <si>
    <t>n [rpm]</t>
  </si>
  <si>
    <t>(rotating speed)</t>
  </si>
  <si>
    <t>as new</t>
  </si>
  <si>
    <r>
      <t>n</t>
    </r>
    <r>
      <rPr>
        <b/>
        <vertAlign val="subscript"/>
        <sz val="11"/>
        <color theme="0"/>
        <rFont val="Calibri"/>
        <family val="2"/>
      </rPr>
      <t>min</t>
    </r>
    <r>
      <rPr>
        <b/>
        <sz val="11"/>
        <color theme="0"/>
        <rFont val="Calibri"/>
        <family val="2"/>
      </rPr>
      <t xml:space="preserve"> [rpm]</t>
    </r>
  </si>
  <si>
    <t>(minimum speed, 25% rotating speed)</t>
  </si>
  <si>
    <t>twice as new</t>
  </si>
  <si>
    <r>
      <t>n</t>
    </r>
    <r>
      <rPr>
        <b/>
        <vertAlign val="subscript"/>
        <sz val="11"/>
        <color theme="0"/>
        <rFont val="Calibri"/>
        <family val="2"/>
      </rPr>
      <t>max</t>
    </r>
    <r>
      <rPr>
        <b/>
        <sz val="11"/>
        <color theme="0"/>
        <rFont val="Calibri"/>
        <family val="2"/>
      </rPr>
      <t xml:space="preserve"> [rpm]</t>
    </r>
  </si>
  <si>
    <t>(maximum speed, 125% rotating speed)</t>
  </si>
  <si>
    <t>Input File</t>
  </si>
  <si>
    <t>Dry</t>
  </si>
  <si>
    <t>PAR_24I003_Pembina_rev024.txt</t>
  </si>
  <si>
    <t>As new</t>
  </si>
  <si>
    <t>PAR_24I003_Pembina_rev025.txt</t>
  </si>
  <si>
    <t>Twice as new</t>
  </si>
  <si>
    <t>PAR_24I003_Pembina_rev026.txt</t>
  </si>
  <si>
    <t>Operating condition</t>
  </si>
  <si>
    <t>Acceptance criteria</t>
  </si>
  <si>
    <t>(mode number)</t>
  </si>
  <si>
    <t>(rotating speed in rpm)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</si>
  <si>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ni</t>
    </r>
    <r>
      <rPr>
        <b/>
        <sz val="10"/>
        <color theme="0"/>
        <rFont val="Calibri"/>
        <family val="2"/>
        <scheme val="minor"/>
      </rPr>
      <t>/f</t>
    </r>
    <r>
      <rPr>
        <b/>
        <vertAlign val="subscript"/>
        <sz val="10"/>
        <color theme="0"/>
        <rFont val="Calibri"/>
        <family val="2"/>
        <scheme val="minor"/>
      </rPr>
      <t>run</t>
    </r>
  </si>
  <si>
    <t>(frequency ratio)</t>
  </si>
  <si>
    <r>
      <rPr>
        <b/>
        <sz val="10"/>
        <color theme="0"/>
        <rFont val="Calibri"/>
        <family val="2"/>
      </rPr>
      <t>ξ</t>
    </r>
    <r>
      <rPr>
        <b/>
        <vertAlign val="subscript"/>
        <sz val="10"/>
        <color theme="0"/>
        <rFont val="Calibri"/>
        <family val="2"/>
        <scheme val="minor"/>
      </rPr>
      <t>I</t>
    </r>
    <r>
      <rPr>
        <b/>
        <sz val="10"/>
        <color theme="0"/>
        <rFont val="Calibri"/>
        <family val="2"/>
        <scheme val="minor"/>
      </rPr>
      <t xml:space="preserve"> [-]</t>
    </r>
  </si>
  <si>
    <t>(damping factor)</t>
  </si>
  <si>
    <t>check</t>
  </si>
  <si>
    <t>(API 610 Annex I verification on cursor position)</t>
  </si>
  <si>
    <t>mode I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</si>
  <si>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>ni</t>
    </r>
    <r>
      <rPr>
        <b/>
        <sz val="11"/>
        <color theme="1"/>
        <rFont val="Calibri"/>
        <family val="2"/>
        <scheme val="minor"/>
      </rPr>
      <t>/f</t>
    </r>
    <r>
      <rPr>
        <b/>
        <vertAlign val="subscript"/>
        <sz val="11"/>
        <color theme="1"/>
        <rFont val="Calibri"/>
        <family val="2"/>
        <scheme val="minor"/>
      </rPr>
      <t>run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</si>
  <si>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I</t>
    </r>
    <r>
      <rPr>
        <b/>
        <sz val="11"/>
        <rFont val="Calibri"/>
        <family val="2"/>
        <scheme val="minor"/>
      </rPr>
      <t xml:space="preserve"> [-]</t>
    </r>
  </si>
  <si>
    <t>mode II</t>
  </si>
  <si>
    <t>mode III</t>
  </si>
  <si>
    <t>mode IV</t>
  </si>
  <si>
    <t>mode V</t>
  </si>
  <si>
    <t>mode VI</t>
  </si>
  <si>
    <t>mode VII</t>
  </si>
  <si>
    <t>mode VIII</t>
  </si>
  <si>
    <t>mode IX</t>
  </si>
  <si>
    <t>Legenda</t>
  </si>
  <si>
    <t>mode X</t>
  </si>
  <si>
    <t>input data</t>
  </si>
  <si>
    <t>mode XI</t>
  </si>
  <si>
    <t>descriptor</t>
  </si>
  <si>
    <t>mode XII</t>
  </si>
  <si>
    <t>calculated</t>
  </si>
  <si>
    <t>annotation</t>
  </si>
  <si>
    <r>
      <t>f</t>
    </r>
    <r>
      <rPr>
        <b/>
        <vertAlign val="subscript"/>
        <sz val="10"/>
        <rFont val="Calibri"/>
        <family val="2"/>
        <scheme val="minor"/>
      </rPr>
      <t>run</t>
    </r>
    <r>
      <rPr>
        <b/>
        <sz val="10"/>
        <rFont val="Calibri"/>
        <family val="2"/>
        <scheme val="minor"/>
      </rPr>
      <t xml:space="preserve"> [rpm]</t>
    </r>
  </si>
  <si>
    <r>
      <t>f</t>
    </r>
    <r>
      <rPr>
        <b/>
        <vertAlign val="subscript"/>
        <sz val="10"/>
        <rFont val="Calibri"/>
        <family val="2"/>
        <scheme val="minor"/>
      </rPr>
      <t>ni</t>
    </r>
    <r>
      <rPr>
        <b/>
        <sz val="10"/>
        <rFont val="Calibri"/>
        <family val="2"/>
        <scheme val="minor"/>
      </rPr>
      <t xml:space="preserve"> [rpm]</t>
    </r>
  </si>
  <si>
    <t>API 610 check</t>
  </si>
  <si>
    <r>
      <t>f</t>
    </r>
    <r>
      <rPr>
        <vertAlign val="subscript"/>
        <sz val="11"/>
        <color theme="1"/>
        <rFont val="Calibri"/>
        <family val="2"/>
        <scheme val="minor"/>
      </rPr>
      <t>run</t>
    </r>
    <r>
      <rPr>
        <sz val="11"/>
        <color theme="1"/>
        <rFont val="Calibri"/>
        <family val="2"/>
        <scheme val="minor"/>
      </rPr>
      <t xml:space="preserve"> [rpm]</t>
    </r>
  </si>
  <si>
    <r>
      <rPr>
        <sz val="11"/>
        <color theme="1"/>
        <rFont val="Calibri"/>
        <family val="2"/>
      </rPr>
      <t>ξ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</si>
  <si>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[rpm]</t>
    </r>
  </si>
  <si>
    <r>
      <rPr>
        <sz val="11"/>
        <color theme="1"/>
        <rFont val="Calibri"/>
        <family val="2"/>
      </rPr>
      <t>ξ</t>
    </r>
    <r>
      <rPr>
        <vertAlign val="subscript"/>
        <sz val="11"/>
        <color theme="1"/>
        <rFont val="Calibri"/>
        <family val="2"/>
        <scheme val="minor"/>
      </rPr>
      <t>II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</si>
  <si>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II</t>
    </r>
    <r>
      <rPr>
        <sz val="11"/>
        <color theme="1"/>
        <rFont val="Calibri"/>
        <family val="2"/>
        <scheme val="minor"/>
      </rPr>
      <t xml:space="preserve"> [rpm]</t>
    </r>
  </si>
  <si>
    <r>
      <rPr>
        <sz val="11"/>
        <color theme="1"/>
        <rFont val="Calibri"/>
        <family val="2"/>
      </rPr>
      <t>ξ</t>
    </r>
    <r>
      <rPr>
        <vertAlign val="subscript"/>
        <sz val="11"/>
        <color theme="1"/>
        <rFont val="Calibri"/>
        <family val="2"/>
        <scheme val="minor"/>
      </rPr>
      <t>III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</si>
  <si>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III</t>
    </r>
    <r>
      <rPr>
        <sz val="11"/>
        <color theme="1"/>
        <rFont val="Calibri"/>
        <family val="2"/>
        <scheme val="minor"/>
      </rPr>
      <t xml:space="preserve"> [rpm]</t>
    </r>
  </si>
  <si>
    <r>
      <rPr>
        <sz val="11"/>
        <color theme="1"/>
        <rFont val="Calibri"/>
        <family val="2"/>
      </rPr>
      <t>ξ</t>
    </r>
    <r>
      <rPr>
        <vertAlign val="subscript"/>
        <sz val="11"/>
        <color theme="1"/>
        <rFont val="Calibri"/>
        <family val="2"/>
        <scheme val="minor"/>
      </rPr>
      <t>IV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</si>
  <si>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IV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</si>
  <si>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</si>
  <si>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</si>
  <si>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VI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</si>
  <si>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VI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</si>
  <si>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VII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</si>
  <si>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VII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</si>
  <si>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VIII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</si>
  <si>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VIII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</si>
  <si>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IX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</si>
  <si>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IX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</si>
  <si>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</si>
  <si>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</si>
  <si>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</si>
  <si>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 xml:space="preserve"> [rpm]</t>
    </r>
  </si>
  <si>
    <r>
      <t>ξ</t>
    </r>
    <r>
      <rPr>
        <vertAlign val="subscript"/>
        <sz val="11"/>
        <color theme="1"/>
        <rFont val="Calibri"/>
        <family val="2"/>
        <scheme val="minor"/>
      </rPr>
      <t>XII</t>
    </r>
    <r>
      <rPr>
        <sz val="11"/>
        <color theme="1"/>
        <rFont val="Calibri"/>
        <family val="2"/>
        <scheme val="minor"/>
      </rPr>
      <t xml:space="preserve"> [-]</t>
    </r>
  </si>
  <si>
    <r>
      <t>f</t>
    </r>
    <r>
      <rPr>
        <vertAlign val="subscript"/>
        <sz val="11"/>
        <color theme="1"/>
        <rFont val="Calibri"/>
        <family val="2"/>
        <scheme val="minor"/>
      </rPr>
      <t>XII</t>
    </r>
    <r>
      <rPr>
        <sz val="11"/>
        <color theme="1"/>
        <rFont val="Calibri"/>
        <family val="2"/>
        <scheme val="minor"/>
      </rPr>
      <t xml:space="preserve"> [rpm]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</si>
  <si>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/f</t>
    </r>
    <r>
      <rPr>
        <b/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</si>
  <si>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II</t>
    </r>
    <r>
      <rPr>
        <b/>
        <sz val="11"/>
        <color theme="1"/>
        <rFont val="Calibri"/>
        <family val="2"/>
        <scheme val="minor"/>
      </rPr>
      <t>/f</t>
    </r>
    <r>
      <rPr>
        <b/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</si>
  <si>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III</t>
    </r>
    <r>
      <rPr>
        <b/>
        <sz val="11"/>
        <color theme="1"/>
        <rFont val="Calibri"/>
        <family val="2"/>
        <scheme val="minor"/>
      </rPr>
      <t>/f</t>
    </r>
    <r>
      <rPr>
        <b/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</si>
  <si>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IV</t>
    </r>
    <r>
      <rPr>
        <b/>
        <sz val="11"/>
        <color theme="1"/>
        <rFont val="Calibri"/>
        <family val="2"/>
        <scheme val="minor"/>
      </rPr>
      <t>/f</t>
    </r>
    <r>
      <rPr>
        <b/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</si>
  <si>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</si>
  <si>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VI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</si>
  <si>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VII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</si>
  <si>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VIII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</si>
  <si>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IX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</si>
  <si>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</si>
  <si>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</si>
  <si>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vertAlign val="subscript"/>
        <sz val="11"/>
        <color theme="1"/>
        <rFont val="Calibri"/>
        <family val="2"/>
        <scheme val="minor"/>
      </rPr>
      <t>XII</t>
    </r>
    <r>
      <rPr>
        <sz val="11"/>
        <color theme="1"/>
        <rFont val="Calibri"/>
        <family val="2"/>
        <scheme val="minor"/>
      </rPr>
      <t>/f</t>
    </r>
    <r>
      <rPr>
        <vertAlign val="subscript"/>
        <sz val="11"/>
        <color theme="1"/>
        <rFont val="Calibri"/>
        <family val="2"/>
        <scheme val="minor"/>
      </rPr>
      <t>run</t>
    </r>
  </si>
  <si>
    <r>
      <t>f</t>
    </r>
    <r>
      <rPr>
        <b/>
        <vertAlign val="subscript"/>
        <sz val="11"/>
        <rFont val="Calibri"/>
        <family val="2"/>
        <scheme val="minor"/>
      </rPr>
      <t>run</t>
    </r>
    <r>
      <rPr>
        <b/>
        <sz val="11"/>
        <rFont val="Calibri"/>
        <family val="2"/>
        <scheme val="minor"/>
      </rPr>
      <t xml:space="preserve"> [rpm]</t>
    </r>
  </si>
  <si>
    <r>
      <t>f</t>
    </r>
    <r>
      <rPr>
        <b/>
        <vertAlign val="subscript"/>
        <sz val="11"/>
        <rFont val="Calibri"/>
        <family val="2"/>
        <scheme val="minor"/>
      </rPr>
      <t>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</si>
  <si>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II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</si>
  <si>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II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</si>
  <si>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III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</si>
  <si>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III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</si>
  <si>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IV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</si>
  <si>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IV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</si>
  <si>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V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</si>
  <si>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V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</si>
  <si>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VI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</si>
  <si>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VI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</si>
  <si>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VII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</si>
  <si>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VII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</si>
  <si>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VIII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</si>
  <si>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VIII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</si>
  <si>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IX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</si>
  <si>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IX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</si>
  <si>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X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</si>
  <si>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X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</si>
  <si>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XI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</si>
  <si>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XI</t>
    </r>
    <r>
      <rPr>
        <b/>
        <sz val="11"/>
        <rFont val="Calibri"/>
        <family val="2"/>
        <scheme val="minor"/>
      </rPr>
      <t xml:space="preserve"> [rpm]</t>
    </r>
  </si>
  <si>
    <r>
      <rPr>
        <b/>
        <sz val="11"/>
        <rFont val="Calibri"/>
        <family val="2"/>
      </rPr>
      <t>ξ</t>
    </r>
    <r>
      <rPr>
        <b/>
        <vertAlign val="subscript"/>
        <sz val="11"/>
        <rFont val="Calibri"/>
        <family val="2"/>
        <scheme val="minor"/>
      </rPr>
      <t>XII</t>
    </r>
    <r>
      <rPr>
        <b/>
        <sz val="11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</si>
  <si>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rFont val="Calibri"/>
        <family val="2"/>
        <scheme val="minor"/>
      </rPr>
      <t>XII</t>
    </r>
    <r>
      <rPr>
        <b/>
        <sz val="11"/>
        <rFont val="Calibri"/>
        <family val="2"/>
        <scheme val="minor"/>
      </rPr>
      <t xml:space="preserve"> [rpm]</t>
    </r>
  </si>
  <si>
    <t>Mod.495-0</t>
  </si>
  <si>
    <t xml:space="preserve">API 610 - Annex I diagram
(linked to SOP-518)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</si>
</sst>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_)"/>
    <numFmt numFmtId="165" formatCode="&quot;$&quot;#,##0.00;[Red]\-&quot;$&quot;#,##0.00"/>
    <numFmt numFmtId="166" formatCode="0.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sz val="11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0" tint="-0.499984740745262"/>
      <name val="Calibri"/>
      <family val="2"/>
    </font>
    <font>
      <b/>
      <vertAlign val="subscript"/>
      <sz val="11"/>
      <color theme="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trike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1" fillId="0" borderId="0"/>
    <xf numFmtId="164" fontId="12" fillId="0" borderId="0"/>
    <xf numFmtId="165" fontId="18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1" fillId="0" borderId="1" xfId="1" applyBorder="1" applyAlignment="1">
      <alignment horizontal="center" vertical="center"/>
    </xf>
    <xf numFmtId="0" fontId="11" fillId="0" borderId="2" xfId="1" applyBorder="1" applyAlignment="1">
      <alignment horizontal="center" vertical="center"/>
    </xf>
    <xf numFmtId="0" fontId="11" fillId="0" borderId="3" xfId="1" applyBorder="1" applyAlignment="1">
      <alignment horizontal="center" vertical="center"/>
    </xf>
    <xf numFmtId="164" fontId="12" fillId="0" borderId="0" xfId="2"/>
    <xf numFmtId="0" fontId="11" fillId="0" borderId="4" xfId="1" applyBorder="1" applyAlignment="1">
      <alignment horizontal="center" vertical="center"/>
    </xf>
    <xf numFmtId="0" fontId="11" fillId="0" borderId="0" xfId="1" applyAlignment="1">
      <alignment horizontal="center" vertical="center"/>
    </xf>
    <xf numFmtId="0" fontId="11" fillId="0" borderId="5" xfId="1" applyBorder="1" applyAlignment="1">
      <alignment horizontal="center" vertical="center"/>
    </xf>
    <xf numFmtId="0" fontId="13" fillId="0" borderId="0" xfId="1" applyFont="1" applyAlignment="1">
      <alignment horizontal="center" vertical="top"/>
    </xf>
    <xf numFmtId="0" fontId="11" fillId="0" borderId="0" xfId="1" applyAlignment="1">
      <alignment horizontal="center"/>
    </xf>
    <xf numFmtId="0" fontId="14" fillId="0" borderId="0" xfId="1" applyFont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6" fillId="0" borderId="4" xfId="1" applyFon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6" fillId="0" borderId="5" xfId="1" applyFont="1" applyBorder="1" applyAlignment="1">
      <alignment horizontal="center" vertical="center"/>
    </xf>
    <xf numFmtId="0" fontId="21" fillId="3" borderId="25" xfId="0" applyFont="1" applyFill="1" applyBorder="1" applyAlignment="1">
      <alignment horizontal="center"/>
    </xf>
    <xf numFmtId="0" fontId="21" fillId="3" borderId="29" xfId="0" applyFont="1" applyFill="1" applyBorder="1" applyAlignment="1">
      <alignment horizontal="center"/>
    </xf>
    <xf numFmtId="0" fontId="31" fillId="0" borderId="0" xfId="0" applyFont="1"/>
    <xf numFmtId="0" fontId="30" fillId="3" borderId="25" xfId="0" applyFont="1" applyFill="1" applyBorder="1" applyAlignment="1">
      <alignment horizontal="center"/>
    </xf>
    <xf numFmtId="0" fontId="30" fillId="3" borderId="29" xfId="0" applyFont="1" applyFill="1" applyBorder="1" applyAlignment="1">
      <alignment horizontal="center"/>
    </xf>
    <xf numFmtId="1" fontId="33" fillId="4" borderId="26" xfId="0" applyNumberFormat="1" applyFont="1" applyFill="1" applyBorder="1" applyAlignment="1">
      <alignment horizontal="center"/>
    </xf>
    <xf numFmtId="1" fontId="33" fillId="4" borderId="24" xfId="0" applyNumberFormat="1" applyFont="1" applyFill="1" applyBorder="1" applyAlignment="1">
      <alignment horizontal="center"/>
    </xf>
    <xf numFmtId="166" fontId="33" fillId="0" borderId="38" xfId="0" applyNumberFormat="1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3" fillId="0" borderId="38" xfId="0" applyFont="1" applyBorder="1" applyAlignment="1">
      <alignment horizontal="center"/>
    </xf>
    <xf numFmtId="0" fontId="16" fillId="0" borderId="1" xfId="1" applyFont="1" applyBorder="1" applyAlignment="1">
      <alignment horizontal="center" vertical="center" wrapText="1"/>
    </xf>
    <xf numFmtId="0" fontId="16" fillId="0" borderId="2" xfId="1" applyFont="1" applyBorder="1" applyAlignment="1">
      <alignment horizontal="center" vertical="center" wrapText="1"/>
    </xf>
    <xf numFmtId="0" fontId="16" fillId="0" borderId="3" xfId="1" applyFont="1" applyBorder="1" applyAlignment="1">
      <alignment horizontal="center" vertical="center" wrapText="1"/>
    </xf>
    <xf numFmtId="0" fontId="16" fillId="0" borderId="4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5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16" fillId="0" borderId="7" xfId="1" applyFont="1" applyBorder="1" applyAlignment="1">
      <alignment horizontal="center" vertical="center" wrapText="1"/>
    </xf>
    <xf numFmtId="0" fontId="16" fillId="0" borderId="8" xfId="1" applyFont="1" applyBorder="1" applyAlignment="1">
      <alignment horizontal="center" vertical="center" wrapText="1"/>
    </xf>
    <xf numFmtId="0" fontId="11" fillId="0" borderId="9" xfId="1" applyBorder="1" applyAlignment="1">
      <alignment horizontal="center" vertical="center"/>
    </xf>
    <xf numFmtId="0" fontId="11" fillId="0" borderId="10" xfId="1" applyBorder="1" applyAlignment="1">
      <alignment horizontal="center" vertical="center"/>
    </xf>
    <xf numFmtId="0" fontId="11" fillId="0" borderId="11" xfId="1" applyBorder="1" applyAlignment="1">
      <alignment horizontal="center" vertical="center"/>
    </xf>
    <xf numFmtId="0" fontId="11" fillId="0" borderId="12" xfId="1" applyBorder="1" applyAlignment="1">
      <alignment horizontal="center" vertical="center"/>
    </xf>
    <xf numFmtId="0" fontId="11" fillId="0" borderId="13" xfId="1" applyBorder="1" applyAlignment="1">
      <alignment horizontal="center" vertical="center"/>
    </xf>
    <xf numFmtId="0" fontId="11" fillId="0" borderId="16" xfId="1" applyBorder="1" applyAlignment="1">
      <alignment horizontal="center" vertical="center"/>
    </xf>
    <xf numFmtId="0" fontId="11" fillId="0" borderId="17" xfId="1" applyBorder="1" applyAlignment="1">
      <alignment horizontal="center" vertical="center"/>
    </xf>
    <xf numFmtId="0" fontId="11" fillId="0" borderId="18" xfId="1" applyBorder="1" applyAlignment="1">
      <alignment horizontal="center" vertical="center"/>
    </xf>
    <xf numFmtId="0" fontId="11" fillId="0" borderId="14" xfId="1" applyBorder="1" applyAlignment="1">
      <alignment horizontal="center" vertical="center"/>
    </xf>
    <xf numFmtId="0" fontId="11" fillId="0" borderId="15" xfId="1" applyBorder="1" applyAlignment="1">
      <alignment horizontal="center" vertical="center"/>
    </xf>
    <xf numFmtId="0" fontId="18" fillId="0" borderId="16" xfId="1" applyFont="1" applyBorder="1" applyAlignment="1">
      <alignment horizontal="center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18" fillId="0" borderId="14" xfId="1" applyFont="1" applyBorder="1" applyAlignment="1">
      <alignment horizontal="center" vertical="center"/>
    </xf>
    <xf numFmtId="0" fontId="18" fillId="0" borderId="15" xfId="1" applyFont="1" applyBorder="1" applyAlignment="1">
      <alignment horizontal="center" vertical="center"/>
    </xf>
    <xf numFmtId="14" fontId="18" fillId="0" borderId="16" xfId="1" applyNumberFormat="1" applyFont="1" applyBorder="1" applyAlignment="1">
      <alignment horizontal="center" vertical="center"/>
    </xf>
    <xf numFmtId="14" fontId="18" fillId="0" borderId="17" xfId="1" applyNumberFormat="1" applyFont="1" applyBorder="1" applyAlignment="1">
      <alignment horizontal="center" vertical="center"/>
    </xf>
    <xf numFmtId="14" fontId="18" fillId="0" borderId="15" xfId="1" applyNumberFormat="1" applyFont="1" applyBorder="1" applyAlignment="1">
      <alignment horizontal="center" vertical="center"/>
    </xf>
    <xf numFmtId="0" fontId="18" fillId="0" borderId="16" xfId="1" applyFont="1" applyBorder="1" applyAlignment="1">
      <alignment horizontal="center" vertical="center"/>
    </xf>
    <xf numFmtId="0" fontId="18" fillId="0" borderId="17" xfId="1" applyFont="1" applyBorder="1" applyAlignment="1">
      <alignment horizontal="center" vertical="center"/>
    </xf>
    <xf numFmtId="0" fontId="18" fillId="0" borderId="15" xfId="1" applyFont="1" applyBorder="1" applyAlignment="1">
      <alignment horizontal="center" vertical="center" wrapText="1"/>
    </xf>
    <xf numFmtId="165" fontId="11" fillId="0" borderId="6" xfId="3" applyFont="1" applyBorder="1" applyAlignment="1">
      <alignment horizontal="right" vertical="center"/>
    </xf>
    <xf numFmtId="165" fontId="12" fillId="0" borderId="7" xfId="3" applyFont="1" applyBorder="1" applyAlignment="1">
      <alignment horizontal="right" vertical="center"/>
    </xf>
    <xf numFmtId="165" fontId="12" fillId="0" borderId="8" xfId="3" applyFont="1" applyBorder="1" applyAlignment="1">
      <alignment horizontal="right" vertical="center"/>
    </xf>
    <xf numFmtId="165" fontId="11" fillId="0" borderId="19" xfId="3" applyFont="1" applyBorder="1" applyAlignment="1">
      <alignment horizontal="center" vertical="center"/>
    </xf>
    <xf numFmtId="165" fontId="11" fillId="0" borderId="20" xfId="3" applyFont="1" applyBorder="1" applyAlignment="1">
      <alignment horizontal="center" vertical="center"/>
    </xf>
    <xf numFmtId="0" fontId="19" fillId="0" borderId="21" xfId="1" applyFont="1" applyBorder="1" applyAlignment="1">
      <alignment horizontal="center" vertical="center"/>
    </xf>
    <xf numFmtId="0" fontId="19" fillId="0" borderId="22" xfId="1" applyFont="1" applyBorder="1" applyAlignment="1">
      <alignment horizontal="center" vertical="center"/>
    </xf>
    <xf numFmtId="0" fontId="19" fillId="0" borderId="20" xfId="1" applyFont="1" applyBorder="1" applyAlignment="1">
      <alignment horizontal="center" vertical="center"/>
    </xf>
    <xf numFmtId="0" fontId="19" fillId="0" borderId="23" xfId="1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32" fillId="5" borderId="0" xfId="0" applyFont="1" applyFill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/>
    </xf>
    <xf numFmtId="0" fontId="32" fillId="3" borderId="24" xfId="0" applyFont="1" applyFill="1" applyBorder="1" applyAlignment="1">
      <alignment horizontal="center" vertical="center" wrapText="1"/>
    </xf>
    <xf numFmtId="2" fontId="34" fillId="0" borderId="24" xfId="0" applyNumberFormat="1" applyFont="1" applyBorder="1" applyAlignment="1">
      <alignment horizontal="center"/>
    </xf>
    <xf numFmtId="2" fontId="27" fillId="0" borderId="24" xfId="0" applyNumberFormat="1" applyFont="1" applyBorder="1" applyAlignment="1">
      <alignment horizontal="center"/>
    </xf>
    <xf numFmtId="1" fontId="33" fillId="4" borderId="16" xfId="0" applyNumberFormat="1" applyFont="1" applyFill="1" applyBorder="1" applyAlignment="1">
      <alignment horizontal="left"/>
    </xf>
    <xf numFmtId="1" fontId="33" fillId="4" borderId="17" xfId="0" applyNumberFormat="1" applyFont="1" applyFill="1" applyBorder="1" applyAlignment="1">
      <alignment horizontal="left"/>
    </xf>
    <xf numFmtId="1" fontId="33" fillId="4" borderId="15" xfId="0" applyNumberFormat="1" applyFont="1" applyFill="1" applyBorder="1" applyAlignment="1">
      <alignment horizontal="left"/>
    </xf>
    <xf numFmtId="1" fontId="33" fillId="4" borderId="32" xfId="0" applyNumberFormat="1" applyFont="1" applyFill="1" applyBorder="1" applyAlignment="1">
      <alignment horizontal="left"/>
    </xf>
    <xf numFmtId="1" fontId="33" fillId="4" borderId="33" xfId="0" applyNumberFormat="1" applyFont="1" applyFill="1" applyBorder="1" applyAlignment="1">
      <alignment horizontal="left"/>
    </xf>
    <xf numFmtId="1" fontId="33" fillId="4" borderId="34" xfId="0" applyNumberFormat="1" applyFont="1" applyFill="1" applyBorder="1" applyAlignment="1">
      <alignment horizontal="left"/>
    </xf>
    <xf numFmtId="0" fontId="22" fillId="2" borderId="16" xfId="0" applyFont="1" applyFill="1" applyBorder="1" applyAlignment="1">
      <alignment horizontal="center" vertical="center"/>
    </xf>
    <xf numFmtId="0" fontId="24" fillId="0" borderId="25" xfId="0" applyFont="1" applyBorder="1" applyAlignment="1">
      <alignment horizontal="center" vertical="center" wrapText="1"/>
    </xf>
    <xf numFmtId="0" fontId="24" fillId="0" borderId="27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0" fillId="4" borderId="24" xfId="0" applyFill="1" applyBorder="1" applyAlignment="1">
      <alignment horizontal="center"/>
    </xf>
    <xf numFmtId="0" fontId="24" fillId="0" borderId="35" xfId="0" applyFont="1" applyBorder="1" applyAlignment="1">
      <alignment horizontal="center" vertical="center" wrapText="1"/>
    </xf>
    <xf numFmtId="0" fontId="24" fillId="0" borderId="37" xfId="0" applyFont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 wrapText="1"/>
    </xf>
    <xf numFmtId="1" fontId="23" fillId="0" borderId="35" xfId="0" applyNumberFormat="1" applyFont="1" applyBorder="1" applyAlignment="1">
      <alignment horizontal="center"/>
    </xf>
    <xf numFmtId="1" fontId="23" fillId="0" borderId="36" xfId="0" applyNumberFormat="1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8" xfId="0" applyFont="1" applyBorder="1" applyAlignment="1">
      <alignment horizontal="center"/>
    </xf>
  </cellXfs>
  <cellStyles count="4">
    <cellStyle name="Normale" xfId="0" builtinId="0"/>
    <cellStyle name="Normale 3" xfId="2" xr:uid="{F3426E9F-8298-4BBC-A583-72ACD29D858B}"/>
    <cellStyle name="Normale 4" xfId="1" xr:uid="{C2C35781-7FCD-4B5C-BF08-88D52D320F51}"/>
    <cellStyle name="Valuta 2" xfId="3" xr:uid="{31A074A5-52F6-4ED4-89FC-E4B7D9DCF795}"/>
  </cellStyles>
  <dxfs count="51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764208560468671E-2"/>
          <c:y val="3.524609423822022E-2"/>
          <c:w val="0.71178149606299324"/>
          <c:h val="0.81790726159230098"/>
        </c:manualLayout>
      </c:layout>
      <c:scatterChart>
        <c:scatterStyle val="lineMarker"/>
        <c:varyColors val="0"/>
        <c:ser>
          <c:idx val="1"/>
          <c:order val="0"/>
          <c:tx>
            <c:v>run line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graph!$C$5:$C$6</c:f>
              <c:numCache>
                <c:formatCode>0</c:formatCode>
                <c:ptCount val="2"/>
                <c:pt idx="0">
                  <c:v>1175</c:v>
                </c:pt>
                <c:pt idx="1">
                  <c:v>6525</c:v>
                </c:pt>
              </c:numCache>
            </c:numRef>
          </c:xVal>
          <c:yVal>
            <c:numRef>
              <c:f>graph!$C$5:$C$6</c:f>
              <c:numCache>
                <c:formatCode>0</c:formatCode>
                <c:ptCount val="2"/>
                <c:pt idx="0">
                  <c:v>1175</c:v>
                </c:pt>
                <c:pt idx="1">
                  <c:v>6525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8-4C62-9D6E-6860836B7583}"/>
            </c:ext>
          </c:extLst>
        </c:ser>
        <c:ser>
          <c:idx val="6"/>
          <c:order val="1"/>
          <c:tx>
            <c:v>min</c:v>
          </c:tx>
          <c:spPr>
            <a:ln w="19050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(graph!$C$5,graph!$C$5)</c:f>
              <c:numCache>
                <c:formatCode>0</c:formatCode>
                <c:ptCount val="2"/>
                <c:pt idx="0">
                  <c:v>1175</c:v>
                </c:pt>
                <c:pt idx="1">
                  <c:v>1175</c:v>
                </c:pt>
              </c:numCache>
            </c:numRef>
          </c:xVal>
          <c:yVal>
            <c:numRef>
              <c:f>(graph!$I$33,graph!$C$5)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D8-4C62-9D6E-6860836B7583}"/>
            </c:ext>
          </c:extLst>
        </c:ser>
        <c:ser>
          <c:idx val="5"/>
          <c:order val="2"/>
          <c:tx>
            <c:v>rated</c:v>
          </c:tx>
          <c:spPr>
            <a:ln w="19050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(graph!$C$4,graph!$C$4)</c:f>
              <c:numCache>
                <c:formatCode>0</c:formatCode>
                <c:ptCount val="2"/>
                <c:pt idx="0">
                  <c:v>5220</c:v>
                </c:pt>
                <c:pt idx="1">
                  <c:v>5220</c:v>
                </c:pt>
              </c:numCache>
            </c:numRef>
          </c:xVal>
          <c:yVal>
            <c:numRef>
              <c:f>(graph!$I$33,graph!$C$4)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5220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D8-4C62-9D6E-6860836B7583}"/>
            </c:ext>
          </c:extLst>
        </c:ser>
        <c:ser>
          <c:idx val="7"/>
          <c:order val="3"/>
          <c:tx>
            <c:v>max</c:v>
          </c:tx>
          <c:spPr>
            <a:ln w="19050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(graph!$C$6,graph!$C$6)</c:f>
              <c:numCache>
                <c:formatCode>0</c:formatCode>
                <c:ptCount val="2"/>
                <c:pt idx="0">
                  <c:v>6525</c:v>
                </c:pt>
                <c:pt idx="1">
                  <c:v>6525</c:v>
                </c:pt>
              </c:numCache>
            </c:numRef>
          </c:xVal>
          <c:yVal>
            <c:numRef>
              <c:f>(graph!$I$33,graph!$C$6)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D8-4C62-9D6E-6860836B7583}"/>
            </c:ext>
          </c:extLst>
        </c:ser>
        <c:ser>
          <c:idx val="0"/>
          <c:order val="4"/>
          <c:tx>
            <c:v>mode I</c:v>
          </c:tx>
          <c:spPr>
            <a:ln w="28575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graph!$V$65:$V$124</c:f>
              <c:numCache>
                <c:formatCode>General</c:formatCode>
                <c:ptCount val="60"/>
                <c:pt idx="0">
                  <c:v>1935.1200000000001</c:v>
                </c:pt>
                <c:pt idx="1">
                  <c:v>2006.88</c:v>
                </c:pt>
                <c:pt idx="2">
                  <c:v>2127.2999999999997</c:v>
                </c:pt>
                <c:pt idx="3">
                  <c:v>2369.3399999999997</c:v>
                </c:pt>
                <c:pt idx="4">
                  <c:v>2594.04</c:v>
                </c:pt>
                <c:pt idx="5">
                  <c:v>2821.62</c:v>
                </c:pt>
                <c:pt idx="6">
                  <c:v>3046.26</c:v>
                </c:pt>
                <c:pt idx="7">
                  <c:v>3286.14</c:v>
                </c:pt>
                <c:pt idx="8">
                  <c:v>3523.38</c:v>
                </c:pt>
                <c:pt idx="9">
                  <c:v>3730.2599999999998</c:v>
                </c:pt>
                <c:pt idx="10">
                  <c:v>3931.26</c:v>
                </c:pt>
                <c:pt idx="11">
                  <c:v>4116.78</c:v>
                </c:pt>
                <c:pt idx="12">
                  <c:v>4344.42</c:v>
                </c:pt>
                <c:pt idx="13">
                  <c:v>4565.5199999999995</c:v>
                </c:pt>
                <c:pt idx="14">
                  <c:v>4771.68</c:v>
                </c:pt>
                <c:pt idx="15">
                  <c:v>5008.08</c:v>
                </c:pt>
                <c:pt idx="16">
                  <c:v>5214.72</c:v>
                </c:pt>
                <c:pt idx="17">
                  <c:v>5218.9800000000005</c:v>
                </c:pt>
                <c:pt idx="18">
                  <c:v>5397.42</c:v>
                </c:pt>
                <c:pt idx="19">
                  <c:v>5555.04</c:v>
                </c:pt>
                <c:pt idx="20">
                  <c:v>5701.08</c:v>
                </c:pt>
                <c:pt idx="21">
                  <c:v>5793.8399999999992</c:v>
                </c:pt>
                <c:pt idx="22">
                  <c:v>5836.62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D8-4C62-9D6E-6860836B7583}"/>
            </c:ext>
          </c:extLst>
        </c:ser>
        <c:ser>
          <c:idx val="2"/>
          <c:order val="5"/>
          <c:tx>
            <c:v>mode II</c:v>
          </c:tx>
          <c:spPr>
            <a:ln w="28575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graph!$X$65:$X$124</c:f>
              <c:numCache>
                <c:formatCode>General</c:formatCode>
                <c:ptCount val="60"/>
                <c:pt idx="0">
                  <c:v>7808.88</c:v>
                </c:pt>
                <c:pt idx="1">
                  <c:v>7811.76</c:v>
                </c:pt>
                <c:pt idx="2">
                  <c:v>7817.7599999999993</c:v>
                </c:pt>
                <c:pt idx="3">
                  <c:v>7831.08</c:v>
                </c:pt>
                <c:pt idx="4">
                  <c:v>7846.8600000000006</c:v>
                </c:pt>
                <c:pt idx="5">
                  <c:v>7858.92</c:v>
                </c:pt>
                <c:pt idx="6">
                  <c:v>7875.9</c:v>
                </c:pt>
                <c:pt idx="7">
                  <c:v>7897.74</c:v>
                </c:pt>
                <c:pt idx="8">
                  <c:v>7916.2799999999988</c:v>
                </c:pt>
                <c:pt idx="9">
                  <c:v>7927.9800000000005</c:v>
                </c:pt>
                <c:pt idx="10">
                  <c:v>7934.16</c:v>
                </c:pt>
                <c:pt idx="11">
                  <c:v>7935.9599999999991</c:v>
                </c:pt>
                <c:pt idx="12">
                  <c:v>7933.68</c:v>
                </c:pt>
                <c:pt idx="13">
                  <c:v>7924.4400000000005</c:v>
                </c:pt>
                <c:pt idx="14">
                  <c:v>7908.8399999999992</c:v>
                </c:pt>
                <c:pt idx="15">
                  <c:v>7891.14</c:v>
                </c:pt>
                <c:pt idx="16">
                  <c:v>7872.6</c:v>
                </c:pt>
                <c:pt idx="17">
                  <c:v>7872.18</c:v>
                </c:pt>
                <c:pt idx="18">
                  <c:v>7852.92</c:v>
                </c:pt>
                <c:pt idx="19">
                  <c:v>7834.7400000000007</c:v>
                </c:pt>
                <c:pt idx="20">
                  <c:v>7818.3</c:v>
                </c:pt>
                <c:pt idx="21">
                  <c:v>7802.82</c:v>
                </c:pt>
                <c:pt idx="22">
                  <c:v>7789.02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D8-4C62-9D6E-6860836B7583}"/>
            </c:ext>
          </c:extLst>
        </c:ser>
        <c:ser>
          <c:idx val="3"/>
          <c:order val="6"/>
          <c:tx>
            <c:v>mode III</c:v>
          </c:tx>
          <c:spPr>
            <a:ln w="2857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graph!$Z$65:$Z$124</c:f>
              <c:numCache>
                <c:formatCode>General</c:formatCode>
                <c:ptCount val="60"/>
                <c:pt idx="0">
                  <c:v>7965.5999999999995</c:v>
                </c:pt>
                <c:pt idx="1">
                  <c:v>7986.5400000000009</c:v>
                </c:pt>
                <c:pt idx="2">
                  <c:v>8024.34</c:v>
                </c:pt>
                <c:pt idx="3">
                  <c:v>8065.14</c:v>
                </c:pt>
                <c:pt idx="4">
                  <c:v>8104.0800000000008</c:v>
                </c:pt>
                <c:pt idx="5">
                  <c:v>8150.4600000000009</c:v>
                </c:pt>
                <c:pt idx="6">
                  <c:v>8197.3200000000015</c:v>
                </c:pt>
                <c:pt idx="7">
                  <c:v>8245.32</c:v>
                </c:pt>
                <c:pt idx="8">
                  <c:v>8293.14</c:v>
                </c:pt>
                <c:pt idx="9">
                  <c:v>8334.36</c:v>
                </c:pt>
                <c:pt idx="10">
                  <c:v>8369.8799999999992</c:v>
                </c:pt>
                <c:pt idx="11">
                  <c:v>8391.48</c:v>
                </c:pt>
                <c:pt idx="12">
                  <c:v>8398.5</c:v>
                </c:pt>
                <c:pt idx="13">
                  <c:v>8384.8200000000015</c:v>
                </c:pt>
                <c:pt idx="14">
                  <c:v>8349</c:v>
                </c:pt>
                <c:pt idx="15">
                  <c:v>8287.92</c:v>
                </c:pt>
                <c:pt idx="16">
                  <c:v>8144.4000000000005</c:v>
                </c:pt>
                <c:pt idx="17">
                  <c:v>8138.22</c:v>
                </c:pt>
                <c:pt idx="18">
                  <c:v>8029.68</c:v>
                </c:pt>
                <c:pt idx="19">
                  <c:v>8012.88</c:v>
                </c:pt>
                <c:pt idx="20">
                  <c:v>8006.9999999999991</c:v>
                </c:pt>
                <c:pt idx="21">
                  <c:v>8006.5800000000008</c:v>
                </c:pt>
                <c:pt idx="22">
                  <c:v>8010.2999999999993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D8-4C62-9D6E-6860836B7583}"/>
            </c:ext>
          </c:extLst>
        </c:ser>
        <c:ser>
          <c:idx val="4"/>
          <c:order val="7"/>
          <c:tx>
            <c:v>mode IV</c:v>
          </c:tx>
          <c:spPr>
            <a:ln w="28575">
              <a:solidFill>
                <a:srgbClr val="7030A0"/>
              </a:solidFill>
            </a:ln>
          </c:spPr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graph!$AB$65:$AB$124</c:f>
              <c:numCache>
                <c:formatCode>General</c:formatCode>
                <c:ptCount val="60"/>
                <c:pt idx="0">
                  <c:v>4202.7</c:v>
                </c:pt>
                <c:pt idx="1">
                  <c:v>4236</c:v>
                </c:pt>
                <c:pt idx="2">
                  <c:v>4305.7800000000007</c:v>
                </c:pt>
                <c:pt idx="3">
                  <c:v>4412.22</c:v>
                </c:pt>
                <c:pt idx="4">
                  <c:v>4531.8</c:v>
                </c:pt>
                <c:pt idx="5">
                  <c:v>4685.28</c:v>
                </c:pt>
                <c:pt idx="6">
                  <c:v>4867.92</c:v>
                </c:pt>
                <c:pt idx="7">
                  <c:v>5088.78</c:v>
                </c:pt>
                <c:pt idx="8">
                  <c:v>5345.7</c:v>
                </c:pt>
                <c:pt idx="9">
                  <c:v>5623.92</c:v>
                </c:pt>
                <c:pt idx="10">
                  <c:v>5984.1</c:v>
                </c:pt>
                <c:pt idx="11">
                  <c:v>6388.4400000000005</c:v>
                </c:pt>
                <c:pt idx="12">
                  <c:v>6839.82</c:v>
                </c:pt>
                <c:pt idx="13">
                  <c:v>7269.96</c:v>
                </c:pt>
                <c:pt idx="14">
                  <c:v>7617</c:v>
                </c:pt>
                <c:pt idx="15">
                  <c:v>7907.46</c:v>
                </c:pt>
                <c:pt idx="16">
                  <c:v>8153.4599999999991</c:v>
                </c:pt>
                <c:pt idx="17">
                  <c:v>8158.5599999999995</c:v>
                </c:pt>
                <c:pt idx="18">
                  <c:v>8412.24</c:v>
                </c:pt>
                <c:pt idx="19">
                  <c:v>8647.0199999999986</c:v>
                </c:pt>
                <c:pt idx="20">
                  <c:v>8876.16</c:v>
                </c:pt>
                <c:pt idx="21">
                  <c:v>9108.6</c:v>
                </c:pt>
                <c:pt idx="22">
                  <c:v>9340.26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CD8-4C62-9D6E-6860836B7583}"/>
            </c:ext>
          </c:extLst>
        </c:ser>
        <c:ser>
          <c:idx val="9"/>
          <c:order val="8"/>
          <c:tx>
            <c:v>mode V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graph!$AD$65:$AD$124</c:f>
              <c:numCache>
                <c:formatCode>General</c:formatCode>
                <c:ptCount val="60"/>
                <c:pt idx="0">
                  <c:v>10868.58</c:v>
                </c:pt>
                <c:pt idx="1">
                  <c:v>10839.78</c:v>
                </c:pt>
                <c:pt idx="2">
                  <c:v>10807.8</c:v>
                </c:pt>
                <c:pt idx="3">
                  <c:v>10765.44</c:v>
                </c:pt>
                <c:pt idx="4">
                  <c:v>10707.84</c:v>
                </c:pt>
                <c:pt idx="5">
                  <c:v>10614.060000000001</c:v>
                </c:pt>
                <c:pt idx="6">
                  <c:v>10500.480000000001</c:v>
                </c:pt>
                <c:pt idx="7">
                  <c:v>10371.240000000002</c:v>
                </c:pt>
                <c:pt idx="8">
                  <c:v>10227.18</c:v>
                </c:pt>
                <c:pt idx="9">
                  <c:v>10060.380000000001</c:v>
                </c:pt>
                <c:pt idx="10">
                  <c:v>9786</c:v>
                </c:pt>
                <c:pt idx="11">
                  <c:v>9456.5400000000009</c:v>
                </c:pt>
                <c:pt idx="12">
                  <c:v>9146.94</c:v>
                </c:pt>
                <c:pt idx="13">
                  <c:v>8902.44</c:v>
                </c:pt>
                <c:pt idx="14">
                  <c:v>8791.68</c:v>
                </c:pt>
                <c:pt idx="15">
                  <c:v>8795.4</c:v>
                </c:pt>
                <c:pt idx="16">
                  <c:v>8848.98</c:v>
                </c:pt>
                <c:pt idx="17">
                  <c:v>8849.94</c:v>
                </c:pt>
                <c:pt idx="18">
                  <c:v>8843.7000000000007</c:v>
                </c:pt>
                <c:pt idx="19">
                  <c:v>8907</c:v>
                </c:pt>
                <c:pt idx="20">
                  <c:v>9100.92</c:v>
                </c:pt>
                <c:pt idx="21">
                  <c:v>9244.8599999999988</c:v>
                </c:pt>
                <c:pt idx="22">
                  <c:v>9350.880000000001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D8-4C62-9D6E-6860836B7583}"/>
            </c:ext>
          </c:extLst>
        </c:ser>
        <c:ser>
          <c:idx val="10"/>
          <c:order val="9"/>
          <c:tx>
            <c:v>mode VI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graph!$AF$65:$AF$124</c:f>
              <c:numCache>
                <c:formatCode>General</c:formatCode>
                <c:ptCount val="60"/>
                <c:pt idx="0">
                  <c:v>4519.8600000000006</c:v>
                </c:pt>
                <c:pt idx="1">
                  <c:v>4563.0600000000004</c:v>
                </c:pt>
                <c:pt idx="2">
                  <c:v>4644.78</c:v>
                </c:pt>
                <c:pt idx="3">
                  <c:v>4760.7</c:v>
                </c:pt>
                <c:pt idx="4">
                  <c:v>4879.3799999999992</c:v>
                </c:pt>
                <c:pt idx="5">
                  <c:v>5014.8</c:v>
                </c:pt>
                <c:pt idx="6">
                  <c:v>5167.7999999999993</c:v>
                </c:pt>
                <c:pt idx="7">
                  <c:v>5357.34</c:v>
                </c:pt>
                <c:pt idx="8">
                  <c:v>5581.62</c:v>
                </c:pt>
                <c:pt idx="9">
                  <c:v>5831.58</c:v>
                </c:pt>
                <c:pt idx="10">
                  <c:v>6126.42</c:v>
                </c:pt>
                <c:pt idx="11">
                  <c:v>6425.5199999999995</c:v>
                </c:pt>
                <c:pt idx="12">
                  <c:v>6735.9</c:v>
                </c:pt>
                <c:pt idx="13">
                  <c:v>7047.96</c:v>
                </c:pt>
                <c:pt idx="14">
                  <c:v>7358.9400000000005</c:v>
                </c:pt>
                <c:pt idx="15">
                  <c:v>7678.4400000000005</c:v>
                </c:pt>
                <c:pt idx="16">
                  <c:v>8061</c:v>
                </c:pt>
                <c:pt idx="17">
                  <c:v>8072.2800000000007</c:v>
                </c:pt>
                <c:pt idx="18">
                  <c:v>8439.7800000000007</c:v>
                </c:pt>
                <c:pt idx="19">
                  <c:v>8722.26</c:v>
                </c:pt>
                <c:pt idx="20">
                  <c:v>9004.74</c:v>
                </c:pt>
                <c:pt idx="21">
                  <c:v>9288.9</c:v>
                </c:pt>
                <c:pt idx="22">
                  <c:v>9568.86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D8-4C62-9D6E-6860836B7583}"/>
            </c:ext>
          </c:extLst>
        </c:ser>
        <c:ser>
          <c:idx val="11"/>
          <c:order val="10"/>
          <c:tx>
            <c:v>mode VII</c:v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graph!$AH$65:$AH$124</c:f>
              <c:numCache>
                <c:formatCode>General</c:formatCode>
                <c:ptCount val="60"/>
                <c:pt idx="0">
                  <c:v>11045.52</c:v>
                </c:pt>
                <c:pt idx="1">
                  <c:v>11112.24</c:v>
                </c:pt>
                <c:pt idx="2">
                  <c:v>11198.34</c:v>
                </c:pt>
                <c:pt idx="3">
                  <c:v>11257.44</c:v>
                </c:pt>
                <c:pt idx="4">
                  <c:v>11296.92</c:v>
                </c:pt>
                <c:pt idx="5">
                  <c:v>11358.720000000001</c:v>
                </c:pt>
                <c:pt idx="6">
                  <c:v>11413.08</c:v>
                </c:pt>
                <c:pt idx="7">
                  <c:v>11458.56</c:v>
                </c:pt>
                <c:pt idx="8">
                  <c:v>11504.16</c:v>
                </c:pt>
                <c:pt idx="9">
                  <c:v>11534.34</c:v>
                </c:pt>
                <c:pt idx="10">
                  <c:v>11589</c:v>
                </c:pt>
                <c:pt idx="11">
                  <c:v>11623.86</c:v>
                </c:pt>
                <c:pt idx="12">
                  <c:v>11631.36</c:v>
                </c:pt>
                <c:pt idx="13">
                  <c:v>11598.9</c:v>
                </c:pt>
                <c:pt idx="14">
                  <c:v>11517.06</c:v>
                </c:pt>
                <c:pt idx="15">
                  <c:v>11414.88</c:v>
                </c:pt>
                <c:pt idx="16">
                  <c:v>11263.92</c:v>
                </c:pt>
                <c:pt idx="17">
                  <c:v>11260.68</c:v>
                </c:pt>
                <c:pt idx="18">
                  <c:v>11084.16</c:v>
                </c:pt>
                <c:pt idx="19">
                  <c:v>10769.04</c:v>
                </c:pt>
                <c:pt idx="20">
                  <c:v>10391.16</c:v>
                </c:pt>
                <c:pt idx="21">
                  <c:v>10207.92</c:v>
                </c:pt>
                <c:pt idx="22">
                  <c:v>10115.939999999999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D8-4C62-9D6E-6860836B7583}"/>
            </c:ext>
          </c:extLst>
        </c:ser>
        <c:ser>
          <c:idx val="12"/>
          <c:order val="11"/>
          <c:tx>
            <c:v>mode VIII</c:v>
          </c:tx>
          <c:spPr>
            <a:ln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circle"/>
            <c:size val="5"/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graph!$H$65:$H$124</c:f>
              <c:numCache>
                <c:formatCode>General</c:formatCode>
                <c:ptCount val="60"/>
                <c:pt idx="0">
                  <c:v>1174.5</c:v>
                </c:pt>
                <c:pt idx="1">
                  <c:v>1305</c:v>
                </c:pt>
                <c:pt idx="2">
                  <c:v>1566</c:v>
                </c:pt>
                <c:pt idx="3">
                  <c:v>1827</c:v>
                </c:pt>
                <c:pt idx="4">
                  <c:v>2088</c:v>
                </c:pt>
                <c:pt idx="5">
                  <c:v>2349</c:v>
                </c:pt>
                <c:pt idx="6">
                  <c:v>2610</c:v>
                </c:pt>
                <c:pt idx="7">
                  <c:v>2871</c:v>
                </c:pt>
                <c:pt idx="8">
                  <c:v>3132</c:v>
                </c:pt>
                <c:pt idx="9">
                  <c:v>3393</c:v>
                </c:pt>
                <c:pt idx="10">
                  <c:v>3654</c:v>
                </c:pt>
                <c:pt idx="11">
                  <c:v>3915</c:v>
                </c:pt>
                <c:pt idx="12">
                  <c:v>4176</c:v>
                </c:pt>
                <c:pt idx="13">
                  <c:v>4437</c:v>
                </c:pt>
                <c:pt idx="14">
                  <c:v>4698</c:v>
                </c:pt>
                <c:pt idx="15">
                  <c:v>4959</c:v>
                </c:pt>
                <c:pt idx="16">
                  <c:v>5214.7</c:v>
                </c:pt>
                <c:pt idx="17">
                  <c:v>5220</c:v>
                </c:pt>
                <c:pt idx="18">
                  <c:v>5481</c:v>
                </c:pt>
                <c:pt idx="19">
                  <c:v>5742</c:v>
                </c:pt>
                <c:pt idx="20">
                  <c:v>6003</c:v>
                </c:pt>
                <c:pt idx="21">
                  <c:v>6264</c:v>
                </c:pt>
                <c:pt idx="22">
                  <c:v>6525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graph!$AJ$65:$AJ$124</c:f>
              <c:numCache>
                <c:formatCode>General</c:formatCode>
                <c:ptCount val="60"/>
                <c:pt idx="0">
                  <c:v>2303.7000000000003</c:v>
                </c:pt>
                <c:pt idx="1">
                  <c:v>2391.1800000000003</c:v>
                </c:pt>
                <c:pt idx="2">
                  <c:v>2533.7999999999997</c:v>
                </c:pt>
                <c:pt idx="3">
                  <c:v>2821.44</c:v>
                </c:pt>
                <c:pt idx="4">
                  <c:v>3105.24</c:v>
                </c:pt>
                <c:pt idx="5">
                  <c:v>3450.96</c:v>
                </c:pt>
                <c:pt idx="6">
                  <c:v>3802.5</c:v>
                </c:pt>
                <c:pt idx="7">
                  <c:v>4165.8</c:v>
                </c:pt>
                <c:pt idx="8">
                  <c:v>4536</c:v>
                </c:pt>
                <c:pt idx="9">
                  <c:v>4879.74</c:v>
                </c:pt>
                <c:pt idx="10">
                  <c:v>5230.74</c:v>
                </c:pt>
                <c:pt idx="11">
                  <c:v>5578.08</c:v>
                </c:pt>
                <c:pt idx="12">
                  <c:v>5963.58</c:v>
                </c:pt>
                <c:pt idx="13">
                  <c:v>6379.8</c:v>
                </c:pt>
                <c:pt idx="14">
                  <c:v>6833.34</c:v>
                </c:pt>
                <c:pt idx="15">
                  <c:v>7344.54</c:v>
                </c:pt>
                <c:pt idx="16">
                  <c:v>7870.1999999999989</c:v>
                </c:pt>
                <c:pt idx="17">
                  <c:v>7882.0199999999995</c:v>
                </c:pt>
                <c:pt idx="18">
                  <c:v>8511.66</c:v>
                </c:pt>
                <c:pt idx="19">
                  <c:v>9233.94</c:v>
                </c:pt>
                <c:pt idx="20">
                  <c:v>9982.08</c:v>
                </c:pt>
                <c:pt idx="21">
                  <c:v>10554.48</c:v>
                </c:pt>
                <c:pt idx="22">
                  <c:v>11029.92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CD8-4C62-9D6E-6860836B7583}"/>
            </c:ext>
          </c:extLst>
        </c:ser>
        <c:ser>
          <c:idx val="8"/>
          <c:order val="16"/>
          <c:tx>
            <c:v>cursor</c:v>
          </c:tx>
          <c:spPr>
            <a:ln>
              <a:noFill/>
            </a:ln>
          </c:spPr>
          <c:marker>
            <c:symbol val="x"/>
            <c:size val="9"/>
            <c:spPr>
              <a:solidFill>
                <a:schemeClr val="tx1"/>
              </a:solidFill>
              <a:ln>
                <a:solidFill>
                  <a:schemeClr val="bg1"/>
                </a:solidFill>
              </a:ln>
            </c:spPr>
          </c:marker>
          <c:dLbls>
            <c:dLbl>
              <c:idx val="0"/>
              <c:spPr>
                <a:noFill/>
              </c:spPr>
              <c:txPr>
                <a:bodyPr rot="0"/>
                <a:lstStyle/>
                <a:p>
                  <a:pPr>
                    <a:defRPr lang="it-IT" sz="1200" b="1"/>
                  </a:pPr>
                  <a:endParaRPr lang="it-IT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3CD8-4C62-9D6E-6860836B7583}"/>
                </c:ext>
              </c:extLst>
            </c:dLbl>
            <c:spPr>
              <a:noFill/>
            </c:spPr>
            <c:txPr>
              <a:bodyPr rot="0"/>
              <a:lstStyle/>
              <a:p>
                <a:pPr>
                  <a:defRPr lang="it-IT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graph!$M$45</c:f>
              <c:numCache>
                <c:formatCode>General</c:formatCode>
                <c:ptCount val="1"/>
                <c:pt idx="0">
                  <c:v>6264</c:v>
                </c:pt>
              </c:numCache>
            </c:numRef>
          </c:xVal>
          <c:yVal>
            <c:numRef>
              <c:f>graph!$M$46</c:f>
              <c:numCache>
                <c:formatCode>General</c:formatCode>
                <c:ptCount val="1"/>
                <c:pt idx="0">
                  <c:v>8006.5800000000008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CD8-4C62-9D6E-6860836B7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99488"/>
        <c:axId val="198401024"/>
        <c:extLst>
          <c:ext xmlns:c15="http://schemas.microsoft.com/office/drawing/2012/chart" uri="{02D57815-91ED-43cb-92C2-25804820EDAC}">
            <c15:filteredScatterSeries>
              <c15:ser>
                <c:idx val="13"/>
                <c:order val="12"/>
                <c:tx>
                  <c:v>mode IX</c:v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92D05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graph!$H$65:$H$124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1174.5</c:v>
                      </c:pt>
                      <c:pt idx="1">
                        <c:v>1305</c:v>
                      </c:pt>
                      <c:pt idx="2">
                        <c:v>1566</c:v>
                      </c:pt>
                      <c:pt idx="3">
                        <c:v>1827</c:v>
                      </c:pt>
                      <c:pt idx="4">
                        <c:v>2088</c:v>
                      </c:pt>
                      <c:pt idx="5">
                        <c:v>2349</c:v>
                      </c:pt>
                      <c:pt idx="6">
                        <c:v>2610</c:v>
                      </c:pt>
                      <c:pt idx="7">
                        <c:v>2871</c:v>
                      </c:pt>
                      <c:pt idx="8">
                        <c:v>3132</c:v>
                      </c:pt>
                      <c:pt idx="9">
                        <c:v>3393</c:v>
                      </c:pt>
                      <c:pt idx="10">
                        <c:v>3654</c:v>
                      </c:pt>
                      <c:pt idx="11">
                        <c:v>3915</c:v>
                      </c:pt>
                      <c:pt idx="12">
                        <c:v>4176</c:v>
                      </c:pt>
                      <c:pt idx="13">
                        <c:v>4437</c:v>
                      </c:pt>
                      <c:pt idx="14">
                        <c:v>4698</c:v>
                      </c:pt>
                      <c:pt idx="15">
                        <c:v>4959</c:v>
                      </c:pt>
                      <c:pt idx="16">
                        <c:v>5214.7</c:v>
                      </c:pt>
                      <c:pt idx="17">
                        <c:v>5220</c:v>
                      </c:pt>
                      <c:pt idx="18">
                        <c:v>5481</c:v>
                      </c:pt>
                      <c:pt idx="19">
                        <c:v>5742</c:v>
                      </c:pt>
                      <c:pt idx="20">
                        <c:v>6003</c:v>
                      </c:pt>
                      <c:pt idx="21">
                        <c:v>6264</c:v>
                      </c:pt>
                      <c:pt idx="22">
                        <c:v>6525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graph!$AL$65:$AL$124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0EA-4222-9794-78CF0D76AE88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v>mode X</c:v>
                </c:tx>
                <c:spPr>
                  <a:ln>
                    <a:solidFill>
                      <a:schemeClr val="accent6">
                        <a:lumMod val="75000"/>
                      </a:schemeClr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75000"/>
                      </a:schemeClr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graph!$H$65:$H$124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1174.5</c:v>
                      </c:pt>
                      <c:pt idx="1">
                        <c:v>1305</c:v>
                      </c:pt>
                      <c:pt idx="2">
                        <c:v>1566</c:v>
                      </c:pt>
                      <c:pt idx="3">
                        <c:v>1827</c:v>
                      </c:pt>
                      <c:pt idx="4">
                        <c:v>2088</c:v>
                      </c:pt>
                      <c:pt idx="5">
                        <c:v>2349</c:v>
                      </c:pt>
                      <c:pt idx="6">
                        <c:v>2610</c:v>
                      </c:pt>
                      <c:pt idx="7">
                        <c:v>2871</c:v>
                      </c:pt>
                      <c:pt idx="8">
                        <c:v>3132</c:v>
                      </c:pt>
                      <c:pt idx="9">
                        <c:v>3393</c:v>
                      </c:pt>
                      <c:pt idx="10">
                        <c:v>3654</c:v>
                      </c:pt>
                      <c:pt idx="11">
                        <c:v>3915</c:v>
                      </c:pt>
                      <c:pt idx="12">
                        <c:v>4176</c:v>
                      </c:pt>
                      <c:pt idx="13">
                        <c:v>4437</c:v>
                      </c:pt>
                      <c:pt idx="14">
                        <c:v>4698</c:v>
                      </c:pt>
                      <c:pt idx="15">
                        <c:v>4959</c:v>
                      </c:pt>
                      <c:pt idx="16">
                        <c:v>5214.7</c:v>
                      </c:pt>
                      <c:pt idx="17">
                        <c:v>5220</c:v>
                      </c:pt>
                      <c:pt idx="18">
                        <c:v>5481</c:v>
                      </c:pt>
                      <c:pt idx="19">
                        <c:v>5742</c:v>
                      </c:pt>
                      <c:pt idx="20">
                        <c:v>6003</c:v>
                      </c:pt>
                      <c:pt idx="21">
                        <c:v>6264</c:v>
                      </c:pt>
                      <c:pt idx="22">
                        <c:v>6525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graph!$AN$65:$AN$124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EA-4222-9794-78CF0D76AE88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v>mode XI</c:v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graph!$H$65:$H$124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1174.5</c:v>
                      </c:pt>
                      <c:pt idx="1">
                        <c:v>1305</c:v>
                      </c:pt>
                      <c:pt idx="2">
                        <c:v>1566</c:v>
                      </c:pt>
                      <c:pt idx="3">
                        <c:v>1827</c:v>
                      </c:pt>
                      <c:pt idx="4">
                        <c:v>2088</c:v>
                      </c:pt>
                      <c:pt idx="5">
                        <c:v>2349</c:v>
                      </c:pt>
                      <c:pt idx="6">
                        <c:v>2610</c:v>
                      </c:pt>
                      <c:pt idx="7">
                        <c:v>2871</c:v>
                      </c:pt>
                      <c:pt idx="8">
                        <c:v>3132</c:v>
                      </c:pt>
                      <c:pt idx="9">
                        <c:v>3393</c:v>
                      </c:pt>
                      <c:pt idx="10">
                        <c:v>3654</c:v>
                      </c:pt>
                      <c:pt idx="11">
                        <c:v>3915</c:v>
                      </c:pt>
                      <c:pt idx="12">
                        <c:v>4176</c:v>
                      </c:pt>
                      <c:pt idx="13">
                        <c:v>4437</c:v>
                      </c:pt>
                      <c:pt idx="14">
                        <c:v>4698</c:v>
                      </c:pt>
                      <c:pt idx="15">
                        <c:v>4959</c:v>
                      </c:pt>
                      <c:pt idx="16">
                        <c:v>5214.7</c:v>
                      </c:pt>
                      <c:pt idx="17">
                        <c:v>5220</c:v>
                      </c:pt>
                      <c:pt idx="18">
                        <c:v>5481</c:v>
                      </c:pt>
                      <c:pt idx="19">
                        <c:v>5742</c:v>
                      </c:pt>
                      <c:pt idx="20">
                        <c:v>6003</c:v>
                      </c:pt>
                      <c:pt idx="21">
                        <c:v>6264</c:v>
                      </c:pt>
                      <c:pt idx="22">
                        <c:v>6525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graph!$AP$65:$AP$124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EA-4222-9794-78CF0D76AE88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v>mode XII</c:v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7030A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graph!$H$65:$H$124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1174.5</c:v>
                      </c:pt>
                      <c:pt idx="1">
                        <c:v>1305</c:v>
                      </c:pt>
                      <c:pt idx="2">
                        <c:v>1566</c:v>
                      </c:pt>
                      <c:pt idx="3">
                        <c:v>1827</c:v>
                      </c:pt>
                      <c:pt idx="4">
                        <c:v>2088</c:v>
                      </c:pt>
                      <c:pt idx="5">
                        <c:v>2349</c:v>
                      </c:pt>
                      <c:pt idx="6">
                        <c:v>2610</c:v>
                      </c:pt>
                      <c:pt idx="7">
                        <c:v>2871</c:v>
                      </c:pt>
                      <c:pt idx="8">
                        <c:v>3132</c:v>
                      </c:pt>
                      <c:pt idx="9">
                        <c:v>3393</c:v>
                      </c:pt>
                      <c:pt idx="10">
                        <c:v>3654</c:v>
                      </c:pt>
                      <c:pt idx="11">
                        <c:v>3915</c:v>
                      </c:pt>
                      <c:pt idx="12">
                        <c:v>4176</c:v>
                      </c:pt>
                      <c:pt idx="13">
                        <c:v>4437</c:v>
                      </c:pt>
                      <c:pt idx="14">
                        <c:v>4698</c:v>
                      </c:pt>
                      <c:pt idx="15">
                        <c:v>4959</c:v>
                      </c:pt>
                      <c:pt idx="16">
                        <c:v>5214.7</c:v>
                      </c:pt>
                      <c:pt idx="17">
                        <c:v>5220</c:v>
                      </c:pt>
                      <c:pt idx="18">
                        <c:v>5481</c:v>
                      </c:pt>
                      <c:pt idx="19">
                        <c:v>5742</c:v>
                      </c:pt>
                      <c:pt idx="20">
                        <c:v>6003</c:v>
                      </c:pt>
                      <c:pt idx="21">
                        <c:v>6264</c:v>
                      </c:pt>
                      <c:pt idx="22">
                        <c:v>6525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graph!$AR$65:$AR$124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0EA-4222-9794-78CF0D76AE88}"/>
                  </c:ext>
                </c:extLst>
              </c15:ser>
            </c15:filteredScatterSeries>
          </c:ext>
        </c:extLst>
      </c:scatterChart>
      <c:valAx>
        <c:axId val="19839948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it-IT"/>
                </a:pPr>
                <a:r>
                  <a:rPr lang="it-IT"/>
                  <a:t>f</a:t>
                </a:r>
                <a:r>
                  <a:rPr lang="it-IT" baseline="-25000"/>
                  <a:t>run</a:t>
                </a:r>
                <a:r>
                  <a:rPr lang="it-IT" baseline="0"/>
                  <a:t> [rpm]</a:t>
                </a:r>
                <a:endParaRPr lang="it-IT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it-IT"/>
            </a:pPr>
            <a:endParaRPr lang="it-IT"/>
          </a:p>
        </c:txPr>
        <c:crossAx val="198401024"/>
        <c:crosses val="autoZero"/>
        <c:crossBetween val="midCat"/>
      </c:valAx>
      <c:valAx>
        <c:axId val="19840102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lang="it-IT"/>
                </a:pPr>
                <a:r>
                  <a:rPr lang="it-IT"/>
                  <a:t>f</a:t>
                </a:r>
                <a:r>
                  <a:rPr lang="it-IT" baseline="-25000"/>
                  <a:t>ni</a:t>
                </a:r>
                <a:r>
                  <a:rPr lang="it-IT" baseline="0"/>
                  <a:t> [rpm]</a:t>
                </a:r>
                <a:endParaRPr lang="it-IT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it-IT"/>
            </a:pPr>
            <a:endParaRPr lang="it-IT"/>
          </a:p>
        </c:txPr>
        <c:crossAx val="198399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43269230769214"/>
          <c:y val="0.27037570303712088"/>
          <c:w val="0.11810468858927009"/>
          <c:h val="0.58683164975289293"/>
        </c:manualLayout>
      </c:layout>
      <c:overlay val="0"/>
      <c:txPr>
        <a:bodyPr/>
        <a:lstStyle/>
        <a:p>
          <a:pPr>
            <a:defRPr lang="it-IT"/>
          </a:pPr>
          <a:endParaRPr lang="it-IT"/>
        </a:p>
      </c:txPr>
    </c:legend>
    <c:plotVisOnly val="0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560619826368029E-2"/>
          <c:y val="3.524609423822022E-2"/>
          <c:w val="0.72574386735312157"/>
          <c:h val="0.81790726159230098"/>
        </c:manualLayout>
      </c:layout>
      <c:scatterChart>
        <c:scatterStyle val="lineMarker"/>
        <c:varyColors val="0"/>
        <c:ser>
          <c:idx val="1"/>
          <c:order val="0"/>
          <c:tx>
            <c:v>API limit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graph!$L$33:$L$42</c:f>
              <c:numCache>
                <c:formatCode>General</c:formatCode>
                <c:ptCount val="10"/>
                <c:pt idx="0">
                  <c:v>0.2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0.4</c:v>
                </c:pt>
                <c:pt idx="4">
                  <c:v>0.4</c:v>
                </c:pt>
                <c:pt idx="5">
                  <c:v>0.8</c:v>
                </c:pt>
                <c:pt idx="6">
                  <c:v>0.9</c:v>
                </c:pt>
                <c:pt idx="7">
                  <c:v>1.1499999999999999</c:v>
                </c:pt>
                <c:pt idx="8">
                  <c:v>1.3</c:v>
                </c:pt>
                <c:pt idx="9">
                  <c:v>1.5</c:v>
                </c:pt>
              </c:numCache>
            </c:numRef>
          </c:xVal>
          <c:yVal>
            <c:numRef>
              <c:f>graph!$M$33:$M$42</c:f>
              <c:numCache>
                <c:formatCode>General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8.5000000000000006E-2</c:v>
                </c:pt>
                <c:pt idx="5">
                  <c:v>8.5000000000000006E-2</c:v>
                </c:pt>
                <c:pt idx="6">
                  <c:v>0.15</c:v>
                </c:pt>
                <c:pt idx="7">
                  <c:v>0.15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D-4FDC-954A-438E361159C3}"/>
            </c:ext>
          </c:extLst>
        </c:ser>
        <c:ser>
          <c:idx val="0"/>
          <c:order val="1"/>
          <c:tx>
            <c:v>mode I</c:v>
          </c:tx>
          <c:spPr>
            <a:ln w="28575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graph!$AS$65:$AS$124</c:f>
              <c:numCache>
                <c:formatCode>General</c:formatCode>
                <c:ptCount val="60"/>
                <c:pt idx="0">
                  <c:v>1.6476117496807152</c:v>
                </c:pt>
                <c:pt idx="1">
                  <c:v>1.5378390804597701</c:v>
                </c:pt>
                <c:pt idx="2">
                  <c:v>1.3584291187739461</c:v>
                </c:pt>
                <c:pt idx="3">
                  <c:v>1.2968472906403938</c:v>
                </c:pt>
                <c:pt idx="4">
                  <c:v>1.2423563218390805</c:v>
                </c:pt>
                <c:pt idx="5">
                  <c:v>1.2012005108556831</c:v>
                </c:pt>
                <c:pt idx="6">
                  <c:v>1.1671494252873564</c:v>
                </c:pt>
                <c:pt idx="7">
                  <c:v>1.1445977011494253</c:v>
                </c:pt>
                <c:pt idx="8">
                  <c:v>1.1249616858237548</c:v>
                </c:pt>
                <c:pt idx="9">
                  <c:v>1.0993987621573829</c:v>
                </c:pt>
                <c:pt idx="10">
                  <c:v>1.0758784893267652</c:v>
                </c:pt>
                <c:pt idx="11">
                  <c:v>1.0515402298850574</c:v>
                </c:pt>
                <c:pt idx="12">
                  <c:v>1.0403304597701151</c:v>
                </c:pt>
                <c:pt idx="13">
                  <c:v>1.0289655172413792</c:v>
                </c:pt>
                <c:pt idx="14">
                  <c:v>1.0156832694763729</c:v>
                </c:pt>
                <c:pt idx="15">
                  <c:v>1.0098971566848154</c:v>
                </c:pt>
                <c:pt idx="16">
                  <c:v>1.0000038353117151</c:v>
                </c:pt>
                <c:pt idx="17">
                  <c:v>0.99980459770114949</c:v>
                </c:pt>
                <c:pt idx="18">
                  <c:v>0.98475095785440614</c:v>
                </c:pt>
                <c:pt idx="19">
                  <c:v>0.96743991640543359</c:v>
                </c:pt>
                <c:pt idx="20">
                  <c:v>0.94970514742628687</c:v>
                </c:pt>
                <c:pt idx="21">
                  <c:v>0.9249425287356321</c:v>
                </c:pt>
                <c:pt idx="22">
                  <c:v>0.89450114942528736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graph!$U$65:$U$124</c:f>
              <c:numCache>
                <c:formatCode>General</c:formatCode>
                <c:ptCount val="60"/>
                <c:pt idx="0">
                  <c:v>0.56969999999999998</c:v>
                </c:pt>
                <c:pt idx="1">
                  <c:v>0.61199999999999999</c:v>
                </c:pt>
                <c:pt idx="2">
                  <c:v>0.68110000000000004</c:v>
                </c:pt>
                <c:pt idx="3">
                  <c:v>0.70680000000000009</c:v>
                </c:pt>
                <c:pt idx="4">
                  <c:v>0.72650000000000003</c:v>
                </c:pt>
                <c:pt idx="5">
                  <c:v>0.74199999999999999</c:v>
                </c:pt>
                <c:pt idx="6">
                  <c:v>0.75430000000000008</c:v>
                </c:pt>
                <c:pt idx="7">
                  <c:v>0.76290000000000002</c:v>
                </c:pt>
                <c:pt idx="8">
                  <c:v>0.77090000000000003</c:v>
                </c:pt>
                <c:pt idx="9">
                  <c:v>0.78040000000000009</c:v>
                </c:pt>
                <c:pt idx="10">
                  <c:v>0.79090000000000005</c:v>
                </c:pt>
                <c:pt idx="11">
                  <c:v>0.80090000000000006</c:v>
                </c:pt>
                <c:pt idx="12">
                  <c:v>0.80629999999999991</c:v>
                </c:pt>
                <c:pt idx="13">
                  <c:v>0.81189999999999996</c:v>
                </c:pt>
                <c:pt idx="14">
                  <c:v>0.81830000000000003</c:v>
                </c:pt>
                <c:pt idx="15">
                  <c:v>0.82299999999999995</c:v>
                </c:pt>
                <c:pt idx="16">
                  <c:v>0.82900000000000007</c:v>
                </c:pt>
                <c:pt idx="17">
                  <c:v>0.82909999999999995</c:v>
                </c:pt>
                <c:pt idx="18">
                  <c:v>0.83660000000000001</c:v>
                </c:pt>
                <c:pt idx="19">
                  <c:v>0.84470000000000001</c:v>
                </c:pt>
                <c:pt idx="20">
                  <c:v>0.85309999999999997</c:v>
                </c:pt>
                <c:pt idx="21">
                  <c:v>0.86269999999999991</c:v>
                </c:pt>
                <c:pt idx="22">
                  <c:v>0.873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AD-4FDC-954A-438E361159C3}"/>
            </c:ext>
          </c:extLst>
        </c:ser>
        <c:ser>
          <c:idx val="2"/>
          <c:order val="2"/>
          <c:tx>
            <c:v>mode II</c:v>
          </c:tx>
          <c:spPr>
            <a:ln w="28575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graph!$AT$65:$AT$124</c:f>
              <c:numCache>
                <c:formatCode>General</c:formatCode>
                <c:ptCount val="60"/>
                <c:pt idx="0">
                  <c:v>6.6486845466155815</c:v>
                </c:pt>
                <c:pt idx="1">
                  <c:v>5.9860229885057477</c:v>
                </c:pt>
                <c:pt idx="2">
                  <c:v>4.9921839080459769</c:v>
                </c:pt>
                <c:pt idx="3">
                  <c:v>4.2863054187192118</c:v>
                </c:pt>
                <c:pt idx="4">
                  <c:v>3.7580747126436784</c:v>
                </c:pt>
                <c:pt idx="5">
                  <c:v>3.345644955300128</c:v>
                </c:pt>
                <c:pt idx="6">
                  <c:v>3.0175862068965515</c:v>
                </c:pt>
                <c:pt idx="7">
                  <c:v>2.7508672936259142</c:v>
                </c:pt>
                <c:pt idx="8">
                  <c:v>2.5275478927203063</c:v>
                </c:pt>
                <c:pt idx="9">
                  <c:v>2.3365694076038905</c:v>
                </c:pt>
                <c:pt idx="10">
                  <c:v>2.1713628899835795</c:v>
                </c:pt>
                <c:pt idx="11">
                  <c:v>2.0270651340996166</c:v>
                </c:pt>
                <c:pt idx="12">
                  <c:v>1.8998275862068965</c:v>
                </c:pt>
                <c:pt idx="13">
                  <c:v>1.7859905341446924</c:v>
                </c:pt>
                <c:pt idx="14">
                  <c:v>1.6834482758620688</c:v>
                </c:pt>
                <c:pt idx="15">
                  <c:v>1.5912764670296431</c:v>
                </c:pt>
                <c:pt idx="16">
                  <c:v>1.5096937503595607</c:v>
                </c:pt>
                <c:pt idx="17">
                  <c:v>1.508080459770115</c:v>
                </c:pt>
                <c:pt idx="18">
                  <c:v>1.4327531472359059</c:v>
                </c:pt>
                <c:pt idx="19">
                  <c:v>1.3644618599791014</c:v>
                </c:pt>
                <c:pt idx="20">
                  <c:v>1.3023988005997003</c:v>
                </c:pt>
                <c:pt idx="21">
                  <c:v>1.2456609195402299</c:v>
                </c:pt>
                <c:pt idx="22">
                  <c:v>1.193719540229885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graph!$W$65:$W$124</c:f>
              <c:numCache>
                <c:formatCode>General</c:formatCode>
                <c:ptCount val="60"/>
                <c:pt idx="0">
                  <c:v>8.0199999999999994E-2</c:v>
                </c:pt>
                <c:pt idx="1">
                  <c:v>8.6199999999999999E-2</c:v>
                </c:pt>
                <c:pt idx="2">
                  <c:v>9.7899999999999987E-2</c:v>
                </c:pt>
                <c:pt idx="3">
                  <c:v>0.10980000000000001</c:v>
                </c:pt>
                <c:pt idx="4">
                  <c:v>0.1211</c:v>
                </c:pt>
                <c:pt idx="5">
                  <c:v>0.13320000000000001</c:v>
                </c:pt>
                <c:pt idx="6">
                  <c:v>0.14380000000000001</c:v>
                </c:pt>
                <c:pt idx="7">
                  <c:v>0.15289999999999998</c:v>
                </c:pt>
                <c:pt idx="8">
                  <c:v>0.1598</c:v>
                </c:pt>
                <c:pt idx="9">
                  <c:v>0.16489999999999999</c:v>
                </c:pt>
                <c:pt idx="10">
                  <c:v>0.16980000000000001</c:v>
                </c:pt>
                <c:pt idx="11">
                  <c:v>0.17269999999999999</c:v>
                </c:pt>
                <c:pt idx="12">
                  <c:v>0.17430000000000001</c:v>
                </c:pt>
                <c:pt idx="13">
                  <c:v>0.17469999999999999</c:v>
                </c:pt>
                <c:pt idx="14">
                  <c:v>0.17430000000000001</c:v>
                </c:pt>
                <c:pt idx="15">
                  <c:v>0.17309999999999998</c:v>
                </c:pt>
                <c:pt idx="16">
                  <c:v>0.17129999999999998</c:v>
                </c:pt>
                <c:pt idx="17">
                  <c:v>0.17120000000000002</c:v>
                </c:pt>
                <c:pt idx="18">
                  <c:v>0.16879999999999998</c:v>
                </c:pt>
                <c:pt idx="19">
                  <c:v>0.16600000000000001</c:v>
                </c:pt>
                <c:pt idx="20">
                  <c:v>0.16269999999999998</c:v>
                </c:pt>
                <c:pt idx="21">
                  <c:v>0.15939999999999999</c:v>
                </c:pt>
                <c:pt idx="22">
                  <c:v>0.156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AD-4FDC-954A-438E361159C3}"/>
            </c:ext>
          </c:extLst>
        </c:ser>
        <c:ser>
          <c:idx val="3"/>
          <c:order val="3"/>
          <c:tx>
            <c:v>mode III</c:v>
          </c:tx>
          <c:spPr>
            <a:ln w="2857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graph!$AU$65:$AU$124</c:f>
              <c:numCache>
                <c:formatCode>General</c:formatCode>
                <c:ptCount val="60"/>
                <c:pt idx="0">
                  <c:v>6.7821200510855677</c:v>
                </c:pt>
                <c:pt idx="1">
                  <c:v>6.1199540229885061</c:v>
                </c:pt>
                <c:pt idx="2">
                  <c:v>5.1240996168582376</c:v>
                </c:pt>
                <c:pt idx="3">
                  <c:v>4.4144170771756981</c:v>
                </c:pt>
                <c:pt idx="4">
                  <c:v>3.8812643678160925</c:v>
                </c:pt>
                <c:pt idx="5">
                  <c:v>3.4697573435504472</c:v>
                </c:pt>
                <c:pt idx="6">
                  <c:v>3.1407356321839086</c:v>
                </c:pt>
                <c:pt idx="7">
                  <c:v>2.8719331243469175</c:v>
                </c:pt>
                <c:pt idx="8">
                  <c:v>2.6478735632183907</c:v>
                </c:pt>
                <c:pt idx="9">
                  <c:v>2.4563395225464193</c:v>
                </c:pt>
                <c:pt idx="10">
                  <c:v>2.2906075533661738</c:v>
                </c:pt>
                <c:pt idx="11">
                  <c:v>2.1434176245210725</c:v>
                </c:pt>
                <c:pt idx="12">
                  <c:v>2.0111350574712645</c:v>
                </c:pt>
                <c:pt idx="13">
                  <c:v>1.8897498309668699</c:v>
                </c:pt>
                <c:pt idx="14">
                  <c:v>1.777139208173691</c:v>
                </c:pt>
                <c:pt idx="15">
                  <c:v>1.6712885662431942</c:v>
                </c:pt>
                <c:pt idx="16">
                  <c:v>1.561815636565862</c:v>
                </c:pt>
                <c:pt idx="17">
                  <c:v>1.5590459770114944</c:v>
                </c:pt>
                <c:pt idx="18">
                  <c:v>1.4650027367268748</c:v>
                </c:pt>
                <c:pt idx="19">
                  <c:v>1.3954858934169279</c:v>
                </c:pt>
                <c:pt idx="20">
                  <c:v>1.3338330834582708</c:v>
                </c:pt>
                <c:pt idx="21">
                  <c:v>1.2781896551724139</c:v>
                </c:pt>
                <c:pt idx="22">
                  <c:v>1.227632183908046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graph!$Y$65:$Y$124</c:f>
              <c:numCache>
                <c:formatCode>General</c:formatCode>
                <c:ptCount val="60"/>
                <c:pt idx="0">
                  <c:v>6.4399999999999999E-2</c:v>
                </c:pt>
                <c:pt idx="1">
                  <c:v>7.1500000000000008E-2</c:v>
                </c:pt>
                <c:pt idx="2">
                  <c:v>8.5000000000000006E-2</c:v>
                </c:pt>
                <c:pt idx="3">
                  <c:v>9.5500000000000002E-2</c:v>
                </c:pt>
                <c:pt idx="4">
                  <c:v>0.10439999999999999</c:v>
                </c:pt>
                <c:pt idx="5">
                  <c:v>0.11169999999999999</c:v>
                </c:pt>
                <c:pt idx="6">
                  <c:v>0.1183</c:v>
                </c:pt>
                <c:pt idx="7">
                  <c:v>0.1244</c:v>
                </c:pt>
                <c:pt idx="8">
                  <c:v>0.13070000000000001</c:v>
                </c:pt>
                <c:pt idx="9">
                  <c:v>0.13720000000000002</c:v>
                </c:pt>
                <c:pt idx="10">
                  <c:v>0.14449999999999999</c:v>
                </c:pt>
                <c:pt idx="11">
                  <c:v>0.1522</c:v>
                </c:pt>
                <c:pt idx="12">
                  <c:v>0.1605</c:v>
                </c:pt>
                <c:pt idx="13">
                  <c:v>0.16920000000000002</c:v>
                </c:pt>
                <c:pt idx="14">
                  <c:v>0.1779</c:v>
                </c:pt>
                <c:pt idx="15">
                  <c:v>0.18710000000000002</c:v>
                </c:pt>
                <c:pt idx="16">
                  <c:v>0.19829999999999998</c:v>
                </c:pt>
                <c:pt idx="17">
                  <c:v>0.19839999999999999</c:v>
                </c:pt>
                <c:pt idx="18">
                  <c:v>0.1852</c:v>
                </c:pt>
                <c:pt idx="19">
                  <c:v>0.17629999999999998</c:v>
                </c:pt>
                <c:pt idx="20">
                  <c:v>0.16930000000000001</c:v>
                </c:pt>
                <c:pt idx="21">
                  <c:v>0.16329999999999997</c:v>
                </c:pt>
                <c:pt idx="22">
                  <c:v>0.15789999999999998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AD-4FDC-954A-438E361159C3}"/>
            </c:ext>
          </c:extLst>
        </c:ser>
        <c:ser>
          <c:idx val="4"/>
          <c:order val="4"/>
          <c:tx>
            <c:v>mode IV</c:v>
          </c:tx>
          <c:spPr>
            <a:ln w="28575">
              <a:solidFill>
                <a:srgbClr val="7030A0"/>
              </a:solidFill>
            </a:ln>
          </c:spPr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graph!$AV$65:$AV$124</c:f>
              <c:numCache>
                <c:formatCode>General</c:formatCode>
                <c:ptCount val="60"/>
                <c:pt idx="0">
                  <c:v>3.5782886334610473</c:v>
                </c:pt>
                <c:pt idx="1">
                  <c:v>3.245977011494253</c:v>
                </c:pt>
                <c:pt idx="2">
                  <c:v>2.7495402298850578</c:v>
                </c:pt>
                <c:pt idx="3">
                  <c:v>2.4150082101806243</c:v>
                </c:pt>
                <c:pt idx="4">
                  <c:v>2.1704022988505747</c:v>
                </c:pt>
                <c:pt idx="5">
                  <c:v>1.9945849297573435</c:v>
                </c:pt>
                <c:pt idx="6">
                  <c:v>1.8651034482758622</c:v>
                </c:pt>
                <c:pt idx="7">
                  <c:v>1.772476489028213</c:v>
                </c:pt>
                <c:pt idx="8">
                  <c:v>1.706800766283525</c:v>
                </c:pt>
                <c:pt idx="9">
                  <c:v>1.6575066312997349</c:v>
                </c:pt>
                <c:pt idx="10">
                  <c:v>1.6376847290640395</c:v>
                </c:pt>
                <c:pt idx="11">
                  <c:v>1.631785440613027</c:v>
                </c:pt>
                <c:pt idx="12">
                  <c:v>1.6378879310344827</c:v>
                </c:pt>
                <c:pt idx="13">
                  <c:v>1.6384854631507775</c:v>
                </c:pt>
                <c:pt idx="14">
                  <c:v>1.6213282247765006</c:v>
                </c:pt>
                <c:pt idx="15">
                  <c:v>1.5945674531155476</c:v>
                </c:pt>
                <c:pt idx="16">
                  <c:v>1.5635530327727385</c:v>
                </c:pt>
                <c:pt idx="17">
                  <c:v>1.562942528735632</c:v>
                </c:pt>
                <c:pt idx="18">
                  <c:v>1.53480021893815</c:v>
                </c:pt>
                <c:pt idx="19">
                  <c:v>1.5059247648902818</c:v>
                </c:pt>
                <c:pt idx="20">
                  <c:v>1.4786206896551723</c:v>
                </c:pt>
                <c:pt idx="21">
                  <c:v>1.4541187739463601</c:v>
                </c:pt>
                <c:pt idx="22">
                  <c:v>1.431457471264368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graph!$AA$65:$AA$124</c:f>
              <c:numCache>
                <c:formatCode>General</c:formatCode>
                <c:ptCount val="60"/>
                <c:pt idx="0">
                  <c:v>0.24309999999999998</c:v>
                </c:pt>
                <c:pt idx="1">
                  <c:v>0.26679999999999998</c:v>
                </c:pt>
                <c:pt idx="2">
                  <c:v>0.31090000000000001</c:v>
                </c:pt>
                <c:pt idx="3">
                  <c:v>0.34869999999999995</c:v>
                </c:pt>
                <c:pt idx="4">
                  <c:v>0.38170000000000004</c:v>
                </c:pt>
                <c:pt idx="5">
                  <c:v>0.41049999999999998</c:v>
                </c:pt>
                <c:pt idx="6">
                  <c:v>0.434</c:v>
                </c:pt>
                <c:pt idx="7">
                  <c:v>0.45189999999999997</c:v>
                </c:pt>
                <c:pt idx="8">
                  <c:v>0.46529999999999999</c:v>
                </c:pt>
                <c:pt idx="9">
                  <c:v>0.47560000000000002</c:v>
                </c:pt>
                <c:pt idx="10">
                  <c:v>0.48130000000000001</c:v>
                </c:pt>
                <c:pt idx="11">
                  <c:v>0.48060000000000003</c:v>
                </c:pt>
                <c:pt idx="12">
                  <c:v>0.46789999999999998</c:v>
                </c:pt>
                <c:pt idx="13">
                  <c:v>0.44840000000000002</c:v>
                </c:pt>
                <c:pt idx="14">
                  <c:v>0.43060000000000004</c:v>
                </c:pt>
                <c:pt idx="15">
                  <c:v>0.41420000000000001</c:v>
                </c:pt>
                <c:pt idx="16">
                  <c:v>0.40279999999999999</c:v>
                </c:pt>
                <c:pt idx="17">
                  <c:v>0.40259999999999996</c:v>
                </c:pt>
                <c:pt idx="18">
                  <c:v>0.39240000000000003</c:v>
                </c:pt>
                <c:pt idx="19">
                  <c:v>0.38579999999999998</c:v>
                </c:pt>
                <c:pt idx="20">
                  <c:v>0.38159999999999994</c:v>
                </c:pt>
                <c:pt idx="21">
                  <c:v>0.37969999999999998</c:v>
                </c:pt>
                <c:pt idx="22">
                  <c:v>0.37959999999999999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AD-4FDC-954A-438E361159C3}"/>
            </c:ext>
          </c:extLst>
        </c:ser>
        <c:ser>
          <c:idx val="6"/>
          <c:order val="5"/>
          <c:tx>
            <c:v>mode V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graph!$AW$65:$AW$124</c:f>
              <c:numCache>
                <c:formatCode>General</c:formatCode>
                <c:ptCount val="60"/>
                <c:pt idx="0">
                  <c:v>9.2537931034482757</c:v>
                </c:pt>
                <c:pt idx="1">
                  <c:v>8.3063448275862068</c:v>
                </c:pt>
                <c:pt idx="2">
                  <c:v>6.9015325670498076</c:v>
                </c:pt>
                <c:pt idx="3">
                  <c:v>5.8924137931034481</c:v>
                </c:pt>
                <c:pt idx="4">
                  <c:v>5.1282758620689659</c:v>
                </c:pt>
                <c:pt idx="5">
                  <c:v>4.5185440613026824</c:v>
                </c:pt>
                <c:pt idx="6">
                  <c:v>4.0231724137931044</c:v>
                </c:pt>
                <c:pt idx="7">
                  <c:v>3.6124137931034488</c:v>
                </c:pt>
                <c:pt idx="8">
                  <c:v>3.2653831417624524</c:v>
                </c:pt>
                <c:pt idx="9">
                  <c:v>2.9650397877984087</c:v>
                </c:pt>
                <c:pt idx="10">
                  <c:v>2.6781609195402298</c:v>
                </c:pt>
                <c:pt idx="11">
                  <c:v>2.4154636015325672</c:v>
                </c:pt>
                <c:pt idx="12">
                  <c:v>2.1903591954022992</c:v>
                </c:pt>
                <c:pt idx="13">
                  <c:v>2.0064097363083166</c:v>
                </c:pt>
                <c:pt idx="14">
                  <c:v>1.8713665389527459</c:v>
                </c:pt>
                <c:pt idx="15">
                  <c:v>1.77362371445856</c:v>
                </c:pt>
                <c:pt idx="16">
                  <c:v>1.6969298329721747</c:v>
                </c:pt>
                <c:pt idx="17">
                  <c:v>1.6953908045977013</c:v>
                </c:pt>
                <c:pt idx="18">
                  <c:v>1.6135194307608103</c:v>
                </c:pt>
                <c:pt idx="19">
                  <c:v>1.5512016718913271</c:v>
                </c:pt>
                <c:pt idx="20">
                  <c:v>1.5160619690154922</c:v>
                </c:pt>
                <c:pt idx="21">
                  <c:v>1.4758716475095783</c:v>
                </c:pt>
                <c:pt idx="22">
                  <c:v>1.4330850574712646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graph!$AC$65:$AC$124</c:f>
              <c:numCache>
                <c:formatCode>General</c:formatCode>
                <c:ptCount val="60"/>
                <c:pt idx="0">
                  <c:v>0.1396</c:v>
                </c:pt>
                <c:pt idx="1">
                  <c:v>0.1532</c:v>
                </c:pt>
                <c:pt idx="2">
                  <c:v>0.1787</c:v>
                </c:pt>
                <c:pt idx="3">
                  <c:v>0.20430000000000001</c:v>
                </c:pt>
                <c:pt idx="4">
                  <c:v>0.22940000000000002</c:v>
                </c:pt>
                <c:pt idx="5">
                  <c:v>0.25850000000000001</c:v>
                </c:pt>
                <c:pt idx="6">
                  <c:v>0.2883</c:v>
                </c:pt>
                <c:pt idx="7">
                  <c:v>0.31940000000000002</c:v>
                </c:pt>
                <c:pt idx="8">
                  <c:v>0.35009999999999997</c:v>
                </c:pt>
                <c:pt idx="9">
                  <c:v>0.38100000000000001</c:v>
                </c:pt>
                <c:pt idx="10">
                  <c:v>0.42249999999999999</c:v>
                </c:pt>
                <c:pt idx="11">
                  <c:v>0.4667</c:v>
                </c:pt>
                <c:pt idx="12">
                  <c:v>0.51300000000000001</c:v>
                </c:pt>
                <c:pt idx="13">
                  <c:v>0.55930000000000002</c:v>
                </c:pt>
                <c:pt idx="14">
                  <c:v>0.59729999999999994</c:v>
                </c:pt>
                <c:pt idx="15">
                  <c:v>0.62780000000000002</c:v>
                </c:pt>
                <c:pt idx="16">
                  <c:v>0.65069999999999995</c:v>
                </c:pt>
                <c:pt idx="17">
                  <c:v>0.65110000000000001</c:v>
                </c:pt>
                <c:pt idx="18">
                  <c:v>0.67709999999999992</c:v>
                </c:pt>
                <c:pt idx="19">
                  <c:v>0.69489999999999996</c:v>
                </c:pt>
                <c:pt idx="20">
                  <c:v>0.70250000000000001</c:v>
                </c:pt>
                <c:pt idx="21">
                  <c:v>0.71299999999999997</c:v>
                </c:pt>
                <c:pt idx="22">
                  <c:v>0.72489999999999999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AD-4FDC-954A-438E361159C3}"/>
            </c:ext>
          </c:extLst>
        </c:ser>
        <c:ser>
          <c:idx val="7"/>
          <c:order val="6"/>
          <c:tx>
            <c:v>mode VI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graph!$AX$65:$AX$124</c:f>
              <c:numCache>
                <c:formatCode>General</c:formatCode>
                <c:ptCount val="60"/>
                <c:pt idx="0">
                  <c:v>3.8483269476372928</c:v>
                </c:pt>
                <c:pt idx="1">
                  <c:v>3.4965977011494256</c:v>
                </c:pt>
                <c:pt idx="2">
                  <c:v>2.9660153256704977</c:v>
                </c:pt>
                <c:pt idx="3">
                  <c:v>2.6057471264367815</c:v>
                </c:pt>
                <c:pt idx="4">
                  <c:v>2.3368678160919538</c:v>
                </c:pt>
                <c:pt idx="5">
                  <c:v>2.1348659003831418</c:v>
                </c:pt>
                <c:pt idx="6">
                  <c:v>1.9799999999999998</c:v>
                </c:pt>
                <c:pt idx="7">
                  <c:v>1.8660188087774294</c:v>
                </c:pt>
                <c:pt idx="8">
                  <c:v>1.7821264367816092</c:v>
                </c:pt>
                <c:pt idx="9">
                  <c:v>1.7187091069849689</c:v>
                </c:pt>
                <c:pt idx="10">
                  <c:v>1.6766338259441709</c:v>
                </c:pt>
                <c:pt idx="11">
                  <c:v>1.6412567049808429</c:v>
                </c:pt>
                <c:pt idx="12">
                  <c:v>1.6130028735632183</c:v>
                </c:pt>
                <c:pt idx="13">
                  <c:v>1.5884516565246789</c:v>
                </c:pt>
                <c:pt idx="14">
                  <c:v>1.5663984674329503</c:v>
                </c:pt>
                <c:pt idx="15">
                  <c:v>1.5483847549909258</c:v>
                </c:pt>
                <c:pt idx="16">
                  <c:v>1.5458223867144802</c:v>
                </c:pt>
                <c:pt idx="17">
                  <c:v>1.5464137931034485</c:v>
                </c:pt>
                <c:pt idx="18">
                  <c:v>1.539824849480022</c:v>
                </c:pt>
                <c:pt idx="19">
                  <c:v>1.5190282131661443</c:v>
                </c:pt>
                <c:pt idx="20">
                  <c:v>1.5000399800099951</c:v>
                </c:pt>
                <c:pt idx="21">
                  <c:v>1.4829022988505747</c:v>
                </c:pt>
                <c:pt idx="22">
                  <c:v>1.4664919540229886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graph!$AE$65:$AE$124</c:f>
              <c:numCache>
                <c:formatCode>General</c:formatCode>
                <c:ptCount val="60"/>
                <c:pt idx="0">
                  <c:v>0.19690000000000002</c:v>
                </c:pt>
                <c:pt idx="1">
                  <c:v>0.21260000000000001</c:v>
                </c:pt>
                <c:pt idx="2">
                  <c:v>0.24350000000000002</c:v>
                </c:pt>
                <c:pt idx="3">
                  <c:v>0.2656</c:v>
                </c:pt>
                <c:pt idx="4">
                  <c:v>0.28449999999999998</c:v>
                </c:pt>
                <c:pt idx="5">
                  <c:v>0.29830000000000001</c:v>
                </c:pt>
                <c:pt idx="6">
                  <c:v>0.30680000000000002</c:v>
                </c:pt>
                <c:pt idx="7">
                  <c:v>0.3075</c:v>
                </c:pt>
                <c:pt idx="8">
                  <c:v>0.30249999999999999</c:v>
                </c:pt>
                <c:pt idx="9">
                  <c:v>0.29580000000000001</c:v>
                </c:pt>
                <c:pt idx="10">
                  <c:v>0.28689999999999999</c:v>
                </c:pt>
                <c:pt idx="11">
                  <c:v>0.2797</c:v>
                </c:pt>
                <c:pt idx="12">
                  <c:v>0.27179999999999999</c:v>
                </c:pt>
                <c:pt idx="13">
                  <c:v>0.26469999999999999</c:v>
                </c:pt>
                <c:pt idx="14">
                  <c:v>0.25730000000000003</c:v>
                </c:pt>
                <c:pt idx="15">
                  <c:v>0.24640000000000001</c:v>
                </c:pt>
                <c:pt idx="16">
                  <c:v>0.23089999999999999</c:v>
                </c:pt>
                <c:pt idx="17">
                  <c:v>0.23070000000000002</c:v>
                </c:pt>
                <c:pt idx="18">
                  <c:v>0.23480000000000001</c:v>
                </c:pt>
                <c:pt idx="19">
                  <c:v>0.2334</c:v>
                </c:pt>
                <c:pt idx="20">
                  <c:v>0.2293</c:v>
                </c:pt>
                <c:pt idx="21">
                  <c:v>0.22460000000000002</c:v>
                </c:pt>
                <c:pt idx="22">
                  <c:v>0.22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AD-4FDC-954A-438E361159C3}"/>
            </c:ext>
          </c:extLst>
        </c:ser>
        <c:ser>
          <c:idx val="8"/>
          <c:order val="7"/>
          <c:tx>
            <c:v>mode VII</c:v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graph!$AY$65:$AY$124</c:f>
              <c:numCache>
                <c:formatCode>General</c:formatCode>
                <c:ptCount val="60"/>
                <c:pt idx="0">
                  <c:v>9.4044444444444455</c:v>
                </c:pt>
                <c:pt idx="1">
                  <c:v>8.5151264367816086</c:v>
                </c:pt>
                <c:pt idx="2">
                  <c:v>7.1509195402298849</c:v>
                </c:pt>
                <c:pt idx="3">
                  <c:v>6.1617077175697865</c:v>
                </c:pt>
                <c:pt idx="4">
                  <c:v>5.4104022988505749</c:v>
                </c:pt>
                <c:pt idx="5">
                  <c:v>4.8355555555555565</c:v>
                </c:pt>
                <c:pt idx="6">
                  <c:v>4.3728275862068964</c:v>
                </c:pt>
                <c:pt idx="7">
                  <c:v>3.9911389759665621</c:v>
                </c:pt>
                <c:pt idx="8">
                  <c:v>3.673103448275862</c:v>
                </c:pt>
                <c:pt idx="9">
                  <c:v>3.3994518125552609</c:v>
                </c:pt>
                <c:pt idx="10">
                  <c:v>3.1715927750410509</c:v>
                </c:pt>
                <c:pt idx="11">
                  <c:v>2.9690574712643678</c:v>
                </c:pt>
                <c:pt idx="12">
                  <c:v>2.7852873563218394</c:v>
                </c:pt>
                <c:pt idx="13">
                  <c:v>2.6141311697092631</c:v>
                </c:pt>
                <c:pt idx="14">
                  <c:v>2.4514814814814816</c:v>
                </c:pt>
                <c:pt idx="15">
                  <c:v>2.3018511796733212</c:v>
                </c:pt>
                <c:pt idx="16">
                  <c:v>2.1600322166184056</c:v>
                </c:pt>
                <c:pt idx="17">
                  <c:v>2.1572183908045979</c:v>
                </c:pt>
                <c:pt idx="18">
                  <c:v>2.0222879036672139</c:v>
                </c:pt>
                <c:pt idx="19">
                  <c:v>1.8754858934169281</c:v>
                </c:pt>
                <c:pt idx="20">
                  <c:v>1.7309945027486258</c:v>
                </c:pt>
                <c:pt idx="21">
                  <c:v>1.6296168582375479</c:v>
                </c:pt>
                <c:pt idx="22">
                  <c:v>1.5503356321839079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graph!$AG$65:$AG$124</c:f>
              <c:numCache>
                <c:formatCode>General</c:formatCode>
                <c:ptCount val="60"/>
                <c:pt idx="0">
                  <c:v>0.1411</c:v>
                </c:pt>
                <c:pt idx="1">
                  <c:v>0.15190000000000001</c:v>
                </c:pt>
                <c:pt idx="2">
                  <c:v>0.17559999999999998</c:v>
                </c:pt>
                <c:pt idx="3">
                  <c:v>0.1973</c:v>
                </c:pt>
                <c:pt idx="4">
                  <c:v>0.21859999999999999</c:v>
                </c:pt>
                <c:pt idx="5">
                  <c:v>0.2369</c:v>
                </c:pt>
                <c:pt idx="6">
                  <c:v>0.25579999999999997</c:v>
                </c:pt>
                <c:pt idx="7">
                  <c:v>0.2752</c:v>
                </c:pt>
                <c:pt idx="8">
                  <c:v>0.29620000000000002</c:v>
                </c:pt>
                <c:pt idx="9">
                  <c:v>0.31869999999999998</c:v>
                </c:pt>
                <c:pt idx="10">
                  <c:v>0.3387</c:v>
                </c:pt>
                <c:pt idx="11">
                  <c:v>0.35909999999999997</c:v>
                </c:pt>
                <c:pt idx="12">
                  <c:v>0.38109999999999999</c:v>
                </c:pt>
                <c:pt idx="13">
                  <c:v>0.4052</c:v>
                </c:pt>
                <c:pt idx="14">
                  <c:v>0.43189999999999995</c:v>
                </c:pt>
                <c:pt idx="15">
                  <c:v>0.45779999999999998</c:v>
                </c:pt>
                <c:pt idx="16">
                  <c:v>0.4839</c:v>
                </c:pt>
                <c:pt idx="17">
                  <c:v>0.48450000000000004</c:v>
                </c:pt>
                <c:pt idx="18">
                  <c:v>0.50970000000000004</c:v>
                </c:pt>
                <c:pt idx="19">
                  <c:v>0.54270000000000007</c:v>
                </c:pt>
                <c:pt idx="20">
                  <c:v>0.59119999999999995</c:v>
                </c:pt>
                <c:pt idx="21">
                  <c:v>0.63329999999999997</c:v>
                </c:pt>
                <c:pt idx="22">
                  <c:v>0.66650000000000009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AD-4FDC-954A-438E361159C3}"/>
            </c:ext>
          </c:extLst>
        </c:ser>
        <c:ser>
          <c:idx val="9"/>
          <c:order val="8"/>
          <c:tx>
            <c:v>mode VIII</c:v>
          </c:tx>
          <c:spPr>
            <a:ln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circle"/>
            <c:size val="5"/>
            <c:spPr>
              <a:solidFill>
                <a:schemeClr val="tx1">
                  <a:lumMod val="85000"/>
                  <a:lumOff val="15000"/>
                </a:schemeClr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graph!$AZ$65:$AZ$124</c:f>
              <c:numCache>
                <c:formatCode>General</c:formatCode>
                <c:ptCount val="60"/>
                <c:pt idx="0">
                  <c:v>1.9614303959131547</c:v>
                </c:pt>
                <c:pt idx="1">
                  <c:v>1.8323218390804601</c:v>
                </c:pt>
                <c:pt idx="2">
                  <c:v>1.6180076628352489</c:v>
                </c:pt>
                <c:pt idx="3">
                  <c:v>1.5443021346469623</c:v>
                </c:pt>
                <c:pt idx="4">
                  <c:v>1.487183908045977</c:v>
                </c:pt>
                <c:pt idx="5">
                  <c:v>1.4691187739463603</c:v>
                </c:pt>
                <c:pt idx="6">
                  <c:v>1.4568965517241379</c:v>
                </c:pt>
                <c:pt idx="7">
                  <c:v>1.4509926854754442</c:v>
                </c:pt>
                <c:pt idx="8">
                  <c:v>1.4482758620689655</c:v>
                </c:pt>
                <c:pt idx="9">
                  <c:v>1.4381786030061892</c:v>
                </c:pt>
                <c:pt idx="10">
                  <c:v>1.4315106732348111</c:v>
                </c:pt>
                <c:pt idx="11">
                  <c:v>1.4247969348659004</c:v>
                </c:pt>
                <c:pt idx="12">
                  <c:v>1.4280603448275861</c:v>
                </c:pt>
                <c:pt idx="13">
                  <c:v>1.4378634212305612</c:v>
                </c:pt>
                <c:pt idx="14">
                  <c:v>1.4545210727969349</c:v>
                </c:pt>
                <c:pt idx="15">
                  <c:v>1.4810526315789474</c:v>
                </c:pt>
                <c:pt idx="16">
                  <c:v>1.5092335129537651</c:v>
                </c:pt>
                <c:pt idx="17">
                  <c:v>1.5099655172413793</c:v>
                </c:pt>
                <c:pt idx="18">
                  <c:v>1.5529392446633825</c:v>
                </c:pt>
                <c:pt idx="19">
                  <c:v>1.6081400208986416</c:v>
                </c:pt>
                <c:pt idx="20">
                  <c:v>1.6628485757121438</c:v>
                </c:pt>
                <c:pt idx="21">
                  <c:v>1.6849425287356321</c:v>
                </c:pt>
                <c:pt idx="22">
                  <c:v>1.6904091954022988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graph!$AI$65:$AI$124</c:f>
              <c:numCache>
                <c:formatCode>General</c:formatCode>
                <c:ptCount val="60"/>
                <c:pt idx="0">
                  <c:v>0.35489999999999999</c:v>
                </c:pt>
                <c:pt idx="1">
                  <c:v>0.37130000000000002</c:v>
                </c:pt>
                <c:pt idx="2">
                  <c:v>0.40979999999999994</c:v>
                </c:pt>
                <c:pt idx="3">
                  <c:v>0.42020000000000002</c:v>
                </c:pt>
                <c:pt idx="4">
                  <c:v>0.43329999999999996</c:v>
                </c:pt>
                <c:pt idx="5">
                  <c:v>0.43939999999999996</c:v>
                </c:pt>
                <c:pt idx="6">
                  <c:v>0.44819999999999999</c:v>
                </c:pt>
                <c:pt idx="7">
                  <c:v>0.45909999999999995</c:v>
                </c:pt>
                <c:pt idx="8">
                  <c:v>0.47009999999999996</c:v>
                </c:pt>
                <c:pt idx="9">
                  <c:v>0.48229999999999995</c:v>
                </c:pt>
                <c:pt idx="10">
                  <c:v>0.49280000000000002</c:v>
                </c:pt>
                <c:pt idx="11">
                  <c:v>0.50109999999999999</c:v>
                </c:pt>
                <c:pt idx="12">
                  <c:v>0.50380000000000003</c:v>
                </c:pt>
                <c:pt idx="13">
                  <c:v>0.50479999999999992</c:v>
                </c:pt>
                <c:pt idx="14">
                  <c:v>0.50479999999999992</c:v>
                </c:pt>
                <c:pt idx="15">
                  <c:v>0.50340000000000007</c:v>
                </c:pt>
                <c:pt idx="16">
                  <c:v>0.50409999999999999</c:v>
                </c:pt>
                <c:pt idx="17">
                  <c:v>0.50409999999999999</c:v>
                </c:pt>
                <c:pt idx="18">
                  <c:v>0.50329999999999997</c:v>
                </c:pt>
                <c:pt idx="19">
                  <c:v>0.49619999999999997</c:v>
                </c:pt>
                <c:pt idx="20">
                  <c:v>0.47189999999999999</c:v>
                </c:pt>
                <c:pt idx="21">
                  <c:v>0.4506</c:v>
                </c:pt>
                <c:pt idx="22">
                  <c:v>0.43700000000000006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AD-4FDC-954A-438E361159C3}"/>
            </c:ext>
          </c:extLst>
        </c:ser>
        <c:ser>
          <c:idx val="5"/>
          <c:order val="13"/>
          <c:tx>
            <c:v>cursor</c:v>
          </c:tx>
          <c:spPr>
            <a:ln>
              <a:noFill/>
            </a:ln>
          </c:spPr>
          <c:marker>
            <c:symbol val="x"/>
            <c:size val="9"/>
            <c:spPr>
              <a:solidFill>
                <a:schemeClr val="tx1"/>
              </a:solidFill>
              <a:ln>
                <a:solidFill>
                  <a:sysClr val="window" lastClr="FFFFFF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it-IT" sz="1200" b="1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graph!$C$22</c:f>
              <c:numCache>
                <c:formatCode>0.000</c:formatCode>
                <c:ptCount val="1"/>
                <c:pt idx="0">
                  <c:v>1.2781896551724139</c:v>
                </c:pt>
              </c:numCache>
              <c:extLst xmlns:c15="http://schemas.microsoft.com/office/drawing/2012/chart"/>
            </c:numRef>
          </c:xVal>
          <c:yVal>
            <c:numRef>
              <c:f>graph!$C$23</c:f>
              <c:numCache>
                <c:formatCode>General</c:formatCode>
                <c:ptCount val="1"/>
                <c:pt idx="0">
                  <c:v>0.16329999999999997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DAD-4FDC-954A-438E36115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66176"/>
        <c:axId val="198488832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9"/>
                <c:tx>
                  <c:v>mode IX</c:v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92D05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graph!$BA$65:$BA$124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graph!$AK$65:$AK$124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8C4-4BC7-AC09-68D3EB683BC8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v>mode X</c:v>
                </c:tx>
                <c:spPr>
                  <a:ln>
                    <a:solidFill>
                      <a:schemeClr val="accent6">
                        <a:lumMod val="75000"/>
                      </a:schemeClr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75000"/>
                      </a:schemeClr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graph!$BB$65:$BB$124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graph!$AM$65:$AM$124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8C4-4BC7-AC09-68D3EB683BC8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v>mode XI</c:v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00B0F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graph!$BC$65:$BC$124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graph!$AO$65:$AO$124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8C4-4BC7-AC09-68D3EB683BC8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v>mode XII</c:v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circle"/>
                  <c:size val="5"/>
                  <c:spPr>
                    <a:solidFill>
                      <a:srgbClr val="7030A0"/>
                    </a:solidFill>
                    <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graph!$BD$65:$BD$124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graph!$AQ$65:$AQ$124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8C4-4BC7-AC09-68D3EB683BC8}"/>
                  </c:ext>
                </c:extLst>
              </c15:ser>
            </c15:filteredScatterSeries>
          </c:ext>
        </c:extLst>
      </c:scatterChart>
      <c:valAx>
        <c:axId val="198466176"/>
        <c:scaling>
          <c:orientation val="minMax"/>
          <c:max val="2.2000000000000002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it-IT"/>
                </a:pPr>
                <a:r>
                  <a:rPr lang="it-IT"/>
                  <a:t>f</a:t>
                </a:r>
                <a:r>
                  <a:rPr lang="it-IT" baseline="-25000"/>
                  <a:t>ni</a:t>
                </a:r>
                <a:r>
                  <a:rPr lang="it-IT"/>
                  <a:t>/f</a:t>
                </a:r>
                <a:r>
                  <a:rPr lang="it-IT" baseline="-25000"/>
                  <a:t>run</a:t>
                </a:r>
                <a:r>
                  <a:rPr lang="it-IT" baseline="0"/>
                  <a:t> [-]</a:t>
                </a:r>
                <a:endParaRPr lang="it-IT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it-IT"/>
            </a:pPr>
            <a:endParaRPr lang="it-IT"/>
          </a:p>
        </c:txPr>
        <c:crossAx val="198488832"/>
        <c:crosses val="autoZero"/>
        <c:crossBetween val="midCat"/>
      </c:valAx>
      <c:valAx>
        <c:axId val="198488832"/>
        <c:scaling>
          <c:orientation val="minMax"/>
          <c:max val="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lang="it-IT"/>
                </a:pPr>
                <a:r>
                  <a:rPr lang="el-GR"/>
                  <a:t>ξ</a:t>
                </a:r>
                <a:r>
                  <a:rPr lang="it-IT" baseline="-25000"/>
                  <a:t>ni</a:t>
                </a:r>
                <a:r>
                  <a:rPr lang="it-IT" baseline="0"/>
                  <a:t> [-]</a:t>
                </a:r>
                <a:endParaRPr lang="it-IT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it-IT"/>
            </a:pPr>
            <a:endParaRPr lang="it-IT"/>
          </a:p>
        </c:txPr>
        <c:crossAx val="19846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782846254795063"/>
          <c:y val="0.35648468941382427"/>
          <c:w val="0.10652430761479655"/>
          <c:h val="0.39949260839607159"/>
        </c:manualLayout>
      </c:layout>
      <c:overlay val="0"/>
      <c:txPr>
        <a:bodyPr/>
        <a:lstStyle/>
        <a:p>
          <a:pPr>
            <a:defRPr lang="it-IT"/>
          </a:pPr>
          <a:endParaRPr lang="it-IT"/>
        </a:p>
      </c:txPr>
    </c:legend>
    <c:plotVisOnly val="0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I$3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Style="combo" dx="16" fmlaLink="$I$34" fmlaRange="$H$65:$H$124" sel="22" val="19"/>
</file>

<file path=xl/ctrlProps/ctrlProp5.xml><?xml version="1.0" encoding="utf-8"?>
<formControlPr xmlns="http://schemas.microsoft.com/office/spreadsheetml/2009/9/main" objectType="Drop" dropStyle="combo" dx="16" fmlaLink="$I$35" fmlaRange="$J$32:$J$43" sel="3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38118F69-8E81-44A9-9AF0-5B8A05307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27</xdr:row>
      <xdr:rowOff>95249</xdr:rowOff>
    </xdr:from>
    <xdr:to>
      <xdr:col>29</xdr:col>
      <xdr:colOff>19050</xdr:colOff>
      <xdr:row>37</xdr:row>
      <xdr:rowOff>47624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B744DA0-0C2F-468D-9203-16E7D16BCBAA}"/>
            </a:ext>
          </a:extLst>
        </xdr:cNvPr>
        <xdr:cNvSpPr txBox="1"/>
      </xdr:nvSpPr>
      <xdr:spPr>
        <a:xfrm>
          <a:off x="95250" y="5238749"/>
          <a:ext cx="6276975" cy="18573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creates the damping factor vs frequency ratio diagram in accordance to API 610 Annex I</a:t>
          </a:r>
        </a:p>
        <a:p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"graph"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This sheet plots Campbell and API 610 Annex I diagram.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"dry", "as new" and "twice as new"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These sheets store the input data to create the diagram in "graph" sheet.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NOTE. Input file should have the format used in Madyn 2000</a:t>
          </a:r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31</xdr:row>
      <xdr:rowOff>0</xdr:rowOff>
    </xdr:from>
    <xdr:to>
      <xdr:col>19</xdr:col>
      <xdr:colOff>663675</xdr:colOff>
      <xdr:row>61</xdr:row>
      <xdr:rowOff>6900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112843</xdr:rowOff>
    </xdr:from>
    <xdr:to>
      <xdr:col>19</xdr:col>
      <xdr:colOff>663675</xdr:colOff>
      <xdr:row>30</xdr:row>
      <xdr:rowOff>176893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 new clearance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27" name="Option Button 3" descr="twice as new clearanc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twice as new clearance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2</xdr:col>
          <xdr:colOff>666750</xdr:colOff>
          <xdr:row>13</xdr:row>
          <xdr:rowOff>180975</xdr:rowOff>
        </xdr:to>
        <xdr:sp macro="" textlink="">
          <xdr:nvSpPr>
            <xdr:cNvPr id="1030" name="Button 6" descr="Read Dry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</xdr:row>
          <xdr:rowOff>19050</xdr:rowOff>
        </xdr:from>
        <xdr:to>
          <xdr:col>4</xdr:col>
          <xdr:colOff>723900</xdr:colOff>
          <xdr:row>13</xdr:row>
          <xdr:rowOff>180975</xdr:rowOff>
        </xdr:to>
        <xdr:sp macro="" textlink="">
          <xdr:nvSpPr>
            <xdr:cNvPr id="1031" name="Button 7" descr="Read Dr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As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12</xdr:row>
          <xdr:rowOff>19050</xdr:rowOff>
        </xdr:from>
        <xdr:to>
          <xdr:col>7</xdr:col>
          <xdr:colOff>0</xdr:colOff>
          <xdr:row>13</xdr:row>
          <xdr:rowOff>180975</xdr:rowOff>
        </xdr:to>
        <xdr:sp macro="" textlink="">
          <xdr:nvSpPr>
            <xdr:cNvPr id="1032" name="Button 8" descr="Read Dr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Twice as new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7</xdr:col>
      <xdr:colOff>0</xdr:colOff>
      <xdr:row>39</xdr:row>
      <xdr:rowOff>57150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674756C9-FF74-4BC5-B670-1A0EC181720B}"/>
            </a:ext>
          </a:extLst>
        </xdr:cNvPr>
        <xdr:cNvSpPr txBox="1"/>
      </xdr:nvSpPr>
      <xdr:spPr>
        <a:xfrm>
          <a:off x="180975" y="4933950"/>
          <a:ext cx="4743450" cy="27622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1" u="sng"/>
            <a:t>INSTRUCTIONS</a:t>
          </a:r>
        </a:p>
        <a:p>
          <a:pPr algn="l"/>
          <a:r>
            <a:rPr lang="it-IT">
              <a:effectLst/>
            </a:rPr>
            <a:t>1)</a:t>
          </a:r>
          <a:r>
            <a:rPr lang="it-IT" baseline="0">
              <a:effectLst/>
            </a:rPr>
            <a:t> Compile the input cells in the Table "Input parameters".  Set the rotating speed, minimum and maximum speed of the lateral analysis.</a:t>
          </a: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2) Compile the input cells in the Table "Input File " with the file name.</a:t>
          </a:r>
          <a:endParaRPr lang="it-IT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3) Push the buttons to import the natural frequencies and the damping ratio. Control data are imported correctly.</a:t>
          </a: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4) Select the operating condition to show in the graphs.</a:t>
          </a: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5) Verify all points in API 610 Annex I diagram are in the acceptable region.</a:t>
          </a:r>
        </a:p>
        <a:p>
          <a:pPr algn="l"/>
          <a:endParaRPr lang="it-IT" baseline="0">
            <a:effectLst/>
          </a:endParaRPr>
        </a:p>
        <a:p>
          <a:pPr algn="l"/>
          <a:r>
            <a:rPr lang="it-IT" baseline="0">
              <a:effectLst/>
            </a:rPr>
            <a:t>NOTE.  Graphs shows as default the first eight natural frequencies. You can increase them up to twelve.</a:t>
          </a:r>
          <a:endParaRPr lang="it-IT">
            <a:effectLst/>
          </a:endParaRPr>
        </a:p>
        <a:p>
          <a:endParaRPr lang="it-IT">
            <a:effectLst/>
          </a:endParaRPr>
        </a:p>
        <a:p>
          <a:r>
            <a:rPr lang="en-US" sz="1100" b="0" u="none"/>
            <a:t>                                 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mped" displayName="Damped" ref="H64:BD124" totalsRowShown="0" headerRowDxfId="50" dataDxfId="49">
  <autoFilter ref="H64:BD124" xr:uid="{00000000-0009-0000-0100-000001000000}"/>
  <tableColumns count="49">
    <tableColumn id="1" xr3:uid="{00000000-0010-0000-0000-000001000000}" name="frun [rpm]" dataDxfId="48">
      <calculatedColumnFormula array="1">_xlfn.IFS($I$32=1,IF(ISBLANK(dry!B2),NA(),dry!B2),$I$32=2,IF(ISBLANK('as new'!B2),NA(),'as new'!B2),$I$32=3,IF(ISBLANK('twice as new'!B2),NA(),'twice as new'!B2))</calculatedColumnFormula>
    </tableColumn>
    <tableColumn id="61" xr3:uid="{7D5EBD3B-AE7F-4A97-82C9-1CA969D2F3D7}" name="mode I" dataDxfId="47">
      <calculatedColumnFormula>Damped[[#This Row],[ξI '[-']]]/API_check(Damped[[#This Row],[fI/frun]])</calculatedColumnFormula>
    </tableColumn>
    <tableColumn id="60" xr3:uid="{AD41E187-F1CF-48DA-8061-E1698C92DB2B}" name="mode II" dataDxfId="46">
      <calculatedColumnFormula>Damped[[#This Row],[ξII '[-']]]/API_check(Damped[[#This Row],[fII/frun]])</calculatedColumnFormula>
    </tableColumn>
    <tableColumn id="59" xr3:uid="{2DD908DB-5098-47CE-A600-A1AB9E25FB6F}" name="mode III" dataDxfId="45">
      <calculatedColumnFormula>Damped[[#This Row],[ξIII '[-']]]/API_check(Damped[[#This Row],[fIII/frun]])</calculatedColumnFormula>
    </tableColumn>
    <tableColumn id="58" xr3:uid="{BB3778D7-A66E-46A4-9476-DF04021E0614}" name="mode IV" dataDxfId="44">
      <calculatedColumnFormula>Damped[[#This Row],[ξIV '[-']]]/API_check(Damped[[#This Row],[fIV/frun]])</calculatedColumnFormula>
    </tableColumn>
    <tableColumn id="57" xr3:uid="{D9AE3F54-86FB-4621-935C-1F32BB4E56DA}" name="mode V" dataDxfId="43">
      <calculatedColumnFormula>Damped[[#This Row],[ξV '[-']]]/API_check(Damped[[#This Row],[fV/frun]])</calculatedColumnFormula>
    </tableColumn>
    <tableColumn id="56" xr3:uid="{5E0A668A-E3A3-4CC8-8CA1-FD9A470805D6}" name="mode VI" dataDxfId="42">
      <calculatedColumnFormula>Damped[[#This Row],[ξVI '[-']]]/API_check(Damped[[#This Row],[fVI/frun]])</calculatedColumnFormula>
    </tableColumn>
    <tableColumn id="55" xr3:uid="{13533CA0-A4A6-4347-B730-76805A9FBD34}" name="mode VII" dataDxfId="41">
      <calculatedColumnFormula>Damped[[#This Row],[ξVII '[-']]]/API_check(Damped[[#This Row],[fVII/frun]])</calculatedColumnFormula>
    </tableColumn>
    <tableColumn id="54" xr3:uid="{36F28FBE-39A7-4545-89E2-F6A012ABA548}" name="mode VIII" dataDxfId="40">
      <calculatedColumnFormula>Damped[[#This Row],[ξVIII '[-']]]/API_check(Damped[[#This Row],[fVIII/frun]])</calculatedColumnFormula>
    </tableColumn>
    <tableColumn id="53" xr3:uid="{D9FB4F67-EA2F-4488-A47D-B2971D7C0FF4}" name="mode IX" dataDxfId="39">
      <calculatedColumnFormula>Damped[[#This Row],[ξIX '[-']]]/API_check(Damped[[#This Row],[fIX/frun]])</calculatedColumnFormula>
    </tableColumn>
    <tableColumn id="52" xr3:uid="{799675A2-FB21-46E7-A60B-A45B84AFFFC8}" name="mode X" dataDxfId="38">
      <calculatedColumnFormula>Damped[[#This Row],[ξX '[-']]]/API_check(Damped[[#This Row],[fX/frun]])</calculatedColumnFormula>
    </tableColumn>
    <tableColumn id="51" xr3:uid="{3BD3C3D2-0102-4C71-A1DC-04163CAA140B}" name="mode XI" dataDxfId="37">
      <calculatedColumnFormula>Damped[[#This Row],[ξXI '[-']]]/API_check(Damped[[#This Row],[fXI/frun]])</calculatedColumnFormula>
    </tableColumn>
    <tableColumn id="50" xr3:uid="{BA3D15A4-DDA0-4DBE-BC5F-02417CE12F8B}" name="mode XII" dataDxfId="36">
      <calculatedColumnFormula>Damped[[#This Row],[ξXII '[-']]]/API_check(Damped[[#This Row],[fXII/frun]])</calculatedColumnFormula>
    </tableColumn>
    <tableColumn id="2" xr3:uid="{00000000-0010-0000-0000-000002000000}" name="ξI [-]" dataDxfId="35">
      <calculatedColumnFormula array="1">_xlfn.IFS($I$32=1,IF(ISBLANK(dry!C2),NA(),dry!C2),$I$32=2,IF(ISBLANK('as new'!C2),NA(),'as new'!C2),$I$32=3,IF(ISBLANK('twice as new'!C2),NA(),'twice as new'!C2))</calculatedColumnFormula>
    </tableColumn>
    <tableColumn id="3" xr3:uid="{00000000-0010-0000-0000-000003000000}" name="fI [rpm]" dataDxfId="34">
      <calculatedColumnFormula array="1">_xlfn.IFS($I$32=1,IF(ISBLANK(dry!D2),NA(),dry!D2),$I$32=2,IF(ISBLANK('as new'!D2),NA(),'as new'!D2),$I$32=3,IF(ISBLANK('twice as new'!D2),NA(),'twice as new'!D2))</calculatedColumnFormula>
    </tableColumn>
    <tableColumn id="4" xr3:uid="{00000000-0010-0000-0000-000004000000}" name="ξII [-]" dataDxfId="33">
      <calculatedColumnFormula array="1">_xlfn.IFS($I$32=1,IF(ISBLANK(dry!E2),NA(),dry!E2),$I$32=2,IF(ISBLANK('as new'!E2),NA(),'as new'!E2),$I$32=3,IF(ISBLANK('twice as new'!E2),NA(),'twice as new'!E2))</calculatedColumnFormula>
    </tableColumn>
    <tableColumn id="5" xr3:uid="{00000000-0010-0000-0000-000005000000}" name="fII [rpm]" dataDxfId="32">
      <calculatedColumnFormula array="1">_xlfn.IFS($I$32=1,IF(ISBLANK(dry!F2),NA(),dry!F2),$I$32=2,IF(ISBLANK('as new'!F2),NA(),'as new'!F2),$I$32=3,IF(ISBLANK('twice as new'!F2),NA(),'twice as new'!F2))</calculatedColumnFormula>
    </tableColumn>
    <tableColumn id="6" xr3:uid="{00000000-0010-0000-0000-000006000000}" name="ξIII [-]" dataDxfId="31">
      <calculatedColumnFormula array="1">_xlfn.IFS($I$32=1,IF(ISBLANK(dry!G2),NA(),dry!G2),$I$32=2,IF(ISBLANK('as new'!G2),NA(),'as new'!G2),$I$32=3,IF(ISBLANK('twice as new'!G2),NA(),'twice as new'!G2))</calculatedColumnFormula>
    </tableColumn>
    <tableColumn id="7" xr3:uid="{00000000-0010-0000-0000-000007000000}" name="fIII [rpm]" dataDxfId="30">
      <calculatedColumnFormula array="1">_xlfn.IFS($I$32=1,IF(ISBLANK(dry!H2),NA(),dry!H2),$I$32=2,IF(ISBLANK('as new'!H2),NA(),'as new'!H2),$I$32=3,IF(ISBLANK('twice as new'!H2),NA(),'twice as new'!H2))</calculatedColumnFormula>
    </tableColumn>
    <tableColumn id="8" xr3:uid="{00000000-0010-0000-0000-000008000000}" name="ξIV [-]" dataDxfId="29">
      <calculatedColumnFormula array="1">_xlfn.IFS($I$32=1,IF(ISBLANK(dry!I2),NA(),dry!I2),$I$32=2,IF(ISBLANK('as new'!I2),NA(),'as new'!I2),$I$32=3,IF(ISBLANK('twice as new'!I2),NA(),'twice as new'!I2))</calculatedColumnFormula>
    </tableColumn>
    <tableColumn id="9" xr3:uid="{00000000-0010-0000-0000-000009000000}" name="fIV [rpm]" dataDxfId="28">
      <calculatedColumnFormula array="1">_xlfn.IFS($I$32=1,IF(ISBLANK(dry!J2),NA(),dry!J2),$I$32=2,IF(ISBLANK('as new'!J2),NA(),'as new'!J2),$I$32=3,IF(ISBLANK('twice as new'!J2),NA(),'twice as new'!J2))</calculatedColumnFormula>
    </tableColumn>
    <tableColumn id="19" xr3:uid="{00000000-0010-0000-0000-000013000000}" name="ξV [-]" dataDxfId="27">
      <calculatedColumnFormula array="1">_xlfn.IFS($I$32=1,IF(ISBLANK(dry!K2),NA(),dry!K2),$I$32=2,IF(ISBLANK('as new'!K2),NA(),'as new'!K2),$I$32=3,IF(ISBLANK('twice as new'!K2),NA(),'twice as new'!K2))</calculatedColumnFormula>
    </tableColumn>
    <tableColumn id="18" xr3:uid="{00000000-0010-0000-0000-000012000000}" name="fV [rpm]" dataDxfId="26">
      <calculatedColumnFormula array="1">_xlfn.IFS($I$32=1,IF(ISBLANK(dry!L2),NA(),dry!L2),$I$32=2,IF(ISBLANK('as new'!L2),NA(),'as new'!L2),$I$32=3,IF(ISBLANK('twice as new'!L2),NA(),'twice as new'!L2))</calculatedColumnFormula>
    </tableColumn>
    <tableColumn id="23" xr3:uid="{00000000-0010-0000-0000-000017000000}" name="ξVI [-]" dataDxfId="25">
      <calculatedColumnFormula array="1">_xlfn.IFS($I$32=1,IF(ISBLANK(dry!M2),NA(),dry!M2),$I$32=2,IF(ISBLANK('as new'!M2),NA(),'as new'!M2),$I$32=3,IF(ISBLANK('twice as new'!M2),NA(),'twice as new'!M2))</calculatedColumnFormula>
    </tableColumn>
    <tableColumn id="22" xr3:uid="{00000000-0010-0000-0000-000016000000}" name="fVI [rpm]" dataDxfId="24">
      <calculatedColumnFormula array="1">_xlfn.IFS($I$32=1,IF(ISBLANK(dry!N2),NA(),dry!N2),$I$32=2,IF(ISBLANK('as new'!N2),NA(),'as new'!N2),$I$32=3,IF(ISBLANK('twice as new'!N2),NA(),'twice as new'!N2))</calculatedColumnFormula>
    </tableColumn>
    <tableColumn id="29" xr3:uid="{00000000-0010-0000-0000-00001D000000}" name="ξVII [-]" dataDxfId="23">
      <calculatedColumnFormula array="1">_xlfn.IFS($I$32=1,IF(ISBLANK(dry!O2),NA(),dry!O2),$I$32=2,IF(ISBLANK('as new'!O2),NA(),'as new'!O2),$I$32=3,IF(ISBLANK('twice as new'!O2),NA(),'twice as new'!O2))</calculatedColumnFormula>
    </tableColumn>
    <tableColumn id="28" xr3:uid="{00000000-0010-0000-0000-00001C000000}" name="fVII [rpm]" dataDxfId="22">
      <calculatedColumnFormula array="1">_xlfn.IFS($I$32=1,IF(ISBLANK(dry!P2),NA(),dry!P2),$I$32=2,IF(ISBLANK('as new'!P2),NA(),'as new'!P2),$I$32=3,IF(ISBLANK('twice as new'!P2),NA(),'twice as new'!P2))</calculatedColumnFormula>
    </tableColumn>
    <tableColumn id="27" xr3:uid="{00000000-0010-0000-0000-00001B000000}" name="ξVIII [-]" dataDxfId="21">
      <calculatedColumnFormula array="1">_xlfn.IFS($I$32=1,IF(ISBLANK(dry!Q2),NA(),dry!Q2),$I$32=2,IF(ISBLANK('as new'!Q2),NA(),'as new'!Q2),$I$32=3,IF(ISBLANK('twice as new'!Q2),NA(),'twice as new'!Q2))</calculatedColumnFormula>
    </tableColumn>
    <tableColumn id="26" xr3:uid="{00000000-0010-0000-0000-00001A000000}" name="fVIII [rpm]" dataDxfId="20">
      <calculatedColumnFormula array="1">_xlfn.IFS($I$32=1,IF(ISBLANK(dry!R2),NA(),dry!R2),$I$32=2,IF(ISBLANK('as new'!R2),NA(),'as new'!R2),$I$32=3,IF(ISBLANK('twice as new'!R2),NA(),'twice as new'!R2))</calculatedColumnFormula>
    </tableColumn>
    <tableColumn id="40" xr3:uid="{DB23BA16-B234-43FD-8F12-D925A63D2062}" name="ξIX [-]" dataDxfId="19">
      <calculatedColumnFormula>IF(CHOOSE($I$32,dry!S2,'as new'!S2,'twice as new'!S2)=0,NA(),CHOOSE($I$32,dry!S2,'as new'!S2,'twice as new'!S2))</calculatedColumnFormula>
    </tableColumn>
    <tableColumn id="41" xr3:uid="{9AAB0FD9-5E05-4DA1-893D-8FE4CAE5EEDB}" name="fIX [rpm]" dataDxfId="18">
      <calculatedColumnFormula>IF(CHOOSE($I$32,dry!T2,'as new'!T2,'twice as new'!T2)=0,NA(),CHOOSE($I$32,dry!T2,'as new'!T2,'twice as new'!T2))</calculatedColumnFormula>
    </tableColumn>
    <tableColumn id="38" xr3:uid="{E92BE244-C4E9-4322-9D2E-6A0059F6354D}" name="ξX [-]" dataDxfId="17">
      <calculatedColumnFormula>IF(CHOOSE($I$32,dry!U2,'as new'!U2,'twice as new'!U2)=0,NA(),CHOOSE($I$32,dry!U2,'as new'!U2,'twice as new'!U2))</calculatedColumnFormula>
    </tableColumn>
    <tableColumn id="39" xr3:uid="{6B6BB706-FDFF-4291-A36C-C8D2FBC11BE2}" name="fX [rpm]" dataDxfId="16">
      <calculatedColumnFormula>IF(CHOOSE($I$32,dry!V2,'as new'!V2,'twice as new'!V2)=0,NA(),CHOOSE($I$32,dry!V2,'as new'!V2,'twice as new'!V2))</calculatedColumnFormula>
    </tableColumn>
    <tableColumn id="36" xr3:uid="{0023AD03-D6DD-4A66-BEE4-8CCA234F781F}" name="ξXI [-]" dataDxfId="15">
      <calculatedColumnFormula>IF(CHOOSE($I$32,dry!W2,'as new'!W2,'twice as new'!W2)=0,NA(),CHOOSE($I$32,dry!W2,'as new'!W2,'twice as new'!W2))</calculatedColumnFormula>
    </tableColumn>
    <tableColumn id="37" xr3:uid="{A6278CFA-6615-4D84-9591-140CC7E04EF6}" name="fXI [rpm]" dataDxfId="14">
      <calculatedColumnFormula>IF(CHOOSE($I$32,dry!X2,'as new'!X2,'twice as new'!X2)=0,NA(),CHOOSE($I$32,dry!X2,'as new'!X2,'twice as new'!X2))</calculatedColumnFormula>
    </tableColumn>
    <tableColumn id="30" xr3:uid="{48C2B776-7E80-416A-ADB8-FB1100D660EF}" name="ξXII [-]" dataDxfId="13">
      <calculatedColumnFormula>IF(CHOOSE($I$32,dry!Y2,'as new'!Y2,'twice as new'!Y2)=0,NA(),CHOOSE($I$32,dry!Y2,'as new'!Y2,'twice as new'!Y2))</calculatedColumnFormula>
    </tableColumn>
    <tableColumn id="33" xr3:uid="{264DEC45-2459-423F-80CF-5A13A9AC1DC9}" name="fXII [rpm]" dataDxfId="12">
      <calculatedColumnFormula>IF(CHOOSE($I$32,dry!Z2,'as new'!Z2,'twice as new'!Z2)=0,NA(),CHOOSE($I$32,dry!Z2,'as new'!Z2,'twice as new'!Z2))</calculatedColumnFormula>
    </tableColumn>
    <tableColumn id="10" xr3:uid="{00000000-0010-0000-0000-00000A000000}" name="fI/frun" dataDxfId="11">
      <calculatedColumnFormula>Damped[[#This Row],[fI '[rpm']]]/Damped[[#This Row],[frun '[rpm']]]</calculatedColumnFormula>
    </tableColumn>
    <tableColumn id="11" xr3:uid="{00000000-0010-0000-0000-00000B000000}" name="fII/frun" dataDxfId="10">
      <calculatedColumnFormula>Damped[[#This Row],[fII '[rpm']]]/Damped[[#This Row],[frun '[rpm']]]</calculatedColumnFormula>
    </tableColumn>
    <tableColumn id="12" xr3:uid="{00000000-0010-0000-0000-00000C000000}" name="fIII/frun" dataDxfId="9">
      <calculatedColumnFormula>Damped[[#This Row],[fIII '[rpm']]]/Damped[[#This Row],[frun '[rpm']]]</calculatedColumnFormula>
    </tableColumn>
    <tableColumn id="13" xr3:uid="{00000000-0010-0000-0000-00000D000000}" name="fIV/frun" dataDxfId="8">
      <calculatedColumnFormula>Damped[[#This Row],[fIV '[rpm']]]/Damped[[#This Row],[frun '[rpm']]]</calculatedColumnFormula>
    </tableColumn>
    <tableColumn id="20" xr3:uid="{00000000-0010-0000-0000-000014000000}" name="fV/frun" dataDxfId="7">
      <calculatedColumnFormula>Damped[[#This Row],[fV '[rpm']]]/Damped[[#This Row],[frun '[rpm']]]</calculatedColumnFormula>
    </tableColumn>
    <tableColumn id="24" xr3:uid="{00000000-0010-0000-0000-000018000000}" name="fVI/frun" dataDxfId="6">
      <calculatedColumnFormula>Damped[[#This Row],[fVI '[rpm']]]/Damped[[#This Row],[frun '[rpm']]]</calculatedColumnFormula>
    </tableColumn>
    <tableColumn id="32" xr3:uid="{00000000-0010-0000-0000-000020000000}" name="fVII/frun" dataDxfId="5">
      <calculatedColumnFormula>Damped[[#This Row],[fVII '[rpm']]]/Damped[[#This Row],[frun '[rpm']]]</calculatedColumnFormula>
    </tableColumn>
    <tableColumn id="31" xr3:uid="{00000000-0010-0000-0000-00001F000000}" name="fVIII/frun" dataDxfId="4">
      <calculatedColumnFormula>Damped[[#This Row],[fVIII '[rpm']]]/Damped[[#This Row],[frun '[rpm']]]</calculatedColumnFormula>
    </tableColumn>
    <tableColumn id="42" xr3:uid="{3BED71D2-742D-4EBA-A55A-CD42D18600C4}" name="fIX/frun" dataDxfId="3">
      <calculatedColumnFormula>Damped[[#This Row],[fIX '[rpm']]]/Damped[[#This Row],[frun '[rpm']]]</calculatedColumnFormula>
    </tableColumn>
    <tableColumn id="43" xr3:uid="{86853A61-3799-49D0-A32C-84CCCB7E8BB1}" name="fX/frun" dataDxfId="2">
      <calculatedColumnFormula>Damped[[#This Row],[fX '[rpm']]]/Damped[[#This Row],[frun '[rpm']]]</calculatedColumnFormula>
    </tableColumn>
    <tableColumn id="44" xr3:uid="{2CDD52E5-EB30-4148-AEFD-61D7F67FC203}" name="fXI/frun" dataDxfId="1">
      <calculatedColumnFormula>Damped[[#This Row],[fXI '[rpm']]]/Damped[[#This Row],[frun '[rpm']]]</calculatedColumnFormula>
    </tableColumn>
    <tableColumn id="45" xr3:uid="{73547319-E2B9-4E25-91C6-66DDF97EF745}" name="fXII/frun" dataDxfId="0">
      <calculatedColumnFormula>Damped[[#This Row],[fXII '[rpm']]]/Damped[[#This Row],[frun '[rpm']]]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9DB3C-C826-4125-9C96-FE77F0AFBE88}">
  <sheetPr codeName="Foglio5"/>
  <dimension ref="A1:AD47"/>
  <sheetViews>
    <sheetView tabSelected="1" zoomScaleNormal="100" zoomScaleSheetLayoutView="100" workbookViewId="0">
      <selection activeCell="AI17" sqref="AI17"/>
    </sheetView>
  </sheetViews>
  <sheetFormatPr defaultRowHeight="12" x14ac:dyDescent="0.2"/>
  <cols>
    <col min="1" max="30" width="3.28515625" style="7" customWidth="1"/>
    <col min="31" max="256" width="9.28515625" style="7"/>
    <col min="257" max="286" width="3.28515625" style="7" customWidth="1"/>
    <col min="287" max="512" width="9.28515625" style="7"/>
    <col min="513" max="542" width="3.28515625" style="7" customWidth="1"/>
    <col min="543" max="768" width="9.28515625" style="7"/>
    <col min="769" max="798" width="3.28515625" style="7" customWidth="1"/>
    <col min="799" max="1024" width="9.28515625" style="7"/>
    <col min="1025" max="1054" width="3.28515625" style="7" customWidth="1"/>
    <col min="1055" max="1280" width="9.28515625" style="7"/>
    <col min="1281" max="1310" width="3.28515625" style="7" customWidth="1"/>
    <col min="1311" max="1536" width="9.28515625" style="7"/>
    <col min="1537" max="1566" width="3.28515625" style="7" customWidth="1"/>
    <col min="1567" max="1792" width="9.28515625" style="7"/>
    <col min="1793" max="1822" width="3.28515625" style="7" customWidth="1"/>
    <col min="1823" max="2048" width="9.28515625" style="7"/>
    <col min="2049" max="2078" width="3.28515625" style="7" customWidth="1"/>
    <col min="2079" max="2304" width="9.28515625" style="7"/>
    <col min="2305" max="2334" width="3.28515625" style="7" customWidth="1"/>
    <col min="2335" max="2560" width="9.28515625" style="7"/>
    <col min="2561" max="2590" width="3.28515625" style="7" customWidth="1"/>
    <col min="2591" max="2816" width="9.28515625" style="7"/>
    <col min="2817" max="2846" width="3.28515625" style="7" customWidth="1"/>
    <col min="2847" max="3072" width="9.28515625" style="7"/>
    <col min="3073" max="3102" width="3.28515625" style="7" customWidth="1"/>
    <col min="3103" max="3328" width="9.28515625" style="7"/>
    <col min="3329" max="3358" width="3.28515625" style="7" customWidth="1"/>
    <col min="3359" max="3584" width="9.28515625" style="7"/>
    <col min="3585" max="3614" width="3.28515625" style="7" customWidth="1"/>
    <col min="3615" max="3840" width="9.28515625" style="7"/>
    <col min="3841" max="3870" width="3.28515625" style="7" customWidth="1"/>
    <col min="3871" max="4096" width="9.28515625" style="7"/>
    <col min="4097" max="4126" width="3.28515625" style="7" customWidth="1"/>
    <col min="4127" max="4352" width="9.28515625" style="7"/>
    <col min="4353" max="4382" width="3.28515625" style="7" customWidth="1"/>
    <col min="4383" max="4608" width="9.28515625" style="7"/>
    <col min="4609" max="4638" width="3.28515625" style="7" customWidth="1"/>
    <col min="4639" max="4864" width="9.28515625" style="7"/>
    <col min="4865" max="4894" width="3.28515625" style="7" customWidth="1"/>
    <col min="4895" max="5120" width="9.28515625" style="7"/>
    <col min="5121" max="5150" width="3.28515625" style="7" customWidth="1"/>
    <col min="5151" max="5376" width="9.28515625" style="7"/>
    <col min="5377" max="5406" width="3.28515625" style="7" customWidth="1"/>
    <col min="5407" max="5632" width="9.28515625" style="7"/>
    <col min="5633" max="5662" width="3.28515625" style="7" customWidth="1"/>
    <col min="5663" max="5888" width="9.28515625" style="7"/>
    <col min="5889" max="5918" width="3.28515625" style="7" customWidth="1"/>
    <col min="5919" max="6144" width="9.28515625" style="7"/>
    <col min="6145" max="6174" width="3.28515625" style="7" customWidth="1"/>
    <col min="6175" max="6400" width="9.28515625" style="7"/>
    <col min="6401" max="6430" width="3.28515625" style="7" customWidth="1"/>
    <col min="6431" max="6656" width="9.28515625" style="7"/>
    <col min="6657" max="6686" width="3.28515625" style="7" customWidth="1"/>
    <col min="6687" max="6912" width="9.28515625" style="7"/>
    <col min="6913" max="6942" width="3.28515625" style="7" customWidth="1"/>
    <col min="6943" max="7168" width="9.28515625" style="7"/>
    <col min="7169" max="7198" width="3.28515625" style="7" customWidth="1"/>
    <col min="7199" max="7424" width="9.28515625" style="7"/>
    <col min="7425" max="7454" width="3.28515625" style="7" customWidth="1"/>
    <col min="7455" max="7680" width="9.28515625" style="7"/>
    <col min="7681" max="7710" width="3.28515625" style="7" customWidth="1"/>
    <col min="7711" max="7936" width="9.28515625" style="7"/>
    <col min="7937" max="7966" width="3.28515625" style="7" customWidth="1"/>
    <col min="7967" max="8192" width="9.28515625" style="7"/>
    <col min="8193" max="8222" width="3.28515625" style="7" customWidth="1"/>
    <col min="8223" max="8448" width="9.28515625" style="7"/>
    <col min="8449" max="8478" width="3.28515625" style="7" customWidth="1"/>
    <col min="8479" max="8704" width="9.28515625" style="7"/>
    <col min="8705" max="8734" width="3.28515625" style="7" customWidth="1"/>
    <col min="8735" max="8960" width="9.28515625" style="7"/>
    <col min="8961" max="8990" width="3.28515625" style="7" customWidth="1"/>
    <col min="8991" max="9216" width="9.28515625" style="7"/>
    <col min="9217" max="9246" width="3.28515625" style="7" customWidth="1"/>
    <col min="9247" max="9472" width="9.28515625" style="7"/>
    <col min="9473" max="9502" width="3.28515625" style="7" customWidth="1"/>
    <col min="9503" max="9728" width="9.28515625" style="7"/>
    <col min="9729" max="9758" width="3.28515625" style="7" customWidth="1"/>
    <col min="9759" max="9984" width="9.28515625" style="7"/>
    <col min="9985" max="10014" width="3.28515625" style="7" customWidth="1"/>
    <col min="10015" max="10240" width="9.28515625" style="7"/>
    <col min="10241" max="10270" width="3.28515625" style="7" customWidth="1"/>
    <col min="10271" max="10496" width="9.28515625" style="7"/>
    <col min="10497" max="10526" width="3.28515625" style="7" customWidth="1"/>
    <col min="10527" max="10752" width="9.28515625" style="7"/>
    <col min="10753" max="10782" width="3.28515625" style="7" customWidth="1"/>
    <col min="10783" max="11008" width="9.28515625" style="7"/>
    <col min="11009" max="11038" width="3.28515625" style="7" customWidth="1"/>
    <col min="11039" max="11264" width="9.28515625" style="7"/>
    <col min="11265" max="11294" width="3.28515625" style="7" customWidth="1"/>
    <col min="11295" max="11520" width="9.28515625" style="7"/>
    <col min="11521" max="11550" width="3.28515625" style="7" customWidth="1"/>
    <col min="11551" max="11776" width="9.28515625" style="7"/>
    <col min="11777" max="11806" width="3.28515625" style="7" customWidth="1"/>
    <col min="11807" max="12032" width="9.28515625" style="7"/>
    <col min="12033" max="12062" width="3.28515625" style="7" customWidth="1"/>
    <col min="12063" max="12288" width="9.28515625" style="7"/>
    <col min="12289" max="12318" width="3.28515625" style="7" customWidth="1"/>
    <col min="12319" max="12544" width="9.28515625" style="7"/>
    <col min="12545" max="12574" width="3.28515625" style="7" customWidth="1"/>
    <col min="12575" max="12800" width="9.28515625" style="7"/>
    <col min="12801" max="12830" width="3.28515625" style="7" customWidth="1"/>
    <col min="12831" max="13056" width="9.28515625" style="7"/>
    <col min="13057" max="13086" width="3.28515625" style="7" customWidth="1"/>
    <col min="13087" max="13312" width="9.28515625" style="7"/>
    <col min="13313" max="13342" width="3.28515625" style="7" customWidth="1"/>
    <col min="13343" max="13568" width="9.28515625" style="7"/>
    <col min="13569" max="13598" width="3.28515625" style="7" customWidth="1"/>
    <col min="13599" max="13824" width="9.28515625" style="7"/>
    <col min="13825" max="13854" width="3.28515625" style="7" customWidth="1"/>
    <col min="13855" max="14080" width="9.28515625" style="7"/>
    <col min="14081" max="14110" width="3.28515625" style="7" customWidth="1"/>
    <col min="14111" max="14336" width="9.28515625" style="7"/>
    <col min="14337" max="14366" width="3.28515625" style="7" customWidth="1"/>
    <col min="14367" max="14592" width="9.28515625" style="7"/>
    <col min="14593" max="14622" width="3.28515625" style="7" customWidth="1"/>
    <col min="14623" max="14848" width="9.28515625" style="7"/>
    <col min="14849" max="14878" width="3.28515625" style="7" customWidth="1"/>
    <col min="14879" max="15104" width="9.28515625" style="7"/>
    <col min="15105" max="15134" width="3.28515625" style="7" customWidth="1"/>
    <col min="15135" max="15360" width="9.28515625" style="7"/>
    <col min="15361" max="15390" width="3.28515625" style="7" customWidth="1"/>
    <col min="15391" max="15616" width="9.28515625" style="7"/>
    <col min="15617" max="15646" width="3.28515625" style="7" customWidth="1"/>
    <col min="15647" max="15872" width="9.28515625" style="7"/>
    <col min="15873" max="15902" width="3.28515625" style="7" customWidth="1"/>
    <col min="15903" max="16128" width="9.28515625" style="7"/>
    <col min="16129" max="16158" width="3.28515625" style="7" customWidth="1"/>
    <col min="16159" max="16384" width="9.28515625" style="7"/>
  </cols>
  <sheetData>
    <row r="1" spans="1:30" ht="15" customHeight="1" x14ac:dyDescent="0.2">
      <c r="A1" s="4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6"/>
    </row>
    <row r="2" spans="1:30" ht="15" customHeight="1" x14ac:dyDescent="0.2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15" customHeight="1" x14ac:dyDescent="0.2">
      <c r="A3" s="8"/>
      <c r="B3" s="9"/>
      <c r="C3" s="9"/>
      <c r="D3" s="9"/>
      <c r="E3" s="9"/>
      <c r="F3" s="9"/>
      <c r="G3" s="9"/>
      <c r="H3" s="11"/>
      <c r="I3" s="11"/>
      <c r="J3" s="11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3"/>
      <c r="X3" s="13"/>
      <c r="Y3" s="13"/>
      <c r="Z3" s="13"/>
      <c r="AA3" s="13"/>
      <c r="AB3" s="13"/>
      <c r="AC3" s="13"/>
      <c r="AD3" s="14"/>
    </row>
    <row r="4" spans="1:30" ht="15" customHeight="1" x14ac:dyDescent="0.2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10"/>
    </row>
    <row r="5" spans="1:30" ht="15" customHeight="1" x14ac:dyDescent="0.2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10"/>
    </row>
    <row r="6" spans="1:30" ht="15" customHeight="1" x14ac:dyDescent="0.2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10"/>
    </row>
    <row r="7" spans="1:30" ht="15" customHeight="1" thickBot="1" x14ac:dyDescent="0.25">
      <c r="A7" s="15"/>
      <c r="B7" s="16"/>
      <c r="C7" s="16"/>
      <c r="D7" s="16"/>
      <c r="E7" s="16"/>
      <c r="F7" s="17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6"/>
      <c r="AB7" s="16"/>
      <c r="AC7" s="16"/>
      <c r="AD7" s="18"/>
    </row>
    <row r="8" spans="1:30" ht="15" customHeight="1" x14ac:dyDescent="0.2">
      <c r="A8" s="30" t="s">
        <v>121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2"/>
    </row>
    <row r="9" spans="1:30" ht="15" customHeight="1" x14ac:dyDescent="0.2">
      <c r="A9" s="33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5"/>
    </row>
    <row r="10" spans="1:30" ht="15" customHeight="1" x14ac:dyDescent="0.2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5"/>
    </row>
    <row r="11" spans="1:30" ht="15" customHeight="1" x14ac:dyDescent="0.2">
      <c r="A11" s="33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5"/>
    </row>
    <row r="12" spans="1:30" ht="15" customHeight="1" x14ac:dyDescent="0.2">
      <c r="A12" s="33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5"/>
    </row>
    <row r="13" spans="1:30" ht="15" customHeight="1" x14ac:dyDescent="0.2">
      <c r="A13" s="33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5"/>
    </row>
    <row r="14" spans="1:30" ht="15" customHeight="1" x14ac:dyDescent="0.2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5"/>
    </row>
    <row r="15" spans="1:30" ht="15" customHeight="1" x14ac:dyDescent="0.2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5"/>
    </row>
    <row r="16" spans="1:30" ht="15" customHeight="1" x14ac:dyDescent="0.2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5"/>
    </row>
    <row r="17" spans="1:30" ht="15" customHeight="1" x14ac:dyDescent="0.2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5"/>
    </row>
    <row r="18" spans="1:30" ht="15" customHeight="1" x14ac:dyDescent="0.2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5"/>
    </row>
    <row r="19" spans="1:30" ht="15" customHeight="1" x14ac:dyDescent="0.2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5"/>
    </row>
    <row r="20" spans="1:30" ht="15" customHeight="1" x14ac:dyDescent="0.2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5"/>
    </row>
    <row r="21" spans="1:30" ht="15" customHeight="1" x14ac:dyDescent="0.2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5"/>
    </row>
    <row r="22" spans="1:30" ht="15" customHeight="1" x14ac:dyDescent="0.2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5"/>
    </row>
    <row r="23" spans="1:30" ht="15" customHeight="1" x14ac:dyDescent="0.2">
      <c r="A23" s="33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5"/>
    </row>
    <row r="24" spans="1:30" ht="15" customHeight="1" x14ac:dyDescent="0.2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5"/>
    </row>
    <row r="25" spans="1:30" ht="15" customHeight="1" x14ac:dyDescent="0.2">
      <c r="A25" s="33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5"/>
    </row>
    <row r="26" spans="1:30" ht="15" customHeight="1" x14ac:dyDescent="0.2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5"/>
    </row>
    <row r="27" spans="1:30" ht="15" customHeight="1" x14ac:dyDescent="0.2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5"/>
    </row>
    <row r="28" spans="1:30" ht="15" customHeight="1" x14ac:dyDescent="0.2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5"/>
    </row>
    <row r="29" spans="1:30" ht="15" customHeight="1" x14ac:dyDescent="0.2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5"/>
    </row>
    <row r="30" spans="1:30" ht="15" customHeight="1" x14ac:dyDescent="0.2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5"/>
    </row>
    <row r="31" spans="1:30" ht="15" customHeight="1" x14ac:dyDescent="0.2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5"/>
    </row>
    <row r="32" spans="1:30" ht="15" customHeight="1" x14ac:dyDescent="0.2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5"/>
    </row>
    <row r="33" spans="1:30" ht="15" customHeight="1" x14ac:dyDescent="0.2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5"/>
    </row>
    <row r="34" spans="1:30" ht="15" customHeight="1" x14ac:dyDescent="0.2">
      <c r="A34" s="33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5"/>
    </row>
    <row r="35" spans="1:30" ht="15" customHeight="1" x14ac:dyDescent="0.2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5"/>
    </row>
    <row r="36" spans="1:30" ht="15" customHeight="1" x14ac:dyDescent="0.2">
      <c r="A36" s="33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5"/>
    </row>
    <row r="37" spans="1:30" ht="15" customHeight="1" x14ac:dyDescent="0.2">
      <c r="A37" s="33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5"/>
    </row>
    <row r="38" spans="1:30" ht="15" customHeight="1" thickBot="1" x14ac:dyDescent="0.25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8"/>
    </row>
    <row r="39" spans="1:30" ht="30" customHeight="1" x14ac:dyDescent="0.2">
      <c r="A39" s="39"/>
      <c r="B39" s="40"/>
      <c r="C39" s="41"/>
      <c r="D39" s="42"/>
      <c r="E39" s="42"/>
      <c r="F39" s="40"/>
      <c r="G39" s="41"/>
      <c r="H39" s="42"/>
      <c r="I39" s="42"/>
      <c r="J39" s="42"/>
      <c r="K39" s="42"/>
      <c r="L39" s="42"/>
      <c r="M39" s="42"/>
      <c r="N39" s="42"/>
      <c r="O39" s="42"/>
      <c r="P39" s="41"/>
      <c r="Q39" s="42"/>
      <c r="R39" s="42"/>
      <c r="S39" s="42"/>
      <c r="T39" s="40"/>
      <c r="U39" s="41"/>
      <c r="V39" s="42"/>
      <c r="W39" s="42"/>
      <c r="X39" s="42"/>
      <c r="Y39" s="40"/>
      <c r="Z39" s="41"/>
      <c r="AA39" s="42"/>
      <c r="AB39" s="42"/>
      <c r="AC39" s="42"/>
      <c r="AD39" s="43"/>
    </row>
    <row r="40" spans="1:30" ht="30" customHeight="1" x14ac:dyDescent="0.2">
      <c r="A40" s="47"/>
      <c r="B40" s="48"/>
      <c r="C40" s="44"/>
      <c r="D40" s="45"/>
      <c r="E40" s="45"/>
      <c r="F40" s="48"/>
      <c r="G40" s="44"/>
      <c r="H40" s="45"/>
      <c r="I40" s="45"/>
      <c r="J40" s="45"/>
      <c r="K40" s="45"/>
      <c r="L40" s="45"/>
      <c r="M40" s="45"/>
      <c r="N40" s="45"/>
      <c r="O40" s="45"/>
      <c r="P40" s="44"/>
      <c r="Q40" s="45"/>
      <c r="R40" s="45"/>
      <c r="S40" s="45"/>
      <c r="T40" s="48"/>
      <c r="U40" s="44"/>
      <c r="V40" s="45"/>
      <c r="W40" s="45"/>
      <c r="X40" s="45"/>
      <c r="Y40" s="48"/>
      <c r="Z40" s="44"/>
      <c r="AA40" s="45"/>
      <c r="AB40" s="45"/>
      <c r="AC40" s="45"/>
      <c r="AD40" s="46"/>
    </row>
    <row r="41" spans="1:30" ht="30" customHeight="1" x14ac:dyDescent="0.2">
      <c r="A41" s="47"/>
      <c r="B41" s="48"/>
      <c r="C41" s="44"/>
      <c r="D41" s="45"/>
      <c r="E41" s="45"/>
      <c r="F41" s="48"/>
      <c r="G41" s="44"/>
      <c r="H41" s="45"/>
      <c r="I41" s="45"/>
      <c r="J41" s="45"/>
      <c r="K41" s="45"/>
      <c r="L41" s="45"/>
      <c r="M41" s="45"/>
      <c r="N41" s="45"/>
      <c r="O41" s="45"/>
      <c r="P41" s="44"/>
      <c r="Q41" s="45"/>
      <c r="R41" s="45"/>
      <c r="S41" s="45"/>
      <c r="T41" s="48"/>
      <c r="U41" s="44"/>
      <c r="V41" s="45"/>
      <c r="W41" s="45"/>
      <c r="X41" s="45"/>
      <c r="Y41" s="48"/>
      <c r="Z41" s="44"/>
      <c r="AA41" s="45"/>
      <c r="AB41" s="45"/>
      <c r="AC41" s="45"/>
      <c r="AD41" s="46"/>
    </row>
    <row r="42" spans="1:30" ht="30" customHeight="1" x14ac:dyDescent="0.2">
      <c r="A42" s="47"/>
      <c r="B42" s="48"/>
      <c r="C42" s="44"/>
      <c r="D42" s="45"/>
      <c r="E42" s="45"/>
      <c r="F42" s="48"/>
      <c r="G42" s="44"/>
      <c r="H42" s="45"/>
      <c r="I42" s="45"/>
      <c r="J42" s="45"/>
      <c r="K42" s="45"/>
      <c r="L42" s="45"/>
      <c r="M42" s="45"/>
      <c r="N42" s="45"/>
      <c r="O42" s="45"/>
      <c r="P42" s="44"/>
      <c r="Q42" s="45"/>
      <c r="R42" s="45"/>
      <c r="S42" s="45"/>
      <c r="T42" s="48"/>
      <c r="U42" s="44"/>
      <c r="V42" s="45"/>
      <c r="W42" s="45"/>
      <c r="X42" s="45"/>
      <c r="Y42" s="48"/>
      <c r="Z42" s="44"/>
      <c r="AA42" s="45"/>
      <c r="AB42" s="45"/>
      <c r="AC42" s="45"/>
      <c r="AD42" s="46"/>
    </row>
    <row r="43" spans="1:30" ht="30" customHeight="1" x14ac:dyDescent="0.2">
      <c r="A43" s="47"/>
      <c r="B43" s="48"/>
      <c r="C43" s="44"/>
      <c r="D43" s="45"/>
      <c r="E43" s="45"/>
      <c r="F43" s="48"/>
      <c r="G43" s="44"/>
      <c r="H43" s="45"/>
      <c r="I43" s="45"/>
      <c r="J43" s="45"/>
      <c r="K43" s="45"/>
      <c r="L43" s="45"/>
      <c r="M43" s="45"/>
      <c r="N43" s="45"/>
      <c r="O43" s="45"/>
      <c r="P43" s="44"/>
      <c r="Q43" s="45"/>
      <c r="R43" s="45"/>
      <c r="S43" s="45"/>
      <c r="T43" s="48"/>
      <c r="U43" s="44"/>
      <c r="V43" s="45"/>
      <c r="W43" s="45"/>
      <c r="X43" s="45"/>
      <c r="Y43" s="48"/>
      <c r="Z43" s="44"/>
      <c r="AA43" s="45"/>
      <c r="AB43" s="45"/>
      <c r="AC43" s="45"/>
      <c r="AD43" s="46"/>
    </row>
    <row r="44" spans="1:30" ht="30" customHeight="1" x14ac:dyDescent="0.2">
      <c r="A44" s="47"/>
      <c r="B44" s="48"/>
      <c r="C44" s="44"/>
      <c r="D44" s="45"/>
      <c r="E44" s="45"/>
      <c r="F44" s="48"/>
      <c r="G44" s="44"/>
      <c r="H44" s="45"/>
      <c r="I44" s="45"/>
      <c r="J44" s="45"/>
      <c r="K44" s="45"/>
      <c r="L44" s="45"/>
      <c r="M44" s="45"/>
      <c r="N44" s="45"/>
      <c r="O44" s="45"/>
      <c r="P44" s="44"/>
      <c r="Q44" s="45"/>
      <c r="R44" s="45"/>
      <c r="S44" s="45"/>
      <c r="T44" s="48"/>
      <c r="U44" s="44"/>
      <c r="V44" s="45"/>
      <c r="W44" s="45"/>
      <c r="X44" s="45"/>
      <c r="Y44" s="48"/>
      <c r="Z44" s="44"/>
      <c r="AA44" s="45"/>
      <c r="AB44" s="45"/>
      <c r="AC44" s="45"/>
      <c r="AD44" s="46"/>
    </row>
    <row r="45" spans="1:30" ht="30" customHeight="1" x14ac:dyDescent="0.2">
      <c r="A45" s="52">
        <v>0</v>
      </c>
      <c r="B45" s="53"/>
      <c r="C45" s="54">
        <v>45628</v>
      </c>
      <c r="D45" s="55"/>
      <c r="E45" s="55"/>
      <c r="F45" s="56"/>
      <c r="G45" s="57" t="s">
        <v>0</v>
      </c>
      <c r="H45" s="58"/>
      <c r="I45" s="58"/>
      <c r="J45" s="58"/>
      <c r="K45" s="58"/>
      <c r="L45" s="58"/>
      <c r="M45" s="58"/>
      <c r="N45" s="58"/>
      <c r="O45" s="58"/>
      <c r="P45" s="49" t="s">
        <v>1</v>
      </c>
      <c r="Q45" s="50"/>
      <c r="R45" s="50"/>
      <c r="S45" s="50"/>
      <c r="T45" s="59"/>
      <c r="U45" s="49" t="s">
        <v>2</v>
      </c>
      <c r="V45" s="50"/>
      <c r="W45" s="50"/>
      <c r="X45" s="50"/>
      <c r="Y45" s="59"/>
      <c r="Z45" s="49" t="s">
        <v>3</v>
      </c>
      <c r="AA45" s="50"/>
      <c r="AB45" s="50"/>
      <c r="AC45" s="50"/>
      <c r="AD45" s="51"/>
    </row>
    <row r="46" spans="1:30" ht="15" customHeight="1" thickBot="1" x14ac:dyDescent="0.25">
      <c r="A46" s="63" t="s">
        <v>4</v>
      </c>
      <c r="B46" s="64"/>
      <c r="C46" s="65" t="s">
        <v>5</v>
      </c>
      <c r="D46" s="66"/>
      <c r="E46" s="66"/>
      <c r="F46" s="67"/>
      <c r="G46" s="65" t="s">
        <v>6</v>
      </c>
      <c r="H46" s="66"/>
      <c r="I46" s="66"/>
      <c r="J46" s="66"/>
      <c r="K46" s="66"/>
      <c r="L46" s="66"/>
      <c r="M46" s="66"/>
      <c r="N46" s="66"/>
      <c r="O46" s="66"/>
      <c r="P46" s="65" t="s">
        <v>7</v>
      </c>
      <c r="Q46" s="66"/>
      <c r="R46" s="66"/>
      <c r="S46" s="66"/>
      <c r="T46" s="67"/>
      <c r="U46" s="65" t="s">
        <v>8</v>
      </c>
      <c r="V46" s="66"/>
      <c r="W46" s="66"/>
      <c r="X46" s="66"/>
      <c r="Y46" s="66"/>
      <c r="Z46" s="65" t="s">
        <v>9</v>
      </c>
      <c r="AA46" s="66"/>
      <c r="AB46" s="66"/>
      <c r="AC46" s="66"/>
      <c r="AD46" s="68"/>
    </row>
    <row r="47" spans="1:30" ht="15" customHeight="1" thickBot="1" x14ac:dyDescent="0.25">
      <c r="A47" s="60" t="s">
        <v>120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2"/>
    </row>
  </sheetData>
  <mergeCells count="50">
    <mergeCell ref="A47:AD47"/>
    <mergeCell ref="A46:B46"/>
    <mergeCell ref="C46:F46"/>
    <mergeCell ref="G46:O46"/>
    <mergeCell ref="P46:T46"/>
    <mergeCell ref="U46:Y46"/>
    <mergeCell ref="Z46:AD46"/>
    <mergeCell ref="Z45:AD45"/>
    <mergeCell ref="A44:B44"/>
    <mergeCell ref="C44:F44"/>
    <mergeCell ref="G44:O44"/>
    <mergeCell ref="P44:T44"/>
    <mergeCell ref="U44:Y44"/>
    <mergeCell ref="Z44:AD44"/>
    <mergeCell ref="A45:B45"/>
    <mergeCell ref="C45:F45"/>
    <mergeCell ref="G45:O45"/>
    <mergeCell ref="P45:T45"/>
    <mergeCell ref="U45:Y45"/>
    <mergeCell ref="Z43:AD43"/>
    <mergeCell ref="A42:B42"/>
    <mergeCell ref="C42:F42"/>
    <mergeCell ref="G42:O42"/>
    <mergeCell ref="P42:T42"/>
    <mergeCell ref="U42:Y42"/>
    <mergeCell ref="Z42:AD42"/>
    <mergeCell ref="A43:B43"/>
    <mergeCell ref="C43:F43"/>
    <mergeCell ref="G43:O43"/>
    <mergeCell ref="P43:T43"/>
    <mergeCell ref="U43:Y43"/>
    <mergeCell ref="Z41:AD41"/>
    <mergeCell ref="A40:B40"/>
    <mergeCell ref="C40:F40"/>
    <mergeCell ref="G40:O40"/>
    <mergeCell ref="P40:T40"/>
    <mergeCell ref="U40:Y40"/>
    <mergeCell ref="Z40:AD40"/>
    <mergeCell ref="A41:B41"/>
    <mergeCell ref="C41:F41"/>
    <mergeCell ref="G41:O41"/>
    <mergeCell ref="P41:T41"/>
    <mergeCell ref="U41:Y41"/>
    <mergeCell ref="A8:AD38"/>
    <mergeCell ref="A39:B39"/>
    <mergeCell ref="C39:F39"/>
    <mergeCell ref="G39:O39"/>
    <mergeCell ref="P39:T39"/>
    <mergeCell ref="U39:Y39"/>
    <mergeCell ref="Z39:AD3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3:BD124"/>
  <sheetViews>
    <sheetView zoomScale="85" zoomScaleNormal="85" workbookViewId="0">
      <selection activeCell="BF27" sqref="BF27"/>
    </sheetView>
  </sheetViews>
  <sheetFormatPr defaultRowHeight="15" x14ac:dyDescent="0.25"/>
  <cols>
    <col min="1" max="1" width="2.7109375" customWidth="1"/>
    <col min="2" max="20" width="11.7109375" customWidth="1"/>
    <col min="21" max="56" width="11.7109375" hidden="1" customWidth="1"/>
    <col min="57" max="67" width="11.7109375" customWidth="1"/>
  </cols>
  <sheetData>
    <row r="3" spans="2:11" x14ac:dyDescent="0.25">
      <c r="B3" s="84" t="s">
        <v>10</v>
      </c>
      <c r="C3" s="84"/>
      <c r="D3" s="84"/>
      <c r="E3" s="84"/>
      <c r="F3" s="84"/>
      <c r="G3" s="73"/>
      <c r="K3" s="3" t="s">
        <v>11</v>
      </c>
    </row>
    <row r="4" spans="2:11" x14ac:dyDescent="0.25">
      <c r="B4" s="19" t="s">
        <v>12</v>
      </c>
      <c r="C4" s="24">
        <v>5220</v>
      </c>
      <c r="D4" s="85" t="s">
        <v>13</v>
      </c>
      <c r="E4" s="86"/>
      <c r="F4" s="86"/>
      <c r="G4" s="87"/>
      <c r="K4" s="3" t="s">
        <v>14</v>
      </c>
    </row>
    <row r="5" spans="2:11" ht="18" x14ac:dyDescent="0.35">
      <c r="B5" s="19" t="s">
        <v>15</v>
      </c>
      <c r="C5" s="24">
        <v>1175</v>
      </c>
      <c r="D5" s="85" t="s">
        <v>16</v>
      </c>
      <c r="E5" s="86"/>
      <c r="F5" s="86"/>
      <c r="G5" s="87"/>
      <c r="K5" s="3" t="s">
        <v>17</v>
      </c>
    </row>
    <row r="6" spans="2:11" ht="18" x14ac:dyDescent="0.35">
      <c r="B6" s="20" t="s">
        <v>18</v>
      </c>
      <c r="C6" s="25">
        <v>6525</v>
      </c>
      <c r="D6" s="69" t="s">
        <v>19</v>
      </c>
      <c r="E6" s="70"/>
      <c r="F6" s="70"/>
      <c r="G6" s="71"/>
    </row>
    <row r="8" spans="2:11" x14ac:dyDescent="0.25">
      <c r="B8" s="84" t="s">
        <v>20</v>
      </c>
      <c r="C8" s="84"/>
      <c r="D8" s="84"/>
      <c r="E8" s="84"/>
      <c r="F8" s="84"/>
      <c r="G8" s="73"/>
    </row>
    <row r="9" spans="2:11" x14ac:dyDescent="0.25">
      <c r="B9" s="22" t="s">
        <v>21</v>
      </c>
      <c r="C9" s="78" t="s">
        <v>22</v>
      </c>
      <c r="D9" s="79"/>
      <c r="E9" s="79"/>
      <c r="F9" s="79"/>
      <c r="G9" s="80"/>
    </row>
    <row r="10" spans="2:11" ht="15" customHeight="1" x14ac:dyDescent="0.25">
      <c r="B10" s="22" t="s">
        <v>23</v>
      </c>
      <c r="C10" s="78" t="s">
        <v>24</v>
      </c>
      <c r="D10" s="79"/>
      <c r="E10" s="79"/>
      <c r="F10" s="79"/>
      <c r="G10" s="80"/>
    </row>
    <row r="11" spans="2:11" ht="18" customHeight="1" x14ac:dyDescent="0.25">
      <c r="B11" s="23" t="s">
        <v>25</v>
      </c>
      <c r="C11" s="81" t="s">
        <v>26</v>
      </c>
      <c r="D11" s="82"/>
      <c r="E11" s="82"/>
      <c r="F11" s="82"/>
      <c r="G11" s="83"/>
    </row>
    <row r="16" spans="2:11" x14ac:dyDescent="0.25">
      <c r="B16" s="84" t="s">
        <v>27</v>
      </c>
      <c r="C16" s="84"/>
      <c r="D16" s="84"/>
      <c r="E16" s="84"/>
      <c r="F16" s="84"/>
      <c r="G16" s="73"/>
    </row>
    <row r="17" spans="2:13" x14ac:dyDescent="0.25">
      <c r="B17" s="88"/>
      <c r="C17" s="88"/>
      <c r="D17" s="88"/>
      <c r="E17" s="88"/>
      <c r="F17" s="88"/>
      <c r="G17" s="88"/>
    </row>
    <row r="19" spans="2:13" x14ac:dyDescent="0.25">
      <c r="B19" s="84" t="s">
        <v>28</v>
      </c>
      <c r="C19" s="84"/>
      <c r="D19" s="84"/>
      <c r="E19" s="84"/>
      <c r="F19" s="84"/>
      <c r="G19" s="73"/>
    </row>
    <row r="20" spans="2:13" ht="16.5" customHeight="1" x14ac:dyDescent="0.25">
      <c r="B20" s="92"/>
      <c r="C20" s="93"/>
      <c r="D20" s="89" t="s">
        <v>29</v>
      </c>
      <c r="E20" s="90"/>
      <c r="F20" s="90"/>
      <c r="G20" s="91"/>
    </row>
    <row r="21" spans="2:13" ht="18" customHeight="1" x14ac:dyDescent="0.25">
      <c r="B21" s="94"/>
      <c r="C21" s="95"/>
      <c r="D21" s="85" t="s">
        <v>30</v>
      </c>
      <c r="E21" s="86"/>
      <c r="F21" s="86"/>
      <c r="G21" s="87"/>
    </row>
    <row r="22" spans="2:13" ht="15" customHeight="1" x14ac:dyDescent="0.25">
      <c r="B22" s="19" t="s">
        <v>31</v>
      </c>
      <c r="C22" s="26">
        <f>M46/M45</f>
        <v>1.2781896551724139</v>
      </c>
      <c r="D22" s="85" t="s">
        <v>32</v>
      </c>
      <c r="E22" s="86"/>
      <c r="F22" s="86"/>
      <c r="G22" s="87"/>
    </row>
    <row r="23" spans="2:13" ht="15" customHeight="1" x14ac:dyDescent="0.25">
      <c r="B23" s="19" t="s">
        <v>33</v>
      </c>
      <c r="C23" s="29">
        <f>INDEX(Damped[],I34,2*I35+12)</f>
        <v>0.16329999999999997</v>
      </c>
      <c r="D23" s="85" t="s">
        <v>34</v>
      </c>
      <c r="E23" s="86"/>
      <c r="F23" s="86"/>
      <c r="G23" s="87"/>
    </row>
    <row r="24" spans="2:13" x14ac:dyDescent="0.25">
      <c r="B24" s="23" t="s">
        <v>35</v>
      </c>
      <c r="C24" s="27">
        <f>C23/API_check(C22)</f>
        <v>4.71565845158079</v>
      </c>
      <c r="D24" s="69" t="s">
        <v>36</v>
      </c>
      <c r="E24" s="70"/>
      <c r="F24" s="70"/>
      <c r="G24" s="71"/>
    </row>
    <row r="27" spans="2:13" x14ac:dyDescent="0.25">
      <c r="B27" s="21"/>
    </row>
    <row r="32" spans="2:13" ht="18" x14ac:dyDescent="0.35">
      <c r="I32" s="3">
        <v>1</v>
      </c>
      <c r="J32" s="3" t="s">
        <v>37</v>
      </c>
      <c r="L32" s="1" t="s">
        <v>38</v>
      </c>
      <c r="M32" s="1" t="s">
        <v>39</v>
      </c>
    </row>
    <row r="33" spans="2:43" x14ac:dyDescent="0.25">
      <c r="I33" s="3">
        <v>0</v>
      </c>
      <c r="J33" s="3" t="s">
        <v>40</v>
      </c>
      <c r="L33" s="1">
        <v>0.2</v>
      </c>
      <c r="M33" s="1">
        <v>0.01</v>
      </c>
      <c r="S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spans="2:43" x14ac:dyDescent="0.25">
      <c r="I34" s="3">
        <v>22</v>
      </c>
      <c r="J34" s="3" t="s">
        <v>41</v>
      </c>
      <c r="L34" s="1">
        <v>0.28000000000000003</v>
      </c>
      <c r="M34" s="1">
        <v>0.01</v>
      </c>
      <c r="S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spans="2:43" x14ac:dyDescent="0.25">
      <c r="I35" s="3">
        <v>3</v>
      </c>
      <c r="J35" s="3" t="s">
        <v>42</v>
      </c>
      <c r="L35" s="1">
        <v>0.28000000000000003</v>
      </c>
      <c r="M35" s="1">
        <v>0.02</v>
      </c>
      <c r="S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spans="2:43" x14ac:dyDescent="0.25">
      <c r="J36" s="3" t="s">
        <v>43</v>
      </c>
      <c r="L36" s="1">
        <v>0.4</v>
      </c>
      <c r="M36" s="1">
        <v>0.02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spans="2:43" x14ac:dyDescent="0.25">
      <c r="J37" s="3" t="s">
        <v>44</v>
      </c>
      <c r="L37" s="1">
        <v>0.4</v>
      </c>
      <c r="M37" s="1">
        <v>8.5000000000000006E-2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spans="2:43" x14ac:dyDescent="0.25">
      <c r="J38" s="3" t="s">
        <v>45</v>
      </c>
      <c r="L38" s="1">
        <v>0.8</v>
      </c>
      <c r="M38" s="1">
        <v>8.5000000000000006E-2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spans="2:43" x14ac:dyDescent="0.25">
      <c r="J39" s="3" t="s">
        <v>46</v>
      </c>
      <c r="L39" s="1">
        <v>0.9</v>
      </c>
      <c r="M39" s="1">
        <v>0.15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spans="2:43" x14ac:dyDescent="0.25">
      <c r="J40" s="3" t="s">
        <v>47</v>
      </c>
      <c r="L40" s="1">
        <v>1.1499999999999999</v>
      </c>
      <c r="M40" s="1">
        <v>0.15</v>
      </c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spans="2:43" x14ac:dyDescent="0.25">
      <c r="B41" s="73" t="s">
        <v>48</v>
      </c>
      <c r="C41" s="73"/>
      <c r="J41" s="3" t="s">
        <v>49</v>
      </c>
      <c r="L41" s="1">
        <v>1.3</v>
      </c>
      <c r="M41" s="1">
        <v>1.4999999999999999E-2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2:43" x14ac:dyDescent="0.25">
      <c r="B42" s="74" t="s">
        <v>50</v>
      </c>
      <c r="C42" s="74"/>
      <c r="J42" s="3" t="s">
        <v>51</v>
      </c>
      <c r="L42" s="1">
        <v>1.5</v>
      </c>
      <c r="M42" s="1">
        <v>1.4999999999999999E-2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2:43" x14ac:dyDescent="0.25">
      <c r="B43" s="75" t="s">
        <v>52</v>
      </c>
      <c r="C43" s="75"/>
      <c r="J43" s="3" t="s">
        <v>53</v>
      </c>
      <c r="L43" s="1"/>
      <c r="M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2:43" x14ac:dyDescent="0.25">
      <c r="B44" s="76" t="s">
        <v>54</v>
      </c>
      <c r="C44" s="76"/>
      <c r="L44" s="1"/>
      <c r="M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2:43" x14ac:dyDescent="0.25">
      <c r="B45" s="77" t="s">
        <v>55</v>
      </c>
      <c r="C45" s="77"/>
      <c r="L45" s="1" t="s">
        <v>56</v>
      </c>
      <c r="M45" s="1">
        <f>INDEX(Damped[],I34,1)</f>
        <v>6264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2:43" x14ac:dyDescent="0.25">
      <c r="L46" s="1" t="s">
        <v>57</v>
      </c>
      <c r="M46" s="1">
        <f>INDEX(Damped[],I34,2*I35+13)</f>
        <v>8006.5800000000008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2:43" x14ac:dyDescent="0.25"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2:43" x14ac:dyDescent="0.25"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8:56" x14ac:dyDescent="0.25"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8:56" x14ac:dyDescent="0.25"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63" spans="8:56" x14ac:dyDescent="0.25">
      <c r="I63" s="72" t="s">
        <v>58</v>
      </c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</row>
    <row r="64" spans="8:56" ht="18" x14ac:dyDescent="0.35">
      <c r="H64" s="1" t="s">
        <v>59</v>
      </c>
      <c r="I64" s="28" t="s">
        <v>37</v>
      </c>
      <c r="J64" s="28" t="s">
        <v>40</v>
      </c>
      <c r="K64" s="28" t="s">
        <v>41</v>
      </c>
      <c r="L64" s="28" t="s">
        <v>42</v>
      </c>
      <c r="M64" s="28" t="s">
        <v>43</v>
      </c>
      <c r="N64" s="28" t="s">
        <v>44</v>
      </c>
      <c r="O64" s="28" t="s">
        <v>45</v>
      </c>
      <c r="P64" s="28" t="s">
        <v>46</v>
      </c>
      <c r="Q64" s="28" t="s">
        <v>47</v>
      </c>
      <c r="R64" s="28" t="s">
        <v>49</v>
      </c>
      <c r="S64" s="28" t="s">
        <v>51</v>
      </c>
      <c r="T64" s="28" t="s">
        <v>53</v>
      </c>
      <c r="U64" s="1" t="s">
        <v>60</v>
      </c>
      <c r="V64" s="1" t="s">
        <v>61</v>
      </c>
      <c r="W64" s="1" t="s">
        <v>62</v>
      </c>
      <c r="X64" s="1" t="s">
        <v>63</v>
      </c>
      <c r="Y64" s="1" t="s">
        <v>64</v>
      </c>
      <c r="Z64" s="1" t="s">
        <v>65</v>
      </c>
      <c r="AA64" s="1" t="s">
        <v>66</v>
      </c>
      <c r="AB64" s="1" t="s">
        <v>67</v>
      </c>
      <c r="AC64" s="1" t="s">
        <v>68</v>
      </c>
      <c r="AD64" s="1" t="s">
        <v>69</v>
      </c>
      <c r="AE64" s="1" t="s">
        <v>70</v>
      </c>
      <c r="AF64" s="1" t="s">
        <v>71</v>
      </c>
      <c r="AG64" s="1" t="s">
        <v>72</v>
      </c>
      <c r="AH64" s="1" t="s">
        <v>73</v>
      </c>
      <c r="AI64" s="1" t="s">
        <v>74</v>
      </c>
      <c r="AJ64" s="1" t="s">
        <v>75</v>
      </c>
      <c r="AK64" s="1" t="s">
        <v>76</v>
      </c>
      <c r="AL64" s="1" t="s">
        <v>77</v>
      </c>
      <c r="AM64" s="1" t="s">
        <v>78</v>
      </c>
      <c r="AN64" s="1" t="s">
        <v>79</v>
      </c>
      <c r="AO64" s="1" t="s">
        <v>80</v>
      </c>
      <c r="AP64" s="1" t="s">
        <v>81</v>
      </c>
      <c r="AQ64" s="1" t="s">
        <v>82</v>
      </c>
      <c r="AR64" s="1" t="s">
        <v>83</v>
      </c>
      <c r="AS64" s="1" t="s">
        <v>84</v>
      </c>
      <c r="AT64" s="1" t="s">
        <v>85</v>
      </c>
      <c r="AU64" s="1" t="s">
        <v>86</v>
      </c>
      <c r="AV64" s="1" t="s">
        <v>87</v>
      </c>
      <c r="AW64" s="1" t="s">
        <v>88</v>
      </c>
      <c r="AX64" s="1" t="s">
        <v>89</v>
      </c>
      <c r="AY64" s="1" t="s">
        <v>90</v>
      </c>
      <c r="AZ64" s="1" t="s">
        <v>91</v>
      </c>
      <c r="BA64" s="1" t="s">
        <v>92</v>
      </c>
      <c r="BB64" s="1" t="s">
        <v>93</v>
      </c>
      <c r="BC64" s="1" t="s">
        <v>94</v>
      </c>
      <c r="BD64" s="1" t="s">
        <v>95</v>
      </c>
    </row>
    <row r="65" spans="8:56" x14ac:dyDescent="0.25">
      <c r="H65" s="1" cm="1">
        <f t="array" ref="H65">_xlfn.IFS($I$32=1,IF(ISBLANK(dry!B2),NA(),dry!B2),$I$32=2,IF(ISBLANK('as new'!B2),NA(),'as new'!B2),$I$32=3,IF(ISBLANK('twice as new'!B2),NA(),'twice as new'!B2))</f>
        <v>1174.5</v>
      </c>
      <c r="I65" s="1">
        <f>Damped[[#This Row],[ξI '[-']]]/API_check(Damped[[#This Row],[fI/frun]])</f>
        <v>569700000</v>
      </c>
      <c r="J65" s="1">
        <f>Damped[[#This Row],[ξII '[-']]]/API_check(Damped[[#This Row],[fII/frun]])</f>
        <v>80199999.999999985</v>
      </c>
      <c r="K65" s="1">
        <f>Damped[[#This Row],[ξIII '[-']]]/API_check(Damped[[#This Row],[fIII/frun]])</f>
        <v>64399999.999999993</v>
      </c>
      <c r="L65" s="1">
        <f>Damped[[#This Row],[ξIV '[-']]]/API_check(Damped[[#This Row],[fIV/frun]])</f>
        <v>243099999.99999997</v>
      </c>
      <c r="M65" s="1">
        <f>Damped[[#This Row],[ξV '[-']]]/API_check(Damped[[#This Row],[fV/frun]])</f>
        <v>139600000</v>
      </c>
      <c r="N65" s="1">
        <f>Damped[[#This Row],[ξVI '[-']]]/API_check(Damped[[#This Row],[fVI/frun]])</f>
        <v>196900000</v>
      </c>
      <c r="O65" s="1">
        <f>Damped[[#This Row],[ξVII '[-']]]/API_check(Damped[[#This Row],[fVII/frun]])</f>
        <v>141100000</v>
      </c>
      <c r="P65" s="1">
        <f>Damped[[#This Row],[ξVIII '[-']]]/API_check(Damped[[#This Row],[fVIII/frun]])</f>
        <v>354900000</v>
      </c>
      <c r="Q65" s="1" t="e">
        <f>Damped[[#This Row],[ξIX '[-']]]/API_check(Damped[[#This Row],[fIX/frun]])</f>
        <v>#N/A</v>
      </c>
      <c r="R65" s="1" t="e">
        <f>Damped[[#This Row],[ξX '[-']]]/API_check(Damped[[#This Row],[fX/frun]])</f>
        <v>#N/A</v>
      </c>
      <c r="S65" s="1" t="e">
        <f>Damped[[#This Row],[ξXI '[-']]]/API_check(Damped[[#This Row],[fXI/frun]])</f>
        <v>#N/A</v>
      </c>
      <c r="T65" s="1" t="e">
        <f>Damped[[#This Row],[ξXII '[-']]]/API_check(Damped[[#This Row],[fXII/frun]])</f>
        <v>#N/A</v>
      </c>
      <c r="U65" s="1" cm="1">
        <f t="array" ref="U65">_xlfn.IFS($I$32=1,IF(ISBLANK(dry!C2),NA(),dry!C2),$I$32=2,IF(ISBLANK('as new'!C2),NA(),'as new'!C2),$I$32=3,IF(ISBLANK('twice as new'!C2),NA(),'twice as new'!C2))</f>
        <v>0.56969999999999998</v>
      </c>
      <c r="V65" s="1" cm="1">
        <f t="array" ref="V65">_xlfn.IFS($I$32=1,IF(ISBLANK(dry!D2),NA(),dry!D2),$I$32=2,IF(ISBLANK('as new'!D2),NA(),'as new'!D2),$I$32=3,IF(ISBLANK('twice as new'!D2),NA(),'twice as new'!D2))</f>
        <v>1935.1200000000001</v>
      </c>
      <c r="W65" s="1" cm="1">
        <f t="array" ref="W65">_xlfn.IFS($I$32=1,IF(ISBLANK(dry!E2),NA(),dry!E2),$I$32=2,IF(ISBLANK('as new'!E2),NA(),'as new'!E2),$I$32=3,IF(ISBLANK('twice as new'!E2),NA(),'twice as new'!E2))</f>
        <v>8.0199999999999994E-2</v>
      </c>
      <c r="X65" s="1" cm="1">
        <f t="array" ref="X65">_xlfn.IFS($I$32=1,IF(ISBLANK(dry!F2),NA(),dry!F2),$I$32=2,IF(ISBLANK('as new'!F2),NA(),'as new'!F2),$I$32=3,IF(ISBLANK('twice as new'!F2),NA(),'twice as new'!F2))</f>
        <v>7808.88</v>
      </c>
      <c r="Y65" s="1" cm="1">
        <f t="array" ref="Y65">_xlfn.IFS($I$32=1,IF(ISBLANK(dry!G2),NA(),dry!G2),$I$32=2,IF(ISBLANK('as new'!G2),NA(),'as new'!G2),$I$32=3,IF(ISBLANK('twice as new'!G2),NA(),'twice as new'!G2))</f>
        <v>6.4399999999999999E-2</v>
      </c>
      <c r="Z65" s="1" cm="1">
        <f t="array" ref="Z65">_xlfn.IFS($I$32=1,IF(ISBLANK(dry!H2),NA(),dry!H2),$I$32=2,IF(ISBLANK('as new'!H2),NA(),'as new'!H2),$I$32=3,IF(ISBLANK('twice as new'!H2),NA(),'twice as new'!H2))</f>
        <v>7965.5999999999995</v>
      </c>
      <c r="AA65" s="1" cm="1">
        <f t="array" ref="AA65">_xlfn.IFS($I$32=1,IF(ISBLANK(dry!I2),NA(),dry!I2),$I$32=2,IF(ISBLANK('as new'!I2),NA(),'as new'!I2),$I$32=3,IF(ISBLANK('twice as new'!I2),NA(),'twice as new'!I2))</f>
        <v>0.24309999999999998</v>
      </c>
      <c r="AB65" s="1" cm="1">
        <f t="array" ref="AB65">_xlfn.IFS($I$32=1,IF(ISBLANK(dry!J2),NA(),dry!J2),$I$32=2,IF(ISBLANK('as new'!J2),NA(),'as new'!J2),$I$32=3,IF(ISBLANK('twice as new'!J2),NA(),'twice as new'!J2))</f>
        <v>4202.7</v>
      </c>
      <c r="AC65" s="1" cm="1">
        <f t="array" ref="AC65">_xlfn.IFS($I$32=1,IF(ISBLANK(dry!K2),NA(),dry!K2),$I$32=2,IF(ISBLANK('as new'!K2),NA(),'as new'!K2),$I$32=3,IF(ISBLANK('twice as new'!K2),NA(),'twice as new'!K2))</f>
        <v>0.1396</v>
      </c>
      <c r="AD65" s="1" cm="1">
        <f t="array" ref="AD65">_xlfn.IFS($I$32=1,IF(ISBLANK(dry!L2),NA(),dry!L2),$I$32=2,IF(ISBLANK('as new'!L2),NA(),'as new'!L2),$I$32=3,IF(ISBLANK('twice as new'!L2),NA(),'twice as new'!L2))</f>
        <v>10868.58</v>
      </c>
      <c r="AE65" s="1" cm="1">
        <f t="array" ref="AE65">_xlfn.IFS($I$32=1,IF(ISBLANK(dry!M2),NA(),dry!M2),$I$32=2,IF(ISBLANK('as new'!M2),NA(),'as new'!M2),$I$32=3,IF(ISBLANK('twice as new'!M2),NA(),'twice as new'!M2))</f>
        <v>0.19690000000000002</v>
      </c>
      <c r="AF65" s="1" cm="1">
        <f t="array" ref="AF65">_xlfn.IFS($I$32=1,IF(ISBLANK(dry!N2),NA(),dry!N2),$I$32=2,IF(ISBLANK('as new'!N2),NA(),'as new'!N2),$I$32=3,IF(ISBLANK('twice as new'!N2),NA(),'twice as new'!N2))</f>
        <v>4519.8600000000006</v>
      </c>
      <c r="AG65" s="1" cm="1">
        <f t="array" ref="AG65">_xlfn.IFS($I$32=1,IF(ISBLANK(dry!O2),NA(),dry!O2),$I$32=2,IF(ISBLANK('as new'!O2),NA(),'as new'!O2),$I$32=3,IF(ISBLANK('twice as new'!O2),NA(),'twice as new'!O2))</f>
        <v>0.1411</v>
      </c>
      <c r="AH65" s="1" cm="1">
        <f t="array" ref="AH65">_xlfn.IFS($I$32=1,IF(ISBLANK(dry!P2),NA(),dry!P2),$I$32=2,IF(ISBLANK('as new'!P2),NA(),'as new'!P2),$I$32=3,IF(ISBLANK('twice as new'!P2),NA(),'twice as new'!P2))</f>
        <v>11045.52</v>
      </c>
      <c r="AI65" s="1" cm="1">
        <f t="array" ref="AI65">_xlfn.IFS($I$32=1,IF(ISBLANK(dry!Q2),NA(),dry!Q2),$I$32=2,IF(ISBLANK('as new'!Q2),NA(),'as new'!Q2),$I$32=3,IF(ISBLANK('twice as new'!Q2),NA(),'twice as new'!Q2))</f>
        <v>0.35489999999999999</v>
      </c>
      <c r="AJ65" s="1" cm="1">
        <f t="array" ref="AJ65">_xlfn.IFS($I$32=1,IF(ISBLANK(dry!R2),NA(),dry!R2),$I$32=2,IF(ISBLANK('as new'!R2),NA(),'as new'!R2),$I$32=3,IF(ISBLANK('twice as new'!R2),NA(),'twice as new'!R2))</f>
        <v>2303.7000000000003</v>
      </c>
      <c r="AK65" s="1" t="e">
        <f>IF(CHOOSE($I$32,dry!S2,'as new'!S2,'twice as new'!S2)=0,NA(),CHOOSE($I$32,dry!S2,'as new'!S2,'twice as new'!S2))</f>
        <v>#N/A</v>
      </c>
      <c r="AL65" s="1" t="e">
        <f>IF(CHOOSE($I$32,dry!T2,'as new'!T2,'twice as new'!T2)=0,NA(),CHOOSE($I$32,dry!T2,'as new'!T2,'twice as new'!T2))</f>
        <v>#N/A</v>
      </c>
      <c r="AM65" s="1" t="e">
        <f>IF(CHOOSE($I$32,dry!U2,'as new'!U2,'twice as new'!U2)=0,NA(),CHOOSE($I$32,dry!U2,'as new'!U2,'twice as new'!U2))</f>
        <v>#N/A</v>
      </c>
      <c r="AN65" s="1" t="e">
        <f>IF(CHOOSE($I$32,dry!V2,'as new'!V2,'twice as new'!V2)=0,NA(),CHOOSE($I$32,dry!V2,'as new'!V2,'twice as new'!V2))</f>
        <v>#N/A</v>
      </c>
      <c r="AO65" s="1" t="e">
        <f>IF(CHOOSE($I$32,dry!W2,'as new'!W2,'twice as new'!W2)=0,NA(),CHOOSE($I$32,dry!W2,'as new'!W2,'twice as new'!W2))</f>
        <v>#N/A</v>
      </c>
      <c r="AP65" s="1" t="e">
        <f>IF(CHOOSE($I$32,dry!X2,'as new'!X2,'twice as new'!X2)=0,NA(),CHOOSE($I$32,dry!X2,'as new'!X2,'twice as new'!X2))</f>
        <v>#N/A</v>
      </c>
      <c r="AQ65" s="1" t="e">
        <f>IF(CHOOSE($I$32,dry!Y2,'as new'!Y2,'twice as new'!Y2)=0,NA(),CHOOSE($I$32,dry!Y2,'as new'!Y2,'twice as new'!Y2))</f>
        <v>#N/A</v>
      </c>
      <c r="AR65" s="1" t="e">
        <f>IF(CHOOSE($I$32,dry!Z2,'as new'!Z2,'twice as new'!Z2)=0,NA(),CHOOSE($I$32,dry!Z2,'as new'!Z2,'twice as new'!Z2))</f>
        <v>#N/A</v>
      </c>
      <c r="AS65" s="1">
        <f>Damped[[#This Row],[fI '[rpm']]]/Damped[[#This Row],[frun '[rpm']]]</f>
        <v>1.6476117496807152</v>
      </c>
      <c r="AT65" s="1">
        <f>Damped[[#This Row],[fII '[rpm']]]/Damped[[#This Row],[frun '[rpm']]]</f>
        <v>6.6486845466155815</v>
      </c>
      <c r="AU65" s="1">
        <f>Damped[[#This Row],[fIII '[rpm']]]/Damped[[#This Row],[frun '[rpm']]]</f>
        <v>6.7821200510855677</v>
      </c>
      <c r="AV65" s="1">
        <f>Damped[[#This Row],[fIV '[rpm']]]/Damped[[#This Row],[frun '[rpm']]]</f>
        <v>3.5782886334610473</v>
      </c>
      <c r="AW65" s="1">
        <f>Damped[[#This Row],[fV '[rpm']]]/Damped[[#This Row],[frun '[rpm']]]</f>
        <v>9.2537931034482757</v>
      </c>
      <c r="AX65" s="1">
        <f>Damped[[#This Row],[fVI '[rpm']]]/Damped[[#This Row],[frun '[rpm']]]</f>
        <v>3.8483269476372928</v>
      </c>
      <c r="AY65" s="1">
        <f>Damped[[#This Row],[fVII '[rpm']]]/Damped[[#This Row],[frun '[rpm']]]</f>
        <v>9.4044444444444455</v>
      </c>
      <c r="AZ65" s="1">
        <f>Damped[[#This Row],[fVIII '[rpm']]]/Damped[[#This Row],[frun '[rpm']]]</f>
        <v>1.9614303959131547</v>
      </c>
      <c r="BA65" s="1" t="e">
        <f>Damped[[#This Row],[fIX '[rpm']]]/Damped[[#This Row],[frun '[rpm']]]</f>
        <v>#N/A</v>
      </c>
      <c r="BB65" s="1" t="e">
        <f>Damped[[#This Row],[fX '[rpm']]]/Damped[[#This Row],[frun '[rpm']]]</f>
        <v>#N/A</v>
      </c>
      <c r="BC65" s="1" t="e">
        <f>Damped[[#This Row],[fXI '[rpm']]]/Damped[[#This Row],[frun '[rpm']]]</f>
        <v>#N/A</v>
      </c>
      <c r="BD65" s="1" t="e">
        <f>Damped[[#This Row],[fXII '[rpm']]]/Damped[[#This Row],[frun '[rpm']]]</f>
        <v>#N/A</v>
      </c>
    </row>
    <row r="66" spans="8:56" x14ac:dyDescent="0.25">
      <c r="H66" s="1" cm="1">
        <f t="array" ref="H66">_xlfn.IFS($I$32=1,IF(ISBLANK(dry!B3),NA(),dry!B3),$I$32=2,IF(ISBLANK('as new'!B3),NA(),'as new'!B3),$I$32=3,IF(ISBLANK('twice as new'!B3),NA(),'twice as new'!B3))</f>
        <v>1305</v>
      </c>
      <c r="I66" s="1">
        <f>Damped[[#This Row],[ξI '[-']]]/API_check(Damped[[#This Row],[fI/frun]])</f>
        <v>612000000</v>
      </c>
      <c r="J66" s="1">
        <f>Damped[[#This Row],[ξII '[-']]]/API_check(Damped[[#This Row],[fII/frun]])</f>
        <v>86200000</v>
      </c>
      <c r="K66" s="1">
        <f>Damped[[#This Row],[ξIII '[-']]]/API_check(Damped[[#This Row],[fIII/frun]])</f>
        <v>71500000</v>
      </c>
      <c r="L66" s="1">
        <f>Damped[[#This Row],[ξIV '[-']]]/API_check(Damped[[#This Row],[fIV/frun]])</f>
        <v>266799999.99999997</v>
      </c>
      <c r="M66" s="1">
        <f>Damped[[#This Row],[ξV '[-']]]/API_check(Damped[[#This Row],[fV/frun]])</f>
        <v>153200000</v>
      </c>
      <c r="N66" s="1">
        <f>Damped[[#This Row],[ξVI '[-']]]/API_check(Damped[[#This Row],[fVI/frun]])</f>
        <v>212600000</v>
      </c>
      <c r="O66" s="1">
        <f>Damped[[#This Row],[ξVII '[-']]]/API_check(Damped[[#This Row],[fVII/frun]])</f>
        <v>151900000</v>
      </c>
      <c r="P66" s="1">
        <f>Damped[[#This Row],[ξVIII '[-']]]/API_check(Damped[[#This Row],[fVIII/frun]])</f>
        <v>371300000</v>
      </c>
      <c r="Q66" s="1" t="e">
        <f>Damped[[#This Row],[ξIX '[-']]]/API_check(Damped[[#This Row],[fIX/frun]])</f>
        <v>#N/A</v>
      </c>
      <c r="R66" s="1" t="e">
        <f>Damped[[#This Row],[ξX '[-']]]/API_check(Damped[[#This Row],[fX/frun]])</f>
        <v>#N/A</v>
      </c>
      <c r="S66" s="1" t="e">
        <f>Damped[[#This Row],[ξXI '[-']]]/API_check(Damped[[#This Row],[fXI/frun]])</f>
        <v>#N/A</v>
      </c>
      <c r="T66" s="1" t="e">
        <f>Damped[[#This Row],[ξXII '[-']]]/API_check(Damped[[#This Row],[fXII/frun]])</f>
        <v>#N/A</v>
      </c>
      <c r="U66" s="1" cm="1">
        <f t="array" ref="U66">_xlfn.IFS($I$32=1,IF(ISBLANK(dry!C3),NA(),dry!C3),$I$32=2,IF(ISBLANK('as new'!C3),NA(),'as new'!C3),$I$32=3,IF(ISBLANK('twice as new'!C3),NA(),'twice as new'!C3))</f>
        <v>0.61199999999999999</v>
      </c>
      <c r="V66" s="1" cm="1">
        <f t="array" ref="V66">_xlfn.IFS($I$32=1,IF(ISBLANK(dry!D3),NA(),dry!D3),$I$32=2,IF(ISBLANK('as new'!D3),NA(),'as new'!D3),$I$32=3,IF(ISBLANK('twice as new'!D3),NA(),'twice as new'!D3))</f>
        <v>2006.88</v>
      </c>
      <c r="W66" s="1" cm="1">
        <f t="array" ref="W66">_xlfn.IFS($I$32=1,IF(ISBLANK(dry!E3),NA(),dry!E3),$I$32=2,IF(ISBLANK('as new'!E3),NA(),'as new'!E3),$I$32=3,IF(ISBLANK('twice as new'!E3),NA(),'twice as new'!E3))</f>
        <v>8.6199999999999999E-2</v>
      </c>
      <c r="X66" s="1" cm="1">
        <f t="array" ref="X66">_xlfn.IFS($I$32=1,IF(ISBLANK(dry!F3),NA(),dry!F3),$I$32=2,IF(ISBLANK('as new'!F3),NA(),'as new'!F3),$I$32=3,IF(ISBLANK('twice as new'!F3),NA(),'twice as new'!F3))</f>
        <v>7811.76</v>
      </c>
      <c r="Y66" s="1" cm="1">
        <f t="array" ref="Y66">_xlfn.IFS($I$32=1,IF(ISBLANK(dry!G3),NA(),dry!G3),$I$32=2,IF(ISBLANK('as new'!G3),NA(),'as new'!G3),$I$32=3,IF(ISBLANK('twice as new'!G3),NA(),'twice as new'!G3))</f>
        <v>7.1500000000000008E-2</v>
      </c>
      <c r="Z66" s="1" cm="1">
        <f t="array" ref="Z66">_xlfn.IFS($I$32=1,IF(ISBLANK(dry!H3),NA(),dry!H3),$I$32=2,IF(ISBLANK('as new'!H3),NA(),'as new'!H3),$I$32=3,IF(ISBLANK('twice as new'!H3),NA(),'twice as new'!H3))</f>
        <v>7986.5400000000009</v>
      </c>
      <c r="AA66" s="1" cm="1">
        <f t="array" ref="AA66">_xlfn.IFS($I$32=1,IF(ISBLANK(dry!I3),NA(),dry!I3),$I$32=2,IF(ISBLANK('as new'!I3),NA(),'as new'!I3),$I$32=3,IF(ISBLANK('twice as new'!I3),NA(),'twice as new'!I3))</f>
        <v>0.26679999999999998</v>
      </c>
      <c r="AB66" s="1" cm="1">
        <f t="array" ref="AB66">_xlfn.IFS($I$32=1,IF(ISBLANK(dry!J3),NA(),dry!J3),$I$32=2,IF(ISBLANK('as new'!J3),NA(),'as new'!J3),$I$32=3,IF(ISBLANK('twice as new'!J3),NA(),'twice as new'!J3))</f>
        <v>4236</v>
      </c>
      <c r="AC66" s="1" cm="1">
        <f t="array" ref="AC66">_xlfn.IFS($I$32=1,IF(ISBLANK(dry!K3),NA(),dry!K3),$I$32=2,IF(ISBLANK('as new'!K3),NA(),'as new'!K3),$I$32=3,IF(ISBLANK('twice as new'!K3),NA(),'twice as new'!K3))</f>
        <v>0.1532</v>
      </c>
      <c r="AD66" s="1" cm="1">
        <f t="array" ref="AD66">_xlfn.IFS($I$32=1,IF(ISBLANK(dry!L3),NA(),dry!L3),$I$32=2,IF(ISBLANK('as new'!L3),NA(),'as new'!L3),$I$32=3,IF(ISBLANK('twice as new'!L3),NA(),'twice as new'!L3))</f>
        <v>10839.78</v>
      </c>
      <c r="AE66" s="1" cm="1">
        <f t="array" ref="AE66">_xlfn.IFS($I$32=1,IF(ISBLANK(dry!M3),NA(),dry!M3),$I$32=2,IF(ISBLANK('as new'!M3),NA(),'as new'!M3),$I$32=3,IF(ISBLANK('twice as new'!M3),NA(),'twice as new'!M3))</f>
        <v>0.21260000000000001</v>
      </c>
      <c r="AF66" s="1" cm="1">
        <f t="array" ref="AF66">_xlfn.IFS($I$32=1,IF(ISBLANK(dry!N3),NA(),dry!N3),$I$32=2,IF(ISBLANK('as new'!N3),NA(),'as new'!N3),$I$32=3,IF(ISBLANK('twice as new'!N3),NA(),'twice as new'!N3))</f>
        <v>4563.0600000000004</v>
      </c>
      <c r="AG66" s="1" cm="1">
        <f t="array" ref="AG66">_xlfn.IFS($I$32=1,IF(ISBLANK(dry!O3),NA(),dry!O3),$I$32=2,IF(ISBLANK('as new'!O3),NA(),'as new'!O3),$I$32=3,IF(ISBLANK('twice as new'!O3),NA(),'twice as new'!O3))</f>
        <v>0.15190000000000001</v>
      </c>
      <c r="AH66" s="1" cm="1">
        <f t="array" ref="AH66">_xlfn.IFS($I$32=1,IF(ISBLANK(dry!P3),NA(),dry!P3),$I$32=2,IF(ISBLANK('as new'!P3),NA(),'as new'!P3),$I$32=3,IF(ISBLANK('twice as new'!P3),NA(),'twice as new'!P3))</f>
        <v>11112.24</v>
      </c>
      <c r="AI66" s="1" cm="1">
        <f t="array" ref="AI66">_xlfn.IFS($I$32=1,IF(ISBLANK(dry!Q3),NA(),dry!Q3),$I$32=2,IF(ISBLANK('as new'!Q3),NA(),'as new'!Q3),$I$32=3,IF(ISBLANK('twice as new'!Q3),NA(),'twice as new'!Q3))</f>
        <v>0.37130000000000002</v>
      </c>
      <c r="AJ66" s="1" cm="1">
        <f t="array" ref="AJ66">_xlfn.IFS($I$32=1,IF(ISBLANK(dry!R3),NA(),dry!R3),$I$32=2,IF(ISBLANK('as new'!R3),NA(),'as new'!R3),$I$32=3,IF(ISBLANK('twice as new'!R3),NA(),'twice as new'!R3))</f>
        <v>2391.1800000000003</v>
      </c>
      <c r="AK66" s="1" t="e">
        <f>IF(CHOOSE($I$32,dry!S3,'as new'!S3,'twice as new'!S3)=0,NA(),CHOOSE($I$32,dry!S3,'as new'!S3,'twice as new'!S3))</f>
        <v>#N/A</v>
      </c>
      <c r="AL66" s="1" t="e">
        <f>IF(CHOOSE($I$32,dry!T3,'as new'!T3,'twice as new'!T3)=0,NA(),CHOOSE($I$32,dry!T3,'as new'!T3,'twice as new'!T3))</f>
        <v>#N/A</v>
      </c>
      <c r="AM66" s="1" t="e">
        <f>IF(CHOOSE($I$32,dry!U3,'as new'!U3,'twice as new'!U3)=0,NA(),CHOOSE($I$32,dry!U3,'as new'!U3,'twice as new'!U3))</f>
        <v>#N/A</v>
      </c>
      <c r="AN66" s="1" t="e">
        <f>IF(CHOOSE($I$32,dry!V3,'as new'!V3,'twice as new'!V3)=0,NA(),CHOOSE($I$32,dry!V3,'as new'!V3,'twice as new'!V3))</f>
        <v>#N/A</v>
      </c>
      <c r="AO66" s="1" t="e">
        <f>IF(CHOOSE($I$32,dry!W3,'as new'!W3,'twice as new'!W3)=0,NA(),CHOOSE($I$32,dry!W3,'as new'!W3,'twice as new'!W3))</f>
        <v>#N/A</v>
      </c>
      <c r="AP66" s="1" t="e">
        <f>IF(CHOOSE($I$32,dry!X3,'as new'!X3,'twice as new'!X3)=0,NA(),CHOOSE($I$32,dry!X3,'as new'!X3,'twice as new'!X3))</f>
        <v>#N/A</v>
      </c>
      <c r="AQ66" s="1" t="e">
        <f>IF(CHOOSE($I$32,dry!Y3,'as new'!Y3,'twice as new'!Y3)=0,NA(),CHOOSE($I$32,dry!Y3,'as new'!Y3,'twice as new'!Y3))</f>
        <v>#N/A</v>
      </c>
      <c r="AR66" s="1" t="e">
        <f>IF(CHOOSE($I$32,dry!Z3,'as new'!Z3,'twice as new'!Z3)=0,NA(),CHOOSE($I$32,dry!Z3,'as new'!Z3,'twice as new'!Z3))</f>
        <v>#N/A</v>
      </c>
      <c r="AS66" s="1">
        <f>Damped[[#This Row],[fI '[rpm']]]/Damped[[#This Row],[frun '[rpm']]]</f>
        <v>1.5378390804597701</v>
      </c>
      <c r="AT66" s="1">
        <f>Damped[[#This Row],[fII '[rpm']]]/Damped[[#This Row],[frun '[rpm']]]</f>
        <v>5.9860229885057477</v>
      </c>
      <c r="AU66" s="1">
        <f>Damped[[#This Row],[fIII '[rpm']]]/Damped[[#This Row],[frun '[rpm']]]</f>
        <v>6.1199540229885061</v>
      </c>
      <c r="AV66" s="1">
        <f>Damped[[#This Row],[fIV '[rpm']]]/Damped[[#This Row],[frun '[rpm']]]</f>
        <v>3.245977011494253</v>
      </c>
      <c r="AW66" s="1">
        <f>Damped[[#This Row],[fV '[rpm']]]/Damped[[#This Row],[frun '[rpm']]]</f>
        <v>8.3063448275862068</v>
      </c>
      <c r="AX66" s="1">
        <f>Damped[[#This Row],[fVI '[rpm']]]/Damped[[#This Row],[frun '[rpm']]]</f>
        <v>3.4965977011494256</v>
      </c>
      <c r="AY66" s="1">
        <f>Damped[[#This Row],[fVII '[rpm']]]/Damped[[#This Row],[frun '[rpm']]]</f>
        <v>8.5151264367816086</v>
      </c>
      <c r="AZ66" s="1">
        <f>Damped[[#This Row],[fVIII '[rpm']]]/Damped[[#This Row],[frun '[rpm']]]</f>
        <v>1.8323218390804601</v>
      </c>
      <c r="BA66" s="1" t="e">
        <f>Damped[[#This Row],[fIX '[rpm']]]/Damped[[#This Row],[frun '[rpm']]]</f>
        <v>#N/A</v>
      </c>
      <c r="BB66" s="1" t="e">
        <f>Damped[[#This Row],[fX '[rpm']]]/Damped[[#This Row],[frun '[rpm']]]</f>
        <v>#N/A</v>
      </c>
      <c r="BC66" s="1" t="e">
        <f>Damped[[#This Row],[fXI '[rpm']]]/Damped[[#This Row],[frun '[rpm']]]</f>
        <v>#N/A</v>
      </c>
      <c r="BD66" s="1" t="e">
        <f>Damped[[#This Row],[fXII '[rpm']]]/Damped[[#This Row],[frun '[rpm']]]</f>
        <v>#N/A</v>
      </c>
    </row>
    <row r="67" spans="8:56" x14ac:dyDescent="0.25">
      <c r="H67" s="1" cm="1">
        <f t="array" ref="H67">_xlfn.IFS($I$32=1,IF(ISBLANK(dry!B4),NA(),dry!B4),$I$32=2,IF(ISBLANK('as new'!B4),NA(),'as new'!B4),$I$32=3,IF(ISBLANK('twice as new'!B4),NA(),'twice as new'!B4))</f>
        <v>1566</v>
      </c>
      <c r="I67" s="1">
        <f>Damped[[#This Row],[ξI '[-']]]/API_check(Damped[[#This Row],[fI/frun]])</f>
        <v>45.406666666666673</v>
      </c>
      <c r="J67" s="1">
        <f>Damped[[#This Row],[ξII '[-']]]/API_check(Damped[[#This Row],[fII/frun]])</f>
        <v>97899999.999999985</v>
      </c>
      <c r="K67" s="1">
        <f>Damped[[#This Row],[ξIII '[-']]]/API_check(Damped[[#This Row],[fIII/frun]])</f>
        <v>85000000</v>
      </c>
      <c r="L67" s="1">
        <f>Damped[[#This Row],[ξIV '[-']]]/API_check(Damped[[#This Row],[fIV/frun]])</f>
        <v>310900000</v>
      </c>
      <c r="M67" s="1">
        <f>Damped[[#This Row],[ξV '[-']]]/API_check(Damped[[#This Row],[fV/frun]])</f>
        <v>178700000</v>
      </c>
      <c r="N67" s="1">
        <f>Damped[[#This Row],[ξVI '[-']]]/API_check(Damped[[#This Row],[fVI/frun]])</f>
        <v>243500000</v>
      </c>
      <c r="O67" s="1">
        <f>Damped[[#This Row],[ξVII '[-']]]/API_check(Damped[[#This Row],[fVII/frun]])</f>
        <v>175599999.99999997</v>
      </c>
      <c r="P67" s="1">
        <f>Damped[[#This Row],[ξVIII '[-']]]/API_check(Damped[[#This Row],[fVIII/frun]])</f>
        <v>409799999.99999994</v>
      </c>
      <c r="Q67" s="1" t="e">
        <f>Damped[[#This Row],[ξIX '[-']]]/API_check(Damped[[#This Row],[fIX/frun]])</f>
        <v>#N/A</v>
      </c>
      <c r="R67" s="1" t="e">
        <f>Damped[[#This Row],[ξX '[-']]]/API_check(Damped[[#This Row],[fX/frun]])</f>
        <v>#N/A</v>
      </c>
      <c r="S67" s="1" t="e">
        <f>Damped[[#This Row],[ξXI '[-']]]/API_check(Damped[[#This Row],[fXI/frun]])</f>
        <v>#N/A</v>
      </c>
      <c r="T67" s="1" t="e">
        <f>Damped[[#This Row],[ξXII '[-']]]/API_check(Damped[[#This Row],[fXII/frun]])</f>
        <v>#N/A</v>
      </c>
      <c r="U67" s="1" cm="1">
        <f t="array" ref="U67">_xlfn.IFS($I$32=1,IF(ISBLANK(dry!C4),NA(),dry!C4),$I$32=2,IF(ISBLANK('as new'!C4),NA(),'as new'!C4),$I$32=3,IF(ISBLANK('twice as new'!C4),NA(),'twice as new'!C4))</f>
        <v>0.68110000000000004</v>
      </c>
      <c r="V67" s="1" cm="1">
        <f t="array" ref="V67">_xlfn.IFS($I$32=1,IF(ISBLANK(dry!D4),NA(),dry!D4),$I$32=2,IF(ISBLANK('as new'!D4),NA(),'as new'!D4),$I$32=3,IF(ISBLANK('twice as new'!D4),NA(),'twice as new'!D4))</f>
        <v>2127.2999999999997</v>
      </c>
      <c r="W67" s="1" cm="1">
        <f t="array" ref="W67">_xlfn.IFS($I$32=1,IF(ISBLANK(dry!E4),NA(),dry!E4),$I$32=2,IF(ISBLANK('as new'!E4),NA(),'as new'!E4),$I$32=3,IF(ISBLANK('twice as new'!E4),NA(),'twice as new'!E4))</f>
        <v>9.7899999999999987E-2</v>
      </c>
      <c r="X67" s="1" cm="1">
        <f t="array" ref="X67">_xlfn.IFS($I$32=1,IF(ISBLANK(dry!F4),NA(),dry!F4),$I$32=2,IF(ISBLANK('as new'!F4),NA(),'as new'!F4),$I$32=3,IF(ISBLANK('twice as new'!F4),NA(),'twice as new'!F4))</f>
        <v>7817.7599999999993</v>
      </c>
      <c r="Y67" s="1" cm="1">
        <f t="array" ref="Y67">_xlfn.IFS($I$32=1,IF(ISBLANK(dry!G4),NA(),dry!G4),$I$32=2,IF(ISBLANK('as new'!G4),NA(),'as new'!G4),$I$32=3,IF(ISBLANK('twice as new'!G4),NA(),'twice as new'!G4))</f>
        <v>8.5000000000000006E-2</v>
      </c>
      <c r="Z67" s="1" cm="1">
        <f t="array" ref="Z67">_xlfn.IFS($I$32=1,IF(ISBLANK(dry!H4),NA(),dry!H4),$I$32=2,IF(ISBLANK('as new'!H4),NA(),'as new'!H4),$I$32=3,IF(ISBLANK('twice as new'!H4),NA(),'twice as new'!H4))</f>
        <v>8024.34</v>
      </c>
      <c r="AA67" s="1" cm="1">
        <f t="array" ref="AA67">_xlfn.IFS($I$32=1,IF(ISBLANK(dry!I4),NA(),dry!I4),$I$32=2,IF(ISBLANK('as new'!I4),NA(),'as new'!I4),$I$32=3,IF(ISBLANK('twice as new'!I4),NA(),'twice as new'!I4))</f>
        <v>0.31090000000000001</v>
      </c>
      <c r="AB67" s="1" cm="1">
        <f t="array" ref="AB67">_xlfn.IFS($I$32=1,IF(ISBLANK(dry!J4),NA(),dry!J4),$I$32=2,IF(ISBLANK('as new'!J4),NA(),'as new'!J4),$I$32=3,IF(ISBLANK('twice as new'!J4),NA(),'twice as new'!J4))</f>
        <v>4305.7800000000007</v>
      </c>
      <c r="AC67" s="1" cm="1">
        <f t="array" ref="AC67">_xlfn.IFS($I$32=1,IF(ISBLANK(dry!K4),NA(),dry!K4),$I$32=2,IF(ISBLANK('as new'!K4),NA(),'as new'!K4),$I$32=3,IF(ISBLANK('twice as new'!K4),NA(),'twice as new'!K4))</f>
        <v>0.1787</v>
      </c>
      <c r="AD67" s="1" cm="1">
        <f t="array" ref="AD67">_xlfn.IFS($I$32=1,IF(ISBLANK(dry!L4),NA(),dry!L4),$I$32=2,IF(ISBLANK('as new'!L4),NA(),'as new'!L4),$I$32=3,IF(ISBLANK('twice as new'!L4),NA(),'twice as new'!L4))</f>
        <v>10807.8</v>
      </c>
      <c r="AE67" s="1" cm="1">
        <f t="array" ref="AE67">_xlfn.IFS($I$32=1,IF(ISBLANK(dry!M4),NA(),dry!M4),$I$32=2,IF(ISBLANK('as new'!M4),NA(),'as new'!M4),$I$32=3,IF(ISBLANK('twice as new'!M4),NA(),'twice as new'!M4))</f>
        <v>0.24350000000000002</v>
      </c>
      <c r="AF67" s="1" cm="1">
        <f t="array" ref="AF67">_xlfn.IFS($I$32=1,IF(ISBLANK(dry!N4),NA(),dry!N4),$I$32=2,IF(ISBLANK('as new'!N4),NA(),'as new'!N4),$I$32=3,IF(ISBLANK('twice as new'!N4),NA(),'twice as new'!N4))</f>
        <v>4644.78</v>
      </c>
      <c r="AG67" s="1" cm="1">
        <f t="array" ref="AG67">_xlfn.IFS($I$32=1,IF(ISBLANK(dry!O4),NA(),dry!O4),$I$32=2,IF(ISBLANK('as new'!O4),NA(),'as new'!O4),$I$32=3,IF(ISBLANK('twice as new'!O4),NA(),'twice as new'!O4))</f>
        <v>0.17559999999999998</v>
      </c>
      <c r="AH67" s="1" cm="1">
        <f t="array" ref="AH67">_xlfn.IFS($I$32=1,IF(ISBLANK(dry!P4),NA(),dry!P4),$I$32=2,IF(ISBLANK('as new'!P4),NA(),'as new'!P4),$I$32=3,IF(ISBLANK('twice as new'!P4),NA(),'twice as new'!P4))</f>
        <v>11198.34</v>
      </c>
      <c r="AI67" s="1" cm="1">
        <f t="array" ref="AI67">_xlfn.IFS($I$32=1,IF(ISBLANK(dry!Q4),NA(),dry!Q4),$I$32=2,IF(ISBLANK('as new'!Q4),NA(),'as new'!Q4),$I$32=3,IF(ISBLANK('twice as new'!Q4),NA(),'twice as new'!Q4))</f>
        <v>0.40979999999999994</v>
      </c>
      <c r="AJ67" s="1" cm="1">
        <f t="array" ref="AJ67">_xlfn.IFS($I$32=1,IF(ISBLANK(dry!R4),NA(),dry!R4),$I$32=2,IF(ISBLANK('as new'!R4),NA(),'as new'!R4),$I$32=3,IF(ISBLANK('twice as new'!R4),NA(),'twice as new'!R4))</f>
        <v>2533.7999999999997</v>
      </c>
      <c r="AK67" s="1" t="e">
        <f>IF(CHOOSE($I$32,dry!S4,'as new'!S4,'twice as new'!S4)=0,NA(),CHOOSE($I$32,dry!S4,'as new'!S4,'twice as new'!S4))</f>
        <v>#N/A</v>
      </c>
      <c r="AL67" s="1" t="e">
        <f>IF(CHOOSE($I$32,dry!T4,'as new'!T4,'twice as new'!T4)=0,NA(),CHOOSE($I$32,dry!T4,'as new'!T4,'twice as new'!T4))</f>
        <v>#N/A</v>
      </c>
      <c r="AM67" s="1" t="e">
        <f>IF(CHOOSE($I$32,dry!U4,'as new'!U4,'twice as new'!U4)=0,NA(),CHOOSE($I$32,dry!U4,'as new'!U4,'twice as new'!U4))</f>
        <v>#N/A</v>
      </c>
      <c r="AN67" s="1" t="e">
        <f>IF(CHOOSE($I$32,dry!V4,'as new'!V4,'twice as new'!V4)=0,NA(),CHOOSE($I$32,dry!V4,'as new'!V4,'twice as new'!V4))</f>
        <v>#N/A</v>
      </c>
      <c r="AO67" s="1" t="e">
        <f>IF(CHOOSE($I$32,dry!W4,'as new'!W4,'twice as new'!W4)=0,NA(),CHOOSE($I$32,dry!W4,'as new'!W4,'twice as new'!W4))</f>
        <v>#N/A</v>
      </c>
      <c r="AP67" s="1" t="e">
        <f>IF(CHOOSE($I$32,dry!X4,'as new'!X4,'twice as new'!X4)=0,NA(),CHOOSE($I$32,dry!X4,'as new'!X4,'twice as new'!X4))</f>
        <v>#N/A</v>
      </c>
      <c r="AQ67" s="1" t="e">
        <f>IF(CHOOSE($I$32,dry!Y4,'as new'!Y4,'twice as new'!Y4)=0,NA(),CHOOSE($I$32,dry!Y4,'as new'!Y4,'twice as new'!Y4))</f>
        <v>#N/A</v>
      </c>
      <c r="AR67" s="1" t="e">
        <f>IF(CHOOSE($I$32,dry!Z4,'as new'!Z4,'twice as new'!Z4)=0,NA(),CHOOSE($I$32,dry!Z4,'as new'!Z4,'twice as new'!Z4))</f>
        <v>#N/A</v>
      </c>
      <c r="AS67" s="1">
        <f>Damped[[#This Row],[fI '[rpm']]]/Damped[[#This Row],[frun '[rpm']]]</f>
        <v>1.3584291187739461</v>
      </c>
      <c r="AT67" s="1">
        <f>Damped[[#This Row],[fII '[rpm']]]/Damped[[#This Row],[frun '[rpm']]]</f>
        <v>4.9921839080459769</v>
      </c>
      <c r="AU67" s="1">
        <f>Damped[[#This Row],[fIII '[rpm']]]/Damped[[#This Row],[frun '[rpm']]]</f>
        <v>5.1240996168582376</v>
      </c>
      <c r="AV67" s="1">
        <f>Damped[[#This Row],[fIV '[rpm']]]/Damped[[#This Row],[frun '[rpm']]]</f>
        <v>2.7495402298850578</v>
      </c>
      <c r="AW67" s="1">
        <f>Damped[[#This Row],[fV '[rpm']]]/Damped[[#This Row],[frun '[rpm']]]</f>
        <v>6.9015325670498076</v>
      </c>
      <c r="AX67" s="1">
        <f>Damped[[#This Row],[fVI '[rpm']]]/Damped[[#This Row],[frun '[rpm']]]</f>
        <v>2.9660153256704977</v>
      </c>
      <c r="AY67" s="1">
        <f>Damped[[#This Row],[fVII '[rpm']]]/Damped[[#This Row],[frun '[rpm']]]</f>
        <v>7.1509195402298849</v>
      </c>
      <c r="AZ67" s="1">
        <f>Damped[[#This Row],[fVIII '[rpm']]]/Damped[[#This Row],[frun '[rpm']]]</f>
        <v>1.6180076628352489</v>
      </c>
      <c r="BA67" s="1" t="e">
        <f>Damped[[#This Row],[fIX '[rpm']]]/Damped[[#This Row],[frun '[rpm']]]</f>
        <v>#N/A</v>
      </c>
      <c r="BB67" s="1" t="e">
        <f>Damped[[#This Row],[fX '[rpm']]]/Damped[[#This Row],[frun '[rpm']]]</f>
        <v>#N/A</v>
      </c>
      <c r="BC67" s="1" t="e">
        <f>Damped[[#This Row],[fXI '[rpm']]]/Damped[[#This Row],[frun '[rpm']]]</f>
        <v>#N/A</v>
      </c>
      <c r="BD67" s="1" t="e">
        <f>Damped[[#This Row],[fXII '[rpm']]]/Damped[[#This Row],[frun '[rpm']]]</f>
        <v>#N/A</v>
      </c>
    </row>
    <row r="68" spans="8:56" x14ac:dyDescent="0.25">
      <c r="H68" s="1" cm="1">
        <f t="array" ref="H68">_xlfn.IFS($I$32=1,IF(ISBLANK(dry!B5),NA(),dry!B5),$I$32=2,IF(ISBLANK('as new'!B5),NA(),'as new'!B5),$I$32=3,IF(ISBLANK('twice as new'!B5),NA(),'twice as new'!B5))</f>
        <v>1827</v>
      </c>
      <c r="I68" s="1">
        <f>Damped[[#This Row],[ξI '[-']]]/API_check(Damped[[#This Row],[fI/frun]])</f>
        <v>39.624523612261221</v>
      </c>
      <c r="J68" s="1">
        <f>Damped[[#This Row],[ξII '[-']]]/API_check(Damped[[#This Row],[fII/frun]])</f>
        <v>109800000</v>
      </c>
      <c r="K68" s="1">
        <f>Damped[[#This Row],[ξIII '[-']]]/API_check(Damped[[#This Row],[fIII/frun]])</f>
        <v>95500000</v>
      </c>
      <c r="L68" s="1">
        <f>Damped[[#This Row],[ξIV '[-']]]/API_check(Damped[[#This Row],[fIV/frun]])</f>
        <v>348699999.99999994</v>
      </c>
      <c r="M68" s="1">
        <f>Damped[[#This Row],[ξV '[-']]]/API_check(Damped[[#This Row],[fV/frun]])</f>
        <v>204300000</v>
      </c>
      <c r="N68" s="1">
        <f>Damped[[#This Row],[ξVI '[-']]]/API_check(Damped[[#This Row],[fVI/frun]])</f>
        <v>265600000</v>
      </c>
      <c r="O68" s="1">
        <f>Damped[[#This Row],[ξVII '[-']]]/API_check(Damped[[#This Row],[fVII/frun]])</f>
        <v>197300000</v>
      </c>
      <c r="P68" s="1">
        <f>Damped[[#This Row],[ξVIII '[-']]]/API_check(Damped[[#This Row],[fVIII/frun]])</f>
        <v>420200000</v>
      </c>
      <c r="Q68" s="1" t="e">
        <f>Damped[[#This Row],[ξIX '[-']]]/API_check(Damped[[#This Row],[fIX/frun]])</f>
        <v>#N/A</v>
      </c>
      <c r="R68" s="1" t="e">
        <f>Damped[[#This Row],[ξX '[-']]]/API_check(Damped[[#This Row],[fX/frun]])</f>
        <v>#N/A</v>
      </c>
      <c r="S68" s="1" t="e">
        <f>Damped[[#This Row],[ξXI '[-']]]/API_check(Damped[[#This Row],[fXI/frun]])</f>
        <v>#N/A</v>
      </c>
      <c r="T68" s="1" t="e">
        <f>Damped[[#This Row],[ξXII '[-']]]/API_check(Damped[[#This Row],[fXII/frun]])</f>
        <v>#N/A</v>
      </c>
      <c r="U68" s="1" cm="1">
        <f t="array" ref="U68">_xlfn.IFS($I$32=1,IF(ISBLANK(dry!C5),NA(),dry!C5),$I$32=2,IF(ISBLANK('as new'!C5),NA(),'as new'!C5),$I$32=3,IF(ISBLANK('twice as new'!C5),NA(),'twice as new'!C5))</f>
        <v>0.70680000000000009</v>
      </c>
      <c r="V68" s="1" cm="1">
        <f t="array" ref="V68">_xlfn.IFS($I$32=1,IF(ISBLANK(dry!D5),NA(),dry!D5),$I$32=2,IF(ISBLANK('as new'!D5),NA(),'as new'!D5),$I$32=3,IF(ISBLANK('twice as new'!D5),NA(),'twice as new'!D5))</f>
        <v>2369.3399999999997</v>
      </c>
      <c r="W68" s="1" cm="1">
        <f t="array" ref="W68">_xlfn.IFS($I$32=1,IF(ISBLANK(dry!E5),NA(),dry!E5),$I$32=2,IF(ISBLANK('as new'!E5),NA(),'as new'!E5),$I$32=3,IF(ISBLANK('twice as new'!E5),NA(),'twice as new'!E5))</f>
        <v>0.10980000000000001</v>
      </c>
      <c r="X68" s="1" cm="1">
        <f t="array" ref="X68">_xlfn.IFS($I$32=1,IF(ISBLANK(dry!F5),NA(),dry!F5),$I$32=2,IF(ISBLANK('as new'!F5),NA(),'as new'!F5),$I$32=3,IF(ISBLANK('twice as new'!F5),NA(),'twice as new'!F5))</f>
        <v>7831.08</v>
      </c>
      <c r="Y68" s="1" cm="1">
        <f t="array" ref="Y68">_xlfn.IFS($I$32=1,IF(ISBLANK(dry!G5),NA(),dry!G5),$I$32=2,IF(ISBLANK('as new'!G5),NA(),'as new'!G5),$I$32=3,IF(ISBLANK('twice as new'!G5),NA(),'twice as new'!G5))</f>
        <v>9.5500000000000002E-2</v>
      </c>
      <c r="Z68" s="1" cm="1">
        <f t="array" ref="Z68">_xlfn.IFS($I$32=1,IF(ISBLANK(dry!H5),NA(),dry!H5),$I$32=2,IF(ISBLANK('as new'!H5),NA(),'as new'!H5),$I$32=3,IF(ISBLANK('twice as new'!H5),NA(),'twice as new'!H5))</f>
        <v>8065.14</v>
      </c>
      <c r="AA68" s="1" cm="1">
        <f t="array" ref="AA68">_xlfn.IFS($I$32=1,IF(ISBLANK(dry!I5),NA(),dry!I5),$I$32=2,IF(ISBLANK('as new'!I5),NA(),'as new'!I5),$I$32=3,IF(ISBLANK('twice as new'!I5),NA(),'twice as new'!I5))</f>
        <v>0.34869999999999995</v>
      </c>
      <c r="AB68" s="1" cm="1">
        <f t="array" ref="AB68">_xlfn.IFS($I$32=1,IF(ISBLANK(dry!J5),NA(),dry!J5),$I$32=2,IF(ISBLANK('as new'!J5),NA(),'as new'!J5),$I$32=3,IF(ISBLANK('twice as new'!J5),NA(),'twice as new'!J5))</f>
        <v>4412.22</v>
      </c>
      <c r="AC68" s="1" cm="1">
        <f t="array" ref="AC68">_xlfn.IFS($I$32=1,IF(ISBLANK(dry!K5),NA(),dry!K5),$I$32=2,IF(ISBLANK('as new'!K5),NA(),'as new'!K5),$I$32=3,IF(ISBLANK('twice as new'!K5),NA(),'twice as new'!K5))</f>
        <v>0.20430000000000001</v>
      </c>
      <c r="AD68" s="1" cm="1">
        <f t="array" ref="AD68">_xlfn.IFS($I$32=1,IF(ISBLANK(dry!L5),NA(),dry!L5),$I$32=2,IF(ISBLANK('as new'!L5),NA(),'as new'!L5),$I$32=3,IF(ISBLANK('twice as new'!L5),NA(),'twice as new'!L5))</f>
        <v>10765.44</v>
      </c>
      <c r="AE68" s="1" cm="1">
        <f t="array" ref="AE68">_xlfn.IFS($I$32=1,IF(ISBLANK(dry!M5),NA(),dry!M5),$I$32=2,IF(ISBLANK('as new'!M5),NA(),'as new'!M5),$I$32=3,IF(ISBLANK('twice as new'!M5),NA(),'twice as new'!M5))</f>
        <v>0.2656</v>
      </c>
      <c r="AF68" s="1" cm="1">
        <f t="array" ref="AF68">_xlfn.IFS($I$32=1,IF(ISBLANK(dry!N5),NA(),dry!N5),$I$32=2,IF(ISBLANK('as new'!N5),NA(),'as new'!N5),$I$32=3,IF(ISBLANK('twice as new'!N5),NA(),'twice as new'!N5))</f>
        <v>4760.7</v>
      </c>
      <c r="AG68" s="1" cm="1">
        <f t="array" ref="AG68">_xlfn.IFS($I$32=1,IF(ISBLANK(dry!O5),NA(),dry!O5),$I$32=2,IF(ISBLANK('as new'!O5),NA(),'as new'!O5),$I$32=3,IF(ISBLANK('twice as new'!O5),NA(),'twice as new'!O5))</f>
        <v>0.1973</v>
      </c>
      <c r="AH68" s="1" cm="1">
        <f t="array" ref="AH68">_xlfn.IFS($I$32=1,IF(ISBLANK(dry!P5),NA(),dry!P5),$I$32=2,IF(ISBLANK('as new'!P5),NA(),'as new'!P5),$I$32=3,IF(ISBLANK('twice as new'!P5),NA(),'twice as new'!P5))</f>
        <v>11257.44</v>
      </c>
      <c r="AI68" s="1" cm="1">
        <f t="array" ref="AI68">_xlfn.IFS($I$32=1,IF(ISBLANK(dry!Q5),NA(),dry!Q5),$I$32=2,IF(ISBLANK('as new'!Q5),NA(),'as new'!Q5),$I$32=3,IF(ISBLANK('twice as new'!Q5),NA(),'twice as new'!Q5))</f>
        <v>0.42020000000000002</v>
      </c>
      <c r="AJ68" s="1" cm="1">
        <f t="array" ref="AJ68">_xlfn.IFS($I$32=1,IF(ISBLANK(dry!R5),NA(),dry!R5),$I$32=2,IF(ISBLANK('as new'!R5),NA(),'as new'!R5),$I$32=3,IF(ISBLANK('twice as new'!R5),NA(),'twice as new'!R5))</f>
        <v>2821.44</v>
      </c>
      <c r="AK68" s="1" t="e">
        <f>IF(CHOOSE($I$32,dry!S5,'as new'!S5,'twice as new'!S5)=0,NA(),CHOOSE($I$32,dry!S5,'as new'!S5,'twice as new'!S5))</f>
        <v>#N/A</v>
      </c>
      <c r="AL68" s="1" t="e">
        <f>IF(CHOOSE($I$32,dry!T5,'as new'!T5,'twice as new'!T5)=0,NA(),CHOOSE($I$32,dry!T5,'as new'!T5,'twice as new'!T5))</f>
        <v>#N/A</v>
      </c>
      <c r="AM68" s="1" t="e">
        <f>IF(CHOOSE($I$32,dry!U5,'as new'!U5,'twice as new'!U5)=0,NA(),CHOOSE($I$32,dry!U5,'as new'!U5,'twice as new'!U5))</f>
        <v>#N/A</v>
      </c>
      <c r="AN68" s="1" t="e">
        <f>IF(CHOOSE($I$32,dry!V5,'as new'!V5,'twice as new'!V5)=0,NA(),CHOOSE($I$32,dry!V5,'as new'!V5,'twice as new'!V5))</f>
        <v>#N/A</v>
      </c>
      <c r="AO68" s="1" t="e">
        <f>IF(CHOOSE($I$32,dry!W5,'as new'!W5,'twice as new'!W5)=0,NA(),CHOOSE($I$32,dry!W5,'as new'!W5,'twice as new'!W5))</f>
        <v>#N/A</v>
      </c>
      <c r="AP68" s="1" t="e">
        <f>IF(CHOOSE($I$32,dry!X5,'as new'!X5,'twice as new'!X5)=0,NA(),CHOOSE($I$32,dry!X5,'as new'!X5,'twice as new'!X5))</f>
        <v>#N/A</v>
      </c>
      <c r="AQ68" s="1" t="e">
        <f>IF(CHOOSE($I$32,dry!Y5,'as new'!Y5,'twice as new'!Y5)=0,NA(),CHOOSE($I$32,dry!Y5,'as new'!Y5,'twice as new'!Y5))</f>
        <v>#N/A</v>
      </c>
      <c r="AR68" s="1" t="e">
        <f>IF(CHOOSE($I$32,dry!Z5,'as new'!Z5,'twice as new'!Z5)=0,NA(),CHOOSE($I$32,dry!Z5,'as new'!Z5,'twice as new'!Z5))</f>
        <v>#N/A</v>
      </c>
      <c r="AS68" s="1">
        <f>Damped[[#This Row],[fI '[rpm']]]/Damped[[#This Row],[frun '[rpm']]]</f>
        <v>1.2968472906403938</v>
      </c>
      <c r="AT68" s="1">
        <f>Damped[[#This Row],[fII '[rpm']]]/Damped[[#This Row],[frun '[rpm']]]</f>
        <v>4.2863054187192118</v>
      </c>
      <c r="AU68" s="1">
        <f>Damped[[#This Row],[fIII '[rpm']]]/Damped[[#This Row],[frun '[rpm']]]</f>
        <v>4.4144170771756981</v>
      </c>
      <c r="AV68" s="1">
        <f>Damped[[#This Row],[fIV '[rpm']]]/Damped[[#This Row],[frun '[rpm']]]</f>
        <v>2.4150082101806243</v>
      </c>
      <c r="AW68" s="1">
        <f>Damped[[#This Row],[fV '[rpm']]]/Damped[[#This Row],[frun '[rpm']]]</f>
        <v>5.8924137931034481</v>
      </c>
      <c r="AX68" s="1">
        <f>Damped[[#This Row],[fVI '[rpm']]]/Damped[[#This Row],[frun '[rpm']]]</f>
        <v>2.6057471264367815</v>
      </c>
      <c r="AY68" s="1">
        <f>Damped[[#This Row],[fVII '[rpm']]]/Damped[[#This Row],[frun '[rpm']]]</f>
        <v>6.1617077175697865</v>
      </c>
      <c r="AZ68" s="1">
        <f>Damped[[#This Row],[fVIII '[rpm']]]/Damped[[#This Row],[frun '[rpm']]]</f>
        <v>1.5443021346469623</v>
      </c>
      <c r="BA68" s="1" t="e">
        <f>Damped[[#This Row],[fIX '[rpm']]]/Damped[[#This Row],[frun '[rpm']]]</f>
        <v>#N/A</v>
      </c>
      <c r="BB68" s="1" t="e">
        <f>Damped[[#This Row],[fX '[rpm']]]/Damped[[#This Row],[frun '[rpm']]]</f>
        <v>#N/A</v>
      </c>
      <c r="BC68" s="1" t="e">
        <f>Damped[[#This Row],[fXI '[rpm']]]/Damped[[#This Row],[frun '[rpm']]]</f>
        <v>#N/A</v>
      </c>
      <c r="BD68" s="1" t="e">
        <f>Damped[[#This Row],[fXII '[rpm']]]/Damped[[#This Row],[frun '[rpm']]]</f>
        <v>#N/A</v>
      </c>
    </row>
    <row r="69" spans="8:56" x14ac:dyDescent="0.25">
      <c r="H69" s="1" cm="1">
        <f t="array" ref="H69">_xlfn.IFS($I$32=1,IF(ISBLANK(dry!B6),NA(),dry!B6),$I$32=2,IF(ISBLANK('as new'!B6),NA(),'as new'!B6),$I$32=3,IF(ISBLANK('twice as new'!B6),NA(),'twice as new'!B6))</f>
        <v>2088</v>
      </c>
      <c r="I69" s="1">
        <f>Damped[[#This Row],[ξI '[-']]]/API_check(Damped[[#This Row],[fI/frun]])</f>
        <v>10.862851250322258</v>
      </c>
      <c r="J69" s="1">
        <f>Damped[[#This Row],[ξII '[-']]]/API_check(Damped[[#This Row],[fII/frun]])</f>
        <v>121099999.99999999</v>
      </c>
      <c r="K69" s="1">
        <f>Damped[[#This Row],[ξIII '[-']]]/API_check(Damped[[#This Row],[fIII/frun]])</f>
        <v>104399999.99999999</v>
      </c>
      <c r="L69" s="1">
        <f>Damped[[#This Row],[ξIV '[-']]]/API_check(Damped[[#This Row],[fIV/frun]])</f>
        <v>381700000</v>
      </c>
      <c r="M69" s="1">
        <f>Damped[[#This Row],[ξV '[-']]]/API_check(Damped[[#This Row],[fV/frun]])</f>
        <v>229400000</v>
      </c>
      <c r="N69" s="1">
        <f>Damped[[#This Row],[ξVI '[-']]]/API_check(Damped[[#This Row],[fVI/frun]])</f>
        <v>284499999.99999994</v>
      </c>
      <c r="O69" s="1">
        <f>Damped[[#This Row],[ξVII '[-']]]/API_check(Damped[[#This Row],[fVII/frun]])</f>
        <v>218599999.99999997</v>
      </c>
      <c r="P69" s="1">
        <f>Damped[[#This Row],[ξVIII '[-']]]/API_check(Damped[[#This Row],[fVIII/frun]])</f>
        <v>28.886666666666667</v>
      </c>
      <c r="Q69" s="1" t="e">
        <f>Damped[[#This Row],[ξIX '[-']]]/API_check(Damped[[#This Row],[fIX/frun]])</f>
        <v>#N/A</v>
      </c>
      <c r="R69" s="1" t="e">
        <f>Damped[[#This Row],[ξX '[-']]]/API_check(Damped[[#This Row],[fX/frun]])</f>
        <v>#N/A</v>
      </c>
      <c r="S69" s="1" t="e">
        <f>Damped[[#This Row],[ξXI '[-']]]/API_check(Damped[[#This Row],[fXI/frun]])</f>
        <v>#N/A</v>
      </c>
      <c r="T69" s="1" t="e">
        <f>Damped[[#This Row],[ξXII '[-']]]/API_check(Damped[[#This Row],[fXII/frun]])</f>
        <v>#N/A</v>
      </c>
      <c r="U69" s="1" cm="1">
        <f t="array" ref="U69">_xlfn.IFS($I$32=1,IF(ISBLANK(dry!C6),NA(),dry!C6),$I$32=2,IF(ISBLANK('as new'!C6),NA(),'as new'!C6),$I$32=3,IF(ISBLANK('twice as new'!C6),NA(),'twice as new'!C6))</f>
        <v>0.72650000000000003</v>
      </c>
      <c r="V69" s="1" cm="1">
        <f t="array" ref="V69">_xlfn.IFS($I$32=1,IF(ISBLANK(dry!D6),NA(),dry!D6),$I$32=2,IF(ISBLANK('as new'!D6),NA(),'as new'!D6),$I$32=3,IF(ISBLANK('twice as new'!D6),NA(),'twice as new'!D6))</f>
        <v>2594.04</v>
      </c>
      <c r="W69" s="1" cm="1">
        <f t="array" ref="W69">_xlfn.IFS($I$32=1,IF(ISBLANK(dry!E6),NA(),dry!E6),$I$32=2,IF(ISBLANK('as new'!E6),NA(),'as new'!E6),$I$32=3,IF(ISBLANK('twice as new'!E6),NA(),'twice as new'!E6))</f>
        <v>0.1211</v>
      </c>
      <c r="X69" s="1" cm="1">
        <f t="array" ref="X69">_xlfn.IFS($I$32=1,IF(ISBLANK(dry!F6),NA(),dry!F6),$I$32=2,IF(ISBLANK('as new'!F6),NA(),'as new'!F6),$I$32=3,IF(ISBLANK('twice as new'!F6),NA(),'twice as new'!F6))</f>
        <v>7846.8600000000006</v>
      </c>
      <c r="Y69" s="1" cm="1">
        <f t="array" ref="Y69">_xlfn.IFS($I$32=1,IF(ISBLANK(dry!G6),NA(),dry!G6),$I$32=2,IF(ISBLANK('as new'!G6),NA(),'as new'!G6),$I$32=3,IF(ISBLANK('twice as new'!G6),NA(),'twice as new'!G6))</f>
        <v>0.10439999999999999</v>
      </c>
      <c r="Z69" s="1" cm="1">
        <f t="array" ref="Z69">_xlfn.IFS($I$32=1,IF(ISBLANK(dry!H6),NA(),dry!H6),$I$32=2,IF(ISBLANK('as new'!H6),NA(),'as new'!H6),$I$32=3,IF(ISBLANK('twice as new'!H6),NA(),'twice as new'!H6))</f>
        <v>8104.0800000000008</v>
      </c>
      <c r="AA69" s="1" cm="1">
        <f t="array" ref="AA69">_xlfn.IFS($I$32=1,IF(ISBLANK(dry!I6),NA(),dry!I6),$I$32=2,IF(ISBLANK('as new'!I6),NA(),'as new'!I6),$I$32=3,IF(ISBLANK('twice as new'!I6),NA(),'twice as new'!I6))</f>
        <v>0.38170000000000004</v>
      </c>
      <c r="AB69" s="1" cm="1">
        <f t="array" ref="AB69">_xlfn.IFS($I$32=1,IF(ISBLANK(dry!J6),NA(),dry!J6),$I$32=2,IF(ISBLANK('as new'!J6),NA(),'as new'!J6),$I$32=3,IF(ISBLANK('twice as new'!J6),NA(),'twice as new'!J6))</f>
        <v>4531.8</v>
      </c>
      <c r="AC69" s="1" cm="1">
        <f t="array" ref="AC69">_xlfn.IFS($I$32=1,IF(ISBLANK(dry!K6),NA(),dry!K6),$I$32=2,IF(ISBLANK('as new'!K6),NA(),'as new'!K6),$I$32=3,IF(ISBLANK('twice as new'!K6),NA(),'twice as new'!K6))</f>
        <v>0.22940000000000002</v>
      </c>
      <c r="AD69" s="1" cm="1">
        <f t="array" ref="AD69">_xlfn.IFS($I$32=1,IF(ISBLANK(dry!L6),NA(),dry!L6),$I$32=2,IF(ISBLANK('as new'!L6),NA(),'as new'!L6),$I$32=3,IF(ISBLANK('twice as new'!L6),NA(),'twice as new'!L6))</f>
        <v>10707.84</v>
      </c>
      <c r="AE69" s="1" cm="1">
        <f t="array" ref="AE69">_xlfn.IFS($I$32=1,IF(ISBLANK(dry!M6),NA(),dry!M6),$I$32=2,IF(ISBLANK('as new'!M6),NA(),'as new'!M6),$I$32=3,IF(ISBLANK('twice as new'!M6),NA(),'twice as new'!M6))</f>
        <v>0.28449999999999998</v>
      </c>
      <c r="AF69" s="1" cm="1">
        <f t="array" ref="AF69">_xlfn.IFS($I$32=1,IF(ISBLANK(dry!N6),NA(),dry!N6),$I$32=2,IF(ISBLANK('as new'!N6),NA(),'as new'!N6),$I$32=3,IF(ISBLANK('twice as new'!N6),NA(),'twice as new'!N6))</f>
        <v>4879.3799999999992</v>
      </c>
      <c r="AG69" s="1" cm="1">
        <f t="array" ref="AG69">_xlfn.IFS($I$32=1,IF(ISBLANK(dry!O6),NA(),dry!O6),$I$32=2,IF(ISBLANK('as new'!O6),NA(),'as new'!O6),$I$32=3,IF(ISBLANK('twice as new'!O6),NA(),'twice as new'!O6))</f>
        <v>0.21859999999999999</v>
      </c>
      <c r="AH69" s="1" cm="1">
        <f t="array" ref="AH69">_xlfn.IFS($I$32=1,IF(ISBLANK(dry!P6),NA(),dry!P6),$I$32=2,IF(ISBLANK('as new'!P6),NA(),'as new'!P6),$I$32=3,IF(ISBLANK('twice as new'!P6),NA(),'twice as new'!P6))</f>
        <v>11296.92</v>
      </c>
      <c r="AI69" s="1" cm="1">
        <f t="array" ref="AI69">_xlfn.IFS($I$32=1,IF(ISBLANK(dry!Q6),NA(),dry!Q6),$I$32=2,IF(ISBLANK('as new'!Q6),NA(),'as new'!Q6),$I$32=3,IF(ISBLANK('twice as new'!Q6),NA(),'twice as new'!Q6))</f>
        <v>0.43329999999999996</v>
      </c>
      <c r="AJ69" s="1" cm="1">
        <f t="array" ref="AJ69">_xlfn.IFS($I$32=1,IF(ISBLANK(dry!R6),NA(),dry!R6),$I$32=2,IF(ISBLANK('as new'!R6),NA(),'as new'!R6),$I$32=3,IF(ISBLANK('twice as new'!R6),NA(),'twice as new'!R6))</f>
        <v>3105.24</v>
      </c>
      <c r="AK69" s="1" t="e">
        <f>IF(CHOOSE($I$32,dry!S6,'as new'!S6,'twice as new'!S6)=0,NA(),CHOOSE($I$32,dry!S6,'as new'!S6,'twice as new'!S6))</f>
        <v>#N/A</v>
      </c>
      <c r="AL69" s="1" t="e">
        <f>IF(CHOOSE($I$32,dry!T6,'as new'!T6,'twice as new'!T6)=0,NA(),CHOOSE($I$32,dry!T6,'as new'!T6,'twice as new'!T6))</f>
        <v>#N/A</v>
      </c>
      <c r="AM69" s="1" t="e">
        <f>IF(CHOOSE($I$32,dry!U6,'as new'!U6,'twice as new'!U6)=0,NA(),CHOOSE($I$32,dry!U6,'as new'!U6,'twice as new'!U6))</f>
        <v>#N/A</v>
      </c>
      <c r="AN69" s="1" t="e">
        <f>IF(CHOOSE($I$32,dry!V6,'as new'!V6,'twice as new'!V6)=0,NA(),CHOOSE($I$32,dry!V6,'as new'!V6,'twice as new'!V6))</f>
        <v>#N/A</v>
      </c>
      <c r="AO69" s="1" t="e">
        <f>IF(CHOOSE($I$32,dry!W6,'as new'!W6,'twice as new'!W6)=0,NA(),CHOOSE($I$32,dry!W6,'as new'!W6,'twice as new'!W6))</f>
        <v>#N/A</v>
      </c>
      <c r="AP69" s="1" t="e">
        <f>IF(CHOOSE($I$32,dry!X6,'as new'!X6,'twice as new'!X6)=0,NA(),CHOOSE($I$32,dry!X6,'as new'!X6,'twice as new'!X6))</f>
        <v>#N/A</v>
      </c>
      <c r="AQ69" s="1" t="e">
        <f>IF(CHOOSE($I$32,dry!Y6,'as new'!Y6,'twice as new'!Y6)=0,NA(),CHOOSE($I$32,dry!Y6,'as new'!Y6,'twice as new'!Y6))</f>
        <v>#N/A</v>
      </c>
      <c r="AR69" s="1" t="e">
        <f>IF(CHOOSE($I$32,dry!Z6,'as new'!Z6,'twice as new'!Z6)=0,NA(),CHOOSE($I$32,dry!Z6,'as new'!Z6,'twice as new'!Z6))</f>
        <v>#N/A</v>
      </c>
      <c r="AS69" s="1">
        <f>Damped[[#This Row],[fI '[rpm']]]/Damped[[#This Row],[frun '[rpm']]]</f>
        <v>1.2423563218390805</v>
      </c>
      <c r="AT69" s="1">
        <f>Damped[[#This Row],[fII '[rpm']]]/Damped[[#This Row],[frun '[rpm']]]</f>
        <v>3.7580747126436784</v>
      </c>
      <c r="AU69" s="1">
        <f>Damped[[#This Row],[fIII '[rpm']]]/Damped[[#This Row],[frun '[rpm']]]</f>
        <v>3.8812643678160925</v>
      </c>
      <c r="AV69" s="1">
        <f>Damped[[#This Row],[fIV '[rpm']]]/Damped[[#This Row],[frun '[rpm']]]</f>
        <v>2.1704022988505747</v>
      </c>
      <c r="AW69" s="1">
        <f>Damped[[#This Row],[fV '[rpm']]]/Damped[[#This Row],[frun '[rpm']]]</f>
        <v>5.1282758620689659</v>
      </c>
      <c r="AX69" s="1">
        <f>Damped[[#This Row],[fVI '[rpm']]]/Damped[[#This Row],[frun '[rpm']]]</f>
        <v>2.3368678160919538</v>
      </c>
      <c r="AY69" s="1">
        <f>Damped[[#This Row],[fVII '[rpm']]]/Damped[[#This Row],[frun '[rpm']]]</f>
        <v>5.4104022988505749</v>
      </c>
      <c r="AZ69" s="1">
        <f>Damped[[#This Row],[fVIII '[rpm']]]/Damped[[#This Row],[frun '[rpm']]]</f>
        <v>1.487183908045977</v>
      </c>
      <c r="BA69" s="1" t="e">
        <f>Damped[[#This Row],[fIX '[rpm']]]/Damped[[#This Row],[frun '[rpm']]]</f>
        <v>#N/A</v>
      </c>
      <c r="BB69" s="1" t="e">
        <f>Damped[[#This Row],[fX '[rpm']]]/Damped[[#This Row],[frun '[rpm']]]</f>
        <v>#N/A</v>
      </c>
      <c r="BC69" s="1" t="e">
        <f>Damped[[#This Row],[fXI '[rpm']]]/Damped[[#This Row],[frun '[rpm']]]</f>
        <v>#N/A</v>
      </c>
      <c r="BD69" s="1" t="e">
        <f>Damped[[#This Row],[fXII '[rpm']]]/Damped[[#This Row],[frun '[rpm']]]</f>
        <v>#N/A</v>
      </c>
    </row>
    <row r="70" spans="8:56" x14ac:dyDescent="0.25">
      <c r="H70" s="1" cm="1">
        <f t="array" ref="H70">_xlfn.IFS($I$32=1,IF(ISBLANK(dry!B7),NA(),dry!B7),$I$32=2,IF(ISBLANK('as new'!B7),NA(),'as new'!B7),$I$32=3,IF(ISBLANK('twice as new'!B7),NA(),'twice as new'!B7))</f>
        <v>2349</v>
      </c>
      <c r="I70" s="1">
        <f>Damped[[#This Row],[ξI '[-']]]/API_check(Damped[[#This Row],[fI/frun]])</f>
        <v>7.1401393651144733</v>
      </c>
      <c r="J70" s="1">
        <f>Damped[[#This Row],[ξII '[-']]]/API_check(Damped[[#This Row],[fII/frun]])</f>
        <v>133200000</v>
      </c>
      <c r="K70" s="1">
        <f>Damped[[#This Row],[ξIII '[-']]]/API_check(Damped[[#This Row],[fIII/frun]])</f>
        <v>111699999.99999999</v>
      </c>
      <c r="L70" s="1">
        <f>Damped[[#This Row],[ξIV '[-']]]/API_check(Damped[[#This Row],[fIV/frun]])</f>
        <v>410499999.99999994</v>
      </c>
      <c r="M70" s="1">
        <f>Damped[[#This Row],[ξV '[-']]]/API_check(Damped[[#This Row],[fV/frun]])</f>
        <v>258500000</v>
      </c>
      <c r="N70" s="1">
        <f>Damped[[#This Row],[ξVI '[-']]]/API_check(Damped[[#This Row],[fVI/frun]])</f>
        <v>298300000</v>
      </c>
      <c r="O70" s="1">
        <f>Damped[[#This Row],[ξVII '[-']]]/API_check(Damped[[#This Row],[fVII/frun]])</f>
        <v>236899999.99999997</v>
      </c>
      <c r="P70" s="1">
        <f>Damped[[#This Row],[ξVIII '[-']]]/API_check(Damped[[#This Row],[fVIII/frun]])</f>
        <v>29.293333333333333</v>
      </c>
      <c r="Q70" s="1" t="e">
        <f>Damped[[#This Row],[ξIX '[-']]]/API_check(Damped[[#This Row],[fIX/frun]])</f>
        <v>#N/A</v>
      </c>
      <c r="R70" s="1" t="e">
        <f>Damped[[#This Row],[ξX '[-']]]/API_check(Damped[[#This Row],[fX/frun]])</f>
        <v>#N/A</v>
      </c>
      <c r="S70" s="1" t="e">
        <f>Damped[[#This Row],[ξXI '[-']]]/API_check(Damped[[#This Row],[fXI/frun]])</f>
        <v>#N/A</v>
      </c>
      <c r="T70" s="1" t="e">
        <f>Damped[[#This Row],[ξXII '[-']]]/API_check(Damped[[#This Row],[fXII/frun]])</f>
        <v>#N/A</v>
      </c>
      <c r="U70" s="1" cm="1">
        <f t="array" ref="U70">_xlfn.IFS($I$32=1,IF(ISBLANK(dry!C7),NA(),dry!C7),$I$32=2,IF(ISBLANK('as new'!C7),NA(),'as new'!C7),$I$32=3,IF(ISBLANK('twice as new'!C7),NA(),'twice as new'!C7))</f>
        <v>0.74199999999999999</v>
      </c>
      <c r="V70" s="1" cm="1">
        <f t="array" ref="V70">_xlfn.IFS($I$32=1,IF(ISBLANK(dry!D7),NA(),dry!D7),$I$32=2,IF(ISBLANK('as new'!D7),NA(),'as new'!D7),$I$32=3,IF(ISBLANK('twice as new'!D7),NA(),'twice as new'!D7))</f>
        <v>2821.62</v>
      </c>
      <c r="W70" s="1" cm="1">
        <f t="array" ref="W70">_xlfn.IFS($I$32=1,IF(ISBLANK(dry!E7),NA(),dry!E7),$I$32=2,IF(ISBLANK('as new'!E7),NA(),'as new'!E7),$I$32=3,IF(ISBLANK('twice as new'!E7),NA(),'twice as new'!E7))</f>
        <v>0.13320000000000001</v>
      </c>
      <c r="X70" s="1" cm="1">
        <f t="array" ref="X70">_xlfn.IFS($I$32=1,IF(ISBLANK(dry!F7),NA(),dry!F7),$I$32=2,IF(ISBLANK('as new'!F7),NA(),'as new'!F7),$I$32=3,IF(ISBLANK('twice as new'!F7),NA(),'twice as new'!F7))</f>
        <v>7858.92</v>
      </c>
      <c r="Y70" s="1" cm="1">
        <f t="array" ref="Y70">_xlfn.IFS($I$32=1,IF(ISBLANK(dry!G7),NA(),dry!G7),$I$32=2,IF(ISBLANK('as new'!G7),NA(),'as new'!G7),$I$32=3,IF(ISBLANK('twice as new'!G7),NA(),'twice as new'!G7))</f>
        <v>0.11169999999999999</v>
      </c>
      <c r="Z70" s="1" cm="1">
        <f t="array" ref="Z70">_xlfn.IFS($I$32=1,IF(ISBLANK(dry!H7),NA(),dry!H7),$I$32=2,IF(ISBLANK('as new'!H7),NA(),'as new'!H7),$I$32=3,IF(ISBLANK('twice as new'!H7),NA(),'twice as new'!H7))</f>
        <v>8150.4600000000009</v>
      </c>
      <c r="AA70" s="1" cm="1">
        <f t="array" ref="AA70">_xlfn.IFS($I$32=1,IF(ISBLANK(dry!I7),NA(),dry!I7),$I$32=2,IF(ISBLANK('as new'!I7),NA(),'as new'!I7),$I$32=3,IF(ISBLANK('twice as new'!I7),NA(),'twice as new'!I7))</f>
        <v>0.41049999999999998</v>
      </c>
      <c r="AB70" s="1" cm="1">
        <f t="array" ref="AB70">_xlfn.IFS($I$32=1,IF(ISBLANK(dry!J7),NA(),dry!J7),$I$32=2,IF(ISBLANK('as new'!J7),NA(),'as new'!J7),$I$32=3,IF(ISBLANK('twice as new'!J7),NA(),'twice as new'!J7))</f>
        <v>4685.28</v>
      </c>
      <c r="AC70" s="1" cm="1">
        <f t="array" ref="AC70">_xlfn.IFS($I$32=1,IF(ISBLANK(dry!K7),NA(),dry!K7),$I$32=2,IF(ISBLANK('as new'!K7),NA(),'as new'!K7),$I$32=3,IF(ISBLANK('twice as new'!K7),NA(),'twice as new'!K7))</f>
        <v>0.25850000000000001</v>
      </c>
      <c r="AD70" s="1" cm="1">
        <f t="array" ref="AD70">_xlfn.IFS($I$32=1,IF(ISBLANK(dry!L7),NA(),dry!L7),$I$32=2,IF(ISBLANK('as new'!L7),NA(),'as new'!L7),$I$32=3,IF(ISBLANK('twice as new'!L7),NA(),'twice as new'!L7))</f>
        <v>10614.060000000001</v>
      </c>
      <c r="AE70" s="1" cm="1">
        <f t="array" ref="AE70">_xlfn.IFS($I$32=1,IF(ISBLANK(dry!M7),NA(),dry!M7),$I$32=2,IF(ISBLANK('as new'!M7),NA(),'as new'!M7),$I$32=3,IF(ISBLANK('twice as new'!M7),NA(),'twice as new'!M7))</f>
        <v>0.29830000000000001</v>
      </c>
      <c r="AF70" s="1" cm="1">
        <f t="array" ref="AF70">_xlfn.IFS($I$32=1,IF(ISBLANK(dry!N7),NA(),dry!N7),$I$32=2,IF(ISBLANK('as new'!N7),NA(),'as new'!N7),$I$32=3,IF(ISBLANK('twice as new'!N7),NA(),'twice as new'!N7))</f>
        <v>5014.8</v>
      </c>
      <c r="AG70" s="1" cm="1">
        <f t="array" ref="AG70">_xlfn.IFS($I$32=1,IF(ISBLANK(dry!O7),NA(),dry!O7),$I$32=2,IF(ISBLANK('as new'!O7),NA(),'as new'!O7),$I$32=3,IF(ISBLANK('twice as new'!O7),NA(),'twice as new'!O7))</f>
        <v>0.2369</v>
      </c>
      <c r="AH70" s="1" cm="1">
        <f t="array" ref="AH70">_xlfn.IFS($I$32=1,IF(ISBLANK(dry!P7),NA(),dry!P7),$I$32=2,IF(ISBLANK('as new'!P7),NA(),'as new'!P7),$I$32=3,IF(ISBLANK('twice as new'!P7),NA(),'twice as new'!P7))</f>
        <v>11358.720000000001</v>
      </c>
      <c r="AI70" s="1" cm="1">
        <f t="array" ref="AI70">_xlfn.IFS($I$32=1,IF(ISBLANK(dry!Q7),NA(),dry!Q7),$I$32=2,IF(ISBLANK('as new'!Q7),NA(),'as new'!Q7),$I$32=3,IF(ISBLANK('twice as new'!Q7),NA(),'twice as new'!Q7))</f>
        <v>0.43939999999999996</v>
      </c>
      <c r="AJ70" s="1" cm="1">
        <f t="array" ref="AJ70">_xlfn.IFS($I$32=1,IF(ISBLANK(dry!R7),NA(),dry!R7),$I$32=2,IF(ISBLANK('as new'!R7),NA(),'as new'!R7),$I$32=3,IF(ISBLANK('twice as new'!R7),NA(),'twice as new'!R7))</f>
        <v>3450.96</v>
      </c>
      <c r="AK70" s="1" t="e">
        <f>IF(CHOOSE($I$32,dry!S7,'as new'!S7,'twice as new'!S7)=0,NA(),CHOOSE($I$32,dry!S7,'as new'!S7,'twice as new'!S7))</f>
        <v>#N/A</v>
      </c>
      <c r="AL70" s="1" t="e">
        <f>IF(CHOOSE($I$32,dry!T7,'as new'!T7,'twice as new'!T7)=0,NA(),CHOOSE($I$32,dry!T7,'as new'!T7,'twice as new'!T7))</f>
        <v>#N/A</v>
      </c>
      <c r="AM70" s="1" t="e">
        <f>IF(CHOOSE($I$32,dry!U7,'as new'!U7,'twice as new'!U7)=0,NA(),CHOOSE($I$32,dry!U7,'as new'!U7,'twice as new'!U7))</f>
        <v>#N/A</v>
      </c>
      <c r="AN70" s="1" t="e">
        <f>IF(CHOOSE($I$32,dry!V7,'as new'!V7,'twice as new'!V7)=0,NA(),CHOOSE($I$32,dry!V7,'as new'!V7,'twice as new'!V7))</f>
        <v>#N/A</v>
      </c>
      <c r="AO70" s="1" t="e">
        <f>IF(CHOOSE($I$32,dry!W7,'as new'!W7,'twice as new'!W7)=0,NA(),CHOOSE($I$32,dry!W7,'as new'!W7,'twice as new'!W7))</f>
        <v>#N/A</v>
      </c>
      <c r="AP70" s="1" t="e">
        <f>IF(CHOOSE($I$32,dry!X7,'as new'!X7,'twice as new'!X7)=0,NA(),CHOOSE($I$32,dry!X7,'as new'!X7,'twice as new'!X7))</f>
        <v>#N/A</v>
      </c>
      <c r="AQ70" s="1" t="e">
        <f>IF(CHOOSE($I$32,dry!Y7,'as new'!Y7,'twice as new'!Y7)=0,NA(),CHOOSE($I$32,dry!Y7,'as new'!Y7,'twice as new'!Y7))</f>
        <v>#N/A</v>
      </c>
      <c r="AR70" s="1" t="e">
        <f>IF(CHOOSE($I$32,dry!Z7,'as new'!Z7,'twice as new'!Z7)=0,NA(),CHOOSE($I$32,dry!Z7,'as new'!Z7,'twice as new'!Z7))</f>
        <v>#N/A</v>
      </c>
      <c r="AS70" s="1">
        <f>Damped[[#This Row],[fI '[rpm']]]/Damped[[#This Row],[frun '[rpm']]]</f>
        <v>1.2012005108556831</v>
      </c>
      <c r="AT70" s="1">
        <f>Damped[[#This Row],[fII '[rpm']]]/Damped[[#This Row],[frun '[rpm']]]</f>
        <v>3.345644955300128</v>
      </c>
      <c r="AU70" s="1">
        <f>Damped[[#This Row],[fIII '[rpm']]]/Damped[[#This Row],[frun '[rpm']]]</f>
        <v>3.4697573435504472</v>
      </c>
      <c r="AV70" s="1">
        <f>Damped[[#This Row],[fIV '[rpm']]]/Damped[[#This Row],[frun '[rpm']]]</f>
        <v>1.9945849297573435</v>
      </c>
      <c r="AW70" s="1">
        <f>Damped[[#This Row],[fV '[rpm']]]/Damped[[#This Row],[frun '[rpm']]]</f>
        <v>4.5185440613026824</v>
      </c>
      <c r="AX70" s="1">
        <f>Damped[[#This Row],[fVI '[rpm']]]/Damped[[#This Row],[frun '[rpm']]]</f>
        <v>2.1348659003831418</v>
      </c>
      <c r="AY70" s="1">
        <f>Damped[[#This Row],[fVII '[rpm']]]/Damped[[#This Row],[frun '[rpm']]]</f>
        <v>4.8355555555555565</v>
      </c>
      <c r="AZ70" s="1">
        <f>Damped[[#This Row],[fVIII '[rpm']]]/Damped[[#This Row],[frun '[rpm']]]</f>
        <v>1.4691187739463603</v>
      </c>
      <c r="BA70" s="1" t="e">
        <f>Damped[[#This Row],[fIX '[rpm']]]/Damped[[#This Row],[frun '[rpm']]]</f>
        <v>#N/A</v>
      </c>
      <c r="BB70" s="1" t="e">
        <f>Damped[[#This Row],[fX '[rpm']]]/Damped[[#This Row],[frun '[rpm']]]</f>
        <v>#N/A</v>
      </c>
      <c r="BC70" s="1" t="e">
        <f>Damped[[#This Row],[fXI '[rpm']]]/Damped[[#This Row],[frun '[rpm']]]</f>
        <v>#N/A</v>
      </c>
      <c r="BD70" s="1" t="e">
        <f>Damped[[#This Row],[fXII '[rpm']]]/Damped[[#This Row],[frun '[rpm']]]</f>
        <v>#N/A</v>
      </c>
    </row>
    <row r="71" spans="8:56" x14ac:dyDescent="0.25">
      <c r="H71" s="1" cm="1">
        <f t="array" ref="H71">_xlfn.IFS($I$32=1,IF(ISBLANK(dry!B8),NA(),dry!B8),$I$32=2,IF(ISBLANK('as new'!B8),NA(),'as new'!B8),$I$32=3,IF(ISBLANK('twice as new'!B8),NA(),'twice as new'!B8))</f>
        <v>2610</v>
      </c>
      <c r="I71" s="1">
        <f>Damped[[#This Row],[ξI '[-']]]/API_check(Damped[[#This Row],[fI/frun]])</f>
        <v>5.6054479294793031</v>
      </c>
      <c r="J71" s="1">
        <f>Damped[[#This Row],[ξII '[-']]]/API_check(Damped[[#This Row],[fII/frun]])</f>
        <v>143800000</v>
      </c>
      <c r="K71" s="1">
        <f>Damped[[#This Row],[ξIII '[-']]]/API_check(Damped[[#This Row],[fIII/frun]])</f>
        <v>118300000</v>
      </c>
      <c r="L71" s="1">
        <f>Damped[[#This Row],[ξIV '[-']]]/API_check(Damped[[#This Row],[fIV/frun]])</f>
        <v>433999999.99999994</v>
      </c>
      <c r="M71" s="1">
        <f>Damped[[#This Row],[ξV '[-']]]/API_check(Damped[[#This Row],[fV/frun]])</f>
        <v>288300000</v>
      </c>
      <c r="N71" s="1">
        <f>Damped[[#This Row],[ξVI '[-']]]/API_check(Damped[[#This Row],[fVI/frun]])</f>
        <v>306800000</v>
      </c>
      <c r="O71" s="1">
        <f>Damped[[#This Row],[ξVII '[-']]]/API_check(Damped[[#This Row],[fVII/frun]])</f>
        <v>255799999.99999997</v>
      </c>
      <c r="P71" s="1">
        <f>Damped[[#This Row],[ξVIII '[-']]]/API_check(Damped[[#This Row],[fVIII/frun]])</f>
        <v>29.88</v>
      </c>
      <c r="Q71" s="1" t="e">
        <f>Damped[[#This Row],[ξIX '[-']]]/API_check(Damped[[#This Row],[fIX/frun]])</f>
        <v>#N/A</v>
      </c>
      <c r="R71" s="1" t="e">
        <f>Damped[[#This Row],[ξX '[-']]]/API_check(Damped[[#This Row],[fX/frun]])</f>
        <v>#N/A</v>
      </c>
      <c r="S71" s="1" t="e">
        <f>Damped[[#This Row],[ξXI '[-']]]/API_check(Damped[[#This Row],[fXI/frun]])</f>
        <v>#N/A</v>
      </c>
      <c r="T71" s="1" t="e">
        <f>Damped[[#This Row],[ξXII '[-']]]/API_check(Damped[[#This Row],[fXII/frun]])</f>
        <v>#N/A</v>
      </c>
      <c r="U71" s="1" cm="1">
        <f t="array" ref="U71">_xlfn.IFS($I$32=1,IF(ISBLANK(dry!C8),NA(),dry!C8),$I$32=2,IF(ISBLANK('as new'!C8),NA(),'as new'!C8),$I$32=3,IF(ISBLANK('twice as new'!C8),NA(),'twice as new'!C8))</f>
        <v>0.75430000000000008</v>
      </c>
      <c r="V71" s="1" cm="1">
        <f t="array" ref="V71">_xlfn.IFS($I$32=1,IF(ISBLANK(dry!D8),NA(),dry!D8),$I$32=2,IF(ISBLANK('as new'!D8),NA(),'as new'!D8),$I$32=3,IF(ISBLANK('twice as new'!D8),NA(),'twice as new'!D8))</f>
        <v>3046.26</v>
      </c>
      <c r="W71" s="1" cm="1">
        <f t="array" ref="W71">_xlfn.IFS($I$32=1,IF(ISBLANK(dry!E8),NA(),dry!E8),$I$32=2,IF(ISBLANK('as new'!E8),NA(),'as new'!E8),$I$32=3,IF(ISBLANK('twice as new'!E8),NA(),'twice as new'!E8))</f>
        <v>0.14380000000000001</v>
      </c>
      <c r="X71" s="1" cm="1">
        <f t="array" ref="X71">_xlfn.IFS($I$32=1,IF(ISBLANK(dry!F8),NA(),dry!F8),$I$32=2,IF(ISBLANK('as new'!F8),NA(),'as new'!F8),$I$32=3,IF(ISBLANK('twice as new'!F8),NA(),'twice as new'!F8))</f>
        <v>7875.9</v>
      </c>
      <c r="Y71" s="1" cm="1">
        <f t="array" ref="Y71">_xlfn.IFS($I$32=1,IF(ISBLANK(dry!G8),NA(),dry!G8),$I$32=2,IF(ISBLANK('as new'!G8),NA(),'as new'!G8),$I$32=3,IF(ISBLANK('twice as new'!G8),NA(),'twice as new'!G8))</f>
        <v>0.1183</v>
      </c>
      <c r="Z71" s="1" cm="1">
        <f t="array" ref="Z71">_xlfn.IFS($I$32=1,IF(ISBLANK(dry!H8),NA(),dry!H8),$I$32=2,IF(ISBLANK('as new'!H8),NA(),'as new'!H8),$I$32=3,IF(ISBLANK('twice as new'!H8),NA(),'twice as new'!H8))</f>
        <v>8197.3200000000015</v>
      </c>
      <c r="AA71" s="1" cm="1">
        <f t="array" ref="AA71">_xlfn.IFS($I$32=1,IF(ISBLANK(dry!I8),NA(),dry!I8),$I$32=2,IF(ISBLANK('as new'!I8),NA(),'as new'!I8),$I$32=3,IF(ISBLANK('twice as new'!I8),NA(),'twice as new'!I8))</f>
        <v>0.434</v>
      </c>
      <c r="AB71" s="1" cm="1">
        <f t="array" ref="AB71">_xlfn.IFS($I$32=1,IF(ISBLANK(dry!J8),NA(),dry!J8),$I$32=2,IF(ISBLANK('as new'!J8),NA(),'as new'!J8),$I$32=3,IF(ISBLANK('twice as new'!J8),NA(),'twice as new'!J8))</f>
        <v>4867.92</v>
      </c>
      <c r="AC71" s="1" cm="1">
        <f t="array" ref="AC71">_xlfn.IFS($I$32=1,IF(ISBLANK(dry!K8),NA(),dry!K8),$I$32=2,IF(ISBLANK('as new'!K8),NA(),'as new'!K8),$I$32=3,IF(ISBLANK('twice as new'!K8),NA(),'twice as new'!K8))</f>
        <v>0.2883</v>
      </c>
      <c r="AD71" s="1" cm="1">
        <f t="array" ref="AD71">_xlfn.IFS($I$32=1,IF(ISBLANK(dry!L8),NA(),dry!L8),$I$32=2,IF(ISBLANK('as new'!L8),NA(),'as new'!L8),$I$32=3,IF(ISBLANK('twice as new'!L8),NA(),'twice as new'!L8))</f>
        <v>10500.480000000001</v>
      </c>
      <c r="AE71" s="1" cm="1">
        <f t="array" ref="AE71">_xlfn.IFS($I$32=1,IF(ISBLANK(dry!M8),NA(),dry!M8),$I$32=2,IF(ISBLANK('as new'!M8),NA(),'as new'!M8),$I$32=3,IF(ISBLANK('twice as new'!M8),NA(),'twice as new'!M8))</f>
        <v>0.30680000000000002</v>
      </c>
      <c r="AF71" s="1" cm="1">
        <f t="array" ref="AF71">_xlfn.IFS($I$32=1,IF(ISBLANK(dry!N8),NA(),dry!N8),$I$32=2,IF(ISBLANK('as new'!N8),NA(),'as new'!N8),$I$32=3,IF(ISBLANK('twice as new'!N8),NA(),'twice as new'!N8))</f>
        <v>5167.7999999999993</v>
      </c>
      <c r="AG71" s="1" cm="1">
        <f t="array" ref="AG71">_xlfn.IFS($I$32=1,IF(ISBLANK(dry!O8),NA(),dry!O8),$I$32=2,IF(ISBLANK('as new'!O8),NA(),'as new'!O8),$I$32=3,IF(ISBLANK('twice as new'!O8),NA(),'twice as new'!O8))</f>
        <v>0.25579999999999997</v>
      </c>
      <c r="AH71" s="1" cm="1">
        <f t="array" ref="AH71">_xlfn.IFS($I$32=1,IF(ISBLANK(dry!P8),NA(),dry!P8),$I$32=2,IF(ISBLANK('as new'!P8),NA(),'as new'!P8),$I$32=3,IF(ISBLANK('twice as new'!P8),NA(),'twice as new'!P8))</f>
        <v>11413.08</v>
      </c>
      <c r="AI71" s="1" cm="1">
        <f t="array" ref="AI71">_xlfn.IFS($I$32=1,IF(ISBLANK(dry!Q8),NA(),dry!Q8),$I$32=2,IF(ISBLANK('as new'!Q8),NA(),'as new'!Q8),$I$32=3,IF(ISBLANK('twice as new'!Q8),NA(),'twice as new'!Q8))</f>
        <v>0.44819999999999999</v>
      </c>
      <c r="AJ71" s="1" cm="1">
        <f t="array" ref="AJ71">_xlfn.IFS($I$32=1,IF(ISBLANK(dry!R8),NA(),dry!R8),$I$32=2,IF(ISBLANK('as new'!R8),NA(),'as new'!R8),$I$32=3,IF(ISBLANK('twice as new'!R8),NA(),'twice as new'!R8))</f>
        <v>3802.5</v>
      </c>
      <c r="AK71" s="1" t="e">
        <f>IF(CHOOSE($I$32,dry!S8,'as new'!S8,'twice as new'!S8)=0,NA(),CHOOSE($I$32,dry!S8,'as new'!S8,'twice as new'!S8))</f>
        <v>#N/A</v>
      </c>
      <c r="AL71" s="1" t="e">
        <f>IF(CHOOSE($I$32,dry!T8,'as new'!T8,'twice as new'!T8)=0,NA(),CHOOSE($I$32,dry!T8,'as new'!T8,'twice as new'!T8))</f>
        <v>#N/A</v>
      </c>
      <c r="AM71" s="1" t="e">
        <f>IF(CHOOSE($I$32,dry!U8,'as new'!U8,'twice as new'!U8)=0,NA(),CHOOSE($I$32,dry!U8,'as new'!U8,'twice as new'!U8))</f>
        <v>#N/A</v>
      </c>
      <c r="AN71" s="1" t="e">
        <f>IF(CHOOSE($I$32,dry!V8,'as new'!V8,'twice as new'!V8)=0,NA(),CHOOSE($I$32,dry!V8,'as new'!V8,'twice as new'!V8))</f>
        <v>#N/A</v>
      </c>
      <c r="AO71" s="1" t="e">
        <f>IF(CHOOSE($I$32,dry!W8,'as new'!W8,'twice as new'!W8)=0,NA(),CHOOSE($I$32,dry!W8,'as new'!W8,'twice as new'!W8))</f>
        <v>#N/A</v>
      </c>
      <c r="AP71" s="1" t="e">
        <f>IF(CHOOSE($I$32,dry!X8,'as new'!X8,'twice as new'!X8)=0,NA(),CHOOSE($I$32,dry!X8,'as new'!X8,'twice as new'!X8))</f>
        <v>#N/A</v>
      </c>
      <c r="AQ71" s="1" t="e">
        <f>IF(CHOOSE($I$32,dry!Y8,'as new'!Y8,'twice as new'!Y8)=0,NA(),CHOOSE($I$32,dry!Y8,'as new'!Y8,'twice as new'!Y8))</f>
        <v>#N/A</v>
      </c>
      <c r="AR71" s="1" t="e">
        <f>IF(CHOOSE($I$32,dry!Z8,'as new'!Z8,'twice as new'!Z8)=0,NA(),CHOOSE($I$32,dry!Z8,'as new'!Z8,'twice as new'!Z8))</f>
        <v>#N/A</v>
      </c>
      <c r="AS71" s="1">
        <f>Damped[[#This Row],[fI '[rpm']]]/Damped[[#This Row],[frun '[rpm']]]</f>
        <v>1.1671494252873564</v>
      </c>
      <c r="AT71" s="1">
        <f>Damped[[#This Row],[fII '[rpm']]]/Damped[[#This Row],[frun '[rpm']]]</f>
        <v>3.0175862068965515</v>
      </c>
      <c r="AU71" s="1">
        <f>Damped[[#This Row],[fIII '[rpm']]]/Damped[[#This Row],[frun '[rpm']]]</f>
        <v>3.1407356321839086</v>
      </c>
      <c r="AV71" s="1">
        <f>Damped[[#This Row],[fIV '[rpm']]]/Damped[[#This Row],[frun '[rpm']]]</f>
        <v>1.8651034482758622</v>
      </c>
      <c r="AW71" s="1">
        <f>Damped[[#This Row],[fV '[rpm']]]/Damped[[#This Row],[frun '[rpm']]]</f>
        <v>4.0231724137931044</v>
      </c>
      <c r="AX71" s="1">
        <f>Damped[[#This Row],[fVI '[rpm']]]/Damped[[#This Row],[frun '[rpm']]]</f>
        <v>1.9799999999999998</v>
      </c>
      <c r="AY71" s="1">
        <f>Damped[[#This Row],[fVII '[rpm']]]/Damped[[#This Row],[frun '[rpm']]]</f>
        <v>4.3728275862068964</v>
      </c>
      <c r="AZ71" s="1">
        <f>Damped[[#This Row],[fVIII '[rpm']]]/Damped[[#This Row],[frun '[rpm']]]</f>
        <v>1.4568965517241379</v>
      </c>
      <c r="BA71" s="1" t="e">
        <f>Damped[[#This Row],[fIX '[rpm']]]/Damped[[#This Row],[frun '[rpm']]]</f>
        <v>#N/A</v>
      </c>
      <c r="BB71" s="1" t="e">
        <f>Damped[[#This Row],[fX '[rpm']]]/Damped[[#This Row],[frun '[rpm']]]</f>
        <v>#N/A</v>
      </c>
      <c r="BC71" s="1" t="e">
        <f>Damped[[#This Row],[fXI '[rpm']]]/Damped[[#This Row],[frun '[rpm']]]</f>
        <v>#N/A</v>
      </c>
      <c r="BD71" s="1" t="e">
        <f>Damped[[#This Row],[fXII '[rpm']]]/Damped[[#This Row],[frun '[rpm']]]</f>
        <v>#N/A</v>
      </c>
    </row>
    <row r="72" spans="8:56" x14ac:dyDescent="0.25">
      <c r="H72" s="1" cm="1">
        <f t="array" ref="H72">_xlfn.IFS($I$32=1,IF(ISBLANK(dry!B9),NA(),dry!B9),$I$32=2,IF(ISBLANK('as new'!B9),NA(),'as new'!B9),$I$32=3,IF(ISBLANK('twice as new'!B9),NA(),'twice as new'!B9))</f>
        <v>2871</v>
      </c>
      <c r="I72" s="1">
        <f>Damped[[#This Row],[ξI '[-']]]/API_check(Damped[[#This Row],[fI/frun]])</f>
        <v>5.0860000000000003</v>
      </c>
      <c r="J72" s="1">
        <f>Damped[[#This Row],[ξII '[-']]]/API_check(Damped[[#This Row],[fII/frun]])</f>
        <v>152899999.99999997</v>
      </c>
      <c r="K72" s="1">
        <f>Damped[[#This Row],[ξIII '[-']]]/API_check(Damped[[#This Row],[fIII/frun]])</f>
        <v>124399999.99999999</v>
      </c>
      <c r="L72" s="1">
        <f>Damped[[#This Row],[ξIV '[-']]]/API_check(Damped[[#This Row],[fIV/frun]])</f>
        <v>451899999.99999994</v>
      </c>
      <c r="M72" s="1">
        <f>Damped[[#This Row],[ξV '[-']]]/API_check(Damped[[#This Row],[fV/frun]])</f>
        <v>319400000</v>
      </c>
      <c r="N72" s="1">
        <f>Damped[[#This Row],[ξVI '[-']]]/API_check(Damped[[#This Row],[fVI/frun]])</f>
        <v>307500000</v>
      </c>
      <c r="O72" s="1">
        <f>Damped[[#This Row],[ξVII '[-']]]/API_check(Damped[[#This Row],[fVII/frun]])</f>
        <v>275200000</v>
      </c>
      <c r="P72" s="1">
        <f>Damped[[#This Row],[ξVIII '[-']]]/API_check(Damped[[#This Row],[fVIII/frun]])</f>
        <v>30.606666666666666</v>
      </c>
      <c r="Q72" s="1" t="e">
        <f>Damped[[#This Row],[ξIX '[-']]]/API_check(Damped[[#This Row],[fIX/frun]])</f>
        <v>#N/A</v>
      </c>
      <c r="R72" s="1" t="e">
        <f>Damped[[#This Row],[ξX '[-']]]/API_check(Damped[[#This Row],[fX/frun]])</f>
        <v>#N/A</v>
      </c>
      <c r="S72" s="1" t="e">
        <f>Damped[[#This Row],[ξXI '[-']]]/API_check(Damped[[#This Row],[fXI/frun]])</f>
        <v>#N/A</v>
      </c>
      <c r="T72" s="1" t="e">
        <f>Damped[[#This Row],[ξXII '[-']]]/API_check(Damped[[#This Row],[fXII/frun]])</f>
        <v>#N/A</v>
      </c>
      <c r="U72" s="1" cm="1">
        <f t="array" ref="U72">_xlfn.IFS($I$32=1,IF(ISBLANK(dry!C9),NA(),dry!C9),$I$32=2,IF(ISBLANK('as new'!C9),NA(),'as new'!C9),$I$32=3,IF(ISBLANK('twice as new'!C9),NA(),'twice as new'!C9))</f>
        <v>0.76290000000000002</v>
      </c>
      <c r="V72" s="1" cm="1">
        <f t="array" ref="V72">_xlfn.IFS($I$32=1,IF(ISBLANK(dry!D9),NA(),dry!D9),$I$32=2,IF(ISBLANK('as new'!D9),NA(),'as new'!D9),$I$32=3,IF(ISBLANK('twice as new'!D9),NA(),'twice as new'!D9))</f>
        <v>3286.14</v>
      </c>
      <c r="W72" s="1" cm="1">
        <f t="array" ref="W72">_xlfn.IFS($I$32=1,IF(ISBLANK(dry!E9),NA(),dry!E9),$I$32=2,IF(ISBLANK('as new'!E9),NA(),'as new'!E9),$I$32=3,IF(ISBLANK('twice as new'!E9),NA(),'twice as new'!E9))</f>
        <v>0.15289999999999998</v>
      </c>
      <c r="X72" s="1" cm="1">
        <f t="array" ref="X72">_xlfn.IFS($I$32=1,IF(ISBLANK(dry!F9),NA(),dry!F9),$I$32=2,IF(ISBLANK('as new'!F9),NA(),'as new'!F9),$I$32=3,IF(ISBLANK('twice as new'!F9),NA(),'twice as new'!F9))</f>
        <v>7897.74</v>
      </c>
      <c r="Y72" s="1" cm="1">
        <f t="array" ref="Y72">_xlfn.IFS($I$32=1,IF(ISBLANK(dry!G9),NA(),dry!G9),$I$32=2,IF(ISBLANK('as new'!G9),NA(),'as new'!G9),$I$32=3,IF(ISBLANK('twice as new'!G9),NA(),'twice as new'!G9))</f>
        <v>0.1244</v>
      </c>
      <c r="Z72" s="1" cm="1">
        <f t="array" ref="Z72">_xlfn.IFS($I$32=1,IF(ISBLANK(dry!H9),NA(),dry!H9),$I$32=2,IF(ISBLANK('as new'!H9),NA(),'as new'!H9),$I$32=3,IF(ISBLANK('twice as new'!H9),NA(),'twice as new'!H9))</f>
        <v>8245.32</v>
      </c>
      <c r="AA72" s="1" cm="1">
        <f t="array" ref="AA72">_xlfn.IFS($I$32=1,IF(ISBLANK(dry!I9),NA(),dry!I9),$I$32=2,IF(ISBLANK('as new'!I9),NA(),'as new'!I9),$I$32=3,IF(ISBLANK('twice as new'!I9),NA(),'twice as new'!I9))</f>
        <v>0.45189999999999997</v>
      </c>
      <c r="AB72" s="1" cm="1">
        <f t="array" ref="AB72">_xlfn.IFS($I$32=1,IF(ISBLANK(dry!J9),NA(),dry!J9),$I$32=2,IF(ISBLANK('as new'!J9),NA(),'as new'!J9),$I$32=3,IF(ISBLANK('twice as new'!J9),NA(),'twice as new'!J9))</f>
        <v>5088.78</v>
      </c>
      <c r="AC72" s="1" cm="1">
        <f t="array" ref="AC72">_xlfn.IFS($I$32=1,IF(ISBLANK(dry!K9),NA(),dry!K9),$I$32=2,IF(ISBLANK('as new'!K9),NA(),'as new'!K9),$I$32=3,IF(ISBLANK('twice as new'!K9),NA(),'twice as new'!K9))</f>
        <v>0.31940000000000002</v>
      </c>
      <c r="AD72" s="1" cm="1">
        <f t="array" ref="AD72">_xlfn.IFS($I$32=1,IF(ISBLANK(dry!L9),NA(),dry!L9),$I$32=2,IF(ISBLANK('as new'!L9),NA(),'as new'!L9),$I$32=3,IF(ISBLANK('twice as new'!L9),NA(),'twice as new'!L9))</f>
        <v>10371.240000000002</v>
      </c>
      <c r="AE72" s="1" cm="1">
        <f t="array" ref="AE72">_xlfn.IFS($I$32=1,IF(ISBLANK(dry!M9),NA(),dry!M9),$I$32=2,IF(ISBLANK('as new'!M9),NA(),'as new'!M9),$I$32=3,IF(ISBLANK('twice as new'!M9),NA(),'twice as new'!M9))</f>
        <v>0.3075</v>
      </c>
      <c r="AF72" s="1" cm="1">
        <f t="array" ref="AF72">_xlfn.IFS($I$32=1,IF(ISBLANK(dry!N9),NA(),dry!N9),$I$32=2,IF(ISBLANK('as new'!N9),NA(),'as new'!N9),$I$32=3,IF(ISBLANK('twice as new'!N9),NA(),'twice as new'!N9))</f>
        <v>5357.34</v>
      </c>
      <c r="AG72" s="1" cm="1">
        <f t="array" ref="AG72">_xlfn.IFS($I$32=1,IF(ISBLANK(dry!O9),NA(),dry!O9),$I$32=2,IF(ISBLANK('as new'!O9),NA(),'as new'!O9),$I$32=3,IF(ISBLANK('twice as new'!O9),NA(),'twice as new'!O9))</f>
        <v>0.2752</v>
      </c>
      <c r="AH72" s="1" cm="1">
        <f t="array" ref="AH72">_xlfn.IFS($I$32=1,IF(ISBLANK(dry!P9),NA(),dry!P9),$I$32=2,IF(ISBLANK('as new'!P9),NA(),'as new'!P9),$I$32=3,IF(ISBLANK('twice as new'!P9),NA(),'twice as new'!P9))</f>
        <v>11458.56</v>
      </c>
      <c r="AI72" s="1" cm="1">
        <f t="array" ref="AI72">_xlfn.IFS($I$32=1,IF(ISBLANK(dry!Q9),NA(),dry!Q9),$I$32=2,IF(ISBLANK('as new'!Q9),NA(),'as new'!Q9),$I$32=3,IF(ISBLANK('twice as new'!Q9),NA(),'twice as new'!Q9))</f>
        <v>0.45909999999999995</v>
      </c>
      <c r="AJ72" s="1" cm="1">
        <f t="array" ref="AJ72">_xlfn.IFS($I$32=1,IF(ISBLANK(dry!R9),NA(),dry!R9),$I$32=2,IF(ISBLANK('as new'!R9),NA(),'as new'!R9),$I$32=3,IF(ISBLANK('twice as new'!R9),NA(),'twice as new'!R9))</f>
        <v>4165.8</v>
      </c>
      <c r="AK72" s="1" t="e">
        <f>IF(CHOOSE($I$32,dry!S9,'as new'!S9,'twice as new'!S9)=0,NA(),CHOOSE($I$32,dry!S9,'as new'!S9,'twice as new'!S9))</f>
        <v>#N/A</v>
      </c>
      <c r="AL72" s="1" t="e">
        <f>IF(CHOOSE($I$32,dry!T9,'as new'!T9,'twice as new'!T9)=0,NA(),CHOOSE($I$32,dry!T9,'as new'!T9,'twice as new'!T9))</f>
        <v>#N/A</v>
      </c>
      <c r="AM72" s="1" t="e">
        <f>IF(CHOOSE($I$32,dry!U9,'as new'!U9,'twice as new'!U9)=0,NA(),CHOOSE($I$32,dry!U9,'as new'!U9,'twice as new'!U9))</f>
        <v>#N/A</v>
      </c>
      <c r="AN72" s="1" t="e">
        <f>IF(CHOOSE($I$32,dry!V9,'as new'!V9,'twice as new'!V9)=0,NA(),CHOOSE($I$32,dry!V9,'as new'!V9,'twice as new'!V9))</f>
        <v>#N/A</v>
      </c>
      <c r="AO72" s="1" t="e">
        <f>IF(CHOOSE($I$32,dry!W9,'as new'!W9,'twice as new'!W9)=0,NA(),CHOOSE($I$32,dry!W9,'as new'!W9,'twice as new'!W9))</f>
        <v>#N/A</v>
      </c>
      <c r="AP72" s="1" t="e">
        <f>IF(CHOOSE($I$32,dry!X9,'as new'!X9,'twice as new'!X9)=0,NA(),CHOOSE($I$32,dry!X9,'as new'!X9,'twice as new'!X9))</f>
        <v>#N/A</v>
      </c>
      <c r="AQ72" s="1" t="e">
        <f>IF(CHOOSE($I$32,dry!Y9,'as new'!Y9,'twice as new'!Y9)=0,NA(),CHOOSE($I$32,dry!Y9,'as new'!Y9,'twice as new'!Y9))</f>
        <v>#N/A</v>
      </c>
      <c r="AR72" s="1" t="e">
        <f>IF(CHOOSE($I$32,dry!Z9,'as new'!Z9,'twice as new'!Z9)=0,NA(),CHOOSE($I$32,dry!Z9,'as new'!Z9,'twice as new'!Z9))</f>
        <v>#N/A</v>
      </c>
      <c r="AS72" s="1">
        <f>Damped[[#This Row],[fI '[rpm']]]/Damped[[#This Row],[frun '[rpm']]]</f>
        <v>1.1445977011494253</v>
      </c>
      <c r="AT72" s="1">
        <f>Damped[[#This Row],[fII '[rpm']]]/Damped[[#This Row],[frun '[rpm']]]</f>
        <v>2.7508672936259142</v>
      </c>
      <c r="AU72" s="1">
        <f>Damped[[#This Row],[fIII '[rpm']]]/Damped[[#This Row],[frun '[rpm']]]</f>
        <v>2.8719331243469175</v>
      </c>
      <c r="AV72" s="1">
        <f>Damped[[#This Row],[fIV '[rpm']]]/Damped[[#This Row],[frun '[rpm']]]</f>
        <v>1.772476489028213</v>
      </c>
      <c r="AW72" s="1">
        <f>Damped[[#This Row],[fV '[rpm']]]/Damped[[#This Row],[frun '[rpm']]]</f>
        <v>3.6124137931034488</v>
      </c>
      <c r="AX72" s="1">
        <f>Damped[[#This Row],[fVI '[rpm']]]/Damped[[#This Row],[frun '[rpm']]]</f>
        <v>1.8660188087774294</v>
      </c>
      <c r="AY72" s="1">
        <f>Damped[[#This Row],[fVII '[rpm']]]/Damped[[#This Row],[frun '[rpm']]]</f>
        <v>3.9911389759665621</v>
      </c>
      <c r="AZ72" s="1">
        <f>Damped[[#This Row],[fVIII '[rpm']]]/Damped[[#This Row],[frun '[rpm']]]</f>
        <v>1.4509926854754442</v>
      </c>
      <c r="BA72" s="1" t="e">
        <f>Damped[[#This Row],[fIX '[rpm']]]/Damped[[#This Row],[frun '[rpm']]]</f>
        <v>#N/A</v>
      </c>
      <c r="BB72" s="1" t="e">
        <f>Damped[[#This Row],[fX '[rpm']]]/Damped[[#This Row],[frun '[rpm']]]</f>
        <v>#N/A</v>
      </c>
      <c r="BC72" s="1" t="e">
        <f>Damped[[#This Row],[fXI '[rpm']]]/Damped[[#This Row],[frun '[rpm']]]</f>
        <v>#N/A</v>
      </c>
      <c r="BD72" s="1" t="e">
        <f>Damped[[#This Row],[fXII '[rpm']]]/Damped[[#This Row],[frun '[rpm']]]</f>
        <v>#N/A</v>
      </c>
    </row>
    <row r="73" spans="8:56" x14ac:dyDescent="0.25">
      <c r="H73" s="1" cm="1">
        <f t="array" ref="H73">_xlfn.IFS($I$32=1,IF(ISBLANK(dry!B10),NA(),dry!B10),$I$32=2,IF(ISBLANK('as new'!B10),NA(),'as new'!B10),$I$32=3,IF(ISBLANK('twice as new'!B10),NA(),'twice as new'!B10))</f>
        <v>3132</v>
      </c>
      <c r="I73" s="1">
        <f>Damped[[#This Row],[ξI '[-']]]/API_check(Damped[[#This Row],[fI/frun]])</f>
        <v>5.139333333333334</v>
      </c>
      <c r="J73" s="1">
        <f>Damped[[#This Row],[ξII '[-']]]/API_check(Damped[[#This Row],[fII/frun]])</f>
        <v>159800000</v>
      </c>
      <c r="K73" s="1">
        <f>Damped[[#This Row],[ξIII '[-']]]/API_check(Damped[[#This Row],[fIII/frun]])</f>
        <v>130700000</v>
      </c>
      <c r="L73" s="1">
        <f>Damped[[#This Row],[ξIV '[-']]]/API_check(Damped[[#This Row],[fIV/frun]])</f>
        <v>465299999.99999994</v>
      </c>
      <c r="M73" s="1">
        <f>Damped[[#This Row],[ξV '[-']]]/API_check(Damped[[#This Row],[fV/frun]])</f>
        <v>350099999.99999994</v>
      </c>
      <c r="N73" s="1">
        <f>Damped[[#This Row],[ξVI '[-']]]/API_check(Damped[[#This Row],[fVI/frun]])</f>
        <v>302500000</v>
      </c>
      <c r="O73" s="1">
        <f>Damped[[#This Row],[ξVII '[-']]]/API_check(Damped[[#This Row],[fVII/frun]])</f>
        <v>296200000</v>
      </c>
      <c r="P73" s="1">
        <f>Damped[[#This Row],[ξVIII '[-']]]/API_check(Damped[[#This Row],[fVIII/frun]])</f>
        <v>31.34</v>
      </c>
      <c r="Q73" s="1" t="e">
        <f>Damped[[#This Row],[ξIX '[-']]]/API_check(Damped[[#This Row],[fIX/frun]])</f>
        <v>#N/A</v>
      </c>
      <c r="R73" s="1" t="e">
        <f>Damped[[#This Row],[ξX '[-']]]/API_check(Damped[[#This Row],[fX/frun]])</f>
        <v>#N/A</v>
      </c>
      <c r="S73" s="1" t="e">
        <f>Damped[[#This Row],[ξXI '[-']]]/API_check(Damped[[#This Row],[fXI/frun]])</f>
        <v>#N/A</v>
      </c>
      <c r="T73" s="1" t="e">
        <f>Damped[[#This Row],[ξXII '[-']]]/API_check(Damped[[#This Row],[fXII/frun]])</f>
        <v>#N/A</v>
      </c>
      <c r="U73" s="1" cm="1">
        <f t="array" ref="U73">_xlfn.IFS($I$32=1,IF(ISBLANK(dry!C10),NA(),dry!C10),$I$32=2,IF(ISBLANK('as new'!C10),NA(),'as new'!C10),$I$32=3,IF(ISBLANK('twice as new'!C10),NA(),'twice as new'!C10))</f>
        <v>0.77090000000000003</v>
      </c>
      <c r="V73" s="1" cm="1">
        <f t="array" ref="V73">_xlfn.IFS($I$32=1,IF(ISBLANK(dry!D10),NA(),dry!D10),$I$32=2,IF(ISBLANK('as new'!D10),NA(),'as new'!D10),$I$32=3,IF(ISBLANK('twice as new'!D10),NA(),'twice as new'!D10))</f>
        <v>3523.38</v>
      </c>
      <c r="W73" s="1" cm="1">
        <f t="array" ref="W73">_xlfn.IFS($I$32=1,IF(ISBLANK(dry!E10),NA(),dry!E10),$I$32=2,IF(ISBLANK('as new'!E10),NA(),'as new'!E10),$I$32=3,IF(ISBLANK('twice as new'!E10),NA(),'twice as new'!E10))</f>
        <v>0.1598</v>
      </c>
      <c r="X73" s="1" cm="1">
        <f t="array" ref="X73">_xlfn.IFS($I$32=1,IF(ISBLANK(dry!F10),NA(),dry!F10),$I$32=2,IF(ISBLANK('as new'!F10),NA(),'as new'!F10),$I$32=3,IF(ISBLANK('twice as new'!F10),NA(),'twice as new'!F10))</f>
        <v>7916.2799999999988</v>
      </c>
      <c r="Y73" s="1" cm="1">
        <f t="array" ref="Y73">_xlfn.IFS($I$32=1,IF(ISBLANK(dry!G10),NA(),dry!G10),$I$32=2,IF(ISBLANK('as new'!G10),NA(),'as new'!G10),$I$32=3,IF(ISBLANK('twice as new'!G10),NA(),'twice as new'!G10))</f>
        <v>0.13070000000000001</v>
      </c>
      <c r="Z73" s="1" cm="1">
        <f t="array" ref="Z73">_xlfn.IFS($I$32=1,IF(ISBLANK(dry!H10),NA(),dry!H10),$I$32=2,IF(ISBLANK('as new'!H10),NA(),'as new'!H10),$I$32=3,IF(ISBLANK('twice as new'!H10),NA(),'twice as new'!H10))</f>
        <v>8293.14</v>
      </c>
      <c r="AA73" s="1" cm="1">
        <f t="array" ref="AA73">_xlfn.IFS($I$32=1,IF(ISBLANK(dry!I10),NA(),dry!I10),$I$32=2,IF(ISBLANK('as new'!I10),NA(),'as new'!I10),$I$32=3,IF(ISBLANK('twice as new'!I10),NA(),'twice as new'!I10))</f>
        <v>0.46529999999999999</v>
      </c>
      <c r="AB73" s="1" cm="1">
        <f t="array" ref="AB73">_xlfn.IFS($I$32=1,IF(ISBLANK(dry!J10),NA(),dry!J10),$I$32=2,IF(ISBLANK('as new'!J10),NA(),'as new'!J10),$I$32=3,IF(ISBLANK('twice as new'!J10),NA(),'twice as new'!J10))</f>
        <v>5345.7</v>
      </c>
      <c r="AC73" s="1" cm="1">
        <f t="array" ref="AC73">_xlfn.IFS($I$32=1,IF(ISBLANK(dry!K10),NA(),dry!K10),$I$32=2,IF(ISBLANK('as new'!K10),NA(),'as new'!K10),$I$32=3,IF(ISBLANK('twice as new'!K10),NA(),'twice as new'!K10))</f>
        <v>0.35009999999999997</v>
      </c>
      <c r="AD73" s="1" cm="1">
        <f t="array" ref="AD73">_xlfn.IFS($I$32=1,IF(ISBLANK(dry!L10),NA(),dry!L10),$I$32=2,IF(ISBLANK('as new'!L10),NA(),'as new'!L10),$I$32=3,IF(ISBLANK('twice as new'!L10),NA(),'twice as new'!L10))</f>
        <v>10227.18</v>
      </c>
      <c r="AE73" s="1" cm="1">
        <f t="array" ref="AE73">_xlfn.IFS($I$32=1,IF(ISBLANK(dry!M10),NA(),dry!M10),$I$32=2,IF(ISBLANK('as new'!M10),NA(),'as new'!M10),$I$32=3,IF(ISBLANK('twice as new'!M10),NA(),'twice as new'!M10))</f>
        <v>0.30249999999999999</v>
      </c>
      <c r="AF73" s="1" cm="1">
        <f t="array" ref="AF73">_xlfn.IFS($I$32=1,IF(ISBLANK(dry!N10),NA(),dry!N10),$I$32=2,IF(ISBLANK('as new'!N10),NA(),'as new'!N10),$I$32=3,IF(ISBLANK('twice as new'!N10),NA(),'twice as new'!N10))</f>
        <v>5581.62</v>
      </c>
      <c r="AG73" s="1" cm="1">
        <f t="array" ref="AG73">_xlfn.IFS($I$32=1,IF(ISBLANK(dry!O10),NA(),dry!O10),$I$32=2,IF(ISBLANK('as new'!O10),NA(),'as new'!O10),$I$32=3,IF(ISBLANK('twice as new'!O10),NA(),'twice as new'!O10))</f>
        <v>0.29620000000000002</v>
      </c>
      <c r="AH73" s="1" cm="1">
        <f t="array" ref="AH73">_xlfn.IFS($I$32=1,IF(ISBLANK(dry!P10),NA(),dry!P10),$I$32=2,IF(ISBLANK('as new'!P10),NA(),'as new'!P10),$I$32=3,IF(ISBLANK('twice as new'!P10),NA(),'twice as new'!P10))</f>
        <v>11504.16</v>
      </c>
      <c r="AI73" s="1" cm="1">
        <f t="array" ref="AI73">_xlfn.IFS($I$32=1,IF(ISBLANK(dry!Q10),NA(),dry!Q10),$I$32=2,IF(ISBLANK('as new'!Q10),NA(),'as new'!Q10),$I$32=3,IF(ISBLANK('twice as new'!Q10),NA(),'twice as new'!Q10))</f>
        <v>0.47009999999999996</v>
      </c>
      <c r="AJ73" s="1" cm="1">
        <f t="array" ref="AJ73">_xlfn.IFS($I$32=1,IF(ISBLANK(dry!R10),NA(),dry!R10),$I$32=2,IF(ISBLANK('as new'!R10),NA(),'as new'!R10),$I$32=3,IF(ISBLANK('twice as new'!R10),NA(),'twice as new'!R10))</f>
        <v>4536</v>
      </c>
      <c r="AK73" s="1" t="e">
        <f>IF(CHOOSE($I$32,dry!S10,'as new'!S10,'twice as new'!S10)=0,NA(),CHOOSE($I$32,dry!S10,'as new'!S10,'twice as new'!S10))</f>
        <v>#N/A</v>
      </c>
      <c r="AL73" s="1" t="e">
        <f>IF(CHOOSE($I$32,dry!T10,'as new'!T10,'twice as new'!T10)=0,NA(),CHOOSE($I$32,dry!T10,'as new'!T10,'twice as new'!T10))</f>
        <v>#N/A</v>
      </c>
      <c r="AM73" s="1" t="e">
        <f>IF(CHOOSE($I$32,dry!U10,'as new'!U10,'twice as new'!U10)=0,NA(),CHOOSE($I$32,dry!U10,'as new'!U10,'twice as new'!U10))</f>
        <v>#N/A</v>
      </c>
      <c r="AN73" s="1" t="e">
        <f>IF(CHOOSE($I$32,dry!V10,'as new'!V10,'twice as new'!V10)=0,NA(),CHOOSE($I$32,dry!V10,'as new'!V10,'twice as new'!V10))</f>
        <v>#N/A</v>
      </c>
      <c r="AO73" s="1" t="e">
        <f>IF(CHOOSE($I$32,dry!W10,'as new'!W10,'twice as new'!W10)=0,NA(),CHOOSE($I$32,dry!W10,'as new'!W10,'twice as new'!W10))</f>
        <v>#N/A</v>
      </c>
      <c r="AP73" s="1" t="e">
        <f>IF(CHOOSE($I$32,dry!X10,'as new'!X10,'twice as new'!X10)=0,NA(),CHOOSE($I$32,dry!X10,'as new'!X10,'twice as new'!X10))</f>
        <v>#N/A</v>
      </c>
      <c r="AQ73" s="1" t="e">
        <f>IF(CHOOSE($I$32,dry!Y10,'as new'!Y10,'twice as new'!Y10)=0,NA(),CHOOSE($I$32,dry!Y10,'as new'!Y10,'twice as new'!Y10))</f>
        <v>#N/A</v>
      </c>
      <c r="AR73" s="1" t="e">
        <f>IF(CHOOSE($I$32,dry!Z10,'as new'!Z10,'twice as new'!Z10)=0,NA(),CHOOSE($I$32,dry!Z10,'as new'!Z10,'twice as new'!Z10))</f>
        <v>#N/A</v>
      </c>
      <c r="AS73" s="1">
        <f>Damped[[#This Row],[fI '[rpm']]]/Damped[[#This Row],[frun '[rpm']]]</f>
        <v>1.1249616858237548</v>
      </c>
      <c r="AT73" s="1">
        <f>Damped[[#This Row],[fII '[rpm']]]/Damped[[#This Row],[frun '[rpm']]]</f>
        <v>2.5275478927203063</v>
      </c>
      <c r="AU73" s="1">
        <f>Damped[[#This Row],[fIII '[rpm']]]/Damped[[#This Row],[frun '[rpm']]]</f>
        <v>2.6478735632183907</v>
      </c>
      <c r="AV73" s="1">
        <f>Damped[[#This Row],[fIV '[rpm']]]/Damped[[#This Row],[frun '[rpm']]]</f>
        <v>1.706800766283525</v>
      </c>
      <c r="AW73" s="1">
        <f>Damped[[#This Row],[fV '[rpm']]]/Damped[[#This Row],[frun '[rpm']]]</f>
        <v>3.2653831417624524</v>
      </c>
      <c r="AX73" s="1">
        <f>Damped[[#This Row],[fVI '[rpm']]]/Damped[[#This Row],[frun '[rpm']]]</f>
        <v>1.7821264367816092</v>
      </c>
      <c r="AY73" s="1">
        <f>Damped[[#This Row],[fVII '[rpm']]]/Damped[[#This Row],[frun '[rpm']]]</f>
        <v>3.673103448275862</v>
      </c>
      <c r="AZ73" s="1">
        <f>Damped[[#This Row],[fVIII '[rpm']]]/Damped[[#This Row],[frun '[rpm']]]</f>
        <v>1.4482758620689655</v>
      </c>
      <c r="BA73" s="1" t="e">
        <f>Damped[[#This Row],[fIX '[rpm']]]/Damped[[#This Row],[frun '[rpm']]]</f>
        <v>#N/A</v>
      </c>
      <c r="BB73" s="1" t="e">
        <f>Damped[[#This Row],[fX '[rpm']]]/Damped[[#This Row],[frun '[rpm']]]</f>
        <v>#N/A</v>
      </c>
      <c r="BC73" s="1" t="e">
        <f>Damped[[#This Row],[fXI '[rpm']]]/Damped[[#This Row],[frun '[rpm']]]</f>
        <v>#N/A</v>
      </c>
      <c r="BD73" s="1" t="e">
        <f>Damped[[#This Row],[fXII '[rpm']]]/Damped[[#This Row],[frun '[rpm']]]</f>
        <v>#N/A</v>
      </c>
    </row>
    <row r="74" spans="8:56" x14ac:dyDescent="0.25">
      <c r="H74" s="1" cm="1">
        <f t="array" ref="H74">_xlfn.IFS($I$32=1,IF(ISBLANK(dry!B11),NA(),dry!B11),$I$32=2,IF(ISBLANK('as new'!B11),NA(),'as new'!B11),$I$32=3,IF(ISBLANK('twice as new'!B11),NA(),'twice as new'!B11))</f>
        <v>3393</v>
      </c>
      <c r="I74" s="1">
        <f>Damped[[#This Row],[ξI '[-']]]/API_check(Damped[[#This Row],[fI/frun]])</f>
        <v>5.2026666666666674</v>
      </c>
      <c r="J74" s="1">
        <f>Damped[[#This Row],[ξII '[-']]]/API_check(Damped[[#This Row],[fII/frun]])</f>
        <v>164899999.99999997</v>
      </c>
      <c r="K74" s="1">
        <f>Damped[[#This Row],[ξIII '[-']]]/API_check(Damped[[#This Row],[fIII/frun]])</f>
        <v>137200000</v>
      </c>
      <c r="L74" s="1">
        <f>Damped[[#This Row],[ξIV '[-']]]/API_check(Damped[[#This Row],[fIV/frun]])</f>
        <v>475600000</v>
      </c>
      <c r="M74" s="1">
        <f>Damped[[#This Row],[ξV '[-']]]/API_check(Damped[[#This Row],[fV/frun]])</f>
        <v>381000000</v>
      </c>
      <c r="N74" s="1">
        <f>Damped[[#This Row],[ξVI '[-']]]/API_check(Damped[[#This Row],[fVI/frun]])</f>
        <v>295800000</v>
      </c>
      <c r="O74" s="1">
        <f>Damped[[#This Row],[ξVII '[-']]]/API_check(Damped[[#This Row],[fVII/frun]])</f>
        <v>318699999.99999994</v>
      </c>
      <c r="P74" s="1">
        <f>Damped[[#This Row],[ξVIII '[-']]]/API_check(Damped[[#This Row],[fVIII/frun]])</f>
        <v>32.153333333333329</v>
      </c>
      <c r="Q74" s="1" t="e">
        <f>Damped[[#This Row],[ξIX '[-']]]/API_check(Damped[[#This Row],[fIX/frun]])</f>
        <v>#N/A</v>
      </c>
      <c r="R74" s="1" t="e">
        <f>Damped[[#This Row],[ξX '[-']]]/API_check(Damped[[#This Row],[fX/frun]])</f>
        <v>#N/A</v>
      </c>
      <c r="S74" s="1" t="e">
        <f>Damped[[#This Row],[ξXI '[-']]]/API_check(Damped[[#This Row],[fXI/frun]])</f>
        <v>#N/A</v>
      </c>
      <c r="T74" s="1" t="e">
        <f>Damped[[#This Row],[ξXII '[-']]]/API_check(Damped[[#This Row],[fXII/frun]])</f>
        <v>#N/A</v>
      </c>
      <c r="U74" s="1" cm="1">
        <f t="array" ref="U74">_xlfn.IFS($I$32=1,IF(ISBLANK(dry!C11),NA(),dry!C11),$I$32=2,IF(ISBLANK('as new'!C11),NA(),'as new'!C11),$I$32=3,IF(ISBLANK('twice as new'!C11),NA(),'twice as new'!C11))</f>
        <v>0.78040000000000009</v>
      </c>
      <c r="V74" s="1" cm="1">
        <f t="array" ref="V74">_xlfn.IFS($I$32=1,IF(ISBLANK(dry!D11),NA(),dry!D11),$I$32=2,IF(ISBLANK('as new'!D11),NA(),'as new'!D11),$I$32=3,IF(ISBLANK('twice as new'!D11),NA(),'twice as new'!D11))</f>
        <v>3730.2599999999998</v>
      </c>
      <c r="W74" s="1" cm="1">
        <f t="array" ref="W74">_xlfn.IFS($I$32=1,IF(ISBLANK(dry!E11),NA(),dry!E11),$I$32=2,IF(ISBLANK('as new'!E11),NA(),'as new'!E11),$I$32=3,IF(ISBLANK('twice as new'!E11),NA(),'twice as new'!E11))</f>
        <v>0.16489999999999999</v>
      </c>
      <c r="X74" s="1" cm="1">
        <f t="array" ref="X74">_xlfn.IFS($I$32=1,IF(ISBLANK(dry!F11),NA(),dry!F11),$I$32=2,IF(ISBLANK('as new'!F11),NA(),'as new'!F11),$I$32=3,IF(ISBLANK('twice as new'!F11),NA(),'twice as new'!F11))</f>
        <v>7927.9800000000005</v>
      </c>
      <c r="Y74" s="1" cm="1">
        <f t="array" ref="Y74">_xlfn.IFS($I$32=1,IF(ISBLANK(dry!G11),NA(),dry!G11),$I$32=2,IF(ISBLANK('as new'!G11),NA(),'as new'!G11),$I$32=3,IF(ISBLANK('twice as new'!G11),NA(),'twice as new'!G11))</f>
        <v>0.13720000000000002</v>
      </c>
      <c r="Z74" s="1" cm="1">
        <f t="array" ref="Z74">_xlfn.IFS($I$32=1,IF(ISBLANK(dry!H11),NA(),dry!H11),$I$32=2,IF(ISBLANK('as new'!H11),NA(),'as new'!H11),$I$32=3,IF(ISBLANK('twice as new'!H11),NA(),'twice as new'!H11))</f>
        <v>8334.36</v>
      </c>
      <c r="AA74" s="1" cm="1">
        <f t="array" ref="AA74">_xlfn.IFS($I$32=1,IF(ISBLANK(dry!I11),NA(),dry!I11),$I$32=2,IF(ISBLANK('as new'!I11),NA(),'as new'!I11),$I$32=3,IF(ISBLANK('twice as new'!I11),NA(),'twice as new'!I11))</f>
        <v>0.47560000000000002</v>
      </c>
      <c r="AB74" s="1" cm="1">
        <f t="array" ref="AB74">_xlfn.IFS($I$32=1,IF(ISBLANK(dry!J11),NA(),dry!J11),$I$32=2,IF(ISBLANK('as new'!J11),NA(),'as new'!J11),$I$32=3,IF(ISBLANK('twice as new'!J11),NA(),'twice as new'!J11))</f>
        <v>5623.92</v>
      </c>
      <c r="AC74" s="1" cm="1">
        <f t="array" ref="AC74">_xlfn.IFS($I$32=1,IF(ISBLANK(dry!K11),NA(),dry!K11),$I$32=2,IF(ISBLANK('as new'!K11),NA(),'as new'!K11),$I$32=3,IF(ISBLANK('twice as new'!K11),NA(),'twice as new'!K11))</f>
        <v>0.38100000000000001</v>
      </c>
      <c r="AD74" s="1" cm="1">
        <f t="array" ref="AD74">_xlfn.IFS($I$32=1,IF(ISBLANK(dry!L11),NA(),dry!L11),$I$32=2,IF(ISBLANK('as new'!L11),NA(),'as new'!L11),$I$32=3,IF(ISBLANK('twice as new'!L11),NA(),'twice as new'!L11))</f>
        <v>10060.380000000001</v>
      </c>
      <c r="AE74" s="1" cm="1">
        <f t="array" ref="AE74">_xlfn.IFS($I$32=1,IF(ISBLANK(dry!M11),NA(),dry!M11),$I$32=2,IF(ISBLANK('as new'!M11),NA(),'as new'!M11),$I$32=3,IF(ISBLANK('twice as new'!M11),NA(),'twice as new'!M11))</f>
        <v>0.29580000000000001</v>
      </c>
      <c r="AF74" s="1" cm="1">
        <f t="array" ref="AF74">_xlfn.IFS($I$32=1,IF(ISBLANK(dry!N11),NA(),dry!N11),$I$32=2,IF(ISBLANK('as new'!N11),NA(),'as new'!N11),$I$32=3,IF(ISBLANK('twice as new'!N11),NA(),'twice as new'!N11))</f>
        <v>5831.58</v>
      </c>
      <c r="AG74" s="1" cm="1">
        <f t="array" ref="AG74">_xlfn.IFS($I$32=1,IF(ISBLANK(dry!O11),NA(),dry!O11),$I$32=2,IF(ISBLANK('as new'!O11),NA(),'as new'!O11),$I$32=3,IF(ISBLANK('twice as new'!O11),NA(),'twice as new'!O11))</f>
        <v>0.31869999999999998</v>
      </c>
      <c r="AH74" s="1" cm="1">
        <f t="array" ref="AH74">_xlfn.IFS($I$32=1,IF(ISBLANK(dry!P11),NA(),dry!P11),$I$32=2,IF(ISBLANK('as new'!P11),NA(),'as new'!P11),$I$32=3,IF(ISBLANK('twice as new'!P11),NA(),'twice as new'!P11))</f>
        <v>11534.34</v>
      </c>
      <c r="AI74" s="1" cm="1">
        <f t="array" ref="AI74">_xlfn.IFS($I$32=1,IF(ISBLANK(dry!Q11),NA(),dry!Q11),$I$32=2,IF(ISBLANK('as new'!Q11),NA(),'as new'!Q11),$I$32=3,IF(ISBLANK('twice as new'!Q11),NA(),'twice as new'!Q11))</f>
        <v>0.48229999999999995</v>
      </c>
      <c r="AJ74" s="1" cm="1">
        <f t="array" ref="AJ74">_xlfn.IFS($I$32=1,IF(ISBLANK(dry!R11),NA(),dry!R11),$I$32=2,IF(ISBLANK('as new'!R11),NA(),'as new'!R11),$I$32=3,IF(ISBLANK('twice as new'!R11),NA(),'twice as new'!R11))</f>
        <v>4879.74</v>
      </c>
      <c r="AK74" s="1" t="e">
        <f>IF(CHOOSE($I$32,dry!S11,'as new'!S11,'twice as new'!S11)=0,NA(),CHOOSE($I$32,dry!S11,'as new'!S11,'twice as new'!S11))</f>
        <v>#N/A</v>
      </c>
      <c r="AL74" s="1" t="e">
        <f>IF(CHOOSE($I$32,dry!T11,'as new'!T11,'twice as new'!T11)=0,NA(),CHOOSE($I$32,dry!T11,'as new'!T11,'twice as new'!T11))</f>
        <v>#N/A</v>
      </c>
      <c r="AM74" s="1" t="e">
        <f>IF(CHOOSE($I$32,dry!U11,'as new'!U11,'twice as new'!U11)=0,NA(),CHOOSE($I$32,dry!U11,'as new'!U11,'twice as new'!U11))</f>
        <v>#N/A</v>
      </c>
      <c r="AN74" s="1" t="e">
        <f>IF(CHOOSE($I$32,dry!V11,'as new'!V11,'twice as new'!V11)=0,NA(),CHOOSE($I$32,dry!V11,'as new'!V11,'twice as new'!V11))</f>
        <v>#N/A</v>
      </c>
      <c r="AO74" s="1" t="e">
        <f>IF(CHOOSE($I$32,dry!W11,'as new'!W11,'twice as new'!W11)=0,NA(),CHOOSE($I$32,dry!W11,'as new'!W11,'twice as new'!W11))</f>
        <v>#N/A</v>
      </c>
      <c r="AP74" s="1" t="e">
        <f>IF(CHOOSE($I$32,dry!X11,'as new'!X11,'twice as new'!X11)=0,NA(),CHOOSE($I$32,dry!X11,'as new'!X11,'twice as new'!X11))</f>
        <v>#N/A</v>
      </c>
      <c r="AQ74" s="1" t="e">
        <f>IF(CHOOSE($I$32,dry!Y11,'as new'!Y11,'twice as new'!Y11)=0,NA(),CHOOSE($I$32,dry!Y11,'as new'!Y11,'twice as new'!Y11))</f>
        <v>#N/A</v>
      </c>
      <c r="AR74" s="1" t="e">
        <f>IF(CHOOSE($I$32,dry!Z11,'as new'!Z11,'twice as new'!Z11)=0,NA(),CHOOSE($I$32,dry!Z11,'as new'!Z11,'twice as new'!Z11))</f>
        <v>#N/A</v>
      </c>
      <c r="AS74" s="1">
        <f>Damped[[#This Row],[fI '[rpm']]]/Damped[[#This Row],[frun '[rpm']]]</f>
        <v>1.0993987621573829</v>
      </c>
      <c r="AT74" s="1">
        <f>Damped[[#This Row],[fII '[rpm']]]/Damped[[#This Row],[frun '[rpm']]]</f>
        <v>2.3365694076038905</v>
      </c>
      <c r="AU74" s="1">
        <f>Damped[[#This Row],[fIII '[rpm']]]/Damped[[#This Row],[frun '[rpm']]]</f>
        <v>2.4563395225464193</v>
      </c>
      <c r="AV74" s="1">
        <f>Damped[[#This Row],[fIV '[rpm']]]/Damped[[#This Row],[frun '[rpm']]]</f>
        <v>1.6575066312997349</v>
      </c>
      <c r="AW74" s="1">
        <f>Damped[[#This Row],[fV '[rpm']]]/Damped[[#This Row],[frun '[rpm']]]</f>
        <v>2.9650397877984087</v>
      </c>
      <c r="AX74" s="1">
        <f>Damped[[#This Row],[fVI '[rpm']]]/Damped[[#This Row],[frun '[rpm']]]</f>
        <v>1.7187091069849689</v>
      </c>
      <c r="AY74" s="1">
        <f>Damped[[#This Row],[fVII '[rpm']]]/Damped[[#This Row],[frun '[rpm']]]</f>
        <v>3.3994518125552609</v>
      </c>
      <c r="AZ74" s="1">
        <f>Damped[[#This Row],[fVIII '[rpm']]]/Damped[[#This Row],[frun '[rpm']]]</f>
        <v>1.4381786030061892</v>
      </c>
      <c r="BA74" s="1" t="e">
        <f>Damped[[#This Row],[fIX '[rpm']]]/Damped[[#This Row],[frun '[rpm']]]</f>
        <v>#N/A</v>
      </c>
      <c r="BB74" s="1" t="e">
        <f>Damped[[#This Row],[fX '[rpm']]]/Damped[[#This Row],[frun '[rpm']]]</f>
        <v>#N/A</v>
      </c>
      <c r="BC74" s="1" t="e">
        <f>Damped[[#This Row],[fXI '[rpm']]]/Damped[[#This Row],[frun '[rpm']]]</f>
        <v>#N/A</v>
      </c>
      <c r="BD74" s="1" t="e">
        <f>Damped[[#This Row],[fXII '[rpm']]]/Damped[[#This Row],[frun '[rpm']]]</f>
        <v>#N/A</v>
      </c>
    </row>
    <row r="75" spans="8:56" x14ac:dyDescent="0.25">
      <c r="H75" s="1" cm="1">
        <f t="array" ref="H75">_xlfn.IFS($I$32=1,IF(ISBLANK(dry!B12),NA(),dry!B12),$I$32=2,IF(ISBLANK('as new'!B12),NA(),'as new'!B12),$I$32=3,IF(ISBLANK('twice as new'!B12),NA(),'twice as new'!B12))</f>
        <v>3654</v>
      </c>
      <c r="I75" s="1">
        <f>Damped[[#This Row],[ξI '[-']]]/API_check(Damped[[#This Row],[fI/frun]])</f>
        <v>5.2726666666666668</v>
      </c>
      <c r="J75" s="1">
        <f>Damped[[#This Row],[ξII '[-']]]/API_check(Damped[[#This Row],[fII/frun]])</f>
        <v>169800000</v>
      </c>
      <c r="K75" s="1">
        <f>Damped[[#This Row],[ξIII '[-']]]/API_check(Damped[[#This Row],[fIII/frun]])</f>
        <v>144499999.99999997</v>
      </c>
      <c r="L75" s="1">
        <f>Damped[[#This Row],[ξIV '[-']]]/API_check(Damped[[#This Row],[fIV/frun]])</f>
        <v>481300000</v>
      </c>
      <c r="M75" s="1">
        <f>Damped[[#This Row],[ξV '[-']]]/API_check(Damped[[#This Row],[fV/frun]])</f>
        <v>422499999.99999994</v>
      </c>
      <c r="N75" s="1">
        <f>Damped[[#This Row],[ξVI '[-']]]/API_check(Damped[[#This Row],[fVI/frun]])</f>
        <v>286900000</v>
      </c>
      <c r="O75" s="1">
        <f>Damped[[#This Row],[ξVII '[-']]]/API_check(Damped[[#This Row],[fVII/frun]])</f>
        <v>338700000</v>
      </c>
      <c r="P75" s="1">
        <f>Damped[[#This Row],[ξVIII '[-']]]/API_check(Damped[[#This Row],[fVIII/frun]])</f>
        <v>32.853333333333339</v>
      </c>
      <c r="Q75" s="1" t="e">
        <f>Damped[[#This Row],[ξIX '[-']]]/API_check(Damped[[#This Row],[fIX/frun]])</f>
        <v>#N/A</v>
      </c>
      <c r="R75" s="1" t="e">
        <f>Damped[[#This Row],[ξX '[-']]]/API_check(Damped[[#This Row],[fX/frun]])</f>
        <v>#N/A</v>
      </c>
      <c r="S75" s="1" t="e">
        <f>Damped[[#This Row],[ξXI '[-']]]/API_check(Damped[[#This Row],[fXI/frun]])</f>
        <v>#N/A</v>
      </c>
      <c r="T75" s="1" t="e">
        <f>Damped[[#This Row],[ξXII '[-']]]/API_check(Damped[[#This Row],[fXII/frun]])</f>
        <v>#N/A</v>
      </c>
      <c r="U75" s="1" cm="1">
        <f t="array" ref="U75">_xlfn.IFS($I$32=1,IF(ISBLANK(dry!C12),NA(),dry!C12),$I$32=2,IF(ISBLANK('as new'!C12),NA(),'as new'!C12),$I$32=3,IF(ISBLANK('twice as new'!C12),NA(),'twice as new'!C12))</f>
        <v>0.79090000000000005</v>
      </c>
      <c r="V75" s="1" cm="1">
        <f t="array" ref="V75">_xlfn.IFS($I$32=1,IF(ISBLANK(dry!D12),NA(),dry!D12),$I$32=2,IF(ISBLANK('as new'!D12),NA(),'as new'!D12),$I$32=3,IF(ISBLANK('twice as new'!D12),NA(),'twice as new'!D12))</f>
        <v>3931.26</v>
      </c>
      <c r="W75" s="1" cm="1">
        <f t="array" ref="W75">_xlfn.IFS($I$32=1,IF(ISBLANK(dry!E12),NA(),dry!E12),$I$32=2,IF(ISBLANK('as new'!E12),NA(),'as new'!E12),$I$32=3,IF(ISBLANK('twice as new'!E12),NA(),'twice as new'!E12))</f>
        <v>0.16980000000000001</v>
      </c>
      <c r="X75" s="1" cm="1">
        <f t="array" ref="X75">_xlfn.IFS($I$32=1,IF(ISBLANK(dry!F12),NA(),dry!F12),$I$32=2,IF(ISBLANK('as new'!F12),NA(),'as new'!F12),$I$32=3,IF(ISBLANK('twice as new'!F12),NA(),'twice as new'!F12))</f>
        <v>7934.16</v>
      </c>
      <c r="Y75" s="1" cm="1">
        <f t="array" ref="Y75">_xlfn.IFS($I$32=1,IF(ISBLANK(dry!G12),NA(),dry!G12),$I$32=2,IF(ISBLANK('as new'!G12),NA(),'as new'!G12),$I$32=3,IF(ISBLANK('twice as new'!G12),NA(),'twice as new'!G12))</f>
        <v>0.14449999999999999</v>
      </c>
      <c r="Z75" s="1" cm="1">
        <f t="array" ref="Z75">_xlfn.IFS($I$32=1,IF(ISBLANK(dry!H12),NA(),dry!H12),$I$32=2,IF(ISBLANK('as new'!H12),NA(),'as new'!H12),$I$32=3,IF(ISBLANK('twice as new'!H12),NA(),'twice as new'!H12))</f>
        <v>8369.8799999999992</v>
      </c>
      <c r="AA75" s="1" cm="1">
        <f t="array" ref="AA75">_xlfn.IFS($I$32=1,IF(ISBLANK(dry!I12),NA(),dry!I12),$I$32=2,IF(ISBLANK('as new'!I12),NA(),'as new'!I12),$I$32=3,IF(ISBLANK('twice as new'!I12),NA(),'twice as new'!I12))</f>
        <v>0.48130000000000001</v>
      </c>
      <c r="AB75" s="1" cm="1">
        <f t="array" ref="AB75">_xlfn.IFS($I$32=1,IF(ISBLANK(dry!J12),NA(),dry!J12),$I$32=2,IF(ISBLANK('as new'!J12),NA(),'as new'!J12),$I$32=3,IF(ISBLANK('twice as new'!J12),NA(),'twice as new'!J12))</f>
        <v>5984.1</v>
      </c>
      <c r="AC75" s="1" cm="1">
        <f t="array" ref="AC75">_xlfn.IFS($I$32=1,IF(ISBLANK(dry!K12),NA(),dry!K12),$I$32=2,IF(ISBLANK('as new'!K12),NA(),'as new'!K12),$I$32=3,IF(ISBLANK('twice as new'!K12),NA(),'twice as new'!K12))</f>
        <v>0.42249999999999999</v>
      </c>
      <c r="AD75" s="1" cm="1">
        <f t="array" ref="AD75">_xlfn.IFS($I$32=1,IF(ISBLANK(dry!L12),NA(),dry!L12),$I$32=2,IF(ISBLANK('as new'!L12),NA(),'as new'!L12),$I$32=3,IF(ISBLANK('twice as new'!L12),NA(),'twice as new'!L12))</f>
        <v>9786</v>
      </c>
      <c r="AE75" s="1" cm="1">
        <f t="array" ref="AE75">_xlfn.IFS($I$32=1,IF(ISBLANK(dry!M12),NA(),dry!M12),$I$32=2,IF(ISBLANK('as new'!M12),NA(),'as new'!M12),$I$32=3,IF(ISBLANK('twice as new'!M12),NA(),'twice as new'!M12))</f>
        <v>0.28689999999999999</v>
      </c>
      <c r="AF75" s="1" cm="1">
        <f t="array" ref="AF75">_xlfn.IFS($I$32=1,IF(ISBLANK(dry!N12),NA(),dry!N12),$I$32=2,IF(ISBLANK('as new'!N12),NA(),'as new'!N12),$I$32=3,IF(ISBLANK('twice as new'!N12),NA(),'twice as new'!N12))</f>
        <v>6126.42</v>
      </c>
      <c r="AG75" s="1" cm="1">
        <f t="array" ref="AG75">_xlfn.IFS($I$32=1,IF(ISBLANK(dry!O12),NA(),dry!O12),$I$32=2,IF(ISBLANK('as new'!O12),NA(),'as new'!O12),$I$32=3,IF(ISBLANK('twice as new'!O12),NA(),'twice as new'!O12))</f>
        <v>0.3387</v>
      </c>
      <c r="AH75" s="1" cm="1">
        <f t="array" ref="AH75">_xlfn.IFS($I$32=1,IF(ISBLANK(dry!P12),NA(),dry!P12),$I$32=2,IF(ISBLANK('as new'!P12),NA(),'as new'!P12),$I$32=3,IF(ISBLANK('twice as new'!P12),NA(),'twice as new'!P12))</f>
        <v>11589</v>
      </c>
      <c r="AI75" s="1" cm="1">
        <f t="array" ref="AI75">_xlfn.IFS($I$32=1,IF(ISBLANK(dry!Q12),NA(),dry!Q12),$I$32=2,IF(ISBLANK('as new'!Q12),NA(),'as new'!Q12),$I$32=3,IF(ISBLANK('twice as new'!Q12),NA(),'twice as new'!Q12))</f>
        <v>0.49280000000000002</v>
      </c>
      <c r="AJ75" s="1" cm="1">
        <f t="array" ref="AJ75">_xlfn.IFS($I$32=1,IF(ISBLANK(dry!R12),NA(),dry!R12),$I$32=2,IF(ISBLANK('as new'!R12),NA(),'as new'!R12),$I$32=3,IF(ISBLANK('twice as new'!R12),NA(),'twice as new'!R12))</f>
        <v>5230.74</v>
      </c>
      <c r="AK75" s="1" t="e">
        <f>IF(CHOOSE($I$32,dry!S12,'as new'!S12,'twice as new'!S12)=0,NA(),CHOOSE($I$32,dry!S12,'as new'!S12,'twice as new'!S12))</f>
        <v>#N/A</v>
      </c>
      <c r="AL75" s="1" t="e">
        <f>IF(CHOOSE($I$32,dry!T12,'as new'!T12,'twice as new'!T12)=0,NA(),CHOOSE($I$32,dry!T12,'as new'!T12,'twice as new'!T12))</f>
        <v>#N/A</v>
      </c>
      <c r="AM75" s="1" t="e">
        <f>IF(CHOOSE($I$32,dry!U12,'as new'!U12,'twice as new'!U12)=0,NA(),CHOOSE($I$32,dry!U12,'as new'!U12,'twice as new'!U12))</f>
        <v>#N/A</v>
      </c>
      <c r="AN75" s="1" t="e">
        <f>IF(CHOOSE($I$32,dry!V12,'as new'!V12,'twice as new'!V12)=0,NA(),CHOOSE($I$32,dry!V12,'as new'!V12,'twice as new'!V12))</f>
        <v>#N/A</v>
      </c>
      <c r="AO75" s="1" t="e">
        <f>IF(CHOOSE($I$32,dry!W12,'as new'!W12,'twice as new'!W12)=0,NA(),CHOOSE($I$32,dry!W12,'as new'!W12,'twice as new'!W12))</f>
        <v>#N/A</v>
      </c>
      <c r="AP75" s="1" t="e">
        <f>IF(CHOOSE($I$32,dry!X12,'as new'!X12,'twice as new'!X12)=0,NA(),CHOOSE($I$32,dry!X12,'as new'!X12,'twice as new'!X12))</f>
        <v>#N/A</v>
      </c>
      <c r="AQ75" s="1" t="e">
        <f>IF(CHOOSE($I$32,dry!Y12,'as new'!Y12,'twice as new'!Y12)=0,NA(),CHOOSE($I$32,dry!Y12,'as new'!Y12,'twice as new'!Y12))</f>
        <v>#N/A</v>
      </c>
      <c r="AR75" s="1" t="e">
        <f>IF(CHOOSE($I$32,dry!Z12,'as new'!Z12,'twice as new'!Z12)=0,NA(),CHOOSE($I$32,dry!Z12,'as new'!Z12,'twice as new'!Z12))</f>
        <v>#N/A</v>
      </c>
      <c r="AS75" s="1">
        <f>Damped[[#This Row],[fI '[rpm']]]/Damped[[#This Row],[frun '[rpm']]]</f>
        <v>1.0758784893267652</v>
      </c>
      <c r="AT75" s="1">
        <f>Damped[[#This Row],[fII '[rpm']]]/Damped[[#This Row],[frun '[rpm']]]</f>
        <v>2.1713628899835795</v>
      </c>
      <c r="AU75" s="1">
        <f>Damped[[#This Row],[fIII '[rpm']]]/Damped[[#This Row],[frun '[rpm']]]</f>
        <v>2.2906075533661738</v>
      </c>
      <c r="AV75" s="1">
        <f>Damped[[#This Row],[fIV '[rpm']]]/Damped[[#This Row],[frun '[rpm']]]</f>
        <v>1.6376847290640395</v>
      </c>
      <c r="AW75" s="1">
        <f>Damped[[#This Row],[fV '[rpm']]]/Damped[[#This Row],[frun '[rpm']]]</f>
        <v>2.6781609195402298</v>
      </c>
      <c r="AX75" s="1">
        <f>Damped[[#This Row],[fVI '[rpm']]]/Damped[[#This Row],[frun '[rpm']]]</f>
        <v>1.6766338259441709</v>
      </c>
      <c r="AY75" s="1">
        <f>Damped[[#This Row],[fVII '[rpm']]]/Damped[[#This Row],[frun '[rpm']]]</f>
        <v>3.1715927750410509</v>
      </c>
      <c r="AZ75" s="1">
        <f>Damped[[#This Row],[fVIII '[rpm']]]/Damped[[#This Row],[frun '[rpm']]]</f>
        <v>1.4315106732348111</v>
      </c>
      <c r="BA75" s="1" t="e">
        <f>Damped[[#This Row],[fIX '[rpm']]]/Damped[[#This Row],[frun '[rpm']]]</f>
        <v>#N/A</v>
      </c>
      <c r="BB75" s="1" t="e">
        <f>Damped[[#This Row],[fX '[rpm']]]/Damped[[#This Row],[frun '[rpm']]]</f>
        <v>#N/A</v>
      </c>
      <c r="BC75" s="1" t="e">
        <f>Damped[[#This Row],[fXI '[rpm']]]/Damped[[#This Row],[frun '[rpm']]]</f>
        <v>#N/A</v>
      </c>
      <c r="BD75" s="1" t="e">
        <f>Damped[[#This Row],[fXII '[rpm']]]/Damped[[#This Row],[frun '[rpm']]]</f>
        <v>#N/A</v>
      </c>
    </row>
    <row r="76" spans="8:56" x14ac:dyDescent="0.25">
      <c r="H76" s="1" cm="1">
        <f t="array" ref="H76">_xlfn.IFS($I$32=1,IF(ISBLANK(dry!B13),NA(),dry!B13),$I$32=2,IF(ISBLANK('as new'!B13),NA(),'as new'!B13),$I$32=3,IF(ISBLANK('twice as new'!B13),NA(),'twice as new'!B13))</f>
        <v>3915</v>
      </c>
      <c r="I76" s="1">
        <f>Damped[[#This Row],[ξI '[-']]]/API_check(Damped[[#This Row],[fI/frun]])</f>
        <v>5.3393333333333342</v>
      </c>
      <c r="J76" s="1">
        <f>Damped[[#This Row],[ξII '[-']]]/API_check(Damped[[#This Row],[fII/frun]])</f>
        <v>172699999.99999997</v>
      </c>
      <c r="K76" s="1">
        <f>Damped[[#This Row],[ξIII '[-']]]/API_check(Damped[[#This Row],[fIII/frun]])</f>
        <v>152200000</v>
      </c>
      <c r="L76" s="1">
        <f>Damped[[#This Row],[ξIV '[-']]]/API_check(Damped[[#This Row],[fIV/frun]])</f>
        <v>480600000</v>
      </c>
      <c r="M76" s="1">
        <f>Damped[[#This Row],[ξV '[-']]]/API_check(Damped[[#This Row],[fV/frun]])</f>
        <v>466700000</v>
      </c>
      <c r="N76" s="1">
        <f>Damped[[#This Row],[ξVI '[-']]]/API_check(Damped[[#This Row],[fVI/frun]])</f>
        <v>279700000</v>
      </c>
      <c r="O76" s="1">
        <f>Damped[[#This Row],[ξVII '[-']]]/API_check(Damped[[#This Row],[fVII/frun]])</f>
        <v>359099999.99999994</v>
      </c>
      <c r="P76" s="1">
        <f>Damped[[#This Row],[ξVIII '[-']]]/API_check(Damped[[#This Row],[fVIII/frun]])</f>
        <v>33.406666666666666</v>
      </c>
      <c r="Q76" s="1" t="e">
        <f>Damped[[#This Row],[ξIX '[-']]]/API_check(Damped[[#This Row],[fIX/frun]])</f>
        <v>#N/A</v>
      </c>
      <c r="R76" s="1" t="e">
        <f>Damped[[#This Row],[ξX '[-']]]/API_check(Damped[[#This Row],[fX/frun]])</f>
        <v>#N/A</v>
      </c>
      <c r="S76" s="1" t="e">
        <f>Damped[[#This Row],[ξXI '[-']]]/API_check(Damped[[#This Row],[fXI/frun]])</f>
        <v>#N/A</v>
      </c>
      <c r="T76" s="1" t="e">
        <f>Damped[[#This Row],[ξXII '[-']]]/API_check(Damped[[#This Row],[fXII/frun]])</f>
        <v>#N/A</v>
      </c>
      <c r="U76" s="1" cm="1">
        <f t="array" ref="U76">_xlfn.IFS($I$32=1,IF(ISBLANK(dry!C13),NA(),dry!C13),$I$32=2,IF(ISBLANK('as new'!C13),NA(),'as new'!C13),$I$32=3,IF(ISBLANK('twice as new'!C13),NA(),'twice as new'!C13))</f>
        <v>0.80090000000000006</v>
      </c>
      <c r="V76" s="1" cm="1">
        <f t="array" ref="V76">_xlfn.IFS($I$32=1,IF(ISBLANK(dry!D13),NA(),dry!D13),$I$32=2,IF(ISBLANK('as new'!D13),NA(),'as new'!D13),$I$32=3,IF(ISBLANK('twice as new'!D13),NA(),'twice as new'!D13))</f>
        <v>4116.78</v>
      </c>
      <c r="W76" s="1" cm="1">
        <f t="array" ref="W76">_xlfn.IFS($I$32=1,IF(ISBLANK(dry!E13),NA(),dry!E13),$I$32=2,IF(ISBLANK('as new'!E13),NA(),'as new'!E13),$I$32=3,IF(ISBLANK('twice as new'!E13),NA(),'twice as new'!E13))</f>
        <v>0.17269999999999999</v>
      </c>
      <c r="X76" s="1" cm="1">
        <f t="array" ref="X76">_xlfn.IFS($I$32=1,IF(ISBLANK(dry!F13),NA(),dry!F13),$I$32=2,IF(ISBLANK('as new'!F13),NA(),'as new'!F13),$I$32=3,IF(ISBLANK('twice as new'!F13),NA(),'twice as new'!F13))</f>
        <v>7935.9599999999991</v>
      </c>
      <c r="Y76" s="1" cm="1">
        <f t="array" ref="Y76">_xlfn.IFS($I$32=1,IF(ISBLANK(dry!G13),NA(),dry!G13),$I$32=2,IF(ISBLANK('as new'!G13),NA(),'as new'!G13),$I$32=3,IF(ISBLANK('twice as new'!G13),NA(),'twice as new'!G13))</f>
        <v>0.1522</v>
      </c>
      <c r="Z76" s="1" cm="1">
        <f t="array" ref="Z76">_xlfn.IFS($I$32=1,IF(ISBLANK(dry!H13),NA(),dry!H13),$I$32=2,IF(ISBLANK('as new'!H13),NA(),'as new'!H13),$I$32=3,IF(ISBLANK('twice as new'!H13),NA(),'twice as new'!H13))</f>
        <v>8391.48</v>
      </c>
      <c r="AA76" s="1" cm="1">
        <f t="array" ref="AA76">_xlfn.IFS($I$32=1,IF(ISBLANK(dry!I13),NA(),dry!I13),$I$32=2,IF(ISBLANK('as new'!I13),NA(),'as new'!I13),$I$32=3,IF(ISBLANK('twice as new'!I13),NA(),'twice as new'!I13))</f>
        <v>0.48060000000000003</v>
      </c>
      <c r="AB76" s="1" cm="1">
        <f t="array" ref="AB76">_xlfn.IFS($I$32=1,IF(ISBLANK(dry!J13),NA(),dry!J13),$I$32=2,IF(ISBLANK('as new'!J13),NA(),'as new'!J13),$I$32=3,IF(ISBLANK('twice as new'!J13),NA(),'twice as new'!J13))</f>
        <v>6388.4400000000005</v>
      </c>
      <c r="AC76" s="1" cm="1">
        <f t="array" ref="AC76">_xlfn.IFS($I$32=1,IF(ISBLANK(dry!K13),NA(),dry!K13),$I$32=2,IF(ISBLANK('as new'!K13),NA(),'as new'!K13),$I$32=3,IF(ISBLANK('twice as new'!K13),NA(),'twice as new'!K13))</f>
        <v>0.4667</v>
      </c>
      <c r="AD76" s="1" cm="1">
        <f t="array" ref="AD76">_xlfn.IFS($I$32=1,IF(ISBLANK(dry!L13),NA(),dry!L13),$I$32=2,IF(ISBLANK('as new'!L13),NA(),'as new'!L13),$I$32=3,IF(ISBLANK('twice as new'!L13),NA(),'twice as new'!L13))</f>
        <v>9456.5400000000009</v>
      </c>
      <c r="AE76" s="1" cm="1">
        <f t="array" ref="AE76">_xlfn.IFS($I$32=1,IF(ISBLANK(dry!M13),NA(),dry!M13),$I$32=2,IF(ISBLANK('as new'!M13),NA(),'as new'!M13),$I$32=3,IF(ISBLANK('twice as new'!M13),NA(),'twice as new'!M13))</f>
        <v>0.2797</v>
      </c>
      <c r="AF76" s="1" cm="1">
        <f t="array" ref="AF76">_xlfn.IFS($I$32=1,IF(ISBLANK(dry!N13),NA(),dry!N13),$I$32=2,IF(ISBLANK('as new'!N13),NA(),'as new'!N13),$I$32=3,IF(ISBLANK('twice as new'!N13),NA(),'twice as new'!N13))</f>
        <v>6425.5199999999995</v>
      </c>
      <c r="AG76" s="1" cm="1">
        <f t="array" ref="AG76">_xlfn.IFS($I$32=1,IF(ISBLANK(dry!O13),NA(),dry!O13),$I$32=2,IF(ISBLANK('as new'!O13),NA(),'as new'!O13),$I$32=3,IF(ISBLANK('twice as new'!O13),NA(),'twice as new'!O13))</f>
        <v>0.35909999999999997</v>
      </c>
      <c r="AH76" s="1" cm="1">
        <f t="array" ref="AH76">_xlfn.IFS($I$32=1,IF(ISBLANK(dry!P13),NA(),dry!P13),$I$32=2,IF(ISBLANK('as new'!P13),NA(),'as new'!P13),$I$32=3,IF(ISBLANK('twice as new'!P13),NA(),'twice as new'!P13))</f>
        <v>11623.86</v>
      </c>
      <c r="AI76" s="1" cm="1">
        <f t="array" ref="AI76">_xlfn.IFS($I$32=1,IF(ISBLANK(dry!Q13),NA(),dry!Q13),$I$32=2,IF(ISBLANK('as new'!Q13),NA(),'as new'!Q13),$I$32=3,IF(ISBLANK('twice as new'!Q13),NA(),'twice as new'!Q13))</f>
        <v>0.50109999999999999</v>
      </c>
      <c r="AJ76" s="1" cm="1">
        <f t="array" ref="AJ76">_xlfn.IFS($I$32=1,IF(ISBLANK(dry!R13),NA(),dry!R13),$I$32=2,IF(ISBLANK('as new'!R13),NA(),'as new'!R13),$I$32=3,IF(ISBLANK('twice as new'!R13),NA(),'twice as new'!R13))</f>
        <v>5578.08</v>
      </c>
      <c r="AK76" s="1" t="e">
        <f>IF(CHOOSE($I$32,dry!S13,'as new'!S13,'twice as new'!S13)=0,NA(),CHOOSE($I$32,dry!S13,'as new'!S13,'twice as new'!S13))</f>
        <v>#N/A</v>
      </c>
      <c r="AL76" s="1" t="e">
        <f>IF(CHOOSE($I$32,dry!T13,'as new'!T13,'twice as new'!T13)=0,NA(),CHOOSE($I$32,dry!T13,'as new'!T13,'twice as new'!T13))</f>
        <v>#N/A</v>
      </c>
      <c r="AM76" s="1" t="e">
        <f>IF(CHOOSE($I$32,dry!U13,'as new'!U13,'twice as new'!U13)=0,NA(),CHOOSE($I$32,dry!U13,'as new'!U13,'twice as new'!U13))</f>
        <v>#N/A</v>
      </c>
      <c r="AN76" s="1" t="e">
        <f>IF(CHOOSE($I$32,dry!V13,'as new'!V13,'twice as new'!V13)=0,NA(),CHOOSE($I$32,dry!V13,'as new'!V13,'twice as new'!V13))</f>
        <v>#N/A</v>
      </c>
      <c r="AO76" s="1" t="e">
        <f>IF(CHOOSE($I$32,dry!W13,'as new'!W13,'twice as new'!W13)=0,NA(),CHOOSE($I$32,dry!W13,'as new'!W13,'twice as new'!W13))</f>
        <v>#N/A</v>
      </c>
      <c r="AP76" s="1" t="e">
        <f>IF(CHOOSE($I$32,dry!X13,'as new'!X13,'twice as new'!X13)=0,NA(),CHOOSE($I$32,dry!X13,'as new'!X13,'twice as new'!X13))</f>
        <v>#N/A</v>
      </c>
      <c r="AQ76" s="1" t="e">
        <f>IF(CHOOSE($I$32,dry!Y13,'as new'!Y13,'twice as new'!Y13)=0,NA(),CHOOSE($I$32,dry!Y13,'as new'!Y13,'twice as new'!Y13))</f>
        <v>#N/A</v>
      </c>
      <c r="AR76" s="1" t="e">
        <f>IF(CHOOSE($I$32,dry!Z13,'as new'!Z13,'twice as new'!Z13)=0,NA(),CHOOSE($I$32,dry!Z13,'as new'!Z13,'twice as new'!Z13))</f>
        <v>#N/A</v>
      </c>
      <c r="AS76" s="1">
        <f>Damped[[#This Row],[fI '[rpm']]]/Damped[[#This Row],[frun '[rpm']]]</f>
        <v>1.0515402298850574</v>
      </c>
      <c r="AT76" s="1">
        <f>Damped[[#This Row],[fII '[rpm']]]/Damped[[#This Row],[frun '[rpm']]]</f>
        <v>2.0270651340996166</v>
      </c>
      <c r="AU76" s="1">
        <f>Damped[[#This Row],[fIII '[rpm']]]/Damped[[#This Row],[frun '[rpm']]]</f>
        <v>2.1434176245210725</v>
      </c>
      <c r="AV76" s="1">
        <f>Damped[[#This Row],[fIV '[rpm']]]/Damped[[#This Row],[frun '[rpm']]]</f>
        <v>1.631785440613027</v>
      </c>
      <c r="AW76" s="1">
        <f>Damped[[#This Row],[fV '[rpm']]]/Damped[[#This Row],[frun '[rpm']]]</f>
        <v>2.4154636015325672</v>
      </c>
      <c r="AX76" s="1">
        <f>Damped[[#This Row],[fVI '[rpm']]]/Damped[[#This Row],[frun '[rpm']]]</f>
        <v>1.6412567049808429</v>
      </c>
      <c r="AY76" s="1">
        <f>Damped[[#This Row],[fVII '[rpm']]]/Damped[[#This Row],[frun '[rpm']]]</f>
        <v>2.9690574712643678</v>
      </c>
      <c r="AZ76" s="1">
        <f>Damped[[#This Row],[fVIII '[rpm']]]/Damped[[#This Row],[frun '[rpm']]]</f>
        <v>1.4247969348659004</v>
      </c>
      <c r="BA76" s="1" t="e">
        <f>Damped[[#This Row],[fIX '[rpm']]]/Damped[[#This Row],[frun '[rpm']]]</f>
        <v>#N/A</v>
      </c>
      <c r="BB76" s="1" t="e">
        <f>Damped[[#This Row],[fX '[rpm']]]/Damped[[#This Row],[frun '[rpm']]]</f>
        <v>#N/A</v>
      </c>
      <c r="BC76" s="1" t="e">
        <f>Damped[[#This Row],[fXI '[rpm']]]/Damped[[#This Row],[frun '[rpm']]]</f>
        <v>#N/A</v>
      </c>
      <c r="BD76" s="1" t="e">
        <f>Damped[[#This Row],[fXII '[rpm']]]/Damped[[#This Row],[frun '[rpm']]]</f>
        <v>#N/A</v>
      </c>
    </row>
    <row r="77" spans="8:56" x14ac:dyDescent="0.25">
      <c r="H77" s="1" cm="1">
        <f t="array" ref="H77">_xlfn.IFS($I$32=1,IF(ISBLANK(dry!B14),NA(),dry!B14),$I$32=2,IF(ISBLANK('as new'!B14),NA(),'as new'!B14),$I$32=3,IF(ISBLANK('twice as new'!B14),NA(),'twice as new'!B14))</f>
        <v>4176</v>
      </c>
      <c r="I77" s="1">
        <f>Damped[[#This Row],[ξI '[-']]]/API_check(Damped[[#This Row],[fI/frun]])</f>
        <v>5.3753333333333329</v>
      </c>
      <c r="J77" s="1">
        <f>Damped[[#This Row],[ξII '[-']]]/API_check(Damped[[#This Row],[fII/frun]])</f>
        <v>174300000</v>
      </c>
      <c r="K77" s="1">
        <f>Damped[[#This Row],[ξIII '[-']]]/API_check(Damped[[#This Row],[fIII/frun]])</f>
        <v>160500000</v>
      </c>
      <c r="L77" s="1">
        <f>Damped[[#This Row],[ξIV '[-']]]/API_check(Damped[[#This Row],[fIV/frun]])</f>
        <v>467899999.99999994</v>
      </c>
      <c r="M77" s="1">
        <f>Damped[[#This Row],[ξV '[-']]]/API_check(Damped[[#This Row],[fV/frun]])</f>
        <v>513000000</v>
      </c>
      <c r="N77" s="1">
        <f>Damped[[#This Row],[ξVI '[-']]]/API_check(Damped[[#This Row],[fVI/frun]])</f>
        <v>271799999.99999994</v>
      </c>
      <c r="O77" s="1">
        <f>Damped[[#This Row],[ξVII '[-']]]/API_check(Damped[[#This Row],[fVII/frun]])</f>
        <v>381100000</v>
      </c>
      <c r="P77" s="1">
        <f>Damped[[#This Row],[ξVIII '[-']]]/API_check(Damped[[#This Row],[fVIII/frun]])</f>
        <v>33.586666666666673</v>
      </c>
      <c r="Q77" s="1" t="e">
        <f>Damped[[#This Row],[ξIX '[-']]]/API_check(Damped[[#This Row],[fIX/frun]])</f>
        <v>#N/A</v>
      </c>
      <c r="R77" s="1" t="e">
        <f>Damped[[#This Row],[ξX '[-']]]/API_check(Damped[[#This Row],[fX/frun]])</f>
        <v>#N/A</v>
      </c>
      <c r="S77" s="1" t="e">
        <f>Damped[[#This Row],[ξXI '[-']]]/API_check(Damped[[#This Row],[fXI/frun]])</f>
        <v>#N/A</v>
      </c>
      <c r="T77" s="1" t="e">
        <f>Damped[[#This Row],[ξXII '[-']]]/API_check(Damped[[#This Row],[fXII/frun]])</f>
        <v>#N/A</v>
      </c>
      <c r="U77" s="1" cm="1">
        <f t="array" ref="U77">_xlfn.IFS($I$32=1,IF(ISBLANK(dry!C14),NA(),dry!C14),$I$32=2,IF(ISBLANK('as new'!C14),NA(),'as new'!C14),$I$32=3,IF(ISBLANK('twice as new'!C14),NA(),'twice as new'!C14))</f>
        <v>0.80629999999999991</v>
      </c>
      <c r="V77" s="1" cm="1">
        <f t="array" ref="V77">_xlfn.IFS($I$32=1,IF(ISBLANK(dry!D14),NA(),dry!D14),$I$32=2,IF(ISBLANK('as new'!D14),NA(),'as new'!D14),$I$32=3,IF(ISBLANK('twice as new'!D14),NA(),'twice as new'!D14))</f>
        <v>4344.42</v>
      </c>
      <c r="W77" s="1" cm="1">
        <f t="array" ref="W77">_xlfn.IFS($I$32=1,IF(ISBLANK(dry!E14),NA(),dry!E14),$I$32=2,IF(ISBLANK('as new'!E14),NA(),'as new'!E14),$I$32=3,IF(ISBLANK('twice as new'!E14),NA(),'twice as new'!E14))</f>
        <v>0.17430000000000001</v>
      </c>
      <c r="X77" s="1" cm="1">
        <f t="array" ref="X77">_xlfn.IFS($I$32=1,IF(ISBLANK(dry!F14),NA(),dry!F14),$I$32=2,IF(ISBLANK('as new'!F14),NA(),'as new'!F14),$I$32=3,IF(ISBLANK('twice as new'!F14),NA(),'twice as new'!F14))</f>
        <v>7933.68</v>
      </c>
      <c r="Y77" s="1" cm="1">
        <f t="array" ref="Y77">_xlfn.IFS($I$32=1,IF(ISBLANK(dry!G14),NA(),dry!G14),$I$32=2,IF(ISBLANK('as new'!G14),NA(),'as new'!G14),$I$32=3,IF(ISBLANK('twice as new'!G14),NA(),'twice as new'!G14))</f>
        <v>0.1605</v>
      </c>
      <c r="Z77" s="1" cm="1">
        <f t="array" ref="Z77">_xlfn.IFS($I$32=1,IF(ISBLANK(dry!H14),NA(),dry!H14),$I$32=2,IF(ISBLANK('as new'!H14),NA(),'as new'!H14),$I$32=3,IF(ISBLANK('twice as new'!H14),NA(),'twice as new'!H14))</f>
        <v>8398.5</v>
      </c>
      <c r="AA77" s="1" cm="1">
        <f t="array" ref="AA77">_xlfn.IFS($I$32=1,IF(ISBLANK(dry!I14),NA(),dry!I14),$I$32=2,IF(ISBLANK('as new'!I14),NA(),'as new'!I14),$I$32=3,IF(ISBLANK('twice as new'!I14),NA(),'twice as new'!I14))</f>
        <v>0.46789999999999998</v>
      </c>
      <c r="AB77" s="1" cm="1">
        <f t="array" ref="AB77">_xlfn.IFS($I$32=1,IF(ISBLANK(dry!J14),NA(),dry!J14),$I$32=2,IF(ISBLANK('as new'!J14),NA(),'as new'!J14),$I$32=3,IF(ISBLANK('twice as new'!J14),NA(),'twice as new'!J14))</f>
        <v>6839.82</v>
      </c>
      <c r="AC77" s="1" cm="1">
        <f t="array" ref="AC77">_xlfn.IFS($I$32=1,IF(ISBLANK(dry!K14),NA(),dry!K14),$I$32=2,IF(ISBLANK('as new'!K14),NA(),'as new'!K14),$I$32=3,IF(ISBLANK('twice as new'!K14),NA(),'twice as new'!K14))</f>
        <v>0.51300000000000001</v>
      </c>
      <c r="AD77" s="1" cm="1">
        <f t="array" ref="AD77">_xlfn.IFS($I$32=1,IF(ISBLANK(dry!L14),NA(),dry!L14),$I$32=2,IF(ISBLANK('as new'!L14),NA(),'as new'!L14),$I$32=3,IF(ISBLANK('twice as new'!L14),NA(),'twice as new'!L14))</f>
        <v>9146.94</v>
      </c>
      <c r="AE77" s="1" cm="1">
        <f t="array" ref="AE77">_xlfn.IFS($I$32=1,IF(ISBLANK(dry!M14),NA(),dry!M14),$I$32=2,IF(ISBLANK('as new'!M14),NA(),'as new'!M14),$I$32=3,IF(ISBLANK('twice as new'!M14),NA(),'twice as new'!M14))</f>
        <v>0.27179999999999999</v>
      </c>
      <c r="AF77" s="1" cm="1">
        <f t="array" ref="AF77">_xlfn.IFS($I$32=1,IF(ISBLANK(dry!N14),NA(),dry!N14),$I$32=2,IF(ISBLANK('as new'!N14),NA(),'as new'!N14),$I$32=3,IF(ISBLANK('twice as new'!N14),NA(),'twice as new'!N14))</f>
        <v>6735.9</v>
      </c>
      <c r="AG77" s="1" cm="1">
        <f t="array" ref="AG77">_xlfn.IFS($I$32=1,IF(ISBLANK(dry!O14),NA(),dry!O14),$I$32=2,IF(ISBLANK('as new'!O14),NA(),'as new'!O14),$I$32=3,IF(ISBLANK('twice as new'!O14),NA(),'twice as new'!O14))</f>
        <v>0.38109999999999999</v>
      </c>
      <c r="AH77" s="1" cm="1">
        <f t="array" ref="AH77">_xlfn.IFS($I$32=1,IF(ISBLANK(dry!P14),NA(),dry!P14),$I$32=2,IF(ISBLANK('as new'!P14),NA(),'as new'!P14),$I$32=3,IF(ISBLANK('twice as new'!P14),NA(),'twice as new'!P14))</f>
        <v>11631.36</v>
      </c>
      <c r="AI77" s="1" cm="1">
        <f t="array" ref="AI77">_xlfn.IFS($I$32=1,IF(ISBLANK(dry!Q14),NA(),dry!Q14),$I$32=2,IF(ISBLANK('as new'!Q14),NA(),'as new'!Q14),$I$32=3,IF(ISBLANK('twice as new'!Q14),NA(),'twice as new'!Q14))</f>
        <v>0.50380000000000003</v>
      </c>
      <c r="AJ77" s="1" cm="1">
        <f t="array" ref="AJ77">_xlfn.IFS($I$32=1,IF(ISBLANK(dry!R14),NA(),dry!R14),$I$32=2,IF(ISBLANK('as new'!R14),NA(),'as new'!R14),$I$32=3,IF(ISBLANK('twice as new'!R14),NA(),'twice as new'!R14))</f>
        <v>5963.58</v>
      </c>
      <c r="AK77" s="1" t="e">
        <f>IF(CHOOSE($I$32,dry!S14,'as new'!S14,'twice as new'!S14)=0,NA(),CHOOSE($I$32,dry!S14,'as new'!S14,'twice as new'!S14))</f>
        <v>#N/A</v>
      </c>
      <c r="AL77" s="1" t="e">
        <f>IF(CHOOSE($I$32,dry!T14,'as new'!T14,'twice as new'!T14)=0,NA(),CHOOSE($I$32,dry!T14,'as new'!T14,'twice as new'!T14))</f>
        <v>#N/A</v>
      </c>
      <c r="AM77" s="1" t="e">
        <f>IF(CHOOSE($I$32,dry!U14,'as new'!U14,'twice as new'!U14)=0,NA(),CHOOSE($I$32,dry!U14,'as new'!U14,'twice as new'!U14))</f>
        <v>#N/A</v>
      </c>
      <c r="AN77" s="1" t="e">
        <f>IF(CHOOSE($I$32,dry!V14,'as new'!V14,'twice as new'!V14)=0,NA(),CHOOSE($I$32,dry!V14,'as new'!V14,'twice as new'!V14))</f>
        <v>#N/A</v>
      </c>
      <c r="AO77" s="1" t="e">
        <f>IF(CHOOSE($I$32,dry!W14,'as new'!W14,'twice as new'!W14)=0,NA(),CHOOSE($I$32,dry!W14,'as new'!W14,'twice as new'!W14))</f>
        <v>#N/A</v>
      </c>
      <c r="AP77" s="1" t="e">
        <f>IF(CHOOSE($I$32,dry!X14,'as new'!X14,'twice as new'!X14)=0,NA(),CHOOSE($I$32,dry!X14,'as new'!X14,'twice as new'!X14))</f>
        <v>#N/A</v>
      </c>
      <c r="AQ77" s="1" t="e">
        <f>IF(CHOOSE($I$32,dry!Y14,'as new'!Y14,'twice as new'!Y14)=0,NA(),CHOOSE($I$32,dry!Y14,'as new'!Y14,'twice as new'!Y14))</f>
        <v>#N/A</v>
      </c>
      <c r="AR77" s="1" t="e">
        <f>IF(CHOOSE($I$32,dry!Z14,'as new'!Z14,'twice as new'!Z14)=0,NA(),CHOOSE($I$32,dry!Z14,'as new'!Z14,'twice as new'!Z14))</f>
        <v>#N/A</v>
      </c>
      <c r="AS77" s="1">
        <f>Damped[[#This Row],[fI '[rpm']]]/Damped[[#This Row],[frun '[rpm']]]</f>
        <v>1.0403304597701151</v>
      </c>
      <c r="AT77" s="1">
        <f>Damped[[#This Row],[fII '[rpm']]]/Damped[[#This Row],[frun '[rpm']]]</f>
        <v>1.8998275862068965</v>
      </c>
      <c r="AU77" s="1">
        <f>Damped[[#This Row],[fIII '[rpm']]]/Damped[[#This Row],[frun '[rpm']]]</f>
        <v>2.0111350574712645</v>
      </c>
      <c r="AV77" s="1">
        <f>Damped[[#This Row],[fIV '[rpm']]]/Damped[[#This Row],[frun '[rpm']]]</f>
        <v>1.6378879310344827</v>
      </c>
      <c r="AW77" s="1">
        <f>Damped[[#This Row],[fV '[rpm']]]/Damped[[#This Row],[frun '[rpm']]]</f>
        <v>2.1903591954022992</v>
      </c>
      <c r="AX77" s="1">
        <f>Damped[[#This Row],[fVI '[rpm']]]/Damped[[#This Row],[frun '[rpm']]]</f>
        <v>1.6130028735632183</v>
      </c>
      <c r="AY77" s="1">
        <f>Damped[[#This Row],[fVII '[rpm']]]/Damped[[#This Row],[frun '[rpm']]]</f>
        <v>2.7852873563218394</v>
      </c>
      <c r="AZ77" s="1">
        <f>Damped[[#This Row],[fVIII '[rpm']]]/Damped[[#This Row],[frun '[rpm']]]</f>
        <v>1.4280603448275861</v>
      </c>
      <c r="BA77" s="1" t="e">
        <f>Damped[[#This Row],[fIX '[rpm']]]/Damped[[#This Row],[frun '[rpm']]]</f>
        <v>#N/A</v>
      </c>
      <c r="BB77" s="1" t="e">
        <f>Damped[[#This Row],[fX '[rpm']]]/Damped[[#This Row],[frun '[rpm']]]</f>
        <v>#N/A</v>
      </c>
      <c r="BC77" s="1" t="e">
        <f>Damped[[#This Row],[fXI '[rpm']]]/Damped[[#This Row],[frun '[rpm']]]</f>
        <v>#N/A</v>
      </c>
      <c r="BD77" s="1" t="e">
        <f>Damped[[#This Row],[fXII '[rpm']]]/Damped[[#This Row],[frun '[rpm']]]</f>
        <v>#N/A</v>
      </c>
    </row>
    <row r="78" spans="8:56" x14ac:dyDescent="0.25">
      <c r="H78" s="1" cm="1">
        <f t="array" ref="H78">_xlfn.IFS($I$32=1,IF(ISBLANK(dry!B15),NA(),dry!B15),$I$32=2,IF(ISBLANK('as new'!B15),NA(),'as new'!B15),$I$32=3,IF(ISBLANK('twice as new'!B15),NA(),'twice as new'!B15))</f>
        <v>4437</v>
      </c>
      <c r="I78" s="1">
        <f>Damped[[#This Row],[ξI '[-']]]/API_check(Damped[[#This Row],[fI/frun]])</f>
        <v>5.4126666666666665</v>
      </c>
      <c r="J78" s="1">
        <f>Damped[[#This Row],[ξII '[-']]]/API_check(Damped[[#This Row],[fII/frun]])</f>
        <v>174699999.99999997</v>
      </c>
      <c r="K78" s="1">
        <f>Damped[[#This Row],[ξIII '[-']]]/API_check(Damped[[#This Row],[fIII/frun]])</f>
        <v>169200000</v>
      </c>
      <c r="L78" s="1">
        <f>Damped[[#This Row],[ξIV '[-']]]/API_check(Damped[[#This Row],[fIV/frun]])</f>
        <v>448400000</v>
      </c>
      <c r="M78" s="1">
        <f>Damped[[#This Row],[ξV '[-']]]/API_check(Damped[[#This Row],[fV/frun]])</f>
        <v>559300000</v>
      </c>
      <c r="N78" s="1">
        <f>Damped[[#This Row],[ξVI '[-']]]/API_check(Damped[[#This Row],[fVI/frun]])</f>
        <v>264699999.99999997</v>
      </c>
      <c r="O78" s="1">
        <f>Damped[[#This Row],[ξVII '[-']]]/API_check(Damped[[#This Row],[fVII/frun]])</f>
        <v>405200000</v>
      </c>
      <c r="P78" s="1">
        <f>Damped[[#This Row],[ξVIII '[-']]]/API_check(Damped[[#This Row],[fVIII/frun]])</f>
        <v>33.653333333333329</v>
      </c>
      <c r="Q78" s="1" t="e">
        <f>Damped[[#This Row],[ξIX '[-']]]/API_check(Damped[[#This Row],[fIX/frun]])</f>
        <v>#N/A</v>
      </c>
      <c r="R78" s="1" t="e">
        <f>Damped[[#This Row],[ξX '[-']]]/API_check(Damped[[#This Row],[fX/frun]])</f>
        <v>#N/A</v>
      </c>
      <c r="S78" s="1" t="e">
        <f>Damped[[#This Row],[ξXI '[-']]]/API_check(Damped[[#This Row],[fXI/frun]])</f>
        <v>#N/A</v>
      </c>
      <c r="T78" s="1" t="e">
        <f>Damped[[#This Row],[ξXII '[-']]]/API_check(Damped[[#This Row],[fXII/frun]])</f>
        <v>#N/A</v>
      </c>
      <c r="U78" s="1" cm="1">
        <f t="array" ref="U78">_xlfn.IFS($I$32=1,IF(ISBLANK(dry!C15),NA(),dry!C15),$I$32=2,IF(ISBLANK('as new'!C15),NA(),'as new'!C15),$I$32=3,IF(ISBLANK('twice as new'!C15),NA(),'twice as new'!C15))</f>
        <v>0.81189999999999996</v>
      </c>
      <c r="V78" s="1" cm="1">
        <f t="array" ref="V78">_xlfn.IFS($I$32=1,IF(ISBLANK(dry!D15),NA(),dry!D15),$I$32=2,IF(ISBLANK('as new'!D15),NA(),'as new'!D15),$I$32=3,IF(ISBLANK('twice as new'!D15),NA(),'twice as new'!D15))</f>
        <v>4565.5199999999995</v>
      </c>
      <c r="W78" s="1" cm="1">
        <f t="array" ref="W78">_xlfn.IFS($I$32=1,IF(ISBLANK(dry!E15),NA(),dry!E15),$I$32=2,IF(ISBLANK('as new'!E15),NA(),'as new'!E15),$I$32=3,IF(ISBLANK('twice as new'!E15),NA(),'twice as new'!E15))</f>
        <v>0.17469999999999999</v>
      </c>
      <c r="X78" s="1" cm="1">
        <f t="array" ref="X78">_xlfn.IFS($I$32=1,IF(ISBLANK(dry!F15),NA(),dry!F15),$I$32=2,IF(ISBLANK('as new'!F15),NA(),'as new'!F15),$I$32=3,IF(ISBLANK('twice as new'!F15),NA(),'twice as new'!F15))</f>
        <v>7924.4400000000005</v>
      </c>
      <c r="Y78" s="1" cm="1">
        <f t="array" ref="Y78">_xlfn.IFS($I$32=1,IF(ISBLANK(dry!G15),NA(),dry!G15),$I$32=2,IF(ISBLANK('as new'!G15),NA(),'as new'!G15),$I$32=3,IF(ISBLANK('twice as new'!G15),NA(),'twice as new'!G15))</f>
        <v>0.16920000000000002</v>
      </c>
      <c r="Z78" s="1" cm="1">
        <f t="array" ref="Z78">_xlfn.IFS($I$32=1,IF(ISBLANK(dry!H15),NA(),dry!H15),$I$32=2,IF(ISBLANK('as new'!H15),NA(),'as new'!H15),$I$32=3,IF(ISBLANK('twice as new'!H15),NA(),'twice as new'!H15))</f>
        <v>8384.8200000000015</v>
      </c>
      <c r="AA78" s="1" cm="1">
        <f t="array" ref="AA78">_xlfn.IFS($I$32=1,IF(ISBLANK(dry!I15),NA(),dry!I15),$I$32=2,IF(ISBLANK('as new'!I15),NA(),'as new'!I15),$I$32=3,IF(ISBLANK('twice as new'!I15),NA(),'twice as new'!I15))</f>
        <v>0.44840000000000002</v>
      </c>
      <c r="AB78" s="1" cm="1">
        <f t="array" ref="AB78">_xlfn.IFS($I$32=1,IF(ISBLANK(dry!J15),NA(),dry!J15),$I$32=2,IF(ISBLANK('as new'!J15),NA(),'as new'!J15),$I$32=3,IF(ISBLANK('twice as new'!J15),NA(),'twice as new'!J15))</f>
        <v>7269.96</v>
      </c>
      <c r="AC78" s="1" cm="1">
        <f t="array" ref="AC78">_xlfn.IFS($I$32=1,IF(ISBLANK(dry!K15),NA(),dry!K15),$I$32=2,IF(ISBLANK('as new'!K15),NA(),'as new'!K15),$I$32=3,IF(ISBLANK('twice as new'!K15),NA(),'twice as new'!K15))</f>
        <v>0.55930000000000002</v>
      </c>
      <c r="AD78" s="1" cm="1">
        <f t="array" ref="AD78">_xlfn.IFS($I$32=1,IF(ISBLANK(dry!L15),NA(),dry!L15),$I$32=2,IF(ISBLANK('as new'!L15),NA(),'as new'!L15),$I$32=3,IF(ISBLANK('twice as new'!L15),NA(),'twice as new'!L15))</f>
        <v>8902.44</v>
      </c>
      <c r="AE78" s="1" cm="1">
        <f t="array" ref="AE78">_xlfn.IFS($I$32=1,IF(ISBLANK(dry!M15),NA(),dry!M15),$I$32=2,IF(ISBLANK('as new'!M15),NA(),'as new'!M15),$I$32=3,IF(ISBLANK('twice as new'!M15),NA(),'twice as new'!M15))</f>
        <v>0.26469999999999999</v>
      </c>
      <c r="AF78" s="1" cm="1">
        <f t="array" ref="AF78">_xlfn.IFS($I$32=1,IF(ISBLANK(dry!N15),NA(),dry!N15),$I$32=2,IF(ISBLANK('as new'!N15),NA(),'as new'!N15),$I$32=3,IF(ISBLANK('twice as new'!N15),NA(),'twice as new'!N15))</f>
        <v>7047.96</v>
      </c>
      <c r="AG78" s="1" cm="1">
        <f t="array" ref="AG78">_xlfn.IFS($I$32=1,IF(ISBLANK(dry!O15),NA(),dry!O15),$I$32=2,IF(ISBLANK('as new'!O15),NA(),'as new'!O15),$I$32=3,IF(ISBLANK('twice as new'!O15),NA(),'twice as new'!O15))</f>
        <v>0.4052</v>
      </c>
      <c r="AH78" s="1" cm="1">
        <f t="array" ref="AH78">_xlfn.IFS($I$32=1,IF(ISBLANK(dry!P15),NA(),dry!P15),$I$32=2,IF(ISBLANK('as new'!P15),NA(),'as new'!P15),$I$32=3,IF(ISBLANK('twice as new'!P15),NA(),'twice as new'!P15))</f>
        <v>11598.9</v>
      </c>
      <c r="AI78" s="1" cm="1">
        <f t="array" ref="AI78">_xlfn.IFS($I$32=1,IF(ISBLANK(dry!Q15),NA(),dry!Q15),$I$32=2,IF(ISBLANK('as new'!Q15),NA(),'as new'!Q15),$I$32=3,IF(ISBLANK('twice as new'!Q15),NA(),'twice as new'!Q15))</f>
        <v>0.50479999999999992</v>
      </c>
      <c r="AJ78" s="1" cm="1">
        <f t="array" ref="AJ78">_xlfn.IFS($I$32=1,IF(ISBLANK(dry!R15),NA(),dry!R15),$I$32=2,IF(ISBLANK('as new'!R15),NA(),'as new'!R15),$I$32=3,IF(ISBLANK('twice as new'!R15),NA(),'twice as new'!R15))</f>
        <v>6379.8</v>
      </c>
      <c r="AK78" s="1" t="e">
        <f>IF(CHOOSE($I$32,dry!S15,'as new'!S15,'twice as new'!S15)=0,NA(),CHOOSE($I$32,dry!S15,'as new'!S15,'twice as new'!S15))</f>
        <v>#N/A</v>
      </c>
      <c r="AL78" s="1" t="e">
        <f>IF(CHOOSE($I$32,dry!T15,'as new'!T15,'twice as new'!T15)=0,NA(),CHOOSE($I$32,dry!T15,'as new'!T15,'twice as new'!T15))</f>
        <v>#N/A</v>
      </c>
      <c r="AM78" s="1" t="e">
        <f>IF(CHOOSE($I$32,dry!U15,'as new'!U15,'twice as new'!U15)=0,NA(),CHOOSE($I$32,dry!U15,'as new'!U15,'twice as new'!U15))</f>
        <v>#N/A</v>
      </c>
      <c r="AN78" s="1" t="e">
        <f>IF(CHOOSE($I$32,dry!V15,'as new'!V15,'twice as new'!V15)=0,NA(),CHOOSE($I$32,dry!V15,'as new'!V15,'twice as new'!V15))</f>
        <v>#N/A</v>
      </c>
      <c r="AO78" s="1" t="e">
        <f>IF(CHOOSE($I$32,dry!W15,'as new'!W15,'twice as new'!W15)=0,NA(),CHOOSE($I$32,dry!W15,'as new'!W15,'twice as new'!W15))</f>
        <v>#N/A</v>
      </c>
      <c r="AP78" s="1" t="e">
        <f>IF(CHOOSE($I$32,dry!X15,'as new'!X15,'twice as new'!X15)=0,NA(),CHOOSE($I$32,dry!X15,'as new'!X15,'twice as new'!X15))</f>
        <v>#N/A</v>
      </c>
      <c r="AQ78" s="1" t="e">
        <f>IF(CHOOSE($I$32,dry!Y15,'as new'!Y15,'twice as new'!Y15)=0,NA(),CHOOSE($I$32,dry!Y15,'as new'!Y15,'twice as new'!Y15))</f>
        <v>#N/A</v>
      </c>
      <c r="AR78" s="1" t="e">
        <f>IF(CHOOSE($I$32,dry!Z15,'as new'!Z15,'twice as new'!Z15)=0,NA(),CHOOSE($I$32,dry!Z15,'as new'!Z15,'twice as new'!Z15))</f>
        <v>#N/A</v>
      </c>
      <c r="AS78" s="1">
        <f>Damped[[#This Row],[fI '[rpm']]]/Damped[[#This Row],[frun '[rpm']]]</f>
        <v>1.0289655172413792</v>
      </c>
      <c r="AT78" s="1">
        <f>Damped[[#This Row],[fII '[rpm']]]/Damped[[#This Row],[frun '[rpm']]]</f>
        <v>1.7859905341446924</v>
      </c>
      <c r="AU78" s="1">
        <f>Damped[[#This Row],[fIII '[rpm']]]/Damped[[#This Row],[frun '[rpm']]]</f>
        <v>1.8897498309668699</v>
      </c>
      <c r="AV78" s="1">
        <f>Damped[[#This Row],[fIV '[rpm']]]/Damped[[#This Row],[frun '[rpm']]]</f>
        <v>1.6384854631507775</v>
      </c>
      <c r="AW78" s="1">
        <f>Damped[[#This Row],[fV '[rpm']]]/Damped[[#This Row],[frun '[rpm']]]</f>
        <v>2.0064097363083166</v>
      </c>
      <c r="AX78" s="1">
        <f>Damped[[#This Row],[fVI '[rpm']]]/Damped[[#This Row],[frun '[rpm']]]</f>
        <v>1.5884516565246789</v>
      </c>
      <c r="AY78" s="1">
        <f>Damped[[#This Row],[fVII '[rpm']]]/Damped[[#This Row],[frun '[rpm']]]</f>
        <v>2.6141311697092631</v>
      </c>
      <c r="AZ78" s="1">
        <f>Damped[[#This Row],[fVIII '[rpm']]]/Damped[[#This Row],[frun '[rpm']]]</f>
        <v>1.4378634212305612</v>
      </c>
      <c r="BA78" s="1" t="e">
        <f>Damped[[#This Row],[fIX '[rpm']]]/Damped[[#This Row],[frun '[rpm']]]</f>
        <v>#N/A</v>
      </c>
      <c r="BB78" s="1" t="e">
        <f>Damped[[#This Row],[fX '[rpm']]]/Damped[[#This Row],[frun '[rpm']]]</f>
        <v>#N/A</v>
      </c>
      <c r="BC78" s="1" t="e">
        <f>Damped[[#This Row],[fXI '[rpm']]]/Damped[[#This Row],[frun '[rpm']]]</f>
        <v>#N/A</v>
      </c>
      <c r="BD78" s="1" t="e">
        <f>Damped[[#This Row],[fXII '[rpm']]]/Damped[[#This Row],[frun '[rpm']]]</f>
        <v>#N/A</v>
      </c>
    </row>
    <row r="79" spans="8:56" x14ac:dyDescent="0.25">
      <c r="H79" s="1" cm="1">
        <f t="array" ref="H79">_xlfn.IFS($I$32=1,IF(ISBLANK(dry!B16),NA(),dry!B16),$I$32=2,IF(ISBLANK('as new'!B16),NA(),'as new'!B16),$I$32=3,IF(ISBLANK('twice as new'!B16),NA(),'twice as new'!B16))</f>
        <v>4698</v>
      </c>
      <c r="I79" s="1">
        <f>Damped[[#This Row],[ξI '[-']]]/API_check(Damped[[#This Row],[fI/frun]])</f>
        <v>5.4553333333333338</v>
      </c>
      <c r="J79" s="1">
        <f>Damped[[#This Row],[ξII '[-']]]/API_check(Damped[[#This Row],[fII/frun]])</f>
        <v>174300000</v>
      </c>
      <c r="K79" s="1">
        <f>Damped[[#This Row],[ξIII '[-']]]/API_check(Damped[[#This Row],[fIII/frun]])</f>
        <v>177900000</v>
      </c>
      <c r="L79" s="1">
        <f>Damped[[#This Row],[ξIV '[-']]]/API_check(Damped[[#This Row],[fIV/frun]])</f>
        <v>430600000</v>
      </c>
      <c r="M79" s="1">
        <f>Damped[[#This Row],[ξV '[-']]]/API_check(Damped[[#This Row],[fV/frun]])</f>
        <v>597299999.99999988</v>
      </c>
      <c r="N79" s="1">
        <f>Damped[[#This Row],[ξVI '[-']]]/API_check(Damped[[#This Row],[fVI/frun]])</f>
        <v>257300000</v>
      </c>
      <c r="O79" s="1">
        <f>Damped[[#This Row],[ξVII '[-']]]/API_check(Damped[[#This Row],[fVII/frun]])</f>
        <v>431899999.99999994</v>
      </c>
      <c r="P79" s="1">
        <f>Damped[[#This Row],[ξVIII '[-']]]/API_check(Damped[[#This Row],[fVIII/frun]])</f>
        <v>33.653333333333329</v>
      </c>
      <c r="Q79" s="1" t="e">
        <f>Damped[[#This Row],[ξIX '[-']]]/API_check(Damped[[#This Row],[fIX/frun]])</f>
        <v>#N/A</v>
      </c>
      <c r="R79" s="1" t="e">
        <f>Damped[[#This Row],[ξX '[-']]]/API_check(Damped[[#This Row],[fX/frun]])</f>
        <v>#N/A</v>
      </c>
      <c r="S79" s="1" t="e">
        <f>Damped[[#This Row],[ξXI '[-']]]/API_check(Damped[[#This Row],[fXI/frun]])</f>
        <v>#N/A</v>
      </c>
      <c r="T79" s="1" t="e">
        <f>Damped[[#This Row],[ξXII '[-']]]/API_check(Damped[[#This Row],[fXII/frun]])</f>
        <v>#N/A</v>
      </c>
      <c r="U79" s="1" cm="1">
        <f t="array" ref="U79">_xlfn.IFS($I$32=1,IF(ISBLANK(dry!C16),NA(),dry!C16),$I$32=2,IF(ISBLANK('as new'!C16),NA(),'as new'!C16),$I$32=3,IF(ISBLANK('twice as new'!C16),NA(),'twice as new'!C16))</f>
        <v>0.81830000000000003</v>
      </c>
      <c r="V79" s="1" cm="1">
        <f t="array" ref="V79">_xlfn.IFS($I$32=1,IF(ISBLANK(dry!D16),NA(),dry!D16),$I$32=2,IF(ISBLANK('as new'!D16),NA(),'as new'!D16),$I$32=3,IF(ISBLANK('twice as new'!D16),NA(),'twice as new'!D16))</f>
        <v>4771.68</v>
      </c>
      <c r="W79" s="1" cm="1">
        <f t="array" ref="W79">_xlfn.IFS($I$32=1,IF(ISBLANK(dry!E16),NA(),dry!E16),$I$32=2,IF(ISBLANK('as new'!E16),NA(),'as new'!E16),$I$32=3,IF(ISBLANK('twice as new'!E16),NA(),'twice as new'!E16))</f>
        <v>0.17430000000000001</v>
      </c>
      <c r="X79" s="1" cm="1">
        <f t="array" ref="X79">_xlfn.IFS($I$32=1,IF(ISBLANK(dry!F16),NA(),dry!F16),$I$32=2,IF(ISBLANK('as new'!F16),NA(),'as new'!F16),$I$32=3,IF(ISBLANK('twice as new'!F16),NA(),'twice as new'!F16))</f>
        <v>7908.8399999999992</v>
      </c>
      <c r="Y79" s="1" cm="1">
        <f t="array" ref="Y79">_xlfn.IFS($I$32=1,IF(ISBLANK(dry!G16),NA(),dry!G16),$I$32=2,IF(ISBLANK('as new'!G16),NA(),'as new'!G16),$I$32=3,IF(ISBLANK('twice as new'!G16),NA(),'twice as new'!G16))</f>
        <v>0.1779</v>
      </c>
      <c r="Z79" s="1" cm="1">
        <f t="array" ref="Z79">_xlfn.IFS($I$32=1,IF(ISBLANK(dry!H16),NA(),dry!H16),$I$32=2,IF(ISBLANK('as new'!H16),NA(),'as new'!H16),$I$32=3,IF(ISBLANK('twice as new'!H16),NA(),'twice as new'!H16))</f>
        <v>8349</v>
      </c>
      <c r="AA79" s="1" cm="1">
        <f t="array" ref="AA79">_xlfn.IFS($I$32=1,IF(ISBLANK(dry!I16),NA(),dry!I16),$I$32=2,IF(ISBLANK('as new'!I16),NA(),'as new'!I16),$I$32=3,IF(ISBLANK('twice as new'!I16),NA(),'twice as new'!I16))</f>
        <v>0.43060000000000004</v>
      </c>
      <c r="AB79" s="1" cm="1">
        <f t="array" ref="AB79">_xlfn.IFS($I$32=1,IF(ISBLANK(dry!J16),NA(),dry!J16),$I$32=2,IF(ISBLANK('as new'!J16),NA(),'as new'!J16),$I$32=3,IF(ISBLANK('twice as new'!J16),NA(),'twice as new'!J16))</f>
        <v>7617</v>
      </c>
      <c r="AC79" s="1" cm="1">
        <f t="array" ref="AC79">_xlfn.IFS($I$32=1,IF(ISBLANK(dry!K16),NA(),dry!K16),$I$32=2,IF(ISBLANK('as new'!K16),NA(),'as new'!K16),$I$32=3,IF(ISBLANK('twice as new'!K16),NA(),'twice as new'!K16))</f>
        <v>0.59729999999999994</v>
      </c>
      <c r="AD79" s="1" cm="1">
        <f t="array" ref="AD79">_xlfn.IFS($I$32=1,IF(ISBLANK(dry!L16),NA(),dry!L16),$I$32=2,IF(ISBLANK('as new'!L16),NA(),'as new'!L16),$I$32=3,IF(ISBLANK('twice as new'!L16),NA(),'twice as new'!L16))</f>
        <v>8791.68</v>
      </c>
      <c r="AE79" s="1" cm="1">
        <f t="array" ref="AE79">_xlfn.IFS($I$32=1,IF(ISBLANK(dry!M16),NA(),dry!M16),$I$32=2,IF(ISBLANK('as new'!M16),NA(),'as new'!M16),$I$32=3,IF(ISBLANK('twice as new'!M16),NA(),'twice as new'!M16))</f>
        <v>0.25730000000000003</v>
      </c>
      <c r="AF79" s="1" cm="1">
        <f t="array" ref="AF79">_xlfn.IFS($I$32=1,IF(ISBLANK(dry!N16),NA(),dry!N16),$I$32=2,IF(ISBLANK('as new'!N16),NA(),'as new'!N16),$I$32=3,IF(ISBLANK('twice as new'!N16),NA(),'twice as new'!N16))</f>
        <v>7358.9400000000005</v>
      </c>
      <c r="AG79" s="1" cm="1">
        <f t="array" ref="AG79">_xlfn.IFS($I$32=1,IF(ISBLANK(dry!O16),NA(),dry!O16),$I$32=2,IF(ISBLANK('as new'!O16),NA(),'as new'!O16),$I$32=3,IF(ISBLANK('twice as new'!O16),NA(),'twice as new'!O16))</f>
        <v>0.43189999999999995</v>
      </c>
      <c r="AH79" s="1" cm="1">
        <f t="array" ref="AH79">_xlfn.IFS($I$32=1,IF(ISBLANK(dry!P16),NA(),dry!P16),$I$32=2,IF(ISBLANK('as new'!P16),NA(),'as new'!P16),$I$32=3,IF(ISBLANK('twice as new'!P16),NA(),'twice as new'!P16))</f>
        <v>11517.06</v>
      </c>
      <c r="AI79" s="1" cm="1">
        <f t="array" ref="AI79">_xlfn.IFS($I$32=1,IF(ISBLANK(dry!Q16),NA(),dry!Q16),$I$32=2,IF(ISBLANK('as new'!Q16),NA(),'as new'!Q16),$I$32=3,IF(ISBLANK('twice as new'!Q16),NA(),'twice as new'!Q16))</f>
        <v>0.50479999999999992</v>
      </c>
      <c r="AJ79" s="1" cm="1">
        <f t="array" ref="AJ79">_xlfn.IFS($I$32=1,IF(ISBLANK(dry!R16),NA(),dry!R16),$I$32=2,IF(ISBLANK('as new'!R16),NA(),'as new'!R16),$I$32=3,IF(ISBLANK('twice as new'!R16),NA(),'twice as new'!R16))</f>
        <v>6833.34</v>
      </c>
      <c r="AK79" s="1" t="e">
        <f>IF(CHOOSE($I$32,dry!S16,'as new'!S16,'twice as new'!S16)=0,NA(),CHOOSE($I$32,dry!S16,'as new'!S16,'twice as new'!S16))</f>
        <v>#N/A</v>
      </c>
      <c r="AL79" s="1" t="e">
        <f>IF(CHOOSE($I$32,dry!T16,'as new'!T16,'twice as new'!T16)=0,NA(),CHOOSE($I$32,dry!T16,'as new'!T16,'twice as new'!T16))</f>
        <v>#N/A</v>
      </c>
      <c r="AM79" s="1" t="e">
        <f>IF(CHOOSE($I$32,dry!U16,'as new'!U16,'twice as new'!U16)=0,NA(),CHOOSE($I$32,dry!U16,'as new'!U16,'twice as new'!U16))</f>
        <v>#N/A</v>
      </c>
      <c r="AN79" s="1" t="e">
        <f>IF(CHOOSE($I$32,dry!V16,'as new'!V16,'twice as new'!V16)=0,NA(),CHOOSE($I$32,dry!V16,'as new'!V16,'twice as new'!V16))</f>
        <v>#N/A</v>
      </c>
      <c r="AO79" s="1" t="e">
        <f>IF(CHOOSE($I$32,dry!W16,'as new'!W16,'twice as new'!W16)=0,NA(),CHOOSE($I$32,dry!W16,'as new'!W16,'twice as new'!W16))</f>
        <v>#N/A</v>
      </c>
      <c r="AP79" s="1" t="e">
        <f>IF(CHOOSE($I$32,dry!X16,'as new'!X16,'twice as new'!X16)=0,NA(),CHOOSE($I$32,dry!X16,'as new'!X16,'twice as new'!X16))</f>
        <v>#N/A</v>
      </c>
      <c r="AQ79" s="1" t="e">
        <f>IF(CHOOSE($I$32,dry!Y16,'as new'!Y16,'twice as new'!Y16)=0,NA(),CHOOSE($I$32,dry!Y16,'as new'!Y16,'twice as new'!Y16))</f>
        <v>#N/A</v>
      </c>
      <c r="AR79" s="1" t="e">
        <f>IF(CHOOSE($I$32,dry!Z16,'as new'!Z16,'twice as new'!Z16)=0,NA(),CHOOSE($I$32,dry!Z16,'as new'!Z16,'twice as new'!Z16))</f>
        <v>#N/A</v>
      </c>
      <c r="AS79" s="1">
        <f>Damped[[#This Row],[fI '[rpm']]]/Damped[[#This Row],[frun '[rpm']]]</f>
        <v>1.0156832694763729</v>
      </c>
      <c r="AT79" s="1">
        <f>Damped[[#This Row],[fII '[rpm']]]/Damped[[#This Row],[frun '[rpm']]]</f>
        <v>1.6834482758620688</v>
      </c>
      <c r="AU79" s="1">
        <f>Damped[[#This Row],[fIII '[rpm']]]/Damped[[#This Row],[frun '[rpm']]]</f>
        <v>1.777139208173691</v>
      </c>
      <c r="AV79" s="1">
        <f>Damped[[#This Row],[fIV '[rpm']]]/Damped[[#This Row],[frun '[rpm']]]</f>
        <v>1.6213282247765006</v>
      </c>
      <c r="AW79" s="1">
        <f>Damped[[#This Row],[fV '[rpm']]]/Damped[[#This Row],[frun '[rpm']]]</f>
        <v>1.8713665389527459</v>
      </c>
      <c r="AX79" s="1">
        <f>Damped[[#This Row],[fVI '[rpm']]]/Damped[[#This Row],[frun '[rpm']]]</f>
        <v>1.5663984674329503</v>
      </c>
      <c r="AY79" s="1">
        <f>Damped[[#This Row],[fVII '[rpm']]]/Damped[[#This Row],[frun '[rpm']]]</f>
        <v>2.4514814814814816</v>
      </c>
      <c r="AZ79" s="1">
        <f>Damped[[#This Row],[fVIII '[rpm']]]/Damped[[#This Row],[frun '[rpm']]]</f>
        <v>1.4545210727969349</v>
      </c>
      <c r="BA79" s="1" t="e">
        <f>Damped[[#This Row],[fIX '[rpm']]]/Damped[[#This Row],[frun '[rpm']]]</f>
        <v>#N/A</v>
      </c>
      <c r="BB79" s="1" t="e">
        <f>Damped[[#This Row],[fX '[rpm']]]/Damped[[#This Row],[frun '[rpm']]]</f>
        <v>#N/A</v>
      </c>
      <c r="BC79" s="1" t="e">
        <f>Damped[[#This Row],[fXI '[rpm']]]/Damped[[#This Row],[frun '[rpm']]]</f>
        <v>#N/A</v>
      </c>
      <c r="BD79" s="1" t="e">
        <f>Damped[[#This Row],[fXII '[rpm']]]/Damped[[#This Row],[frun '[rpm']]]</f>
        <v>#N/A</v>
      </c>
    </row>
    <row r="80" spans="8:56" x14ac:dyDescent="0.25">
      <c r="H80" s="1" cm="1">
        <f t="array" ref="H80">_xlfn.IFS($I$32=1,IF(ISBLANK(dry!B17),NA(),dry!B17),$I$32=2,IF(ISBLANK('as new'!B17),NA(),'as new'!B17),$I$32=3,IF(ISBLANK('twice as new'!B17),NA(),'twice as new'!B17))</f>
        <v>4959</v>
      </c>
      <c r="I80" s="1">
        <f>Damped[[#This Row],[ξI '[-']]]/API_check(Damped[[#This Row],[fI/frun]])</f>
        <v>5.4866666666666664</v>
      </c>
      <c r="J80" s="1">
        <f>Damped[[#This Row],[ξII '[-']]]/API_check(Damped[[#This Row],[fII/frun]])</f>
        <v>173099999.99999997</v>
      </c>
      <c r="K80" s="1">
        <f>Damped[[#This Row],[ξIII '[-']]]/API_check(Damped[[#This Row],[fIII/frun]])</f>
        <v>187100000</v>
      </c>
      <c r="L80" s="1">
        <f>Damped[[#This Row],[ξIV '[-']]]/API_check(Damped[[#This Row],[fIV/frun]])</f>
        <v>414200000</v>
      </c>
      <c r="M80" s="1">
        <f>Damped[[#This Row],[ξV '[-']]]/API_check(Damped[[#This Row],[fV/frun]])</f>
        <v>627800000</v>
      </c>
      <c r="N80" s="1">
        <f>Damped[[#This Row],[ξVI '[-']]]/API_check(Damped[[#This Row],[fVI/frun]])</f>
        <v>246400000</v>
      </c>
      <c r="O80" s="1">
        <f>Damped[[#This Row],[ξVII '[-']]]/API_check(Damped[[#This Row],[fVII/frun]])</f>
        <v>457799999.99999994</v>
      </c>
      <c r="P80" s="1">
        <f>Damped[[#This Row],[ξVIII '[-']]]/API_check(Damped[[#This Row],[fVIII/frun]])</f>
        <v>33.560000000000009</v>
      </c>
      <c r="Q80" s="1" t="e">
        <f>Damped[[#This Row],[ξIX '[-']]]/API_check(Damped[[#This Row],[fIX/frun]])</f>
        <v>#N/A</v>
      </c>
      <c r="R80" s="1" t="e">
        <f>Damped[[#This Row],[ξX '[-']]]/API_check(Damped[[#This Row],[fX/frun]])</f>
        <v>#N/A</v>
      </c>
      <c r="S80" s="1" t="e">
        <f>Damped[[#This Row],[ξXI '[-']]]/API_check(Damped[[#This Row],[fXI/frun]])</f>
        <v>#N/A</v>
      </c>
      <c r="T80" s="1" t="e">
        <f>Damped[[#This Row],[ξXII '[-']]]/API_check(Damped[[#This Row],[fXII/frun]])</f>
        <v>#N/A</v>
      </c>
      <c r="U80" s="1" cm="1">
        <f t="array" ref="U80">_xlfn.IFS($I$32=1,IF(ISBLANK(dry!C17),NA(),dry!C17),$I$32=2,IF(ISBLANK('as new'!C17),NA(),'as new'!C17),$I$32=3,IF(ISBLANK('twice as new'!C17),NA(),'twice as new'!C17))</f>
        <v>0.82299999999999995</v>
      </c>
      <c r="V80" s="1" cm="1">
        <f t="array" ref="V80">_xlfn.IFS($I$32=1,IF(ISBLANK(dry!D17),NA(),dry!D17),$I$32=2,IF(ISBLANK('as new'!D17),NA(),'as new'!D17),$I$32=3,IF(ISBLANK('twice as new'!D17),NA(),'twice as new'!D17))</f>
        <v>5008.08</v>
      </c>
      <c r="W80" s="1" cm="1">
        <f t="array" ref="W80">_xlfn.IFS($I$32=1,IF(ISBLANK(dry!E17),NA(),dry!E17),$I$32=2,IF(ISBLANK('as new'!E17),NA(),'as new'!E17),$I$32=3,IF(ISBLANK('twice as new'!E17),NA(),'twice as new'!E17))</f>
        <v>0.17309999999999998</v>
      </c>
      <c r="X80" s="1" cm="1">
        <f t="array" ref="X80">_xlfn.IFS($I$32=1,IF(ISBLANK(dry!F17),NA(),dry!F17),$I$32=2,IF(ISBLANK('as new'!F17),NA(),'as new'!F17),$I$32=3,IF(ISBLANK('twice as new'!F17),NA(),'twice as new'!F17))</f>
        <v>7891.14</v>
      </c>
      <c r="Y80" s="1" cm="1">
        <f t="array" ref="Y80">_xlfn.IFS($I$32=1,IF(ISBLANK(dry!G17),NA(),dry!G17),$I$32=2,IF(ISBLANK('as new'!G17),NA(),'as new'!G17),$I$32=3,IF(ISBLANK('twice as new'!G17),NA(),'twice as new'!G17))</f>
        <v>0.18710000000000002</v>
      </c>
      <c r="Z80" s="1" cm="1">
        <f t="array" ref="Z80">_xlfn.IFS($I$32=1,IF(ISBLANK(dry!H17),NA(),dry!H17),$I$32=2,IF(ISBLANK('as new'!H17),NA(),'as new'!H17),$I$32=3,IF(ISBLANK('twice as new'!H17),NA(),'twice as new'!H17))</f>
        <v>8287.92</v>
      </c>
      <c r="AA80" s="1" cm="1">
        <f t="array" ref="AA80">_xlfn.IFS($I$32=1,IF(ISBLANK(dry!I17),NA(),dry!I17),$I$32=2,IF(ISBLANK('as new'!I17),NA(),'as new'!I17),$I$32=3,IF(ISBLANK('twice as new'!I17),NA(),'twice as new'!I17))</f>
        <v>0.41420000000000001</v>
      </c>
      <c r="AB80" s="1" cm="1">
        <f t="array" ref="AB80">_xlfn.IFS($I$32=1,IF(ISBLANK(dry!J17),NA(),dry!J17),$I$32=2,IF(ISBLANK('as new'!J17),NA(),'as new'!J17),$I$32=3,IF(ISBLANK('twice as new'!J17),NA(),'twice as new'!J17))</f>
        <v>7907.46</v>
      </c>
      <c r="AC80" s="1" cm="1">
        <f t="array" ref="AC80">_xlfn.IFS($I$32=1,IF(ISBLANK(dry!K17),NA(),dry!K17),$I$32=2,IF(ISBLANK('as new'!K17),NA(),'as new'!K17),$I$32=3,IF(ISBLANK('twice as new'!K17),NA(),'twice as new'!K17))</f>
        <v>0.62780000000000002</v>
      </c>
      <c r="AD80" s="1" cm="1">
        <f t="array" ref="AD80">_xlfn.IFS($I$32=1,IF(ISBLANK(dry!L17),NA(),dry!L17),$I$32=2,IF(ISBLANK('as new'!L17),NA(),'as new'!L17),$I$32=3,IF(ISBLANK('twice as new'!L17),NA(),'twice as new'!L17))</f>
        <v>8795.4</v>
      </c>
      <c r="AE80" s="1" cm="1">
        <f t="array" ref="AE80">_xlfn.IFS($I$32=1,IF(ISBLANK(dry!M17),NA(),dry!M17),$I$32=2,IF(ISBLANK('as new'!M17),NA(),'as new'!M17),$I$32=3,IF(ISBLANK('twice as new'!M17),NA(),'twice as new'!M17))</f>
        <v>0.24640000000000001</v>
      </c>
      <c r="AF80" s="1" cm="1">
        <f t="array" ref="AF80">_xlfn.IFS($I$32=1,IF(ISBLANK(dry!N17),NA(),dry!N17),$I$32=2,IF(ISBLANK('as new'!N17),NA(),'as new'!N17),$I$32=3,IF(ISBLANK('twice as new'!N17),NA(),'twice as new'!N17))</f>
        <v>7678.4400000000005</v>
      </c>
      <c r="AG80" s="1" cm="1">
        <f t="array" ref="AG80">_xlfn.IFS($I$32=1,IF(ISBLANK(dry!O17),NA(),dry!O17),$I$32=2,IF(ISBLANK('as new'!O17),NA(),'as new'!O17),$I$32=3,IF(ISBLANK('twice as new'!O17),NA(),'twice as new'!O17))</f>
        <v>0.45779999999999998</v>
      </c>
      <c r="AH80" s="1" cm="1">
        <f t="array" ref="AH80">_xlfn.IFS($I$32=1,IF(ISBLANK(dry!P17),NA(),dry!P17),$I$32=2,IF(ISBLANK('as new'!P17),NA(),'as new'!P17),$I$32=3,IF(ISBLANK('twice as new'!P17),NA(),'twice as new'!P17))</f>
        <v>11414.88</v>
      </c>
      <c r="AI80" s="1" cm="1">
        <f t="array" ref="AI80">_xlfn.IFS($I$32=1,IF(ISBLANK(dry!Q17),NA(),dry!Q17),$I$32=2,IF(ISBLANK('as new'!Q17),NA(),'as new'!Q17),$I$32=3,IF(ISBLANK('twice as new'!Q17),NA(),'twice as new'!Q17))</f>
        <v>0.50340000000000007</v>
      </c>
      <c r="AJ80" s="1" cm="1">
        <f t="array" ref="AJ80">_xlfn.IFS($I$32=1,IF(ISBLANK(dry!R17),NA(),dry!R17),$I$32=2,IF(ISBLANK('as new'!R17),NA(),'as new'!R17),$I$32=3,IF(ISBLANK('twice as new'!R17),NA(),'twice as new'!R17))</f>
        <v>7344.54</v>
      </c>
      <c r="AK80" s="1" t="e">
        <f>IF(CHOOSE($I$32,dry!S17,'as new'!S17,'twice as new'!S17)=0,NA(),CHOOSE($I$32,dry!S17,'as new'!S17,'twice as new'!S17))</f>
        <v>#N/A</v>
      </c>
      <c r="AL80" s="1" t="e">
        <f>IF(CHOOSE($I$32,dry!T17,'as new'!T17,'twice as new'!T17)=0,NA(),CHOOSE($I$32,dry!T17,'as new'!T17,'twice as new'!T17))</f>
        <v>#N/A</v>
      </c>
      <c r="AM80" s="1" t="e">
        <f>IF(CHOOSE($I$32,dry!U17,'as new'!U17,'twice as new'!U17)=0,NA(),CHOOSE($I$32,dry!U17,'as new'!U17,'twice as new'!U17))</f>
        <v>#N/A</v>
      </c>
      <c r="AN80" s="1" t="e">
        <f>IF(CHOOSE($I$32,dry!V17,'as new'!V17,'twice as new'!V17)=0,NA(),CHOOSE($I$32,dry!V17,'as new'!V17,'twice as new'!V17))</f>
        <v>#N/A</v>
      </c>
      <c r="AO80" s="1" t="e">
        <f>IF(CHOOSE($I$32,dry!W17,'as new'!W17,'twice as new'!W17)=0,NA(),CHOOSE($I$32,dry!W17,'as new'!W17,'twice as new'!W17))</f>
        <v>#N/A</v>
      </c>
      <c r="AP80" s="1" t="e">
        <f>IF(CHOOSE($I$32,dry!X17,'as new'!X17,'twice as new'!X17)=0,NA(),CHOOSE($I$32,dry!X17,'as new'!X17,'twice as new'!X17))</f>
        <v>#N/A</v>
      </c>
      <c r="AQ80" s="1" t="e">
        <f>IF(CHOOSE($I$32,dry!Y17,'as new'!Y17,'twice as new'!Y17)=0,NA(),CHOOSE($I$32,dry!Y17,'as new'!Y17,'twice as new'!Y17))</f>
        <v>#N/A</v>
      </c>
      <c r="AR80" s="1" t="e">
        <f>IF(CHOOSE($I$32,dry!Z17,'as new'!Z17,'twice as new'!Z17)=0,NA(),CHOOSE($I$32,dry!Z17,'as new'!Z17,'twice as new'!Z17))</f>
        <v>#N/A</v>
      </c>
      <c r="AS80" s="1">
        <f>Damped[[#This Row],[fI '[rpm']]]/Damped[[#This Row],[frun '[rpm']]]</f>
        <v>1.0098971566848154</v>
      </c>
      <c r="AT80" s="1">
        <f>Damped[[#This Row],[fII '[rpm']]]/Damped[[#This Row],[frun '[rpm']]]</f>
        <v>1.5912764670296431</v>
      </c>
      <c r="AU80" s="1">
        <f>Damped[[#This Row],[fIII '[rpm']]]/Damped[[#This Row],[frun '[rpm']]]</f>
        <v>1.6712885662431942</v>
      </c>
      <c r="AV80" s="1">
        <f>Damped[[#This Row],[fIV '[rpm']]]/Damped[[#This Row],[frun '[rpm']]]</f>
        <v>1.5945674531155476</v>
      </c>
      <c r="AW80" s="1">
        <f>Damped[[#This Row],[fV '[rpm']]]/Damped[[#This Row],[frun '[rpm']]]</f>
        <v>1.77362371445856</v>
      </c>
      <c r="AX80" s="1">
        <f>Damped[[#This Row],[fVI '[rpm']]]/Damped[[#This Row],[frun '[rpm']]]</f>
        <v>1.5483847549909258</v>
      </c>
      <c r="AY80" s="1">
        <f>Damped[[#This Row],[fVII '[rpm']]]/Damped[[#This Row],[frun '[rpm']]]</f>
        <v>2.3018511796733212</v>
      </c>
      <c r="AZ80" s="1">
        <f>Damped[[#This Row],[fVIII '[rpm']]]/Damped[[#This Row],[frun '[rpm']]]</f>
        <v>1.4810526315789474</v>
      </c>
      <c r="BA80" s="1" t="e">
        <f>Damped[[#This Row],[fIX '[rpm']]]/Damped[[#This Row],[frun '[rpm']]]</f>
        <v>#N/A</v>
      </c>
      <c r="BB80" s="1" t="e">
        <f>Damped[[#This Row],[fX '[rpm']]]/Damped[[#This Row],[frun '[rpm']]]</f>
        <v>#N/A</v>
      </c>
      <c r="BC80" s="1" t="e">
        <f>Damped[[#This Row],[fXI '[rpm']]]/Damped[[#This Row],[frun '[rpm']]]</f>
        <v>#N/A</v>
      </c>
      <c r="BD80" s="1" t="e">
        <f>Damped[[#This Row],[fXII '[rpm']]]/Damped[[#This Row],[frun '[rpm']]]</f>
        <v>#N/A</v>
      </c>
    </row>
    <row r="81" spans="8:56" x14ac:dyDescent="0.25">
      <c r="H81" s="1" cm="1">
        <f t="array" ref="H81">_xlfn.IFS($I$32=1,IF(ISBLANK(dry!B18),NA(),dry!B18),$I$32=2,IF(ISBLANK('as new'!B18),NA(),'as new'!B18),$I$32=3,IF(ISBLANK('twice as new'!B18),NA(),'twice as new'!B18))</f>
        <v>5214.7</v>
      </c>
      <c r="I81" s="1">
        <f>Damped[[#This Row],[ξI '[-']]]/API_check(Damped[[#This Row],[fI/frun]])</f>
        <v>5.5266666666666673</v>
      </c>
      <c r="J81" s="1">
        <f>Damped[[#This Row],[ξII '[-']]]/API_check(Damped[[#This Row],[fII/frun]])</f>
        <v>171299999.99999997</v>
      </c>
      <c r="K81" s="1">
        <f>Damped[[#This Row],[ξIII '[-']]]/API_check(Damped[[#This Row],[fIII/frun]])</f>
        <v>198299999.99999997</v>
      </c>
      <c r="L81" s="1">
        <f>Damped[[#This Row],[ξIV '[-']]]/API_check(Damped[[#This Row],[fIV/frun]])</f>
        <v>402799999.99999994</v>
      </c>
      <c r="M81" s="1">
        <f>Damped[[#This Row],[ξV '[-']]]/API_check(Damped[[#This Row],[fV/frun]])</f>
        <v>650699999.99999988</v>
      </c>
      <c r="N81" s="1">
        <f>Damped[[#This Row],[ξVI '[-']]]/API_check(Damped[[#This Row],[fVI/frun]])</f>
        <v>230899999.99999997</v>
      </c>
      <c r="O81" s="1">
        <f>Damped[[#This Row],[ξVII '[-']]]/API_check(Damped[[#This Row],[fVII/frun]])</f>
        <v>483899999.99999994</v>
      </c>
      <c r="P81" s="1">
        <f>Damped[[#This Row],[ξVIII '[-']]]/API_check(Damped[[#This Row],[fVIII/frun]])</f>
        <v>504099999.99999994</v>
      </c>
      <c r="Q81" s="1" t="e">
        <f>Damped[[#This Row],[ξIX '[-']]]/API_check(Damped[[#This Row],[fIX/frun]])</f>
        <v>#N/A</v>
      </c>
      <c r="R81" s="1" t="e">
        <f>Damped[[#This Row],[ξX '[-']]]/API_check(Damped[[#This Row],[fX/frun]])</f>
        <v>#N/A</v>
      </c>
      <c r="S81" s="1" t="e">
        <f>Damped[[#This Row],[ξXI '[-']]]/API_check(Damped[[#This Row],[fXI/frun]])</f>
        <v>#N/A</v>
      </c>
      <c r="T81" s="1" t="e">
        <f>Damped[[#This Row],[ξXII '[-']]]/API_check(Damped[[#This Row],[fXII/frun]])</f>
        <v>#N/A</v>
      </c>
      <c r="U81" s="1" cm="1">
        <f t="array" ref="U81">_xlfn.IFS($I$32=1,IF(ISBLANK(dry!C18),NA(),dry!C18),$I$32=2,IF(ISBLANK('as new'!C18),NA(),'as new'!C18),$I$32=3,IF(ISBLANK('twice as new'!C18),NA(),'twice as new'!C18))</f>
        <v>0.82900000000000007</v>
      </c>
      <c r="V81" s="1" cm="1">
        <f t="array" ref="V81">_xlfn.IFS($I$32=1,IF(ISBLANK(dry!D18),NA(),dry!D18),$I$32=2,IF(ISBLANK('as new'!D18),NA(),'as new'!D18),$I$32=3,IF(ISBLANK('twice as new'!D18),NA(),'twice as new'!D18))</f>
        <v>5214.72</v>
      </c>
      <c r="W81" s="1" cm="1">
        <f t="array" ref="W81">_xlfn.IFS($I$32=1,IF(ISBLANK(dry!E18),NA(),dry!E18),$I$32=2,IF(ISBLANK('as new'!E18),NA(),'as new'!E18),$I$32=3,IF(ISBLANK('twice as new'!E18),NA(),'twice as new'!E18))</f>
        <v>0.17129999999999998</v>
      </c>
      <c r="X81" s="1" cm="1">
        <f t="array" ref="X81">_xlfn.IFS($I$32=1,IF(ISBLANK(dry!F18),NA(),dry!F18),$I$32=2,IF(ISBLANK('as new'!F18),NA(),'as new'!F18),$I$32=3,IF(ISBLANK('twice as new'!F18),NA(),'twice as new'!F18))</f>
        <v>7872.6</v>
      </c>
      <c r="Y81" s="1" cm="1">
        <f t="array" ref="Y81">_xlfn.IFS($I$32=1,IF(ISBLANK(dry!G18),NA(),dry!G18),$I$32=2,IF(ISBLANK('as new'!G18),NA(),'as new'!G18),$I$32=3,IF(ISBLANK('twice as new'!G18),NA(),'twice as new'!G18))</f>
        <v>0.19829999999999998</v>
      </c>
      <c r="Z81" s="1" cm="1">
        <f t="array" ref="Z81">_xlfn.IFS($I$32=1,IF(ISBLANK(dry!H18),NA(),dry!H18),$I$32=2,IF(ISBLANK('as new'!H18),NA(),'as new'!H18),$I$32=3,IF(ISBLANK('twice as new'!H18),NA(),'twice as new'!H18))</f>
        <v>8144.4000000000005</v>
      </c>
      <c r="AA81" s="1" cm="1">
        <f t="array" ref="AA81">_xlfn.IFS($I$32=1,IF(ISBLANK(dry!I18),NA(),dry!I18),$I$32=2,IF(ISBLANK('as new'!I18),NA(),'as new'!I18),$I$32=3,IF(ISBLANK('twice as new'!I18),NA(),'twice as new'!I18))</f>
        <v>0.40279999999999999</v>
      </c>
      <c r="AB81" s="1" cm="1">
        <f t="array" ref="AB81">_xlfn.IFS($I$32=1,IF(ISBLANK(dry!J18),NA(),dry!J18),$I$32=2,IF(ISBLANK('as new'!J18),NA(),'as new'!J18),$I$32=3,IF(ISBLANK('twice as new'!J18),NA(),'twice as new'!J18))</f>
        <v>8153.4599999999991</v>
      </c>
      <c r="AC81" s="1" cm="1">
        <f t="array" ref="AC81">_xlfn.IFS($I$32=1,IF(ISBLANK(dry!K18),NA(),dry!K18),$I$32=2,IF(ISBLANK('as new'!K18),NA(),'as new'!K18),$I$32=3,IF(ISBLANK('twice as new'!K18),NA(),'twice as new'!K18))</f>
        <v>0.65069999999999995</v>
      </c>
      <c r="AD81" s="1" cm="1">
        <f t="array" ref="AD81">_xlfn.IFS($I$32=1,IF(ISBLANK(dry!L18),NA(),dry!L18),$I$32=2,IF(ISBLANK('as new'!L18),NA(),'as new'!L18),$I$32=3,IF(ISBLANK('twice as new'!L18),NA(),'twice as new'!L18))</f>
        <v>8848.98</v>
      </c>
      <c r="AE81" s="1" cm="1">
        <f t="array" ref="AE81">_xlfn.IFS($I$32=1,IF(ISBLANK(dry!M18),NA(),dry!M18),$I$32=2,IF(ISBLANK('as new'!M18),NA(),'as new'!M18),$I$32=3,IF(ISBLANK('twice as new'!M18),NA(),'twice as new'!M18))</f>
        <v>0.23089999999999999</v>
      </c>
      <c r="AF81" s="1" cm="1">
        <f t="array" ref="AF81">_xlfn.IFS($I$32=1,IF(ISBLANK(dry!N18),NA(),dry!N18),$I$32=2,IF(ISBLANK('as new'!N18),NA(),'as new'!N18),$I$32=3,IF(ISBLANK('twice as new'!N18),NA(),'twice as new'!N18))</f>
        <v>8061</v>
      </c>
      <c r="AG81" s="1" cm="1">
        <f t="array" ref="AG81">_xlfn.IFS($I$32=1,IF(ISBLANK(dry!O18),NA(),dry!O18),$I$32=2,IF(ISBLANK('as new'!O18),NA(),'as new'!O18),$I$32=3,IF(ISBLANK('twice as new'!O18),NA(),'twice as new'!O18))</f>
        <v>0.4839</v>
      </c>
      <c r="AH81" s="1" cm="1">
        <f t="array" ref="AH81">_xlfn.IFS($I$32=1,IF(ISBLANK(dry!P18),NA(),dry!P18),$I$32=2,IF(ISBLANK('as new'!P18),NA(),'as new'!P18),$I$32=3,IF(ISBLANK('twice as new'!P18),NA(),'twice as new'!P18))</f>
        <v>11263.92</v>
      </c>
      <c r="AI81" s="1" cm="1">
        <f t="array" ref="AI81">_xlfn.IFS($I$32=1,IF(ISBLANK(dry!Q18),NA(),dry!Q18),$I$32=2,IF(ISBLANK('as new'!Q18),NA(),'as new'!Q18),$I$32=3,IF(ISBLANK('twice as new'!Q18),NA(),'twice as new'!Q18))</f>
        <v>0.50409999999999999</v>
      </c>
      <c r="AJ81" s="1" cm="1">
        <f t="array" ref="AJ81">_xlfn.IFS($I$32=1,IF(ISBLANK(dry!R18),NA(),dry!R18),$I$32=2,IF(ISBLANK('as new'!R18),NA(),'as new'!R18),$I$32=3,IF(ISBLANK('twice as new'!R18),NA(),'twice as new'!R18))</f>
        <v>7870.1999999999989</v>
      </c>
      <c r="AK81" s="1" t="e">
        <f>IF(CHOOSE($I$32,dry!S18,'as new'!S18,'twice as new'!S18)=0,NA(),CHOOSE($I$32,dry!S18,'as new'!S18,'twice as new'!S18))</f>
        <v>#N/A</v>
      </c>
      <c r="AL81" s="1" t="e">
        <f>IF(CHOOSE($I$32,dry!T18,'as new'!T18,'twice as new'!T18)=0,NA(),CHOOSE($I$32,dry!T18,'as new'!T18,'twice as new'!T18))</f>
        <v>#N/A</v>
      </c>
      <c r="AM81" s="1" t="e">
        <f>IF(CHOOSE($I$32,dry!U18,'as new'!U18,'twice as new'!U18)=0,NA(),CHOOSE($I$32,dry!U18,'as new'!U18,'twice as new'!U18))</f>
        <v>#N/A</v>
      </c>
      <c r="AN81" s="1" t="e">
        <f>IF(CHOOSE($I$32,dry!V18,'as new'!V18,'twice as new'!V18)=0,NA(),CHOOSE($I$32,dry!V18,'as new'!V18,'twice as new'!V18))</f>
        <v>#N/A</v>
      </c>
      <c r="AO81" s="1" t="e">
        <f>IF(CHOOSE($I$32,dry!W18,'as new'!W18,'twice as new'!W18)=0,NA(),CHOOSE($I$32,dry!W18,'as new'!W18,'twice as new'!W18))</f>
        <v>#N/A</v>
      </c>
      <c r="AP81" s="1" t="e">
        <f>IF(CHOOSE($I$32,dry!X18,'as new'!X18,'twice as new'!X18)=0,NA(),CHOOSE($I$32,dry!X18,'as new'!X18,'twice as new'!X18))</f>
        <v>#N/A</v>
      </c>
      <c r="AQ81" s="1" t="e">
        <f>IF(CHOOSE($I$32,dry!Y18,'as new'!Y18,'twice as new'!Y18)=0,NA(),CHOOSE($I$32,dry!Y18,'as new'!Y18,'twice as new'!Y18))</f>
        <v>#N/A</v>
      </c>
      <c r="AR81" s="1" t="e">
        <f>IF(CHOOSE($I$32,dry!Z18,'as new'!Z18,'twice as new'!Z18)=0,NA(),CHOOSE($I$32,dry!Z18,'as new'!Z18,'twice as new'!Z18))</f>
        <v>#N/A</v>
      </c>
      <c r="AS81" s="1">
        <f>Damped[[#This Row],[fI '[rpm']]]/Damped[[#This Row],[frun '[rpm']]]</f>
        <v>1.0000038353117151</v>
      </c>
      <c r="AT81" s="1">
        <f>Damped[[#This Row],[fII '[rpm']]]/Damped[[#This Row],[frun '[rpm']]]</f>
        <v>1.5096937503595607</v>
      </c>
      <c r="AU81" s="1">
        <f>Damped[[#This Row],[fIII '[rpm']]]/Damped[[#This Row],[frun '[rpm']]]</f>
        <v>1.561815636565862</v>
      </c>
      <c r="AV81" s="1">
        <f>Damped[[#This Row],[fIV '[rpm']]]/Damped[[#This Row],[frun '[rpm']]]</f>
        <v>1.5635530327727385</v>
      </c>
      <c r="AW81" s="1">
        <f>Damped[[#This Row],[fV '[rpm']]]/Damped[[#This Row],[frun '[rpm']]]</f>
        <v>1.6969298329721747</v>
      </c>
      <c r="AX81" s="1">
        <f>Damped[[#This Row],[fVI '[rpm']]]/Damped[[#This Row],[frun '[rpm']]]</f>
        <v>1.5458223867144802</v>
      </c>
      <c r="AY81" s="1">
        <f>Damped[[#This Row],[fVII '[rpm']]]/Damped[[#This Row],[frun '[rpm']]]</f>
        <v>2.1600322166184056</v>
      </c>
      <c r="AZ81" s="1">
        <f>Damped[[#This Row],[fVIII '[rpm']]]/Damped[[#This Row],[frun '[rpm']]]</f>
        <v>1.5092335129537651</v>
      </c>
      <c r="BA81" s="1" t="e">
        <f>Damped[[#This Row],[fIX '[rpm']]]/Damped[[#This Row],[frun '[rpm']]]</f>
        <v>#N/A</v>
      </c>
      <c r="BB81" s="1" t="e">
        <f>Damped[[#This Row],[fX '[rpm']]]/Damped[[#This Row],[frun '[rpm']]]</f>
        <v>#N/A</v>
      </c>
      <c r="BC81" s="1" t="e">
        <f>Damped[[#This Row],[fXI '[rpm']]]/Damped[[#This Row],[frun '[rpm']]]</f>
        <v>#N/A</v>
      </c>
      <c r="BD81" s="1" t="e">
        <f>Damped[[#This Row],[fXII '[rpm']]]/Damped[[#This Row],[frun '[rpm']]]</f>
        <v>#N/A</v>
      </c>
    </row>
    <row r="82" spans="8:56" x14ac:dyDescent="0.25">
      <c r="H82" s="1" cm="1">
        <f t="array" ref="H82">_xlfn.IFS($I$32=1,IF(ISBLANK(dry!B19),NA(),dry!B19),$I$32=2,IF(ISBLANK('as new'!B19),NA(),'as new'!B19),$I$32=3,IF(ISBLANK('twice as new'!B19),NA(),'twice as new'!B19))</f>
        <v>5220</v>
      </c>
      <c r="I82" s="1">
        <f>Damped[[#This Row],[ξI '[-']]]/API_check(Damped[[#This Row],[fI/frun]])</f>
        <v>5.527333333333333</v>
      </c>
      <c r="J82" s="1">
        <f>Damped[[#This Row],[ξII '[-']]]/API_check(Damped[[#This Row],[fII/frun]])</f>
        <v>171200000</v>
      </c>
      <c r="K82" s="1">
        <f>Damped[[#This Row],[ξIII '[-']]]/API_check(Damped[[#This Row],[fIII/frun]])</f>
        <v>198399999.99999997</v>
      </c>
      <c r="L82" s="1">
        <f>Damped[[#This Row],[ξIV '[-']]]/API_check(Damped[[#This Row],[fIV/frun]])</f>
        <v>402599999.99999994</v>
      </c>
      <c r="M82" s="1">
        <f>Damped[[#This Row],[ξV '[-']]]/API_check(Damped[[#This Row],[fV/frun]])</f>
        <v>651100000</v>
      </c>
      <c r="N82" s="1">
        <f>Damped[[#This Row],[ξVI '[-']]]/API_check(Damped[[#This Row],[fVI/frun]])</f>
        <v>230700000</v>
      </c>
      <c r="O82" s="1">
        <f>Damped[[#This Row],[ξVII '[-']]]/API_check(Damped[[#This Row],[fVII/frun]])</f>
        <v>484500000</v>
      </c>
      <c r="P82" s="1">
        <f>Damped[[#This Row],[ξVIII '[-']]]/API_check(Damped[[#This Row],[fVIII/frun]])</f>
        <v>504099999.99999994</v>
      </c>
      <c r="Q82" s="1" t="e">
        <f>Damped[[#This Row],[ξIX '[-']]]/API_check(Damped[[#This Row],[fIX/frun]])</f>
        <v>#N/A</v>
      </c>
      <c r="R82" s="1" t="e">
        <f>Damped[[#This Row],[ξX '[-']]]/API_check(Damped[[#This Row],[fX/frun]])</f>
        <v>#N/A</v>
      </c>
      <c r="S82" s="1" t="e">
        <f>Damped[[#This Row],[ξXI '[-']]]/API_check(Damped[[#This Row],[fXI/frun]])</f>
        <v>#N/A</v>
      </c>
      <c r="T82" s="1" t="e">
        <f>Damped[[#This Row],[ξXII '[-']]]/API_check(Damped[[#This Row],[fXII/frun]])</f>
        <v>#N/A</v>
      </c>
      <c r="U82" s="1" cm="1">
        <f t="array" ref="U82">_xlfn.IFS($I$32=1,IF(ISBLANK(dry!C19),NA(),dry!C19),$I$32=2,IF(ISBLANK('as new'!C19),NA(),'as new'!C19),$I$32=3,IF(ISBLANK('twice as new'!C19),NA(),'twice as new'!C19))</f>
        <v>0.82909999999999995</v>
      </c>
      <c r="V82" s="1" cm="1">
        <f t="array" ref="V82">_xlfn.IFS($I$32=1,IF(ISBLANK(dry!D19),NA(),dry!D19),$I$32=2,IF(ISBLANK('as new'!D19),NA(),'as new'!D19),$I$32=3,IF(ISBLANK('twice as new'!D19),NA(),'twice as new'!D19))</f>
        <v>5218.9800000000005</v>
      </c>
      <c r="W82" s="1" cm="1">
        <f t="array" ref="W82">_xlfn.IFS($I$32=1,IF(ISBLANK(dry!E19),NA(),dry!E19),$I$32=2,IF(ISBLANK('as new'!E19),NA(),'as new'!E19),$I$32=3,IF(ISBLANK('twice as new'!E19),NA(),'twice as new'!E19))</f>
        <v>0.17120000000000002</v>
      </c>
      <c r="X82" s="1" cm="1">
        <f t="array" ref="X82">_xlfn.IFS($I$32=1,IF(ISBLANK(dry!F19),NA(),dry!F19),$I$32=2,IF(ISBLANK('as new'!F19),NA(),'as new'!F19),$I$32=3,IF(ISBLANK('twice as new'!F19),NA(),'twice as new'!F19))</f>
        <v>7872.18</v>
      </c>
      <c r="Y82" s="1" cm="1">
        <f t="array" ref="Y82">_xlfn.IFS($I$32=1,IF(ISBLANK(dry!G19),NA(),dry!G19),$I$32=2,IF(ISBLANK('as new'!G19),NA(),'as new'!G19),$I$32=3,IF(ISBLANK('twice as new'!G19),NA(),'twice as new'!G19))</f>
        <v>0.19839999999999999</v>
      </c>
      <c r="Z82" s="1" cm="1">
        <f t="array" ref="Z82">_xlfn.IFS($I$32=1,IF(ISBLANK(dry!H19),NA(),dry!H19),$I$32=2,IF(ISBLANK('as new'!H19),NA(),'as new'!H19),$I$32=3,IF(ISBLANK('twice as new'!H19),NA(),'twice as new'!H19))</f>
        <v>8138.22</v>
      </c>
      <c r="AA82" s="1" cm="1">
        <f t="array" ref="AA82">_xlfn.IFS($I$32=1,IF(ISBLANK(dry!I19),NA(),dry!I19),$I$32=2,IF(ISBLANK('as new'!I19),NA(),'as new'!I19),$I$32=3,IF(ISBLANK('twice as new'!I19),NA(),'twice as new'!I19))</f>
        <v>0.40259999999999996</v>
      </c>
      <c r="AB82" s="1" cm="1">
        <f t="array" ref="AB82">_xlfn.IFS($I$32=1,IF(ISBLANK(dry!J19),NA(),dry!J19),$I$32=2,IF(ISBLANK('as new'!J19),NA(),'as new'!J19),$I$32=3,IF(ISBLANK('twice as new'!J19),NA(),'twice as new'!J19))</f>
        <v>8158.5599999999995</v>
      </c>
      <c r="AC82" s="1" cm="1">
        <f t="array" ref="AC82">_xlfn.IFS($I$32=1,IF(ISBLANK(dry!K19),NA(),dry!K19),$I$32=2,IF(ISBLANK('as new'!K19),NA(),'as new'!K19),$I$32=3,IF(ISBLANK('twice as new'!K19),NA(),'twice as new'!K19))</f>
        <v>0.65110000000000001</v>
      </c>
      <c r="AD82" s="1" cm="1">
        <f t="array" ref="AD82">_xlfn.IFS($I$32=1,IF(ISBLANK(dry!L19),NA(),dry!L19),$I$32=2,IF(ISBLANK('as new'!L19),NA(),'as new'!L19),$I$32=3,IF(ISBLANK('twice as new'!L19),NA(),'twice as new'!L19))</f>
        <v>8849.94</v>
      </c>
      <c r="AE82" s="1" cm="1">
        <f t="array" ref="AE82">_xlfn.IFS($I$32=1,IF(ISBLANK(dry!M19),NA(),dry!M19),$I$32=2,IF(ISBLANK('as new'!M19),NA(),'as new'!M19),$I$32=3,IF(ISBLANK('twice as new'!M19),NA(),'twice as new'!M19))</f>
        <v>0.23070000000000002</v>
      </c>
      <c r="AF82" s="1" cm="1">
        <f t="array" ref="AF82">_xlfn.IFS($I$32=1,IF(ISBLANK(dry!N19),NA(),dry!N19),$I$32=2,IF(ISBLANK('as new'!N19),NA(),'as new'!N19),$I$32=3,IF(ISBLANK('twice as new'!N19),NA(),'twice as new'!N19))</f>
        <v>8072.2800000000007</v>
      </c>
      <c r="AG82" s="1" cm="1">
        <f t="array" ref="AG82">_xlfn.IFS($I$32=1,IF(ISBLANK(dry!O19),NA(),dry!O19),$I$32=2,IF(ISBLANK('as new'!O19),NA(),'as new'!O19),$I$32=3,IF(ISBLANK('twice as new'!O19),NA(),'twice as new'!O19))</f>
        <v>0.48450000000000004</v>
      </c>
      <c r="AH82" s="1" cm="1">
        <f t="array" ref="AH82">_xlfn.IFS($I$32=1,IF(ISBLANK(dry!P19),NA(),dry!P19),$I$32=2,IF(ISBLANK('as new'!P19),NA(),'as new'!P19),$I$32=3,IF(ISBLANK('twice as new'!P19),NA(),'twice as new'!P19))</f>
        <v>11260.68</v>
      </c>
      <c r="AI82" s="1" cm="1">
        <f t="array" ref="AI82">_xlfn.IFS($I$32=1,IF(ISBLANK(dry!Q19),NA(),dry!Q19),$I$32=2,IF(ISBLANK('as new'!Q19),NA(),'as new'!Q19),$I$32=3,IF(ISBLANK('twice as new'!Q19),NA(),'twice as new'!Q19))</f>
        <v>0.50409999999999999</v>
      </c>
      <c r="AJ82" s="1" cm="1">
        <f t="array" ref="AJ82">_xlfn.IFS($I$32=1,IF(ISBLANK(dry!R19),NA(),dry!R19),$I$32=2,IF(ISBLANK('as new'!R19),NA(),'as new'!R19),$I$32=3,IF(ISBLANK('twice as new'!R19),NA(),'twice as new'!R19))</f>
        <v>7882.0199999999995</v>
      </c>
      <c r="AK82" s="1" t="e">
        <f>IF(CHOOSE($I$32,dry!S19,'as new'!S19,'twice as new'!S19)=0,NA(),CHOOSE($I$32,dry!S19,'as new'!S19,'twice as new'!S19))</f>
        <v>#N/A</v>
      </c>
      <c r="AL82" s="1" t="e">
        <f>IF(CHOOSE($I$32,dry!T19,'as new'!T19,'twice as new'!T19)=0,NA(),CHOOSE($I$32,dry!T19,'as new'!T19,'twice as new'!T19))</f>
        <v>#N/A</v>
      </c>
      <c r="AM82" s="1" t="e">
        <f>IF(CHOOSE($I$32,dry!U19,'as new'!U19,'twice as new'!U19)=0,NA(),CHOOSE($I$32,dry!U19,'as new'!U19,'twice as new'!U19))</f>
        <v>#N/A</v>
      </c>
      <c r="AN82" s="1" t="e">
        <f>IF(CHOOSE($I$32,dry!V19,'as new'!V19,'twice as new'!V19)=0,NA(),CHOOSE($I$32,dry!V19,'as new'!V19,'twice as new'!V19))</f>
        <v>#N/A</v>
      </c>
      <c r="AO82" s="1" t="e">
        <f>IF(CHOOSE($I$32,dry!W19,'as new'!W19,'twice as new'!W19)=0,NA(),CHOOSE($I$32,dry!W19,'as new'!W19,'twice as new'!W19))</f>
        <v>#N/A</v>
      </c>
      <c r="AP82" s="1" t="e">
        <f>IF(CHOOSE($I$32,dry!X19,'as new'!X19,'twice as new'!X19)=0,NA(),CHOOSE($I$32,dry!X19,'as new'!X19,'twice as new'!X19))</f>
        <v>#N/A</v>
      </c>
      <c r="AQ82" s="1" t="e">
        <f>IF(CHOOSE($I$32,dry!Y19,'as new'!Y19,'twice as new'!Y19)=0,NA(),CHOOSE($I$32,dry!Y19,'as new'!Y19,'twice as new'!Y19))</f>
        <v>#N/A</v>
      </c>
      <c r="AR82" s="1" t="e">
        <f>IF(CHOOSE($I$32,dry!Z19,'as new'!Z19,'twice as new'!Z19)=0,NA(),CHOOSE($I$32,dry!Z19,'as new'!Z19,'twice as new'!Z19))</f>
        <v>#N/A</v>
      </c>
      <c r="AS82" s="1">
        <f>Damped[[#This Row],[fI '[rpm']]]/Damped[[#This Row],[frun '[rpm']]]</f>
        <v>0.99980459770114949</v>
      </c>
      <c r="AT82" s="1">
        <f>Damped[[#This Row],[fII '[rpm']]]/Damped[[#This Row],[frun '[rpm']]]</f>
        <v>1.508080459770115</v>
      </c>
      <c r="AU82" s="1">
        <f>Damped[[#This Row],[fIII '[rpm']]]/Damped[[#This Row],[frun '[rpm']]]</f>
        <v>1.5590459770114944</v>
      </c>
      <c r="AV82" s="1">
        <f>Damped[[#This Row],[fIV '[rpm']]]/Damped[[#This Row],[frun '[rpm']]]</f>
        <v>1.562942528735632</v>
      </c>
      <c r="AW82" s="1">
        <f>Damped[[#This Row],[fV '[rpm']]]/Damped[[#This Row],[frun '[rpm']]]</f>
        <v>1.6953908045977013</v>
      </c>
      <c r="AX82" s="1">
        <f>Damped[[#This Row],[fVI '[rpm']]]/Damped[[#This Row],[frun '[rpm']]]</f>
        <v>1.5464137931034485</v>
      </c>
      <c r="AY82" s="1">
        <f>Damped[[#This Row],[fVII '[rpm']]]/Damped[[#This Row],[frun '[rpm']]]</f>
        <v>2.1572183908045979</v>
      </c>
      <c r="AZ82" s="1">
        <f>Damped[[#This Row],[fVIII '[rpm']]]/Damped[[#This Row],[frun '[rpm']]]</f>
        <v>1.5099655172413793</v>
      </c>
      <c r="BA82" s="1" t="e">
        <f>Damped[[#This Row],[fIX '[rpm']]]/Damped[[#This Row],[frun '[rpm']]]</f>
        <v>#N/A</v>
      </c>
      <c r="BB82" s="1" t="e">
        <f>Damped[[#This Row],[fX '[rpm']]]/Damped[[#This Row],[frun '[rpm']]]</f>
        <v>#N/A</v>
      </c>
      <c r="BC82" s="1" t="e">
        <f>Damped[[#This Row],[fXI '[rpm']]]/Damped[[#This Row],[frun '[rpm']]]</f>
        <v>#N/A</v>
      </c>
      <c r="BD82" s="1" t="e">
        <f>Damped[[#This Row],[fXII '[rpm']]]/Damped[[#This Row],[frun '[rpm']]]</f>
        <v>#N/A</v>
      </c>
    </row>
    <row r="83" spans="8:56" x14ac:dyDescent="0.25">
      <c r="H83" s="1" cm="1">
        <f t="array" ref="H83">_xlfn.IFS($I$32=1,IF(ISBLANK(dry!B20),NA(),dry!B20),$I$32=2,IF(ISBLANK('as new'!B20),NA(),'as new'!B20),$I$32=3,IF(ISBLANK('twice as new'!B20),NA(),'twice as new'!B20))</f>
        <v>5481</v>
      </c>
      <c r="I83" s="1">
        <f>Damped[[#This Row],[ξI '[-']]]/API_check(Damped[[#This Row],[fI/frun]])</f>
        <v>5.5773333333333337</v>
      </c>
      <c r="J83" s="1">
        <f>Damped[[#This Row],[ξII '[-']]]/API_check(Damped[[#This Row],[fII/frun]])</f>
        <v>11.253333333333332</v>
      </c>
      <c r="K83" s="1">
        <f>Damped[[#This Row],[ξIII '[-']]]/API_check(Damped[[#This Row],[fIII/frun]])</f>
        <v>12.346666666666668</v>
      </c>
      <c r="L83" s="1">
        <f>Damped[[#This Row],[ξIV '[-']]]/API_check(Damped[[#This Row],[fIV/frun]])</f>
        <v>392400000</v>
      </c>
      <c r="M83" s="1">
        <f>Damped[[#This Row],[ξV '[-']]]/API_check(Damped[[#This Row],[fV/frun]])</f>
        <v>677099999.99999988</v>
      </c>
      <c r="N83" s="1">
        <f>Damped[[#This Row],[ξVI '[-']]]/API_check(Damped[[#This Row],[fVI/frun]])</f>
        <v>234800000</v>
      </c>
      <c r="O83" s="1">
        <f>Damped[[#This Row],[ξVII '[-']]]/API_check(Damped[[#This Row],[fVII/frun]])</f>
        <v>509700000</v>
      </c>
      <c r="P83" s="1">
        <f>Damped[[#This Row],[ξVIII '[-']]]/API_check(Damped[[#This Row],[fVIII/frun]])</f>
        <v>503299999.99999994</v>
      </c>
      <c r="Q83" s="1" t="e">
        <f>Damped[[#This Row],[ξIX '[-']]]/API_check(Damped[[#This Row],[fIX/frun]])</f>
        <v>#N/A</v>
      </c>
      <c r="R83" s="1" t="e">
        <f>Damped[[#This Row],[ξX '[-']]]/API_check(Damped[[#This Row],[fX/frun]])</f>
        <v>#N/A</v>
      </c>
      <c r="S83" s="1" t="e">
        <f>Damped[[#This Row],[ξXI '[-']]]/API_check(Damped[[#This Row],[fXI/frun]])</f>
        <v>#N/A</v>
      </c>
      <c r="T83" s="1" t="e">
        <f>Damped[[#This Row],[ξXII '[-']]]/API_check(Damped[[#This Row],[fXII/frun]])</f>
        <v>#N/A</v>
      </c>
      <c r="U83" s="1" cm="1">
        <f t="array" ref="U83">_xlfn.IFS($I$32=1,IF(ISBLANK(dry!C20),NA(),dry!C20),$I$32=2,IF(ISBLANK('as new'!C20),NA(),'as new'!C20),$I$32=3,IF(ISBLANK('twice as new'!C20),NA(),'twice as new'!C20))</f>
        <v>0.83660000000000001</v>
      </c>
      <c r="V83" s="1" cm="1">
        <f t="array" ref="V83">_xlfn.IFS($I$32=1,IF(ISBLANK(dry!D20),NA(),dry!D20),$I$32=2,IF(ISBLANK('as new'!D20),NA(),'as new'!D20),$I$32=3,IF(ISBLANK('twice as new'!D20),NA(),'twice as new'!D20))</f>
        <v>5397.42</v>
      </c>
      <c r="W83" s="1" cm="1">
        <f t="array" ref="W83">_xlfn.IFS($I$32=1,IF(ISBLANK(dry!E20),NA(),dry!E20),$I$32=2,IF(ISBLANK('as new'!E20),NA(),'as new'!E20),$I$32=3,IF(ISBLANK('twice as new'!E20),NA(),'twice as new'!E20))</f>
        <v>0.16879999999999998</v>
      </c>
      <c r="X83" s="1" cm="1">
        <f t="array" ref="X83">_xlfn.IFS($I$32=1,IF(ISBLANK(dry!F20),NA(),dry!F20),$I$32=2,IF(ISBLANK('as new'!F20),NA(),'as new'!F20),$I$32=3,IF(ISBLANK('twice as new'!F20),NA(),'twice as new'!F20))</f>
        <v>7852.92</v>
      </c>
      <c r="Y83" s="1" cm="1">
        <f t="array" ref="Y83">_xlfn.IFS($I$32=1,IF(ISBLANK(dry!G20),NA(),dry!G20),$I$32=2,IF(ISBLANK('as new'!G20),NA(),'as new'!G20),$I$32=3,IF(ISBLANK('twice as new'!G20),NA(),'twice as new'!G20))</f>
        <v>0.1852</v>
      </c>
      <c r="Z83" s="1" cm="1">
        <f t="array" ref="Z83">_xlfn.IFS($I$32=1,IF(ISBLANK(dry!H20),NA(),dry!H20),$I$32=2,IF(ISBLANK('as new'!H20),NA(),'as new'!H20),$I$32=3,IF(ISBLANK('twice as new'!H20),NA(),'twice as new'!H20))</f>
        <v>8029.68</v>
      </c>
      <c r="AA83" s="1" cm="1">
        <f t="array" ref="AA83">_xlfn.IFS($I$32=1,IF(ISBLANK(dry!I20),NA(),dry!I20),$I$32=2,IF(ISBLANK('as new'!I20),NA(),'as new'!I20),$I$32=3,IF(ISBLANK('twice as new'!I20),NA(),'twice as new'!I20))</f>
        <v>0.39240000000000003</v>
      </c>
      <c r="AB83" s="1" cm="1">
        <f t="array" ref="AB83">_xlfn.IFS($I$32=1,IF(ISBLANK(dry!J20),NA(),dry!J20),$I$32=2,IF(ISBLANK('as new'!J20),NA(),'as new'!J20),$I$32=3,IF(ISBLANK('twice as new'!J20),NA(),'twice as new'!J20))</f>
        <v>8412.24</v>
      </c>
      <c r="AC83" s="1" cm="1">
        <f t="array" ref="AC83">_xlfn.IFS($I$32=1,IF(ISBLANK(dry!K20),NA(),dry!K20),$I$32=2,IF(ISBLANK('as new'!K20),NA(),'as new'!K20),$I$32=3,IF(ISBLANK('twice as new'!K20),NA(),'twice as new'!K20))</f>
        <v>0.67709999999999992</v>
      </c>
      <c r="AD83" s="1" cm="1">
        <f t="array" ref="AD83">_xlfn.IFS($I$32=1,IF(ISBLANK(dry!L20),NA(),dry!L20),$I$32=2,IF(ISBLANK('as new'!L20),NA(),'as new'!L20),$I$32=3,IF(ISBLANK('twice as new'!L20),NA(),'twice as new'!L20))</f>
        <v>8843.7000000000007</v>
      </c>
      <c r="AE83" s="1" cm="1">
        <f t="array" ref="AE83">_xlfn.IFS($I$32=1,IF(ISBLANK(dry!M20),NA(),dry!M20),$I$32=2,IF(ISBLANK('as new'!M20),NA(),'as new'!M20),$I$32=3,IF(ISBLANK('twice as new'!M20),NA(),'twice as new'!M20))</f>
        <v>0.23480000000000001</v>
      </c>
      <c r="AF83" s="1" cm="1">
        <f t="array" ref="AF83">_xlfn.IFS($I$32=1,IF(ISBLANK(dry!N20),NA(),dry!N20),$I$32=2,IF(ISBLANK('as new'!N20),NA(),'as new'!N20),$I$32=3,IF(ISBLANK('twice as new'!N20),NA(),'twice as new'!N20))</f>
        <v>8439.7800000000007</v>
      </c>
      <c r="AG83" s="1" cm="1">
        <f t="array" ref="AG83">_xlfn.IFS($I$32=1,IF(ISBLANK(dry!O20),NA(),dry!O20),$I$32=2,IF(ISBLANK('as new'!O20),NA(),'as new'!O20),$I$32=3,IF(ISBLANK('twice as new'!O20),NA(),'twice as new'!O20))</f>
        <v>0.50970000000000004</v>
      </c>
      <c r="AH83" s="1" cm="1">
        <f t="array" ref="AH83">_xlfn.IFS($I$32=1,IF(ISBLANK(dry!P20),NA(),dry!P20),$I$32=2,IF(ISBLANK('as new'!P20),NA(),'as new'!P20),$I$32=3,IF(ISBLANK('twice as new'!P20),NA(),'twice as new'!P20))</f>
        <v>11084.16</v>
      </c>
      <c r="AI83" s="1" cm="1">
        <f t="array" ref="AI83">_xlfn.IFS($I$32=1,IF(ISBLANK(dry!Q20),NA(),dry!Q20),$I$32=2,IF(ISBLANK('as new'!Q20),NA(),'as new'!Q20),$I$32=3,IF(ISBLANK('twice as new'!Q20),NA(),'twice as new'!Q20))</f>
        <v>0.50329999999999997</v>
      </c>
      <c r="AJ83" s="1" cm="1">
        <f t="array" ref="AJ83">_xlfn.IFS($I$32=1,IF(ISBLANK(dry!R20),NA(),dry!R20),$I$32=2,IF(ISBLANK('as new'!R20),NA(),'as new'!R20),$I$32=3,IF(ISBLANK('twice as new'!R20),NA(),'twice as new'!R20))</f>
        <v>8511.66</v>
      </c>
      <c r="AK83" s="1" t="e">
        <f>IF(CHOOSE($I$32,dry!S20,'as new'!S20,'twice as new'!S20)=0,NA(),CHOOSE($I$32,dry!S20,'as new'!S20,'twice as new'!S20))</f>
        <v>#N/A</v>
      </c>
      <c r="AL83" s="1" t="e">
        <f>IF(CHOOSE($I$32,dry!T20,'as new'!T20,'twice as new'!T20)=0,NA(),CHOOSE($I$32,dry!T20,'as new'!T20,'twice as new'!T20))</f>
        <v>#N/A</v>
      </c>
      <c r="AM83" s="1" t="e">
        <f>IF(CHOOSE($I$32,dry!U20,'as new'!U20,'twice as new'!U20)=0,NA(),CHOOSE($I$32,dry!U20,'as new'!U20,'twice as new'!U20))</f>
        <v>#N/A</v>
      </c>
      <c r="AN83" s="1" t="e">
        <f>IF(CHOOSE($I$32,dry!V20,'as new'!V20,'twice as new'!V20)=0,NA(),CHOOSE($I$32,dry!V20,'as new'!V20,'twice as new'!V20))</f>
        <v>#N/A</v>
      </c>
      <c r="AO83" s="1" t="e">
        <f>IF(CHOOSE($I$32,dry!W20,'as new'!W20,'twice as new'!W20)=0,NA(),CHOOSE($I$32,dry!W20,'as new'!W20,'twice as new'!W20))</f>
        <v>#N/A</v>
      </c>
      <c r="AP83" s="1" t="e">
        <f>IF(CHOOSE($I$32,dry!X20,'as new'!X20,'twice as new'!X20)=0,NA(),CHOOSE($I$32,dry!X20,'as new'!X20,'twice as new'!X20))</f>
        <v>#N/A</v>
      </c>
      <c r="AQ83" s="1" t="e">
        <f>IF(CHOOSE($I$32,dry!Y20,'as new'!Y20,'twice as new'!Y20)=0,NA(),CHOOSE($I$32,dry!Y20,'as new'!Y20,'twice as new'!Y20))</f>
        <v>#N/A</v>
      </c>
      <c r="AR83" s="1" t="e">
        <f>IF(CHOOSE($I$32,dry!Z20,'as new'!Z20,'twice as new'!Z20)=0,NA(),CHOOSE($I$32,dry!Z20,'as new'!Z20,'twice as new'!Z20))</f>
        <v>#N/A</v>
      </c>
      <c r="AS83" s="1">
        <f>Damped[[#This Row],[fI '[rpm']]]/Damped[[#This Row],[frun '[rpm']]]</f>
        <v>0.98475095785440614</v>
      </c>
      <c r="AT83" s="1">
        <f>Damped[[#This Row],[fII '[rpm']]]/Damped[[#This Row],[frun '[rpm']]]</f>
        <v>1.4327531472359059</v>
      </c>
      <c r="AU83" s="1">
        <f>Damped[[#This Row],[fIII '[rpm']]]/Damped[[#This Row],[frun '[rpm']]]</f>
        <v>1.4650027367268748</v>
      </c>
      <c r="AV83" s="1">
        <f>Damped[[#This Row],[fIV '[rpm']]]/Damped[[#This Row],[frun '[rpm']]]</f>
        <v>1.53480021893815</v>
      </c>
      <c r="AW83" s="1">
        <f>Damped[[#This Row],[fV '[rpm']]]/Damped[[#This Row],[frun '[rpm']]]</f>
        <v>1.6135194307608103</v>
      </c>
      <c r="AX83" s="1">
        <f>Damped[[#This Row],[fVI '[rpm']]]/Damped[[#This Row],[frun '[rpm']]]</f>
        <v>1.539824849480022</v>
      </c>
      <c r="AY83" s="1">
        <f>Damped[[#This Row],[fVII '[rpm']]]/Damped[[#This Row],[frun '[rpm']]]</f>
        <v>2.0222879036672139</v>
      </c>
      <c r="AZ83" s="1">
        <f>Damped[[#This Row],[fVIII '[rpm']]]/Damped[[#This Row],[frun '[rpm']]]</f>
        <v>1.5529392446633825</v>
      </c>
      <c r="BA83" s="1" t="e">
        <f>Damped[[#This Row],[fIX '[rpm']]]/Damped[[#This Row],[frun '[rpm']]]</f>
        <v>#N/A</v>
      </c>
      <c r="BB83" s="1" t="e">
        <f>Damped[[#This Row],[fX '[rpm']]]/Damped[[#This Row],[frun '[rpm']]]</f>
        <v>#N/A</v>
      </c>
      <c r="BC83" s="1" t="e">
        <f>Damped[[#This Row],[fXI '[rpm']]]/Damped[[#This Row],[frun '[rpm']]]</f>
        <v>#N/A</v>
      </c>
      <c r="BD83" s="1" t="e">
        <f>Damped[[#This Row],[fXII '[rpm']]]/Damped[[#This Row],[frun '[rpm']]]</f>
        <v>#N/A</v>
      </c>
    </row>
    <row r="84" spans="8:56" x14ac:dyDescent="0.25">
      <c r="H84" s="1" cm="1">
        <f t="array" ref="H84">_xlfn.IFS($I$32=1,IF(ISBLANK(dry!B21),NA(),dry!B21),$I$32=2,IF(ISBLANK('as new'!B21),NA(),'as new'!B21),$I$32=3,IF(ISBLANK('twice as new'!B21),NA(),'twice as new'!B21))</f>
        <v>5742</v>
      </c>
      <c r="I84" s="1">
        <f>Damped[[#This Row],[ξI '[-']]]/API_check(Damped[[#This Row],[fI/frun]])</f>
        <v>5.631333333333334</v>
      </c>
      <c r="J84" s="1">
        <f>Damped[[#This Row],[ξII '[-']]]/API_check(Damped[[#This Row],[fII/frun]])</f>
        <v>11.066666666666668</v>
      </c>
      <c r="K84" s="1">
        <f>Damped[[#This Row],[ξIII '[-']]]/API_check(Damped[[#This Row],[fIII/frun]])</f>
        <v>11.753333333333332</v>
      </c>
      <c r="L84" s="1">
        <f>Damped[[#This Row],[ξIV '[-']]]/API_check(Damped[[#This Row],[fIV/frun]])</f>
        <v>385799999.99999994</v>
      </c>
      <c r="M84" s="1">
        <f>Damped[[#This Row],[ξV '[-']]]/API_check(Damped[[#This Row],[fV/frun]])</f>
        <v>694899999.99999988</v>
      </c>
      <c r="N84" s="1">
        <f>Damped[[#This Row],[ξVI '[-']]]/API_check(Damped[[#This Row],[fVI/frun]])</f>
        <v>233399999.99999997</v>
      </c>
      <c r="O84" s="1">
        <f>Damped[[#This Row],[ξVII '[-']]]/API_check(Damped[[#This Row],[fVII/frun]])</f>
        <v>542700000</v>
      </c>
      <c r="P84" s="1">
        <f>Damped[[#This Row],[ξVIII '[-']]]/API_check(Damped[[#This Row],[fVIII/frun]])</f>
        <v>496199999.99999994</v>
      </c>
      <c r="Q84" s="1" t="e">
        <f>Damped[[#This Row],[ξIX '[-']]]/API_check(Damped[[#This Row],[fIX/frun]])</f>
        <v>#N/A</v>
      </c>
      <c r="R84" s="1" t="e">
        <f>Damped[[#This Row],[ξX '[-']]]/API_check(Damped[[#This Row],[fX/frun]])</f>
        <v>#N/A</v>
      </c>
      <c r="S84" s="1" t="e">
        <f>Damped[[#This Row],[ξXI '[-']]]/API_check(Damped[[#This Row],[fXI/frun]])</f>
        <v>#N/A</v>
      </c>
      <c r="T84" s="1" t="e">
        <f>Damped[[#This Row],[ξXII '[-']]]/API_check(Damped[[#This Row],[fXII/frun]])</f>
        <v>#N/A</v>
      </c>
      <c r="U84" s="1" cm="1">
        <f t="array" ref="U84">_xlfn.IFS($I$32=1,IF(ISBLANK(dry!C21),NA(),dry!C21),$I$32=2,IF(ISBLANK('as new'!C21),NA(),'as new'!C21),$I$32=3,IF(ISBLANK('twice as new'!C21),NA(),'twice as new'!C21))</f>
        <v>0.84470000000000001</v>
      </c>
      <c r="V84" s="1" cm="1">
        <f t="array" ref="V84">_xlfn.IFS($I$32=1,IF(ISBLANK(dry!D21),NA(),dry!D21),$I$32=2,IF(ISBLANK('as new'!D21),NA(),'as new'!D21),$I$32=3,IF(ISBLANK('twice as new'!D21),NA(),'twice as new'!D21))</f>
        <v>5555.04</v>
      </c>
      <c r="W84" s="1" cm="1">
        <f t="array" ref="W84">_xlfn.IFS($I$32=1,IF(ISBLANK(dry!E21),NA(),dry!E21),$I$32=2,IF(ISBLANK('as new'!E21),NA(),'as new'!E21),$I$32=3,IF(ISBLANK('twice as new'!E21),NA(),'twice as new'!E21))</f>
        <v>0.16600000000000001</v>
      </c>
      <c r="X84" s="1" cm="1">
        <f t="array" ref="X84">_xlfn.IFS($I$32=1,IF(ISBLANK(dry!F21),NA(),dry!F21),$I$32=2,IF(ISBLANK('as new'!F21),NA(),'as new'!F21),$I$32=3,IF(ISBLANK('twice as new'!F21),NA(),'twice as new'!F21))</f>
        <v>7834.7400000000007</v>
      </c>
      <c r="Y84" s="1" cm="1">
        <f t="array" ref="Y84">_xlfn.IFS($I$32=1,IF(ISBLANK(dry!G21),NA(),dry!G21),$I$32=2,IF(ISBLANK('as new'!G21),NA(),'as new'!G21),$I$32=3,IF(ISBLANK('twice as new'!G21),NA(),'twice as new'!G21))</f>
        <v>0.17629999999999998</v>
      </c>
      <c r="Z84" s="1" cm="1">
        <f t="array" ref="Z84">_xlfn.IFS($I$32=1,IF(ISBLANK(dry!H21),NA(),dry!H21),$I$32=2,IF(ISBLANK('as new'!H21),NA(),'as new'!H21),$I$32=3,IF(ISBLANK('twice as new'!H21),NA(),'twice as new'!H21))</f>
        <v>8012.88</v>
      </c>
      <c r="AA84" s="1" cm="1">
        <f t="array" ref="AA84">_xlfn.IFS($I$32=1,IF(ISBLANK(dry!I21),NA(),dry!I21),$I$32=2,IF(ISBLANK('as new'!I21),NA(),'as new'!I21),$I$32=3,IF(ISBLANK('twice as new'!I21),NA(),'twice as new'!I21))</f>
        <v>0.38579999999999998</v>
      </c>
      <c r="AB84" s="1" cm="1">
        <f t="array" ref="AB84">_xlfn.IFS($I$32=1,IF(ISBLANK(dry!J21),NA(),dry!J21),$I$32=2,IF(ISBLANK('as new'!J21),NA(),'as new'!J21),$I$32=3,IF(ISBLANK('twice as new'!J21),NA(),'twice as new'!J21))</f>
        <v>8647.0199999999986</v>
      </c>
      <c r="AC84" s="1" cm="1">
        <f t="array" ref="AC84">_xlfn.IFS($I$32=1,IF(ISBLANK(dry!K21),NA(),dry!K21),$I$32=2,IF(ISBLANK('as new'!K21),NA(),'as new'!K21),$I$32=3,IF(ISBLANK('twice as new'!K21),NA(),'twice as new'!K21))</f>
        <v>0.69489999999999996</v>
      </c>
      <c r="AD84" s="1" cm="1">
        <f t="array" ref="AD84">_xlfn.IFS($I$32=1,IF(ISBLANK(dry!L21),NA(),dry!L21),$I$32=2,IF(ISBLANK('as new'!L21),NA(),'as new'!L21),$I$32=3,IF(ISBLANK('twice as new'!L21),NA(),'twice as new'!L21))</f>
        <v>8907</v>
      </c>
      <c r="AE84" s="1" cm="1">
        <f t="array" ref="AE84">_xlfn.IFS($I$32=1,IF(ISBLANK(dry!M21),NA(),dry!M21),$I$32=2,IF(ISBLANK('as new'!M21),NA(),'as new'!M21),$I$32=3,IF(ISBLANK('twice as new'!M21),NA(),'twice as new'!M21))</f>
        <v>0.2334</v>
      </c>
      <c r="AF84" s="1" cm="1">
        <f t="array" ref="AF84">_xlfn.IFS($I$32=1,IF(ISBLANK(dry!N21),NA(),dry!N21),$I$32=2,IF(ISBLANK('as new'!N21),NA(),'as new'!N21),$I$32=3,IF(ISBLANK('twice as new'!N21),NA(),'twice as new'!N21))</f>
        <v>8722.26</v>
      </c>
      <c r="AG84" s="1" cm="1">
        <f t="array" ref="AG84">_xlfn.IFS($I$32=1,IF(ISBLANK(dry!O21),NA(),dry!O21),$I$32=2,IF(ISBLANK('as new'!O21),NA(),'as new'!O21),$I$32=3,IF(ISBLANK('twice as new'!O21),NA(),'twice as new'!O21))</f>
        <v>0.54270000000000007</v>
      </c>
      <c r="AH84" s="1" cm="1">
        <f t="array" ref="AH84">_xlfn.IFS($I$32=1,IF(ISBLANK(dry!P21),NA(),dry!P21),$I$32=2,IF(ISBLANK('as new'!P21),NA(),'as new'!P21),$I$32=3,IF(ISBLANK('twice as new'!P21),NA(),'twice as new'!P21))</f>
        <v>10769.04</v>
      </c>
      <c r="AI84" s="1" cm="1">
        <f t="array" ref="AI84">_xlfn.IFS($I$32=1,IF(ISBLANK(dry!Q21),NA(),dry!Q21),$I$32=2,IF(ISBLANK('as new'!Q21),NA(),'as new'!Q21),$I$32=3,IF(ISBLANK('twice as new'!Q21),NA(),'twice as new'!Q21))</f>
        <v>0.49619999999999997</v>
      </c>
      <c r="AJ84" s="1" cm="1">
        <f t="array" ref="AJ84">_xlfn.IFS($I$32=1,IF(ISBLANK(dry!R21),NA(),dry!R21),$I$32=2,IF(ISBLANK('as new'!R21),NA(),'as new'!R21),$I$32=3,IF(ISBLANK('twice as new'!R21),NA(),'twice as new'!R21))</f>
        <v>9233.94</v>
      </c>
      <c r="AK84" s="1" t="e">
        <f>IF(CHOOSE($I$32,dry!S21,'as new'!S21,'twice as new'!S21)=0,NA(),CHOOSE($I$32,dry!S21,'as new'!S21,'twice as new'!S21))</f>
        <v>#N/A</v>
      </c>
      <c r="AL84" s="1" t="e">
        <f>IF(CHOOSE($I$32,dry!T21,'as new'!T21,'twice as new'!T21)=0,NA(),CHOOSE($I$32,dry!T21,'as new'!T21,'twice as new'!T21))</f>
        <v>#N/A</v>
      </c>
      <c r="AM84" s="1" t="e">
        <f>IF(CHOOSE($I$32,dry!U21,'as new'!U21,'twice as new'!U21)=0,NA(),CHOOSE($I$32,dry!U21,'as new'!U21,'twice as new'!U21))</f>
        <v>#N/A</v>
      </c>
      <c r="AN84" s="1" t="e">
        <f>IF(CHOOSE($I$32,dry!V21,'as new'!V21,'twice as new'!V21)=0,NA(),CHOOSE($I$32,dry!V21,'as new'!V21,'twice as new'!V21))</f>
        <v>#N/A</v>
      </c>
      <c r="AO84" s="1" t="e">
        <f>IF(CHOOSE($I$32,dry!W21,'as new'!W21,'twice as new'!W21)=0,NA(),CHOOSE($I$32,dry!W21,'as new'!W21,'twice as new'!W21))</f>
        <v>#N/A</v>
      </c>
      <c r="AP84" s="1" t="e">
        <f>IF(CHOOSE($I$32,dry!X21,'as new'!X21,'twice as new'!X21)=0,NA(),CHOOSE($I$32,dry!X21,'as new'!X21,'twice as new'!X21))</f>
        <v>#N/A</v>
      </c>
      <c r="AQ84" s="1" t="e">
        <f>IF(CHOOSE($I$32,dry!Y21,'as new'!Y21,'twice as new'!Y21)=0,NA(),CHOOSE($I$32,dry!Y21,'as new'!Y21,'twice as new'!Y21))</f>
        <v>#N/A</v>
      </c>
      <c r="AR84" s="1" t="e">
        <f>IF(CHOOSE($I$32,dry!Z21,'as new'!Z21,'twice as new'!Z21)=0,NA(),CHOOSE($I$32,dry!Z21,'as new'!Z21,'twice as new'!Z21))</f>
        <v>#N/A</v>
      </c>
      <c r="AS84" s="1">
        <f>Damped[[#This Row],[fI '[rpm']]]/Damped[[#This Row],[frun '[rpm']]]</f>
        <v>0.96743991640543359</v>
      </c>
      <c r="AT84" s="1">
        <f>Damped[[#This Row],[fII '[rpm']]]/Damped[[#This Row],[frun '[rpm']]]</f>
        <v>1.3644618599791014</v>
      </c>
      <c r="AU84" s="1">
        <f>Damped[[#This Row],[fIII '[rpm']]]/Damped[[#This Row],[frun '[rpm']]]</f>
        <v>1.3954858934169279</v>
      </c>
      <c r="AV84" s="1">
        <f>Damped[[#This Row],[fIV '[rpm']]]/Damped[[#This Row],[frun '[rpm']]]</f>
        <v>1.5059247648902818</v>
      </c>
      <c r="AW84" s="1">
        <f>Damped[[#This Row],[fV '[rpm']]]/Damped[[#This Row],[frun '[rpm']]]</f>
        <v>1.5512016718913271</v>
      </c>
      <c r="AX84" s="1">
        <f>Damped[[#This Row],[fVI '[rpm']]]/Damped[[#This Row],[frun '[rpm']]]</f>
        <v>1.5190282131661443</v>
      </c>
      <c r="AY84" s="1">
        <f>Damped[[#This Row],[fVII '[rpm']]]/Damped[[#This Row],[frun '[rpm']]]</f>
        <v>1.8754858934169281</v>
      </c>
      <c r="AZ84" s="1">
        <f>Damped[[#This Row],[fVIII '[rpm']]]/Damped[[#This Row],[frun '[rpm']]]</f>
        <v>1.6081400208986416</v>
      </c>
      <c r="BA84" s="1" t="e">
        <f>Damped[[#This Row],[fIX '[rpm']]]/Damped[[#This Row],[frun '[rpm']]]</f>
        <v>#N/A</v>
      </c>
      <c r="BB84" s="1" t="e">
        <f>Damped[[#This Row],[fX '[rpm']]]/Damped[[#This Row],[frun '[rpm']]]</f>
        <v>#N/A</v>
      </c>
      <c r="BC84" s="1" t="e">
        <f>Damped[[#This Row],[fXI '[rpm']]]/Damped[[#This Row],[frun '[rpm']]]</f>
        <v>#N/A</v>
      </c>
      <c r="BD84" s="1" t="e">
        <f>Damped[[#This Row],[fXII '[rpm']]]/Damped[[#This Row],[frun '[rpm']]]</f>
        <v>#N/A</v>
      </c>
    </row>
    <row r="85" spans="8:56" x14ac:dyDescent="0.25">
      <c r="H85" s="1" cm="1">
        <f t="array" ref="H85">_xlfn.IFS($I$32=1,IF(ISBLANK(dry!B22),NA(),dry!B22),$I$32=2,IF(ISBLANK('as new'!B22),NA(),'as new'!B22),$I$32=3,IF(ISBLANK('twice as new'!B22),NA(),'twice as new'!B22))</f>
        <v>6003</v>
      </c>
      <c r="I85" s="1">
        <f>Damped[[#This Row],[ξI '[-']]]/API_check(Damped[[#This Row],[fI/frun]])</f>
        <v>5.6873333333333331</v>
      </c>
      <c r="J85" s="1">
        <f>Damped[[#This Row],[ξII '[-']]]/API_check(Damped[[#This Row],[fII/frun]])</f>
        <v>10.846666666666666</v>
      </c>
      <c r="K85" s="1">
        <f>Damped[[#This Row],[ξIII '[-']]]/API_check(Damped[[#This Row],[fIII/frun]])</f>
        <v>11.286666666666667</v>
      </c>
      <c r="L85" s="1">
        <f>Damped[[#This Row],[ξIV '[-']]]/API_check(Damped[[#This Row],[fIV/frun]])</f>
        <v>25.439999999999998</v>
      </c>
      <c r="M85" s="1">
        <f>Damped[[#This Row],[ξV '[-']]]/API_check(Damped[[#This Row],[fV/frun]])</f>
        <v>702500000</v>
      </c>
      <c r="N85" s="1">
        <f>Damped[[#This Row],[ξVI '[-']]]/API_check(Damped[[#This Row],[fVI/frun]])</f>
        <v>229300000</v>
      </c>
      <c r="O85" s="1">
        <f>Damped[[#This Row],[ξVII '[-']]]/API_check(Damped[[#This Row],[fVII/frun]])</f>
        <v>591199999.99999988</v>
      </c>
      <c r="P85" s="1">
        <f>Damped[[#This Row],[ξVIII '[-']]]/API_check(Damped[[#This Row],[fVIII/frun]])</f>
        <v>471899999.99999994</v>
      </c>
      <c r="Q85" s="1" t="e">
        <f>Damped[[#This Row],[ξIX '[-']]]/API_check(Damped[[#This Row],[fIX/frun]])</f>
        <v>#N/A</v>
      </c>
      <c r="R85" s="1" t="e">
        <f>Damped[[#This Row],[ξX '[-']]]/API_check(Damped[[#This Row],[fX/frun]])</f>
        <v>#N/A</v>
      </c>
      <c r="S85" s="1" t="e">
        <f>Damped[[#This Row],[ξXI '[-']]]/API_check(Damped[[#This Row],[fXI/frun]])</f>
        <v>#N/A</v>
      </c>
      <c r="T85" s="1" t="e">
        <f>Damped[[#This Row],[ξXII '[-']]]/API_check(Damped[[#This Row],[fXII/frun]])</f>
        <v>#N/A</v>
      </c>
      <c r="U85" s="1" cm="1">
        <f t="array" ref="U85">_xlfn.IFS($I$32=1,IF(ISBLANK(dry!C22),NA(),dry!C22),$I$32=2,IF(ISBLANK('as new'!C22),NA(),'as new'!C22),$I$32=3,IF(ISBLANK('twice as new'!C22),NA(),'twice as new'!C22))</f>
        <v>0.85309999999999997</v>
      </c>
      <c r="V85" s="1" cm="1">
        <f t="array" ref="V85">_xlfn.IFS($I$32=1,IF(ISBLANK(dry!D22),NA(),dry!D22),$I$32=2,IF(ISBLANK('as new'!D22),NA(),'as new'!D22),$I$32=3,IF(ISBLANK('twice as new'!D22),NA(),'twice as new'!D22))</f>
        <v>5701.08</v>
      </c>
      <c r="W85" s="1" cm="1">
        <f t="array" ref="W85">_xlfn.IFS($I$32=1,IF(ISBLANK(dry!E22),NA(),dry!E22),$I$32=2,IF(ISBLANK('as new'!E22),NA(),'as new'!E22),$I$32=3,IF(ISBLANK('twice as new'!E22),NA(),'twice as new'!E22))</f>
        <v>0.16269999999999998</v>
      </c>
      <c r="X85" s="1" cm="1">
        <f t="array" ref="X85">_xlfn.IFS($I$32=1,IF(ISBLANK(dry!F22),NA(),dry!F22),$I$32=2,IF(ISBLANK('as new'!F22),NA(),'as new'!F22),$I$32=3,IF(ISBLANK('twice as new'!F22),NA(),'twice as new'!F22))</f>
        <v>7818.3</v>
      </c>
      <c r="Y85" s="1" cm="1">
        <f t="array" ref="Y85">_xlfn.IFS($I$32=1,IF(ISBLANK(dry!G22),NA(),dry!G22),$I$32=2,IF(ISBLANK('as new'!G22),NA(),'as new'!G22),$I$32=3,IF(ISBLANK('twice as new'!G22),NA(),'twice as new'!G22))</f>
        <v>0.16930000000000001</v>
      </c>
      <c r="Z85" s="1" cm="1">
        <f t="array" ref="Z85">_xlfn.IFS($I$32=1,IF(ISBLANK(dry!H22),NA(),dry!H22),$I$32=2,IF(ISBLANK('as new'!H22),NA(),'as new'!H22),$I$32=3,IF(ISBLANK('twice as new'!H22),NA(),'twice as new'!H22))</f>
        <v>8006.9999999999991</v>
      </c>
      <c r="AA85" s="1" cm="1">
        <f t="array" ref="AA85">_xlfn.IFS($I$32=1,IF(ISBLANK(dry!I22),NA(),dry!I22),$I$32=2,IF(ISBLANK('as new'!I22),NA(),'as new'!I22),$I$32=3,IF(ISBLANK('twice as new'!I22),NA(),'twice as new'!I22))</f>
        <v>0.38159999999999994</v>
      </c>
      <c r="AB85" s="1" cm="1">
        <f t="array" ref="AB85">_xlfn.IFS($I$32=1,IF(ISBLANK(dry!J22),NA(),dry!J22),$I$32=2,IF(ISBLANK('as new'!J22),NA(),'as new'!J22),$I$32=3,IF(ISBLANK('twice as new'!J22),NA(),'twice as new'!J22))</f>
        <v>8876.16</v>
      </c>
      <c r="AC85" s="1" cm="1">
        <f t="array" ref="AC85">_xlfn.IFS($I$32=1,IF(ISBLANK(dry!K22),NA(),dry!K22),$I$32=2,IF(ISBLANK('as new'!K22),NA(),'as new'!K22),$I$32=3,IF(ISBLANK('twice as new'!K22),NA(),'twice as new'!K22))</f>
        <v>0.70250000000000001</v>
      </c>
      <c r="AD85" s="1" cm="1">
        <f t="array" ref="AD85">_xlfn.IFS($I$32=1,IF(ISBLANK(dry!L22),NA(),dry!L22),$I$32=2,IF(ISBLANK('as new'!L22),NA(),'as new'!L22),$I$32=3,IF(ISBLANK('twice as new'!L22),NA(),'twice as new'!L22))</f>
        <v>9100.92</v>
      </c>
      <c r="AE85" s="1" cm="1">
        <f t="array" ref="AE85">_xlfn.IFS($I$32=1,IF(ISBLANK(dry!M22),NA(),dry!M22),$I$32=2,IF(ISBLANK('as new'!M22),NA(),'as new'!M22),$I$32=3,IF(ISBLANK('twice as new'!M22),NA(),'twice as new'!M22))</f>
        <v>0.2293</v>
      </c>
      <c r="AF85" s="1" cm="1">
        <f t="array" ref="AF85">_xlfn.IFS($I$32=1,IF(ISBLANK(dry!N22),NA(),dry!N22),$I$32=2,IF(ISBLANK('as new'!N22),NA(),'as new'!N22),$I$32=3,IF(ISBLANK('twice as new'!N22),NA(),'twice as new'!N22))</f>
        <v>9004.74</v>
      </c>
      <c r="AG85" s="1" cm="1">
        <f t="array" ref="AG85">_xlfn.IFS($I$32=1,IF(ISBLANK(dry!O22),NA(),dry!O22),$I$32=2,IF(ISBLANK('as new'!O22),NA(),'as new'!O22),$I$32=3,IF(ISBLANK('twice as new'!O22),NA(),'twice as new'!O22))</f>
        <v>0.59119999999999995</v>
      </c>
      <c r="AH85" s="1" cm="1">
        <f t="array" ref="AH85">_xlfn.IFS($I$32=1,IF(ISBLANK(dry!P22),NA(),dry!P22),$I$32=2,IF(ISBLANK('as new'!P22),NA(),'as new'!P22),$I$32=3,IF(ISBLANK('twice as new'!P22),NA(),'twice as new'!P22))</f>
        <v>10391.16</v>
      </c>
      <c r="AI85" s="1" cm="1">
        <f t="array" ref="AI85">_xlfn.IFS($I$32=1,IF(ISBLANK(dry!Q22),NA(),dry!Q22),$I$32=2,IF(ISBLANK('as new'!Q22),NA(),'as new'!Q22),$I$32=3,IF(ISBLANK('twice as new'!Q22),NA(),'twice as new'!Q22))</f>
        <v>0.47189999999999999</v>
      </c>
      <c r="AJ85" s="1" cm="1">
        <f t="array" ref="AJ85">_xlfn.IFS($I$32=1,IF(ISBLANK(dry!R22),NA(),dry!R22),$I$32=2,IF(ISBLANK('as new'!R22),NA(),'as new'!R22),$I$32=3,IF(ISBLANK('twice as new'!R22),NA(),'twice as new'!R22))</f>
        <v>9982.08</v>
      </c>
      <c r="AK85" s="1" t="e">
        <f>IF(CHOOSE($I$32,dry!S22,'as new'!S22,'twice as new'!S22)=0,NA(),CHOOSE($I$32,dry!S22,'as new'!S22,'twice as new'!S22))</f>
        <v>#N/A</v>
      </c>
      <c r="AL85" s="1" t="e">
        <f>IF(CHOOSE($I$32,dry!T22,'as new'!T22,'twice as new'!T22)=0,NA(),CHOOSE($I$32,dry!T22,'as new'!T22,'twice as new'!T22))</f>
        <v>#N/A</v>
      </c>
      <c r="AM85" s="1" t="e">
        <f>IF(CHOOSE($I$32,dry!U22,'as new'!U22,'twice as new'!U22)=0,NA(),CHOOSE($I$32,dry!U22,'as new'!U22,'twice as new'!U22))</f>
        <v>#N/A</v>
      </c>
      <c r="AN85" s="1" t="e">
        <f>IF(CHOOSE($I$32,dry!V22,'as new'!V22,'twice as new'!V22)=0,NA(),CHOOSE($I$32,dry!V22,'as new'!V22,'twice as new'!V22))</f>
        <v>#N/A</v>
      </c>
      <c r="AO85" s="1" t="e">
        <f>IF(CHOOSE($I$32,dry!W22,'as new'!W22,'twice as new'!W22)=0,NA(),CHOOSE($I$32,dry!W22,'as new'!W22,'twice as new'!W22))</f>
        <v>#N/A</v>
      </c>
      <c r="AP85" s="1" t="e">
        <f>IF(CHOOSE($I$32,dry!X22,'as new'!X22,'twice as new'!X22)=0,NA(),CHOOSE($I$32,dry!X22,'as new'!X22,'twice as new'!X22))</f>
        <v>#N/A</v>
      </c>
      <c r="AQ85" s="1" t="e">
        <f>IF(CHOOSE($I$32,dry!Y22,'as new'!Y22,'twice as new'!Y22)=0,NA(),CHOOSE($I$32,dry!Y22,'as new'!Y22,'twice as new'!Y22))</f>
        <v>#N/A</v>
      </c>
      <c r="AR85" s="1" t="e">
        <f>IF(CHOOSE($I$32,dry!Z22,'as new'!Z22,'twice as new'!Z22)=0,NA(),CHOOSE($I$32,dry!Z22,'as new'!Z22,'twice as new'!Z22))</f>
        <v>#N/A</v>
      </c>
      <c r="AS85" s="1">
        <f>Damped[[#This Row],[fI '[rpm']]]/Damped[[#This Row],[frun '[rpm']]]</f>
        <v>0.94970514742628687</v>
      </c>
      <c r="AT85" s="1">
        <f>Damped[[#This Row],[fII '[rpm']]]/Damped[[#This Row],[frun '[rpm']]]</f>
        <v>1.3023988005997003</v>
      </c>
      <c r="AU85" s="1">
        <f>Damped[[#This Row],[fIII '[rpm']]]/Damped[[#This Row],[frun '[rpm']]]</f>
        <v>1.3338330834582708</v>
      </c>
      <c r="AV85" s="1">
        <f>Damped[[#This Row],[fIV '[rpm']]]/Damped[[#This Row],[frun '[rpm']]]</f>
        <v>1.4786206896551723</v>
      </c>
      <c r="AW85" s="1">
        <f>Damped[[#This Row],[fV '[rpm']]]/Damped[[#This Row],[frun '[rpm']]]</f>
        <v>1.5160619690154922</v>
      </c>
      <c r="AX85" s="1">
        <f>Damped[[#This Row],[fVI '[rpm']]]/Damped[[#This Row],[frun '[rpm']]]</f>
        <v>1.5000399800099951</v>
      </c>
      <c r="AY85" s="1">
        <f>Damped[[#This Row],[fVII '[rpm']]]/Damped[[#This Row],[frun '[rpm']]]</f>
        <v>1.7309945027486258</v>
      </c>
      <c r="AZ85" s="1">
        <f>Damped[[#This Row],[fVIII '[rpm']]]/Damped[[#This Row],[frun '[rpm']]]</f>
        <v>1.6628485757121438</v>
      </c>
      <c r="BA85" s="1" t="e">
        <f>Damped[[#This Row],[fIX '[rpm']]]/Damped[[#This Row],[frun '[rpm']]]</f>
        <v>#N/A</v>
      </c>
      <c r="BB85" s="1" t="e">
        <f>Damped[[#This Row],[fX '[rpm']]]/Damped[[#This Row],[frun '[rpm']]]</f>
        <v>#N/A</v>
      </c>
      <c r="BC85" s="1" t="e">
        <f>Damped[[#This Row],[fXI '[rpm']]]/Damped[[#This Row],[frun '[rpm']]]</f>
        <v>#N/A</v>
      </c>
      <c r="BD85" s="1" t="e">
        <f>Damped[[#This Row],[fXII '[rpm']]]/Damped[[#This Row],[frun '[rpm']]]</f>
        <v>#N/A</v>
      </c>
    </row>
    <row r="86" spans="8:56" x14ac:dyDescent="0.25">
      <c r="H86" s="1" cm="1">
        <f t="array" ref="H86">_xlfn.IFS($I$32=1,IF(ISBLANK(dry!B23),NA(),dry!B23),$I$32=2,IF(ISBLANK('as new'!B23),NA(),'as new'!B23),$I$32=3,IF(ISBLANK('twice as new'!B23),NA(),'twice as new'!B23))</f>
        <v>6264</v>
      </c>
      <c r="I86" s="1">
        <f>Damped[[#This Row],[ξI '[-']]]/API_check(Damped[[#This Row],[fI/frun]])</f>
        <v>5.7513333333333332</v>
      </c>
      <c r="J86" s="1">
        <f>Damped[[#This Row],[ξII '[-']]]/API_check(Damped[[#This Row],[fII/frun]])</f>
        <v>2.4943207878052096</v>
      </c>
      <c r="K86" s="1">
        <f>Damped[[#This Row],[ξIII '[-']]]/API_check(Damped[[#This Row],[fIII/frun]])</f>
        <v>4.71565845158079</v>
      </c>
      <c r="L86" s="1">
        <f>Damped[[#This Row],[ξIV '[-']]]/API_check(Damped[[#This Row],[fIV/frun]])</f>
        <v>25.313333333333333</v>
      </c>
      <c r="M86" s="1">
        <f>Damped[[#This Row],[ξV '[-']]]/API_check(Damped[[#This Row],[fV/frun]])</f>
        <v>47.533333333333331</v>
      </c>
      <c r="N86" s="1">
        <f>Damped[[#This Row],[ξVI '[-']]]/API_check(Damped[[#This Row],[fVI/frun]])</f>
        <v>14.973333333333334</v>
      </c>
      <c r="O86" s="1">
        <f>Damped[[#This Row],[ξVII '[-']]]/API_check(Damped[[#This Row],[fVII/frun]])</f>
        <v>633299999.99999988</v>
      </c>
      <c r="P86" s="1">
        <f>Damped[[#This Row],[ξVIII '[-']]]/API_check(Damped[[#This Row],[fVIII/frun]])</f>
        <v>450600000</v>
      </c>
      <c r="Q86" s="1" t="e">
        <f>Damped[[#This Row],[ξIX '[-']]]/API_check(Damped[[#This Row],[fIX/frun]])</f>
        <v>#N/A</v>
      </c>
      <c r="R86" s="1" t="e">
        <f>Damped[[#This Row],[ξX '[-']]]/API_check(Damped[[#This Row],[fX/frun]])</f>
        <v>#N/A</v>
      </c>
      <c r="S86" s="1" t="e">
        <f>Damped[[#This Row],[ξXI '[-']]]/API_check(Damped[[#This Row],[fXI/frun]])</f>
        <v>#N/A</v>
      </c>
      <c r="T86" s="1" t="e">
        <f>Damped[[#This Row],[ξXII '[-']]]/API_check(Damped[[#This Row],[fXII/frun]])</f>
        <v>#N/A</v>
      </c>
      <c r="U86" s="1" cm="1">
        <f t="array" ref="U86">_xlfn.IFS($I$32=1,IF(ISBLANK(dry!C23),NA(),dry!C23),$I$32=2,IF(ISBLANK('as new'!C23),NA(),'as new'!C23),$I$32=3,IF(ISBLANK('twice as new'!C23),NA(),'twice as new'!C23))</f>
        <v>0.86269999999999991</v>
      </c>
      <c r="V86" s="1" cm="1">
        <f t="array" ref="V86">_xlfn.IFS($I$32=1,IF(ISBLANK(dry!D23),NA(),dry!D23),$I$32=2,IF(ISBLANK('as new'!D23),NA(),'as new'!D23),$I$32=3,IF(ISBLANK('twice as new'!D23),NA(),'twice as new'!D23))</f>
        <v>5793.8399999999992</v>
      </c>
      <c r="W86" s="1" cm="1">
        <f t="array" ref="W86">_xlfn.IFS($I$32=1,IF(ISBLANK(dry!E23),NA(),dry!E23),$I$32=2,IF(ISBLANK('as new'!E23),NA(),'as new'!E23),$I$32=3,IF(ISBLANK('twice as new'!E23),NA(),'twice as new'!E23))</f>
        <v>0.15939999999999999</v>
      </c>
      <c r="X86" s="1" cm="1">
        <f t="array" ref="X86">_xlfn.IFS($I$32=1,IF(ISBLANK(dry!F23),NA(),dry!F23),$I$32=2,IF(ISBLANK('as new'!F23),NA(),'as new'!F23),$I$32=3,IF(ISBLANK('twice as new'!F23),NA(),'twice as new'!F23))</f>
        <v>7802.82</v>
      </c>
      <c r="Y86" s="1" cm="1">
        <f t="array" ref="Y86">_xlfn.IFS($I$32=1,IF(ISBLANK(dry!G23),NA(),dry!G23),$I$32=2,IF(ISBLANK('as new'!G23),NA(),'as new'!G23),$I$32=3,IF(ISBLANK('twice as new'!G23),NA(),'twice as new'!G23))</f>
        <v>0.16329999999999997</v>
      </c>
      <c r="Z86" s="1" cm="1">
        <f t="array" ref="Z86">_xlfn.IFS($I$32=1,IF(ISBLANK(dry!H23),NA(),dry!H23),$I$32=2,IF(ISBLANK('as new'!H23),NA(),'as new'!H23),$I$32=3,IF(ISBLANK('twice as new'!H23),NA(),'twice as new'!H23))</f>
        <v>8006.5800000000008</v>
      </c>
      <c r="AA86" s="1" cm="1">
        <f t="array" ref="AA86">_xlfn.IFS($I$32=1,IF(ISBLANK(dry!I23),NA(),dry!I23),$I$32=2,IF(ISBLANK('as new'!I23),NA(),'as new'!I23),$I$32=3,IF(ISBLANK('twice as new'!I23),NA(),'twice as new'!I23))</f>
        <v>0.37969999999999998</v>
      </c>
      <c r="AB86" s="1" cm="1">
        <f t="array" ref="AB86">_xlfn.IFS($I$32=1,IF(ISBLANK(dry!J23),NA(),dry!J23),$I$32=2,IF(ISBLANK('as new'!J23),NA(),'as new'!J23),$I$32=3,IF(ISBLANK('twice as new'!J23),NA(),'twice as new'!J23))</f>
        <v>9108.6</v>
      </c>
      <c r="AC86" s="1" cm="1">
        <f t="array" ref="AC86">_xlfn.IFS($I$32=1,IF(ISBLANK(dry!K23),NA(),dry!K23),$I$32=2,IF(ISBLANK('as new'!K23),NA(),'as new'!K23),$I$32=3,IF(ISBLANK('twice as new'!K23),NA(),'twice as new'!K23))</f>
        <v>0.71299999999999997</v>
      </c>
      <c r="AD86" s="1" cm="1">
        <f t="array" ref="AD86">_xlfn.IFS($I$32=1,IF(ISBLANK(dry!L23),NA(),dry!L23),$I$32=2,IF(ISBLANK('as new'!L23),NA(),'as new'!L23),$I$32=3,IF(ISBLANK('twice as new'!L23),NA(),'twice as new'!L23))</f>
        <v>9244.8599999999988</v>
      </c>
      <c r="AE86" s="1" cm="1">
        <f t="array" ref="AE86">_xlfn.IFS($I$32=1,IF(ISBLANK(dry!M23),NA(),dry!M23),$I$32=2,IF(ISBLANK('as new'!M23),NA(),'as new'!M23),$I$32=3,IF(ISBLANK('twice as new'!M23),NA(),'twice as new'!M23))</f>
        <v>0.22460000000000002</v>
      </c>
      <c r="AF86" s="1" cm="1">
        <f t="array" ref="AF86">_xlfn.IFS($I$32=1,IF(ISBLANK(dry!N23),NA(),dry!N23),$I$32=2,IF(ISBLANK('as new'!N23),NA(),'as new'!N23),$I$32=3,IF(ISBLANK('twice as new'!N23),NA(),'twice as new'!N23))</f>
        <v>9288.9</v>
      </c>
      <c r="AG86" s="1" cm="1">
        <f t="array" ref="AG86">_xlfn.IFS($I$32=1,IF(ISBLANK(dry!O23),NA(),dry!O23),$I$32=2,IF(ISBLANK('as new'!O23),NA(),'as new'!O23),$I$32=3,IF(ISBLANK('twice as new'!O23),NA(),'twice as new'!O23))</f>
        <v>0.63329999999999997</v>
      </c>
      <c r="AH86" s="1" cm="1">
        <f t="array" ref="AH86">_xlfn.IFS($I$32=1,IF(ISBLANK(dry!P23),NA(),dry!P23),$I$32=2,IF(ISBLANK('as new'!P23),NA(),'as new'!P23),$I$32=3,IF(ISBLANK('twice as new'!P23),NA(),'twice as new'!P23))</f>
        <v>10207.92</v>
      </c>
      <c r="AI86" s="1" cm="1">
        <f t="array" ref="AI86">_xlfn.IFS($I$32=1,IF(ISBLANK(dry!Q23),NA(),dry!Q23),$I$32=2,IF(ISBLANK('as new'!Q23),NA(),'as new'!Q23),$I$32=3,IF(ISBLANK('twice as new'!Q23),NA(),'twice as new'!Q23))</f>
        <v>0.4506</v>
      </c>
      <c r="AJ86" s="1" cm="1">
        <f t="array" ref="AJ86">_xlfn.IFS($I$32=1,IF(ISBLANK(dry!R23),NA(),dry!R23),$I$32=2,IF(ISBLANK('as new'!R23),NA(),'as new'!R23),$I$32=3,IF(ISBLANK('twice as new'!R23),NA(),'twice as new'!R23))</f>
        <v>10554.48</v>
      </c>
      <c r="AK86" s="1" t="e">
        <f>IF(CHOOSE($I$32,dry!S23,'as new'!S23,'twice as new'!S23)=0,NA(),CHOOSE($I$32,dry!S23,'as new'!S23,'twice as new'!S23))</f>
        <v>#N/A</v>
      </c>
      <c r="AL86" s="1" t="e">
        <f>IF(CHOOSE($I$32,dry!T23,'as new'!T23,'twice as new'!T23)=0,NA(),CHOOSE($I$32,dry!T23,'as new'!T23,'twice as new'!T23))</f>
        <v>#N/A</v>
      </c>
      <c r="AM86" s="1" t="e">
        <f>IF(CHOOSE($I$32,dry!U23,'as new'!U23,'twice as new'!U23)=0,NA(),CHOOSE($I$32,dry!U23,'as new'!U23,'twice as new'!U23))</f>
        <v>#N/A</v>
      </c>
      <c r="AN86" s="1" t="e">
        <f>IF(CHOOSE($I$32,dry!V23,'as new'!V23,'twice as new'!V23)=0,NA(),CHOOSE($I$32,dry!V23,'as new'!V23,'twice as new'!V23))</f>
        <v>#N/A</v>
      </c>
      <c r="AO86" s="1" t="e">
        <f>IF(CHOOSE($I$32,dry!W23,'as new'!W23,'twice as new'!W23)=0,NA(),CHOOSE($I$32,dry!W23,'as new'!W23,'twice as new'!W23))</f>
        <v>#N/A</v>
      </c>
      <c r="AP86" s="1" t="e">
        <f>IF(CHOOSE($I$32,dry!X23,'as new'!X23,'twice as new'!X23)=0,NA(),CHOOSE($I$32,dry!X23,'as new'!X23,'twice as new'!X23))</f>
        <v>#N/A</v>
      </c>
      <c r="AQ86" s="1" t="e">
        <f>IF(CHOOSE($I$32,dry!Y23,'as new'!Y23,'twice as new'!Y23)=0,NA(),CHOOSE($I$32,dry!Y23,'as new'!Y23,'twice as new'!Y23))</f>
        <v>#N/A</v>
      </c>
      <c r="AR86" s="1" t="e">
        <f>IF(CHOOSE($I$32,dry!Z23,'as new'!Z23,'twice as new'!Z23)=0,NA(),CHOOSE($I$32,dry!Z23,'as new'!Z23,'twice as new'!Z23))</f>
        <v>#N/A</v>
      </c>
      <c r="AS86" s="1">
        <f>Damped[[#This Row],[fI '[rpm']]]/Damped[[#This Row],[frun '[rpm']]]</f>
        <v>0.9249425287356321</v>
      </c>
      <c r="AT86" s="1">
        <f>Damped[[#This Row],[fII '[rpm']]]/Damped[[#This Row],[frun '[rpm']]]</f>
        <v>1.2456609195402299</v>
      </c>
      <c r="AU86" s="1">
        <f>Damped[[#This Row],[fIII '[rpm']]]/Damped[[#This Row],[frun '[rpm']]]</f>
        <v>1.2781896551724139</v>
      </c>
      <c r="AV86" s="1">
        <f>Damped[[#This Row],[fIV '[rpm']]]/Damped[[#This Row],[frun '[rpm']]]</f>
        <v>1.4541187739463601</v>
      </c>
      <c r="AW86" s="1">
        <f>Damped[[#This Row],[fV '[rpm']]]/Damped[[#This Row],[frun '[rpm']]]</f>
        <v>1.4758716475095783</v>
      </c>
      <c r="AX86" s="1">
        <f>Damped[[#This Row],[fVI '[rpm']]]/Damped[[#This Row],[frun '[rpm']]]</f>
        <v>1.4829022988505747</v>
      </c>
      <c r="AY86" s="1">
        <f>Damped[[#This Row],[fVII '[rpm']]]/Damped[[#This Row],[frun '[rpm']]]</f>
        <v>1.6296168582375479</v>
      </c>
      <c r="AZ86" s="1">
        <f>Damped[[#This Row],[fVIII '[rpm']]]/Damped[[#This Row],[frun '[rpm']]]</f>
        <v>1.6849425287356321</v>
      </c>
      <c r="BA86" s="1" t="e">
        <f>Damped[[#This Row],[fIX '[rpm']]]/Damped[[#This Row],[frun '[rpm']]]</f>
        <v>#N/A</v>
      </c>
      <c r="BB86" s="1" t="e">
        <f>Damped[[#This Row],[fX '[rpm']]]/Damped[[#This Row],[frun '[rpm']]]</f>
        <v>#N/A</v>
      </c>
      <c r="BC86" s="1" t="e">
        <f>Damped[[#This Row],[fXI '[rpm']]]/Damped[[#This Row],[frun '[rpm']]]</f>
        <v>#N/A</v>
      </c>
      <c r="BD86" s="1" t="e">
        <f>Damped[[#This Row],[fXII '[rpm']]]/Damped[[#This Row],[frun '[rpm']]]</f>
        <v>#N/A</v>
      </c>
    </row>
    <row r="87" spans="8:56" x14ac:dyDescent="0.25">
      <c r="H87" s="1" cm="1">
        <f t="array" ref="H87">_xlfn.IFS($I$32=1,IF(ISBLANK(dry!B24),NA(),dry!B24),$I$32=2,IF(ISBLANK('as new'!B24),NA(),'as new'!B24),$I$32=3,IF(ISBLANK('twice as new'!B24),NA(),'twice as new'!B24))</f>
        <v>6525</v>
      </c>
      <c r="I87" s="1">
        <f>Damped[[#This Row],[ξI '[-']]]/API_check(Damped[[#This Row],[fI/frun]])</f>
        <v>5.9620662153506077</v>
      </c>
      <c r="J87" s="1">
        <f>Damped[[#This Row],[ξII '[-']]]/API_check(Damped[[#This Row],[fII/frun]])</f>
        <v>1.4098201263976666</v>
      </c>
      <c r="K87" s="1">
        <f>Damped[[#This Row],[ξIII '[-']]]/API_check(Damped[[#This Row],[fIII/frun]])</f>
        <v>1.9705224201738532</v>
      </c>
      <c r="L87" s="1">
        <f>Damped[[#This Row],[ξIV '[-']]]/API_check(Damped[[#This Row],[fIV/frun]])</f>
        <v>25.306666666666668</v>
      </c>
      <c r="M87" s="1">
        <f>Damped[[#This Row],[ξV '[-']]]/API_check(Damped[[#This Row],[fV/frun]])</f>
        <v>48.326666666666668</v>
      </c>
      <c r="N87" s="1">
        <f>Damped[[#This Row],[ξVI '[-']]]/API_check(Damped[[#This Row],[fVI/frun]])</f>
        <v>14.666666666666668</v>
      </c>
      <c r="O87" s="1">
        <f>Damped[[#This Row],[ξVII '[-']]]/API_check(Damped[[#This Row],[fVII/frun]])</f>
        <v>666500000</v>
      </c>
      <c r="P87" s="1">
        <f>Damped[[#This Row],[ξVIII '[-']]]/API_check(Damped[[#This Row],[fVIII/frun]])</f>
        <v>437000000</v>
      </c>
      <c r="Q87" s="1" t="e">
        <f>Damped[[#This Row],[ξIX '[-']]]/API_check(Damped[[#This Row],[fIX/frun]])</f>
        <v>#N/A</v>
      </c>
      <c r="R87" s="1" t="e">
        <f>Damped[[#This Row],[ξX '[-']]]/API_check(Damped[[#This Row],[fX/frun]])</f>
        <v>#N/A</v>
      </c>
      <c r="S87" s="1" t="e">
        <f>Damped[[#This Row],[ξXI '[-']]]/API_check(Damped[[#This Row],[fXI/frun]])</f>
        <v>#N/A</v>
      </c>
      <c r="T87" s="1" t="e">
        <f>Damped[[#This Row],[ξXII '[-']]]/API_check(Damped[[#This Row],[fXII/frun]])</f>
        <v>#N/A</v>
      </c>
      <c r="U87" s="1" cm="1">
        <f t="array" ref="U87">_xlfn.IFS($I$32=1,IF(ISBLANK(dry!C24),NA(),dry!C24),$I$32=2,IF(ISBLANK('as new'!C24),NA(),'as new'!C24),$I$32=3,IF(ISBLANK('twice as new'!C24),NA(),'twice as new'!C24))</f>
        <v>0.873</v>
      </c>
      <c r="V87" s="1" cm="1">
        <f t="array" ref="V87">_xlfn.IFS($I$32=1,IF(ISBLANK(dry!D24),NA(),dry!D24),$I$32=2,IF(ISBLANK('as new'!D24),NA(),'as new'!D24),$I$32=3,IF(ISBLANK('twice as new'!D24),NA(),'twice as new'!D24))</f>
        <v>5836.62</v>
      </c>
      <c r="W87" s="1" cm="1">
        <f t="array" ref="W87">_xlfn.IFS($I$32=1,IF(ISBLANK(dry!E24),NA(),dry!E24),$I$32=2,IF(ISBLANK('as new'!E24),NA(),'as new'!E24),$I$32=3,IF(ISBLANK('twice as new'!E24),NA(),'twice as new'!E24))</f>
        <v>0.156</v>
      </c>
      <c r="X87" s="1" cm="1">
        <f t="array" ref="X87">_xlfn.IFS($I$32=1,IF(ISBLANK(dry!F24),NA(),dry!F24),$I$32=2,IF(ISBLANK('as new'!F24),NA(),'as new'!F24),$I$32=3,IF(ISBLANK('twice as new'!F24),NA(),'twice as new'!F24))</f>
        <v>7789.02</v>
      </c>
      <c r="Y87" s="1" cm="1">
        <f t="array" ref="Y87">_xlfn.IFS($I$32=1,IF(ISBLANK(dry!G24),NA(),dry!G24),$I$32=2,IF(ISBLANK('as new'!G24),NA(),'as new'!G24),$I$32=3,IF(ISBLANK('twice as new'!G24),NA(),'twice as new'!G24))</f>
        <v>0.15789999999999998</v>
      </c>
      <c r="Z87" s="1" cm="1">
        <f t="array" ref="Z87">_xlfn.IFS($I$32=1,IF(ISBLANK(dry!H24),NA(),dry!H24),$I$32=2,IF(ISBLANK('as new'!H24),NA(),'as new'!H24),$I$32=3,IF(ISBLANK('twice as new'!H24),NA(),'twice as new'!H24))</f>
        <v>8010.2999999999993</v>
      </c>
      <c r="AA87" s="1" cm="1">
        <f t="array" ref="AA87">_xlfn.IFS($I$32=1,IF(ISBLANK(dry!I24),NA(),dry!I24),$I$32=2,IF(ISBLANK('as new'!I24),NA(),'as new'!I24),$I$32=3,IF(ISBLANK('twice as new'!I24),NA(),'twice as new'!I24))</f>
        <v>0.37959999999999999</v>
      </c>
      <c r="AB87" s="1" cm="1">
        <f t="array" ref="AB87">_xlfn.IFS($I$32=1,IF(ISBLANK(dry!J24),NA(),dry!J24),$I$32=2,IF(ISBLANK('as new'!J24),NA(),'as new'!J24),$I$32=3,IF(ISBLANK('twice as new'!J24),NA(),'twice as new'!J24))</f>
        <v>9340.26</v>
      </c>
      <c r="AC87" s="1" cm="1">
        <f t="array" ref="AC87">_xlfn.IFS($I$32=1,IF(ISBLANK(dry!K24),NA(),dry!K24),$I$32=2,IF(ISBLANK('as new'!K24),NA(),'as new'!K24),$I$32=3,IF(ISBLANK('twice as new'!K24),NA(),'twice as new'!K24))</f>
        <v>0.72489999999999999</v>
      </c>
      <c r="AD87" s="1" cm="1">
        <f t="array" ref="AD87">_xlfn.IFS($I$32=1,IF(ISBLANK(dry!L24),NA(),dry!L24),$I$32=2,IF(ISBLANK('as new'!L24),NA(),'as new'!L24),$I$32=3,IF(ISBLANK('twice as new'!L24),NA(),'twice as new'!L24))</f>
        <v>9350.880000000001</v>
      </c>
      <c r="AE87" s="1" cm="1">
        <f t="array" ref="AE87">_xlfn.IFS($I$32=1,IF(ISBLANK(dry!M24),NA(),dry!M24),$I$32=2,IF(ISBLANK('as new'!M24),NA(),'as new'!M24),$I$32=3,IF(ISBLANK('twice as new'!M24),NA(),'twice as new'!M24))</f>
        <v>0.22</v>
      </c>
      <c r="AF87" s="1" cm="1">
        <f t="array" ref="AF87">_xlfn.IFS($I$32=1,IF(ISBLANK(dry!N24),NA(),dry!N24),$I$32=2,IF(ISBLANK('as new'!N24),NA(),'as new'!N24),$I$32=3,IF(ISBLANK('twice as new'!N24),NA(),'twice as new'!N24))</f>
        <v>9568.86</v>
      </c>
      <c r="AG87" s="1" cm="1">
        <f t="array" ref="AG87">_xlfn.IFS($I$32=1,IF(ISBLANK(dry!O24),NA(),dry!O24),$I$32=2,IF(ISBLANK('as new'!O24),NA(),'as new'!O24),$I$32=3,IF(ISBLANK('twice as new'!O24),NA(),'twice as new'!O24))</f>
        <v>0.66650000000000009</v>
      </c>
      <c r="AH87" s="1" cm="1">
        <f t="array" ref="AH87">_xlfn.IFS($I$32=1,IF(ISBLANK(dry!P24),NA(),dry!P24),$I$32=2,IF(ISBLANK('as new'!P24),NA(),'as new'!P24),$I$32=3,IF(ISBLANK('twice as new'!P24),NA(),'twice as new'!P24))</f>
        <v>10115.939999999999</v>
      </c>
      <c r="AI87" s="1" cm="1">
        <f t="array" ref="AI87">_xlfn.IFS($I$32=1,IF(ISBLANK(dry!Q24),NA(),dry!Q24),$I$32=2,IF(ISBLANK('as new'!Q24),NA(),'as new'!Q24),$I$32=3,IF(ISBLANK('twice as new'!Q24),NA(),'twice as new'!Q24))</f>
        <v>0.43700000000000006</v>
      </c>
      <c r="AJ87" s="1" cm="1">
        <f t="array" ref="AJ87">_xlfn.IFS($I$32=1,IF(ISBLANK(dry!R24),NA(),dry!R24),$I$32=2,IF(ISBLANK('as new'!R24),NA(),'as new'!R24),$I$32=3,IF(ISBLANK('twice as new'!R24),NA(),'twice as new'!R24))</f>
        <v>11029.92</v>
      </c>
      <c r="AK87" s="1" t="e">
        <f>IF(CHOOSE($I$32,dry!S24,'as new'!S24,'twice as new'!S24)=0,NA(),CHOOSE($I$32,dry!S24,'as new'!S24,'twice as new'!S24))</f>
        <v>#N/A</v>
      </c>
      <c r="AL87" s="1" t="e">
        <f>IF(CHOOSE($I$32,dry!T24,'as new'!T24,'twice as new'!T24)=0,NA(),CHOOSE($I$32,dry!T24,'as new'!T24,'twice as new'!T24))</f>
        <v>#N/A</v>
      </c>
      <c r="AM87" s="1" t="e">
        <f>IF(CHOOSE($I$32,dry!U24,'as new'!U24,'twice as new'!U24)=0,NA(),CHOOSE($I$32,dry!U24,'as new'!U24,'twice as new'!U24))</f>
        <v>#N/A</v>
      </c>
      <c r="AN87" s="1" t="e">
        <f>IF(CHOOSE($I$32,dry!V24,'as new'!V24,'twice as new'!V24)=0,NA(),CHOOSE($I$32,dry!V24,'as new'!V24,'twice as new'!V24))</f>
        <v>#N/A</v>
      </c>
      <c r="AO87" s="1" t="e">
        <f>IF(CHOOSE($I$32,dry!W24,'as new'!W24,'twice as new'!W24)=0,NA(),CHOOSE($I$32,dry!W24,'as new'!W24,'twice as new'!W24))</f>
        <v>#N/A</v>
      </c>
      <c r="AP87" s="1" t="e">
        <f>IF(CHOOSE($I$32,dry!X24,'as new'!X24,'twice as new'!X24)=0,NA(),CHOOSE($I$32,dry!X24,'as new'!X24,'twice as new'!X24))</f>
        <v>#N/A</v>
      </c>
      <c r="AQ87" s="1" t="e">
        <f>IF(CHOOSE($I$32,dry!Y24,'as new'!Y24,'twice as new'!Y24)=0,NA(),CHOOSE($I$32,dry!Y24,'as new'!Y24,'twice as new'!Y24))</f>
        <v>#N/A</v>
      </c>
      <c r="AR87" s="1" t="e">
        <f>IF(CHOOSE($I$32,dry!Z24,'as new'!Z24,'twice as new'!Z24)=0,NA(),CHOOSE($I$32,dry!Z24,'as new'!Z24,'twice as new'!Z24))</f>
        <v>#N/A</v>
      </c>
      <c r="AS87" s="1">
        <f>Damped[[#This Row],[fI '[rpm']]]/Damped[[#This Row],[frun '[rpm']]]</f>
        <v>0.89450114942528736</v>
      </c>
      <c r="AT87" s="1">
        <f>Damped[[#This Row],[fII '[rpm']]]/Damped[[#This Row],[frun '[rpm']]]</f>
        <v>1.193719540229885</v>
      </c>
      <c r="AU87" s="1">
        <f>Damped[[#This Row],[fIII '[rpm']]]/Damped[[#This Row],[frun '[rpm']]]</f>
        <v>1.227632183908046</v>
      </c>
      <c r="AV87" s="1">
        <f>Damped[[#This Row],[fIV '[rpm']]]/Damped[[#This Row],[frun '[rpm']]]</f>
        <v>1.431457471264368</v>
      </c>
      <c r="AW87" s="1">
        <f>Damped[[#This Row],[fV '[rpm']]]/Damped[[#This Row],[frun '[rpm']]]</f>
        <v>1.4330850574712646</v>
      </c>
      <c r="AX87" s="1">
        <f>Damped[[#This Row],[fVI '[rpm']]]/Damped[[#This Row],[frun '[rpm']]]</f>
        <v>1.4664919540229886</v>
      </c>
      <c r="AY87" s="1">
        <f>Damped[[#This Row],[fVII '[rpm']]]/Damped[[#This Row],[frun '[rpm']]]</f>
        <v>1.5503356321839079</v>
      </c>
      <c r="AZ87" s="1">
        <f>Damped[[#This Row],[fVIII '[rpm']]]/Damped[[#This Row],[frun '[rpm']]]</f>
        <v>1.6904091954022988</v>
      </c>
      <c r="BA87" s="1" t="e">
        <f>Damped[[#This Row],[fIX '[rpm']]]/Damped[[#This Row],[frun '[rpm']]]</f>
        <v>#N/A</v>
      </c>
      <c r="BB87" s="1" t="e">
        <f>Damped[[#This Row],[fX '[rpm']]]/Damped[[#This Row],[frun '[rpm']]]</f>
        <v>#N/A</v>
      </c>
      <c r="BC87" s="1" t="e">
        <f>Damped[[#This Row],[fXI '[rpm']]]/Damped[[#This Row],[frun '[rpm']]]</f>
        <v>#N/A</v>
      </c>
      <c r="BD87" s="1" t="e">
        <f>Damped[[#This Row],[fXII '[rpm']]]/Damped[[#This Row],[frun '[rpm']]]</f>
        <v>#N/A</v>
      </c>
    </row>
    <row r="88" spans="8:56" x14ac:dyDescent="0.25">
      <c r="H88" s="1" t="e" cm="1">
        <f t="array" ref="H88">_xlfn.IFS($I$32=1,IF(ISBLANK(dry!B25),NA(),dry!B25),$I$32=2,IF(ISBLANK('as new'!B25),NA(),'as new'!B25),$I$32=3,IF(ISBLANK('twice as new'!B25),NA(),'twice as new'!B25))</f>
        <v>#N/A</v>
      </c>
      <c r="I88" s="1" t="e">
        <f>Damped[[#This Row],[ξI '[-']]]/API_check(Damped[[#This Row],[fI/frun]])</f>
        <v>#N/A</v>
      </c>
      <c r="J88" s="1" t="e">
        <f>Damped[[#This Row],[ξII '[-']]]/API_check(Damped[[#This Row],[fII/frun]])</f>
        <v>#N/A</v>
      </c>
      <c r="K88" s="1" t="e">
        <f>Damped[[#This Row],[ξIII '[-']]]/API_check(Damped[[#This Row],[fIII/frun]])</f>
        <v>#N/A</v>
      </c>
      <c r="L88" s="1" t="e">
        <f>Damped[[#This Row],[ξIV '[-']]]/API_check(Damped[[#This Row],[fIV/frun]])</f>
        <v>#N/A</v>
      </c>
      <c r="M88" s="1" t="e">
        <f>Damped[[#This Row],[ξV '[-']]]/API_check(Damped[[#This Row],[fV/frun]])</f>
        <v>#N/A</v>
      </c>
      <c r="N88" s="1" t="e">
        <f>Damped[[#This Row],[ξVI '[-']]]/API_check(Damped[[#This Row],[fVI/frun]])</f>
        <v>#N/A</v>
      </c>
      <c r="O88" s="1" t="e">
        <f>Damped[[#This Row],[ξVII '[-']]]/API_check(Damped[[#This Row],[fVII/frun]])</f>
        <v>#N/A</v>
      </c>
      <c r="P88" s="1" t="e">
        <f>Damped[[#This Row],[ξVIII '[-']]]/API_check(Damped[[#This Row],[fVIII/frun]])</f>
        <v>#N/A</v>
      </c>
      <c r="Q88" s="1" t="e">
        <f>Damped[[#This Row],[ξIX '[-']]]/API_check(Damped[[#This Row],[fIX/frun]])</f>
        <v>#N/A</v>
      </c>
      <c r="R88" s="1" t="e">
        <f>Damped[[#This Row],[ξX '[-']]]/API_check(Damped[[#This Row],[fX/frun]])</f>
        <v>#N/A</v>
      </c>
      <c r="S88" s="1" t="e">
        <f>Damped[[#This Row],[ξXI '[-']]]/API_check(Damped[[#This Row],[fXI/frun]])</f>
        <v>#N/A</v>
      </c>
      <c r="T88" s="1" t="e">
        <f>Damped[[#This Row],[ξXII '[-']]]/API_check(Damped[[#This Row],[fXII/frun]])</f>
        <v>#N/A</v>
      </c>
      <c r="U88" s="1" t="e" cm="1">
        <f t="array" ref="U88">_xlfn.IFS($I$32=1,IF(ISBLANK(dry!C25),NA(),dry!C25),$I$32=2,IF(ISBLANK('as new'!C25),NA(),'as new'!C25),$I$32=3,IF(ISBLANK('twice as new'!C25),NA(),'twice as new'!C25))</f>
        <v>#N/A</v>
      </c>
      <c r="V88" s="1" t="e" cm="1">
        <f t="array" ref="V88">_xlfn.IFS($I$32=1,IF(ISBLANK(dry!D25),NA(),dry!D25),$I$32=2,IF(ISBLANK('as new'!D25),NA(),'as new'!D25),$I$32=3,IF(ISBLANK('twice as new'!D25),NA(),'twice as new'!D25))</f>
        <v>#N/A</v>
      </c>
      <c r="W88" s="1" t="e" cm="1">
        <f t="array" ref="W88">_xlfn.IFS($I$32=1,IF(ISBLANK(dry!E25),NA(),dry!E25),$I$32=2,IF(ISBLANK('as new'!E25),NA(),'as new'!E25),$I$32=3,IF(ISBLANK('twice as new'!E25),NA(),'twice as new'!E25))</f>
        <v>#N/A</v>
      </c>
      <c r="X88" s="1" t="e" cm="1">
        <f t="array" ref="X88">_xlfn.IFS($I$32=1,IF(ISBLANK(dry!F25),NA(),dry!F25),$I$32=2,IF(ISBLANK('as new'!F25),NA(),'as new'!F25),$I$32=3,IF(ISBLANK('twice as new'!F25),NA(),'twice as new'!F25))</f>
        <v>#N/A</v>
      </c>
      <c r="Y88" s="1" t="e" cm="1">
        <f t="array" ref="Y88">_xlfn.IFS($I$32=1,IF(ISBLANK(dry!G25),NA(),dry!G25),$I$32=2,IF(ISBLANK('as new'!G25),NA(),'as new'!G25),$I$32=3,IF(ISBLANK('twice as new'!G25),NA(),'twice as new'!G25))</f>
        <v>#N/A</v>
      </c>
      <c r="Z88" s="1" t="e" cm="1">
        <f t="array" ref="Z88">_xlfn.IFS($I$32=1,IF(ISBLANK(dry!H25),NA(),dry!H25),$I$32=2,IF(ISBLANK('as new'!H25),NA(),'as new'!H25),$I$32=3,IF(ISBLANK('twice as new'!H25),NA(),'twice as new'!H25))</f>
        <v>#N/A</v>
      </c>
      <c r="AA88" s="1" t="e" cm="1">
        <f t="array" ref="AA88">_xlfn.IFS($I$32=1,IF(ISBLANK(dry!I25),NA(),dry!I25),$I$32=2,IF(ISBLANK('as new'!I25),NA(),'as new'!I25),$I$32=3,IF(ISBLANK('twice as new'!I25),NA(),'twice as new'!I25))</f>
        <v>#N/A</v>
      </c>
      <c r="AB88" s="1" t="e" cm="1">
        <f t="array" ref="AB88">_xlfn.IFS($I$32=1,IF(ISBLANK(dry!J25),NA(),dry!J25),$I$32=2,IF(ISBLANK('as new'!J25),NA(),'as new'!J25),$I$32=3,IF(ISBLANK('twice as new'!J25),NA(),'twice as new'!J25))</f>
        <v>#N/A</v>
      </c>
      <c r="AC88" s="1" t="e" cm="1">
        <f t="array" ref="AC88">_xlfn.IFS($I$32=1,IF(ISBLANK(dry!K25),NA(),dry!K25),$I$32=2,IF(ISBLANK('as new'!K25),NA(),'as new'!K25),$I$32=3,IF(ISBLANK('twice as new'!K25),NA(),'twice as new'!K25))</f>
        <v>#N/A</v>
      </c>
      <c r="AD88" s="1" t="e" cm="1">
        <f t="array" ref="AD88">_xlfn.IFS($I$32=1,IF(ISBLANK(dry!L25),NA(),dry!L25),$I$32=2,IF(ISBLANK('as new'!L25),NA(),'as new'!L25),$I$32=3,IF(ISBLANK('twice as new'!L25),NA(),'twice as new'!L25))</f>
        <v>#N/A</v>
      </c>
      <c r="AE88" s="1" t="e" cm="1">
        <f t="array" ref="AE88">_xlfn.IFS($I$32=1,IF(ISBLANK(dry!M25),NA(),dry!M25),$I$32=2,IF(ISBLANK('as new'!M25),NA(),'as new'!M25),$I$32=3,IF(ISBLANK('twice as new'!M25),NA(),'twice as new'!M25))</f>
        <v>#N/A</v>
      </c>
      <c r="AF88" s="1" t="e" cm="1">
        <f t="array" ref="AF88">_xlfn.IFS($I$32=1,IF(ISBLANK(dry!N25),NA(),dry!N25),$I$32=2,IF(ISBLANK('as new'!N25),NA(),'as new'!N25),$I$32=3,IF(ISBLANK('twice as new'!N25),NA(),'twice as new'!N25))</f>
        <v>#N/A</v>
      </c>
      <c r="AG88" s="1" t="e" cm="1">
        <f t="array" ref="AG88">_xlfn.IFS($I$32=1,IF(ISBLANK(dry!O25),NA(),dry!O25),$I$32=2,IF(ISBLANK('as new'!O25),NA(),'as new'!O25),$I$32=3,IF(ISBLANK('twice as new'!O25),NA(),'twice as new'!O25))</f>
        <v>#N/A</v>
      </c>
      <c r="AH88" s="1" t="e" cm="1">
        <f t="array" ref="AH88">_xlfn.IFS($I$32=1,IF(ISBLANK(dry!P25),NA(),dry!P25),$I$32=2,IF(ISBLANK('as new'!P25),NA(),'as new'!P25),$I$32=3,IF(ISBLANK('twice as new'!P25),NA(),'twice as new'!P25))</f>
        <v>#N/A</v>
      </c>
      <c r="AI88" s="1" t="e" cm="1">
        <f t="array" ref="AI88">_xlfn.IFS($I$32=1,IF(ISBLANK(dry!Q25),NA(),dry!Q25),$I$32=2,IF(ISBLANK('as new'!Q25),NA(),'as new'!Q25),$I$32=3,IF(ISBLANK('twice as new'!Q25),NA(),'twice as new'!Q25))</f>
        <v>#N/A</v>
      </c>
      <c r="AJ88" s="1" t="e" cm="1">
        <f t="array" ref="AJ88">_xlfn.IFS($I$32=1,IF(ISBLANK(dry!R25),NA(),dry!R25),$I$32=2,IF(ISBLANK('as new'!R25),NA(),'as new'!R25),$I$32=3,IF(ISBLANK('twice as new'!R25),NA(),'twice as new'!R25))</f>
        <v>#N/A</v>
      </c>
      <c r="AK88" s="1" t="e">
        <f>IF(CHOOSE($I$32,dry!S25,'as new'!S25,'twice as new'!S25)=0,NA(),CHOOSE($I$32,dry!S25,'as new'!S25,'twice as new'!S25))</f>
        <v>#N/A</v>
      </c>
      <c r="AL88" s="1" t="e">
        <f>IF(CHOOSE($I$32,dry!T25,'as new'!T25,'twice as new'!T25)=0,NA(),CHOOSE($I$32,dry!T25,'as new'!T25,'twice as new'!T25))</f>
        <v>#N/A</v>
      </c>
      <c r="AM88" s="1" t="e">
        <f>IF(CHOOSE($I$32,dry!U25,'as new'!U25,'twice as new'!U25)=0,NA(),CHOOSE($I$32,dry!U25,'as new'!U25,'twice as new'!U25))</f>
        <v>#N/A</v>
      </c>
      <c r="AN88" s="1" t="e">
        <f>IF(CHOOSE($I$32,dry!V25,'as new'!V25,'twice as new'!V25)=0,NA(),CHOOSE($I$32,dry!V25,'as new'!V25,'twice as new'!V25))</f>
        <v>#N/A</v>
      </c>
      <c r="AO88" s="1" t="e">
        <f>IF(CHOOSE($I$32,dry!W25,'as new'!W25,'twice as new'!W25)=0,NA(),CHOOSE($I$32,dry!W25,'as new'!W25,'twice as new'!W25))</f>
        <v>#N/A</v>
      </c>
      <c r="AP88" s="1" t="e">
        <f>IF(CHOOSE($I$32,dry!X25,'as new'!X25,'twice as new'!X25)=0,NA(),CHOOSE($I$32,dry!X25,'as new'!X25,'twice as new'!X25))</f>
        <v>#N/A</v>
      </c>
      <c r="AQ88" s="1" t="e">
        <f>IF(CHOOSE($I$32,dry!Y25,'as new'!Y25,'twice as new'!Y25)=0,NA(),CHOOSE($I$32,dry!Y25,'as new'!Y25,'twice as new'!Y25))</f>
        <v>#N/A</v>
      </c>
      <c r="AR88" s="1" t="e">
        <f>IF(CHOOSE($I$32,dry!Z25,'as new'!Z25,'twice as new'!Z25)=0,NA(),CHOOSE($I$32,dry!Z25,'as new'!Z25,'twice as new'!Z25))</f>
        <v>#N/A</v>
      </c>
      <c r="AS88" s="1" t="e">
        <f>Damped[[#This Row],[fI '[rpm']]]/Damped[[#This Row],[frun '[rpm']]]</f>
        <v>#N/A</v>
      </c>
      <c r="AT88" s="1" t="e">
        <f>Damped[[#This Row],[fII '[rpm']]]/Damped[[#This Row],[frun '[rpm']]]</f>
        <v>#N/A</v>
      </c>
      <c r="AU88" s="1" t="e">
        <f>Damped[[#This Row],[fIII '[rpm']]]/Damped[[#This Row],[frun '[rpm']]]</f>
        <v>#N/A</v>
      </c>
      <c r="AV88" s="1" t="e">
        <f>Damped[[#This Row],[fIV '[rpm']]]/Damped[[#This Row],[frun '[rpm']]]</f>
        <v>#N/A</v>
      </c>
      <c r="AW88" s="1" t="e">
        <f>Damped[[#This Row],[fV '[rpm']]]/Damped[[#This Row],[frun '[rpm']]]</f>
        <v>#N/A</v>
      </c>
      <c r="AX88" s="1" t="e">
        <f>Damped[[#This Row],[fVI '[rpm']]]/Damped[[#This Row],[frun '[rpm']]]</f>
        <v>#N/A</v>
      </c>
      <c r="AY88" s="1" t="e">
        <f>Damped[[#This Row],[fVII '[rpm']]]/Damped[[#This Row],[frun '[rpm']]]</f>
        <v>#N/A</v>
      </c>
      <c r="AZ88" s="1" t="e">
        <f>Damped[[#This Row],[fVIII '[rpm']]]/Damped[[#This Row],[frun '[rpm']]]</f>
        <v>#N/A</v>
      </c>
      <c r="BA88" s="1" t="e">
        <f>Damped[[#This Row],[fIX '[rpm']]]/Damped[[#This Row],[frun '[rpm']]]</f>
        <v>#N/A</v>
      </c>
      <c r="BB88" s="1" t="e">
        <f>Damped[[#This Row],[fX '[rpm']]]/Damped[[#This Row],[frun '[rpm']]]</f>
        <v>#N/A</v>
      </c>
      <c r="BC88" s="1" t="e">
        <f>Damped[[#This Row],[fXI '[rpm']]]/Damped[[#This Row],[frun '[rpm']]]</f>
        <v>#N/A</v>
      </c>
      <c r="BD88" s="1" t="e">
        <f>Damped[[#This Row],[fXII '[rpm']]]/Damped[[#This Row],[frun '[rpm']]]</f>
        <v>#N/A</v>
      </c>
    </row>
    <row r="89" spans="8:56" x14ac:dyDescent="0.25">
      <c r="H89" s="1" t="e" cm="1">
        <f t="array" ref="H89">_xlfn.IFS($I$32=1,IF(ISBLANK(dry!B26),NA(),dry!B26),$I$32=2,IF(ISBLANK('as new'!B26),NA(),'as new'!B26),$I$32=3,IF(ISBLANK('twice as new'!B26),NA(),'twice as new'!B26))</f>
        <v>#N/A</v>
      </c>
      <c r="I89" s="1" t="e">
        <f>Damped[[#This Row],[ξI '[-']]]/API_check(Damped[[#This Row],[fI/frun]])</f>
        <v>#N/A</v>
      </c>
      <c r="J89" s="1" t="e">
        <f>Damped[[#This Row],[ξII '[-']]]/API_check(Damped[[#This Row],[fII/frun]])</f>
        <v>#N/A</v>
      </c>
      <c r="K89" s="1" t="e">
        <f>Damped[[#This Row],[ξIII '[-']]]/API_check(Damped[[#This Row],[fIII/frun]])</f>
        <v>#N/A</v>
      </c>
      <c r="L89" s="1" t="e">
        <f>Damped[[#This Row],[ξIV '[-']]]/API_check(Damped[[#This Row],[fIV/frun]])</f>
        <v>#N/A</v>
      </c>
      <c r="M89" s="1" t="e">
        <f>Damped[[#This Row],[ξV '[-']]]/API_check(Damped[[#This Row],[fV/frun]])</f>
        <v>#N/A</v>
      </c>
      <c r="N89" s="1" t="e">
        <f>Damped[[#This Row],[ξVI '[-']]]/API_check(Damped[[#This Row],[fVI/frun]])</f>
        <v>#N/A</v>
      </c>
      <c r="O89" s="1" t="e">
        <f>Damped[[#This Row],[ξVII '[-']]]/API_check(Damped[[#This Row],[fVII/frun]])</f>
        <v>#N/A</v>
      </c>
      <c r="P89" s="1" t="e">
        <f>Damped[[#This Row],[ξVIII '[-']]]/API_check(Damped[[#This Row],[fVIII/frun]])</f>
        <v>#N/A</v>
      </c>
      <c r="Q89" s="1" t="e">
        <f>Damped[[#This Row],[ξIX '[-']]]/API_check(Damped[[#This Row],[fIX/frun]])</f>
        <v>#N/A</v>
      </c>
      <c r="R89" s="1" t="e">
        <f>Damped[[#This Row],[ξX '[-']]]/API_check(Damped[[#This Row],[fX/frun]])</f>
        <v>#N/A</v>
      </c>
      <c r="S89" s="1" t="e">
        <f>Damped[[#This Row],[ξXI '[-']]]/API_check(Damped[[#This Row],[fXI/frun]])</f>
        <v>#N/A</v>
      </c>
      <c r="T89" s="1" t="e">
        <f>Damped[[#This Row],[ξXII '[-']]]/API_check(Damped[[#This Row],[fXII/frun]])</f>
        <v>#N/A</v>
      </c>
      <c r="U89" s="1" t="e" cm="1">
        <f t="array" ref="U89">_xlfn.IFS($I$32=1,IF(ISBLANK(dry!C26),NA(),dry!C26),$I$32=2,IF(ISBLANK('as new'!C26),NA(),'as new'!C26),$I$32=3,IF(ISBLANK('twice as new'!C26),NA(),'twice as new'!C26))</f>
        <v>#N/A</v>
      </c>
      <c r="V89" s="1" t="e" cm="1">
        <f t="array" ref="V89">_xlfn.IFS($I$32=1,IF(ISBLANK(dry!D26),NA(),dry!D26),$I$32=2,IF(ISBLANK('as new'!D26),NA(),'as new'!D26),$I$32=3,IF(ISBLANK('twice as new'!D26),NA(),'twice as new'!D26))</f>
        <v>#N/A</v>
      </c>
      <c r="W89" s="1" t="e" cm="1">
        <f t="array" ref="W89">_xlfn.IFS($I$32=1,IF(ISBLANK(dry!E26),NA(),dry!E26),$I$32=2,IF(ISBLANK('as new'!E26),NA(),'as new'!E26),$I$32=3,IF(ISBLANK('twice as new'!E26),NA(),'twice as new'!E26))</f>
        <v>#N/A</v>
      </c>
      <c r="X89" s="1" t="e" cm="1">
        <f t="array" ref="X89">_xlfn.IFS($I$32=1,IF(ISBLANK(dry!F26),NA(),dry!F26),$I$32=2,IF(ISBLANK('as new'!F26),NA(),'as new'!F26),$I$32=3,IF(ISBLANK('twice as new'!F26),NA(),'twice as new'!F26))</f>
        <v>#N/A</v>
      </c>
      <c r="Y89" s="1" t="e" cm="1">
        <f t="array" ref="Y89">_xlfn.IFS($I$32=1,IF(ISBLANK(dry!G26),NA(),dry!G26),$I$32=2,IF(ISBLANK('as new'!G26),NA(),'as new'!G26),$I$32=3,IF(ISBLANK('twice as new'!G26),NA(),'twice as new'!G26))</f>
        <v>#N/A</v>
      </c>
      <c r="Z89" s="1" t="e" cm="1">
        <f t="array" ref="Z89">_xlfn.IFS($I$32=1,IF(ISBLANK(dry!H26),NA(),dry!H26),$I$32=2,IF(ISBLANK('as new'!H26),NA(),'as new'!H26),$I$32=3,IF(ISBLANK('twice as new'!H26),NA(),'twice as new'!H26))</f>
        <v>#N/A</v>
      </c>
      <c r="AA89" s="1" t="e" cm="1">
        <f t="array" ref="AA89">_xlfn.IFS($I$32=1,IF(ISBLANK(dry!I26),NA(),dry!I26),$I$32=2,IF(ISBLANK('as new'!I26),NA(),'as new'!I26),$I$32=3,IF(ISBLANK('twice as new'!I26),NA(),'twice as new'!I26))</f>
        <v>#N/A</v>
      </c>
      <c r="AB89" s="1" t="e" cm="1">
        <f t="array" ref="AB89">_xlfn.IFS($I$32=1,IF(ISBLANK(dry!J26),NA(),dry!J26),$I$32=2,IF(ISBLANK('as new'!J26),NA(),'as new'!J26),$I$32=3,IF(ISBLANK('twice as new'!J26),NA(),'twice as new'!J26))</f>
        <v>#N/A</v>
      </c>
      <c r="AC89" s="1" t="e" cm="1">
        <f t="array" ref="AC89">_xlfn.IFS($I$32=1,IF(ISBLANK(dry!K26),NA(),dry!K26),$I$32=2,IF(ISBLANK('as new'!K26),NA(),'as new'!K26),$I$32=3,IF(ISBLANK('twice as new'!K26),NA(),'twice as new'!K26))</f>
        <v>#N/A</v>
      </c>
      <c r="AD89" s="1" t="e" cm="1">
        <f t="array" ref="AD89">_xlfn.IFS($I$32=1,IF(ISBLANK(dry!L26),NA(),dry!L26),$I$32=2,IF(ISBLANK('as new'!L26),NA(),'as new'!L26),$I$32=3,IF(ISBLANK('twice as new'!L26),NA(),'twice as new'!L26))</f>
        <v>#N/A</v>
      </c>
      <c r="AE89" s="1" t="e" cm="1">
        <f t="array" ref="AE89">_xlfn.IFS($I$32=1,IF(ISBLANK(dry!M26),NA(),dry!M26),$I$32=2,IF(ISBLANK('as new'!M26),NA(),'as new'!M26),$I$32=3,IF(ISBLANK('twice as new'!M26),NA(),'twice as new'!M26))</f>
        <v>#N/A</v>
      </c>
      <c r="AF89" s="1" t="e" cm="1">
        <f t="array" ref="AF89">_xlfn.IFS($I$32=1,IF(ISBLANK(dry!N26),NA(),dry!N26),$I$32=2,IF(ISBLANK('as new'!N26),NA(),'as new'!N26),$I$32=3,IF(ISBLANK('twice as new'!N26),NA(),'twice as new'!N26))</f>
        <v>#N/A</v>
      </c>
      <c r="AG89" s="1" t="e" cm="1">
        <f t="array" ref="AG89">_xlfn.IFS($I$32=1,IF(ISBLANK(dry!O26),NA(),dry!O26),$I$32=2,IF(ISBLANK('as new'!O26),NA(),'as new'!O26),$I$32=3,IF(ISBLANK('twice as new'!O26),NA(),'twice as new'!O26))</f>
        <v>#N/A</v>
      </c>
      <c r="AH89" s="1" t="e" cm="1">
        <f t="array" ref="AH89">_xlfn.IFS($I$32=1,IF(ISBLANK(dry!P26),NA(),dry!P26),$I$32=2,IF(ISBLANK('as new'!P26),NA(),'as new'!P26),$I$32=3,IF(ISBLANK('twice as new'!P26),NA(),'twice as new'!P26))</f>
        <v>#N/A</v>
      </c>
      <c r="AI89" s="1" t="e" cm="1">
        <f t="array" ref="AI89">_xlfn.IFS($I$32=1,IF(ISBLANK(dry!Q26),NA(),dry!Q26),$I$32=2,IF(ISBLANK('as new'!Q26),NA(),'as new'!Q26),$I$32=3,IF(ISBLANK('twice as new'!Q26),NA(),'twice as new'!Q26))</f>
        <v>#N/A</v>
      </c>
      <c r="AJ89" s="1" t="e" cm="1">
        <f t="array" ref="AJ89">_xlfn.IFS($I$32=1,IF(ISBLANK(dry!R26),NA(),dry!R26),$I$32=2,IF(ISBLANK('as new'!R26),NA(),'as new'!R26),$I$32=3,IF(ISBLANK('twice as new'!R26),NA(),'twice as new'!R26))</f>
        <v>#N/A</v>
      </c>
      <c r="AK89" s="1" t="e">
        <f>IF(CHOOSE($I$32,dry!S26,'as new'!S26,'twice as new'!S26)=0,NA(),CHOOSE($I$32,dry!S26,'as new'!S26,'twice as new'!S26))</f>
        <v>#N/A</v>
      </c>
      <c r="AL89" s="1" t="e">
        <f>IF(CHOOSE($I$32,dry!T26,'as new'!T26,'twice as new'!T26)=0,NA(),CHOOSE($I$32,dry!T26,'as new'!T26,'twice as new'!T26))</f>
        <v>#N/A</v>
      </c>
      <c r="AM89" s="1" t="e">
        <f>IF(CHOOSE($I$32,dry!U26,'as new'!U26,'twice as new'!U26)=0,NA(),CHOOSE($I$32,dry!U26,'as new'!U26,'twice as new'!U26))</f>
        <v>#N/A</v>
      </c>
      <c r="AN89" s="1" t="e">
        <f>IF(CHOOSE($I$32,dry!V26,'as new'!V26,'twice as new'!V26)=0,NA(),CHOOSE($I$32,dry!V26,'as new'!V26,'twice as new'!V26))</f>
        <v>#N/A</v>
      </c>
      <c r="AO89" s="1" t="e">
        <f>IF(CHOOSE($I$32,dry!W26,'as new'!W26,'twice as new'!W26)=0,NA(),CHOOSE($I$32,dry!W26,'as new'!W26,'twice as new'!W26))</f>
        <v>#N/A</v>
      </c>
      <c r="AP89" s="1" t="e">
        <f>IF(CHOOSE($I$32,dry!X26,'as new'!X26,'twice as new'!X26)=0,NA(),CHOOSE($I$32,dry!X26,'as new'!X26,'twice as new'!X26))</f>
        <v>#N/A</v>
      </c>
      <c r="AQ89" s="1" t="e">
        <f>IF(CHOOSE($I$32,dry!Y26,'as new'!Y26,'twice as new'!Y26)=0,NA(),CHOOSE($I$32,dry!Y26,'as new'!Y26,'twice as new'!Y26))</f>
        <v>#N/A</v>
      </c>
      <c r="AR89" s="1" t="e">
        <f>IF(CHOOSE($I$32,dry!Z26,'as new'!Z26,'twice as new'!Z26)=0,NA(),CHOOSE($I$32,dry!Z26,'as new'!Z26,'twice as new'!Z26))</f>
        <v>#N/A</v>
      </c>
      <c r="AS89" s="1" t="e">
        <f>Damped[[#This Row],[fI '[rpm']]]/Damped[[#This Row],[frun '[rpm']]]</f>
        <v>#N/A</v>
      </c>
      <c r="AT89" s="1" t="e">
        <f>Damped[[#This Row],[fII '[rpm']]]/Damped[[#This Row],[frun '[rpm']]]</f>
        <v>#N/A</v>
      </c>
      <c r="AU89" s="1" t="e">
        <f>Damped[[#This Row],[fIII '[rpm']]]/Damped[[#This Row],[frun '[rpm']]]</f>
        <v>#N/A</v>
      </c>
      <c r="AV89" s="1" t="e">
        <f>Damped[[#This Row],[fIV '[rpm']]]/Damped[[#This Row],[frun '[rpm']]]</f>
        <v>#N/A</v>
      </c>
      <c r="AW89" s="1" t="e">
        <f>Damped[[#This Row],[fV '[rpm']]]/Damped[[#This Row],[frun '[rpm']]]</f>
        <v>#N/A</v>
      </c>
      <c r="AX89" s="1" t="e">
        <f>Damped[[#This Row],[fVI '[rpm']]]/Damped[[#This Row],[frun '[rpm']]]</f>
        <v>#N/A</v>
      </c>
      <c r="AY89" s="1" t="e">
        <f>Damped[[#This Row],[fVII '[rpm']]]/Damped[[#This Row],[frun '[rpm']]]</f>
        <v>#N/A</v>
      </c>
      <c r="AZ89" s="1" t="e">
        <f>Damped[[#This Row],[fVIII '[rpm']]]/Damped[[#This Row],[frun '[rpm']]]</f>
        <v>#N/A</v>
      </c>
      <c r="BA89" s="1" t="e">
        <f>Damped[[#This Row],[fIX '[rpm']]]/Damped[[#This Row],[frun '[rpm']]]</f>
        <v>#N/A</v>
      </c>
      <c r="BB89" s="1" t="e">
        <f>Damped[[#This Row],[fX '[rpm']]]/Damped[[#This Row],[frun '[rpm']]]</f>
        <v>#N/A</v>
      </c>
      <c r="BC89" s="1" t="e">
        <f>Damped[[#This Row],[fXI '[rpm']]]/Damped[[#This Row],[frun '[rpm']]]</f>
        <v>#N/A</v>
      </c>
      <c r="BD89" s="1" t="e">
        <f>Damped[[#This Row],[fXII '[rpm']]]/Damped[[#This Row],[frun '[rpm']]]</f>
        <v>#N/A</v>
      </c>
    </row>
    <row r="90" spans="8:56" x14ac:dyDescent="0.25">
      <c r="H90" s="1" t="e" cm="1">
        <f t="array" ref="H90">_xlfn.IFS($I$32=1,IF(ISBLANK(dry!B27),NA(),dry!B27),$I$32=2,IF(ISBLANK('as new'!B27),NA(),'as new'!B27),$I$32=3,IF(ISBLANK('twice as new'!B27),NA(),'twice as new'!B27))</f>
        <v>#N/A</v>
      </c>
      <c r="I90" s="1" t="e">
        <f>Damped[[#This Row],[ξI '[-']]]/API_check(Damped[[#This Row],[fI/frun]])</f>
        <v>#N/A</v>
      </c>
      <c r="J90" s="1" t="e">
        <f>Damped[[#This Row],[ξII '[-']]]/API_check(Damped[[#This Row],[fII/frun]])</f>
        <v>#N/A</v>
      </c>
      <c r="K90" s="1" t="e">
        <f>Damped[[#This Row],[ξIII '[-']]]/API_check(Damped[[#This Row],[fIII/frun]])</f>
        <v>#N/A</v>
      </c>
      <c r="L90" s="1" t="e">
        <f>Damped[[#This Row],[ξIV '[-']]]/API_check(Damped[[#This Row],[fIV/frun]])</f>
        <v>#N/A</v>
      </c>
      <c r="M90" s="1" t="e">
        <f>Damped[[#This Row],[ξV '[-']]]/API_check(Damped[[#This Row],[fV/frun]])</f>
        <v>#N/A</v>
      </c>
      <c r="N90" s="1" t="e">
        <f>Damped[[#This Row],[ξVI '[-']]]/API_check(Damped[[#This Row],[fVI/frun]])</f>
        <v>#N/A</v>
      </c>
      <c r="O90" s="1" t="e">
        <f>Damped[[#This Row],[ξVII '[-']]]/API_check(Damped[[#This Row],[fVII/frun]])</f>
        <v>#N/A</v>
      </c>
      <c r="P90" s="1" t="e">
        <f>Damped[[#This Row],[ξVIII '[-']]]/API_check(Damped[[#This Row],[fVIII/frun]])</f>
        <v>#N/A</v>
      </c>
      <c r="Q90" s="1" t="e">
        <f>Damped[[#This Row],[ξIX '[-']]]/API_check(Damped[[#This Row],[fIX/frun]])</f>
        <v>#N/A</v>
      </c>
      <c r="R90" s="1" t="e">
        <f>Damped[[#This Row],[ξX '[-']]]/API_check(Damped[[#This Row],[fX/frun]])</f>
        <v>#N/A</v>
      </c>
      <c r="S90" s="1" t="e">
        <f>Damped[[#This Row],[ξXI '[-']]]/API_check(Damped[[#This Row],[fXI/frun]])</f>
        <v>#N/A</v>
      </c>
      <c r="T90" s="1" t="e">
        <f>Damped[[#This Row],[ξXII '[-']]]/API_check(Damped[[#This Row],[fXII/frun]])</f>
        <v>#N/A</v>
      </c>
      <c r="U90" s="1" t="e" cm="1">
        <f t="array" ref="U90">_xlfn.IFS($I$32=1,IF(ISBLANK(dry!C27),NA(),dry!C27),$I$32=2,IF(ISBLANK('as new'!C27),NA(),'as new'!C27),$I$32=3,IF(ISBLANK('twice as new'!C27),NA(),'twice as new'!C27))</f>
        <v>#N/A</v>
      </c>
      <c r="V90" s="1" t="e" cm="1">
        <f t="array" ref="V90">_xlfn.IFS($I$32=1,IF(ISBLANK(dry!D27),NA(),dry!D27),$I$32=2,IF(ISBLANK('as new'!D27),NA(),'as new'!D27),$I$32=3,IF(ISBLANK('twice as new'!D27),NA(),'twice as new'!D27))</f>
        <v>#N/A</v>
      </c>
      <c r="W90" s="1" t="e" cm="1">
        <f t="array" ref="W90">_xlfn.IFS($I$32=1,IF(ISBLANK(dry!E27),NA(),dry!E27),$I$32=2,IF(ISBLANK('as new'!E27),NA(),'as new'!E27),$I$32=3,IF(ISBLANK('twice as new'!E27),NA(),'twice as new'!E27))</f>
        <v>#N/A</v>
      </c>
      <c r="X90" s="1" t="e" cm="1">
        <f t="array" ref="X90">_xlfn.IFS($I$32=1,IF(ISBLANK(dry!F27),NA(),dry!F27),$I$32=2,IF(ISBLANK('as new'!F27),NA(),'as new'!F27),$I$32=3,IF(ISBLANK('twice as new'!F27),NA(),'twice as new'!F27))</f>
        <v>#N/A</v>
      </c>
      <c r="Y90" s="1" t="e" cm="1">
        <f t="array" ref="Y90">_xlfn.IFS($I$32=1,IF(ISBLANK(dry!G27),NA(),dry!G27),$I$32=2,IF(ISBLANK('as new'!G27),NA(),'as new'!G27),$I$32=3,IF(ISBLANK('twice as new'!G27),NA(),'twice as new'!G27))</f>
        <v>#N/A</v>
      </c>
      <c r="Z90" s="1" t="e" cm="1">
        <f t="array" ref="Z90">_xlfn.IFS($I$32=1,IF(ISBLANK(dry!H27),NA(),dry!H27),$I$32=2,IF(ISBLANK('as new'!H27),NA(),'as new'!H27),$I$32=3,IF(ISBLANK('twice as new'!H27),NA(),'twice as new'!H27))</f>
        <v>#N/A</v>
      </c>
      <c r="AA90" s="1" t="e" cm="1">
        <f t="array" ref="AA90">_xlfn.IFS($I$32=1,IF(ISBLANK(dry!I27),NA(),dry!I27),$I$32=2,IF(ISBLANK('as new'!I27),NA(),'as new'!I27),$I$32=3,IF(ISBLANK('twice as new'!I27),NA(),'twice as new'!I27))</f>
        <v>#N/A</v>
      </c>
      <c r="AB90" s="1" t="e" cm="1">
        <f t="array" ref="AB90">_xlfn.IFS($I$32=1,IF(ISBLANK(dry!J27),NA(),dry!J27),$I$32=2,IF(ISBLANK('as new'!J27),NA(),'as new'!J27),$I$32=3,IF(ISBLANK('twice as new'!J27),NA(),'twice as new'!J27))</f>
        <v>#N/A</v>
      </c>
      <c r="AC90" s="1" t="e" cm="1">
        <f t="array" ref="AC90">_xlfn.IFS($I$32=1,IF(ISBLANK(dry!K27),NA(),dry!K27),$I$32=2,IF(ISBLANK('as new'!K27),NA(),'as new'!K27),$I$32=3,IF(ISBLANK('twice as new'!K27),NA(),'twice as new'!K27))</f>
        <v>#N/A</v>
      </c>
      <c r="AD90" s="1" t="e" cm="1">
        <f t="array" ref="AD90">_xlfn.IFS($I$32=1,IF(ISBLANK(dry!L27),NA(),dry!L27),$I$32=2,IF(ISBLANK('as new'!L27),NA(),'as new'!L27),$I$32=3,IF(ISBLANK('twice as new'!L27),NA(),'twice as new'!L27))</f>
        <v>#N/A</v>
      </c>
      <c r="AE90" s="1" t="e" cm="1">
        <f t="array" ref="AE90">_xlfn.IFS($I$32=1,IF(ISBLANK(dry!M27),NA(),dry!M27),$I$32=2,IF(ISBLANK('as new'!M27),NA(),'as new'!M27),$I$32=3,IF(ISBLANK('twice as new'!M27),NA(),'twice as new'!M27))</f>
        <v>#N/A</v>
      </c>
      <c r="AF90" s="1" t="e" cm="1">
        <f t="array" ref="AF90">_xlfn.IFS($I$32=1,IF(ISBLANK(dry!N27),NA(),dry!N27),$I$32=2,IF(ISBLANK('as new'!N27),NA(),'as new'!N27),$I$32=3,IF(ISBLANK('twice as new'!N27),NA(),'twice as new'!N27))</f>
        <v>#N/A</v>
      </c>
      <c r="AG90" s="1" t="e" cm="1">
        <f t="array" ref="AG90">_xlfn.IFS($I$32=1,IF(ISBLANK(dry!O27),NA(),dry!O27),$I$32=2,IF(ISBLANK('as new'!O27),NA(),'as new'!O27),$I$32=3,IF(ISBLANK('twice as new'!O27),NA(),'twice as new'!O27))</f>
        <v>#N/A</v>
      </c>
      <c r="AH90" s="1" t="e" cm="1">
        <f t="array" ref="AH90">_xlfn.IFS($I$32=1,IF(ISBLANK(dry!P27),NA(),dry!P27),$I$32=2,IF(ISBLANK('as new'!P27),NA(),'as new'!P27),$I$32=3,IF(ISBLANK('twice as new'!P27),NA(),'twice as new'!P27))</f>
        <v>#N/A</v>
      </c>
      <c r="AI90" s="1" t="e" cm="1">
        <f t="array" ref="AI90">_xlfn.IFS($I$32=1,IF(ISBLANK(dry!Q27),NA(),dry!Q27),$I$32=2,IF(ISBLANK('as new'!Q27),NA(),'as new'!Q27),$I$32=3,IF(ISBLANK('twice as new'!Q27),NA(),'twice as new'!Q27))</f>
        <v>#N/A</v>
      </c>
      <c r="AJ90" s="1" t="e" cm="1">
        <f t="array" ref="AJ90">_xlfn.IFS($I$32=1,IF(ISBLANK(dry!R27),NA(),dry!R27),$I$32=2,IF(ISBLANK('as new'!R27),NA(),'as new'!R27),$I$32=3,IF(ISBLANK('twice as new'!R27),NA(),'twice as new'!R27))</f>
        <v>#N/A</v>
      </c>
      <c r="AK90" s="1" t="e">
        <f>IF(CHOOSE($I$32,dry!S27,'as new'!S27,'twice as new'!S27)=0,NA(),CHOOSE($I$32,dry!S27,'as new'!S27,'twice as new'!S27))</f>
        <v>#N/A</v>
      </c>
      <c r="AL90" s="1" t="e">
        <f>IF(CHOOSE($I$32,dry!T27,'as new'!T27,'twice as new'!T27)=0,NA(),CHOOSE($I$32,dry!T27,'as new'!T27,'twice as new'!T27))</f>
        <v>#N/A</v>
      </c>
      <c r="AM90" s="1" t="e">
        <f>IF(CHOOSE($I$32,dry!U27,'as new'!U27,'twice as new'!U27)=0,NA(),CHOOSE($I$32,dry!U27,'as new'!U27,'twice as new'!U27))</f>
        <v>#N/A</v>
      </c>
      <c r="AN90" s="1" t="e">
        <f>IF(CHOOSE($I$32,dry!V27,'as new'!V27,'twice as new'!V27)=0,NA(),CHOOSE($I$32,dry!V27,'as new'!V27,'twice as new'!V27))</f>
        <v>#N/A</v>
      </c>
      <c r="AO90" s="1" t="e">
        <f>IF(CHOOSE($I$32,dry!W27,'as new'!W27,'twice as new'!W27)=0,NA(),CHOOSE($I$32,dry!W27,'as new'!W27,'twice as new'!W27))</f>
        <v>#N/A</v>
      </c>
      <c r="AP90" s="1" t="e">
        <f>IF(CHOOSE($I$32,dry!X27,'as new'!X27,'twice as new'!X27)=0,NA(),CHOOSE($I$32,dry!X27,'as new'!X27,'twice as new'!X27))</f>
        <v>#N/A</v>
      </c>
      <c r="AQ90" s="1" t="e">
        <f>IF(CHOOSE($I$32,dry!Y27,'as new'!Y27,'twice as new'!Y27)=0,NA(),CHOOSE($I$32,dry!Y27,'as new'!Y27,'twice as new'!Y27))</f>
        <v>#N/A</v>
      </c>
      <c r="AR90" s="1" t="e">
        <f>IF(CHOOSE($I$32,dry!Z27,'as new'!Z27,'twice as new'!Z27)=0,NA(),CHOOSE($I$32,dry!Z27,'as new'!Z27,'twice as new'!Z27))</f>
        <v>#N/A</v>
      </c>
      <c r="AS90" s="1" t="e">
        <f>Damped[[#This Row],[fI '[rpm']]]/Damped[[#This Row],[frun '[rpm']]]</f>
        <v>#N/A</v>
      </c>
      <c r="AT90" s="1" t="e">
        <f>Damped[[#This Row],[fII '[rpm']]]/Damped[[#This Row],[frun '[rpm']]]</f>
        <v>#N/A</v>
      </c>
      <c r="AU90" s="1" t="e">
        <f>Damped[[#This Row],[fIII '[rpm']]]/Damped[[#This Row],[frun '[rpm']]]</f>
        <v>#N/A</v>
      </c>
      <c r="AV90" s="1" t="e">
        <f>Damped[[#This Row],[fIV '[rpm']]]/Damped[[#This Row],[frun '[rpm']]]</f>
        <v>#N/A</v>
      </c>
      <c r="AW90" s="1" t="e">
        <f>Damped[[#This Row],[fV '[rpm']]]/Damped[[#This Row],[frun '[rpm']]]</f>
        <v>#N/A</v>
      </c>
      <c r="AX90" s="1" t="e">
        <f>Damped[[#This Row],[fVI '[rpm']]]/Damped[[#This Row],[frun '[rpm']]]</f>
        <v>#N/A</v>
      </c>
      <c r="AY90" s="1" t="e">
        <f>Damped[[#This Row],[fVII '[rpm']]]/Damped[[#This Row],[frun '[rpm']]]</f>
        <v>#N/A</v>
      </c>
      <c r="AZ90" s="1" t="e">
        <f>Damped[[#This Row],[fVIII '[rpm']]]/Damped[[#This Row],[frun '[rpm']]]</f>
        <v>#N/A</v>
      </c>
      <c r="BA90" s="1" t="e">
        <f>Damped[[#This Row],[fIX '[rpm']]]/Damped[[#This Row],[frun '[rpm']]]</f>
        <v>#N/A</v>
      </c>
      <c r="BB90" s="1" t="e">
        <f>Damped[[#This Row],[fX '[rpm']]]/Damped[[#This Row],[frun '[rpm']]]</f>
        <v>#N/A</v>
      </c>
      <c r="BC90" s="1" t="e">
        <f>Damped[[#This Row],[fXI '[rpm']]]/Damped[[#This Row],[frun '[rpm']]]</f>
        <v>#N/A</v>
      </c>
      <c r="BD90" s="1" t="e">
        <f>Damped[[#This Row],[fXII '[rpm']]]/Damped[[#This Row],[frun '[rpm']]]</f>
        <v>#N/A</v>
      </c>
    </row>
    <row r="91" spans="8:56" x14ac:dyDescent="0.25">
      <c r="H91" s="1" t="e" cm="1">
        <f t="array" ref="H91">_xlfn.IFS($I$32=1,IF(ISBLANK(dry!B28),NA(),dry!B28),$I$32=2,IF(ISBLANK('as new'!B28),NA(),'as new'!B28),$I$32=3,IF(ISBLANK('twice as new'!B28),NA(),'twice as new'!B28))</f>
        <v>#N/A</v>
      </c>
      <c r="I91" s="1" t="e">
        <f>Damped[[#This Row],[ξI '[-']]]/API_check(Damped[[#This Row],[fI/frun]])</f>
        <v>#N/A</v>
      </c>
      <c r="J91" s="1" t="e">
        <f>Damped[[#This Row],[ξII '[-']]]/API_check(Damped[[#This Row],[fII/frun]])</f>
        <v>#N/A</v>
      </c>
      <c r="K91" s="1" t="e">
        <f>Damped[[#This Row],[ξIII '[-']]]/API_check(Damped[[#This Row],[fIII/frun]])</f>
        <v>#N/A</v>
      </c>
      <c r="L91" s="1" t="e">
        <f>Damped[[#This Row],[ξIV '[-']]]/API_check(Damped[[#This Row],[fIV/frun]])</f>
        <v>#N/A</v>
      </c>
      <c r="M91" s="1" t="e">
        <f>Damped[[#This Row],[ξV '[-']]]/API_check(Damped[[#This Row],[fV/frun]])</f>
        <v>#N/A</v>
      </c>
      <c r="N91" s="1" t="e">
        <f>Damped[[#This Row],[ξVI '[-']]]/API_check(Damped[[#This Row],[fVI/frun]])</f>
        <v>#N/A</v>
      </c>
      <c r="O91" s="1" t="e">
        <f>Damped[[#This Row],[ξVII '[-']]]/API_check(Damped[[#This Row],[fVII/frun]])</f>
        <v>#N/A</v>
      </c>
      <c r="P91" s="1" t="e">
        <f>Damped[[#This Row],[ξVIII '[-']]]/API_check(Damped[[#This Row],[fVIII/frun]])</f>
        <v>#N/A</v>
      </c>
      <c r="Q91" s="1" t="e">
        <f>Damped[[#This Row],[ξIX '[-']]]/API_check(Damped[[#This Row],[fIX/frun]])</f>
        <v>#N/A</v>
      </c>
      <c r="R91" s="1" t="e">
        <f>Damped[[#This Row],[ξX '[-']]]/API_check(Damped[[#This Row],[fX/frun]])</f>
        <v>#N/A</v>
      </c>
      <c r="S91" s="1" t="e">
        <f>Damped[[#This Row],[ξXI '[-']]]/API_check(Damped[[#This Row],[fXI/frun]])</f>
        <v>#N/A</v>
      </c>
      <c r="T91" s="1" t="e">
        <f>Damped[[#This Row],[ξXII '[-']]]/API_check(Damped[[#This Row],[fXII/frun]])</f>
        <v>#N/A</v>
      </c>
      <c r="U91" s="1" t="e" cm="1">
        <f t="array" ref="U91">_xlfn.IFS($I$32=1,IF(ISBLANK(dry!C28),NA(),dry!C28),$I$32=2,IF(ISBLANK('as new'!C28),NA(),'as new'!C28),$I$32=3,IF(ISBLANK('twice as new'!C28),NA(),'twice as new'!C28))</f>
        <v>#N/A</v>
      </c>
      <c r="V91" s="1" t="e" cm="1">
        <f t="array" ref="V91">_xlfn.IFS($I$32=1,IF(ISBLANK(dry!D28),NA(),dry!D28),$I$32=2,IF(ISBLANK('as new'!D28),NA(),'as new'!D28),$I$32=3,IF(ISBLANK('twice as new'!D28),NA(),'twice as new'!D28))</f>
        <v>#N/A</v>
      </c>
      <c r="W91" s="1" t="e" cm="1">
        <f t="array" ref="W91">_xlfn.IFS($I$32=1,IF(ISBLANK(dry!E28),NA(),dry!E28),$I$32=2,IF(ISBLANK('as new'!E28),NA(),'as new'!E28),$I$32=3,IF(ISBLANK('twice as new'!E28),NA(),'twice as new'!E28))</f>
        <v>#N/A</v>
      </c>
      <c r="X91" s="1" t="e" cm="1">
        <f t="array" ref="X91">_xlfn.IFS($I$32=1,IF(ISBLANK(dry!F28),NA(),dry!F28),$I$32=2,IF(ISBLANK('as new'!F28),NA(),'as new'!F28),$I$32=3,IF(ISBLANK('twice as new'!F28),NA(),'twice as new'!F28))</f>
        <v>#N/A</v>
      </c>
      <c r="Y91" s="1" t="e" cm="1">
        <f t="array" ref="Y91">_xlfn.IFS($I$32=1,IF(ISBLANK(dry!G28),NA(),dry!G28),$I$32=2,IF(ISBLANK('as new'!G28),NA(),'as new'!G28),$I$32=3,IF(ISBLANK('twice as new'!G28),NA(),'twice as new'!G28))</f>
        <v>#N/A</v>
      </c>
      <c r="Z91" s="1" t="e" cm="1">
        <f t="array" ref="Z91">_xlfn.IFS($I$32=1,IF(ISBLANK(dry!H28),NA(),dry!H28),$I$32=2,IF(ISBLANK('as new'!H28),NA(),'as new'!H28),$I$32=3,IF(ISBLANK('twice as new'!H28),NA(),'twice as new'!H28))</f>
        <v>#N/A</v>
      </c>
      <c r="AA91" s="1" t="e" cm="1">
        <f t="array" ref="AA91">_xlfn.IFS($I$32=1,IF(ISBLANK(dry!I28),NA(),dry!I28),$I$32=2,IF(ISBLANK('as new'!I28),NA(),'as new'!I28),$I$32=3,IF(ISBLANK('twice as new'!I28),NA(),'twice as new'!I28))</f>
        <v>#N/A</v>
      </c>
      <c r="AB91" s="1" t="e" cm="1">
        <f t="array" ref="AB91">_xlfn.IFS($I$32=1,IF(ISBLANK(dry!J28),NA(),dry!J28),$I$32=2,IF(ISBLANK('as new'!J28),NA(),'as new'!J28),$I$32=3,IF(ISBLANK('twice as new'!J28),NA(),'twice as new'!J28))</f>
        <v>#N/A</v>
      </c>
      <c r="AC91" s="1" t="e" cm="1">
        <f t="array" ref="AC91">_xlfn.IFS($I$32=1,IF(ISBLANK(dry!K28),NA(),dry!K28),$I$32=2,IF(ISBLANK('as new'!K28),NA(),'as new'!K28),$I$32=3,IF(ISBLANK('twice as new'!K28),NA(),'twice as new'!K28))</f>
        <v>#N/A</v>
      </c>
      <c r="AD91" s="1" t="e" cm="1">
        <f t="array" ref="AD91">_xlfn.IFS($I$32=1,IF(ISBLANK(dry!L28),NA(),dry!L28),$I$32=2,IF(ISBLANK('as new'!L28),NA(),'as new'!L28),$I$32=3,IF(ISBLANK('twice as new'!L28),NA(),'twice as new'!L28))</f>
        <v>#N/A</v>
      </c>
      <c r="AE91" s="1" t="e" cm="1">
        <f t="array" ref="AE91">_xlfn.IFS($I$32=1,IF(ISBLANK(dry!M28),NA(),dry!M28),$I$32=2,IF(ISBLANK('as new'!M28),NA(),'as new'!M28),$I$32=3,IF(ISBLANK('twice as new'!M28),NA(),'twice as new'!M28))</f>
        <v>#N/A</v>
      </c>
      <c r="AF91" s="1" t="e" cm="1">
        <f t="array" ref="AF91">_xlfn.IFS($I$32=1,IF(ISBLANK(dry!N28),NA(),dry!N28),$I$32=2,IF(ISBLANK('as new'!N28),NA(),'as new'!N28),$I$32=3,IF(ISBLANK('twice as new'!N28),NA(),'twice as new'!N28))</f>
        <v>#N/A</v>
      </c>
      <c r="AG91" s="1" t="e" cm="1">
        <f t="array" ref="AG91">_xlfn.IFS($I$32=1,IF(ISBLANK(dry!O28),NA(),dry!O28),$I$32=2,IF(ISBLANK('as new'!O28),NA(),'as new'!O28),$I$32=3,IF(ISBLANK('twice as new'!O28),NA(),'twice as new'!O28))</f>
        <v>#N/A</v>
      </c>
      <c r="AH91" s="1" t="e" cm="1">
        <f t="array" ref="AH91">_xlfn.IFS($I$32=1,IF(ISBLANK(dry!P28),NA(),dry!P28),$I$32=2,IF(ISBLANK('as new'!P28),NA(),'as new'!P28),$I$32=3,IF(ISBLANK('twice as new'!P28),NA(),'twice as new'!P28))</f>
        <v>#N/A</v>
      </c>
      <c r="AI91" s="1" t="e" cm="1">
        <f t="array" ref="AI91">_xlfn.IFS($I$32=1,IF(ISBLANK(dry!Q28),NA(),dry!Q28),$I$32=2,IF(ISBLANK('as new'!Q28),NA(),'as new'!Q28),$I$32=3,IF(ISBLANK('twice as new'!Q28),NA(),'twice as new'!Q28))</f>
        <v>#N/A</v>
      </c>
      <c r="AJ91" s="1" t="e" cm="1">
        <f t="array" ref="AJ91">_xlfn.IFS($I$32=1,IF(ISBLANK(dry!R28),NA(),dry!R28),$I$32=2,IF(ISBLANK('as new'!R28),NA(),'as new'!R28),$I$32=3,IF(ISBLANK('twice as new'!R28),NA(),'twice as new'!R28))</f>
        <v>#N/A</v>
      </c>
      <c r="AK91" s="1" t="e">
        <f>IF(CHOOSE($I$32,dry!S28,'as new'!S28,'twice as new'!S28)=0,NA(),CHOOSE($I$32,dry!S28,'as new'!S28,'twice as new'!S28))</f>
        <v>#N/A</v>
      </c>
      <c r="AL91" s="1" t="e">
        <f>IF(CHOOSE($I$32,dry!T28,'as new'!T28,'twice as new'!T28)=0,NA(),CHOOSE($I$32,dry!T28,'as new'!T28,'twice as new'!T28))</f>
        <v>#N/A</v>
      </c>
      <c r="AM91" s="1" t="e">
        <f>IF(CHOOSE($I$32,dry!U28,'as new'!U28,'twice as new'!U28)=0,NA(),CHOOSE($I$32,dry!U28,'as new'!U28,'twice as new'!U28))</f>
        <v>#N/A</v>
      </c>
      <c r="AN91" s="1" t="e">
        <f>IF(CHOOSE($I$32,dry!V28,'as new'!V28,'twice as new'!V28)=0,NA(),CHOOSE($I$32,dry!V28,'as new'!V28,'twice as new'!V28))</f>
        <v>#N/A</v>
      </c>
      <c r="AO91" s="1" t="e">
        <f>IF(CHOOSE($I$32,dry!W28,'as new'!W28,'twice as new'!W28)=0,NA(),CHOOSE($I$32,dry!W28,'as new'!W28,'twice as new'!W28))</f>
        <v>#N/A</v>
      </c>
      <c r="AP91" s="1" t="e">
        <f>IF(CHOOSE($I$32,dry!X28,'as new'!X28,'twice as new'!X28)=0,NA(),CHOOSE($I$32,dry!X28,'as new'!X28,'twice as new'!X28))</f>
        <v>#N/A</v>
      </c>
      <c r="AQ91" s="1" t="e">
        <f>IF(CHOOSE($I$32,dry!Y28,'as new'!Y28,'twice as new'!Y28)=0,NA(),CHOOSE($I$32,dry!Y28,'as new'!Y28,'twice as new'!Y28))</f>
        <v>#N/A</v>
      </c>
      <c r="AR91" s="1" t="e">
        <f>IF(CHOOSE($I$32,dry!Z28,'as new'!Z28,'twice as new'!Z28)=0,NA(),CHOOSE($I$32,dry!Z28,'as new'!Z28,'twice as new'!Z28))</f>
        <v>#N/A</v>
      </c>
      <c r="AS91" s="1" t="e">
        <f>Damped[[#This Row],[fI '[rpm']]]/Damped[[#This Row],[frun '[rpm']]]</f>
        <v>#N/A</v>
      </c>
      <c r="AT91" s="1" t="e">
        <f>Damped[[#This Row],[fII '[rpm']]]/Damped[[#This Row],[frun '[rpm']]]</f>
        <v>#N/A</v>
      </c>
      <c r="AU91" s="1" t="e">
        <f>Damped[[#This Row],[fIII '[rpm']]]/Damped[[#This Row],[frun '[rpm']]]</f>
        <v>#N/A</v>
      </c>
      <c r="AV91" s="1" t="e">
        <f>Damped[[#This Row],[fIV '[rpm']]]/Damped[[#This Row],[frun '[rpm']]]</f>
        <v>#N/A</v>
      </c>
      <c r="AW91" s="1" t="e">
        <f>Damped[[#This Row],[fV '[rpm']]]/Damped[[#This Row],[frun '[rpm']]]</f>
        <v>#N/A</v>
      </c>
      <c r="AX91" s="1" t="e">
        <f>Damped[[#This Row],[fVI '[rpm']]]/Damped[[#This Row],[frun '[rpm']]]</f>
        <v>#N/A</v>
      </c>
      <c r="AY91" s="1" t="e">
        <f>Damped[[#This Row],[fVII '[rpm']]]/Damped[[#This Row],[frun '[rpm']]]</f>
        <v>#N/A</v>
      </c>
      <c r="AZ91" s="1" t="e">
        <f>Damped[[#This Row],[fVIII '[rpm']]]/Damped[[#This Row],[frun '[rpm']]]</f>
        <v>#N/A</v>
      </c>
      <c r="BA91" s="1" t="e">
        <f>Damped[[#This Row],[fIX '[rpm']]]/Damped[[#This Row],[frun '[rpm']]]</f>
        <v>#N/A</v>
      </c>
      <c r="BB91" s="1" t="e">
        <f>Damped[[#This Row],[fX '[rpm']]]/Damped[[#This Row],[frun '[rpm']]]</f>
        <v>#N/A</v>
      </c>
      <c r="BC91" s="1" t="e">
        <f>Damped[[#This Row],[fXI '[rpm']]]/Damped[[#This Row],[frun '[rpm']]]</f>
        <v>#N/A</v>
      </c>
      <c r="BD91" s="1" t="e">
        <f>Damped[[#This Row],[fXII '[rpm']]]/Damped[[#This Row],[frun '[rpm']]]</f>
        <v>#N/A</v>
      </c>
    </row>
    <row r="92" spans="8:56" x14ac:dyDescent="0.25">
      <c r="H92" s="1" t="e" cm="1">
        <f t="array" ref="H92">_xlfn.IFS($I$32=1,IF(ISBLANK(dry!B29),NA(),dry!B29),$I$32=2,IF(ISBLANK('as new'!B29),NA(),'as new'!B29),$I$32=3,IF(ISBLANK('twice as new'!B29),NA(),'twice as new'!B29))</f>
        <v>#N/A</v>
      </c>
      <c r="I92" s="1" t="e">
        <f>Damped[[#This Row],[ξI '[-']]]/API_check(Damped[[#This Row],[fI/frun]])</f>
        <v>#N/A</v>
      </c>
      <c r="J92" s="1" t="e">
        <f>Damped[[#This Row],[ξII '[-']]]/API_check(Damped[[#This Row],[fII/frun]])</f>
        <v>#N/A</v>
      </c>
      <c r="K92" s="1" t="e">
        <f>Damped[[#This Row],[ξIII '[-']]]/API_check(Damped[[#This Row],[fIII/frun]])</f>
        <v>#N/A</v>
      </c>
      <c r="L92" s="1" t="e">
        <f>Damped[[#This Row],[ξIV '[-']]]/API_check(Damped[[#This Row],[fIV/frun]])</f>
        <v>#N/A</v>
      </c>
      <c r="M92" s="1" t="e">
        <f>Damped[[#This Row],[ξV '[-']]]/API_check(Damped[[#This Row],[fV/frun]])</f>
        <v>#N/A</v>
      </c>
      <c r="N92" s="1" t="e">
        <f>Damped[[#This Row],[ξVI '[-']]]/API_check(Damped[[#This Row],[fVI/frun]])</f>
        <v>#N/A</v>
      </c>
      <c r="O92" s="1" t="e">
        <f>Damped[[#This Row],[ξVII '[-']]]/API_check(Damped[[#This Row],[fVII/frun]])</f>
        <v>#N/A</v>
      </c>
      <c r="P92" s="1" t="e">
        <f>Damped[[#This Row],[ξVIII '[-']]]/API_check(Damped[[#This Row],[fVIII/frun]])</f>
        <v>#N/A</v>
      </c>
      <c r="Q92" s="1" t="e">
        <f>Damped[[#This Row],[ξIX '[-']]]/API_check(Damped[[#This Row],[fIX/frun]])</f>
        <v>#N/A</v>
      </c>
      <c r="R92" s="1" t="e">
        <f>Damped[[#This Row],[ξX '[-']]]/API_check(Damped[[#This Row],[fX/frun]])</f>
        <v>#N/A</v>
      </c>
      <c r="S92" s="1" t="e">
        <f>Damped[[#This Row],[ξXI '[-']]]/API_check(Damped[[#This Row],[fXI/frun]])</f>
        <v>#N/A</v>
      </c>
      <c r="T92" s="1" t="e">
        <f>Damped[[#This Row],[ξXII '[-']]]/API_check(Damped[[#This Row],[fXII/frun]])</f>
        <v>#N/A</v>
      </c>
      <c r="U92" s="1" t="e" cm="1">
        <f t="array" ref="U92">_xlfn.IFS($I$32=1,IF(ISBLANK(dry!C29),NA(),dry!C29),$I$32=2,IF(ISBLANK('as new'!C29),NA(),'as new'!C29),$I$32=3,IF(ISBLANK('twice as new'!C29),NA(),'twice as new'!C29))</f>
        <v>#N/A</v>
      </c>
      <c r="V92" s="1" t="e" cm="1">
        <f t="array" ref="V92">_xlfn.IFS($I$32=1,IF(ISBLANK(dry!D29),NA(),dry!D29),$I$32=2,IF(ISBLANK('as new'!D29),NA(),'as new'!D29),$I$32=3,IF(ISBLANK('twice as new'!D29),NA(),'twice as new'!D29))</f>
        <v>#N/A</v>
      </c>
      <c r="W92" s="1" t="e" cm="1">
        <f t="array" ref="W92">_xlfn.IFS($I$32=1,IF(ISBLANK(dry!E29),NA(),dry!E29),$I$32=2,IF(ISBLANK('as new'!E29),NA(),'as new'!E29),$I$32=3,IF(ISBLANK('twice as new'!E29),NA(),'twice as new'!E29))</f>
        <v>#N/A</v>
      </c>
      <c r="X92" s="1" t="e" cm="1">
        <f t="array" ref="X92">_xlfn.IFS($I$32=1,IF(ISBLANK(dry!F29),NA(),dry!F29),$I$32=2,IF(ISBLANK('as new'!F29),NA(),'as new'!F29),$I$32=3,IF(ISBLANK('twice as new'!F29),NA(),'twice as new'!F29))</f>
        <v>#N/A</v>
      </c>
      <c r="Y92" s="1" t="e" cm="1">
        <f t="array" ref="Y92">_xlfn.IFS($I$32=1,IF(ISBLANK(dry!G29),NA(),dry!G29),$I$32=2,IF(ISBLANK('as new'!G29),NA(),'as new'!G29),$I$32=3,IF(ISBLANK('twice as new'!G29),NA(),'twice as new'!G29))</f>
        <v>#N/A</v>
      </c>
      <c r="Z92" s="1" t="e" cm="1">
        <f t="array" ref="Z92">_xlfn.IFS($I$32=1,IF(ISBLANK(dry!H29),NA(),dry!H29),$I$32=2,IF(ISBLANK('as new'!H29),NA(),'as new'!H29),$I$32=3,IF(ISBLANK('twice as new'!H29),NA(),'twice as new'!H29))</f>
        <v>#N/A</v>
      </c>
      <c r="AA92" s="1" t="e" cm="1">
        <f t="array" ref="AA92">_xlfn.IFS($I$32=1,IF(ISBLANK(dry!I29),NA(),dry!I29),$I$32=2,IF(ISBLANK('as new'!I29),NA(),'as new'!I29),$I$32=3,IF(ISBLANK('twice as new'!I29),NA(),'twice as new'!I29))</f>
        <v>#N/A</v>
      </c>
      <c r="AB92" s="1" t="e" cm="1">
        <f t="array" ref="AB92">_xlfn.IFS($I$32=1,IF(ISBLANK(dry!J29),NA(),dry!J29),$I$32=2,IF(ISBLANK('as new'!J29),NA(),'as new'!J29),$I$32=3,IF(ISBLANK('twice as new'!J29),NA(),'twice as new'!J29))</f>
        <v>#N/A</v>
      </c>
      <c r="AC92" s="1" t="e" cm="1">
        <f t="array" ref="AC92">_xlfn.IFS($I$32=1,IF(ISBLANK(dry!K29),NA(),dry!K29),$I$32=2,IF(ISBLANK('as new'!K29),NA(),'as new'!K29),$I$32=3,IF(ISBLANK('twice as new'!K29),NA(),'twice as new'!K29))</f>
        <v>#N/A</v>
      </c>
      <c r="AD92" s="1" t="e" cm="1">
        <f t="array" ref="AD92">_xlfn.IFS($I$32=1,IF(ISBLANK(dry!L29),NA(),dry!L29),$I$32=2,IF(ISBLANK('as new'!L29),NA(),'as new'!L29),$I$32=3,IF(ISBLANK('twice as new'!L29),NA(),'twice as new'!L29))</f>
        <v>#N/A</v>
      </c>
      <c r="AE92" s="1" t="e" cm="1">
        <f t="array" ref="AE92">_xlfn.IFS($I$32=1,IF(ISBLANK(dry!M29),NA(),dry!M29),$I$32=2,IF(ISBLANK('as new'!M29),NA(),'as new'!M29),$I$32=3,IF(ISBLANK('twice as new'!M29),NA(),'twice as new'!M29))</f>
        <v>#N/A</v>
      </c>
      <c r="AF92" s="1" t="e" cm="1">
        <f t="array" ref="AF92">_xlfn.IFS($I$32=1,IF(ISBLANK(dry!N29),NA(),dry!N29),$I$32=2,IF(ISBLANK('as new'!N29),NA(),'as new'!N29),$I$32=3,IF(ISBLANK('twice as new'!N29),NA(),'twice as new'!N29))</f>
        <v>#N/A</v>
      </c>
      <c r="AG92" s="1" t="e" cm="1">
        <f t="array" ref="AG92">_xlfn.IFS($I$32=1,IF(ISBLANK(dry!O29),NA(),dry!O29),$I$32=2,IF(ISBLANK('as new'!O29),NA(),'as new'!O29),$I$32=3,IF(ISBLANK('twice as new'!O29),NA(),'twice as new'!O29))</f>
        <v>#N/A</v>
      </c>
      <c r="AH92" s="1" t="e" cm="1">
        <f t="array" ref="AH92">_xlfn.IFS($I$32=1,IF(ISBLANK(dry!P29),NA(),dry!P29),$I$32=2,IF(ISBLANK('as new'!P29),NA(),'as new'!P29),$I$32=3,IF(ISBLANK('twice as new'!P29),NA(),'twice as new'!P29))</f>
        <v>#N/A</v>
      </c>
      <c r="AI92" s="1" t="e" cm="1">
        <f t="array" ref="AI92">_xlfn.IFS($I$32=1,IF(ISBLANK(dry!Q29),NA(),dry!Q29),$I$32=2,IF(ISBLANK('as new'!Q29),NA(),'as new'!Q29),$I$32=3,IF(ISBLANK('twice as new'!Q29),NA(),'twice as new'!Q29))</f>
        <v>#N/A</v>
      </c>
      <c r="AJ92" s="1" t="e" cm="1">
        <f t="array" ref="AJ92">_xlfn.IFS($I$32=1,IF(ISBLANK(dry!R29),NA(),dry!R29),$I$32=2,IF(ISBLANK('as new'!R29),NA(),'as new'!R29),$I$32=3,IF(ISBLANK('twice as new'!R29),NA(),'twice as new'!R29))</f>
        <v>#N/A</v>
      </c>
      <c r="AK92" s="1" t="e">
        <f>IF(CHOOSE($I$32,dry!S29,'as new'!S29,'twice as new'!S29)=0,NA(),CHOOSE($I$32,dry!S29,'as new'!S29,'twice as new'!S29))</f>
        <v>#N/A</v>
      </c>
      <c r="AL92" s="1" t="e">
        <f>IF(CHOOSE($I$32,dry!T29,'as new'!T29,'twice as new'!T29)=0,NA(),CHOOSE($I$32,dry!T29,'as new'!T29,'twice as new'!T29))</f>
        <v>#N/A</v>
      </c>
      <c r="AM92" s="1" t="e">
        <f>IF(CHOOSE($I$32,dry!U29,'as new'!U29,'twice as new'!U29)=0,NA(),CHOOSE($I$32,dry!U29,'as new'!U29,'twice as new'!U29))</f>
        <v>#N/A</v>
      </c>
      <c r="AN92" s="1" t="e">
        <f>IF(CHOOSE($I$32,dry!V29,'as new'!V29,'twice as new'!V29)=0,NA(),CHOOSE($I$32,dry!V29,'as new'!V29,'twice as new'!V29))</f>
        <v>#N/A</v>
      </c>
      <c r="AO92" s="1" t="e">
        <f>IF(CHOOSE($I$32,dry!W29,'as new'!W29,'twice as new'!W29)=0,NA(),CHOOSE($I$32,dry!W29,'as new'!W29,'twice as new'!W29))</f>
        <v>#N/A</v>
      </c>
      <c r="AP92" s="1" t="e">
        <f>IF(CHOOSE($I$32,dry!X29,'as new'!X29,'twice as new'!X29)=0,NA(),CHOOSE($I$32,dry!X29,'as new'!X29,'twice as new'!X29))</f>
        <v>#N/A</v>
      </c>
      <c r="AQ92" s="1" t="e">
        <f>IF(CHOOSE($I$32,dry!Y29,'as new'!Y29,'twice as new'!Y29)=0,NA(),CHOOSE($I$32,dry!Y29,'as new'!Y29,'twice as new'!Y29))</f>
        <v>#N/A</v>
      </c>
      <c r="AR92" s="1" t="e">
        <f>IF(CHOOSE($I$32,dry!Z29,'as new'!Z29,'twice as new'!Z29)=0,NA(),CHOOSE($I$32,dry!Z29,'as new'!Z29,'twice as new'!Z29))</f>
        <v>#N/A</v>
      </c>
      <c r="AS92" s="1" t="e">
        <f>Damped[[#This Row],[fI '[rpm']]]/Damped[[#This Row],[frun '[rpm']]]</f>
        <v>#N/A</v>
      </c>
      <c r="AT92" s="1" t="e">
        <f>Damped[[#This Row],[fII '[rpm']]]/Damped[[#This Row],[frun '[rpm']]]</f>
        <v>#N/A</v>
      </c>
      <c r="AU92" s="1" t="e">
        <f>Damped[[#This Row],[fIII '[rpm']]]/Damped[[#This Row],[frun '[rpm']]]</f>
        <v>#N/A</v>
      </c>
      <c r="AV92" s="1" t="e">
        <f>Damped[[#This Row],[fIV '[rpm']]]/Damped[[#This Row],[frun '[rpm']]]</f>
        <v>#N/A</v>
      </c>
      <c r="AW92" s="1" t="e">
        <f>Damped[[#This Row],[fV '[rpm']]]/Damped[[#This Row],[frun '[rpm']]]</f>
        <v>#N/A</v>
      </c>
      <c r="AX92" s="1" t="e">
        <f>Damped[[#This Row],[fVI '[rpm']]]/Damped[[#This Row],[frun '[rpm']]]</f>
        <v>#N/A</v>
      </c>
      <c r="AY92" s="1" t="e">
        <f>Damped[[#This Row],[fVII '[rpm']]]/Damped[[#This Row],[frun '[rpm']]]</f>
        <v>#N/A</v>
      </c>
      <c r="AZ92" s="1" t="e">
        <f>Damped[[#This Row],[fVIII '[rpm']]]/Damped[[#This Row],[frun '[rpm']]]</f>
        <v>#N/A</v>
      </c>
      <c r="BA92" s="1" t="e">
        <f>Damped[[#This Row],[fIX '[rpm']]]/Damped[[#This Row],[frun '[rpm']]]</f>
        <v>#N/A</v>
      </c>
      <c r="BB92" s="1" t="e">
        <f>Damped[[#This Row],[fX '[rpm']]]/Damped[[#This Row],[frun '[rpm']]]</f>
        <v>#N/A</v>
      </c>
      <c r="BC92" s="1" t="e">
        <f>Damped[[#This Row],[fXI '[rpm']]]/Damped[[#This Row],[frun '[rpm']]]</f>
        <v>#N/A</v>
      </c>
      <c r="BD92" s="1" t="e">
        <f>Damped[[#This Row],[fXII '[rpm']]]/Damped[[#This Row],[frun '[rpm']]]</f>
        <v>#N/A</v>
      </c>
    </row>
    <row r="93" spans="8:56" x14ac:dyDescent="0.25">
      <c r="H93" s="1" t="e" cm="1">
        <f t="array" ref="H93">_xlfn.IFS($I$32=1,IF(ISBLANK(dry!B30),NA(),dry!B30),$I$32=2,IF(ISBLANK('as new'!B30),NA(),'as new'!B30),$I$32=3,IF(ISBLANK('twice as new'!B30),NA(),'twice as new'!B30))</f>
        <v>#N/A</v>
      </c>
      <c r="I93" s="1" t="e">
        <f>Damped[[#This Row],[ξI '[-']]]/API_check(Damped[[#This Row],[fI/frun]])</f>
        <v>#N/A</v>
      </c>
      <c r="J93" s="1" t="e">
        <f>Damped[[#This Row],[ξII '[-']]]/API_check(Damped[[#This Row],[fII/frun]])</f>
        <v>#N/A</v>
      </c>
      <c r="K93" s="1" t="e">
        <f>Damped[[#This Row],[ξIII '[-']]]/API_check(Damped[[#This Row],[fIII/frun]])</f>
        <v>#N/A</v>
      </c>
      <c r="L93" s="1" t="e">
        <f>Damped[[#This Row],[ξIV '[-']]]/API_check(Damped[[#This Row],[fIV/frun]])</f>
        <v>#N/A</v>
      </c>
      <c r="M93" s="1" t="e">
        <f>Damped[[#This Row],[ξV '[-']]]/API_check(Damped[[#This Row],[fV/frun]])</f>
        <v>#N/A</v>
      </c>
      <c r="N93" s="1" t="e">
        <f>Damped[[#This Row],[ξVI '[-']]]/API_check(Damped[[#This Row],[fVI/frun]])</f>
        <v>#N/A</v>
      </c>
      <c r="O93" s="1" t="e">
        <f>Damped[[#This Row],[ξVII '[-']]]/API_check(Damped[[#This Row],[fVII/frun]])</f>
        <v>#N/A</v>
      </c>
      <c r="P93" s="1" t="e">
        <f>Damped[[#This Row],[ξVIII '[-']]]/API_check(Damped[[#This Row],[fVIII/frun]])</f>
        <v>#N/A</v>
      </c>
      <c r="Q93" s="1" t="e">
        <f>Damped[[#This Row],[ξIX '[-']]]/API_check(Damped[[#This Row],[fIX/frun]])</f>
        <v>#N/A</v>
      </c>
      <c r="R93" s="1" t="e">
        <f>Damped[[#This Row],[ξX '[-']]]/API_check(Damped[[#This Row],[fX/frun]])</f>
        <v>#N/A</v>
      </c>
      <c r="S93" s="1" t="e">
        <f>Damped[[#This Row],[ξXI '[-']]]/API_check(Damped[[#This Row],[fXI/frun]])</f>
        <v>#N/A</v>
      </c>
      <c r="T93" s="1" t="e">
        <f>Damped[[#This Row],[ξXII '[-']]]/API_check(Damped[[#This Row],[fXII/frun]])</f>
        <v>#N/A</v>
      </c>
      <c r="U93" s="1" t="e" cm="1">
        <f t="array" ref="U93">_xlfn.IFS($I$32=1,IF(ISBLANK(dry!C30),NA(),dry!C30),$I$32=2,IF(ISBLANK('as new'!C30),NA(),'as new'!C30),$I$32=3,IF(ISBLANK('twice as new'!C30),NA(),'twice as new'!C30))</f>
        <v>#N/A</v>
      </c>
      <c r="V93" s="1" t="e" cm="1">
        <f t="array" ref="V93">_xlfn.IFS($I$32=1,IF(ISBLANK(dry!D30),NA(),dry!D30),$I$32=2,IF(ISBLANK('as new'!D30),NA(),'as new'!D30),$I$32=3,IF(ISBLANK('twice as new'!D30),NA(),'twice as new'!D30))</f>
        <v>#N/A</v>
      </c>
      <c r="W93" s="1" t="e" cm="1">
        <f t="array" ref="W93">_xlfn.IFS($I$32=1,IF(ISBLANK(dry!E30),NA(),dry!E30),$I$32=2,IF(ISBLANK('as new'!E30),NA(),'as new'!E30),$I$32=3,IF(ISBLANK('twice as new'!E30),NA(),'twice as new'!E30))</f>
        <v>#N/A</v>
      </c>
      <c r="X93" s="1" t="e" cm="1">
        <f t="array" ref="X93">_xlfn.IFS($I$32=1,IF(ISBLANK(dry!F30),NA(),dry!F30),$I$32=2,IF(ISBLANK('as new'!F30),NA(),'as new'!F30),$I$32=3,IF(ISBLANK('twice as new'!F30),NA(),'twice as new'!F30))</f>
        <v>#N/A</v>
      </c>
      <c r="Y93" s="1" t="e" cm="1">
        <f t="array" ref="Y93">_xlfn.IFS($I$32=1,IF(ISBLANK(dry!G30),NA(),dry!G30),$I$32=2,IF(ISBLANK('as new'!G30),NA(),'as new'!G30),$I$32=3,IF(ISBLANK('twice as new'!G30),NA(),'twice as new'!G30))</f>
        <v>#N/A</v>
      </c>
      <c r="Z93" s="1" t="e" cm="1">
        <f t="array" ref="Z93">_xlfn.IFS($I$32=1,IF(ISBLANK(dry!H30),NA(),dry!H30),$I$32=2,IF(ISBLANK('as new'!H30),NA(),'as new'!H30),$I$32=3,IF(ISBLANK('twice as new'!H30),NA(),'twice as new'!H30))</f>
        <v>#N/A</v>
      </c>
      <c r="AA93" s="1" t="e" cm="1">
        <f t="array" ref="AA93">_xlfn.IFS($I$32=1,IF(ISBLANK(dry!I30),NA(),dry!I30),$I$32=2,IF(ISBLANK('as new'!I30),NA(),'as new'!I30),$I$32=3,IF(ISBLANK('twice as new'!I30),NA(),'twice as new'!I30))</f>
        <v>#N/A</v>
      </c>
      <c r="AB93" s="1" t="e" cm="1">
        <f t="array" ref="AB93">_xlfn.IFS($I$32=1,IF(ISBLANK(dry!J30),NA(),dry!J30),$I$32=2,IF(ISBLANK('as new'!J30),NA(),'as new'!J30),$I$32=3,IF(ISBLANK('twice as new'!J30),NA(),'twice as new'!J30))</f>
        <v>#N/A</v>
      </c>
      <c r="AC93" s="1" t="e" cm="1">
        <f t="array" ref="AC93">_xlfn.IFS($I$32=1,IF(ISBLANK(dry!K30),NA(),dry!K30),$I$32=2,IF(ISBLANK('as new'!K30),NA(),'as new'!K30),$I$32=3,IF(ISBLANK('twice as new'!K30),NA(),'twice as new'!K30))</f>
        <v>#N/A</v>
      </c>
      <c r="AD93" s="1" t="e" cm="1">
        <f t="array" ref="AD93">_xlfn.IFS($I$32=1,IF(ISBLANK(dry!L30),NA(),dry!L30),$I$32=2,IF(ISBLANK('as new'!L30),NA(),'as new'!L30),$I$32=3,IF(ISBLANK('twice as new'!L30),NA(),'twice as new'!L30))</f>
        <v>#N/A</v>
      </c>
      <c r="AE93" s="1" t="e" cm="1">
        <f t="array" ref="AE93">_xlfn.IFS($I$32=1,IF(ISBLANK(dry!M30),NA(),dry!M30),$I$32=2,IF(ISBLANK('as new'!M30),NA(),'as new'!M30),$I$32=3,IF(ISBLANK('twice as new'!M30),NA(),'twice as new'!M30))</f>
        <v>#N/A</v>
      </c>
      <c r="AF93" s="1" t="e" cm="1">
        <f t="array" ref="AF93">_xlfn.IFS($I$32=1,IF(ISBLANK(dry!N30),NA(),dry!N30),$I$32=2,IF(ISBLANK('as new'!N30),NA(),'as new'!N30),$I$32=3,IF(ISBLANK('twice as new'!N30),NA(),'twice as new'!N30))</f>
        <v>#N/A</v>
      </c>
      <c r="AG93" s="1" t="e" cm="1">
        <f t="array" ref="AG93">_xlfn.IFS($I$32=1,IF(ISBLANK(dry!O30),NA(),dry!O30),$I$32=2,IF(ISBLANK('as new'!O30),NA(),'as new'!O30),$I$32=3,IF(ISBLANK('twice as new'!O30),NA(),'twice as new'!O30))</f>
        <v>#N/A</v>
      </c>
      <c r="AH93" s="1" t="e" cm="1">
        <f t="array" ref="AH93">_xlfn.IFS($I$32=1,IF(ISBLANK(dry!P30),NA(),dry!P30),$I$32=2,IF(ISBLANK('as new'!P30),NA(),'as new'!P30),$I$32=3,IF(ISBLANK('twice as new'!P30),NA(),'twice as new'!P30))</f>
        <v>#N/A</v>
      </c>
      <c r="AI93" s="1" t="e" cm="1">
        <f t="array" ref="AI93">_xlfn.IFS($I$32=1,IF(ISBLANK(dry!Q30),NA(),dry!Q30),$I$32=2,IF(ISBLANK('as new'!Q30),NA(),'as new'!Q30),$I$32=3,IF(ISBLANK('twice as new'!Q30),NA(),'twice as new'!Q30))</f>
        <v>#N/A</v>
      </c>
      <c r="AJ93" s="1" t="e" cm="1">
        <f t="array" ref="AJ93">_xlfn.IFS($I$32=1,IF(ISBLANK(dry!R30),NA(),dry!R30),$I$32=2,IF(ISBLANK('as new'!R30),NA(),'as new'!R30),$I$32=3,IF(ISBLANK('twice as new'!R30),NA(),'twice as new'!R30))</f>
        <v>#N/A</v>
      </c>
      <c r="AK93" s="1" t="e">
        <f>IF(CHOOSE($I$32,dry!S30,'as new'!S30,'twice as new'!S30)=0,NA(),CHOOSE($I$32,dry!S30,'as new'!S30,'twice as new'!S30))</f>
        <v>#N/A</v>
      </c>
      <c r="AL93" s="1" t="e">
        <f>IF(CHOOSE($I$32,dry!T30,'as new'!T30,'twice as new'!T30)=0,NA(),CHOOSE($I$32,dry!T30,'as new'!T30,'twice as new'!T30))</f>
        <v>#N/A</v>
      </c>
      <c r="AM93" s="1" t="e">
        <f>IF(CHOOSE($I$32,dry!U30,'as new'!U30,'twice as new'!U30)=0,NA(),CHOOSE($I$32,dry!U30,'as new'!U30,'twice as new'!U30))</f>
        <v>#N/A</v>
      </c>
      <c r="AN93" s="1" t="e">
        <f>IF(CHOOSE($I$32,dry!V30,'as new'!V30,'twice as new'!V30)=0,NA(),CHOOSE($I$32,dry!V30,'as new'!V30,'twice as new'!V30))</f>
        <v>#N/A</v>
      </c>
      <c r="AO93" s="1" t="e">
        <f>IF(CHOOSE($I$32,dry!W30,'as new'!W30,'twice as new'!W30)=0,NA(),CHOOSE($I$32,dry!W30,'as new'!W30,'twice as new'!W30))</f>
        <v>#N/A</v>
      </c>
      <c r="AP93" s="1" t="e">
        <f>IF(CHOOSE($I$32,dry!X30,'as new'!X30,'twice as new'!X30)=0,NA(),CHOOSE($I$32,dry!X30,'as new'!X30,'twice as new'!X30))</f>
        <v>#N/A</v>
      </c>
      <c r="AQ93" s="1" t="e">
        <f>IF(CHOOSE($I$32,dry!Y30,'as new'!Y30,'twice as new'!Y30)=0,NA(),CHOOSE($I$32,dry!Y30,'as new'!Y30,'twice as new'!Y30))</f>
        <v>#N/A</v>
      </c>
      <c r="AR93" s="1" t="e">
        <f>IF(CHOOSE($I$32,dry!Z30,'as new'!Z30,'twice as new'!Z30)=0,NA(),CHOOSE($I$32,dry!Z30,'as new'!Z30,'twice as new'!Z30))</f>
        <v>#N/A</v>
      </c>
      <c r="AS93" s="1" t="e">
        <f>Damped[[#This Row],[fI '[rpm']]]/Damped[[#This Row],[frun '[rpm']]]</f>
        <v>#N/A</v>
      </c>
      <c r="AT93" s="1" t="e">
        <f>Damped[[#This Row],[fII '[rpm']]]/Damped[[#This Row],[frun '[rpm']]]</f>
        <v>#N/A</v>
      </c>
      <c r="AU93" s="1" t="e">
        <f>Damped[[#This Row],[fIII '[rpm']]]/Damped[[#This Row],[frun '[rpm']]]</f>
        <v>#N/A</v>
      </c>
      <c r="AV93" s="1" t="e">
        <f>Damped[[#This Row],[fIV '[rpm']]]/Damped[[#This Row],[frun '[rpm']]]</f>
        <v>#N/A</v>
      </c>
      <c r="AW93" s="1" t="e">
        <f>Damped[[#This Row],[fV '[rpm']]]/Damped[[#This Row],[frun '[rpm']]]</f>
        <v>#N/A</v>
      </c>
      <c r="AX93" s="1" t="e">
        <f>Damped[[#This Row],[fVI '[rpm']]]/Damped[[#This Row],[frun '[rpm']]]</f>
        <v>#N/A</v>
      </c>
      <c r="AY93" s="1" t="e">
        <f>Damped[[#This Row],[fVII '[rpm']]]/Damped[[#This Row],[frun '[rpm']]]</f>
        <v>#N/A</v>
      </c>
      <c r="AZ93" s="1" t="e">
        <f>Damped[[#This Row],[fVIII '[rpm']]]/Damped[[#This Row],[frun '[rpm']]]</f>
        <v>#N/A</v>
      </c>
      <c r="BA93" s="1" t="e">
        <f>Damped[[#This Row],[fIX '[rpm']]]/Damped[[#This Row],[frun '[rpm']]]</f>
        <v>#N/A</v>
      </c>
      <c r="BB93" s="1" t="e">
        <f>Damped[[#This Row],[fX '[rpm']]]/Damped[[#This Row],[frun '[rpm']]]</f>
        <v>#N/A</v>
      </c>
      <c r="BC93" s="1" t="e">
        <f>Damped[[#This Row],[fXI '[rpm']]]/Damped[[#This Row],[frun '[rpm']]]</f>
        <v>#N/A</v>
      </c>
      <c r="BD93" s="1" t="e">
        <f>Damped[[#This Row],[fXII '[rpm']]]/Damped[[#This Row],[frun '[rpm']]]</f>
        <v>#N/A</v>
      </c>
    </row>
    <row r="94" spans="8:56" x14ac:dyDescent="0.25">
      <c r="H94" s="1" t="e" cm="1">
        <f t="array" ref="H94">_xlfn.IFS($I$32=1,IF(ISBLANK(dry!B31),NA(),dry!B31),$I$32=2,IF(ISBLANK('as new'!B31),NA(),'as new'!B31),$I$32=3,IF(ISBLANK('twice as new'!B31),NA(),'twice as new'!B31))</f>
        <v>#N/A</v>
      </c>
      <c r="I94" s="1" t="e">
        <f>Damped[[#This Row],[ξI '[-']]]/API_check(Damped[[#This Row],[fI/frun]])</f>
        <v>#N/A</v>
      </c>
      <c r="J94" s="1" t="e">
        <f>Damped[[#This Row],[ξII '[-']]]/API_check(Damped[[#This Row],[fII/frun]])</f>
        <v>#N/A</v>
      </c>
      <c r="K94" s="1" t="e">
        <f>Damped[[#This Row],[ξIII '[-']]]/API_check(Damped[[#This Row],[fIII/frun]])</f>
        <v>#N/A</v>
      </c>
      <c r="L94" s="1" t="e">
        <f>Damped[[#This Row],[ξIV '[-']]]/API_check(Damped[[#This Row],[fIV/frun]])</f>
        <v>#N/A</v>
      </c>
      <c r="M94" s="1" t="e">
        <f>Damped[[#This Row],[ξV '[-']]]/API_check(Damped[[#This Row],[fV/frun]])</f>
        <v>#N/A</v>
      </c>
      <c r="N94" s="1" t="e">
        <f>Damped[[#This Row],[ξVI '[-']]]/API_check(Damped[[#This Row],[fVI/frun]])</f>
        <v>#N/A</v>
      </c>
      <c r="O94" s="1" t="e">
        <f>Damped[[#This Row],[ξVII '[-']]]/API_check(Damped[[#This Row],[fVII/frun]])</f>
        <v>#N/A</v>
      </c>
      <c r="P94" s="1" t="e">
        <f>Damped[[#This Row],[ξVIII '[-']]]/API_check(Damped[[#This Row],[fVIII/frun]])</f>
        <v>#N/A</v>
      </c>
      <c r="Q94" s="1" t="e">
        <f>Damped[[#This Row],[ξIX '[-']]]/API_check(Damped[[#This Row],[fIX/frun]])</f>
        <v>#N/A</v>
      </c>
      <c r="R94" s="1" t="e">
        <f>Damped[[#This Row],[ξX '[-']]]/API_check(Damped[[#This Row],[fX/frun]])</f>
        <v>#N/A</v>
      </c>
      <c r="S94" s="1" t="e">
        <f>Damped[[#This Row],[ξXI '[-']]]/API_check(Damped[[#This Row],[fXI/frun]])</f>
        <v>#N/A</v>
      </c>
      <c r="T94" s="1" t="e">
        <f>Damped[[#This Row],[ξXII '[-']]]/API_check(Damped[[#This Row],[fXII/frun]])</f>
        <v>#N/A</v>
      </c>
      <c r="U94" s="1" t="e" cm="1">
        <f t="array" ref="U94">_xlfn.IFS($I$32=1,IF(ISBLANK(dry!C31),NA(),dry!C31),$I$32=2,IF(ISBLANK('as new'!C31),NA(),'as new'!C31),$I$32=3,IF(ISBLANK('twice as new'!C31),NA(),'twice as new'!C31))</f>
        <v>#N/A</v>
      </c>
      <c r="V94" s="1" t="e" cm="1">
        <f t="array" ref="V94">_xlfn.IFS($I$32=1,IF(ISBLANK(dry!D31),NA(),dry!D31),$I$32=2,IF(ISBLANK('as new'!D31),NA(),'as new'!D31),$I$32=3,IF(ISBLANK('twice as new'!D31),NA(),'twice as new'!D31))</f>
        <v>#N/A</v>
      </c>
      <c r="W94" s="1" t="e" cm="1">
        <f t="array" ref="W94">_xlfn.IFS($I$32=1,IF(ISBLANK(dry!E31),NA(),dry!E31),$I$32=2,IF(ISBLANK('as new'!E31),NA(),'as new'!E31),$I$32=3,IF(ISBLANK('twice as new'!E31),NA(),'twice as new'!E31))</f>
        <v>#N/A</v>
      </c>
      <c r="X94" s="1" t="e" cm="1">
        <f t="array" ref="X94">_xlfn.IFS($I$32=1,IF(ISBLANK(dry!F31),NA(),dry!F31),$I$32=2,IF(ISBLANK('as new'!F31),NA(),'as new'!F31),$I$32=3,IF(ISBLANK('twice as new'!F31),NA(),'twice as new'!F31))</f>
        <v>#N/A</v>
      </c>
      <c r="Y94" s="1" t="e" cm="1">
        <f t="array" ref="Y94">_xlfn.IFS($I$32=1,IF(ISBLANK(dry!G31),NA(),dry!G31),$I$32=2,IF(ISBLANK('as new'!G31),NA(),'as new'!G31),$I$32=3,IF(ISBLANK('twice as new'!G31),NA(),'twice as new'!G31))</f>
        <v>#N/A</v>
      </c>
      <c r="Z94" s="1" t="e" cm="1">
        <f t="array" ref="Z94">_xlfn.IFS($I$32=1,IF(ISBLANK(dry!H31),NA(),dry!H31),$I$32=2,IF(ISBLANK('as new'!H31),NA(),'as new'!H31),$I$32=3,IF(ISBLANK('twice as new'!H31),NA(),'twice as new'!H31))</f>
        <v>#N/A</v>
      </c>
      <c r="AA94" s="1" t="e" cm="1">
        <f t="array" ref="AA94">_xlfn.IFS($I$32=1,IF(ISBLANK(dry!I31),NA(),dry!I31),$I$32=2,IF(ISBLANK('as new'!I31),NA(),'as new'!I31),$I$32=3,IF(ISBLANK('twice as new'!I31),NA(),'twice as new'!I31))</f>
        <v>#N/A</v>
      </c>
      <c r="AB94" s="1" t="e" cm="1">
        <f t="array" ref="AB94">_xlfn.IFS($I$32=1,IF(ISBLANK(dry!J31),NA(),dry!J31),$I$32=2,IF(ISBLANK('as new'!J31),NA(),'as new'!J31),$I$32=3,IF(ISBLANK('twice as new'!J31),NA(),'twice as new'!J31))</f>
        <v>#N/A</v>
      </c>
      <c r="AC94" s="1" t="e" cm="1">
        <f t="array" ref="AC94">_xlfn.IFS($I$32=1,IF(ISBLANK(dry!K31),NA(),dry!K31),$I$32=2,IF(ISBLANK('as new'!K31),NA(),'as new'!K31),$I$32=3,IF(ISBLANK('twice as new'!K31),NA(),'twice as new'!K31))</f>
        <v>#N/A</v>
      </c>
      <c r="AD94" s="1" t="e" cm="1">
        <f t="array" ref="AD94">_xlfn.IFS($I$32=1,IF(ISBLANK(dry!L31),NA(),dry!L31),$I$32=2,IF(ISBLANK('as new'!L31),NA(),'as new'!L31),$I$32=3,IF(ISBLANK('twice as new'!L31),NA(),'twice as new'!L31))</f>
        <v>#N/A</v>
      </c>
      <c r="AE94" s="1" t="e" cm="1">
        <f t="array" ref="AE94">_xlfn.IFS($I$32=1,IF(ISBLANK(dry!M31),NA(),dry!M31),$I$32=2,IF(ISBLANK('as new'!M31),NA(),'as new'!M31),$I$32=3,IF(ISBLANK('twice as new'!M31),NA(),'twice as new'!M31))</f>
        <v>#N/A</v>
      </c>
      <c r="AF94" s="1" t="e" cm="1">
        <f t="array" ref="AF94">_xlfn.IFS($I$32=1,IF(ISBLANK(dry!N31),NA(),dry!N31),$I$32=2,IF(ISBLANK('as new'!N31),NA(),'as new'!N31),$I$32=3,IF(ISBLANK('twice as new'!N31),NA(),'twice as new'!N31))</f>
        <v>#N/A</v>
      </c>
      <c r="AG94" s="1" t="e" cm="1">
        <f t="array" ref="AG94">_xlfn.IFS($I$32=1,IF(ISBLANK(dry!O31),NA(),dry!O31),$I$32=2,IF(ISBLANK('as new'!O31),NA(),'as new'!O31),$I$32=3,IF(ISBLANK('twice as new'!O31),NA(),'twice as new'!O31))</f>
        <v>#N/A</v>
      </c>
      <c r="AH94" s="1" t="e" cm="1">
        <f t="array" ref="AH94">_xlfn.IFS($I$32=1,IF(ISBLANK(dry!P31),NA(),dry!P31),$I$32=2,IF(ISBLANK('as new'!P31),NA(),'as new'!P31),$I$32=3,IF(ISBLANK('twice as new'!P31),NA(),'twice as new'!P31))</f>
        <v>#N/A</v>
      </c>
      <c r="AI94" s="1" t="e" cm="1">
        <f t="array" ref="AI94">_xlfn.IFS($I$32=1,IF(ISBLANK(dry!Q31),NA(),dry!Q31),$I$32=2,IF(ISBLANK('as new'!Q31),NA(),'as new'!Q31),$I$32=3,IF(ISBLANK('twice as new'!Q31),NA(),'twice as new'!Q31))</f>
        <v>#N/A</v>
      </c>
      <c r="AJ94" s="1" t="e" cm="1">
        <f t="array" ref="AJ94">_xlfn.IFS($I$32=1,IF(ISBLANK(dry!R31),NA(),dry!R31),$I$32=2,IF(ISBLANK('as new'!R31),NA(),'as new'!R31),$I$32=3,IF(ISBLANK('twice as new'!R31),NA(),'twice as new'!R31))</f>
        <v>#N/A</v>
      </c>
      <c r="AK94" s="1" t="e">
        <f>IF(CHOOSE($I$32,dry!S31,'as new'!S31,'twice as new'!S31)=0,NA(),CHOOSE($I$32,dry!S31,'as new'!S31,'twice as new'!S31))</f>
        <v>#N/A</v>
      </c>
      <c r="AL94" s="1" t="e">
        <f>IF(CHOOSE($I$32,dry!T31,'as new'!T31,'twice as new'!T31)=0,NA(),CHOOSE($I$32,dry!T31,'as new'!T31,'twice as new'!T31))</f>
        <v>#N/A</v>
      </c>
      <c r="AM94" s="1" t="e">
        <f>IF(CHOOSE($I$32,dry!U31,'as new'!U31,'twice as new'!U31)=0,NA(),CHOOSE($I$32,dry!U31,'as new'!U31,'twice as new'!U31))</f>
        <v>#N/A</v>
      </c>
      <c r="AN94" s="1" t="e">
        <f>IF(CHOOSE($I$32,dry!V31,'as new'!V31,'twice as new'!V31)=0,NA(),CHOOSE($I$32,dry!V31,'as new'!V31,'twice as new'!V31))</f>
        <v>#N/A</v>
      </c>
      <c r="AO94" s="1" t="e">
        <f>IF(CHOOSE($I$32,dry!W31,'as new'!W31,'twice as new'!W31)=0,NA(),CHOOSE($I$32,dry!W31,'as new'!W31,'twice as new'!W31))</f>
        <v>#N/A</v>
      </c>
      <c r="AP94" s="1" t="e">
        <f>IF(CHOOSE($I$32,dry!X31,'as new'!X31,'twice as new'!X31)=0,NA(),CHOOSE($I$32,dry!X31,'as new'!X31,'twice as new'!X31))</f>
        <v>#N/A</v>
      </c>
      <c r="AQ94" s="1" t="e">
        <f>IF(CHOOSE($I$32,dry!Y31,'as new'!Y31,'twice as new'!Y31)=0,NA(),CHOOSE($I$32,dry!Y31,'as new'!Y31,'twice as new'!Y31))</f>
        <v>#N/A</v>
      </c>
      <c r="AR94" s="1" t="e">
        <f>IF(CHOOSE($I$32,dry!Z31,'as new'!Z31,'twice as new'!Z31)=0,NA(),CHOOSE($I$32,dry!Z31,'as new'!Z31,'twice as new'!Z31))</f>
        <v>#N/A</v>
      </c>
      <c r="AS94" s="1" t="e">
        <f>Damped[[#This Row],[fI '[rpm']]]/Damped[[#This Row],[frun '[rpm']]]</f>
        <v>#N/A</v>
      </c>
      <c r="AT94" s="1" t="e">
        <f>Damped[[#This Row],[fII '[rpm']]]/Damped[[#This Row],[frun '[rpm']]]</f>
        <v>#N/A</v>
      </c>
      <c r="AU94" s="1" t="e">
        <f>Damped[[#This Row],[fIII '[rpm']]]/Damped[[#This Row],[frun '[rpm']]]</f>
        <v>#N/A</v>
      </c>
      <c r="AV94" s="1" t="e">
        <f>Damped[[#This Row],[fIV '[rpm']]]/Damped[[#This Row],[frun '[rpm']]]</f>
        <v>#N/A</v>
      </c>
      <c r="AW94" s="1" t="e">
        <f>Damped[[#This Row],[fV '[rpm']]]/Damped[[#This Row],[frun '[rpm']]]</f>
        <v>#N/A</v>
      </c>
      <c r="AX94" s="1" t="e">
        <f>Damped[[#This Row],[fVI '[rpm']]]/Damped[[#This Row],[frun '[rpm']]]</f>
        <v>#N/A</v>
      </c>
      <c r="AY94" s="1" t="e">
        <f>Damped[[#This Row],[fVII '[rpm']]]/Damped[[#This Row],[frun '[rpm']]]</f>
        <v>#N/A</v>
      </c>
      <c r="AZ94" s="1" t="e">
        <f>Damped[[#This Row],[fVIII '[rpm']]]/Damped[[#This Row],[frun '[rpm']]]</f>
        <v>#N/A</v>
      </c>
      <c r="BA94" s="1" t="e">
        <f>Damped[[#This Row],[fIX '[rpm']]]/Damped[[#This Row],[frun '[rpm']]]</f>
        <v>#N/A</v>
      </c>
      <c r="BB94" s="1" t="e">
        <f>Damped[[#This Row],[fX '[rpm']]]/Damped[[#This Row],[frun '[rpm']]]</f>
        <v>#N/A</v>
      </c>
      <c r="BC94" s="1" t="e">
        <f>Damped[[#This Row],[fXI '[rpm']]]/Damped[[#This Row],[frun '[rpm']]]</f>
        <v>#N/A</v>
      </c>
      <c r="BD94" s="1" t="e">
        <f>Damped[[#This Row],[fXII '[rpm']]]/Damped[[#This Row],[frun '[rpm']]]</f>
        <v>#N/A</v>
      </c>
    </row>
    <row r="95" spans="8:56" x14ac:dyDescent="0.25">
      <c r="H95" s="1" t="e" cm="1">
        <f t="array" ref="H95">_xlfn.IFS($I$32=1,IF(ISBLANK(dry!B32),NA(),dry!B32),$I$32=2,IF(ISBLANK('as new'!B32),NA(),'as new'!B32),$I$32=3,IF(ISBLANK('twice as new'!B32),NA(),'twice as new'!B32))</f>
        <v>#N/A</v>
      </c>
      <c r="I95" s="1" t="e">
        <f>Damped[[#This Row],[ξI '[-']]]/API_check(Damped[[#This Row],[fI/frun]])</f>
        <v>#N/A</v>
      </c>
      <c r="J95" s="1" t="e">
        <f>Damped[[#This Row],[ξII '[-']]]/API_check(Damped[[#This Row],[fII/frun]])</f>
        <v>#N/A</v>
      </c>
      <c r="K95" s="1" t="e">
        <f>Damped[[#This Row],[ξIII '[-']]]/API_check(Damped[[#This Row],[fIII/frun]])</f>
        <v>#N/A</v>
      </c>
      <c r="L95" s="1" t="e">
        <f>Damped[[#This Row],[ξIV '[-']]]/API_check(Damped[[#This Row],[fIV/frun]])</f>
        <v>#N/A</v>
      </c>
      <c r="M95" s="1" t="e">
        <f>Damped[[#This Row],[ξV '[-']]]/API_check(Damped[[#This Row],[fV/frun]])</f>
        <v>#N/A</v>
      </c>
      <c r="N95" s="1" t="e">
        <f>Damped[[#This Row],[ξVI '[-']]]/API_check(Damped[[#This Row],[fVI/frun]])</f>
        <v>#N/A</v>
      </c>
      <c r="O95" s="1" t="e">
        <f>Damped[[#This Row],[ξVII '[-']]]/API_check(Damped[[#This Row],[fVII/frun]])</f>
        <v>#N/A</v>
      </c>
      <c r="P95" s="1" t="e">
        <f>Damped[[#This Row],[ξVIII '[-']]]/API_check(Damped[[#This Row],[fVIII/frun]])</f>
        <v>#N/A</v>
      </c>
      <c r="Q95" s="1" t="e">
        <f>Damped[[#This Row],[ξIX '[-']]]/API_check(Damped[[#This Row],[fIX/frun]])</f>
        <v>#N/A</v>
      </c>
      <c r="R95" s="1" t="e">
        <f>Damped[[#This Row],[ξX '[-']]]/API_check(Damped[[#This Row],[fX/frun]])</f>
        <v>#N/A</v>
      </c>
      <c r="S95" s="1" t="e">
        <f>Damped[[#This Row],[ξXI '[-']]]/API_check(Damped[[#This Row],[fXI/frun]])</f>
        <v>#N/A</v>
      </c>
      <c r="T95" s="1" t="e">
        <f>Damped[[#This Row],[ξXII '[-']]]/API_check(Damped[[#This Row],[fXII/frun]])</f>
        <v>#N/A</v>
      </c>
      <c r="U95" s="1" t="e" cm="1">
        <f t="array" ref="U95">_xlfn.IFS($I$32=1,IF(ISBLANK(dry!C32),NA(),dry!C32),$I$32=2,IF(ISBLANK('as new'!C32),NA(),'as new'!C32),$I$32=3,IF(ISBLANK('twice as new'!C32),NA(),'twice as new'!C32))</f>
        <v>#N/A</v>
      </c>
      <c r="V95" s="1" t="e" cm="1">
        <f t="array" ref="V95">_xlfn.IFS($I$32=1,IF(ISBLANK(dry!D32),NA(),dry!D32),$I$32=2,IF(ISBLANK('as new'!D32),NA(),'as new'!D32),$I$32=3,IF(ISBLANK('twice as new'!D32),NA(),'twice as new'!D32))</f>
        <v>#N/A</v>
      </c>
      <c r="W95" s="1" t="e" cm="1">
        <f t="array" ref="W95">_xlfn.IFS($I$32=1,IF(ISBLANK(dry!E32),NA(),dry!E32),$I$32=2,IF(ISBLANK('as new'!E32),NA(),'as new'!E32),$I$32=3,IF(ISBLANK('twice as new'!E32),NA(),'twice as new'!E32))</f>
        <v>#N/A</v>
      </c>
      <c r="X95" s="1" t="e" cm="1">
        <f t="array" ref="X95">_xlfn.IFS($I$32=1,IF(ISBLANK(dry!F32),NA(),dry!F32),$I$32=2,IF(ISBLANK('as new'!F32),NA(),'as new'!F32),$I$32=3,IF(ISBLANK('twice as new'!F32),NA(),'twice as new'!F32))</f>
        <v>#N/A</v>
      </c>
      <c r="Y95" s="1" t="e" cm="1">
        <f t="array" ref="Y95">_xlfn.IFS($I$32=1,IF(ISBLANK(dry!G32),NA(),dry!G32),$I$32=2,IF(ISBLANK('as new'!G32),NA(),'as new'!G32),$I$32=3,IF(ISBLANK('twice as new'!G32),NA(),'twice as new'!G32))</f>
        <v>#N/A</v>
      </c>
      <c r="Z95" s="1" t="e" cm="1">
        <f t="array" ref="Z95">_xlfn.IFS($I$32=1,IF(ISBLANK(dry!H32),NA(),dry!H32),$I$32=2,IF(ISBLANK('as new'!H32),NA(),'as new'!H32),$I$32=3,IF(ISBLANK('twice as new'!H32),NA(),'twice as new'!H32))</f>
        <v>#N/A</v>
      </c>
      <c r="AA95" s="1" t="e" cm="1">
        <f t="array" ref="AA95">_xlfn.IFS($I$32=1,IF(ISBLANK(dry!I32),NA(),dry!I32),$I$32=2,IF(ISBLANK('as new'!I32),NA(),'as new'!I32),$I$32=3,IF(ISBLANK('twice as new'!I32),NA(),'twice as new'!I32))</f>
        <v>#N/A</v>
      </c>
      <c r="AB95" s="1" t="e" cm="1">
        <f t="array" ref="AB95">_xlfn.IFS($I$32=1,IF(ISBLANK(dry!J32),NA(),dry!J32),$I$32=2,IF(ISBLANK('as new'!J32),NA(),'as new'!J32),$I$32=3,IF(ISBLANK('twice as new'!J32),NA(),'twice as new'!J32))</f>
        <v>#N/A</v>
      </c>
      <c r="AC95" s="1" t="e" cm="1">
        <f t="array" ref="AC95">_xlfn.IFS($I$32=1,IF(ISBLANK(dry!K32),NA(),dry!K32),$I$32=2,IF(ISBLANK('as new'!K32),NA(),'as new'!K32),$I$32=3,IF(ISBLANK('twice as new'!K32),NA(),'twice as new'!K32))</f>
        <v>#N/A</v>
      </c>
      <c r="AD95" s="1" t="e" cm="1">
        <f t="array" ref="AD95">_xlfn.IFS($I$32=1,IF(ISBLANK(dry!L32),NA(),dry!L32),$I$32=2,IF(ISBLANK('as new'!L32),NA(),'as new'!L32),$I$32=3,IF(ISBLANK('twice as new'!L32),NA(),'twice as new'!L32))</f>
        <v>#N/A</v>
      </c>
      <c r="AE95" s="1" t="e" cm="1">
        <f t="array" ref="AE95">_xlfn.IFS($I$32=1,IF(ISBLANK(dry!M32),NA(),dry!M32),$I$32=2,IF(ISBLANK('as new'!M32),NA(),'as new'!M32),$I$32=3,IF(ISBLANK('twice as new'!M32),NA(),'twice as new'!M32))</f>
        <v>#N/A</v>
      </c>
      <c r="AF95" s="1" t="e" cm="1">
        <f t="array" ref="AF95">_xlfn.IFS($I$32=1,IF(ISBLANK(dry!N32),NA(),dry!N32),$I$32=2,IF(ISBLANK('as new'!N32),NA(),'as new'!N32),$I$32=3,IF(ISBLANK('twice as new'!N32),NA(),'twice as new'!N32))</f>
        <v>#N/A</v>
      </c>
      <c r="AG95" s="1" t="e" cm="1">
        <f t="array" ref="AG95">_xlfn.IFS($I$32=1,IF(ISBLANK(dry!O32),NA(),dry!O32),$I$32=2,IF(ISBLANK('as new'!O32),NA(),'as new'!O32),$I$32=3,IF(ISBLANK('twice as new'!O32),NA(),'twice as new'!O32))</f>
        <v>#N/A</v>
      </c>
      <c r="AH95" s="1" t="e" cm="1">
        <f t="array" ref="AH95">_xlfn.IFS($I$32=1,IF(ISBLANK(dry!P32),NA(),dry!P32),$I$32=2,IF(ISBLANK('as new'!P32),NA(),'as new'!P32),$I$32=3,IF(ISBLANK('twice as new'!P32),NA(),'twice as new'!P32))</f>
        <v>#N/A</v>
      </c>
      <c r="AI95" s="1" t="e" cm="1">
        <f t="array" ref="AI95">_xlfn.IFS($I$32=1,IF(ISBLANK(dry!Q32),NA(),dry!Q32),$I$32=2,IF(ISBLANK('as new'!Q32),NA(),'as new'!Q32),$I$32=3,IF(ISBLANK('twice as new'!Q32),NA(),'twice as new'!Q32))</f>
        <v>#N/A</v>
      </c>
      <c r="AJ95" s="1" t="e" cm="1">
        <f t="array" ref="AJ95">_xlfn.IFS($I$32=1,IF(ISBLANK(dry!R32),NA(),dry!R32),$I$32=2,IF(ISBLANK('as new'!R32),NA(),'as new'!R32),$I$32=3,IF(ISBLANK('twice as new'!R32),NA(),'twice as new'!R32))</f>
        <v>#N/A</v>
      </c>
      <c r="AK95" s="1" t="e">
        <f>IF(CHOOSE($I$32,dry!S32,'as new'!S32,'twice as new'!S32)=0,NA(),CHOOSE($I$32,dry!S32,'as new'!S32,'twice as new'!S32))</f>
        <v>#N/A</v>
      </c>
      <c r="AL95" s="1" t="e">
        <f>IF(CHOOSE($I$32,dry!T32,'as new'!T32,'twice as new'!T32)=0,NA(),CHOOSE($I$32,dry!T32,'as new'!T32,'twice as new'!T32))</f>
        <v>#N/A</v>
      </c>
      <c r="AM95" s="1" t="e">
        <f>IF(CHOOSE($I$32,dry!U32,'as new'!U32,'twice as new'!U32)=0,NA(),CHOOSE($I$32,dry!U32,'as new'!U32,'twice as new'!U32))</f>
        <v>#N/A</v>
      </c>
      <c r="AN95" s="1" t="e">
        <f>IF(CHOOSE($I$32,dry!V32,'as new'!V32,'twice as new'!V32)=0,NA(),CHOOSE($I$32,dry!V32,'as new'!V32,'twice as new'!V32))</f>
        <v>#N/A</v>
      </c>
      <c r="AO95" s="1" t="e">
        <f>IF(CHOOSE($I$32,dry!W32,'as new'!W32,'twice as new'!W32)=0,NA(),CHOOSE($I$32,dry!W32,'as new'!W32,'twice as new'!W32))</f>
        <v>#N/A</v>
      </c>
      <c r="AP95" s="1" t="e">
        <f>IF(CHOOSE($I$32,dry!X32,'as new'!X32,'twice as new'!X32)=0,NA(),CHOOSE($I$32,dry!X32,'as new'!X32,'twice as new'!X32))</f>
        <v>#N/A</v>
      </c>
      <c r="AQ95" s="1" t="e">
        <f>IF(CHOOSE($I$32,dry!Y32,'as new'!Y32,'twice as new'!Y32)=0,NA(),CHOOSE($I$32,dry!Y32,'as new'!Y32,'twice as new'!Y32))</f>
        <v>#N/A</v>
      </c>
      <c r="AR95" s="1" t="e">
        <f>IF(CHOOSE($I$32,dry!Z32,'as new'!Z32,'twice as new'!Z32)=0,NA(),CHOOSE($I$32,dry!Z32,'as new'!Z32,'twice as new'!Z32))</f>
        <v>#N/A</v>
      </c>
      <c r="AS95" s="1" t="e">
        <f>Damped[[#This Row],[fI '[rpm']]]/Damped[[#This Row],[frun '[rpm']]]</f>
        <v>#N/A</v>
      </c>
      <c r="AT95" s="1" t="e">
        <f>Damped[[#This Row],[fII '[rpm']]]/Damped[[#This Row],[frun '[rpm']]]</f>
        <v>#N/A</v>
      </c>
      <c r="AU95" s="1" t="e">
        <f>Damped[[#This Row],[fIII '[rpm']]]/Damped[[#This Row],[frun '[rpm']]]</f>
        <v>#N/A</v>
      </c>
      <c r="AV95" s="1" t="e">
        <f>Damped[[#This Row],[fIV '[rpm']]]/Damped[[#This Row],[frun '[rpm']]]</f>
        <v>#N/A</v>
      </c>
      <c r="AW95" s="1" t="e">
        <f>Damped[[#This Row],[fV '[rpm']]]/Damped[[#This Row],[frun '[rpm']]]</f>
        <v>#N/A</v>
      </c>
      <c r="AX95" s="1" t="e">
        <f>Damped[[#This Row],[fVI '[rpm']]]/Damped[[#This Row],[frun '[rpm']]]</f>
        <v>#N/A</v>
      </c>
      <c r="AY95" s="1" t="e">
        <f>Damped[[#This Row],[fVII '[rpm']]]/Damped[[#This Row],[frun '[rpm']]]</f>
        <v>#N/A</v>
      </c>
      <c r="AZ95" s="1" t="e">
        <f>Damped[[#This Row],[fVIII '[rpm']]]/Damped[[#This Row],[frun '[rpm']]]</f>
        <v>#N/A</v>
      </c>
      <c r="BA95" s="1" t="e">
        <f>Damped[[#This Row],[fIX '[rpm']]]/Damped[[#This Row],[frun '[rpm']]]</f>
        <v>#N/A</v>
      </c>
      <c r="BB95" s="1" t="e">
        <f>Damped[[#This Row],[fX '[rpm']]]/Damped[[#This Row],[frun '[rpm']]]</f>
        <v>#N/A</v>
      </c>
      <c r="BC95" s="1" t="e">
        <f>Damped[[#This Row],[fXI '[rpm']]]/Damped[[#This Row],[frun '[rpm']]]</f>
        <v>#N/A</v>
      </c>
      <c r="BD95" s="1" t="e">
        <f>Damped[[#This Row],[fXII '[rpm']]]/Damped[[#This Row],[frun '[rpm']]]</f>
        <v>#N/A</v>
      </c>
    </row>
    <row r="96" spans="8:56" x14ac:dyDescent="0.25">
      <c r="H96" s="1" t="e" cm="1">
        <f t="array" ref="H96">_xlfn.IFS($I$32=1,IF(ISBLANK(dry!B33),NA(),dry!B33),$I$32=2,IF(ISBLANK('as new'!B33),NA(),'as new'!B33),$I$32=3,IF(ISBLANK('twice as new'!B33),NA(),'twice as new'!B33))</f>
        <v>#N/A</v>
      </c>
      <c r="I96" s="1" t="e">
        <f>Damped[[#This Row],[ξI '[-']]]/API_check(Damped[[#This Row],[fI/frun]])</f>
        <v>#N/A</v>
      </c>
      <c r="J96" s="1" t="e">
        <f>Damped[[#This Row],[ξII '[-']]]/API_check(Damped[[#This Row],[fII/frun]])</f>
        <v>#N/A</v>
      </c>
      <c r="K96" s="1" t="e">
        <f>Damped[[#This Row],[ξIII '[-']]]/API_check(Damped[[#This Row],[fIII/frun]])</f>
        <v>#N/A</v>
      </c>
      <c r="L96" s="1" t="e">
        <f>Damped[[#This Row],[ξIV '[-']]]/API_check(Damped[[#This Row],[fIV/frun]])</f>
        <v>#N/A</v>
      </c>
      <c r="M96" s="1" t="e">
        <f>Damped[[#This Row],[ξV '[-']]]/API_check(Damped[[#This Row],[fV/frun]])</f>
        <v>#N/A</v>
      </c>
      <c r="N96" s="1" t="e">
        <f>Damped[[#This Row],[ξVI '[-']]]/API_check(Damped[[#This Row],[fVI/frun]])</f>
        <v>#N/A</v>
      </c>
      <c r="O96" s="1" t="e">
        <f>Damped[[#This Row],[ξVII '[-']]]/API_check(Damped[[#This Row],[fVII/frun]])</f>
        <v>#N/A</v>
      </c>
      <c r="P96" s="1" t="e">
        <f>Damped[[#This Row],[ξVIII '[-']]]/API_check(Damped[[#This Row],[fVIII/frun]])</f>
        <v>#N/A</v>
      </c>
      <c r="Q96" s="1" t="e">
        <f>Damped[[#This Row],[ξIX '[-']]]/API_check(Damped[[#This Row],[fIX/frun]])</f>
        <v>#N/A</v>
      </c>
      <c r="R96" s="1" t="e">
        <f>Damped[[#This Row],[ξX '[-']]]/API_check(Damped[[#This Row],[fX/frun]])</f>
        <v>#N/A</v>
      </c>
      <c r="S96" s="1" t="e">
        <f>Damped[[#This Row],[ξXI '[-']]]/API_check(Damped[[#This Row],[fXI/frun]])</f>
        <v>#N/A</v>
      </c>
      <c r="T96" s="1" t="e">
        <f>Damped[[#This Row],[ξXII '[-']]]/API_check(Damped[[#This Row],[fXII/frun]])</f>
        <v>#N/A</v>
      </c>
      <c r="U96" s="1" t="e" cm="1">
        <f t="array" ref="U96">_xlfn.IFS($I$32=1,IF(ISBLANK(dry!C33),NA(),dry!C33),$I$32=2,IF(ISBLANK('as new'!C33),NA(),'as new'!C33),$I$32=3,IF(ISBLANK('twice as new'!C33),NA(),'twice as new'!C33))</f>
        <v>#N/A</v>
      </c>
      <c r="V96" s="1" t="e" cm="1">
        <f t="array" ref="V96">_xlfn.IFS($I$32=1,IF(ISBLANK(dry!D33),NA(),dry!D33),$I$32=2,IF(ISBLANK('as new'!D33),NA(),'as new'!D33),$I$32=3,IF(ISBLANK('twice as new'!D33),NA(),'twice as new'!D33))</f>
        <v>#N/A</v>
      </c>
      <c r="W96" s="1" t="e" cm="1">
        <f t="array" ref="W96">_xlfn.IFS($I$32=1,IF(ISBLANK(dry!E33),NA(),dry!E33),$I$32=2,IF(ISBLANK('as new'!E33),NA(),'as new'!E33),$I$32=3,IF(ISBLANK('twice as new'!E33),NA(),'twice as new'!E33))</f>
        <v>#N/A</v>
      </c>
      <c r="X96" s="1" t="e" cm="1">
        <f t="array" ref="X96">_xlfn.IFS($I$32=1,IF(ISBLANK(dry!F33),NA(),dry!F33),$I$32=2,IF(ISBLANK('as new'!F33),NA(),'as new'!F33),$I$32=3,IF(ISBLANK('twice as new'!F33),NA(),'twice as new'!F33))</f>
        <v>#N/A</v>
      </c>
      <c r="Y96" s="1" t="e" cm="1">
        <f t="array" ref="Y96">_xlfn.IFS($I$32=1,IF(ISBLANK(dry!G33),NA(),dry!G33),$I$32=2,IF(ISBLANK('as new'!G33),NA(),'as new'!G33),$I$32=3,IF(ISBLANK('twice as new'!G33),NA(),'twice as new'!G33))</f>
        <v>#N/A</v>
      </c>
      <c r="Z96" s="1" t="e" cm="1">
        <f t="array" ref="Z96">_xlfn.IFS($I$32=1,IF(ISBLANK(dry!H33),NA(),dry!H33),$I$32=2,IF(ISBLANK('as new'!H33),NA(),'as new'!H33),$I$32=3,IF(ISBLANK('twice as new'!H33),NA(),'twice as new'!H33))</f>
        <v>#N/A</v>
      </c>
      <c r="AA96" s="1" t="e" cm="1">
        <f t="array" ref="AA96">_xlfn.IFS($I$32=1,IF(ISBLANK(dry!I33),NA(),dry!I33),$I$32=2,IF(ISBLANK('as new'!I33),NA(),'as new'!I33),$I$32=3,IF(ISBLANK('twice as new'!I33),NA(),'twice as new'!I33))</f>
        <v>#N/A</v>
      </c>
      <c r="AB96" s="1" t="e" cm="1">
        <f t="array" ref="AB96">_xlfn.IFS($I$32=1,IF(ISBLANK(dry!J33),NA(),dry!J33),$I$32=2,IF(ISBLANK('as new'!J33),NA(),'as new'!J33),$I$32=3,IF(ISBLANK('twice as new'!J33),NA(),'twice as new'!J33))</f>
        <v>#N/A</v>
      </c>
      <c r="AC96" s="1" t="e" cm="1">
        <f t="array" ref="AC96">_xlfn.IFS($I$32=1,IF(ISBLANK(dry!K33),NA(),dry!K33),$I$32=2,IF(ISBLANK('as new'!K33),NA(),'as new'!K33),$I$32=3,IF(ISBLANK('twice as new'!K33),NA(),'twice as new'!K33))</f>
        <v>#N/A</v>
      </c>
      <c r="AD96" s="1" t="e" cm="1">
        <f t="array" ref="AD96">_xlfn.IFS($I$32=1,IF(ISBLANK(dry!L33),NA(),dry!L33),$I$32=2,IF(ISBLANK('as new'!L33),NA(),'as new'!L33),$I$32=3,IF(ISBLANK('twice as new'!L33),NA(),'twice as new'!L33))</f>
        <v>#N/A</v>
      </c>
      <c r="AE96" s="1" t="e" cm="1">
        <f t="array" ref="AE96">_xlfn.IFS($I$32=1,IF(ISBLANK(dry!M33),NA(),dry!M33),$I$32=2,IF(ISBLANK('as new'!M33),NA(),'as new'!M33),$I$32=3,IF(ISBLANK('twice as new'!M33),NA(),'twice as new'!M33))</f>
        <v>#N/A</v>
      </c>
      <c r="AF96" s="1" t="e" cm="1">
        <f t="array" ref="AF96">_xlfn.IFS($I$32=1,IF(ISBLANK(dry!N33),NA(),dry!N33),$I$32=2,IF(ISBLANK('as new'!N33),NA(),'as new'!N33),$I$32=3,IF(ISBLANK('twice as new'!N33),NA(),'twice as new'!N33))</f>
        <v>#N/A</v>
      </c>
      <c r="AG96" s="1" t="e" cm="1">
        <f t="array" ref="AG96">_xlfn.IFS($I$32=1,IF(ISBLANK(dry!O33),NA(),dry!O33),$I$32=2,IF(ISBLANK('as new'!O33),NA(),'as new'!O33),$I$32=3,IF(ISBLANK('twice as new'!O33),NA(),'twice as new'!O33))</f>
        <v>#N/A</v>
      </c>
      <c r="AH96" s="1" t="e" cm="1">
        <f t="array" ref="AH96">_xlfn.IFS($I$32=1,IF(ISBLANK(dry!P33),NA(),dry!P33),$I$32=2,IF(ISBLANK('as new'!P33),NA(),'as new'!P33),$I$32=3,IF(ISBLANK('twice as new'!P33),NA(),'twice as new'!P33))</f>
        <v>#N/A</v>
      </c>
      <c r="AI96" s="1" t="e" cm="1">
        <f t="array" ref="AI96">_xlfn.IFS($I$32=1,IF(ISBLANK(dry!Q33),NA(),dry!Q33),$I$32=2,IF(ISBLANK('as new'!Q33),NA(),'as new'!Q33),$I$32=3,IF(ISBLANK('twice as new'!Q33),NA(),'twice as new'!Q33))</f>
        <v>#N/A</v>
      </c>
      <c r="AJ96" s="1" t="e" cm="1">
        <f t="array" ref="AJ96">_xlfn.IFS($I$32=1,IF(ISBLANK(dry!R33),NA(),dry!R33),$I$32=2,IF(ISBLANK('as new'!R33),NA(),'as new'!R33),$I$32=3,IF(ISBLANK('twice as new'!R33),NA(),'twice as new'!R33))</f>
        <v>#N/A</v>
      </c>
      <c r="AK96" s="1" t="e">
        <f>IF(CHOOSE($I$32,dry!S33,'as new'!S33,'twice as new'!S33)=0,NA(),CHOOSE($I$32,dry!S33,'as new'!S33,'twice as new'!S33))</f>
        <v>#N/A</v>
      </c>
      <c r="AL96" s="1" t="e">
        <f>IF(CHOOSE($I$32,dry!T33,'as new'!T33,'twice as new'!T33)=0,NA(),CHOOSE($I$32,dry!T33,'as new'!T33,'twice as new'!T33))</f>
        <v>#N/A</v>
      </c>
      <c r="AM96" s="1" t="e">
        <f>IF(CHOOSE($I$32,dry!U33,'as new'!U33,'twice as new'!U33)=0,NA(),CHOOSE($I$32,dry!U33,'as new'!U33,'twice as new'!U33))</f>
        <v>#N/A</v>
      </c>
      <c r="AN96" s="1" t="e">
        <f>IF(CHOOSE($I$32,dry!V33,'as new'!V33,'twice as new'!V33)=0,NA(),CHOOSE($I$32,dry!V33,'as new'!V33,'twice as new'!V33))</f>
        <v>#N/A</v>
      </c>
      <c r="AO96" s="1" t="e">
        <f>IF(CHOOSE($I$32,dry!W33,'as new'!W33,'twice as new'!W33)=0,NA(),CHOOSE($I$32,dry!W33,'as new'!W33,'twice as new'!W33))</f>
        <v>#N/A</v>
      </c>
      <c r="AP96" s="1" t="e">
        <f>IF(CHOOSE($I$32,dry!X33,'as new'!X33,'twice as new'!X33)=0,NA(),CHOOSE($I$32,dry!X33,'as new'!X33,'twice as new'!X33))</f>
        <v>#N/A</v>
      </c>
      <c r="AQ96" s="1" t="e">
        <f>IF(CHOOSE($I$32,dry!Y33,'as new'!Y33,'twice as new'!Y33)=0,NA(),CHOOSE($I$32,dry!Y33,'as new'!Y33,'twice as new'!Y33))</f>
        <v>#N/A</v>
      </c>
      <c r="AR96" s="1" t="e">
        <f>IF(CHOOSE($I$32,dry!Z33,'as new'!Z33,'twice as new'!Z33)=0,NA(),CHOOSE($I$32,dry!Z33,'as new'!Z33,'twice as new'!Z33))</f>
        <v>#N/A</v>
      </c>
      <c r="AS96" s="1" t="e">
        <f>Damped[[#This Row],[fI '[rpm']]]/Damped[[#This Row],[frun '[rpm']]]</f>
        <v>#N/A</v>
      </c>
      <c r="AT96" s="1" t="e">
        <f>Damped[[#This Row],[fII '[rpm']]]/Damped[[#This Row],[frun '[rpm']]]</f>
        <v>#N/A</v>
      </c>
      <c r="AU96" s="1" t="e">
        <f>Damped[[#This Row],[fIII '[rpm']]]/Damped[[#This Row],[frun '[rpm']]]</f>
        <v>#N/A</v>
      </c>
      <c r="AV96" s="1" t="e">
        <f>Damped[[#This Row],[fIV '[rpm']]]/Damped[[#This Row],[frun '[rpm']]]</f>
        <v>#N/A</v>
      </c>
      <c r="AW96" s="1" t="e">
        <f>Damped[[#This Row],[fV '[rpm']]]/Damped[[#This Row],[frun '[rpm']]]</f>
        <v>#N/A</v>
      </c>
      <c r="AX96" s="1" t="e">
        <f>Damped[[#This Row],[fVI '[rpm']]]/Damped[[#This Row],[frun '[rpm']]]</f>
        <v>#N/A</v>
      </c>
      <c r="AY96" s="1" t="e">
        <f>Damped[[#This Row],[fVII '[rpm']]]/Damped[[#This Row],[frun '[rpm']]]</f>
        <v>#N/A</v>
      </c>
      <c r="AZ96" s="1" t="e">
        <f>Damped[[#This Row],[fVIII '[rpm']]]/Damped[[#This Row],[frun '[rpm']]]</f>
        <v>#N/A</v>
      </c>
      <c r="BA96" s="1" t="e">
        <f>Damped[[#This Row],[fIX '[rpm']]]/Damped[[#This Row],[frun '[rpm']]]</f>
        <v>#N/A</v>
      </c>
      <c r="BB96" s="1" t="e">
        <f>Damped[[#This Row],[fX '[rpm']]]/Damped[[#This Row],[frun '[rpm']]]</f>
        <v>#N/A</v>
      </c>
      <c r="BC96" s="1" t="e">
        <f>Damped[[#This Row],[fXI '[rpm']]]/Damped[[#This Row],[frun '[rpm']]]</f>
        <v>#N/A</v>
      </c>
      <c r="BD96" s="1" t="e">
        <f>Damped[[#This Row],[fXII '[rpm']]]/Damped[[#This Row],[frun '[rpm']]]</f>
        <v>#N/A</v>
      </c>
    </row>
    <row r="97" spans="8:56" x14ac:dyDescent="0.25">
      <c r="H97" s="1" t="e" cm="1">
        <f t="array" ref="H97">_xlfn.IFS($I$32=1,IF(ISBLANK(dry!B34),NA(),dry!B34),$I$32=2,IF(ISBLANK('as new'!B34),NA(),'as new'!B34),$I$32=3,IF(ISBLANK('twice as new'!B34),NA(),'twice as new'!B34))</f>
        <v>#N/A</v>
      </c>
      <c r="I97" s="1" t="e">
        <f>Damped[[#This Row],[ξI '[-']]]/API_check(Damped[[#This Row],[fI/frun]])</f>
        <v>#N/A</v>
      </c>
      <c r="J97" s="1" t="e">
        <f>Damped[[#This Row],[ξII '[-']]]/API_check(Damped[[#This Row],[fII/frun]])</f>
        <v>#N/A</v>
      </c>
      <c r="K97" s="1" t="e">
        <f>Damped[[#This Row],[ξIII '[-']]]/API_check(Damped[[#This Row],[fIII/frun]])</f>
        <v>#N/A</v>
      </c>
      <c r="L97" s="1" t="e">
        <f>Damped[[#This Row],[ξIV '[-']]]/API_check(Damped[[#This Row],[fIV/frun]])</f>
        <v>#N/A</v>
      </c>
      <c r="M97" s="1" t="e">
        <f>Damped[[#This Row],[ξV '[-']]]/API_check(Damped[[#This Row],[fV/frun]])</f>
        <v>#N/A</v>
      </c>
      <c r="N97" s="1" t="e">
        <f>Damped[[#This Row],[ξVI '[-']]]/API_check(Damped[[#This Row],[fVI/frun]])</f>
        <v>#N/A</v>
      </c>
      <c r="O97" s="1" t="e">
        <f>Damped[[#This Row],[ξVII '[-']]]/API_check(Damped[[#This Row],[fVII/frun]])</f>
        <v>#N/A</v>
      </c>
      <c r="P97" s="1" t="e">
        <f>Damped[[#This Row],[ξVIII '[-']]]/API_check(Damped[[#This Row],[fVIII/frun]])</f>
        <v>#N/A</v>
      </c>
      <c r="Q97" s="1" t="e">
        <f>Damped[[#This Row],[ξIX '[-']]]/API_check(Damped[[#This Row],[fIX/frun]])</f>
        <v>#N/A</v>
      </c>
      <c r="R97" s="1" t="e">
        <f>Damped[[#This Row],[ξX '[-']]]/API_check(Damped[[#This Row],[fX/frun]])</f>
        <v>#N/A</v>
      </c>
      <c r="S97" s="1" t="e">
        <f>Damped[[#This Row],[ξXI '[-']]]/API_check(Damped[[#This Row],[fXI/frun]])</f>
        <v>#N/A</v>
      </c>
      <c r="T97" s="1" t="e">
        <f>Damped[[#This Row],[ξXII '[-']]]/API_check(Damped[[#This Row],[fXII/frun]])</f>
        <v>#N/A</v>
      </c>
      <c r="U97" s="1" t="e" cm="1">
        <f t="array" ref="U97">_xlfn.IFS($I$32=1,IF(ISBLANK(dry!C34),NA(),dry!C34),$I$32=2,IF(ISBLANK('as new'!C34),NA(),'as new'!C34),$I$32=3,IF(ISBLANK('twice as new'!C34),NA(),'twice as new'!C34))</f>
        <v>#N/A</v>
      </c>
      <c r="V97" s="1" t="e" cm="1">
        <f t="array" ref="V97">_xlfn.IFS($I$32=1,IF(ISBLANK(dry!D34),NA(),dry!D34),$I$32=2,IF(ISBLANK('as new'!D34),NA(),'as new'!D34),$I$32=3,IF(ISBLANK('twice as new'!D34),NA(),'twice as new'!D34))</f>
        <v>#N/A</v>
      </c>
      <c r="W97" s="1" t="e" cm="1">
        <f t="array" ref="W97">_xlfn.IFS($I$32=1,IF(ISBLANK(dry!E34),NA(),dry!E34),$I$32=2,IF(ISBLANK('as new'!E34),NA(),'as new'!E34),$I$32=3,IF(ISBLANK('twice as new'!E34),NA(),'twice as new'!E34))</f>
        <v>#N/A</v>
      </c>
      <c r="X97" s="1" t="e" cm="1">
        <f t="array" ref="X97">_xlfn.IFS($I$32=1,IF(ISBLANK(dry!F34),NA(),dry!F34),$I$32=2,IF(ISBLANK('as new'!F34),NA(),'as new'!F34),$I$32=3,IF(ISBLANK('twice as new'!F34),NA(),'twice as new'!F34))</f>
        <v>#N/A</v>
      </c>
      <c r="Y97" s="1" t="e" cm="1">
        <f t="array" ref="Y97">_xlfn.IFS($I$32=1,IF(ISBLANK(dry!G34),NA(),dry!G34),$I$32=2,IF(ISBLANK('as new'!G34),NA(),'as new'!G34),$I$32=3,IF(ISBLANK('twice as new'!G34),NA(),'twice as new'!G34))</f>
        <v>#N/A</v>
      </c>
      <c r="Z97" s="1" t="e" cm="1">
        <f t="array" ref="Z97">_xlfn.IFS($I$32=1,IF(ISBLANK(dry!H34),NA(),dry!H34),$I$32=2,IF(ISBLANK('as new'!H34),NA(),'as new'!H34),$I$32=3,IF(ISBLANK('twice as new'!H34),NA(),'twice as new'!H34))</f>
        <v>#N/A</v>
      </c>
      <c r="AA97" s="1" t="e" cm="1">
        <f t="array" ref="AA97">_xlfn.IFS($I$32=1,IF(ISBLANK(dry!I34),NA(),dry!I34),$I$32=2,IF(ISBLANK('as new'!I34),NA(),'as new'!I34),$I$32=3,IF(ISBLANK('twice as new'!I34),NA(),'twice as new'!I34))</f>
        <v>#N/A</v>
      </c>
      <c r="AB97" s="1" t="e" cm="1">
        <f t="array" ref="AB97">_xlfn.IFS($I$32=1,IF(ISBLANK(dry!J34),NA(),dry!J34),$I$32=2,IF(ISBLANK('as new'!J34),NA(),'as new'!J34),$I$32=3,IF(ISBLANK('twice as new'!J34),NA(),'twice as new'!J34))</f>
        <v>#N/A</v>
      </c>
      <c r="AC97" s="1" t="e" cm="1">
        <f t="array" ref="AC97">_xlfn.IFS($I$32=1,IF(ISBLANK(dry!K34),NA(),dry!K34),$I$32=2,IF(ISBLANK('as new'!K34),NA(),'as new'!K34),$I$32=3,IF(ISBLANK('twice as new'!K34),NA(),'twice as new'!K34))</f>
        <v>#N/A</v>
      </c>
      <c r="AD97" s="1" t="e" cm="1">
        <f t="array" ref="AD97">_xlfn.IFS($I$32=1,IF(ISBLANK(dry!L34),NA(),dry!L34),$I$32=2,IF(ISBLANK('as new'!L34),NA(),'as new'!L34),$I$32=3,IF(ISBLANK('twice as new'!L34),NA(),'twice as new'!L34))</f>
        <v>#N/A</v>
      </c>
      <c r="AE97" s="1" t="e" cm="1">
        <f t="array" ref="AE97">_xlfn.IFS($I$32=1,IF(ISBLANK(dry!M34),NA(),dry!M34),$I$32=2,IF(ISBLANK('as new'!M34),NA(),'as new'!M34),$I$32=3,IF(ISBLANK('twice as new'!M34),NA(),'twice as new'!M34))</f>
        <v>#N/A</v>
      </c>
      <c r="AF97" s="1" t="e" cm="1">
        <f t="array" ref="AF97">_xlfn.IFS($I$32=1,IF(ISBLANK(dry!N34),NA(),dry!N34),$I$32=2,IF(ISBLANK('as new'!N34),NA(),'as new'!N34),$I$32=3,IF(ISBLANK('twice as new'!N34),NA(),'twice as new'!N34))</f>
        <v>#N/A</v>
      </c>
      <c r="AG97" s="1" t="e" cm="1">
        <f t="array" ref="AG97">_xlfn.IFS($I$32=1,IF(ISBLANK(dry!O34),NA(),dry!O34),$I$32=2,IF(ISBLANK('as new'!O34),NA(),'as new'!O34),$I$32=3,IF(ISBLANK('twice as new'!O34),NA(),'twice as new'!O34))</f>
        <v>#N/A</v>
      </c>
      <c r="AH97" s="1" t="e" cm="1">
        <f t="array" ref="AH97">_xlfn.IFS($I$32=1,IF(ISBLANK(dry!P34),NA(),dry!P34),$I$32=2,IF(ISBLANK('as new'!P34),NA(),'as new'!P34),$I$32=3,IF(ISBLANK('twice as new'!P34),NA(),'twice as new'!P34))</f>
        <v>#N/A</v>
      </c>
      <c r="AI97" s="1" t="e" cm="1">
        <f t="array" ref="AI97">_xlfn.IFS($I$32=1,IF(ISBLANK(dry!Q34),NA(),dry!Q34),$I$32=2,IF(ISBLANK('as new'!Q34),NA(),'as new'!Q34),$I$32=3,IF(ISBLANK('twice as new'!Q34),NA(),'twice as new'!Q34))</f>
        <v>#N/A</v>
      </c>
      <c r="AJ97" s="1" t="e" cm="1">
        <f t="array" ref="AJ97">_xlfn.IFS($I$32=1,IF(ISBLANK(dry!R34),NA(),dry!R34),$I$32=2,IF(ISBLANK('as new'!R34),NA(),'as new'!R34),$I$32=3,IF(ISBLANK('twice as new'!R34),NA(),'twice as new'!R34))</f>
        <v>#N/A</v>
      </c>
      <c r="AK97" s="1" t="e">
        <f>IF(CHOOSE($I$32,dry!S34,'as new'!S34,'twice as new'!S34)=0,NA(),CHOOSE($I$32,dry!S34,'as new'!S34,'twice as new'!S34))</f>
        <v>#N/A</v>
      </c>
      <c r="AL97" s="1" t="e">
        <f>IF(CHOOSE($I$32,dry!T34,'as new'!T34,'twice as new'!T34)=0,NA(),CHOOSE($I$32,dry!T34,'as new'!T34,'twice as new'!T34))</f>
        <v>#N/A</v>
      </c>
      <c r="AM97" s="1" t="e">
        <f>IF(CHOOSE($I$32,dry!U34,'as new'!U34,'twice as new'!U34)=0,NA(),CHOOSE($I$32,dry!U34,'as new'!U34,'twice as new'!U34))</f>
        <v>#N/A</v>
      </c>
      <c r="AN97" s="1" t="e">
        <f>IF(CHOOSE($I$32,dry!V34,'as new'!V34,'twice as new'!V34)=0,NA(),CHOOSE($I$32,dry!V34,'as new'!V34,'twice as new'!V34))</f>
        <v>#N/A</v>
      </c>
      <c r="AO97" s="1" t="e">
        <f>IF(CHOOSE($I$32,dry!W34,'as new'!W34,'twice as new'!W34)=0,NA(),CHOOSE($I$32,dry!W34,'as new'!W34,'twice as new'!W34))</f>
        <v>#N/A</v>
      </c>
      <c r="AP97" s="1" t="e">
        <f>IF(CHOOSE($I$32,dry!X34,'as new'!X34,'twice as new'!X34)=0,NA(),CHOOSE($I$32,dry!X34,'as new'!X34,'twice as new'!X34))</f>
        <v>#N/A</v>
      </c>
      <c r="AQ97" s="1" t="e">
        <f>IF(CHOOSE($I$32,dry!Y34,'as new'!Y34,'twice as new'!Y34)=0,NA(),CHOOSE($I$32,dry!Y34,'as new'!Y34,'twice as new'!Y34))</f>
        <v>#N/A</v>
      </c>
      <c r="AR97" s="1" t="e">
        <f>IF(CHOOSE($I$32,dry!Z34,'as new'!Z34,'twice as new'!Z34)=0,NA(),CHOOSE($I$32,dry!Z34,'as new'!Z34,'twice as new'!Z34))</f>
        <v>#N/A</v>
      </c>
      <c r="AS97" s="1" t="e">
        <f>Damped[[#This Row],[fI '[rpm']]]/Damped[[#This Row],[frun '[rpm']]]</f>
        <v>#N/A</v>
      </c>
      <c r="AT97" s="1" t="e">
        <f>Damped[[#This Row],[fII '[rpm']]]/Damped[[#This Row],[frun '[rpm']]]</f>
        <v>#N/A</v>
      </c>
      <c r="AU97" s="1" t="e">
        <f>Damped[[#This Row],[fIII '[rpm']]]/Damped[[#This Row],[frun '[rpm']]]</f>
        <v>#N/A</v>
      </c>
      <c r="AV97" s="1" t="e">
        <f>Damped[[#This Row],[fIV '[rpm']]]/Damped[[#This Row],[frun '[rpm']]]</f>
        <v>#N/A</v>
      </c>
      <c r="AW97" s="1" t="e">
        <f>Damped[[#This Row],[fV '[rpm']]]/Damped[[#This Row],[frun '[rpm']]]</f>
        <v>#N/A</v>
      </c>
      <c r="AX97" s="1" t="e">
        <f>Damped[[#This Row],[fVI '[rpm']]]/Damped[[#This Row],[frun '[rpm']]]</f>
        <v>#N/A</v>
      </c>
      <c r="AY97" s="1" t="e">
        <f>Damped[[#This Row],[fVII '[rpm']]]/Damped[[#This Row],[frun '[rpm']]]</f>
        <v>#N/A</v>
      </c>
      <c r="AZ97" s="1" t="e">
        <f>Damped[[#This Row],[fVIII '[rpm']]]/Damped[[#This Row],[frun '[rpm']]]</f>
        <v>#N/A</v>
      </c>
      <c r="BA97" s="1" t="e">
        <f>Damped[[#This Row],[fIX '[rpm']]]/Damped[[#This Row],[frun '[rpm']]]</f>
        <v>#N/A</v>
      </c>
      <c r="BB97" s="1" t="e">
        <f>Damped[[#This Row],[fX '[rpm']]]/Damped[[#This Row],[frun '[rpm']]]</f>
        <v>#N/A</v>
      </c>
      <c r="BC97" s="1" t="e">
        <f>Damped[[#This Row],[fXI '[rpm']]]/Damped[[#This Row],[frun '[rpm']]]</f>
        <v>#N/A</v>
      </c>
      <c r="BD97" s="1" t="e">
        <f>Damped[[#This Row],[fXII '[rpm']]]/Damped[[#This Row],[frun '[rpm']]]</f>
        <v>#N/A</v>
      </c>
    </row>
    <row r="98" spans="8:56" x14ac:dyDescent="0.25">
      <c r="H98" s="1" t="e" cm="1">
        <f t="array" ref="H98">_xlfn.IFS($I$32=1,IF(ISBLANK(dry!B35),NA(),dry!B35),$I$32=2,IF(ISBLANK('as new'!B35),NA(),'as new'!B35),$I$32=3,IF(ISBLANK('twice as new'!B35),NA(),'twice as new'!B35))</f>
        <v>#N/A</v>
      </c>
      <c r="I98" s="1" t="e">
        <f>Damped[[#This Row],[ξI '[-']]]/API_check(Damped[[#This Row],[fI/frun]])</f>
        <v>#N/A</v>
      </c>
      <c r="J98" s="1" t="e">
        <f>Damped[[#This Row],[ξII '[-']]]/API_check(Damped[[#This Row],[fII/frun]])</f>
        <v>#N/A</v>
      </c>
      <c r="K98" s="1" t="e">
        <f>Damped[[#This Row],[ξIII '[-']]]/API_check(Damped[[#This Row],[fIII/frun]])</f>
        <v>#N/A</v>
      </c>
      <c r="L98" s="1" t="e">
        <f>Damped[[#This Row],[ξIV '[-']]]/API_check(Damped[[#This Row],[fIV/frun]])</f>
        <v>#N/A</v>
      </c>
      <c r="M98" s="1" t="e">
        <f>Damped[[#This Row],[ξV '[-']]]/API_check(Damped[[#This Row],[fV/frun]])</f>
        <v>#N/A</v>
      </c>
      <c r="N98" s="1" t="e">
        <f>Damped[[#This Row],[ξVI '[-']]]/API_check(Damped[[#This Row],[fVI/frun]])</f>
        <v>#N/A</v>
      </c>
      <c r="O98" s="1" t="e">
        <f>Damped[[#This Row],[ξVII '[-']]]/API_check(Damped[[#This Row],[fVII/frun]])</f>
        <v>#N/A</v>
      </c>
      <c r="P98" s="1" t="e">
        <f>Damped[[#This Row],[ξVIII '[-']]]/API_check(Damped[[#This Row],[fVIII/frun]])</f>
        <v>#N/A</v>
      </c>
      <c r="Q98" s="1" t="e">
        <f>Damped[[#This Row],[ξIX '[-']]]/API_check(Damped[[#This Row],[fIX/frun]])</f>
        <v>#N/A</v>
      </c>
      <c r="R98" s="1" t="e">
        <f>Damped[[#This Row],[ξX '[-']]]/API_check(Damped[[#This Row],[fX/frun]])</f>
        <v>#N/A</v>
      </c>
      <c r="S98" s="1" t="e">
        <f>Damped[[#This Row],[ξXI '[-']]]/API_check(Damped[[#This Row],[fXI/frun]])</f>
        <v>#N/A</v>
      </c>
      <c r="T98" s="1" t="e">
        <f>Damped[[#This Row],[ξXII '[-']]]/API_check(Damped[[#This Row],[fXII/frun]])</f>
        <v>#N/A</v>
      </c>
      <c r="U98" s="1" t="e" cm="1">
        <f t="array" ref="U98">_xlfn.IFS($I$32=1,IF(ISBLANK(dry!C35),NA(),dry!C35),$I$32=2,IF(ISBLANK('as new'!C35),NA(),'as new'!C35),$I$32=3,IF(ISBLANK('twice as new'!C35),NA(),'twice as new'!C35))</f>
        <v>#N/A</v>
      </c>
      <c r="V98" s="1" t="e" cm="1">
        <f t="array" ref="V98">_xlfn.IFS($I$32=1,IF(ISBLANK(dry!D35),NA(),dry!D35),$I$32=2,IF(ISBLANK('as new'!D35),NA(),'as new'!D35),$I$32=3,IF(ISBLANK('twice as new'!D35),NA(),'twice as new'!D35))</f>
        <v>#N/A</v>
      </c>
      <c r="W98" s="1" t="e" cm="1">
        <f t="array" ref="W98">_xlfn.IFS($I$32=1,IF(ISBLANK(dry!E35),NA(),dry!E35),$I$32=2,IF(ISBLANK('as new'!E35),NA(),'as new'!E35),$I$32=3,IF(ISBLANK('twice as new'!E35),NA(),'twice as new'!E35))</f>
        <v>#N/A</v>
      </c>
      <c r="X98" s="1" t="e" cm="1">
        <f t="array" ref="X98">_xlfn.IFS($I$32=1,IF(ISBLANK(dry!F35),NA(),dry!F35),$I$32=2,IF(ISBLANK('as new'!F35),NA(),'as new'!F35),$I$32=3,IF(ISBLANK('twice as new'!F35),NA(),'twice as new'!F35))</f>
        <v>#N/A</v>
      </c>
      <c r="Y98" s="1" t="e" cm="1">
        <f t="array" ref="Y98">_xlfn.IFS($I$32=1,IF(ISBLANK(dry!G35),NA(),dry!G35),$I$32=2,IF(ISBLANK('as new'!G35),NA(),'as new'!G35),$I$32=3,IF(ISBLANK('twice as new'!G35),NA(),'twice as new'!G35))</f>
        <v>#N/A</v>
      </c>
      <c r="Z98" s="1" t="e" cm="1">
        <f t="array" ref="Z98">_xlfn.IFS($I$32=1,IF(ISBLANK(dry!H35),NA(),dry!H35),$I$32=2,IF(ISBLANK('as new'!H35),NA(),'as new'!H35),$I$32=3,IF(ISBLANK('twice as new'!H35),NA(),'twice as new'!H35))</f>
        <v>#N/A</v>
      </c>
      <c r="AA98" s="1" t="e" cm="1">
        <f t="array" ref="AA98">_xlfn.IFS($I$32=1,IF(ISBLANK(dry!I35),NA(),dry!I35),$I$32=2,IF(ISBLANK('as new'!I35),NA(),'as new'!I35),$I$32=3,IF(ISBLANK('twice as new'!I35),NA(),'twice as new'!I35))</f>
        <v>#N/A</v>
      </c>
      <c r="AB98" s="1" t="e" cm="1">
        <f t="array" ref="AB98">_xlfn.IFS($I$32=1,IF(ISBLANK(dry!J35),NA(),dry!J35),$I$32=2,IF(ISBLANK('as new'!J35),NA(),'as new'!J35),$I$32=3,IF(ISBLANK('twice as new'!J35),NA(),'twice as new'!J35))</f>
        <v>#N/A</v>
      </c>
      <c r="AC98" s="1" t="e" cm="1">
        <f t="array" ref="AC98">_xlfn.IFS($I$32=1,IF(ISBLANK(dry!K35),NA(),dry!K35),$I$32=2,IF(ISBLANK('as new'!K35),NA(),'as new'!K35),$I$32=3,IF(ISBLANK('twice as new'!K35),NA(),'twice as new'!K35))</f>
        <v>#N/A</v>
      </c>
      <c r="AD98" s="1" t="e" cm="1">
        <f t="array" ref="AD98">_xlfn.IFS($I$32=1,IF(ISBLANK(dry!L35),NA(),dry!L35),$I$32=2,IF(ISBLANK('as new'!L35),NA(),'as new'!L35),$I$32=3,IF(ISBLANK('twice as new'!L35),NA(),'twice as new'!L35))</f>
        <v>#N/A</v>
      </c>
      <c r="AE98" s="1" t="e" cm="1">
        <f t="array" ref="AE98">_xlfn.IFS($I$32=1,IF(ISBLANK(dry!M35),NA(),dry!M35),$I$32=2,IF(ISBLANK('as new'!M35),NA(),'as new'!M35),$I$32=3,IF(ISBLANK('twice as new'!M35),NA(),'twice as new'!M35))</f>
        <v>#N/A</v>
      </c>
      <c r="AF98" s="1" t="e" cm="1">
        <f t="array" ref="AF98">_xlfn.IFS($I$32=1,IF(ISBLANK(dry!N35),NA(),dry!N35),$I$32=2,IF(ISBLANK('as new'!N35),NA(),'as new'!N35),$I$32=3,IF(ISBLANK('twice as new'!N35),NA(),'twice as new'!N35))</f>
        <v>#N/A</v>
      </c>
      <c r="AG98" s="1" t="e" cm="1">
        <f t="array" ref="AG98">_xlfn.IFS($I$32=1,IF(ISBLANK(dry!O35),NA(),dry!O35),$I$32=2,IF(ISBLANK('as new'!O35),NA(),'as new'!O35),$I$32=3,IF(ISBLANK('twice as new'!O35),NA(),'twice as new'!O35))</f>
        <v>#N/A</v>
      </c>
      <c r="AH98" s="1" t="e" cm="1">
        <f t="array" ref="AH98">_xlfn.IFS($I$32=1,IF(ISBLANK(dry!P35),NA(),dry!P35),$I$32=2,IF(ISBLANK('as new'!P35),NA(),'as new'!P35),$I$32=3,IF(ISBLANK('twice as new'!P35),NA(),'twice as new'!P35))</f>
        <v>#N/A</v>
      </c>
      <c r="AI98" s="1" t="e" cm="1">
        <f t="array" ref="AI98">_xlfn.IFS($I$32=1,IF(ISBLANK(dry!Q35),NA(),dry!Q35),$I$32=2,IF(ISBLANK('as new'!Q35),NA(),'as new'!Q35),$I$32=3,IF(ISBLANK('twice as new'!Q35),NA(),'twice as new'!Q35))</f>
        <v>#N/A</v>
      </c>
      <c r="AJ98" s="1" t="e" cm="1">
        <f t="array" ref="AJ98">_xlfn.IFS($I$32=1,IF(ISBLANK(dry!R35),NA(),dry!R35),$I$32=2,IF(ISBLANK('as new'!R35),NA(),'as new'!R35),$I$32=3,IF(ISBLANK('twice as new'!R35),NA(),'twice as new'!R35))</f>
        <v>#N/A</v>
      </c>
      <c r="AK98" s="1" t="e">
        <f>IF(CHOOSE($I$32,dry!S35,'as new'!S35,'twice as new'!S35)=0,NA(),CHOOSE($I$32,dry!S35,'as new'!S35,'twice as new'!S35))</f>
        <v>#N/A</v>
      </c>
      <c r="AL98" s="1" t="e">
        <f>IF(CHOOSE($I$32,dry!T35,'as new'!T35,'twice as new'!T35)=0,NA(),CHOOSE($I$32,dry!T35,'as new'!T35,'twice as new'!T35))</f>
        <v>#N/A</v>
      </c>
      <c r="AM98" s="1" t="e">
        <f>IF(CHOOSE($I$32,dry!U35,'as new'!U35,'twice as new'!U35)=0,NA(),CHOOSE($I$32,dry!U35,'as new'!U35,'twice as new'!U35))</f>
        <v>#N/A</v>
      </c>
      <c r="AN98" s="1" t="e">
        <f>IF(CHOOSE($I$32,dry!V35,'as new'!V35,'twice as new'!V35)=0,NA(),CHOOSE($I$32,dry!V35,'as new'!V35,'twice as new'!V35))</f>
        <v>#N/A</v>
      </c>
      <c r="AO98" s="1" t="e">
        <f>IF(CHOOSE($I$32,dry!W35,'as new'!W35,'twice as new'!W35)=0,NA(),CHOOSE($I$32,dry!W35,'as new'!W35,'twice as new'!W35))</f>
        <v>#N/A</v>
      </c>
      <c r="AP98" s="1" t="e">
        <f>IF(CHOOSE($I$32,dry!X35,'as new'!X35,'twice as new'!X35)=0,NA(),CHOOSE($I$32,dry!X35,'as new'!X35,'twice as new'!X35))</f>
        <v>#N/A</v>
      </c>
      <c r="AQ98" s="1" t="e">
        <f>IF(CHOOSE($I$32,dry!Y35,'as new'!Y35,'twice as new'!Y35)=0,NA(),CHOOSE($I$32,dry!Y35,'as new'!Y35,'twice as new'!Y35))</f>
        <v>#N/A</v>
      </c>
      <c r="AR98" s="1" t="e">
        <f>IF(CHOOSE($I$32,dry!Z35,'as new'!Z35,'twice as new'!Z35)=0,NA(),CHOOSE($I$32,dry!Z35,'as new'!Z35,'twice as new'!Z35))</f>
        <v>#N/A</v>
      </c>
      <c r="AS98" s="1" t="e">
        <f>Damped[[#This Row],[fI '[rpm']]]/Damped[[#This Row],[frun '[rpm']]]</f>
        <v>#N/A</v>
      </c>
      <c r="AT98" s="1" t="e">
        <f>Damped[[#This Row],[fII '[rpm']]]/Damped[[#This Row],[frun '[rpm']]]</f>
        <v>#N/A</v>
      </c>
      <c r="AU98" s="1" t="e">
        <f>Damped[[#This Row],[fIII '[rpm']]]/Damped[[#This Row],[frun '[rpm']]]</f>
        <v>#N/A</v>
      </c>
      <c r="AV98" s="1" t="e">
        <f>Damped[[#This Row],[fIV '[rpm']]]/Damped[[#This Row],[frun '[rpm']]]</f>
        <v>#N/A</v>
      </c>
      <c r="AW98" s="1" t="e">
        <f>Damped[[#This Row],[fV '[rpm']]]/Damped[[#This Row],[frun '[rpm']]]</f>
        <v>#N/A</v>
      </c>
      <c r="AX98" s="1" t="e">
        <f>Damped[[#This Row],[fVI '[rpm']]]/Damped[[#This Row],[frun '[rpm']]]</f>
        <v>#N/A</v>
      </c>
      <c r="AY98" s="1" t="e">
        <f>Damped[[#This Row],[fVII '[rpm']]]/Damped[[#This Row],[frun '[rpm']]]</f>
        <v>#N/A</v>
      </c>
      <c r="AZ98" s="1" t="e">
        <f>Damped[[#This Row],[fVIII '[rpm']]]/Damped[[#This Row],[frun '[rpm']]]</f>
        <v>#N/A</v>
      </c>
      <c r="BA98" s="1" t="e">
        <f>Damped[[#This Row],[fIX '[rpm']]]/Damped[[#This Row],[frun '[rpm']]]</f>
        <v>#N/A</v>
      </c>
      <c r="BB98" s="1" t="e">
        <f>Damped[[#This Row],[fX '[rpm']]]/Damped[[#This Row],[frun '[rpm']]]</f>
        <v>#N/A</v>
      </c>
      <c r="BC98" s="1" t="e">
        <f>Damped[[#This Row],[fXI '[rpm']]]/Damped[[#This Row],[frun '[rpm']]]</f>
        <v>#N/A</v>
      </c>
      <c r="BD98" s="1" t="e">
        <f>Damped[[#This Row],[fXII '[rpm']]]/Damped[[#This Row],[frun '[rpm']]]</f>
        <v>#N/A</v>
      </c>
    </row>
    <row r="99" spans="8:56" x14ac:dyDescent="0.25">
      <c r="H99" s="1" t="e" cm="1">
        <f t="array" ref="H99">_xlfn.IFS($I$32=1,IF(ISBLANK(dry!B36),NA(),dry!B36),$I$32=2,IF(ISBLANK('as new'!B36),NA(),'as new'!B36),$I$32=3,IF(ISBLANK('twice as new'!B36),NA(),'twice as new'!B36))</f>
        <v>#N/A</v>
      </c>
      <c r="I99" s="1" t="e">
        <f>Damped[[#This Row],[ξI '[-']]]/API_check(Damped[[#This Row],[fI/frun]])</f>
        <v>#N/A</v>
      </c>
      <c r="J99" s="1" t="e">
        <f>Damped[[#This Row],[ξII '[-']]]/API_check(Damped[[#This Row],[fII/frun]])</f>
        <v>#N/A</v>
      </c>
      <c r="K99" s="1" t="e">
        <f>Damped[[#This Row],[ξIII '[-']]]/API_check(Damped[[#This Row],[fIII/frun]])</f>
        <v>#N/A</v>
      </c>
      <c r="L99" s="1" t="e">
        <f>Damped[[#This Row],[ξIV '[-']]]/API_check(Damped[[#This Row],[fIV/frun]])</f>
        <v>#N/A</v>
      </c>
      <c r="M99" s="1" t="e">
        <f>Damped[[#This Row],[ξV '[-']]]/API_check(Damped[[#This Row],[fV/frun]])</f>
        <v>#N/A</v>
      </c>
      <c r="N99" s="1" t="e">
        <f>Damped[[#This Row],[ξVI '[-']]]/API_check(Damped[[#This Row],[fVI/frun]])</f>
        <v>#N/A</v>
      </c>
      <c r="O99" s="1" t="e">
        <f>Damped[[#This Row],[ξVII '[-']]]/API_check(Damped[[#This Row],[fVII/frun]])</f>
        <v>#N/A</v>
      </c>
      <c r="P99" s="1" t="e">
        <f>Damped[[#This Row],[ξVIII '[-']]]/API_check(Damped[[#This Row],[fVIII/frun]])</f>
        <v>#N/A</v>
      </c>
      <c r="Q99" s="1" t="e">
        <f>Damped[[#This Row],[ξIX '[-']]]/API_check(Damped[[#This Row],[fIX/frun]])</f>
        <v>#N/A</v>
      </c>
      <c r="R99" s="1" t="e">
        <f>Damped[[#This Row],[ξX '[-']]]/API_check(Damped[[#This Row],[fX/frun]])</f>
        <v>#N/A</v>
      </c>
      <c r="S99" s="1" t="e">
        <f>Damped[[#This Row],[ξXI '[-']]]/API_check(Damped[[#This Row],[fXI/frun]])</f>
        <v>#N/A</v>
      </c>
      <c r="T99" s="1" t="e">
        <f>Damped[[#This Row],[ξXII '[-']]]/API_check(Damped[[#This Row],[fXII/frun]])</f>
        <v>#N/A</v>
      </c>
      <c r="U99" s="1" t="e" cm="1">
        <f t="array" ref="U99">_xlfn.IFS($I$32=1,IF(ISBLANK(dry!C36),NA(),dry!C36),$I$32=2,IF(ISBLANK('as new'!C36),NA(),'as new'!C36),$I$32=3,IF(ISBLANK('twice as new'!C36),NA(),'twice as new'!C36))</f>
        <v>#N/A</v>
      </c>
      <c r="V99" s="1" t="e" cm="1">
        <f t="array" ref="V99">_xlfn.IFS($I$32=1,IF(ISBLANK(dry!D36),NA(),dry!D36),$I$32=2,IF(ISBLANK('as new'!D36),NA(),'as new'!D36),$I$32=3,IF(ISBLANK('twice as new'!D36),NA(),'twice as new'!D36))</f>
        <v>#N/A</v>
      </c>
      <c r="W99" s="1" t="e" cm="1">
        <f t="array" ref="W99">_xlfn.IFS($I$32=1,IF(ISBLANK(dry!E36),NA(),dry!E36),$I$32=2,IF(ISBLANK('as new'!E36),NA(),'as new'!E36),$I$32=3,IF(ISBLANK('twice as new'!E36),NA(),'twice as new'!E36))</f>
        <v>#N/A</v>
      </c>
      <c r="X99" s="1" t="e" cm="1">
        <f t="array" ref="X99">_xlfn.IFS($I$32=1,IF(ISBLANK(dry!F36),NA(),dry!F36),$I$32=2,IF(ISBLANK('as new'!F36),NA(),'as new'!F36),$I$32=3,IF(ISBLANK('twice as new'!F36),NA(),'twice as new'!F36))</f>
        <v>#N/A</v>
      </c>
      <c r="Y99" s="1" t="e" cm="1">
        <f t="array" ref="Y99">_xlfn.IFS($I$32=1,IF(ISBLANK(dry!G36),NA(),dry!G36),$I$32=2,IF(ISBLANK('as new'!G36),NA(),'as new'!G36),$I$32=3,IF(ISBLANK('twice as new'!G36),NA(),'twice as new'!G36))</f>
        <v>#N/A</v>
      </c>
      <c r="Z99" s="1" t="e" cm="1">
        <f t="array" ref="Z99">_xlfn.IFS($I$32=1,IF(ISBLANK(dry!H36),NA(),dry!H36),$I$32=2,IF(ISBLANK('as new'!H36),NA(),'as new'!H36),$I$32=3,IF(ISBLANK('twice as new'!H36),NA(),'twice as new'!H36))</f>
        <v>#N/A</v>
      </c>
      <c r="AA99" s="1" t="e" cm="1">
        <f t="array" ref="AA99">_xlfn.IFS($I$32=1,IF(ISBLANK(dry!I36),NA(),dry!I36),$I$32=2,IF(ISBLANK('as new'!I36),NA(),'as new'!I36),$I$32=3,IF(ISBLANK('twice as new'!I36),NA(),'twice as new'!I36))</f>
        <v>#N/A</v>
      </c>
      <c r="AB99" s="1" t="e" cm="1">
        <f t="array" ref="AB99">_xlfn.IFS($I$32=1,IF(ISBLANK(dry!J36),NA(),dry!J36),$I$32=2,IF(ISBLANK('as new'!J36),NA(),'as new'!J36),$I$32=3,IF(ISBLANK('twice as new'!J36),NA(),'twice as new'!J36))</f>
        <v>#N/A</v>
      </c>
      <c r="AC99" s="1" t="e" cm="1">
        <f t="array" ref="AC99">_xlfn.IFS($I$32=1,IF(ISBLANK(dry!K36),NA(),dry!K36),$I$32=2,IF(ISBLANK('as new'!K36),NA(),'as new'!K36),$I$32=3,IF(ISBLANK('twice as new'!K36),NA(),'twice as new'!K36))</f>
        <v>#N/A</v>
      </c>
      <c r="AD99" s="1" t="e" cm="1">
        <f t="array" ref="AD99">_xlfn.IFS($I$32=1,IF(ISBLANK(dry!L36),NA(),dry!L36),$I$32=2,IF(ISBLANK('as new'!L36),NA(),'as new'!L36),$I$32=3,IF(ISBLANK('twice as new'!L36),NA(),'twice as new'!L36))</f>
        <v>#N/A</v>
      </c>
      <c r="AE99" s="1" t="e" cm="1">
        <f t="array" ref="AE99">_xlfn.IFS($I$32=1,IF(ISBLANK(dry!M36),NA(),dry!M36),$I$32=2,IF(ISBLANK('as new'!M36),NA(),'as new'!M36),$I$32=3,IF(ISBLANK('twice as new'!M36),NA(),'twice as new'!M36))</f>
        <v>#N/A</v>
      </c>
      <c r="AF99" s="1" t="e" cm="1">
        <f t="array" ref="AF99">_xlfn.IFS($I$32=1,IF(ISBLANK(dry!N36),NA(),dry!N36),$I$32=2,IF(ISBLANK('as new'!N36),NA(),'as new'!N36),$I$32=3,IF(ISBLANK('twice as new'!N36),NA(),'twice as new'!N36))</f>
        <v>#N/A</v>
      </c>
      <c r="AG99" s="1" t="e" cm="1">
        <f t="array" ref="AG99">_xlfn.IFS($I$32=1,IF(ISBLANK(dry!O36),NA(),dry!O36),$I$32=2,IF(ISBLANK('as new'!O36),NA(),'as new'!O36),$I$32=3,IF(ISBLANK('twice as new'!O36),NA(),'twice as new'!O36))</f>
        <v>#N/A</v>
      </c>
      <c r="AH99" s="1" t="e" cm="1">
        <f t="array" ref="AH99">_xlfn.IFS($I$32=1,IF(ISBLANK(dry!P36),NA(),dry!P36),$I$32=2,IF(ISBLANK('as new'!P36),NA(),'as new'!P36),$I$32=3,IF(ISBLANK('twice as new'!P36),NA(),'twice as new'!P36))</f>
        <v>#N/A</v>
      </c>
      <c r="AI99" s="1" t="e" cm="1">
        <f t="array" ref="AI99">_xlfn.IFS($I$32=1,IF(ISBLANK(dry!Q36),NA(),dry!Q36),$I$32=2,IF(ISBLANK('as new'!Q36),NA(),'as new'!Q36),$I$32=3,IF(ISBLANK('twice as new'!Q36),NA(),'twice as new'!Q36))</f>
        <v>#N/A</v>
      </c>
      <c r="AJ99" s="1" t="e" cm="1">
        <f t="array" ref="AJ99">_xlfn.IFS($I$32=1,IF(ISBLANK(dry!R36),NA(),dry!R36),$I$32=2,IF(ISBLANK('as new'!R36),NA(),'as new'!R36),$I$32=3,IF(ISBLANK('twice as new'!R36),NA(),'twice as new'!R36))</f>
        <v>#N/A</v>
      </c>
      <c r="AK99" s="1" t="e">
        <f>IF(CHOOSE($I$32,dry!S36,'as new'!S36,'twice as new'!S36)=0,NA(),CHOOSE($I$32,dry!S36,'as new'!S36,'twice as new'!S36))</f>
        <v>#N/A</v>
      </c>
      <c r="AL99" s="1" t="e">
        <f>IF(CHOOSE($I$32,dry!T36,'as new'!T36,'twice as new'!T36)=0,NA(),CHOOSE($I$32,dry!T36,'as new'!T36,'twice as new'!T36))</f>
        <v>#N/A</v>
      </c>
      <c r="AM99" s="1" t="e">
        <f>IF(CHOOSE($I$32,dry!U36,'as new'!U36,'twice as new'!U36)=0,NA(),CHOOSE($I$32,dry!U36,'as new'!U36,'twice as new'!U36))</f>
        <v>#N/A</v>
      </c>
      <c r="AN99" s="1" t="e">
        <f>IF(CHOOSE($I$32,dry!V36,'as new'!V36,'twice as new'!V36)=0,NA(),CHOOSE($I$32,dry!V36,'as new'!V36,'twice as new'!V36))</f>
        <v>#N/A</v>
      </c>
      <c r="AO99" s="1" t="e">
        <f>IF(CHOOSE($I$32,dry!W36,'as new'!W36,'twice as new'!W36)=0,NA(),CHOOSE($I$32,dry!W36,'as new'!W36,'twice as new'!W36))</f>
        <v>#N/A</v>
      </c>
      <c r="AP99" s="1" t="e">
        <f>IF(CHOOSE($I$32,dry!X36,'as new'!X36,'twice as new'!X36)=0,NA(),CHOOSE($I$32,dry!X36,'as new'!X36,'twice as new'!X36))</f>
        <v>#N/A</v>
      </c>
      <c r="AQ99" s="1" t="e">
        <f>IF(CHOOSE($I$32,dry!Y36,'as new'!Y36,'twice as new'!Y36)=0,NA(),CHOOSE($I$32,dry!Y36,'as new'!Y36,'twice as new'!Y36))</f>
        <v>#N/A</v>
      </c>
      <c r="AR99" s="1" t="e">
        <f>IF(CHOOSE($I$32,dry!Z36,'as new'!Z36,'twice as new'!Z36)=0,NA(),CHOOSE($I$32,dry!Z36,'as new'!Z36,'twice as new'!Z36))</f>
        <v>#N/A</v>
      </c>
      <c r="AS99" s="1" t="e">
        <f>Damped[[#This Row],[fI '[rpm']]]/Damped[[#This Row],[frun '[rpm']]]</f>
        <v>#N/A</v>
      </c>
      <c r="AT99" s="1" t="e">
        <f>Damped[[#This Row],[fII '[rpm']]]/Damped[[#This Row],[frun '[rpm']]]</f>
        <v>#N/A</v>
      </c>
      <c r="AU99" s="1" t="e">
        <f>Damped[[#This Row],[fIII '[rpm']]]/Damped[[#This Row],[frun '[rpm']]]</f>
        <v>#N/A</v>
      </c>
      <c r="AV99" s="1" t="e">
        <f>Damped[[#This Row],[fIV '[rpm']]]/Damped[[#This Row],[frun '[rpm']]]</f>
        <v>#N/A</v>
      </c>
      <c r="AW99" s="1" t="e">
        <f>Damped[[#This Row],[fV '[rpm']]]/Damped[[#This Row],[frun '[rpm']]]</f>
        <v>#N/A</v>
      </c>
      <c r="AX99" s="1" t="e">
        <f>Damped[[#This Row],[fVI '[rpm']]]/Damped[[#This Row],[frun '[rpm']]]</f>
        <v>#N/A</v>
      </c>
      <c r="AY99" s="1" t="e">
        <f>Damped[[#This Row],[fVII '[rpm']]]/Damped[[#This Row],[frun '[rpm']]]</f>
        <v>#N/A</v>
      </c>
      <c r="AZ99" s="1" t="e">
        <f>Damped[[#This Row],[fVIII '[rpm']]]/Damped[[#This Row],[frun '[rpm']]]</f>
        <v>#N/A</v>
      </c>
      <c r="BA99" s="1" t="e">
        <f>Damped[[#This Row],[fIX '[rpm']]]/Damped[[#This Row],[frun '[rpm']]]</f>
        <v>#N/A</v>
      </c>
      <c r="BB99" s="1" t="e">
        <f>Damped[[#This Row],[fX '[rpm']]]/Damped[[#This Row],[frun '[rpm']]]</f>
        <v>#N/A</v>
      </c>
      <c r="BC99" s="1" t="e">
        <f>Damped[[#This Row],[fXI '[rpm']]]/Damped[[#This Row],[frun '[rpm']]]</f>
        <v>#N/A</v>
      </c>
      <c r="BD99" s="1" t="e">
        <f>Damped[[#This Row],[fXII '[rpm']]]/Damped[[#This Row],[frun '[rpm']]]</f>
        <v>#N/A</v>
      </c>
    </row>
    <row r="100" spans="8:56" x14ac:dyDescent="0.25">
      <c r="H100" s="1" t="e" cm="1">
        <f t="array" ref="H100">_xlfn.IFS($I$32=1,IF(ISBLANK(dry!B37),NA(),dry!B37),$I$32=2,IF(ISBLANK('as new'!B37),NA(),'as new'!B37),$I$32=3,IF(ISBLANK('twice as new'!B37),NA(),'twice as new'!B37))</f>
        <v>#N/A</v>
      </c>
      <c r="I100" s="1" t="e">
        <f>Damped[[#This Row],[ξI '[-']]]/API_check(Damped[[#This Row],[fI/frun]])</f>
        <v>#N/A</v>
      </c>
      <c r="J100" s="1" t="e">
        <f>Damped[[#This Row],[ξII '[-']]]/API_check(Damped[[#This Row],[fII/frun]])</f>
        <v>#N/A</v>
      </c>
      <c r="K100" s="1" t="e">
        <f>Damped[[#This Row],[ξIII '[-']]]/API_check(Damped[[#This Row],[fIII/frun]])</f>
        <v>#N/A</v>
      </c>
      <c r="L100" s="1" t="e">
        <f>Damped[[#This Row],[ξIV '[-']]]/API_check(Damped[[#This Row],[fIV/frun]])</f>
        <v>#N/A</v>
      </c>
      <c r="M100" s="1" t="e">
        <f>Damped[[#This Row],[ξV '[-']]]/API_check(Damped[[#This Row],[fV/frun]])</f>
        <v>#N/A</v>
      </c>
      <c r="N100" s="1" t="e">
        <f>Damped[[#This Row],[ξVI '[-']]]/API_check(Damped[[#This Row],[fVI/frun]])</f>
        <v>#N/A</v>
      </c>
      <c r="O100" s="1" t="e">
        <f>Damped[[#This Row],[ξVII '[-']]]/API_check(Damped[[#This Row],[fVII/frun]])</f>
        <v>#N/A</v>
      </c>
      <c r="P100" s="1" t="e">
        <f>Damped[[#This Row],[ξVIII '[-']]]/API_check(Damped[[#This Row],[fVIII/frun]])</f>
        <v>#N/A</v>
      </c>
      <c r="Q100" s="1" t="e">
        <f>Damped[[#This Row],[ξIX '[-']]]/API_check(Damped[[#This Row],[fIX/frun]])</f>
        <v>#N/A</v>
      </c>
      <c r="R100" s="1" t="e">
        <f>Damped[[#This Row],[ξX '[-']]]/API_check(Damped[[#This Row],[fX/frun]])</f>
        <v>#N/A</v>
      </c>
      <c r="S100" s="1" t="e">
        <f>Damped[[#This Row],[ξXI '[-']]]/API_check(Damped[[#This Row],[fXI/frun]])</f>
        <v>#N/A</v>
      </c>
      <c r="T100" s="1" t="e">
        <f>Damped[[#This Row],[ξXII '[-']]]/API_check(Damped[[#This Row],[fXII/frun]])</f>
        <v>#N/A</v>
      </c>
      <c r="U100" s="1" t="e" cm="1">
        <f t="array" ref="U100">_xlfn.IFS($I$32=1,IF(ISBLANK(dry!C37),NA(),dry!C37),$I$32=2,IF(ISBLANK('as new'!C37),NA(),'as new'!C37),$I$32=3,IF(ISBLANK('twice as new'!C37),NA(),'twice as new'!C37))</f>
        <v>#N/A</v>
      </c>
      <c r="V100" s="1" t="e" cm="1">
        <f t="array" ref="V100">_xlfn.IFS($I$32=1,IF(ISBLANK(dry!D37),NA(),dry!D37),$I$32=2,IF(ISBLANK('as new'!D37),NA(),'as new'!D37),$I$32=3,IF(ISBLANK('twice as new'!D37),NA(),'twice as new'!D37))</f>
        <v>#N/A</v>
      </c>
      <c r="W100" s="1" t="e" cm="1">
        <f t="array" ref="W100">_xlfn.IFS($I$32=1,IF(ISBLANK(dry!E37),NA(),dry!E37),$I$32=2,IF(ISBLANK('as new'!E37),NA(),'as new'!E37),$I$32=3,IF(ISBLANK('twice as new'!E37),NA(),'twice as new'!E37))</f>
        <v>#N/A</v>
      </c>
      <c r="X100" s="1" t="e" cm="1">
        <f t="array" ref="X100">_xlfn.IFS($I$32=1,IF(ISBLANK(dry!F37),NA(),dry!F37),$I$32=2,IF(ISBLANK('as new'!F37),NA(),'as new'!F37),$I$32=3,IF(ISBLANK('twice as new'!F37),NA(),'twice as new'!F37))</f>
        <v>#N/A</v>
      </c>
      <c r="Y100" s="1" t="e" cm="1">
        <f t="array" ref="Y100">_xlfn.IFS($I$32=1,IF(ISBLANK(dry!G37),NA(),dry!G37),$I$32=2,IF(ISBLANK('as new'!G37),NA(),'as new'!G37),$I$32=3,IF(ISBLANK('twice as new'!G37),NA(),'twice as new'!G37))</f>
        <v>#N/A</v>
      </c>
      <c r="Z100" s="1" t="e" cm="1">
        <f t="array" ref="Z100">_xlfn.IFS($I$32=1,IF(ISBLANK(dry!H37),NA(),dry!H37),$I$32=2,IF(ISBLANK('as new'!H37),NA(),'as new'!H37),$I$32=3,IF(ISBLANK('twice as new'!H37),NA(),'twice as new'!H37))</f>
        <v>#N/A</v>
      </c>
      <c r="AA100" s="1" t="e" cm="1">
        <f t="array" ref="AA100">_xlfn.IFS($I$32=1,IF(ISBLANK(dry!I37),NA(),dry!I37),$I$32=2,IF(ISBLANK('as new'!I37),NA(),'as new'!I37),$I$32=3,IF(ISBLANK('twice as new'!I37),NA(),'twice as new'!I37))</f>
        <v>#N/A</v>
      </c>
      <c r="AB100" s="1" t="e" cm="1">
        <f t="array" ref="AB100">_xlfn.IFS($I$32=1,IF(ISBLANK(dry!J37),NA(),dry!J37),$I$32=2,IF(ISBLANK('as new'!J37),NA(),'as new'!J37),$I$32=3,IF(ISBLANK('twice as new'!J37),NA(),'twice as new'!J37))</f>
        <v>#N/A</v>
      </c>
      <c r="AC100" s="1" t="e" cm="1">
        <f t="array" ref="AC100">_xlfn.IFS($I$32=1,IF(ISBLANK(dry!K37),NA(),dry!K37),$I$32=2,IF(ISBLANK('as new'!K37),NA(),'as new'!K37),$I$32=3,IF(ISBLANK('twice as new'!K37),NA(),'twice as new'!K37))</f>
        <v>#N/A</v>
      </c>
      <c r="AD100" s="1" t="e" cm="1">
        <f t="array" ref="AD100">_xlfn.IFS($I$32=1,IF(ISBLANK(dry!L37),NA(),dry!L37),$I$32=2,IF(ISBLANK('as new'!L37),NA(),'as new'!L37),$I$32=3,IF(ISBLANK('twice as new'!L37),NA(),'twice as new'!L37))</f>
        <v>#N/A</v>
      </c>
      <c r="AE100" s="1" t="e" cm="1">
        <f t="array" ref="AE100">_xlfn.IFS($I$32=1,IF(ISBLANK(dry!M37),NA(),dry!M37),$I$32=2,IF(ISBLANK('as new'!M37),NA(),'as new'!M37),$I$32=3,IF(ISBLANK('twice as new'!M37),NA(),'twice as new'!M37))</f>
        <v>#N/A</v>
      </c>
      <c r="AF100" s="1" t="e" cm="1">
        <f t="array" ref="AF100">_xlfn.IFS($I$32=1,IF(ISBLANK(dry!N37),NA(),dry!N37),$I$32=2,IF(ISBLANK('as new'!N37),NA(),'as new'!N37),$I$32=3,IF(ISBLANK('twice as new'!N37),NA(),'twice as new'!N37))</f>
        <v>#N/A</v>
      </c>
      <c r="AG100" s="1" t="e" cm="1">
        <f t="array" ref="AG100">_xlfn.IFS($I$32=1,IF(ISBLANK(dry!O37),NA(),dry!O37),$I$32=2,IF(ISBLANK('as new'!O37),NA(),'as new'!O37),$I$32=3,IF(ISBLANK('twice as new'!O37),NA(),'twice as new'!O37))</f>
        <v>#N/A</v>
      </c>
      <c r="AH100" s="1" t="e" cm="1">
        <f t="array" ref="AH100">_xlfn.IFS($I$32=1,IF(ISBLANK(dry!P37),NA(),dry!P37),$I$32=2,IF(ISBLANK('as new'!P37),NA(),'as new'!P37),$I$32=3,IF(ISBLANK('twice as new'!P37),NA(),'twice as new'!P37))</f>
        <v>#N/A</v>
      </c>
      <c r="AI100" s="1" t="e" cm="1">
        <f t="array" ref="AI100">_xlfn.IFS($I$32=1,IF(ISBLANK(dry!Q37),NA(),dry!Q37),$I$32=2,IF(ISBLANK('as new'!Q37),NA(),'as new'!Q37),$I$32=3,IF(ISBLANK('twice as new'!Q37),NA(),'twice as new'!Q37))</f>
        <v>#N/A</v>
      </c>
      <c r="AJ100" s="1" t="e" cm="1">
        <f t="array" ref="AJ100">_xlfn.IFS($I$32=1,IF(ISBLANK(dry!R37),NA(),dry!R37),$I$32=2,IF(ISBLANK('as new'!R37),NA(),'as new'!R37),$I$32=3,IF(ISBLANK('twice as new'!R37),NA(),'twice as new'!R37))</f>
        <v>#N/A</v>
      </c>
      <c r="AK100" s="1" t="e">
        <f>IF(CHOOSE($I$32,dry!S37,'as new'!S37,'twice as new'!S37)=0,NA(),CHOOSE($I$32,dry!S37,'as new'!S37,'twice as new'!S37))</f>
        <v>#N/A</v>
      </c>
      <c r="AL100" s="1" t="e">
        <f>IF(CHOOSE($I$32,dry!T37,'as new'!T37,'twice as new'!T37)=0,NA(),CHOOSE($I$32,dry!T37,'as new'!T37,'twice as new'!T37))</f>
        <v>#N/A</v>
      </c>
      <c r="AM100" s="1" t="e">
        <f>IF(CHOOSE($I$32,dry!U37,'as new'!U37,'twice as new'!U37)=0,NA(),CHOOSE($I$32,dry!U37,'as new'!U37,'twice as new'!U37))</f>
        <v>#N/A</v>
      </c>
      <c r="AN100" s="1" t="e">
        <f>IF(CHOOSE($I$32,dry!V37,'as new'!V37,'twice as new'!V37)=0,NA(),CHOOSE($I$32,dry!V37,'as new'!V37,'twice as new'!V37))</f>
        <v>#N/A</v>
      </c>
      <c r="AO100" s="1" t="e">
        <f>IF(CHOOSE($I$32,dry!W37,'as new'!W37,'twice as new'!W37)=0,NA(),CHOOSE($I$32,dry!W37,'as new'!W37,'twice as new'!W37))</f>
        <v>#N/A</v>
      </c>
      <c r="AP100" s="1" t="e">
        <f>IF(CHOOSE($I$32,dry!X37,'as new'!X37,'twice as new'!X37)=0,NA(),CHOOSE($I$32,dry!X37,'as new'!X37,'twice as new'!X37))</f>
        <v>#N/A</v>
      </c>
      <c r="AQ100" s="1" t="e">
        <f>IF(CHOOSE($I$32,dry!Y37,'as new'!Y37,'twice as new'!Y37)=0,NA(),CHOOSE($I$32,dry!Y37,'as new'!Y37,'twice as new'!Y37))</f>
        <v>#N/A</v>
      </c>
      <c r="AR100" s="1" t="e">
        <f>IF(CHOOSE($I$32,dry!Z37,'as new'!Z37,'twice as new'!Z37)=0,NA(),CHOOSE($I$32,dry!Z37,'as new'!Z37,'twice as new'!Z37))</f>
        <v>#N/A</v>
      </c>
      <c r="AS100" s="1" t="e">
        <f>Damped[[#This Row],[fI '[rpm']]]/Damped[[#This Row],[frun '[rpm']]]</f>
        <v>#N/A</v>
      </c>
      <c r="AT100" s="1" t="e">
        <f>Damped[[#This Row],[fII '[rpm']]]/Damped[[#This Row],[frun '[rpm']]]</f>
        <v>#N/A</v>
      </c>
      <c r="AU100" s="1" t="e">
        <f>Damped[[#This Row],[fIII '[rpm']]]/Damped[[#This Row],[frun '[rpm']]]</f>
        <v>#N/A</v>
      </c>
      <c r="AV100" s="1" t="e">
        <f>Damped[[#This Row],[fIV '[rpm']]]/Damped[[#This Row],[frun '[rpm']]]</f>
        <v>#N/A</v>
      </c>
      <c r="AW100" s="1" t="e">
        <f>Damped[[#This Row],[fV '[rpm']]]/Damped[[#This Row],[frun '[rpm']]]</f>
        <v>#N/A</v>
      </c>
      <c r="AX100" s="1" t="e">
        <f>Damped[[#This Row],[fVI '[rpm']]]/Damped[[#This Row],[frun '[rpm']]]</f>
        <v>#N/A</v>
      </c>
      <c r="AY100" s="1" t="e">
        <f>Damped[[#This Row],[fVII '[rpm']]]/Damped[[#This Row],[frun '[rpm']]]</f>
        <v>#N/A</v>
      </c>
      <c r="AZ100" s="1" t="e">
        <f>Damped[[#This Row],[fVIII '[rpm']]]/Damped[[#This Row],[frun '[rpm']]]</f>
        <v>#N/A</v>
      </c>
      <c r="BA100" s="1" t="e">
        <f>Damped[[#This Row],[fIX '[rpm']]]/Damped[[#This Row],[frun '[rpm']]]</f>
        <v>#N/A</v>
      </c>
      <c r="BB100" s="1" t="e">
        <f>Damped[[#This Row],[fX '[rpm']]]/Damped[[#This Row],[frun '[rpm']]]</f>
        <v>#N/A</v>
      </c>
      <c r="BC100" s="1" t="e">
        <f>Damped[[#This Row],[fXI '[rpm']]]/Damped[[#This Row],[frun '[rpm']]]</f>
        <v>#N/A</v>
      </c>
      <c r="BD100" s="1" t="e">
        <f>Damped[[#This Row],[fXII '[rpm']]]/Damped[[#This Row],[frun '[rpm']]]</f>
        <v>#N/A</v>
      </c>
    </row>
    <row r="101" spans="8:56" x14ac:dyDescent="0.25">
      <c r="H101" s="1" t="e" cm="1">
        <f t="array" ref="H101">_xlfn.IFS($I$32=1,IF(ISBLANK(dry!B38),NA(),dry!B38),$I$32=2,IF(ISBLANK('as new'!B38),NA(),'as new'!B38),$I$32=3,IF(ISBLANK('twice as new'!B38),NA(),'twice as new'!B38))</f>
        <v>#N/A</v>
      </c>
      <c r="I101" s="1" t="e">
        <f>Damped[[#This Row],[ξI '[-']]]/API_check(Damped[[#This Row],[fI/frun]])</f>
        <v>#N/A</v>
      </c>
      <c r="J101" s="1" t="e">
        <f>Damped[[#This Row],[ξII '[-']]]/API_check(Damped[[#This Row],[fII/frun]])</f>
        <v>#N/A</v>
      </c>
      <c r="K101" s="1" t="e">
        <f>Damped[[#This Row],[ξIII '[-']]]/API_check(Damped[[#This Row],[fIII/frun]])</f>
        <v>#N/A</v>
      </c>
      <c r="L101" s="1" t="e">
        <f>Damped[[#This Row],[ξIV '[-']]]/API_check(Damped[[#This Row],[fIV/frun]])</f>
        <v>#N/A</v>
      </c>
      <c r="M101" s="1" t="e">
        <f>Damped[[#This Row],[ξV '[-']]]/API_check(Damped[[#This Row],[fV/frun]])</f>
        <v>#N/A</v>
      </c>
      <c r="N101" s="1" t="e">
        <f>Damped[[#This Row],[ξVI '[-']]]/API_check(Damped[[#This Row],[fVI/frun]])</f>
        <v>#N/A</v>
      </c>
      <c r="O101" s="1" t="e">
        <f>Damped[[#This Row],[ξVII '[-']]]/API_check(Damped[[#This Row],[fVII/frun]])</f>
        <v>#N/A</v>
      </c>
      <c r="P101" s="1" t="e">
        <f>Damped[[#This Row],[ξVIII '[-']]]/API_check(Damped[[#This Row],[fVIII/frun]])</f>
        <v>#N/A</v>
      </c>
      <c r="Q101" s="1" t="e">
        <f>Damped[[#This Row],[ξIX '[-']]]/API_check(Damped[[#This Row],[fIX/frun]])</f>
        <v>#N/A</v>
      </c>
      <c r="R101" s="1" t="e">
        <f>Damped[[#This Row],[ξX '[-']]]/API_check(Damped[[#This Row],[fX/frun]])</f>
        <v>#N/A</v>
      </c>
      <c r="S101" s="1" t="e">
        <f>Damped[[#This Row],[ξXI '[-']]]/API_check(Damped[[#This Row],[fXI/frun]])</f>
        <v>#N/A</v>
      </c>
      <c r="T101" s="1" t="e">
        <f>Damped[[#This Row],[ξXII '[-']]]/API_check(Damped[[#This Row],[fXII/frun]])</f>
        <v>#N/A</v>
      </c>
      <c r="U101" s="1" t="e" cm="1">
        <f t="array" ref="U101">_xlfn.IFS($I$32=1,IF(ISBLANK(dry!C38),NA(),dry!C38),$I$32=2,IF(ISBLANK('as new'!C38),NA(),'as new'!C38),$I$32=3,IF(ISBLANK('twice as new'!C38),NA(),'twice as new'!C38))</f>
        <v>#N/A</v>
      </c>
      <c r="V101" s="1" t="e" cm="1">
        <f t="array" ref="V101">_xlfn.IFS($I$32=1,IF(ISBLANK(dry!D38),NA(),dry!D38),$I$32=2,IF(ISBLANK('as new'!D38),NA(),'as new'!D38),$I$32=3,IF(ISBLANK('twice as new'!D38),NA(),'twice as new'!D38))</f>
        <v>#N/A</v>
      </c>
      <c r="W101" s="1" t="e" cm="1">
        <f t="array" ref="W101">_xlfn.IFS($I$32=1,IF(ISBLANK(dry!E38),NA(),dry!E38),$I$32=2,IF(ISBLANK('as new'!E38),NA(),'as new'!E38),$I$32=3,IF(ISBLANK('twice as new'!E38),NA(),'twice as new'!E38))</f>
        <v>#N/A</v>
      </c>
      <c r="X101" s="1" t="e" cm="1">
        <f t="array" ref="X101">_xlfn.IFS($I$32=1,IF(ISBLANK(dry!F38),NA(),dry!F38),$I$32=2,IF(ISBLANK('as new'!F38),NA(),'as new'!F38),$I$32=3,IF(ISBLANK('twice as new'!F38),NA(),'twice as new'!F38))</f>
        <v>#N/A</v>
      </c>
      <c r="Y101" s="1" t="e" cm="1">
        <f t="array" ref="Y101">_xlfn.IFS($I$32=1,IF(ISBLANK(dry!G38),NA(),dry!G38),$I$32=2,IF(ISBLANK('as new'!G38),NA(),'as new'!G38),$I$32=3,IF(ISBLANK('twice as new'!G38),NA(),'twice as new'!G38))</f>
        <v>#N/A</v>
      </c>
      <c r="Z101" s="1" t="e" cm="1">
        <f t="array" ref="Z101">_xlfn.IFS($I$32=1,IF(ISBLANK(dry!H38),NA(),dry!H38),$I$32=2,IF(ISBLANK('as new'!H38),NA(),'as new'!H38),$I$32=3,IF(ISBLANK('twice as new'!H38),NA(),'twice as new'!H38))</f>
        <v>#N/A</v>
      </c>
      <c r="AA101" s="1" t="e" cm="1">
        <f t="array" ref="AA101">_xlfn.IFS($I$32=1,IF(ISBLANK(dry!I38),NA(),dry!I38),$I$32=2,IF(ISBLANK('as new'!I38),NA(),'as new'!I38),$I$32=3,IF(ISBLANK('twice as new'!I38),NA(),'twice as new'!I38))</f>
        <v>#N/A</v>
      </c>
      <c r="AB101" s="1" t="e" cm="1">
        <f t="array" ref="AB101">_xlfn.IFS($I$32=1,IF(ISBLANK(dry!J38),NA(),dry!J38),$I$32=2,IF(ISBLANK('as new'!J38),NA(),'as new'!J38),$I$32=3,IF(ISBLANK('twice as new'!J38),NA(),'twice as new'!J38))</f>
        <v>#N/A</v>
      </c>
      <c r="AC101" s="1" t="e" cm="1">
        <f t="array" ref="AC101">_xlfn.IFS($I$32=1,IF(ISBLANK(dry!K38),NA(),dry!K38),$I$32=2,IF(ISBLANK('as new'!K38),NA(),'as new'!K38),$I$32=3,IF(ISBLANK('twice as new'!K38),NA(),'twice as new'!K38))</f>
        <v>#N/A</v>
      </c>
      <c r="AD101" s="1" t="e" cm="1">
        <f t="array" ref="AD101">_xlfn.IFS($I$32=1,IF(ISBLANK(dry!L38),NA(),dry!L38),$I$32=2,IF(ISBLANK('as new'!L38),NA(),'as new'!L38),$I$32=3,IF(ISBLANK('twice as new'!L38),NA(),'twice as new'!L38))</f>
        <v>#N/A</v>
      </c>
      <c r="AE101" s="1" t="e" cm="1">
        <f t="array" ref="AE101">_xlfn.IFS($I$32=1,IF(ISBLANK(dry!M38),NA(),dry!M38),$I$32=2,IF(ISBLANK('as new'!M38),NA(),'as new'!M38),$I$32=3,IF(ISBLANK('twice as new'!M38),NA(),'twice as new'!M38))</f>
        <v>#N/A</v>
      </c>
      <c r="AF101" s="1" t="e" cm="1">
        <f t="array" ref="AF101">_xlfn.IFS($I$32=1,IF(ISBLANK(dry!N38),NA(),dry!N38),$I$32=2,IF(ISBLANK('as new'!N38),NA(),'as new'!N38),$I$32=3,IF(ISBLANK('twice as new'!N38),NA(),'twice as new'!N38))</f>
        <v>#N/A</v>
      </c>
      <c r="AG101" s="1" t="e" cm="1">
        <f t="array" ref="AG101">_xlfn.IFS($I$32=1,IF(ISBLANK(dry!O38),NA(),dry!O38),$I$32=2,IF(ISBLANK('as new'!O38),NA(),'as new'!O38),$I$32=3,IF(ISBLANK('twice as new'!O38),NA(),'twice as new'!O38))</f>
        <v>#N/A</v>
      </c>
      <c r="AH101" s="1" t="e" cm="1">
        <f t="array" ref="AH101">_xlfn.IFS($I$32=1,IF(ISBLANK(dry!P38),NA(),dry!P38),$I$32=2,IF(ISBLANK('as new'!P38),NA(),'as new'!P38),$I$32=3,IF(ISBLANK('twice as new'!P38),NA(),'twice as new'!P38))</f>
        <v>#N/A</v>
      </c>
      <c r="AI101" s="1" t="e" cm="1">
        <f t="array" ref="AI101">_xlfn.IFS($I$32=1,IF(ISBLANK(dry!Q38),NA(),dry!Q38),$I$32=2,IF(ISBLANK('as new'!Q38),NA(),'as new'!Q38),$I$32=3,IF(ISBLANK('twice as new'!Q38),NA(),'twice as new'!Q38))</f>
        <v>#N/A</v>
      </c>
      <c r="AJ101" s="1" t="e" cm="1">
        <f t="array" ref="AJ101">_xlfn.IFS($I$32=1,IF(ISBLANK(dry!R38),NA(),dry!R38),$I$32=2,IF(ISBLANK('as new'!R38),NA(),'as new'!R38),$I$32=3,IF(ISBLANK('twice as new'!R38),NA(),'twice as new'!R38))</f>
        <v>#N/A</v>
      </c>
      <c r="AK101" s="1" t="e">
        <f>IF(CHOOSE($I$32,dry!S38,'as new'!S38,'twice as new'!S38)=0,NA(),CHOOSE($I$32,dry!S38,'as new'!S38,'twice as new'!S38))</f>
        <v>#N/A</v>
      </c>
      <c r="AL101" s="1" t="e">
        <f>IF(CHOOSE($I$32,dry!T38,'as new'!T38,'twice as new'!T38)=0,NA(),CHOOSE($I$32,dry!T38,'as new'!T38,'twice as new'!T38))</f>
        <v>#N/A</v>
      </c>
      <c r="AM101" s="1" t="e">
        <f>IF(CHOOSE($I$32,dry!U38,'as new'!U38,'twice as new'!U38)=0,NA(),CHOOSE($I$32,dry!U38,'as new'!U38,'twice as new'!U38))</f>
        <v>#N/A</v>
      </c>
      <c r="AN101" s="1" t="e">
        <f>IF(CHOOSE($I$32,dry!V38,'as new'!V38,'twice as new'!V38)=0,NA(),CHOOSE($I$32,dry!V38,'as new'!V38,'twice as new'!V38))</f>
        <v>#N/A</v>
      </c>
      <c r="AO101" s="1" t="e">
        <f>IF(CHOOSE($I$32,dry!W38,'as new'!W38,'twice as new'!W38)=0,NA(),CHOOSE($I$32,dry!W38,'as new'!W38,'twice as new'!W38))</f>
        <v>#N/A</v>
      </c>
      <c r="AP101" s="1" t="e">
        <f>IF(CHOOSE($I$32,dry!X38,'as new'!X38,'twice as new'!X38)=0,NA(),CHOOSE($I$32,dry!X38,'as new'!X38,'twice as new'!X38))</f>
        <v>#N/A</v>
      </c>
      <c r="AQ101" s="1" t="e">
        <f>IF(CHOOSE($I$32,dry!Y38,'as new'!Y38,'twice as new'!Y38)=0,NA(),CHOOSE($I$32,dry!Y38,'as new'!Y38,'twice as new'!Y38))</f>
        <v>#N/A</v>
      </c>
      <c r="AR101" s="1" t="e">
        <f>IF(CHOOSE($I$32,dry!Z38,'as new'!Z38,'twice as new'!Z38)=0,NA(),CHOOSE($I$32,dry!Z38,'as new'!Z38,'twice as new'!Z38))</f>
        <v>#N/A</v>
      </c>
      <c r="AS101" s="1" t="e">
        <f>Damped[[#This Row],[fI '[rpm']]]/Damped[[#This Row],[frun '[rpm']]]</f>
        <v>#N/A</v>
      </c>
      <c r="AT101" s="1" t="e">
        <f>Damped[[#This Row],[fII '[rpm']]]/Damped[[#This Row],[frun '[rpm']]]</f>
        <v>#N/A</v>
      </c>
      <c r="AU101" s="1" t="e">
        <f>Damped[[#This Row],[fIII '[rpm']]]/Damped[[#This Row],[frun '[rpm']]]</f>
        <v>#N/A</v>
      </c>
      <c r="AV101" s="1" t="e">
        <f>Damped[[#This Row],[fIV '[rpm']]]/Damped[[#This Row],[frun '[rpm']]]</f>
        <v>#N/A</v>
      </c>
      <c r="AW101" s="1" t="e">
        <f>Damped[[#This Row],[fV '[rpm']]]/Damped[[#This Row],[frun '[rpm']]]</f>
        <v>#N/A</v>
      </c>
      <c r="AX101" s="1" t="e">
        <f>Damped[[#This Row],[fVI '[rpm']]]/Damped[[#This Row],[frun '[rpm']]]</f>
        <v>#N/A</v>
      </c>
      <c r="AY101" s="1" t="e">
        <f>Damped[[#This Row],[fVII '[rpm']]]/Damped[[#This Row],[frun '[rpm']]]</f>
        <v>#N/A</v>
      </c>
      <c r="AZ101" s="1" t="e">
        <f>Damped[[#This Row],[fVIII '[rpm']]]/Damped[[#This Row],[frun '[rpm']]]</f>
        <v>#N/A</v>
      </c>
      <c r="BA101" s="1" t="e">
        <f>Damped[[#This Row],[fIX '[rpm']]]/Damped[[#This Row],[frun '[rpm']]]</f>
        <v>#N/A</v>
      </c>
      <c r="BB101" s="1" t="e">
        <f>Damped[[#This Row],[fX '[rpm']]]/Damped[[#This Row],[frun '[rpm']]]</f>
        <v>#N/A</v>
      </c>
      <c r="BC101" s="1" t="e">
        <f>Damped[[#This Row],[fXI '[rpm']]]/Damped[[#This Row],[frun '[rpm']]]</f>
        <v>#N/A</v>
      </c>
      <c r="BD101" s="1" t="e">
        <f>Damped[[#This Row],[fXII '[rpm']]]/Damped[[#This Row],[frun '[rpm']]]</f>
        <v>#N/A</v>
      </c>
    </row>
    <row r="102" spans="8:56" x14ac:dyDescent="0.25">
      <c r="H102" s="1" t="e" cm="1">
        <f t="array" ref="H102">_xlfn.IFS($I$32=1,IF(ISBLANK(dry!B39),NA(),dry!B39),$I$32=2,IF(ISBLANK('as new'!B39),NA(),'as new'!B39),$I$32=3,IF(ISBLANK('twice as new'!B39),NA(),'twice as new'!B39))</f>
        <v>#N/A</v>
      </c>
      <c r="I102" s="1" t="e">
        <f>Damped[[#This Row],[ξI '[-']]]/API_check(Damped[[#This Row],[fI/frun]])</f>
        <v>#N/A</v>
      </c>
      <c r="J102" s="1" t="e">
        <f>Damped[[#This Row],[ξII '[-']]]/API_check(Damped[[#This Row],[fII/frun]])</f>
        <v>#N/A</v>
      </c>
      <c r="K102" s="1" t="e">
        <f>Damped[[#This Row],[ξIII '[-']]]/API_check(Damped[[#This Row],[fIII/frun]])</f>
        <v>#N/A</v>
      </c>
      <c r="L102" s="1" t="e">
        <f>Damped[[#This Row],[ξIV '[-']]]/API_check(Damped[[#This Row],[fIV/frun]])</f>
        <v>#N/A</v>
      </c>
      <c r="M102" s="1" t="e">
        <f>Damped[[#This Row],[ξV '[-']]]/API_check(Damped[[#This Row],[fV/frun]])</f>
        <v>#N/A</v>
      </c>
      <c r="N102" s="1" t="e">
        <f>Damped[[#This Row],[ξVI '[-']]]/API_check(Damped[[#This Row],[fVI/frun]])</f>
        <v>#N/A</v>
      </c>
      <c r="O102" s="1" t="e">
        <f>Damped[[#This Row],[ξVII '[-']]]/API_check(Damped[[#This Row],[fVII/frun]])</f>
        <v>#N/A</v>
      </c>
      <c r="P102" s="1" t="e">
        <f>Damped[[#This Row],[ξVIII '[-']]]/API_check(Damped[[#This Row],[fVIII/frun]])</f>
        <v>#N/A</v>
      </c>
      <c r="Q102" s="1" t="e">
        <f>Damped[[#This Row],[ξIX '[-']]]/API_check(Damped[[#This Row],[fIX/frun]])</f>
        <v>#N/A</v>
      </c>
      <c r="R102" s="1" t="e">
        <f>Damped[[#This Row],[ξX '[-']]]/API_check(Damped[[#This Row],[fX/frun]])</f>
        <v>#N/A</v>
      </c>
      <c r="S102" s="1" t="e">
        <f>Damped[[#This Row],[ξXI '[-']]]/API_check(Damped[[#This Row],[fXI/frun]])</f>
        <v>#N/A</v>
      </c>
      <c r="T102" s="1" t="e">
        <f>Damped[[#This Row],[ξXII '[-']]]/API_check(Damped[[#This Row],[fXII/frun]])</f>
        <v>#N/A</v>
      </c>
      <c r="U102" s="1" t="e" cm="1">
        <f t="array" ref="U102">_xlfn.IFS($I$32=1,IF(ISBLANK(dry!C39),NA(),dry!C39),$I$32=2,IF(ISBLANK('as new'!C39),NA(),'as new'!C39),$I$32=3,IF(ISBLANK('twice as new'!C39),NA(),'twice as new'!C39))</f>
        <v>#N/A</v>
      </c>
      <c r="V102" s="1" t="e" cm="1">
        <f t="array" ref="V102">_xlfn.IFS($I$32=1,IF(ISBLANK(dry!D39),NA(),dry!D39),$I$32=2,IF(ISBLANK('as new'!D39),NA(),'as new'!D39),$I$32=3,IF(ISBLANK('twice as new'!D39),NA(),'twice as new'!D39))</f>
        <v>#N/A</v>
      </c>
      <c r="W102" s="1" t="e" cm="1">
        <f t="array" ref="W102">_xlfn.IFS($I$32=1,IF(ISBLANK(dry!E39),NA(),dry!E39),$I$32=2,IF(ISBLANK('as new'!E39),NA(),'as new'!E39),$I$32=3,IF(ISBLANK('twice as new'!E39),NA(),'twice as new'!E39))</f>
        <v>#N/A</v>
      </c>
      <c r="X102" s="1" t="e" cm="1">
        <f t="array" ref="X102">_xlfn.IFS($I$32=1,IF(ISBLANK(dry!F39),NA(),dry!F39),$I$32=2,IF(ISBLANK('as new'!F39),NA(),'as new'!F39),$I$32=3,IF(ISBLANK('twice as new'!F39),NA(),'twice as new'!F39))</f>
        <v>#N/A</v>
      </c>
      <c r="Y102" s="1" t="e" cm="1">
        <f t="array" ref="Y102">_xlfn.IFS($I$32=1,IF(ISBLANK(dry!G39),NA(),dry!G39),$I$32=2,IF(ISBLANK('as new'!G39),NA(),'as new'!G39),$I$32=3,IF(ISBLANK('twice as new'!G39),NA(),'twice as new'!G39))</f>
        <v>#N/A</v>
      </c>
      <c r="Z102" s="1" t="e" cm="1">
        <f t="array" ref="Z102">_xlfn.IFS($I$32=1,IF(ISBLANK(dry!H39),NA(),dry!H39),$I$32=2,IF(ISBLANK('as new'!H39),NA(),'as new'!H39),$I$32=3,IF(ISBLANK('twice as new'!H39),NA(),'twice as new'!H39))</f>
        <v>#N/A</v>
      </c>
      <c r="AA102" s="1" t="e" cm="1">
        <f t="array" ref="AA102">_xlfn.IFS($I$32=1,IF(ISBLANK(dry!I39),NA(),dry!I39),$I$32=2,IF(ISBLANK('as new'!I39),NA(),'as new'!I39),$I$32=3,IF(ISBLANK('twice as new'!I39),NA(),'twice as new'!I39))</f>
        <v>#N/A</v>
      </c>
      <c r="AB102" s="1" t="e" cm="1">
        <f t="array" ref="AB102">_xlfn.IFS($I$32=1,IF(ISBLANK(dry!J39),NA(),dry!J39),$I$32=2,IF(ISBLANK('as new'!J39),NA(),'as new'!J39),$I$32=3,IF(ISBLANK('twice as new'!J39),NA(),'twice as new'!J39))</f>
        <v>#N/A</v>
      </c>
      <c r="AC102" s="1" t="e" cm="1">
        <f t="array" ref="AC102">_xlfn.IFS($I$32=1,IF(ISBLANK(dry!K39),NA(),dry!K39),$I$32=2,IF(ISBLANK('as new'!K39),NA(),'as new'!K39),$I$32=3,IF(ISBLANK('twice as new'!K39),NA(),'twice as new'!K39))</f>
        <v>#N/A</v>
      </c>
      <c r="AD102" s="1" t="e" cm="1">
        <f t="array" ref="AD102">_xlfn.IFS($I$32=1,IF(ISBLANK(dry!L39),NA(),dry!L39),$I$32=2,IF(ISBLANK('as new'!L39),NA(),'as new'!L39),$I$32=3,IF(ISBLANK('twice as new'!L39),NA(),'twice as new'!L39))</f>
        <v>#N/A</v>
      </c>
      <c r="AE102" s="1" t="e" cm="1">
        <f t="array" ref="AE102">_xlfn.IFS($I$32=1,IF(ISBLANK(dry!M39),NA(),dry!M39),$I$32=2,IF(ISBLANK('as new'!M39),NA(),'as new'!M39),$I$32=3,IF(ISBLANK('twice as new'!M39),NA(),'twice as new'!M39))</f>
        <v>#N/A</v>
      </c>
      <c r="AF102" s="1" t="e" cm="1">
        <f t="array" ref="AF102">_xlfn.IFS($I$32=1,IF(ISBLANK(dry!N39),NA(),dry!N39),$I$32=2,IF(ISBLANK('as new'!N39),NA(),'as new'!N39),$I$32=3,IF(ISBLANK('twice as new'!N39),NA(),'twice as new'!N39))</f>
        <v>#N/A</v>
      </c>
      <c r="AG102" s="1" t="e" cm="1">
        <f t="array" ref="AG102">_xlfn.IFS($I$32=1,IF(ISBLANK(dry!O39),NA(),dry!O39),$I$32=2,IF(ISBLANK('as new'!O39),NA(),'as new'!O39),$I$32=3,IF(ISBLANK('twice as new'!O39),NA(),'twice as new'!O39))</f>
        <v>#N/A</v>
      </c>
      <c r="AH102" s="1" t="e" cm="1">
        <f t="array" ref="AH102">_xlfn.IFS($I$32=1,IF(ISBLANK(dry!P39),NA(),dry!P39),$I$32=2,IF(ISBLANK('as new'!P39),NA(),'as new'!P39),$I$32=3,IF(ISBLANK('twice as new'!P39),NA(),'twice as new'!P39))</f>
        <v>#N/A</v>
      </c>
      <c r="AI102" s="1" t="e" cm="1">
        <f t="array" ref="AI102">_xlfn.IFS($I$32=1,IF(ISBLANK(dry!Q39),NA(),dry!Q39),$I$32=2,IF(ISBLANK('as new'!Q39),NA(),'as new'!Q39),$I$32=3,IF(ISBLANK('twice as new'!Q39),NA(),'twice as new'!Q39))</f>
        <v>#N/A</v>
      </c>
      <c r="AJ102" s="1" t="e" cm="1">
        <f t="array" ref="AJ102">_xlfn.IFS($I$32=1,IF(ISBLANK(dry!R39),NA(),dry!R39),$I$32=2,IF(ISBLANK('as new'!R39),NA(),'as new'!R39),$I$32=3,IF(ISBLANK('twice as new'!R39),NA(),'twice as new'!R39))</f>
        <v>#N/A</v>
      </c>
      <c r="AK102" s="1" t="e">
        <f>IF(CHOOSE($I$32,dry!S39,'as new'!S39,'twice as new'!S39)=0,NA(),CHOOSE($I$32,dry!S39,'as new'!S39,'twice as new'!S39))</f>
        <v>#N/A</v>
      </c>
      <c r="AL102" s="1" t="e">
        <f>IF(CHOOSE($I$32,dry!T39,'as new'!T39,'twice as new'!T39)=0,NA(),CHOOSE($I$32,dry!T39,'as new'!T39,'twice as new'!T39))</f>
        <v>#N/A</v>
      </c>
      <c r="AM102" s="1" t="e">
        <f>IF(CHOOSE($I$32,dry!U39,'as new'!U39,'twice as new'!U39)=0,NA(),CHOOSE($I$32,dry!U39,'as new'!U39,'twice as new'!U39))</f>
        <v>#N/A</v>
      </c>
      <c r="AN102" s="1" t="e">
        <f>IF(CHOOSE($I$32,dry!V39,'as new'!V39,'twice as new'!V39)=0,NA(),CHOOSE($I$32,dry!V39,'as new'!V39,'twice as new'!V39))</f>
        <v>#N/A</v>
      </c>
      <c r="AO102" s="1" t="e">
        <f>IF(CHOOSE($I$32,dry!W39,'as new'!W39,'twice as new'!W39)=0,NA(),CHOOSE($I$32,dry!W39,'as new'!W39,'twice as new'!W39))</f>
        <v>#N/A</v>
      </c>
      <c r="AP102" s="1" t="e">
        <f>IF(CHOOSE($I$32,dry!X39,'as new'!X39,'twice as new'!X39)=0,NA(),CHOOSE($I$32,dry!X39,'as new'!X39,'twice as new'!X39))</f>
        <v>#N/A</v>
      </c>
      <c r="AQ102" s="1" t="e">
        <f>IF(CHOOSE($I$32,dry!Y39,'as new'!Y39,'twice as new'!Y39)=0,NA(),CHOOSE($I$32,dry!Y39,'as new'!Y39,'twice as new'!Y39))</f>
        <v>#N/A</v>
      </c>
      <c r="AR102" s="1" t="e">
        <f>IF(CHOOSE($I$32,dry!Z39,'as new'!Z39,'twice as new'!Z39)=0,NA(),CHOOSE($I$32,dry!Z39,'as new'!Z39,'twice as new'!Z39))</f>
        <v>#N/A</v>
      </c>
      <c r="AS102" s="1" t="e">
        <f>Damped[[#This Row],[fI '[rpm']]]/Damped[[#This Row],[frun '[rpm']]]</f>
        <v>#N/A</v>
      </c>
      <c r="AT102" s="1" t="e">
        <f>Damped[[#This Row],[fII '[rpm']]]/Damped[[#This Row],[frun '[rpm']]]</f>
        <v>#N/A</v>
      </c>
      <c r="AU102" s="1" t="e">
        <f>Damped[[#This Row],[fIII '[rpm']]]/Damped[[#This Row],[frun '[rpm']]]</f>
        <v>#N/A</v>
      </c>
      <c r="AV102" s="1" t="e">
        <f>Damped[[#This Row],[fIV '[rpm']]]/Damped[[#This Row],[frun '[rpm']]]</f>
        <v>#N/A</v>
      </c>
      <c r="AW102" s="1" t="e">
        <f>Damped[[#This Row],[fV '[rpm']]]/Damped[[#This Row],[frun '[rpm']]]</f>
        <v>#N/A</v>
      </c>
      <c r="AX102" s="1" t="e">
        <f>Damped[[#This Row],[fVI '[rpm']]]/Damped[[#This Row],[frun '[rpm']]]</f>
        <v>#N/A</v>
      </c>
      <c r="AY102" s="1" t="e">
        <f>Damped[[#This Row],[fVII '[rpm']]]/Damped[[#This Row],[frun '[rpm']]]</f>
        <v>#N/A</v>
      </c>
      <c r="AZ102" s="1" t="e">
        <f>Damped[[#This Row],[fVIII '[rpm']]]/Damped[[#This Row],[frun '[rpm']]]</f>
        <v>#N/A</v>
      </c>
      <c r="BA102" s="1" t="e">
        <f>Damped[[#This Row],[fIX '[rpm']]]/Damped[[#This Row],[frun '[rpm']]]</f>
        <v>#N/A</v>
      </c>
      <c r="BB102" s="1" t="e">
        <f>Damped[[#This Row],[fX '[rpm']]]/Damped[[#This Row],[frun '[rpm']]]</f>
        <v>#N/A</v>
      </c>
      <c r="BC102" s="1" t="e">
        <f>Damped[[#This Row],[fXI '[rpm']]]/Damped[[#This Row],[frun '[rpm']]]</f>
        <v>#N/A</v>
      </c>
      <c r="BD102" s="1" t="e">
        <f>Damped[[#This Row],[fXII '[rpm']]]/Damped[[#This Row],[frun '[rpm']]]</f>
        <v>#N/A</v>
      </c>
    </row>
    <row r="103" spans="8:56" x14ac:dyDescent="0.25">
      <c r="H103" s="1" t="e" cm="1">
        <f t="array" ref="H103">_xlfn.IFS($I$32=1,IF(ISBLANK(dry!B40),NA(),dry!B40),$I$32=2,IF(ISBLANK('as new'!B40),NA(),'as new'!B40),$I$32=3,IF(ISBLANK('twice as new'!B40),NA(),'twice as new'!B40))</f>
        <v>#N/A</v>
      </c>
      <c r="I103" s="1" t="e">
        <f>Damped[[#This Row],[ξI '[-']]]/API_check(Damped[[#This Row],[fI/frun]])</f>
        <v>#N/A</v>
      </c>
      <c r="J103" s="1" t="e">
        <f>Damped[[#This Row],[ξII '[-']]]/API_check(Damped[[#This Row],[fII/frun]])</f>
        <v>#N/A</v>
      </c>
      <c r="K103" s="1" t="e">
        <f>Damped[[#This Row],[ξIII '[-']]]/API_check(Damped[[#This Row],[fIII/frun]])</f>
        <v>#N/A</v>
      </c>
      <c r="L103" s="1" t="e">
        <f>Damped[[#This Row],[ξIV '[-']]]/API_check(Damped[[#This Row],[fIV/frun]])</f>
        <v>#N/A</v>
      </c>
      <c r="M103" s="1" t="e">
        <f>Damped[[#This Row],[ξV '[-']]]/API_check(Damped[[#This Row],[fV/frun]])</f>
        <v>#N/A</v>
      </c>
      <c r="N103" s="1" t="e">
        <f>Damped[[#This Row],[ξVI '[-']]]/API_check(Damped[[#This Row],[fVI/frun]])</f>
        <v>#N/A</v>
      </c>
      <c r="O103" s="1" t="e">
        <f>Damped[[#This Row],[ξVII '[-']]]/API_check(Damped[[#This Row],[fVII/frun]])</f>
        <v>#N/A</v>
      </c>
      <c r="P103" s="1" t="e">
        <f>Damped[[#This Row],[ξVIII '[-']]]/API_check(Damped[[#This Row],[fVIII/frun]])</f>
        <v>#N/A</v>
      </c>
      <c r="Q103" s="1" t="e">
        <f>Damped[[#This Row],[ξIX '[-']]]/API_check(Damped[[#This Row],[fIX/frun]])</f>
        <v>#N/A</v>
      </c>
      <c r="R103" s="1" t="e">
        <f>Damped[[#This Row],[ξX '[-']]]/API_check(Damped[[#This Row],[fX/frun]])</f>
        <v>#N/A</v>
      </c>
      <c r="S103" s="1" t="e">
        <f>Damped[[#This Row],[ξXI '[-']]]/API_check(Damped[[#This Row],[fXI/frun]])</f>
        <v>#N/A</v>
      </c>
      <c r="T103" s="1" t="e">
        <f>Damped[[#This Row],[ξXII '[-']]]/API_check(Damped[[#This Row],[fXII/frun]])</f>
        <v>#N/A</v>
      </c>
      <c r="U103" s="1" t="e" cm="1">
        <f t="array" ref="U103">_xlfn.IFS($I$32=1,IF(ISBLANK(dry!C40),NA(),dry!C40),$I$32=2,IF(ISBLANK('as new'!C40),NA(),'as new'!C40),$I$32=3,IF(ISBLANK('twice as new'!C40),NA(),'twice as new'!C40))</f>
        <v>#N/A</v>
      </c>
      <c r="V103" s="1" t="e" cm="1">
        <f t="array" ref="V103">_xlfn.IFS($I$32=1,IF(ISBLANK(dry!D40),NA(),dry!D40),$I$32=2,IF(ISBLANK('as new'!D40),NA(),'as new'!D40),$I$32=3,IF(ISBLANK('twice as new'!D40),NA(),'twice as new'!D40))</f>
        <v>#N/A</v>
      </c>
      <c r="W103" s="1" t="e" cm="1">
        <f t="array" ref="W103">_xlfn.IFS($I$32=1,IF(ISBLANK(dry!E40),NA(),dry!E40),$I$32=2,IF(ISBLANK('as new'!E40),NA(),'as new'!E40),$I$32=3,IF(ISBLANK('twice as new'!E40),NA(),'twice as new'!E40))</f>
        <v>#N/A</v>
      </c>
      <c r="X103" s="1" t="e" cm="1">
        <f t="array" ref="X103">_xlfn.IFS($I$32=1,IF(ISBLANK(dry!F40),NA(),dry!F40),$I$32=2,IF(ISBLANK('as new'!F40),NA(),'as new'!F40),$I$32=3,IF(ISBLANK('twice as new'!F40),NA(),'twice as new'!F40))</f>
        <v>#N/A</v>
      </c>
      <c r="Y103" s="1" t="e" cm="1">
        <f t="array" ref="Y103">_xlfn.IFS($I$32=1,IF(ISBLANK(dry!G40),NA(),dry!G40),$I$32=2,IF(ISBLANK('as new'!G40),NA(),'as new'!G40),$I$32=3,IF(ISBLANK('twice as new'!G40),NA(),'twice as new'!G40))</f>
        <v>#N/A</v>
      </c>
      <c r="Z103" s="1" t="e" cm="1">
        <f t="array" ref="Z103">_xlfn.IFS($I$32=1,IF(ISBLANK(dry!H40),NA(),dry!H40),$I$32=2,IF(ISBLANK('as new'!H40),NA(),'as new'!H40),$I$32=3,IF(ISBLANK('twice as new'!H40),NA(),'twice as new'!H40))</f>
        <v>#N/A</v>
      </c>
      <c r="AA103" s="1" t="e" cm="1">
        <f t="array" ref="AA103">_xlfn.IFS($I$32=1,IF(ISBLANK(dry!I40),NA(),dry!I40),$I$32=2,IF(ISBLANK('as new'!I40),NA(),'as new'!I40),$I$32=3,IF(ISBLANK('twice as new'!I40),NA(),'twice as new'!I40))</f>
        <v>#N/A</v>
      </c>
      <c r="AB103" s="1" t="e" cm="1">
        <f t="array" ref="AB103">_xlfn.IFS($I$32=1,IF(ISBLANK(dry!J40),NA(),dry!J40),$I$32=2,IF(ISBLANK('as new'!J40),NA(),'as new'!J40),$I$32=3,IF(ISBLANK('twice as new'!J40),NA(),'twice as new'!J40))</f>
        <v>#N/A</v>
      </c>
      <c r="AC103" s="1" t="e" cm="1">
        <f t="array" ref="AC103">_xlfn.IFS($I$32=1,IF(ISBLANK(dry!K40),NA(),dry!K40),$I$32=2,IF(ISBLANK('as new'!K40),NA(),'as new'!K40),$I$32=3,IF(ISBLANK('twice as new'!K40),NA(),'twice as new'!K40))</f>
        <v>#N/A</v>
      </c>
      <c r="AD103" s="1" t="e" cm="1">
        <f t="array" ref="AD103">_xlfn.IFS($I$32=1,IF(ISBLANK(dry!L40),NA(),dry!L40),$I$32=2,IF(ISBLANK('as new'!L40),NA(),'as new'!L40),$I$32=3,IF(ISBLANK('twice as new'!L40),NA(),'twice as new'!L40))</f>
        <v>#N/A</v>
      </c>
      <c r="AE103" s="1" t="e" cm="1">
        <f t="array" ref="AE103">_xlfn.IFS($I$32=1,IF(ISBLANK(dry!M40),NA(),dry!M40),$I$32=2,IF(ISBLANK('as new'!M40),NA(),'as new'!M40),$I$32=3,IF(ISBLANK('twice as new'!M40),NA(),'twice as new'!M40))</f>
        <v>#N/A</v>
      </c>
      <c r="AF103" s="1" t="e" cm="1">
        <f t="array" ref="AF103">_xlfn.IFS($I$32=1,IF(ISBLANK(dry!N40),NA(),dry!N40),$I$32=2,IF(ISBLANK('as new'!N40),NA(),'as new'!N40),$I$32=3,IF(ISBLANK('twice as new'!N40),NA(),'twice as new'!N40))</f>
        <v>#N/A</v>
      </c>
      <c r="AG103" s="1" t="e" cm="1">
        <f t="array" ref="AG103">_xlfn.IFS($I$32=1,IF(ISBLANK(dry!O40),NA(),dry!O40),$I$32=2,IF(ISBLANK('as new'!O40),NA(),'as new'!O40),$I$32=3,IF(ISBLANK('twice as new'!O40),NA(),'twice as new'!O40))</f>
        <v>#N/A</v>
      </c>
      <c r="AH103" s="1" t="e" cm="1">
        <f t="array" ref="AH103">_xlfn.IFS($I$32=1,IF(ISBLANK(dry!P40),NA(),dry!P40),$I$32=2,IF(ISBLANK('as new'!P40),NA(),'as new'!P40),$I$32=3,IF(ISBLANK('twice as new'!P40),NA(),'twice as new'!P40))</f>
        <v>#N/A</v>
      </c>
      <c r="AI103" s="1" t="e" cm="1">
        <f t="array" ref="AI103">_xlfn.IFS($I$32=1,IF(ISBLANK(dry!Q40),NA(),dry!Q40),$I$32=2,IF(ISBLANK('as new'!Q40),NA(),'as new'!Q40),$I$32=3,IF(ISBLANK('twice as new'!Q40),NA(),'twice as new'!Q40))</f>
        <v>#N/A</v>
      </c>
      <c r="AJ103" s="1" t="e" cm="1">
        <f t="array" ref="AJ103">_xlfn.IFS($I$32=1,IF(ISBLANK(dry!R40),NA(),dry!R40),$I$32=2,IF(ISBLANK('as new'!R40),NA(),'as new'!R40),$I$32=3,IF(ISBLANK('twice as new'!R40),NA(),'twice as new'!R40))</f>
        <v>#N/A</v>
      </c>
      <c r="AK103" s="1" t="e">
        <f>IF(CHOOSE($I$32,dry!S40,'as new'!S40,'twice as new'!S40)=0,NA(),CHOOSE($I$32,dry!S40,'as new'!S40,'twice as new'!S40))</f>
        <v>#N/A</v>
      </c>
      <c r="AL103" s="1" t="e">
        <f>IF(CHOOSE($I$32,dry!T40,'as new'!T40,'twice as new'!T40)=0,NA(),CHOOSE($I$32,dry!T40,'as new'!T40,'twice as new'!T40))</f>
        <v>#N/A</v>
      </c>
      <c r="AM103" s="1" t="e">
        <f>IF(CHOOSE($I$32,dry!U40,'as new'!U40,'twice as new'!U40)=0,NA(),CHOOSE($I$32,dry!U40,'as new'!U40,'twice as new'!U40))</f>
        <v>#N/A</v>
      </c>
      <c r="AN103" s="1" t="e">
        <f>IF(CHOOSE($I$32,dry!V40,'as new'!V40,'twice as new'!V40)=0,NA(),CHOOSE($I$32,dry!V40,'as new'!V40,'twice as new'!V40))</f>
        <v>#N/A</v>
      </c>
      <c r="AO103" s="1" t="e">
        <f>IF(CHOOSE($I$32,dry!W40,'as new'!W40,'twice as new'!W40)=0,NA(),CHOOSE($I$32,dry!W40,'as new'!W40,'twice as new'!W40))</f>
        <v>#N/A</v>
      </c>
      <c r="AP103" s="1" t="e">
        <f>IF(CHOOSE($I$32,dry!X40,'as new'!X40,'twice as new'!X40)=0,NA(),CHOOSE($I$32,dry!X40,'as new'!X40,'twice as new'!X40))</f>
        <v>#N/A</v>
      </c>
      <c r="AQ103" s="1" t="e">
        <f>IF(CHOOSE($I$32,dry!Y40,'as new'!Y40,'twice as new'!Y40)=0,NA(),CHOOSE($I$32,dry!Y40,'as new'!Y40,'twice as new'!Y40))</f>
        <v>#N/A</v>
      </c>
      <c r="AR103" s="1" t="e">
        <f>IF(CHOOSE($I$32,dry!Z40,'as new'!Z40,'twice as new'!Z40)=0,NA(),CHOOSE($I$32,dry!Z40,'as new'!Z40,'twice as new'!Z40))</f>
        <v>#N/A</v>
      </c>
      <c r="AS103" s="1" t="e">
        <f>Damped[[#This Row],[fI '[rpm']]]/Damped[[#This Row],[frun '[rpm']]]</f>
        <v>#N/A</v>
      </c>
      <c r="AT103" s="1" t="e">
        <f>Damped[[#This Row],[fII '[rpm']]]/Damped[[#This Row],[frun '[rpm']]]</f>
        <v>#N/A</v>
      </c>
      <c r="AU103" s="1" t="e">
        <f>Damped[[#This Row],[fIII '[rpm']]]/Damped[[#This Row],[frun '[rpm']]]</f>
        <v>#N/A</v>
      </c>
      <c r="AV103" s="1" t="e">
        <f>Damped[[#This Row],[fIV '[rpm']]]/Damped[[#This Row],[frun '[rpm']]]</f>
        <v>#N/A</v>
      </c>
      <c r="AW103" s="1" t="e">
        <f>Damped[[#This Row],[fV '[rpm']]]/Damped[[#This Row],[frun '[rpm']]]</f>
        <v>#N/A</v>
      </c>
      <c r="AX103" s="1" t="e">
        <f>Damped[[#This Row],[fVI '[rpm']]]/Damped[[#This Row],[frun '[rpm']]]</f>
        <v>#N/A</v>
      </c>
      <c r="AY103" s="1" t="e">
        <f>Damped[[#This Row],[fVII '[rpm']]]/Damped[[#This Row],[frun '[rpm']]]</f>
        <v>#N/A</v>
      </c>
      <c r="AZ103" s="1" t="e">
        <f>Damped[[#This Row],[fVIII '[rpm']]]/Damped[[#This Row],[frun '[rpm']]]</f>
        <v>#N/A</v>
      </c>
      <c r="BA103" s="1" t="e">
        <f>Damped[[#This Row],[fIX '[rpm']]]/Damped[[#This Row],[frun '[rpm']]]</f>
        <v>#N/A</v>
      </c>
      <c r="BB103" s="1" t="e">
        <f>Damped[[#This Row],[fX '[rpm']]]/Damped[[#This Row],[frun '[rpm']]]</f>
        <v>#N/A</v>
      </c>
      <c r="BC103" s="1" t="e">
        <f>Damped[[#This Row],[fXI '[rpm']]]/Damped[[#This Row],[frun '[rpm']]]</f>
        <v>#N/A</v>
      </c>
      <c r="BD103" s="1" t="e">
        <f>Damped[[#This Row],[fXII '[rpm']]]/Damped[[#This Row],[frun '[rpm']]]</f>
        <v>#N/A</v>
      </c>
    </row>
    <row r="104" spans="8:56" x14ac:dyDescent="0.25">
      <c r="H104" s="1" t="e" cm="1">
        <f t="array" ref="H104">_xlfn.IFS($I$32=1,IF(ISBLANK(dry!B41),NA(),dry!B41),$I$32=2,IF(ISBLANK('as new'!B41),NA(),'as new'!B41),$I$32=3,IF(ISBLANK('twice as new'!B41),NA(),'twice as new'!B41))</f>
        <v>#N/A</v>
      </c>
      <c r="I104" s="1" t="e">
        <f>Damped[[#This Row],[ξI '[-']]]/API_check(Damped[[#This Row],[fI/frun]])</f>
        <v>#N/A</v>
      </c>
      <c r="J104" s="1" t="e">
        <f>Damped[[#This Row],[ξII '[-']]]/API_check(Damped[[#This Row],[fII/frun]])</f>
        <v>#N/A</v>
      </c>
      <c r="K104" s="1" t="e">
        <f>Damped[[#This Row],[ξIII '[-']]]/API_check(Damped[[#This Row],[fIII/frun]])</f>
        <v>#N/A</v>
      </c>
      <c r="L104" s="1" t="e">
        <f>Damped[[#This Row],[ξIV '[-']]]/API_check(Damped[[#This Row],[fIV/frun]])</f>
        <v>#N/A</v>
      </c>
      <c r="M104" s="1" t="e">
        <f>Damped[[#This Row],[ξV '[-']]]/API_check(Damped[[#This Row],[fV/frun]])</f>
        <v>#N/A</v>
      </c>
      <c r="N104" s="1" t="e">
        <f>Damped[[#This Row],[ξVI '[-']]]/API_check(Damped[[#This Row],[fVI/frun]])</f>
        <v>#N/A</v>
      </c>
      <c r="O104" s="1" t="e">
        <f>Damped[[#This Row],[ξVII '[-']]]/API_check(Damped[[#This Row],[fVII/frun]])</f>
        <v>#N/A</v>
      </c>
      <c r="P104" s="1" t="e">
        <f>Damped[[#This Row],[ξVIII '[-']]]/API_check(Damped[[#This Row],[fVIII/frun]])</f>
        <v>#N/A</v>
      </c>
      <c r="Q104" s="1" t="e">
        <f>Damped[[#This Row],[ξIX '[-']]]/API_check(Damped[[#This Row],[fIX/frun]])</f>
        <v>#N/A</v>
      </c>
      <c r="R104" s="1" t="e">
        <f>Damped[[#This Row],[ξX '[-']]]/API_check(Damped[[#This Row],[fX/frun]])</f>
        <v>#N/A</v>
      </c>
      <c r="S104" s="1" t="e">
        <f>Damped[[#This Row],[ξXI '[-']]]/API_check(Damped[[#This Row],[fXI/frun]])</f>
        <v>#N/A</v>
      </c>
      <c r="T104" s="1" t="e">
        <f>Damped[[#This Row],[ξXII '[-']]]/API_check(Damped[[#This Row],[fXII/frun]])</f>
        <v>#N/A</v>
      </c>
      <c r="U104" s="1" t="e" cm="1">
        <f t="array" ref="U104">_xlfn.IFS($I$32=1,IF(ISBLANK(dry!C41),NA(),dry!C41),$I$32=2,IF(ISBLANK('as new'!C41),NA(),'as new'!C41),$I$32=3,IF(ISBLANK('twice as new'!C41),NA(),'twice as new'!C41))</f>
        <v>#N/A</v>
      </c>
      <c r="V104" s="1" t="e" cm="1">
        <f t="array" ref="V104">_xlfn.IFS($I$32=1,IF(ISBLANK(dry!D41),NA(),dry!D41),$I$32=2,IF(ISBLANK('as new'!D41),NA(),'as new'!D41),$I$32=3,IF(ISBLANK('twice as new'!D41),NA(),'twice as new'!D41))</f>
        <v>#N/A</v>
      </c>
      <c r="W104" s="1" t="e" cm="1">
        <f t="array" ref="W104">_xlfn.IFS($I$32=1,IF(ISBLANK(dry!E41),NA(),dry!E41),$I$32=2,IF(ISBLANK('as new'!E41),NA(),'as new'!E41),$I$32=3,IF(ISBLANK('twice as new'!E41),NA(),'twice as new'!E41))</f>
        <v>#N/A</v>
      </c>
      <c r="X104" s="1" t="e" cm="1">
        <f t="array" ref="X104">_xlfn.IFS($I$32=1,IF(ISBLANK(dry!F41),NA(),dry!F41),$I$32=2,IF(ISBLANK('as new'!F41),NA(),'as new'!F41),$I$32=3,IF(ISBLANK('twice as new'!F41),NA(),'twice as new'!F41))</f>
        <v>#N/A</v>
      </c>
      <c r="Y104" s="1" t="e" cm="1">
        <f t="array" ref="Y104">_xlfn.IFS($I$32=1,IF(ISBLANK(dry!G41),NA(),dry!G41),$I$32=2,IF(ISBLANK('as new'!G41),NA(),'as new'!G41),$I$32=3,IF(ISBLANK('twice as new'!G41),NA(),'twice as new'!G41))</f>
        <v>#N/A</v>
      </c>
      <c r="Z104" s="1" t="e" cm="1">
        <f t="array" ref="Z104">_xlfn.IFS($I$32=1,IF(ISBLANK(dry!H41),NA(),dry!H41),$I$32=2,IF(ISBLANK('as new'!H41),NA(),'as new'!H41),$I$32=3,IF(ISBLANK('twice as new'!H41),NA(),'twice as new'!H41))</f>
        <v>#N/A</v>
      </c>
      <c r="AA104" s="1" t="e" cm="1">
        <f t="array" ref="AA104">_xlfn.IFS($I$32=1,IF(ISBLANK(dry!I41),NA(),dry!I41),$I$32=2,IF(ISBLANK('as new'!I41),NA(),'as new'!I41),$I$32=3,IF(ISBLANK('twice as new'!I41),NA(),'twice as new'!I41))</f>
        <v>#N/A</v>
      </c>
      <c r="AB104" s="1" t="e" cm="1">
        <f t="array" ref="AB104">_xlfn.IFS($I$32=1,IF(ISBLANK(dry!J41),NA(),dry!J41),$I$32=2,IF(ISBLANK('as new'!J41),NA(),'as new'!J41),$I$32=3,IF(ISBLANK('twice as new'!J41),NA(),'twice as new'!J41))</f>
        <v>#N/A</v>
      </c>
      <c r="AC104" s="1" t="e" cm="1">
        <f t="array" ref="AC104">_xlfn.IFS($I$32=1,IF(ISBLANK(dry!K41),NA(),dry!K41),$I$32=2,IF(ISBLANK('as new'!K41),NA(),'as new'!K41),$I$32=3,IF(ISBLANK('twice as new'!K41),NA(),'twice as new'!K41))</f>
        <v>#N/A</v>
      </c>
      <c r="AD104" s="1" t="e" cm="1">
        <f t="array" ref="AD104">_xlfn.IFS($I$32=1,IF(ISBLANK(dry!L41),NA(),dry!L41),$I$32=2,IF(ISBLANK('as new'!L41),NA(),'as new'!L41),$I$32=3,IF(ISBLANK('twice as new'!L41),NA(),'twice as new'!L41))</f>
        <v>#N/A</v>
      </c>
      <c r="AE104" s="1" t="e" cm="1">
        <f t="array" ref="AE104">_xlfn.IFS($I$32=1,IF(ISBLANK(dry!M41),NA(),dry!M41),$I$32=2,IF(ISBLANK('as new'!M41),NA(),'as new'!M41),$I$32=3,IF(ISBLANK('twice as new'!M41),NA(),'twice as new'!M41))</f>
        <v>#N/A</v>
      </c>
      <c r="AF104" s="1" t="e" cm="1">
        <f t="array" ref="AF104">_xlfn.IFS($I$32=1,IF(ISBLANK(dry!N41),NA(),dry!N41),$I$32=2,IF(ISBLANK('as new'!N41),NA(),'as new'!N41),$I$32=3,IF(ISBLANK('twice as new'!N41),NA(),'twice as new'!N41))</f>
        <v>#N/A</v>
      </c>
      <c r="AG104" s="1" t="e" cm="1">
        <f t="array" ref="AG104">_xlfn.IFS($I$32=1,IF(ISBLANK(dry!O41),NA(),dry!O41),$I$32=2,IF(ISBLANK('as new'!O41),NA(),'as new'!O41),$I$32=3,IF(ISBLANK('twice as new'!O41),NA(),'twice as new'!O41))</f>
        <v>#N/A</v>
      </c>
      <c r="AH104" s="1" t="e" cm="1">
        <f t="array" ref="AH104">_xlfn.IFS($I$32=1,IF(ISBLANK(dry!P41),NA(),dry!P41),$I$32=2,IF(ISBLANK('as new'!P41),NA(),'as new'!P41),$I$32=3,IF(ISBLANK('twice as new'!P41),NA(),'twice as new'!P41))</f>
        <v>#N/A</v>
      </c>
      <c r="AI104" s="1" t="e" cm="1">
        <f t="array" ref="AI104">_xlfn.IFS($I$32=1,IF(ISBLANK(dry!Q41),NA(),dry!Q41),$I$32=2,IF(ISBLANK('as new'!Q41),NA(),'as new'!Q41),$I$32=3,IF(ISBLANK('twice as new'!Q41),NA(),'twice as new'!Q41))</f>
        <v>#N/A</v>
      </c>
      <c r="AJ104" s="1" t="e" cm="1">
        <f t="array" ref="AJ104">_xlfn.IFS($I$32=1,IF(ISBLANK(dry!R41),NA(),dry!R41),$I$32=2,IF(ISBLANK('as new'!R41),NA(),'as new'!R41),$I$32=3,IF(ISBLANK('twice as new'!R41),NA(),'twice as new'!R41))</f>
        <v>#N/A</v>
      </c>
      <c r="AK104" s="1" t="e">
        <f>IF(CHOOSE($I$32,dry!S41,'as new'!S41,'twice as new'!S41)=0,NA(),CHOOSE($I$32,dry!S41,'as new'!S41,'twice as new'!S41))</f>
        <v>#N/A</v>
      </c>
      <c r="AL104" s="1" t="e">
        <f>IF(CHOOSE($I$32,dry!T41,'as new'!T41,'twice as new'!T41)=0,NA(),CHOOSE($I$32,dry!T41,'as new'!T41,'twice as new'!T41))</f>
        <v>#N/A</v>
      </c>
      <c r="AM104" s="1" t="e">
        <f>IF(CHOOSE($I$32,dry!U41,'as new'!U41,'twice as new'!U41)=0,NA(),CHOOSE($I$32,dry!U41,'as new'!U41,'twice as new'!U41))</f>
        <v>#N/A</v>
      </c>
      <c r="AN104" s="1" t="e">
        <f>IF(CHOOSE($I$32,dry!V41,'as new'!V41,'twice as new'!V41)=0,NA(),CHOOSE($I$32,dry!V41,'as new'!V41,'twice as new'!V41))</f>
        <v>#N/A</v>
      </c>
      <c r="AO104" s="1" t="e">
        <f>IF(CHOOSE($I$32,dry!W41,'as new'!W41,'twice as new'!W41)=0,NA(),CHOOSE($I$32,dry!W41,'as new'!W41,'twice as new'!W41))</f>
        <v>#N/A</v>
      </c>
      <c r="AP104" s="1" t="e">
        <f>IF(CHOOSE($I$32,dry!X41,'as new'!X41,'twice as new'!X41)=0,NA(),CHOOSE($I$32,dry!X41,'as new'!X41,'twice as new'!X41))</f>
        <v>#N/A</v>
      </c>
      <c r="AQ104" s="1" t="e">
        <f>IF(CHOOSE($I$32,dry!Y41,'as new'!Y41,'twice as new'!Y41)=0,NA(),CHOOSE($I$32,dry!Y41,'as new'!Y41,'twice as new'!Y41))</f>
        <v>#N/A</v>
      </c>
      <c r="AR104" s="1" t="e">
        <f>IF(CHOOSE($I$32,dry!Z41,'as new'!Z41,'twice as new'!Z41)=0,NA(),CHOOSE($I$32,dry!Z41,'as new'!Z41,'twice as new'!Z41))</f>
        <v>#N/A</v>
      </c>
      <c r="AS104" s="1" t="e">
        <f>Damped[[#This Row],[fI '[rpm']]]/Damped[[#This Row],[frun '[rpm']]]</f>
        <v>#N/A</v>
      </c>
      <c r="AT104" s="1" t="e">
        <f>Damped[[#This Row],[fII '[rpm']]]/Damped[[#This Row],[frun '[rpm']]]</f>
        <v>#N/A</v>
      </c>
      <c r="AU104" s="1" t="e">
        <f>Damped[[#This Row],[fIII '[rpm']]]/Damped[[#This Row],[frun '[rpm']]]</f>
        <v>#N/A</v>
      </c>
      <c r="AV104" s="1" t="e">
        <f>Damped[[#This Row],[fIV '[rpm']]]/Damped[[#This Row],[frun '[rpm']]]</f>
        <v>#N/A</v>
      </c>
      <c r="AW104" s="1" t="e">
        <f>Damped[[#This Row],[fV '[rpm']]]/Damped[[#This Row],[frun '[rpm']]]</f>
        <v>#N/A</v>
      </c>
      <c r="AX104" s="1" t="e">
        <f>Damped[[#This Row],[fVI '[rpm']]]/Damped[[#This Row],[frun '[rpm']]]</f>
        <v>#N/A</v>
      </c>
      <c r="AY104" s="1" t="e">
        <f>Damped[[#This Row],[fVII '[rpm']]]/Damped[[#This Row],[frun '[rpm']]]</f>
        <v>#N/A</v>
      </c>
      <c r="AZ104" s="1" t="e">
        <f>Damped[[#This Row],[fVIII '[rpm']]]/Damped[[#This Row],[frun '[rpm']]]</f>
        <v>#N/A</v>
      </c>
      <c r="BA104" s="1" t="e">
        <f>Damped[[#This Row],[fIX '[rpm']]]/Damped[[#This Row],[frun '[rpm']]]</f>
        <v>#N/A</v>
      </c>
      <c r="BB104" s="1" t="e">
        <f>Damped[[#This Row],[fX '[rpm']]]/Damped[[#This Row],[frun '[rpm']]]</f>
        <v>#N/A</v>
      </c>
      <c r="BC104" s="1" t="e">
        <f>Damped[[#This Row],[fXI '[rpm']]]/Damped[[#This Row],[frun '[rpm']]]</f>
        <v>#N/A</v>
      </c>
      <c r="BD104" s="1" t="e">
        <f>Damped[[#This Row],[fXII '[rpm']]]/Damped[[#This Row],[frun '[rpm']]]</f>
        <v>#N/A</v>
      </c>
    </row>
    <row r="105" spans="8:56" x14ac:dyDescent="0.25">
      <c r="H105" s="1" t="e" cm="1">
        <f t="array" ref="H105">_xlfn.IFS($I$32=1,IF(ISBLANK(dry!B42),NA(),dry!B42),$I$32=2,IF(ISBLANK('as new'!B42),NA(),'as new'!B42),$I$32=3,IF(ISBLANK('twice as new'!B42),NA(),'twice as new'!B42))</f>
        <v>#N/A</v>
      </c>
      <c r="I105" s="1" t="e">
        <f>Damped[[#This Row],[ξI '[-']]]/API_check(Damped[[#This Row],[fI/frun]])</f>
        <v>#N/A</v>
      </c>
      <c r="J105" s="1" t="e">
        <f>Damped[[#This Row],[ξII '[-']]]/API_check(Damped[[#This Row],[fII/frun]])</f>
        <v>#N/A</v>
      </c>
      <c r="K105" s="1" t="e">
        <f>Damped[[#This Row],[ξIII '[-']]]/API_check(Damped[[#This Row],[fIII/frun]])</f>
        <v>#N/A</v>
      </c>
      <c r="L105" s="1" t="e">
        <f>Damped[[#This Row],[ξIV '[-']]]/API_check(Damped[[#This Row],[fIV/frun]])</f>
        <v>#N/A</v>
      </c>
      <c r="M105" s="1" t="e">
        <f>Damped[[#This Row],[ξV '[-']]]/API_check(Damped[[#This Row],[fV/frun]])</f>
        <v>#N/A</v>
      </c>
      <c r="N105" s="1" t="e">
        <f>Damped[[#This Row],[ξVI '[-']]]/API_check(Damped[[#This Row],[fVI/frun]])</f>
        <v>#N/A</v>
      </c>
      <c r="O105" s="1" t="e">
        <f>Damped[[#This Row],[ξVII '[-']]]/API_check(Damped[[#This Row],[fVII/frun]])</f>
        <v>#N/A</v>
      </c>
      <c r="P105" s="1" t="e">
        <f>Damped[[#This Row],[ξVIII '[-']]]/API_check(Damped[[#This Row],[fVIII/frun]])</f>
        <v>#N/A</v>
      </c>
      <c r="Q105" s="1" t="e">
        <f>Damped[[#This Row],[ξIX '[-']]]/API_check(Damped[[#This Row],[fIX/frun]])</f>
        <v>#N/A</v>
      </c>
      <c r="R105" s="1" t="e">
        <f>Damped[[#This Row],[ξX '[-']]]/API_check(Damped[[#This Row],[fX/frun]])</f>
        <v>#N/A</v>
      </c>
      <c r="S105" s="1" t="e">
        <f>Damped[[#This Row],[ξXI '[-']]]/API_check(Damped[[#This Row],[fXI/frun]])</f>
        <v>#N/A</v>
      </c>
      <c r="T105" s="1" t="e">
        <f>Damped[[#This Row],[ξXII '[-']]]/API_check(Damped[[#This Row],[fXII/frun]])</f>
        <v>#N/A</v>
      </c>
      <c r="U105" s="1" t="e" cm="1">
        <f t="array" ref="U105">_xlfn.IFS($I$32=1,IF(ISBLANK(dry!C42),NA(),dry!C42),$I$32=2,IF(ISBLANK('as new'!C42),NA(),'as new'!C42),$I$32=3,IF(ISBLANK('twice as new'!C42),NA(),'twice as new'!C42))</f>
        <v>#N/A</v>
      </c>
      <c r="V105" s="1" t="e" cm="1">
        <f t="array" ref="V105">_xlfn.IFS($I$32=1,IF(ISBLANK(dry!D42),NA(),dry!D42),$I$32=2,IF(ISBLANK('as new'!D42),NA(),'as new'!D42),$I$32=3,IF(ISBLANK('twice as new'!D42),NA(),'twice as new'!D42))</f>
        <v>#N/A</v>
      </c>
      <c r="W105" s="1" t="e" cm="1">
        <f t="array" ref="W105">_xlfn.IFS($I$32=1,IF(ISBLANK(dry!E42),NA(),dry!E42),$I$32=2,IF(ISBLANK('as new'!E42),NA(),'as new'!E42),$I$32=3,IF(ISBLANK('twice as new'!E42),NA(),'twice as new'!E42))</f>
        <v>#N/A</v>
      </c>
      <c r="X105" s="1" t="e" cm="1">
        <f t="array" ref="X105">_xlfn.IFS($I$32=1,IF(ISBLANK(dry!F42),NA(),dry!F42),$I$32=2,IF(ISBLANK('as new'!F42),NA(),'as new'!F42),$I$32=3,IF(ISBLANK('twice as new'!F42),NA(),'twice as new'!F42))</f>
        <v>#N/A</v>
      </c>
      <c r="Y105" s="1" t="e" cm="1">
        <f t="array" ref="Y105">_xlfn.IFS($I$32=1,IF(ISBLANK(dry!G42),NA(),dry!G42),$I$32=2,IF(ISBLANK('as new'!G42),NA(),'as new'!G42),$I$32=3,IF(ISBLANK('twice as new'!G42),NA(),'twice as new'!G42))</f>
        <v>#N/A</v>
      </c>
      <c r="Z105" s="1" t="e" cm="1">
        <f t="array" ref="Z105">_xlfn.IFS($I$32=1,IF(ISBLANK(dry!H42),NA(),dry!H42),$I$32=2,IF(ISBLANK('as new'!H42),NA(),'as new'!H42),$I$32=3,IF(ISBLANK('twice as new'!H42),NA(),'twice as new'!H42))</f>
        <v>#N/A</v>
      </c>
      <c r="AA105" s="1" t="e" cm="1">
        <f t="array" ref="AA105">_xlfn.IFS($I$32=1,IF(ISBLANK(dry!I42),NA(),dry!I42),$I$32=2,IF(ISBLANK('as new'!I42),NA(),'as new'!I42),$I$32=3,IF(ISBLANK('twice as new'!I42),NA(),'twice as new'!I42))</f>
        <v>#N/A</v>
      </c>
      <c r="AB105" s="1" t="e" cm="1">
        <f t="array" ref="AB105">_xlfn.IFS($I$32=1,IF(ISBLANK(dry!J42),NA(),dry!J42),$I$32=2,IF(ISBLANK('as new'!J42),NA(),'as new'!J42),$I$32=3,IF(ISBLANK('twice as new'!J42),NA(),'twice as new'!J42))</f>
        <v>#N/A</v>
      </c>
      <c r="AC105" s="1" t="e" cm="1">
        <f t="array" ref="AC105">_xlfn.IFS($I$32=1,IF(ISBLANK(dry!K42),NA(),dry!K42),$I$32=2,IF(ISBLANK('as new'!K42),NA(),'as new'!K42),$I$32=3,IF(ISBLANK('twice as new'!K42),NA(),'twice as new'!K42))</f>
        <v>#N/A</v>
      </c>
      <c r="AD105" s="1" t="e" cm="1">
        <f t="array" ref="AD105">_xlfn.IFS($I$32=1,IF(ISBLANK(dry!L42),NA(),dry!L42),$I$32=2,IF(ISBLANK('as new'!L42),NA(),'as new'!L42),$I$32=3,IF(ISBLANK('twice as new'!L42),NA(),'twice as new'!L42))</f>
        <v>#N/A</v>
      </c>
      <c r="AE105" s="1" t="e" cm="1">
        <f t="array" ref="AE105">_xlfn.IFS($I$32=1,IF(ISBLANK(dry!M42),NA(),dry!M42),$I$32=2,IF(ISBLANK('as new'!M42),NA(),'as new'!M42),$I$32=3,IF(ISBLANK('twice as new'!M42),NA(),'twice as new'!M42))</f>
        <v>#N/A</v>
      </c>
      <c r="AF105" s="1" t="e" cm="1">
        <f t="array" ref="AF105">_xlfn.IFS($I$32=1,IF(ISBLANK(dry!N42),NA(),dry!N42),$I$32=2,IF(ISBLANK('as new'!N42),NA(),'as new'!N42),$I$32=3,IF(ISBLANK('twice as new'!N42),NA(),'twice as new'!N42))</f>
        <v>#N/A</v>
      </c>
      <c r="AG105" s="1" t="e" cm="1">
        <f t="array" ref="AG105">_xlfn.IFS($I$32=1,IF(ISBLANK(dry!O42),NA(),dry!O42),$I$32=2,IF(ISBLANK('as new'!O42),NA(),'as new'!O42),$I$32=3,IF(ISBLANK('twice as new'!O42),NA(),'twice as new'!O42))</f>
        <v>#N/A</v>
      </c>
      <c r="AH105" s="1" t="e" cm="1">
        <f t="array" ref="AH105">_xlfn.IFS($I$32=1,IF(ISBLANK(dry!P42),NA(),dry!P42),$I$32=2,IF(ISBLANK('as new'!P42),NA(),'as new'!P42),$I$32=3,IF(ISBLANK('twice as new'!P42),NA(),'twice as new'!P42))</f>
        <v>#N/A</v>
      </c>
      <c r="AI105" s="1" t="e" cm="1">
        <f t="array" ref="AI105">_xlfn.IFS($I$32=1,IF(ISBLANK(dry!Q42),NA(),dry!Q42),$I$32=2,IF(ISBLANK('as new'!Q42),NA(),'as new'!Q42),$I$32=3,IF(ISBLANK('twice as new'!Q42),NA(),'twice as new'!Q42))</f>
        <v>#N/A</v>
      </c>
      <c r="AJ105" s="1" t="e" cm="1">
        <f t="array" ref="AJ105">_xlfn.IFS($I$32=1,IF(ISBLANK(dry!R42),NA(),dry!R42),$I$32=2,IF(ISBLANK('as new'!R42),NA(),'as new'!R42),$I$32=3,IF(ISBLANK('twice as new'!R42),NA(),'twice as new'!R42))</f>
        <v>#N/A</v>
      </c>
      <c r="AK105" s="1" t="e">
        <f>IF(CHOOSE($I$32,dry!S42,'as new'!S42,'twice as new'!S42)=0,NA(),CHOOSE($I$32,dry!S42,'as new'!S42,'twice as new'!S42))</f>
        <v>#N/A</v>
      </c>
      <c r="AL105" s="1" t="e">
        <f>IF(CHOOSE($I$32,dry!T42,'as new'!T42,'twice as new'!T42)=0,NA(),CHOOSE($I$32,dry!T42,'as new'!T42,'twice as new'!T42))</f>
        <v>#N/A</v>
      </c>
      <c r="AM105" s="1" t="e">
        <f>IF(CHOOSE($I$32,dry!U42,'as new'!U42,'twice as new'!U42)=0,NA(),CHOOSE($I$32,dry!U42,'as new'!U42,'twice as new'!U42))</f>
        <v>#N/A</v>
      </c>
      <c r="AN105" s="1" t="e">
        <f>IF(CHOOSE($I$32,dry!V42,'as new'!V42,'twice as new'!V42)=0,NA(),CHOOSE($I$32,dry!V42,'as new'!V42,'twice as new'!V42))</f>
        <v>#N/A</v>
      </c>
      <c r="AO105" s="1" t="e">
        <f>IF(CHOOSE($I$32,dry!W42,'as new'!W42,'twice as new'!W42)=0,NA(),CHOOSE($I$32,dry!W42,'as new'!W42,'twice as new'!W42))</f>
        <v>#N/A</v>
      </c>
      <c r="AP105" s="1" t="e">
        <f>IF(CHOOSE($I$32,dry!X42,'as new'!X42,'twice as new'!X42)=0,NA(),CHOOSE($I$32,dry!X42,'as new'!X42,'twice as new'!X42))</f>
        <v>#N/A</v>
      </c>
      <c r="AQ105" s="1" t="e">
        <f>IF(CHOOSE($I$32,dry!Y42,'as new'!Y42,'twice as new'!Y42)=0,NA(),CHOOSE($I$32,dry!Y42,'as new'!Y42,'twice as new'!Y42))</f>
        <v>#N/A</v>
      </c>
      <c r="AR105" s="1" t="e">
        <f>IF(CHOOSE($I$32,dry!Z42,'as new'!Z42,'twice as new'!Z42)=0,NA(),CHOOSE($I$32,dry!Z42,'as new'!Z42,'twice as new'!Z42))</f>
        <v>#N/A</v>
      </c>
      <c r="AS105" s="1" t="e">
        <f>Damped[[#This Row],[fI '[rpm']]]/Damped[[#This Row],[frun '[rpm']]]</f>
        <v>#N/A</v>
      </c>
      <c r="AT105" s="1" t="e">
        <f>Damped[[#This Row],[fII '[rpm']]]/Damped[[#This Row],[frun '[rpm']]]</f>
        <v>#N/A</v>
      </c>
      <c r="AU105" s="1" t="e">
        <f>Damped[[#This Row],[fIII '[rpm']]]/Damped[[#This Row],[frun '[rpm']]]</f>
        <v>#N/A</v>
      </c>
      <c r="AV105" s="1" t="e">
        <f>Damped[[#This Row],[fIV '[rpm']]]/Damped[[#This Row],[frun '[rpm']]]</f>
        <v>#N/A</v>
      </c>
      <c r="AW105" s="1" t="e">
        <f>Damped[[#This Row],[fV '[rpm']]]/Damped[[#This Row],[frun '[rpm']]]</f>
        <v>#N/A</v>
      </c>
      <c r="AX105" s="1" t="e">
        <f>Damped[[#This Row],[fVI '[rpm']]]/Damped[[#This Row],[frun '[rpm']]]</f>
        <v>#N/A</v>
      </c>
      <c r="AY105" s="1" t="e">
        <f>Damped[[#This Row],[fVII '[rpm']]]/Damped[[#This Row],[frun '[rpm']]]</f>
        <v>#N/A</v>
      </c>
      <c r="AZ105" s="1" t="e">
        <f>Damped[[#This Row],[fVIII '[rpm']]]/Damped[[#This Row],[frun '[rpm']]]</f>
        <v>#N/A</v>
      </c>
      <c r="BA105" s="1" t="e">
        <f>Damped[[#This Row],[fIX '[rpm']]]/Damped[[#This Row],[frun '[rpm']]]</f>
        <v>#N/A</v>
      </c>
      <c r="BB105" s="1" t="e">
        <f>Damped[[#This Row],[fX '[rpm']]]/Damped[[#This Row],[frun '[rpm']]]</f>
        <v>#N/A</v>
      </c>
      <c r="BC105" s="1" t="e">
        <f>Damped[[#This Row],[fXI '[rpm']]]/Damped[[#This Row],[frun '[rpm']]]</f>
        <v>#N/A</v>
      </c>
      <c r="BD105" s="1" t="e">
        <f>Damped[[#This Row],[fXII '[rpm']]]/Damped[[#This Row],[frun '[rpm']]]</f>
        <v>#N/A</v>
      </c>
    </row>
    <row r="106" spans="8:56" x14ac:dyDescent="0.25">
      <c r="H106" s="1" t="e" cm="1">
        <f t="array" ref="H106">_xlfn.IFS($I$32=1,IF(ISBLANK(dry!B43),NA(),dry!B43),$I$32=2,IF(ISBLANK('as new'!B43),NA(),'as new'!B43),$I$32=3,IF(ISBLANK('twice as new'!B43),NA(),'twice as new'!B43))</f>
        <v>#N/A</v>
      </c>
      <c r="I106" s="1" t="e">
        <f>Damped[[#This Row],[ξI '[-']]]/API_check(Damped[[#This Row],[fI/frun]])</f>
        <v>#N/A</v>
      </c>
      <c r="J106" s="1" t="e">
        <f>Damped[[#This Row],[ξII '[-']]]/API_check(Damped[[#This Row],[fII/frun]])</f>
        <v>#N/A</v>
      </c>
      <c r="K106" s="1" t="e">
        <f>Damped[[#This Row],[ξIII '[-']]]/API_check(Damped[[#This Row],[fIII/frun]])</f>
        <v>#N/A</v>
      </c>
      <c r="L106" s="1" t="e">
        <f>Damped[[#This Row],[ξIV '[-']]]/API_check(Damped[[#This Row],[fIV/frun]])</f>
        <v>#N/A</v>
      </c>
      <c r="M106" s="1" t="e">
        <f>Damped[[#This Row],[ξV '[-']]]/API_check(Damped[[#This Row],[fV/frun]])</f>
        <v>#N/A</v>
      </c>
      <c r="N106" s="1" t="e">
        <f>Damped[[#This Row],[ξVI '[-']]]/API_check(Damped[[#This Row],[fVI/frun]])</f>
        <v>#N/A</v>
      </c>
      <c r="O106" s="1" t="e">
        <f>Damped[[#This Row],[ξVII '[-']]]/API_check(Damped[[#This Row],[fVII/frun]])</f>
        <v>#N/A</v>
      </c>
      <c r="P106" s="1" t="e">
        <f>Damped[[#This Row],[ξVIII '[-']]]/API_check(Damped[[#This Row],[fVIII/frun]])</f>
        <v>#N/A</v>
      </c>
      <c r="Q106" s="1" t="e">
        <f>Damped[[#This Row],[ξIX '[-']]]/API_check(Damped[[#This Row],[fIX/frun]])</f>
        <v>#N/A</v>
      </c>
      <c r="R106" s="1" t="e">
        <f>Damped[[#This Row],[ξX '[-']]]/API_check(Damped[[#This Row],[fX/frun]])</f>
        <v>#N/A</v>
      </c>
      <c r="S106" s="1" t="e">
        <f>Damped[[#This Row],[ξXI '[-']]]/API_check(Damped[[#This Row],[fXI/frun]])</f>
        <v>#N/A</v>
      </c>
      <c r="T106" s="1" t="e">
        <f>Damped[[#This Row],[ξXII '[-']]]/API_check(Damped[[#This Row],[fXII/frun]])</f>
        <v>#N/A</v>
      </c>
      <c r="U106" s="1" t="e" cm="1">
        <f t="array" ref="U106">_xlfn.IFS($I$32=1,IF(ISBLANK(dry!C43),NA(),dry!C43),$I$32=2,IF(ISBLANK('as new'!C43),NA(),'as new'!C43),$I$32=3,IF(ISBLANK('twice as new'!C43),NA(),'twice as new'!C43))</f>
        <v>#N/A</v>
      </c>
      <c r="V106" s="1" t="e" cm="1">
        <f t="array" ref="V106">_xlfn.IFS($I$32=1,IF(ISBLANK(dry!D43),NA(),dry!D43),$I$32=2,IF(ISBLANK('as new'!D43),NA(),'as new'!D43),$I$32=3,IF(ISBLANK('twice as new'!D43),NA(),'twice as new'!D43))</f>
        <v>#N/A</v>
      </c>
      <c r="W106" s="1" t="e" cm="1">
        <f t="array" ref="W106">_xlfn.IFS($I$32=1,IF(ISBLANK(dry!E43),NA(),dry!E43),$I$32=2,IF(ISBLANK('as new'!E43),NA(),'as new'!E43),$I$32=3,IF(ISBLANK('twice as new'!E43),NA(),'twice as new'!E43))</f>
        <v>#N/A</v>
      </c>
      <c r="X106" s="1" t="e" cm="1">
        <f t="array" ref="X106">_xlfn.IFS($I$32=1,IF(ISBLANK(dry!F43),NA(),dry!F43),$I$32=2,IF(ISBLANK('as new'!F43),NA(),'as new'!F43),$I$32=3,IF(ISBLANK('twice as new'!F43),NA(),'twice as new'!F43))</f>
        <v>#N/A</v>
      </c>
      <c r="Y106" s="1" t="e" cm="1">
        <f t="array" ref="Y106">_xlfn.IFS($I$32=1,IF(ISBLANK(dry!G43),NA(),dry!G43),$I$32=2,IF(ISBLANK('as new'!G43),NA(),'as new'!G43),$I$32=3,IF(ISBLANK('twice as new'!G43),NA(),'twice as new'!G43))</f>
        <v>#N/A</v>
      </c>
      <c r="Z106" s="1" t="e" cm="1">
        <f t="array" ref="Z106">_xlfn.IFS($I$32=1,IF(ISBLANK(dry!H43),NA(),dry!H43),$I$32=2,IF(ISBLANK('as new'!H43),NA(),'as new'!H43),$I$32=3,IF(ISBLANK('twice as new'!H43),NA(),'twice as new'!H43))</f>
        <v>#N/A</v>
      </c>
      <c r="AA106" s="1" t="e" cm="1">
        <f t="array" ref="AA106">_xlfn.IFS($I$32=1,IF(ISBLANK(dry!I43),NA(),dry!I43),$I$32=2,IF(ISBLANK('as new'!I43),NA(),'as new'!I43),$I$32=3,IF(ISBLANK('twice as new'!I43),NA(),'twice as new'!I43))</f>
        <v>#N/A</v>
      </c>
      <c r="AB106" s="1" t="e" cm="1">
        <f t="array" ref="AB106">_xlfn.IFS($I$32=1,IF(ISBLANK(dry!J43),NA(),dry!J43),$I$32=2,IF(ISBLANK('as new'!J43),NA(),'as new'!J43),$I$32=3,IF(ISBLANK('twice as new'!J43),NA(),'twice as new'!J43))</f>
        <v>#N/A</v>
      </c>
      <c r="AC106" s="1" t="e" cm="1">
        <f t="array" ref="AC106">_xlfn.IFS($I$32=1,IF(ISBLANK(dry!K43),NA(),dry!K43),$I$32=2,IF(ISBLANK('as new'!K43),NA(),'as new'!K43),$I$32=3,IF(ISBLANK('twice as new'!K43),NA(),'twice as new'!K43))</f>
        <v>#N/A</v>
      </c>
      <c r="AD106" s="1" t="e" cm="1">
        <f t="array" ref="AD106">_xlfn.IFS($I$32=1,IF(ISBLANK(dry!L43),NA(),dry!L43),$I$32=2,IF(ISBLANK('as new'!L43),NA(),'as new'!L43),$I$32=3,IF(ISBLANK('twice as new'!L43),NA(),'twice as new'!L43))</f>
        <v>#N/A</v>
      </c>
      <c r="AE106" s="1" t="e" cm="1">
        <f t="array" ref="AE106">_xlfn.IFS($I$32=1,IF(ISBLANK(dry!M43),NA(),dry!M43),$I$32=2,IF(ISBLANK('as new'!M43),NA(),'as new'!M43),$I$32=3,IF(ISBLANK('twice as new'!M43),NA(),'twice as new'!M43))</f>
        <v>#N/A</v>
      </c>
      <c r="AF106" s="1" t="e" cm="1">
        <f t="array" ref="AF106">_xlfn.IFS($I$32=1,IF(ISBLANK(dry!N43),NA(),dry!N43),$I$32=2,IF(ISBLANK('as new'!N43),NA(),'as new'!N43),$I$32=3,IF(ISBLANK('twice as new'!N43),NA(),'twice as new'!N43))</f>
        <v>#N/A</v>
      </c>
      <c r="AG106" s="1" t="e" cm="1">
        <f t="array" ref="AG106">_xlfn.IFS($I$32=1,IF(ISBLANK(dry!O43),NA(),dry!O43),$I$32=2,IF(ISBLANK('as new'!O43),NA(),'as new'!O43),$I$32=3,IF(ISBLANK('twice as new'!O43),NA(),'twice as new'!O43))</f>
        <v>#N/A</v>
      </c>
      <c r="AH106" s="1" t="e" cm="1">
        <f t="array" ref="AH106">_xlfn.IFS($I$32=1,IF(ISBLANK(dry!P43),NA(),dry!P43),$I$32=2,IF(ISBLANK('as new'!P43),NA(),'as new'!P43),$I$32=3,IF(ISBLANK('twice as new'!P43),NA(),'twice as new'!P43))</f>
        <v>#N/A</v>
      </c>
      <c r="AI106" s="1" t="e" cm="1">
        <f t="array" ref="AI106">_xlfn.IFS($I$32=1,IF(ISBLANK(dry!Q43),NA(),dry!Q43),$I$32=2,IF(ISBLANK('as new'!Q43),NA(),'as new'!Q43),$I$32=3,IF(ISBLANK('twice as new'!Q43),NA(),'twice as new'!Q43))</f>
        <v>#N/A</v>
      </c>
      <c r="AJ106" s="1" t="e" cm="1">
        <f t="array" ref="AJ106">_xlfn.IFS($I$32=1,IF(ISBLANK(dry!R43),NA(),dry!R43),$I$32=2,IF(ISBLANK('as new'!R43),NA(),'as new'!R43),$I$32=3,IF(ISBLANK('twice as new'!R43),NA(),'twice as new'!R43))</f>
        <v>#N/A</v>
      </c>
      <c r="AK106" s="1" t="e">
        <f>IF(CHOOSE($I$32,dry!S43,'as new'!S43,'twice as new'!S43)=0,NA(),CHOOSE($I$32,dry!S43,'as new'!S43,'twice as new'!S43))</f>
        <v>#N/A</v>
      </c>
      <c r="AL106" s="1" t="e">
        <f>IF(CHOOSE($I$32,dry!T43,'as new'!T43,'twice as new'!T43)=0,NA(),CHOOSE($I$32,dry!T43,'as new'!T43,'twice as new'!T43))</f>
        <v>#N/A</v>
      </c>
      <c r="AM106" s="1" t="e">
        <f>IF(CHOOSE($I$32,dry!U43,'as new'!U43,'twice as new'!U43)=0,NA(),CHOOSE($I$32,dry!U43,'as new'!U43,'twice as new'!U43))</f>
        <v>#N/A</v>
      </c>
      <c r="AN106" s="1" t="e">
        <f>IF(CHOOSE($I$32,dry!V43,'as new'!V43,'twice as new'!V43)=0,NA(),CHOOSE($I$32,dry!V43,'as new'!V43,'twice as new'!V43))</f>
        <v>#N/A</v>
      </c>
      <c r="AO106" s="1" t="e">
        <f>IF(CHOOSE($I$32,dry!W43,'as new'!W43,'twice as new'!W43)=0,NA(),CHOOSE($I$32,dry!W43,'as new'!W43,'twice as new'!W43))</f>
        <v>#N/A</v>
      </c>
      <c r="AP106" s="1" t="e">
        <f>IF(CHOOSE($I$32,dry!X43,'as new'!X43,'twice as new'!X43)=0,NA(),CHOOSE($I$32,dry!X43,'as new'!X43,'twice as new'!X43))</f>
        <v>#N/A</v>
      </c>
      <c r="AQ106" s="1" t="e">
        <f>IF(CHOOSE($I$32,dry!Y43,'as new'!Y43,'twice as new'!Y43)=0,NA(),CHOOSE($I$32,dry!Y43,'as new'!Y43,'twice as new'!Y43))</f>
        <v>#N/A</v>
      </c>
      <c r="AR106" s="1" t="e">
        <f>IF(CHOOSE($I$32,dry!Z43,'as new'!Z43,'twice as new'!Z43)=0,NA(),CHOOSE($I$32,dry!Z43,'as new'!Z43,'twice as new'!Z43))</f>
        <v>#N/A</v>
      </c>
      <c r="AS106" s="1" t="e">
        <f>Damped[[#This Row],[fI '[rpm']]]/Damped[[#This Row],[frun '[rpm']]]</f>
        <v>#N/A</v>
      </c>
      <c r="AT106" s="1" t="e">
        <f>Damped[[#This Row],[fII '[rpm']]]/Damped[[#This Row],[frun '[rpm']]]</f>
        <v>#N/A</v>
      </c>
      <c r="AU106" s="1" t="e">
        <f>Damped[[#This Row],[fIII '[rpm']]]/Damped[[#This Row],[frun '[rpm']]]</f>
        <v>#N/A</v>
      </c>
      <c r="AV106" s="1" t="e">
        <f>Damped[[#This Row],[fIV '[rpm']]]/Damped[[#This Row],[frun '[rpm']]]</f>
        <v>#N/A</v>
      </c>
      <c r="AW106" s="1" t="e">
        <f>Damped[[#This Row],[fV '[rpm']]]/Damped[[#This Row],[frun '[rpm']]]</f>
        <v>#N/A</v>
      </c>
      <c r="AX106" s="1" t="e">
        <f>Damped[[#This Row],[fVI '[rpm']]]/Damped[[#This Row],[frun '[rpm']]]</f>
        <v>#N/A</v>
      </c>
      <c r="AY106" s="1" t="e">
        <f>Damped[[#This Row],[fVII '[rpm']]]/Damped[[#This Row],[frun '[rpm']]]</f>
        <v>#N/A</v>
      </c>
      <c r="AZ106" s="1" t="e">
        <f>Damped[[#This Row],[fVIII '[rpm']]]/Damped[[#This Row],[frun '[rpm']]]</f>
        <v>#N/A</v>
      </c>
      <c r="BA106" s="1" t="e">
        <f>Damped[[#This Row],[fIX '[rpm']]]/Damped[[#This Row],[frun '[rpm']]]</f>
        <v>#N/A</v>
      </c>
      <c r="BB106" s="1" t="e">
        <f>Damped[[#This Row],[fX '[rpm']]]/Damped[[#This Row],[frun '[rpm']]]</f>
        <v>#N/A</v>
      </c>
      <c r="BC106" s="1" t="e">
        <f>Damped[[#This Row],[fXI '[rpm']]]/Damped[[#This Row],[frun '[rpm']]]</f>
        <v>#N/A</v>
      </c>
      <c r="BD106" s="1" t="e">
        <f>Damped[[#This Row],[fXII '[rpm']]]/Damped[[#This Row],[frun '[rpm']]]</f>
        <v>#N/A</v>
      </c>
    </row>
    <row r="107" spans="8:56" x14ac:dyDescent="0.25">
      <c r="H107" s="1" t="e" cm="1">
        <f t="array" ref="H107">_xlfn.IFS($I$32=1,IF(ISBLANK(dry!B44),NA(),dry!B44),$I$32=2,IF(ISBLANK('as new'!B44),NA(),'as new'!B44),$I$32=3,IF(ISBLANK('twice as new'!B44),NA(),'twice as new'!B44))</f>
        <v>#N/A</v>
      </c>
      <c r="I107" s="1" t="e">
        <f>Damped[[#This Row],[ξI '[-']]]/API_check(Damped[[#This Row],[fI/frun]])</f>
        <v>#N/A</v>
      </c>
      <c r="J107" s="1" t="e">
        <f>Damped[[#This Row],[ξII '[-']]]/API_check(Damped[[#This Row],[fII/frun]])</f>
        <v>#N/A</v>
      </c>
      <c r="K107" s="1" t="e">
        <f>Damped[[#This Row],[ξIII '[-']]]/API_check(Damped[[#This Row],[fIII/frun]])</f>
        <v>#N/A</v>
      </c>
      <c r="L107" s="1" t="e">
        <f>Damped[[#This Row],[ξIV '[-']]]/API_check(Damped[[#This Row],[fIV/frun]])</f>
        <v>#N/A</v>
      </c>
      <c r="M107" s="1" t="e">
        <f>Damped[[#This Row],[ξV '[-']]]/API_check(Damped[[#This Row],[fV/frun]])</f>
        <v>#N/A</v>
      </c>
      <c r="N107" s="1" t="e">
        <f>Damped[[#This Row],[ξVI '[-']]]/API_check(Damped[[#This Row],[fVI/frun]])</f>
        <v>#N/A</v>
      </c>
      <c r="O107" s="1" t="e">
        <f>Damped[[#This Row],[ξVII '[-']]]/API_check(Damped[[#This Row],[fVII/frun]])</f>
        <v>#N/A</v>
      </c>
      <c r="P107" s="1" t="e">
        <f>Damped[[#This Row],[ξVIII '[-']]]/API_check(Damped[[#This Row],[fVIII/frun]])</f>
        <v>#N/A</v>
      </c>
      <c r="Q107" s="1" t="e">
        <f>Damped[[#This Row],[ξIX '[-']]]/API_check(Damped[[#This Row],[fIX/frun]])</f>
        <v>#N/A</v>
      </c>
      <c r="R107" s="1" t="e">
        <f>Damped[[#This Row],[ξX '[-']]]/API_check(Damped[[#This Row],[fX/frun]])</f>
        <v>#N/A</v>
      </c>
      <c r="S107" s="1" t="e">
        <f>Damped[[#This Row],[ξXI '[-']]]/API_check(Damped[[#This Row],[fXI/frun]])</f>
        <v>#N/A</v>
      </c>
      <c r="T107" s="1" t="e">
        <f>Damped[[#This Row],[ξXII '[-']]]/API_check(Damped[[#This Row],[fXII/frun]])</f>
        <v>#N/A</v>
      </c>
      <c r="U107" s="1" t="e" cm="1">
        <f t="array" ref="U107">_xlfn.IFS($I$32=1,IF(ISBLANK(dry!C44),NA(),dry!C44),$I$32=2,IF(ISBLANK('as new'!C44),NA(),'as new'!C44),$I$32=3,IF(ISBLANK('twice as new'!C44),NA(),'twice as new'!C44))</f>
        <v>#N/A</v>
      </c>
      <c r="V107" s="1" t="e" cm="1">
        <f t="array" ref="V107">_xlfn.IFS($I$32=1,IF(ISBLANK(dry!D44),NA(),dry!D44),$I$32=2,IF(ISBLANK('as new'!D44),NA(),'as new'!D44),$I$32=3,IF(ISBLANK('twice as new'!D44),NA(),'twice as new'!D44))</f>
        <v>#N/A</v>
      </c>
      <c r="W107" s="1" t="e" cm="1">
        <f t="array" ref="W107">_xlfn.IFS($I$32=1,IF(ISBLANK(dry!E44),NA(),dry!E44),$I$32=2,IF(ISBLANK('as new'!E44),NA(),'as new'!E44),$I$32=3,IF(ISBLANK('twice as new'!E44),NA(),'twice as new'!E44))</f>
        <v>#N/A</v>
      </c>
      <c r="X107" s="1" t="e" cm="1">
        <f t="array" ref="X107">_xlfn.IFS($I$32=1,IF(ISBLANK(dry!F44),NA(),dry!F44),$I$32=2,IF(ISBLANK('as new'!F44),NA(),'as new'!F44),$I$32=3,IF(ISBLANK('twice as new'!F44),NA(),'twice as new'!F44))</f>
        <v>#N/A</v>
      </c>
      <c r="Y107" s="1" t="e" cm="1">
        <f t="array" ref="Y107">_xlfn.IFS($I$32=1,IF(ISBLANK(dry!G44),NA(),dry!G44),$I$32=2,IF(ISBLANK('as new'!G44),NA(),'as new'!G44),$I$32=3,IF(ISBLANK('twice as new'!G44),NA(),'twice as new'!G44))</f>
        <v>#N/A</v>
      </c>
      <c r="Z107" s="1" t="e" cm="1">
        <f t="array" ref="Z107">_xlfn.IFS($I$32=1,IF(ISBLANK(dry!H44),NA(),dry!H44),$I$32=2,IF(ISBLANK('as new'!H44),NA(),'as new'!H44),$I$32=3,IF(ISBLANK('twice as new'!H44),NA(),'twice as new'!H44))</f>
        <v>#N/A</v>
      </c>
      <c r="AA107" s="1" t="e" cm="1">
        <f t="array" ref="AA107">_xlfn.IFS($I$32=1,IF(ISBLANK(dry!I44),NA(),dry!I44),$I$32=2,IF(ISBLANK('as new'!I44),NA(),'as new'!I44),$I$32=3,IF(ISBLANK('twice as new'!I44),NA(),'twice as new'!I44))</f>
        <v>#N/A</v>
      </c>
      <c r="AB107" s="1" t="e" cm="1">
        <f t="array" ref="AB107">_xlfn.IFS($I$32=1,IF(ISBLANK(dry!J44),NA(),dry!J44),$I$32=2,IF(ISBLANK('as new'!J44),NA(),'as new'!J44),$I$32=3,IF(ISBLANK('twice as new'!J44),NA(),'twice as new'!J44))</f>
        <v>#N/A</v>
      </c>
      <c r="AC107" s="1" t="e" cm="1">
        <f t="array" ref="AC107">_xlfn.IFS($I$32=1,IF(ISBLANK(dry!K44),NA(),dry!K44),$I$32=2,IF(ISBLANK('as new'!K44),NA(),'as new'!K44),$I$32=3,IF(ISBLANK('twice as new'!K44),NA(),'twice as new'!K44))</f>
        <v>#N/A</v>
      </c>
      <c r="AD107" s="1" t="e" cm="1">
        <f t="array" ref="AD107">_xlfn.IFS($I$32=1,IF(ISBLANK(dry!L44),NA(),dry!L44),$I$32=2,IF(ISBLANK('as new'!L44),NA(),'as new'!L44),$I$32=3,IF(ISBLANK('twice as new'!L44),NA(),'twice as new'!L44))</f>
        <v>#N/A</v>
      </c>
      <c r="AE107" s="1" t="e" cm="1">
        <f t="array" ref="AE107">_xlfn.IFS($I$32=1,IF(ISBLANK(dry!M44),NA(),dry!M44),$I$32=2,IF(ISBLANK('as new'!M44),NA(),'as new'!M44),$I$32=3,IF(ISBLANK('twice as new'!M44),NA(),'twice as new'!M44))</f>
        <v>#N/A</v>
      </c>
      <c r="AF107" s="1" t="e" cm="1">
        <f t="array" ref="AF107">_xlfn.IFS($I$32=1,IF(ISBLANK(dry!N44),NA(),dry!N44),$I$32=2,IF(ISBLANK('as new'!N44),NA(),'as new'!N44),$I$32=3,IF(ISBLANK('twice as new'!N44),NA(),'twice as new'!N44))</f>
        <v>#N/A</v>
      </c>
      <c r="AG107" s="1" t="e" cm="1">
        <f t="array" ref="AG107">_xlfn.IFS($I$32=1,IF(ISBLANK(dry!O44),NA(),dry!O44),$I$32=2,IF(ISBLANK('as new'!O44),NA(),'as new'!O44),$I$32=3,IF(ISBLANK('twice as new'!O44),NA(),'twice as new'!O44))</f>
        <v>#N/A</v>
      </c>
      <c r="AH107" s="1" t="e" cm="1">
        <f t="array" ref="AH107">_xlfn.IFS($I$32=1,IF(ISBLANK(dry!P44),NA(),dry!P44),$I$32=2,IF(ISBLANK('as new'!P44),NA(),'as new'!P44),$I$32=3,IF(ISBLANK('twice as new'!P44),NA(),'twice as new'!P44))</f>
        <v>#N/A</v>
      </c>
      <c r="AI107" s="1" t="e" cm="1">
        <f t="array" ref="AI107">_xlfn.IFS($I$32=1,IF(ISBLANK(dry!Q44),NA(),dry!Q44),$I$32=2,IF(ISBLANK('as new'!Q44),NA(),'as new'!Q44),$I$32=3,IF(ISBLANK('twice as new'!Q44),NA(),'twice as new'!Q44))</f>
        <v>#N/A</v>
      </c>
      <c r="AJ107" s="1" t="e" cm="1">
        <f t="array" ref="AJ107">_xlfn.IFS($I$32=1,IF(ISBLANK(dry!R44),NA(),dry!R44),$I$32=2,IF(ISBLANK('as new'!R44),NA(),'as new'!R44),$I$32=3,IF(ISBLANK('twice as new'!R44),NA(),'twice as new'!R44))</f>
        <v>#N/A</v>
      </c>
      <c r="AK107" s="1" t="e">
        <f>IF(CHOOSE($I$32,dry!S44,'as new'!S44,'twice as new'!S44)=0,NA(),CHOOSE($I$32,dry!S44,'as new'!S44,'twice as new'!S44))</f>
        <v>#N/A</v>
      </c>
      <c r="AL107" s="1" t="e">
        <f>IF(CHOOSE($I$32,dry!T44,'as new'!T44,'twice as new'!T44)=0,NA(),CHOOSE($I$32,dry!T44,'as new'!T44,'twice as new'!T44))</f>
        <v>#N/A</v>
      </c>
      <c r="AM107" s="1" t="e">
        <f>IF(CHOOSE($I$32,dry!U44,'as new'!U44,'twice as new'!U44)=0,NA(),CHOOSE($I$32,dry!U44,'as new'!U44,'twice as new'!U44))</f>
        <v>#N/A</v>
      </c>
      <c r="AN107" s="1" t="e">
        <f>IF(CHOOSE($I$32,dry!V44,'as new'!V44,'twice as new'!V44)=0,NA(),CHOOSE($I$32,dry!V44,'as new'!V44,'twice as new'!V44))</f>
        <v>#N/A</v>
      </c>
      <c r="AO107" s="1" t="e">
        <f>IF(CHOOSE($I$32,dry!W44,'as new'!W44,'twice as new'!W44)=0,NA(),CHOOSE($I$32,dry!W44,'as new'!W44,'twice as new'!W44))</f>
        <v>#N/A</v>
      </c>
      <c r="AP107" s="1" t="e">
        <f>IF(CHOOSE($I$32,dry!X44,'as new'!X44,'twice as new'!X44)=0,NA(),CHOOSE($I$32,dry!X44,'as new'!X44,'twice as new'!X44))</f>
        <v>#N/A</v>
      </c>
      <c r="AQ107" s="1" t="e">
        <f>IF(CHOOSE($I$32,dry!Y44,'as new'!Y44,'twice as new'!Y44)=0,NA(),CHOOSE($I$32,dry!Y44,'as new'!Y44,'twice as new'!Y44))</f>
        <v>#N/A</v>
      </c>
      <c r="AR107" s="1" t="e">
        <f>IF(CHOOSE($I$32,dry!Z44,'as new'!Z44,'twice as new'!Z44)=0,NA(),CHOOSE($I$32,dry!Z44,'as new'!Z44,'twice as new'!Z44))</f>
        <v>#N/A</v>
      </c>
      <c r="AS107" s="1" t="e">
        <f>Damped[[#This Row],[fI '[rpm']]]/Damped[[#This Row],[frun '[rpm']]]</f>
        <v>#N/A</v>
      </c>
      <c r="AT107" s="1" t="e">
        <f>Damped[[#This Row],[fII '[rpm']]]/Damped[[#This Row],[frun '[rpm']]]</f>
        <v>#N/A</v>
      </c>
      <c r="AU107" s="1" t="e">
        <f>Damped[[#This Row],[fIII '[rpm']]]/Damped[[#This Row],[frun '[rpm']]]</f>
        <v>#N/A</v>
      </c>
      <c r="AV107" s="1" t="e">
        <f>Damped[[#This Row],[fIV '[rpm']]]/Damped[[#This Row],[frun '[rpm']]]</f>
        <v>#N/A</v>
      </c>
      <c r="AW107" s="1" t="e">
        <f>Damped[[#This Row],[fV '[rpm']]]/Damped[[#This Row],[frun '[rpm']]]</f>
        <v>#N/A</v>
      </c>
      <c r="AX107" s="1" t="e">
        <f>Damped[[#This Row],[fVI '[rpm']]]/Damped[[#This Row],[frun '[rpm']]]</f>
        <v>#N/A</v>
      </c>
      <c r="AY107" s="1" t="e">
        <f>Damped[[#This Row],[fVII '[rpm']]]/Damped[[#This Row],[frun '[rpm']]]</f>
        <v>#N/A</v>
      </c>
      <c r="AZ107" s="1" t="e">
        <f>Damped[[#This Row],[fVIII '[rpm']]]/Damped[[#This Row],[frun '[rpm']]]</f>
        <v>#N/A</v>
      </c>
      <c r="BA107" s="1" t="e">
        <f>Damped[[#This Row],[fIX '[rpm']]]/Damped[[#This Row],[frun '[rpm']]]</f>
        <v>#N/A</v>
      </c>
      <c r="BB107" s="1" t="e">
        <f>Damped[[#This Row],[fX '[rpm']]]/Damped[[#This Row],[frun '[rpm']]]</f>
        <v>#N/A</v>
      </c>
      <c r="BC107" s="1" t="e">
        <f>Damped[[#This Row],[fXI '[rpm']]]/Damped[[#This Row],[frun '[rpm']]]</f>
        <v>#N/A</v>
      </c>
      <c r="BD107" s="1" t="e">
        <f>Damped[[#This Row],[fXII '[rpm']]]/Damped[[#This Row],[frun '[rpm']]]</f>
        <v>#N/A</v>
      </c>
    </row>
    <row r="108" spans="8:56" x14ac:dyDescent="0.25">
      <c r="H108" s="1" t="e" cm="1">
        <f t="array" ref="H108">_xlfn.IFS($I$32=1,IF(ISBLANK(dry!B45),NA(),dry!B45),$I$32=2,IF(ISBLANK('as new'!B45),NA(),'as new'!B45),$I$32=3,IF(ISBLANK('twice as new'!B45),NA(),'twice as new'!B45))</f>
        <v>#N/A</v>
      </c>
      <c r="I108" s="1" t="e">
        <f>Damped[[#This Row],[ξI '[-']]]/API_check(Damped[[#This Row],[fI/frun]])</f>
        <v>#N/A</v>
      </c>
      <c r="J108" s="1" t="e">
        <f>Damped[[#This Row],[ξII '[-']]]/API_check(Damped[[#This Row],[fII/frun]])</f>
        <v>#N/A</v>
      </c>
      <c r="K108" s="1" t="e">
        <f>Damped[[#This Row],[ξIII '[-']]]/API_check(Damped[[#This Row],[fIII/frun]])</f>
        <v>#N/A</v>
      </c>
      <c r="L108" s="1" t="e">
        <f>Damped[[#This Row],[ξIV '[-']]]/API_check(Damped[[#This Row],[fIV/frun]])</f>
        <v>#N/A</v>
      </c>
      <c r="M108" s="1" t="e">
        <f>Damped[[#This Row],[ξV '[-']]]/API_check(Damped[[#This Row],[fV/frun]])</f>
        <v>#N/A</v>
      </c>
      <c r="N108" s="1" t="e">
        <f>Damped[[#This Row],[ξVI '[-']]]/API_check(Damped[[#This Row],[fVI/frun]])</f>
        <v>#N/A</v>
      </c>
      <c r="O108" s="1" t="e">
        <f>Damped[[#This Row],[ξVII '[-']]]/API_check(Damped[[#This Row],[fVII/frun]])</f>
        <v>#N/A</v>
      </c>
      <c r="P108" s="1" t="e">
        <f>Damped[[#This Row],[ξVIII '[-']]]/API_check(Damped[[#This Row],[fVIII/frun]])</f>
        <v>#N/A</v>
      </c>
      <c r="Q108" s="1" t="e">
        <f>Damped[[#This Row],[ξIX '[-']]]/API_check(Damped[[#This Row],[fIX/frun]])</f>
        <v>#N/A</v>
      </c>
      <c r="R108" s="1" t="e">
        <f>Damped[[#This Row],[ξX '[-']]]/API_check(Damped[[#This Row],[fX/frun]])</f>
        <v>#N/A</v>
      </c>
      <c r="S108" s="1" t="e">
        <f>Damped[[#This Row],[ξXI '[-']]]/API_check(Damped[[#This Row],[fXI/frun]])</f>
        <v>#N/A</v>
      </c>
      <c r="T108" s="1" t="e">
        <f>Damped[[#This Row],[ξXII '[-']]]/API_check(Damped[[#This Row],[fXII/frun]])</f>
        <v>#N/A</v>
      </c>
      <c r="U108" s="1" t="e" cm="1">
        <f t="array" ref="U108">_xlfn.IFS($I$32=1,IF(ISBLANK(dry!C45),NA(),dry!C45),$I$32=2,IF(ISBLANK('as new'!C45),NA(),'as new'!C45),$I$32=3,IF(ISBLANK('twice as new'!C45),NA(),'twice as new'!C45))</f>
        <v>#N/A</v>
      </c>
      <c r="V108" s="1" t="e" cm="1">
        <f t="array" ref="V108">_xlfn.IFS($I$32=1,IF(ISBLANK(dry!D45),NA(),dry!D45),$I$32=2,IF(ISBLANK('as new'!D45),NA(),'as new'!D45),$I$32=3,IF(ISBLANK('twice as new'!D45),NA(),'twice as new'!D45))</f>
        <v>#N/A</v>
      </c>
      <c r="W108" s="1" t="e" cm="1">
        <f t="array" ref="W108">_xlfn.IFS($I$32=1,IF(ISBLANK(dry!E45),NA(),dry!E45),$I$32=2,IF(ISBLANK('as new'!E45),NA(),'as new'!E45),$I$32=3,IF(ISBLANK('twice as new'!E45),NA(),'twice as new'!E45))</f>
        <v>#N/A</v>
      </c>
      <c r="X108" s="1" t="e" cm="1">
        <f t="array" ref="X108">_xlfn.IFS($I$32=1,IF(ISBLANK(dry!F45),NA(),dry!F45),$I$32=2,IF(ISBLANK('as new'!F45),NA(),'as new'!F45),$I$32=3,IF(ISBLANK('twice as new'!F45),NA(),'twice as new'!F45))</f>
        <v>#N/A</v>
      </c>
      <c r="Y108" s="1" t="e" cm="1">
        <f t="array" ref="Y108">_xlfn.IFS($I$32=1,IF(ISBLANK(dry!G45),NA(),dry!G45),$I$32=2,IF(ISBLANK('as new'!G45),NA(),'as new'!G45),$I$32=3,IF(ISBLANK('twice as new'!G45),NA(),'twice as new'!G45))</f>
        <v>#N/A</v>
      </c>
      <c r="Z108" s="1" t="e" cm="1">
        <f t="array" ref="Z108">_xlfn.IFS($I$32=1,IF(ISBLANK(dry!H45),NA(),dry!H45),$I$32=2,IF(ISBLANK('as new'!H45),NA(),'as new'!H45),$I$32=3,IF(ISBLANK('twice as new'!H45),NA(),'twice as new'!H45))</f>
        <v>#N/A</v>
      </c>
      <c r="AA108" s="1" t="e" cm="1">
        <f t="array" ref="AA108">_xlfn.IFS($I$32=1,IF(ISBLANK(dry!I45),NA(),dry!I45),$I$32=2,IF(ISBLANK('as new'!I45),NA(),'as new'!I45),$I$32=3,IF(ISBLANK('twice as new'!I45),NA(),'twice as new'!I45))</f>
        <v>#N/A</v>
      </c>
      <c r="AB108" s="1" t="e" cm="1">
        <f t="array" ref="AB108">_xlfn.IFS($I$32=1,IF(ISBLANK(dry!J45),NA(),dry!J45),$I$32=2,IF(ISBLANK('as new'!J45),NA(),'as new'!J45),$I$32=3,IF(ISBLANK('twice as new'!J45),NA(),'twice as new'!J45))</f>
        <v>#N/A</v>
      </c>
      <c r="AC108" s="1" t="e" cm="1">
        <f t="array" ref="AC108">_xlfn.IFS($I$32=1,IF(ISBLANK(dry!K45),NA(),dry!K45),$I$32=2,IF(ISBLANK('as new'!K45),NA(),'as new'!K45),$I$32=3,IF(ISBLANK('twice as new'!K45),NA(),'twice as new'!K45))</f>
        <v>#N/A</v>
      </c>
      <c r="AD108" s="1" t="e" cm="1">
        <f t="array" ref="AD108">_xlfn.IFS($I$32=1,IF(ISBLANK(dry!L45),NA(),dry!L45),$I$32=2,IF(ISBLANK('as new'!L45),NA(),'as new'!L45),$I$32=3,IF(ISBLANK('twice as new'!L45),NA(),'twice as new'!L45))</f>
        <v>#N/A</v>
      </c>
      <c r="AE108" s="1" t="e" cm="1">
        <f t="array" ref="AE108">_xlfn.IFS($I$32=1,IF(ISBLANK(dry!M45),NA(),dry!M45),$I$32=2,IF(ISBLANK('as new'!M45),NA(),'as new'!M45),$I$32=3,IF(ISBLANK('twice as new'!M45),NA(),'twice as new'!M45))</f>
        <v>#N/A</v>
      </c>
      <c r="AF108" s="1" t="e" cm="1">
        <f t="array" ref="AF108">_xlfn.IFS($I$32=1,IF(ISBLANK(dry!N45),NA(),dry!N45),$I$32=2,IF(ISBLANK('as new'!N45),NA(),'as new'!N45),$I$32=3,IF(ISBLANK('twice as new'!N45),NA(),'twice as new'!N45))</f>
        <v>#N/A</v>
      </c>
      <c r="AG108" s="1" t="e" cm="1">
        <f t="array" ref="AG108">_xlfn.IFS($I$32=1,IF(ISBLANK(dry!O45),NA(),dry!O45),$I$32=2,IF(ISBLANK('as new'!O45),NA(),'as new'!O45),$I$32=3,IF(ISBLANK('twice as new'!O45),NA(),'twice as new'!O45))</f>
        <v>#N/A</v>
      </c>
      <c r="AH108" s="1" t="e" cm="1">
        <f t="array" ref="AH108">_xlfn.IFS($I$32=1,IF(ISBLANK(dry!P45),NA(),dry!P45),$I$32=2,IF(ISBLANK('as new'!P45),NA(),'as new'!P45),$I$32=3,IF(ISBLANK('twice as new'!P45),NA(),'twice as new'!P45))</f>
        <v>#N/A</v>
      </c>
      <c r="AI108" s="1" t="e" cm="1">
        <f t="array" ref="AI108">_xlfn.IFS($I$32=1,IF(ISBLANK(dry!Q45),NA(),dry!Q45),$I$32=2,IF(ISBLANK('as new'!Q45),NA(),'as new'!Q45),$I$32=3,IF(ISBLANK('twice as new'!Q45),NA(),'twice as new'!Q45))</f>
        <v>#N/A</v>
      </c>
      <c r="AJ108" s="1" t="e" cm="1">
        <f t="array" ref="AJ108">_xlfn.IFS($I$32=1,IF(ISBLANK(dry!R45),NA(),dry!R45),$I$32=2,IF(ISBLANK('as new'!R45),NA(),'as new'!R45),$I$32=3,IF(ISBLANK('twice as new'!R45),NA(),'twice as new'!R45))</f>
        <v>#N/A</v>
      </c>
      <c r="AK108" s="1" t="e">
        <f>IF(CHOOSE($I$32,dry!S45,'as new'!S45,'twice as new'!S45)=0,NA(),CHOOSE($I$32,dry!S45,'as new'!S45,'twice as new'!S45))</f>
        <v>#N/A</v>
      </c>
      <c r="AL108" s="1" t="e">
        <f>IF(CHOOSE($I$32,dry!T45,'as new'!T45,'twice as new'!T45)=0,NA(),CHOOSE($I$32,dry!T45,'as new'!T45,'twice as new'!T45))</f>
        <v>#N/A</v>
      </c>
      <c r="AM108" s="1" t="e">
        <f>IF(CHOOSE($I$32,dry!U45,'as new'!U45,'twice as new'!U45)=0,NA(),CHOOSE($I$32,dry!U45,'as new'!U45,'twice as new'!U45))</f>
        <v>#N/A</v>
      </c>
      <c r="AN108" s="1" t="e">
        <f>IF(CHOOSE($I$32,dry!V45,'as new'!V45,'twice as new'!V45)=0,NA(),CHOOSE($I$32,dry!V45,'as new'!V45,'twice as new'!V45))</f>
        <v>#N/A</v>
      </c>
      <c r="AO108" s="1" t="e">
        <f>IF(CHOOSE($I$32,dry!W45,'as new'!W45,'twice as new'!W45)=0,NA(),CHOOSE($I$32,dry!W45,'as new'!W45,'twice as new'!W45))</f>
        <v>#N/A</v>
      </c>
      <c r="AP108" s="1" t="e">
        <f>IF(CHOOSE($I$32,dry!X45,'as new'!X45,'twice as new'!X45)=0,NA(),CHOOSE($I$32,dry!X45,'as new'!X45,'twice as new'!X45))</f>
        <v>#N/A</v>
      </c>
      <c r="AQ108" s="1" t="e">
        <f>IF(CHOOSE($I$32,dry!Y45,'as new'!Y45,'twice as new'!Y45)=0,NA(),CHOOSE($I$32,dry!Y45,'as new'!Y45,'twice as new'!Y45))</f>
        <v>#N/A</v>
      </c>
      <c r="AR108" s="1" t="e">
        <f>IF(CHOOSE($I$32,dry!Z45,'as new'!Z45,'twice as new'!Z45)=0,NA(),CHOOSE($I$32,dry!Z45,'as new'!Z45,'twice as new'!Z45))</f>
        <v>#N/A</v>
      </c>
      <c r="AS108" s="1" t="e">
        <f>Damped[[#This Row],[fI '[rpm']]]/Damped[[#This Row],[frun '[rpm']]]</f>
        <v>#N/A</v>
      </c>
      <c r="AT108" s="1" t="e">
        <f>Damped[[#This Row],[fII '[rpm']]]/Damped[[#This Row],[frun '[rpm']]]</f>
        <v>#N/A</v>
      </c>
      <c r="AU108" s="1" t="e">
        <f>Damped[[#This Row],[fIII '[rpm']]]/Damped[[#This Row],[frun '[rpm']]]</f>
        <v>#N/A</v>
      </c>
      <c r="AV108" s="1" t="e">
        <f>Damped[[#This Row],[fIV '[rpm']]]/Damped[[#This Row],[frun '[rpm']]]</f>
        <v>#N/A</v>
      </c>
      <c r="AW108" s="1" t="e">
        <f>Damped[[#This Row],[fV '[rpm']]]/Damped[[#This Row],[frun '[rpm']]]</f>
        <v>#N/A</v>
      </c>
      <c r="AX108" s="1" t="e">
        <f>Damped[[#This Row],[fVI '[rpm']]]/Damped[[#This Row],[frun '[rpm']]]</f>
        <v>#N/A</v>
      </c>
      <c r="AY108" s="1" t="e">
        <f>Damped[[#This Row],[fVII '[rpm']]]/Damped[[#This Row],[frun '[rpm']]]</f>
        <v>#N/A</v>
      </c>
      <c r="AZ108" s="1" t="e">
        <f>Damped[[#This Row],[fVIII '[rpm']]]/Damped[[#This Row],[frun '[rpm']]]</f>
        <v>#N/A</v>
      </c>
      <c r="BA108" s="1" t="e">
        <f>Damped[[#This Row],[fIX '[rpm']]]/Damped[[#This Row],[frun '[rpm']]]</f>
        <v>#N/A</v>
      </c>
      <c r="BB108" s="1" t="e">
        <f>Damped[[#This Row],[fX '[rpm']]]/Damped[[#This Row],[frun '[rpm']]]</f>
        <v>#N/A</v>
      </c>
      <c r="BC108" s="1" t="e">
        <f>Damped[[#This Row],[fXI '[rpm']]]/Damped[[#This Row],[frun '[rpm']]]</f>
        <v>#N/A</v>
      </c>
      <c r="BD108" s="1" t="e">
        <f>Damped[[#This Row],[fXII '[rpm']]]/Damped[[#This Row],[frun '[rpm']]]</f>
        <v>#N/A</v>
      </c>
    </row>
    <row r="109" spans="8:56" x14ac:dyDescent="0.25">
      <c r="H109" s="1" t="e" cm="1">
        <f t="array" ref="H109">_xlfn.IFS($I$32=1,IF(ISBLANK(dry!B46),NA(),dry!B46),$I$32=2,IF(ISBLANK('as new'!B46),NA(),'as new'!B46),$I$32=3,IF(ISBLANK('twice as new'!B46),NA(),'twice as new'!B46))</f>
        <v>#N/A</v>
      </c>
      <c r="I109" s="1" t="e">
        <f>Damped[[#This Row],[ξI '[-']]]/API_check(Damped[[#This Row],[fI/frun]])</f>
        <v>#N/A</v>
      </c>
      <c r="J109" s="1" t="e">
        <f>Damped[[#This Row],[ξII '[-']]]/API_check(Damped[[#This Row],[fII/frun]])</f>
        <v>#N/A</v>
      </c>
      <c r="K109" s="1" t="e">
        <f>Damped[[#This Row],[ξIII '[-']]]/API_check(Damped[[#This Row],[fIII/frun]])</f>
        <v>#N/A</v>
      </c>
      <c r="L109" s="1" t="e">
        <f>Damped[[#This Row],[ξIV '[-']]]/API_check(Damped[[#This Row],[fIV/frun]])</f>
        <v>#N/A</v>
      </c>
      <c r="M109" s="1" t="e">
        <f>Damped[[#This Row],[ξV '[-']]]/API_check(Damped[[#This Row],[fV/frun]])</f>
        <v>#N/A</v>
      </c>
      <c r="N109" s="1" t="e">
        <f>Damped[[#This Row],[ξVI '[-']]]/API_check(Damped[[#This Row],[fVI/frun]])</f>
        <v>#N/A</v>
      </c>
      <c r="O109" s="1" t="e">
        <f>Damped[[#This Row],[ξVII '[-']]]/API_check(Damped[[#This Row],[fVII/frun]])</f>
        <v>#N/A</v>
      </c>
      <c r="P109" s="1" t="e">
        <f>Damped[[#This Row],[ξVIII '[-']]]/API_check(Damped[[#This Row],[fVIII/frun]])</f>
        <v>#N/A</v>
      </c>
      <c r="Q109" s="1" t="e">
        <f>Damped[[#This Row],[ξIX '[-']]]/API_check(Damped[[#This Row],[fIX/frun]])</f>
        <v>#N/A</v>
      </c>
      <c r="R109" s="1" t="e">
        <f>Damped[[#This Row],[ξX '[-']]]/API_check(Damped[[#This Row],[fX/frun]])</f>
        <v>#N/A</v>
      </c>
      <c r="S109" s="1" t="e">
        <f>Damped[[#This Row],[ξXI '[-']]]/API_check(Damped[[#This Row],[fXI/frun]])</f>
        <v>#N/A</v>
      </c>
      <c r="T109" s="1" t="e">
        <f>Damped[[#This Row],[ξXII '[-']]]/API_check(Damped[[#This Row],[fXII/frun]])</f>
        <v>#N/A</v>
      </c>
      <c r="U109" s="1" t="e" cm="1">
        <f t="array" ref="U109">_xlfn.IFS($I$32=1,IF(ISBLANK(dry!C46),NA(),dry!C46),$I$32=2,IF(ISBLANK('as new'!C46),NA(),'as new'!C46),$I$32=3,IF(ISBLANK('twice as new'!C46),NA(),'twice as new'!C46))</f>
        <v>#N/A</v>
      </c>
      <c r="V109" s="1" t="e" cm="1">
        <f t="array" ref="V109">_xlfn.IFS($I$32=1,IF(ISBLANK(dry!D46),NA(),dry!D46),$I$32=2,IF(ISBLANK('as new'!D46),NA(),'as new'!D46),$I$32=3,IF(ISBLANK('twice as new'!D46),NA(),'twice as new'!D46))</f>
        <v>#N/A</v>
      </c>
      <c r="W109" s="1" t="e" cm="1">
        <f t="array" ref="W109">_xlfn.IFS($I$32=1,IF(ISBLANK(dry!E46),NA(),dry!E46),$I$32=2,IF(ISBLANK('as new'!E46),NA(),'as new'!E46),$I$32=3,IF(ISBLANK('twice as new'!E46),NA(),'twice as new'!E46))</f>
        <v>#N/A</v>
      </c>
      <c r="X109" s="1" t="e" cm="1">
        <f t="array" ref="X109">_xlfn.IFS($I$32=1,IF(ISBLANK(dry!F46),NA(),dry!F46),$I$32=2,IF(ISBLANK('as new'!F46),NA(),'as new'!F46),$I$32=3,IF(ISBLANK('twice as new'!F46),NA(),'twice as new'!F46))</f>
        <v>#N/A</v>
      </c>
      <c r="Y109" s="1" t="e" cm="1">
        <f t="array" ref="Y109">_xlfn.IFS($I$32=1,IF(ISBLANK(dry!G46),NA(),dry!G46),$I$32=2,IF(ISBLANK('as new'!G46),NA(),'as new'!G46),$I$32=3,IF(ISBLANK('twice as new'!G46),NA(),'twice as new'!G46))</f>
        <v>#N/A</v>
      </c>
      <c r="Z109" s="1" t="e" cm="1">
        <f t="array" ref="Z109">_xlfn.IFS($I$32=1,IF(ISBLANK(dry!H46),NA(),dry!H46),$I$32=2,IF(ISBLANK('as new'!H46),NA(),'as new'!H46),$I$32=3,IF(ISBLANK('twice as new'!H46),NA(),'twice as new'!H46))</f>
        <v>#N/A</v>
      </c>
      <c r="AA109" s="1" t="e" cm="1">
        <f t="array" ref="AA109">_xlfn.IFS($I$32=1,IF(ISBLANK(dry!I46),NA(),dry!I46),$I$32=2,IF(ISBLANK('as new'!I46),NA(),'as new'!I46),$I$32=3,IF(ISBLANK('twice as new'!I46),NA(),'twice as new'!I46))</f>
        <v>#N/A</v>
      </c>
      <c r="AB109" s="1" t="e" cm="1">
        <f t="array" ref="AB109">_xlfn.IFS($I$32=1,IF(ISBLANK(dry!J46),NA(),dry!J46),$I$32=2,IF(ISBLANK('as new'!J46),NA(),'as new'!J46),$I$32=3,IF(ISBLANK('twice as new'!J46),NA(),'twice as new'!J46))</f>
        <v>#N/A</v>
      </c>
      <c r="AC109" s="1" t="e" cm="1">
        <f t="array" ref="AC109">_xlfn.IFS($I$32=1,IF(ISBLANK(dry!K46),NA(),dry!K46),$I$32=2,IF(ISBLANK('as new'!K46),NA(),'as new'!K46),$I$32=3,IF(ISBLANK('twice as new'!K46),NA(),'twice as new'!K46))</f>
        <v>#N/A</v>
      </c>
      <c r="AD109" s="1" t="e" cm="1">
        <f t="array" ref="AD109">_xlfn.IFS($I$32=1,IF(ISBLANK(dry!L46),NA(),dry!L46),$I$32=2,IF(ISBLANK('as new'!L46),NA(),'as new'!L46),$I$32=3,IF(ISBLANK('twice as new'!L46),NA(),'twice as new'!L46))</f>
        <v>#N/A</v>
      </c>
      <c r="AE109" s="1" t="e" cm="1">
        <f t="array" ref="AE109">_xlfn.IFS($I$32=1,IF(ISBLANK(dry!M46),NA(),dry!M46),$I$32=2,IF(ISBLANK('as new'!M46),NA(),'as new'!M46),$I$32=3,IF(ISBLANK('twice as new'!M46),NA(),'twice as new'!M46))</f>
        <v>#N/A</v>
      </c>
      <c r="AF109" s="1" t="e" cm="1">
        <f t="array" ref="AF109">_xlfn.IFS($I$32=1,IF(ISBLANK(dry!N46),NA(),dry!N46),$I$32=2,IF(ISBLANK('as new'!N46),NA(),'as new'!N46),$I$32=3,IF(ISBLANK('twice as new'!N46),NA(),'twice as new'!N46))</f>
        <v>#N/A</v>
      </c>
      <c r="AG109" s="1" t="e" cm="1">
        <f t="array" ref="AG109">_xlfn.IFS($I$32=1,IF(ISBLANK(dry!O46),NA(),dry!O46),$I$32=2,IF(ISBLANK('as new'!O46),NA(),'as new'!O46),$I$32=3,IF(ISBLANK('twice as new'!O46),NA(),'twice as new'!O46))</f>
        <v>#N/A</v>
      </c>
      <c r="AH109" s="1" t="e" cm="1">
        <f t="array" ref="AH109">_xlfn.IFS($I$32=1,IF(ISBLANK(dry!P46),NA(),dry!P46),$I$32=2,IF(ISBLANK('as new'!P46),NA(),'as new'!P46),$I$32=3,IF(ISBLANK('twice as new'!P46),NA(),'twice as new'!P46))</f>
        <v>#N/A</v>
      </c>
      <c r="AI109" s="1" t="e" cm="1">
        <f t="array" ref="AI109">_xlfn.IFS($I$32=1,IF(ISBLANK(dry!Q46),NA(),dry!Q46),$I$32=2,IF(ISBLANK('as new'!Q46),NA(),'as new'!Q46),$I$32=3,IF(ISBLANK('twice as new'!Q46),NA(),'twice as new'!Q46))</f>
        <v>#N/A</v>
      </c>
      <c r="AJ109" s="1" t="e" cm="1">
        <f t="array" ref="AJ109">_xlfn.IFS($I$32=1,IF(ISBLANK(dry!R46),NA(),dry!R46),$I$32=2,IF(ISBLANK('as new'!R46),NA(),'as new'!R46),$I$32=3,IF(ISBLANK('twice as new'!R46),NA(),'twice as new'!R46))</f>
        <v>#N/A</v>
      </c>
      <c r="AK109" s="1" t="e">
        <f>IF(CHOOSE($I$32,dry!S46,'as new'!S46,'twice as new'!S46)=0,NA(),CHOOSE($I$32,dry!S46,'as new'!S46,'twice as new'!S46))</f>
        <v>#N/A</v>
      </c>
      <c r="AL109" s="1" t="e">
        <f>IF(CHOOSE($I$32,dry!T46,'as new'!T46,'twice as new'!T46)=0,NA(),CHOOSE($I$32,dry!T46,'as new'!T46,'twice as new'!T46))</f>
        <v>#N/A</v>
      </c>
      <c r="AM109" s="1" t="e">
        <f>IF(CHOOSE($I$32,dry!U46,'as new'!U46,'twice as new'!U46)=0,NA(),CHOOSE($I$32,dry!U46,'as new'!U46,'twice as new'!U46))</f>
        <v>#N/A</v>
      </c>
      <c r="AN109" s="1" t="e">
        <f>IF(CHOOSE($I$32,dry!V46,'as new'!V46,'twice as new'!V46)=0,NA(),CHOOSE($I$32,dry!V46,'as new'!V46,'twice as new'!V46))</f>
        <v>#N/A</v>
      </c>
      <c r="AO109" s="1" t="e">
        <f>IF(CHOOSE($I$32,dry!W46,'as new'!W46,'twice as new'!W46)=0,NA(),CHOOSE($I$32,dry!W46,'as new'!W46,'twice as new'!W46))</f>
        <v>#N/A</v>
      </c>
      <c r="AP109" s="1" t="e">
        <f>IF(CHOOSE($I$32,dry!X46,'as new'!X46,'twice as new'!X46)=0,NA(),CHOOSE($I$32,dry!X46,'as new'!X46,'twice as new'!X46))</f>
        <v>#N/A</v>
      </c>
      <c r="AQ109" s="1" t="e">
        <f>IF(CHOOSE($I$32,dry!Y46,'as new'!Y46,'twice as new'!Y46)=0,NA(),CHOOSE($I$32,dry!Y46,'as new'!Y46,'twice as new'!Y46))</f>
        <v>#N/A</v>
      </c>
      <c r="AR109" s="1" t="e">
        <f>IF(CHOOSE($I$32,dry!Z46,'as new'!Z46,'twice as new'!Z46)=0,NA(),CHOOSE($I$32,dry!Z46,'as new'!Z46,'twice as new'!Z46))</f>
        <v>#N/A</v>
      </c>
      <c r="AS109" s="1" t="e">
        <f>Damped[[#This Row],[fI '[rpm']]]/Damped[[#This Row],[frun '[rpm']]]</f>
        <v>#N/A</v>
      </c>
      <c r="AT109" s="1" t="e">
        <f>Damped[[#This Row],[fII '[rpm']]]/Damped[[#This Row],[frun '[rpm']]]</f>
        <v>#N/A</v>
      </c>
      <c r="AU109" s="1" t="e">
        <f>Damped[[#This Row],[fIII '[rpm']]]/Damped[[#This Row],[frun '[rpm']]]</f>
        <v>#N/A</v>
      </c>
      <c r="AV109" s="1" t="e">
        <f>Damped[[#This Row],[fIV '[rpm']]]/Damped[[#This Row],[frun '[rpm']]]</f>
        <v>#N/A</v>
      </c>
      <c r="AW109" s="1" t="e">
        <f>Damped[[#This Row],[fV '[rpm']]]/Damped[[#This Row],[frun '[rpm']]]</f>
        <v>#N/A</v>
      </c>
      <c r="AX109" s="1" t="e">
        <f>Damped[[#This Row],[fVI '[rpm']]]/Damped[[#This Row],[frun '[rpm']]]</f>
        <v>#N/A</v>
      </c>
      <c r="AY109" s="1" t="e">
        <f>Damped[[#This Row],[fVII '[rpm']]]/Damped[[#This Row],[frun '[rpm']]]</f>
        <v>#N/A</v>
      </c>
      <c r="AZ109" s="1" t="e">
        <f>Damped[[#This Row],[fVIII '[rpm']]]/Damped[[#This Row],[frun '[rpm']]]</f>
        <v>#N/A</v>
      </c>
      <c r="BA109" s="1" t="e">
        <f>Damped[[#This Row],[fIX '[rpm']]]/Damped[[#This Row],[frun '[rpm']]]</f>
        <v>#N/A</v>
      </c>
      <c r="BB109" s="1" t="e">
        <f>Damped[[#This Row],[fX '[rpm']]]/Damped[[#This Row],[frun '[rpm']]]</f>
        <v>#N/A</v>
      </c>
      <c r="BC109" s="1" t="e">
        <f>Damped[[#This Row],[fXI '[rpm']]]/Damped[[#This Row],[frun '[rpm']]]</f>
        <v>#N/A</v>
      </c>
      <c r="BD109" s="1" t="e">
        <f>Damped[[#This Row],[fXII '[rpm']]]/Damped[[#This Row],[frun '[rpm']]]</f>
        <v>#N/A</v>
      </c>
    </row>
    <row r="110" spans="8:56" x14ac:dyDescent="0.25">
      <c r="H110" s="1" t="e" cm="1">
        <f t="array" ref="H110">_xlfn.IFS($I$32=1,IF(ISBLANK(dry!B47),NA(),dry!B47),$I$32=2,IF(ISBLANK('as new'!B47),NA(),'as new'!B47),$I$32=3,IF(ISBLANK('twice as new'!B47),NA(),'twice as new'!B47))</f>
        <v>#N/A</v>
      </c>
      <c r="I110" s="1" t="e">
        <f>Damped[[#This Row],[ξI '[-']]]/API_check(Damped[[#This Row],[fI/frun]])</f>
        <v>#N/A</v>
      </c>
      <c r="J110" s="1" t="e">
        <f>Damped[[#This Row],[ξII '[-']]]/API_check(Damped[[#This Row],[fII/frun]])</f>
        <v>#N/A</v>
      </c>
      <c r="K110" s="1" t="e">
        <f>Damped[[#This Row],[ξIII '[-']]]/API_check(Damped[[#This Row],[fIII/frun]])</f>
        <v>#N/A</v>
      </c>
      <c r="L110" s="1" t="e">
        <f>Damped[[#This Row],[ξIV '[-']]]/API_check(Damped[[#This Row],[fIV/frun]])</f>
        <v>#N/A</v>
      </c>
      <c r="M110" s="1" t="e">
        <f>Damped[[#This Row],[ξV '[-']]]/API_check(Damped[[#This Row],[fV/frun]])</f>
        <v>#N/A</v>
      </c>
      <c r="N110" s="1" t="e">
        <f>Damped[[#This Row],[ξVI '[-']]]/API_check(Damped[[#This Row],[fVI/frun]])</f>
        <v>#N/A</v>
      </c>
      <c r="O110" s="1" t="e">
        <f>Damped[[#This Row],[ξVII '[-']]]/API_check(Damped[[#This Row],[fVII/frun]])</f>
        <v>#N/A</v>
      </c>
      <c r="P110" s="1" t="e">
        <f>Damped[[#This Row],[ξVIII '[-']]]/API_check(Damped[[#This Row],[fVIII/frun]])</f>
        <v>#N/A</v>
      </c>
      <c r="Q110" s="1" t="e">
        <f>Damped[[#This Row],[ξIX '[-']]]/API_check(Damped[[#This Row],[fIX/frun]])</f>
        <v>#N/A</v>
      </c>
      <c r="R110" s="1" t="e">
        <f>Damped[[#This Row],[ξX '[-']]]/API_check(Damped[[#This Row],[fX/frun]])</f>
        <v>#N/A</v>
      </c>
      <c r="S110" s="1" t="e">
        <f>Damped[[#This Row],[ξXI '[-']]]/API_check(Damped[[#This Row],[fXI/frun]])</f>
        <v>#N/A</v>
      </c>
      <c r="T110" s="1" t="e">
        <f>Damped[[#This Row],[ξXII '[-']]]/API_check(Damped[[#This Row],[fXII/frun]])</f>
        <v>#N/A</v>
      </c>
      <c r="U110" s="1" t="e" cm="1">
        <f t="array" ref="U110">_xlfn.IFS($I$32=1,IF(ISBLANK(dry!C47),NA(),dry!C47),$I$32=2,IF(ISBLANK('as new'!C47),NA(),'as new'!C47),$I$32=3,IF(ISBLANK('twice as new'!C47),NA(),'twice as new'!C47))</f>
        <v>#N/A</v>
      </c>
      <c r="V110" s="1" t="e" cm="1">
        <f t="array" ref="V110">_xlfn.IFS($I$32=1,IF(ISBLANK(dry!D47),NA(),dry!D47),$I$32=2,IF(ISBLANK('as new'!D47),NA(),'as new'!D47),$I$32=3,IF(ISBLANK('twice as new'!D47),NA(),'twice as new'!D47))</f>
        <v>#N/A</v>
      </c>
      <c r="W110" s="1" t="e" cm="1">
        <f t="array" ref="W110">_xlfn.IFS($I$32=1,IF(ISBLANK(dry!E47),NA(),dry!E47),$I$32=2,IF(ISBLANK('as new'!E47),NA(),'as new'!E47),$I$32=3,IF(ISBLANK('twice as new'!E47),NA(),'twice as new'!E47))</f>
        <v>#N/A</v>
      </c>
      <c r="X110" s="1" t="e" cm="1">
        <f t="array" ref="X110">_xlfn.IFS($I$32=1,IF(ISBLANK(dry!F47),NA(),dry!F47),$I$32=2,IF(ISBLANK('as new'!F47),NA(),'as new'!F47),$I$32=3,IF(ISBLANK('twice as new'!F47),NA(),'twice as new'!F47))</f>
        <v>#N/A</v>
      </c>
      <c r="Y110" s="1" t="e" cm="1">
        <f t="array" ref="Y110">_xlfn.IFS($I$32=1,IF(ISBLANK(dry!G47),NA(),dry!G47),$I$32=2,IF(ISBLANK('as new'!G47),NA(),'as new'!G47),$I$32=3,IF(ISBLANK('twice as new'!G47),NA(),'twice as new'!G47))</f>
        <v>#N/A</v>
      </c>
      <c r="Z110" s="1" t="e" cm="1">
        <f t="array" ref="Z110">_xlfn.IFS($I$32=1,IF(ISBLANK(dry!H47),NA(),dry!H47),$I$32=2,IF(ISBLANK('as new'!H47),NA(),'as new'!H47),$I$32=3,IF(ISBLANK('twice as new'!H47),NA(),'twice as new'!H47))</f>
        <v>#N/A</v>
      </c>
      <c r="AA110" s="1" t="e" cm="1">
        <f t="array" ref="AA110">_xlfn.IFS($I$32=1,IF(ISBLANK(dry!I47),NA(),dry!I47),$I$32=2,IF(ISBLANK('as new'!I47),NA(),'as new'!I47),$I$32=3,IF(ISBLANK('twice as new'!I47),NA(),'twice as new'!I47))</f>
        <v>#N/A</v>
      </c>
      <c r="AB110" s="1" t="e" cm="1">
        <f t="array" ref="AB110">_xlfn.IFS($I$32=1,IF(ISBLANK(dry!J47),NA(),dry!J47),$I$32=2,IF(ISBLANK('as new'!J47),NA(),'as new'!J47),$I$32=3,IF(ISBLANK('twice as new'!J47),NA(),'twice as new'!J47))</f>
        <v>#N/A</v>
      </c>
      <c r="AC110" s="1" t="e" cm="1">
        <f t="array" ref="AC110">_xlfn.IFS($I$32=1,IF(ISBLANK(dry!K47),NA(),dry!K47),$I$32=2,IF(ISBLANK('as new'!K47),NA(),'as new'!K47),$I$32=3,IF(ISBLANK('twice as new'!K47),NA(),'twice as new'!K47))</f>
        <v>#N/A</v>
      </c>
      <c r="AD110" s="1" t="e" cm="1">
        <f t="array" ref="AD110">_xlfn.IFS($I$32=1,IF(ISBLANK(dry!L47),NA(),dry!L47),$I$32=2,IF(ISBLANK('as new'!L47),NA(),'as new'!L47),$I$32=3,IF(ISBLANK('twice as new'!L47),NA(),'twice as new'!L47))</f>
        <v>#N/A</v>
      </c>
      <c r="AE110" s="1" t="e" cm="1">
        <f t="array" ref="AE110">_xlfn.IFS($I$32=1,IF(ISBLANK(dry!M47),NA(),dry!M47),$I$32=2,IF(ISBLANK('as new'!M47),NA(),'as new'!M47),$I$32=3,IF(ISBLANK('twice as new'!M47),NA(),'twice as new'!M47))</f>
        <v>#N/A</v>
      </c>
      <c r="AF110" s="1" t="e" cm="1">
        <f t="array" ref="AF110">_xlfn.IFS($I$32=1,IF(ISBLANK(dry!N47),NA(),dry!N47),$I$32=2,IF(ISBLANK('as new'!N47),NA(),'as new'!N47),$I$32=3,IF(ISBLANK('twice as new'!N47),NA(),'twice as new'!N47))</f>
        <v>#N/A</v>
      </c>
      <c r="AG110" s="1" t="e" cm="1">
        <f t="array" ref="AG110">_xlfn.IFS($I$32=1,IF(ISBLANK(dry!O47),NA(),dry!O47),$I$32=2,IF(ISBLANK('as new'!O47),NA(),'as new'!O47),$I$32=3,IF(ISBLANK('twice as new'!O47),NA(),'twice as new'!O47))</f>
        <v>#N/A</v>
      </c>
      <c r="AH110" s="1" t="e" cm="1">
        <f t="array" ref="AH110">_xlfn.IFS($I$32=1,IF(ISBLANK(dry!P47),NA(),dry!P47),$I$32=2,IF(ISBLANK('as new'!P47),NA(),'as new'!P47),$I$32=3,IF(ISBLANK('twice as new'!P47),NA(),'twice as new'!P47))</f>
        <v>#N/A</v>
      </c>
      <c r="AI110" s="1" t="e" cm="1">
        <f t="array" ref="AI110">_xlfn.IFS($I$32=1,IF(ISBLANK(dry!Q47),NA(),dry!Q47),$I$32=2,IF(ISBLANK('as new'!Q47),NA(),'as new'!Q47),$I$32=3,IF(ISBLANK('twice as new'!Q47),NA(),'twice as new'!Q47))</f>
        <v>#N/A</v>
      </c>
      <c r="AJ110" s="1" t="e" cm="1">
        <f t="array" ref="AJ110">_xlfn.IFS($I$32=1,IF(ISBLANK(dry!R47),NA(),dry!R47),$I$32=2,IF(ISBLANK('as new'!R47),NA(),'as new'!R47),$I$32=3,IF(ISBLANK('twice as new'!R47),NA(),'twice as new'!R47))</f>
        <v>#N/A</v>
      </c>
      <c r="AK110" s="1" t="e">
        <f>IF(CHOOSE($I$32,dry!S47,'as new'!S47,'twice as new'!S47)=0,NA(),CHOOSE($I$32,dry!S47,'as new'!S47,'twice as new'!S47))</f>
        <v>#N/A</v>
      </c>
      <c r="AL110" s="1" t="e">
        <f>IF(CHOOSE($I$32,dry!T47,'as new'!T47,'twice as new'!T47)=0,NA(),CHOOSE($I$32,dry!T47,'as new'!T47,'twice as new'!T47))</f>
        <v>#N/A</v>
      </c>
      <c r="AM110" s="1" t="e">
        <f>IF(CHOOSE($I$32,dry!U47,'as new'!U47,'twice as new'!U47)=0,NA(),CHOOSE($I$32,dry!U47,'as new'!U47,'twice as new'!U47))</f>
        <v>#N/A</v>
      </c>
      <c r="AN110" s="1" t="e">
        <f>IF(CHOOSE($I$32,dry!V47,'as new'!V47,'twice as new'!V47)=0,NA(),CHOOSE($I$32,dry!V47,'as new'!V47,'twice as new'!V47))</f>
        <v>#N/A</v>
      </c>
      <c r="AO110" s="1" t="e">
        <f>IF(CHOOSE($I$32,dry!W47,'as new'!W47,'twice as new'!W47)=0,NA(),CHOOSE($I$32,dry!W47,'as new'!W47,'twice as new'!W47))</f>
        <v>#N/A</v>
      </c>
      <c r="AP110" s="1" t="e">
        <f>IF(CHOOSE($I$32,dry!X47,'as new'!X47,'twice as new'!X47)=0,NA(),CHOOSE($I$32,dry!X47,'as new'!X47,'twice as new'!X47))</f>
        <v>#N/A</v>
      </c>
      <c r="AQ110" s="1" t="e">
        <f>IF(CHOOSE($I$32,dry!Y47,'as new'!Y47,'twice as new'!Y47)=0,NA(),CHOOSE($I$32,dry!Y47,'as new'!Y47,'twice as new'!Y47))</f>
        <v>#N/A</v>
      </c>
      <c r="AR110" s="1" t="e">
        <f>IF(CHOOSE($I$32,dry!Z47,'as new'!Z47,'twice as new'!Z47)=0,NA(),CHOOSE($I$32,dry!Z47,'as new'!Z47,'twice as new'!Z47))</f>
        <v>#N/A</v>
      </c>
      <c r="AS110" s="1" t="e">
        <f>Damped[[#This Row],[fI '[rpm']]]/Damped[[#This Row],[frun '[rpm']]]</f>
        <v>#N/A</v>
      </c>
      <c r="AT110" s="1" t="e">
        <f>Damped[[#This Row],[fII '[rpm']]]/Damped[[#This Row],[frun '[rpm']]]</f>
        <v>#N/A</v>
      </c>
      <c r="AU110" s="1" t="e">
        <f>Damped[[#This Row],[fIII '[rpm']]]/Damped[[#This Row],[frun '[rpm']]]</f>
        <v>#N/A</v>
      </c>
      <c r="AV110" s="1" t="e">
        <f>Damped[[#This Row],[fIV '[rpm']]]/Damped[[#This Row],[frun '[rpm']]]</f>
        <v>#N/A</v>
      </c>
      <c r="AW110" s="1" t="e">
        <f>Damped[[#This Row],[fV '[rpm']]]/Damped[[#This Row],[frun '[rpm']]]</f>
        <v>#N/A</v>
      </c>
      <c r="AX110" s="1" t="e">
        <f>Damped[[#This Row],[fVI '[rpm']]]/Damped[[#This Row],[frun '[rpm']]]</f>
        <v>#N/A</v>
      </c>
      <c r="AY110" s="1" t="e">
        <f>Damped[[#This Row],[fVII '[rpm']]]/Damped[[#This Row],[frun '[rpm']]]</f>
        <v>#N/A</v>
      </c>
      <c r="AZ110" s="1" t="e">
        <f>Damped[[#This Row],[fVIII '[rpm']]]/Damped[[#This Row],[frun '[rpm']]]</f>
        <v>#N/A</v>
      </c>
      <c r="BA110" s="1" t="e">
        <f>Damped[[#This Row],[fIX '[rpm']]]/Damped[[#This Row],[frun '[rpm']]]</f>
        <v>#N/A</v>
      </c>
      <c r="BB110" s="1" t="e">
        <f>Damped[[#This Row],[fX '[rpm']]]/Damped[[#This Row],[frun '[rpm']]]</f>
        <v>#N/A</v>
      </c>
      <c r="BC110" s="1" t="e">
        <f>Damped[[#This Row],[fXI '[rpm']]]/Damped[[#This Row],[frun '[rpm']]]</f>
        <v>#N/A</v>
      </c>
      <c r="BD110" s="1" t="e">
        <f>Damped[[#This Row],[fXII '[rpm']]]/Damped[[#This Row],[frun '[rpm']]]</f>
        <v>#N/A</v>
      </c>
    </row>
    <row r="111" spans="8:56" x14ac:dyDescent="0.25">
      <c r="H111" s="1" t="e" cm="1">
        <f t="array" ref="H111">_xlfn.IFS($I$32=1,IF(ISBLANK(dry!B48),NA(),dry!B48),$I$32=2,IF(ISBLANK('as new'!B48),NA(),'as new'!B48),$I$32=3,IF(ISBLANK('twice as new'!B48),NA(),'twice as new'!B48))</f>
        <v>#N/A</v>
      </c>
      <c r="I111" s="1" t="e">
        <f>Damped[[#This Row],[ξI '[-']]]/API_check(Damped[[#This Row],[fI/frun]])</f>
        <v>#N/A</v>
      </c>
      <c r="J111" s="1" t="e">
        <f>Damped[[#This Row],[ξII '[-']]]/API_check(Damped[[#This Row],[fII/frun]])</f>
        <v>#N/A</v>
      </c>
      <c r="K111" s="1" t="e">
        <f>Damped[[#This Row],[ξIII '[-']]]/API_check(Damped[[#This Row],[fIII/frun]])</f>
        <v>#N/A</v>
      </c>
      <c r="L111" s="1" t="e">
        <f>Damped[[#This Row],[ξIV '[-']]]/API_check(Damped[[#This Row],[fIV/frun]])</f>
        <v>#N/A</v>
      </c>
      <c r="M111" s="1" t="e">
        <f>Damped[[#This Row],[ξV '[-']]]/API_check(Damped[[#This Row],[fV/frun]])</f>
        <v>#N/A</v>
      </c>
      <c r="N111" s="1" t="e">
        <f>Damped[[#This Row],[ξVI '[-']]]/API_check(Damped[[#This Row],[fVI/frun]])</f>
        <v>#N/A</v>
      </c>
      <c r="O111" s="1" t="e">
        <f>Damped[[#This Row],[ξVII '[-']]]/API_check(Damped[[#This Row],[fVII/frun]])</f>
        <v>#N/A</v>
      </c>
      <c r="P111" s="1" t="e">
        <f>Damped[[#This Row],[ξVIII '[-']]]/API_check(Damped[[#This Row],[fVIII/frun]])</f>
        <v>#N/A</v>
      </c>
      <c r="Q111" s="1" t="e">
        <f>Damped[[#This Row],[ξIX '[-']]]/API_check(Damped[[#This Row],[fIX/frun]])</f>
        <v>#N/A</v>
      </c>
      <c r="R111" s="1" t="e">
        <f>Damped[[#This Row],[ξX '[-']]]/API_check(Damped[[#This Row],[fX/frun]])</f>
        <v>#N/A</v>
      </c>
      <c r="S111" s="1" t="e">
        <f>Damped[[#This Row],[ξXI '[-']]]/API_check(Damped[[#This Row],[fXI/frun]])</f>
        <v>#N/A</v>
      </c>
      <c r="T111" s="1" t="e">
        <f>Damped[[#This Row],[ξXII '[-']]]/API_check(Damped[[#This Row],[fXII/frun]])</f>
        <v>#N/A</v>
      </c>
      <c r="U111" s="1" t="e" cm="1">
        <f t="array" ref="U111">_xlfn.IFS($I$32=1,IF(ISBLANK(dry!C48),NA(),dry!C48),$I$32=2,IF(ISBLANK('as new'!C48),NA(),'as new'!C48),$I$32=3,IF(ISBLANK('twice as new'!C48),NA(),'twice as new'!C48))</f>
        <v>#N/A</v>
      </c>
      <c r="V111" s="1" t="e" cm="1">
        <f t="array" ref="V111">_xlfn.IFS($I$32=1,IF(ISBLANK(dry!D48),NA(),dry!D48),$I$32=2,IF(ISBLANK('as new'!D48),NA(),'as new'!D48),$I$32=3,IF(ISBLANK('twice as new'!D48),NA(),'twice as new'!D48))</f>
        <v>#N/A</v>
      </c>
      <c r="W111" s="1" t="e" cm="1">
        <f t="array" ref="W111">_xlfn.IFS($I$32=1,IF(ISBLANK(dry!E48),NA(),dry!E48),$I$32=2,IF(ISBLANK('as new'!E48),NA(),'as new'!E48),$I$32=3,IF(ISBLANK('twice as new'!E48),NA(),'twice as new'!E48))</f>
        <v>#N/A</v>
      </c>
      <c r="X111" s="1" t="e" cm="1">
        <f t="array" ref="X111">_xlfn.IFS($I$32=1,IF(ISBLANK(dry!F48),NA(),dry!F48),$I$32=2,IF(ISBLANK('as new'!F48),NA(),'as new'!F48),$I$32=3,IF(ISBLANK('twice as new'!F48),NA(),'twice as new'!F48))</f>
        <v>#N/A</v>
      </c>
      <c r="Y111" s="1" t="e" cm="1">
        <f t="array" ref="Y111">_xlfn.IFS($I$32=1,IF(ISBLANK(dry!G48),NA(),dry!G48),$I$32=2,IF(ISBLANK('as new'!G48),NA(),'as new'!G48),$I$32=3,IF(ISBLANK('twice as new'!G48),NA(),'twice as new'!G48))</f>
        <v>#N/A</v>
      </c>
      <c r="Z111" s="1" t="e" cm="1">
        <f t="array" ref="Z111">_xlfn.IFS($I$32=1,IF(ISBLANK(dry!H48),NA(),dry!H48),$I$32=2,IF(ISBLANK('as new'!H48),NA(),'as new'!H48),$I$32=3,IF(ISBLANK('twice as new'!H48),NA(),'twice as new'!H48))</f>
        <v>#N/A</v>
      </c>
      <c r="AA111" s="1" t="e" cm="1">
        <f t="array" ref="AA111">_xlfn.IFS($I$32=1,IF(ISBLANK(dry!I48),NA(),dry!I48),$I$32=2,IF(ISBLANK('as new'!I48),NA(),'as new'!I48),$I$32=3,IF(ISBLANK('twice as new'!I48),NA(),'twice as new'!I48))</f>
        <v>#N/A</v>
      </c>
      <c r="AB111" s="1" t="e" cm="1">
        <f t="array" ref="AB111">_xlfn.IFS($I$32=1,IF(ISBLANK(dry!J48),NA(),dry!J48),$I$32=2,IF(ISBLANK('as new'!J48),NA(),'as new'!J48),$I$32=3,IF(ISBLANK('twice as new'!J48),NA(),'twice as new'!J48))</f>
        <v>#N/A</v>
      </c>
      <c r="AC111" s="1" t="e" cm="1">
        <f t="array" ref="AC111">_xlfn.IFS($I$32=1,IF(ISBLANK(dry!K48),NA(),dry!K48),$I$32=2,IF(ISBLANK('as new'!K48),NA(),'as new'!K48),$I$32=3,IF(ISBLANK('twice as new'!K48),NA(),'twice as new'!K48))</f>
        <v>#N/A</v>
      </c>
      <c r="AD111" s="1" t="e" cm="1">
        <f t="array" ref="AD111">_xlfn.IFS($I$32=1,IF(ISBLANK(dry!L48),NA(),dry!L48),$I$32=2,IF(ISBLANK('as new'!L48),NA(),'as new'!L48),$I$32=3,IF(ISBLANK('twice as new'!L48),NA(),'twice as new'!L48))</f>
        <v>#N/A</v>
      </c>
      <c r="AE111" s="1" t="e" cm="1">
        <f t="array" ref="AE111">_xlfn.IFS($I$32=1,IF(ISBLANK(dry!M48),NA(),dry!M48),$I$32=2,IF(ISBLANK('as new'!M48),NA(),'as new'!M48),$I$32=3,IF(ISBLANK('twice as new'!M48),NA(),'twice as new'!M48))</f>
        <v>#N/A</v>
      </c>
      <c r="AF111" s="1" t="e" cm="1">
        <f t="array" ref="AF111">_xlfn.IFS($I$32=1,IF(ISBLANK(dry!N48),NA(),dry!N48),$I$32=2,IF(ISBLANK('as new'!N48),NA(),'as new'!N48),$I$32=3,IF(ISBLANK('twice as new'!N48),NA(),'twice as new'!N48))</f>
        <v>#N/A</v>
      </c>
      <c r="AG111" s="1" t="e" cm="1">
        <f t="array" ref="AG111">_xlfn.IFS($I$32=1,IF(ISBLANK(dry!O48),NA(),dry!O48),$I$32=2,IF(ISBLANK('as new'!O48),NA(),'as new'!O48),$I$32=3,IF(ISBLANK('twice as new'!O48),NA(),'twice as new'!O48))</f>
        <v>#N/A</v>
      </c>
      <c r="AH111" s="1" t="e" cm="1">
        <f t="array" ref="AH111">_xlfn.IFS($I$32=1,IF(ISBLANK(dry!P48),NA(),dry!P48),$I$32=2,IF(ISBLANK('as new'!P48),NA(),'as new'!P48),$I$32=3,IF(ISBLANK('twice as new'!P48),NA(),'twice as new'!P48))</f>
        <v>#N/A</v>
      </c>
      <c r="AI111" s="1" t="e" cm="1">
        <f t="array" ref="AI111">_xlfn.IFS($I$32=1,IF(ISBLANK(dry!Q48),NA(),dry!Q48),$I$32=2,IF(ISBLANK('as new'!Q48),NA(),'as new'!Q48),$I$32=3,IF(ISBLANK('twice as new'!Q48),NA(),'twice as new'!Q48))</f>
        <v>#N/A</v>
      </c>
      <c r="AJ111" s="1" t="e" cm="1">
        <f t="array" ref="AJ111">_xlfn.IFS($I$32=1,IF(ISBLANK(dry!R48),NA(),dry!R48),$I$32=2,IF(ISBLANK('as new'!R48),NA(),'as new'!R48),$I$32=3,IF(ISBLANK('twice as new'!R48),NA(),'twice as new'!R48))</f>
        <v>#N/A</v>
      </c>
      <c r="AK111" s="1" t="e">
        <f>IF(CHOOSE($I$32,dry!S48,'as new'!S48,'twice as new'!S48)=0,NA(),CHOOSE($I$32,dry!S48,'as new'!S48,'twice as new'!S48))</f>
        <v>#N/A</v>
      </c>
      <c r="AL111" s="1" t="e">
        <f>IF(CHOOSE($I$32,dry!T48,'as new'!T48,'twice as new'!T48)=0,NA(),CHOOSE($I$32,dry!T48,'as new'!T48,'twice as new'!T48))</f>
        <v>#N/A</v>
      </c>
      <c r="AM111" s="1" t="e">
        <f>IF(CHOOSE($I$32,dry!U48,'as new'!U48,'twice as new'!U48)=0,NA(),CHOOSE($I$32,dry!U48,'as new'!U48,'twice as new'!U48))</f>
        <v>#N/A</v>
      </c>
      <c r="AN111" s="1" t="e">
        <f>IF(CHOOSE($I$32,dry!V48,'as new'!V48,'twice as new'!V48)=0,NA(),CHOOSE($I$32,dry!V48,'as new'!V48,'twice as new'!V48))</f>
        <v>#N/A</v>
      </c>
      <c r="AO111" s="1" t="e">
        <f>IF(CHOOSE($I$32,dry!W48,'as new'!W48,'twice as new'!W48)=0,NA(),CHOOSE($I$32,dry!W48,'as new'!W48,'twice as new'!W48))</f>
        <v>#N/A</v>
      </c>
      <c r="AP111" s="1" t="e">
        <f>IF(CHOOSE($I$32,dry!X48,'as new'!X48,'twice as new'!X48)=0,NA(),CHOOSE($I$32,dry!X48,'as new'!X48,'twice as new'!X48))</f>
        <v>#N/A</v>
      </c>
      <c r="AQ111" s="1" t="e">
        <f>IF(CHOOSE($I$32,dry!Y48,'as new'!Y48,'twice as new'!Y48)=0,NA(),CHOOSE($I$32,dry!Y48,'as new'!Y48,'twice as new'!Y48))</f>
        <v>#N/A</v>
      </c>
      <c r="AR111" s="1" t="e">
        <f>IF(CHOOSE($I$32,dry!Z48,'as new'!Z48,'twice as new'!Z48)=0,NA(),CHOOSE($I$32,dry!Z48,'as new'!Z48,'twice as new'!Z48))</f>
        <v>#N/A</v>
      </c>
      <c r="AS111" s="1" t="e">
        <f>Damped[[#This Row],[fI '[rpm']]]/Damped[[#This Row],[frun '[rpm']]]</f>
        <v>#N/A</v>
      </c>
      <c r="AT111" s="1" t="e">
        <f>Damped[[#This Row],[fII '[rpm']]]/Damped[[#This Row],[frun '[rpm']]]</f>
        <v>#N/A</v>
      </c>
      <c r="AU111" s="1" t="e">
        <f>Damped[[#This Row],[fIII '[rpm']]]/Damped[[#This Row],[frun '[rpm']]]</f>
        <v>#N/A</v>
      </c>
      <c r="AV111" s="1" t="e">
        <f>Damped[[#This Row],[fIV '[rpm']]]/Damped[[#This Row],[frun '[rpm']]]</f>
        <v>#N/A</v>
      </c>
      <c r="AW111" s="1" t="e">
        <f>Damped[[#This Row],[fV '[rpm']]]/Damped[[#This Row],[frun '[rpm']]]</f>
        <v>#N/A</v>
      </c>
      <c r="AX111" s="1" t="e">
        <f>Damped[[#This Row],[fVI '[rpm']]]/Damped[[#This Row],[frun '[rpm']]]</f>
        <v>#N/A</v>
      </c>
      <c r="AY111" s="1" t="e">
        <f>Damped[[#This Row],[fVII '[rpm']]]/Damped[[#This Row],[frun '[rpm']]]</f>
        <v>#N/A</v>
      </c>
      <c r="AZ111" s="1" t="e">
        <f>Damped[[#This Row],[fVIII '[rpm']]]/Damped[[#This Row],[frun '[rpm']]]</f>
        <v>#N/A</v>
      </c>
      <c r="BA111" s="1" t="e">
        <f>Damped[[#This Row],[fIX '[rpm']]]/Damped[[#This Row],[frun '[rpm']]]</f>
        <v>#N/A</v>
      </c>
      <c r="BB111" s="1" t="e">
        <f>Damped[[#This Row],[fX '[rpm']]]/Damped[[#This Row],[frun '[rpm']]]</f>
        <v>#N/A</v>
      </c>
      <c r="BC111" s="1" t="e">
        <f>Damped[[#This Row],[fXI '[rpm']]]/Damped[[#This Row],[frun '[rpm']]]</f>
        <v>#N/A</v>
      </c>
      <c r="BD111" s="1" t="e">
        <f>Damped[[#This Row],[fXII '[rpm']]]/Damped[[#This Row],[frun '[rpm']]]</f>
        <v>#N/A</v>
      </c>
    </row>
    <row r="112" spans="8:56" x14ac:dyDescent="0.25">
      <c r="H112" s="1" t="e" cm="1">
        <f t="array" ref="H112">_xlfn.IFS($I$32=1,IF(ISBLANK(dry!B49),NA(),dry!B49),$I$32=2,IF(ISBLANK('as new'!B49),NA(),'as new'!B49),$I$32=3,IF(ISBLANK('twice as new'!B49),NA(),'twice as new'!B49))</f>
        <v>#N/A</v>
      </c>
      <c r="I112" s="1" t="e">
        <f>Damped[[#This Row],[ξI '[-']]]/API_check(Damped[[#This Row],[fI/frun]])</f>
        <v>#N/A</v>
      </c>
      <c r="J112" s="1" t="e">
        <f>Damped[[#This Row],[ξII '[-']]]/API_check(Damped[[#This Row],[fII/frun]])</f>
        <v>#N/A</v>
      </c>
      <c r="K112" s="1" t="e">
        <f>Damped[[#This Row],[ξIII '[-']]]/API_check(Damped[[#This Row],[fIII/frun]])</f>
        <v>#N/A</v>
      </c>
      <c r="L112" s="1" t="e">
        <f>Damped[[#This Row],[ξIV '[-']]]/API_check(Damped[[#This Row],[fIV/frun]])</f>
        <v>#N/A</v>
      </c>
      <c r="M112" s="1" t="e">
        <f>Damped[[#This Row],[ξV '[-']]]/API_check(Damped[[#This Row],[fV/frun]])</f>
        <v>#N/A</v>
      </c>
      <c r="N112" s="1" t="e">
        <f>Damped[[#This Row],[ξVI '[-']]]/API_check(Damped[[#This Row],[fVI/frun]])</f>
        <v>#N/A</v>
      </c>
      <c r="O112" s="1" t="e">
        <f>Damped[[#This Row],[ξVII '[-']]]/API_check(Damped[[#This Row],[fVII/frun]])</f>
        <v>#N/A</v>
      </c>
      <c r="P112" s="1" t="e">
        <f>Damped[[#This Row],[ξVIII '[-']]]/API_check(Damped[[#This Row],[fVIII/frun]])</f>
        <v>#N/A</v>
      </c>
      <c r="Q112" s="1" t="e">
        <f>Damped[[#This Row],[ξIX '[-']]]/API_check(Damped[[#This Row],[fIX/frun]])</f>
        <v>#N/A</v>
      </c>
      <c r="R112" s="1" t="e">
        <f>Damped[[#This Row],[ξX '[-']]]/API_check(Damped[[#This Row],[fX/frun]])</f>
        <v>#N/A</v>
      </c>
      <c r="S112" s="1" t="e">
        <f>Damped[[#This Row],[ξXI '[-']]]/API_check(Damped[[#This Row],[fXI/frun]])</f>
        <v>#N/A</v>
      </c>
      <c r="T112" s="1" t="e">
        <f>Damped[[#This Row],[ξXII '[-']]]/API_check(Damped[[#This Row],[fXII/frun]])</f>
        <v>#N/A</v>
      </c>
      <c r="U112" s="1" t="e" cm="1">
        <f t="array" ref="U112">_xlfn.IFS($I$32=1,IF(ISBLANK(dry!C49),NA(),dry!C49),$I$32=2,IF(ISBLANK('as new'!C49),NA(),'as new'!C49),$I$32=3,IF(ISBLANK('twice as new'!C49),NA(),'twice as new'!C49))</f>
        <v>#N/A</v>
      </c>
      <c r="V112" s="1" t="e" cm="1">
        <f t="array" ref="V112">_xlfn.IFS($I$32=1,IF(ISBLANK(dry!D49),NA(),dry!D49),$I$32=2,IF(ISBLANK('as new'!D49),NA(),'as new'!D49),$I$32=3,IF(ISBLANK('twice as new'!D49),NA(),'twice as new'!D49))</f>
        <v>#N/A</v>
      </c>
      <c r="W112" s="1" t="e" cm="1">
        <f t="array" ref="W112">_xlfn.IFS($I$32=1,IF(ISBLANK(dry!E49),NA(),dry!E49),$I$32=2,IF(ISBLANK('as new'!E49),NA(),'as new'!E49),$I$32=3,IF(ISBLANK('twice as new'!E49),NA(),'twice as new'!E49))</f>
        <v>#N/A</v>
      </c>
      <c r="X112" s="1" t="e" cm="1">
        <f t="array" ref="X112">_xlfn.IFS($I$32=1,IF(ISBLANK(dry!F49),NA(),dry!F49),$I$32=2,IF(ISBLANK('as new'!F49),NA(),'as new'!F49),$I$32=3,IF(ISBLANK('twice as new'!F49),NA(),'twice as new'!F49))</f>
        <v>#N/A</v>
      </c>
      <c r="Y112" s="1" t="e" cm="1">
        <f t="array" ref="Y112">_xlfn.IFS($I$32=1,IF(ISBLANK(dry!G49),NA(),dry!G49),$I$32=2,IF(ISBLANK('as new'!G49),NA(),'as new'!G49),$I$32=3,IF(ISBLANK('twice as new'!G49),NA(),'twice as new'!G49))</f>
        <v>#N/A</v>
      </c>
      <c r="Z112" s="1" t="e" cm="1">
        <f t="array" ref="Z112">_xlfn.IFS($I$32=1,IF(ISBLANK(dry!H49),NA(),dry!H49),$I$32=2,IF(ISBLANK('as new'!H49),NA(),'as new'!H49),$I$32=3,IF(ISBLANK('twice as new'!H49),NA(),'twice as new'!H49))</f>
        <v>#N/A</v>
      </c>
      <c r="AA112" s="1" t="e" cm="1">
        <f t="array" ref="AA112">_xlfn.IFS($I$32=1,IF(ISBLANK(dry!I49),NA(),dry!I49),$I$32=2,IF(ISBLANK('as new'!I49),NA(),'as new'!I49),$I$32=3,IF(ISBLANK('twice as new'!I49),NA(),'twice as new'!I49))</f>
        <v>#N/A</v>
      </c>
      <c r="AB112" s="1" t="e" cm="1">
        <f t="array" ref="AB112">_xlfn.IFS($I$32=1,IF(ISBLANK(dry!J49),NA(),dry!J49),$I$32=2,IF(ISBLANK('as new'!J49),NA(),'as new'!J49),$I$32=3,IF(ISBLANK('twice as new'!J49),NA(),'twice as new'!J49))</f>
        <v>#N/A</v>
      </c>
      <c r="AC112" s="1" t="e" cm="1">
        <f t="array" ref="AC112">_xlfn.IFS($I$32=1,IF(ISBLANK(dry!K49),NA(),dry!K49),$I$32=2,IF(ISBLANK('as new'!K49),NA(),'as new'!K49),$I$32=3,IF(ISBLANK('twice as new'!K49),NA(),'twice as new'!K49))</f>
        <v>#N/A</v>
      </c>
      <c r="AD112" s="1" t="e" cm="1">
        <f t="array" ref="AD112">_xlfn.IFS($I$32=1,IF(ISBLANK(dry!L49),NA(),dry!L49),$I$32=2,IF(ISBLANK('as new'!L49),NA(),'as new'!L49),$I$32=3,IF(ISBLANK('twice as new'!L49),NA(),'twice as new'!L49))</f>
        <v>#N/A</v>
      </c>
      <c r="AE112" s="1" t="e" cm="1">
        <f t="array" ref="AE112">_xlfn.IFS($I$32=1,IF(ISBLANK(dry!M49),NA(),dry!M49),$I$32=2,IF(ISBLANK('as new'!M49),NA(),'as new'!M49),$I$32=3,IF(ISBLANK('twice as new'!M49),NA(),'twice as new'!M49))</f>
        <v>#N/A</v>
      </c>
      <c r="AF112" s="1" t="e" cm="1">
        <f t="array" ref="AF112">_xlfn.IFS($I$32=1,IF(ISBLANK(dry!N49),NA(),dry!N49),$I$32=2,IF(ISBLANK('as new'!N49),NA(),'as new'!N49),$I$32=3,IF(ISBLANK('twice as new'!N49),NA(),'twice as new'!N49))</f>
        <v>#N/A</v>
      </c>
      <c r="AG112" s="1" t="e" cm="1">
        <f t="array" ref="AG112">_xlfn.IFS($I$32=1,IF(ISBLANK(dry!O49),NA(),dry!O49),$I$32=2,IF(ISBLANK('as new'!O49),NA(),'as new'!O49),$I$32=3,IF(ISBLANK('twice as new'!O49),NA(),'twice as new'!O49))</f>
        <v>#N/A</v>
      </c>
      <c r="AH112" s="1" t="e" cm="1">
        <f t="array" ref="AH112">_xlfn.IFS($I$32=1,IF(ISBLANK(dry!P49),NA(),dry!P49),$I$32=2,IF(ISBLANK('as new'!P49),NA(),'as new'!P49),$I$32=3,IF(ISBLANK('twice as new'!P49),NA(),'twice as new'!P49))</f>
        <v>#N/A</v>
      </c>
      <c r="AI112" s="1" t="e" cm="1">
        <f t="array" ref="AI112">_xlfn.IFS($I$32=1,IF(ISBLANK(dry!Q49),NA(),dry!Q49),$I$32=2,IF(ISBLANK('as new'!Q49),NA(),'as new'!Q49),$I$32=3,IF(ISBLANK('twice as new'!Q49),NA(),'twice as new'!Q49))</f>
        <v>#N/A</v>
      </c>
      <c r="AJ112" s="1" t="e" cm="1">
        <f t="array" ref="AJ112">_xlfn.IFS($I$32=1,IF(ISBLANK(dry!R49),NA(),dry!R49),$I$32=2,IF(ISBLANK('as new'!R49),NA(),'as new'!R49),$I$32=3,IF(ISBLANK('twice as new'!R49),NA(),'twice as new'!R49))</f>
        <v>#N/A</v>
      </c>
      <c r="AK112" s="1" t="e">
        <f>IF(CHOOSE($I$32,dry!S49,'as new'!S49,'twice as new'!S49)=0,NA(),CHOOSE($I$32,dry!S49,'as new'!S49,'twice as new'!S49))</f>
        <v>#N/A</v>
      </c>
      <c r="AL112" s="1" t="e">
        <f>IF(CHOOSE($I$32,dry!T49,'as new'!T49,'twice as new'!T49)=0,NA(),CHOOSE($I$32,dry!T49,'as new'!T49,'twice as new'!T49))</f>
        <v>#N/A</v>
      </c>
      <c r="AM112" s="1" t="e">
        <f>IF(CHOOSE($I$32,dry!U49,'as new'!U49,'twice as new'!U49)=0,NA(),CHOOSE($I$32,dry!U49,'as new'!U49,'twice as new'!U49))</f>
        <v>#N/A</v>
      </c>
      <c r="AN112" s="1" t="e">
        <f>IF(CHOOSE($I$32,dry!V49,'as new'!V49,'twice as new'!V49)=0,NA(),CHOOSE($I$32,dry!V49,'as new'!V49,'twice as new'!V49))</f>
        <v>#N/A</v>
      </c>
      <c r="AO112" s="1" t="e">
        <f>IF(CHOOSE($I$32,dry!W49,'as new'!W49,'twice as new'!W49)=0,NA(),CHOOSE($I$32,dry!W49,'as new'!W49,'twice as new'!W49))</f>
        <v>#N/A</v>
      </c>
      <c r="AP112" s="1" t="e">
        <f>IF(CHOOSE($I$32,dry!X49,'as new'!X49,'twice as new'!X49)=0,NA(),CHOOSE($I$32,dry!X49,'as new'!X49,'twice as new'!X49))</f>
        <v>#N/A</v>
      </c>
      <c r="AQ112" s="1" t="e">
        <f>IF(CHOOSE($I$32,dry!Y49,'as new'!Y49,'twice as new'!Y49)=0,NA(),CHOOSE($I$32,dry!Y49,'as new'!Y49,'twice as new'!Y49))</f>
        <v>#N/A</v>
      </c>
      <c r="AR112" s="1" t="e">
        <f>IF(CHOOSE($I$32,dry!Z49,'as new'!Z49,'twice as new'!Z49)=0,NA(),CHOOSE($I$32,dry!Z49,'as new'!Z49,'twice as new'!Z49))</f>
        <v>#N/A</v>
      </c>
      <c r="AS112" s="1" t="e">
        <f>Damped[[#This Row],[fI '[rpm']]]/Damped[[#This Row],[frun '[rpm']]]</f>
        <v>#N/A</v>
      </c>
      <c r="AT112" s="1" t="e">
        <f>Damped[[#This Row],[fII '[rpm']]]/Damped[[#This Row],[frun '[rpm']]]</f>
        <v>#N/A</v>
      </c>
      <c r="AU112" s="1" t="e">
        <f>Damped[[#This Row],[fIII '[rpm']]]/Damped[[#This Row],[frun '[rpm']]]</f>
        <v>#N/A</v>
      </c>
      <c r="AV112" s="1" t="e">
        <f>Damped[[#This Row],[fIV '[rpm']]]/Damped[[#This Row],[frun '[rpm']]]</f>
        <v>#N/A</v>
      </c>
      <c r="AW112" s="1" t="e">
        <f>Damped[[#This Row],[fV '[rpm']]]/Damped[[#This Row],[frun '[rpm']]]</f>
        <v>#N/A</v>
      </c>
      <c r="AX112" s="1" t="e">
        <f>Damped[[#This Row],[fVI '[rpm']]]/Damped[[#This Row],[frun '[rpm']]]</f>
        <v>#N/A</v>
      </c>
      <c r="AY112" s="1" t="e">
        <f>Damped[[#This Row],[fVII '[rpm']]]/Damped[[#This Row],[frun '[rpm']]]</f>
        <v>#N/A</v>
      </c>
      <c r="AZ112" s="1" t="e">
        <f>Damped[[#This Row],[fVIII '[rpm']]]/Damped[[#This Row],[frun '[rpm']]]</f>
        <v>#N/A</v>
      </c>
      <c r="BA112" s="1" t="e">
        <f>Damped[[#This Row],[fIX '[rpm']]]/Damped[[#This Row],[frun '[rpm']]]</f>
        <v>#N/A</v>
      </c>
      <c r="BB112" s="1" t="e">
        <f>Damped[[#This Row],[fX '[rpm']]]/Damped[[#This Row],[frun '[rpm']]]</f>
        <v>#N/A</v>
      </c>
      <c r="BC112" s="1" t="e">
        <f>Damped[[#This Row],[fXI '[rpm']]]/Damped[[#This Row],[frun '[rpm']]]</f>
        <v>#N/A</v>
      </c>
      <c r="BD112" s="1" t="e">
        <f>Damped[[#This Row],[fXII '[rpm']]]/Damped[[#This Row],[frun '[rpm']]]</f>
        <v>#N/A</v>
      </c>
    </row>
    <row r="113" spans="8:56" x14ac:dyDescent="0.25">
      <c r="H113" s="1" t="e" cm="1">
        <f t="array" ref="H113">_xlfn.IFS($I$32=1,IF(ISBLANK(dry!B50),NA(),dry!B50),$I$32=2,IF(ISBLANK('as new'!B50),NA(),'as new'!B50),$I$32=3,IF(ISBLANK('twice as new'!B50),NA(),'twice as new'!B50))</f>
        <v>#N/A</v>
      </c>
      <c r="I113" s="1" t="e">
        <f>Damped[[#This Row],[ξI '[-']]]/API_check(Damped[[#This Row],[fI/frun]])</f>
        <v>#N/A</v>
      </c>
      <c r="J113" s="1" t="e">
        <f>Damped[[#This Row],[ξII '[-']]]/API_check(Damped[[#This Row],[fII/frun]])</f>
        <v>#N/A</v>
      </c>
      <c r="K113" s="1" t="e">
        <f>Damped[[#This Row],[ξIII '[-']]]/API_check(Damped[[#This Row],[fIII/frun]])</f>
        <v>#N/A</v>
      </c>
      <c r="L113" s="1" t="e">
        <f>Damped[[#This Row],[ξIV '[-']]]/API_check(Damped[[#This Row],[fIV/frun]])</f>
        <v>#N/A</v>
      </c>
      <c r="M113" s="1" t="e">
        <f>Damped[[#This Row],[ξV '[-']]]/API_check(Damped[[#This Row],[fV/frun]])</f>
        <v>#N/A</v>
      </c>
      <c r="N113" s="1" t="e">
        <f>Damped[[#This Row],[ξVI '[-']]]/API_check(Damped[[#This Row],[fVI/frun]])</f>
        <v>#N/A</v>
      </c>
      <c r="O113" s="1" t="e">
        <f>Damped[[#This Row],[ξVII '[-']]]/API_check(Damped[[#This Row],[fVII/frun]])</f>
        <v>#N/A</v>
      </c>
      <c r="P113" s="1" t="e">
        <f>Damped[[#This Row],[ξVIII '[-']]]/API_check(Damped[[#This Row],[fVIII/frun]])</f>
        <v>#N/A</v>
      </c>
      <c r="Q113" s="1" t="e">
        <f>Damped[[#This Row],[ξIX '[-']]]/API_check(Damped[[#This Row],[fIX/frun]])</f>
        <v>#N/A</v>
      </c>
      <c r="R113" s="1" t="e">
        <f>Damped[[#This Row],[ξX '[-']]]/API_check(Damped[[#This Row],[fX/frun]])</f>
        <v>#N/A</v>
      </c>
      <c r="S113" s="1" t="e">
        <f>Damped[[#This Row],[ξXI '[-']]]/API_check(Damped[[#This Row],[fXI/frun]])</f>
        <v>#N/A</v>
      </c>
      <c r="T113" s="1" t="e">
        <f>Damped[[#This Row],[ξXII '[-']]]/API_check(Damped[[#This Row],[fXII/frun]])</f>
        <v>#N/A</v>
      </c>
      <c r="U113" s="1" t="e" cm="1">
        <f t="array" ref="U113">_xlfn.IFS($I$32=1,IF(ISBLANK(dry!C50),NA(),dry!C50),$I$32=2,IF(ISBLANK('as new'!C50),NA(),'as new'!C50),$I$32=3,IF(ISBLANK('twice as new'!C50),NA(),'twice as new'!C50))</f>
        <v>#N/A</v>
      </c>
      <c r="V113" s="1" t="e" cm="1">
        <f t="array" ref="V113">_xlfn.IFS($I$32=1,IF(ISBLANK(dry!D50),NA(),dry!D50),$I$32=2,IF(ISBLANK('as new'!D50),NA(),'as new'!D50),$I$32=3,IF(ISBLANK('twice as new'!D50),NA(),'twice as new'!D50))</f>
        <v>#N/A</v>
      </c>
      <c r="W113" s="1" t="e" cm="1">
        <f t="array" ref="W113">_xlfn.IFS($I$32=1,IF(ISBLANK(dry!E50),NA(),dry!E50),$I$32=2,IF(ISBLANK('as new'!E50),NA(),'as new'!E50),$I$32=3,IF(ISBLANK('twice as new'!E50),NA(),'twice as new'!E50))</f>
        <v>#N/A</v>
      </c>
      <c r="X113" s="1" t="e" cm="1">
        <f t="array" ref="X113">_xlfn.IFS($I$32=1,IF(ISBLANK(dry!F50),NA(),dry!F50),$I$32=2,IF(ISBLANK('as new'!F50),NA(),'as new'!F50),$I$32=3,IF(ISBLANK('twice as new'!F50),NA(),'twice as new'!F50))</f>
        <v>#N/A</v>
      </c>
      <c r="Y113" s="1" t="e" cm="1">
        <f t="array" ref="Y113">_xlfn.IFS($I$32=1,IF(ISBLANK(dry!G50),NA(),dry!G50),$I$32=2,IF(ISBLANK('as new'!G50),NA(),'as new'!G50),$I$32=3,IF(ISBLANK('twice as new'!G50),NA(),'twice as new'!G50))</f>
        <v>#N/A</v>
      </c>
      <c r="Z113" s="1" t="e" cm="1">
        <f t="array" ref="Z113">_xlfn.IFS($I$32=1,IF(ISBLANK(dry!H50),NA(),dry!H50),$I$32=2,IF(ISBLANK('as new'!H50),NA(),'as new'!H50),$I$32=3,IF(ISBLANK('twice as new'!H50),NA(),'twice as new'!H50))</f>
        <v>#N/A</v>
      </c>
      <c r="AA113" s="1" t="e" cm="1">
        <f t="array" ref="AA113">_xlfn.IFS($I$32=1,IF(ISBLANK(dry!I50),NA(),dry!I50),$I$32=2,IF(ISBLANK('as new'!I50),NA(),'as new'!I50),$I$32=3,IF(ISBLANK('twice as new'!I50),NA(),'twice as new'!I50))</f>
        <v>#N/A</v>
      </c>
      <c r="AB113" s="1" t="e" cm="1">
        <f t="array" ref="AB113">_xlfn.IFS($I$32=1,IF(ISBLANK(dry!J50),NA(),dry!J50),$I$32=2,IF(ISBLANK('as new'!J50),NA(),'as new'!J50),$I$32=3,IF(ISBLANK('twice as new'!J50),NA(),'twice as new'!J50))</f>
        <v>#N/A</v>
      </c>
      <c r="AC113" s="1" t="e" cm="1">
        <f t="array" ref="AC113">_xlfn.IFS($I$32=1,IF(ISBLANK(dry!K50),NA(),dry!K50),$I$32=2,IF(ISBLANK('as new'!K50),NA(),'as new'!K50),$I$32=3,IF(ISBLANK('twice as new'!K50),NA(),'twice as new'!K50))</f>
        <v>#N/A</v>
      </c>
      <c r="AD113" s="1" t="e" cm="1">
        <f t="array" ref="AD113">_xlfn.IFS($I$32=1,IF(ISBLANK(dry!L50),NA(),dry!L50),$I$32=2,IF(ISBLANK('as new'!L50),NA(),'as new'!L50),$I$32=3,IF(ISBLANK('twice as new'!L50),NA(),'twice as new'!L50))</f>
        <v>#N/A</v>
      </c>
      <c r="AE113" s="1" t="e" cm="1">
        <f t="array" ref="AE113">_xlfn.IFS($I$32=1,IF(ISBLANK(dry!M50),NA(),dry!M50),$I$32=2,IF(ISBLANK('as new'!M50),NA(),'as new'!M50),$I$32=3,IF(ISBLANK('twice as new'!M50),NA(),'twice as new'!M50))</f>
        <v>#N/A</v>
      </c>
      <c r="AF113" s="1" t="e" cm="1">
        <f t="array" ref="AF113">_xlfn.IFS($I$32=1,IF(ISBLANK(dry!N50),NA(),dry!N50),$I$32=2,IF(ISBLANK('as new'!N50),NA(),'as new'!N50),$I$32=3,IF(ISBLANK('twice as new'!N50),NA(),'twice as new'!N50))</f>
        <v>#N/A</v>
      </c>
      <c r="AG113" s="1" t="e" cm="1">
        <f t="array" ref="AG113">_xlfn.IFS($I$32=1,IF(ISBLANK(dry!O50),NA(),dry!O50),$I$32=2,IF(ISBLANK('as new'!O50),NA(),'as new'!O50),$I$32=3,IF(ISBLANK('twice as new'!O50),NA(),'twice as new'!O50))</f>
        <v>#N/A</v>
      </c>
      <c r="AH113" s="1" t="e" cm="1">
        <f t="array" ref="AH113">_xlfn.IFS($I$32=1,IF(ISBLANK(dry!P50),NA(),dry!P50),$I$32=2,IF(ISBLANK('as new'!P50),NA(),'as new'!P50),$I$32=3,IF(ISBLANK('twice as new'!P50),NA(),'twice as new'!P50))</f>
        <v>#N/A</v>
      </c>
      <c r="AI113" s="1" t="e" cm="1">
        <f t="array" ref="AI113">_xlfn.IFS($I$32=1,IF(ISBLANK(dry!Q50),NA(),dry!Q50),$I$32=2,IF(ISBLANK('as new'!Q50),NA(),'as new'!Q50),$I$32=3,IF(ISBLANK('twice as new'!Q50),NA(),'twice as new'!Q50))</f>
        <v>#N/A</v>
      </c>
      <c r="AJ113" s="1" t="e" cm="1">
        <f t="array" ref="AJ113">_xlfn.IFS($I$32=1,IF(ISBLANK(dry!R50),NA(),dry!R50),$I$32=2,IF(ISBLANK('as new'!R50),NA(),'as new'!R50),$I$32=3,IF(ISBLANK('twice as new'!R50),NA(),'twice as new'!R50))</f>
        <v>#N/A</v>
      </c>
      <c r="AK113" s="1" t="e">
        <f>IF(CHOOSE($I$32,dry!S50,'as new'!S50,'twice as new'!S50)=0,NA(),CHOOSE($I$32,dry!S50,'as new'!S50,'twice as new'!S50))</f>
        <v>#N/A</v>
      </c>
      <c r="AL113" s="1" t="e">
        <f>IF(CHOOSE($I$32,dry!T50,'as new'!T50,'twice as new'!T50)=0,NA(),CHOOSE($I$32,dry!T50,'as new'!T50,'twice as new'!T50))</f>
        <v>#N/A</v>
      </c>
      <c r="AM113" s="1" t="e">
        <f>IF(CHOOSE($I$32,dry!U50,'as new'!U50,'twice as new'!U50)=0,NA(),CHOOSE($I$32,dry!U50,'as new'!U50,'twice as new'!U50))</f>
        <v>#N/A</v>
      </c>
      <c r="AN113" s="1" t="e">
        <f>IF(CHOOSE($I$32,dry!V50,'as new'!V50,'twice as new'!V50)=0,NA(),CHOOSE($I$32,dry!V50,'as new'!V50,'twice as new'!V50))</f>
        <v>#N/A</v>
      </c>
      <c r="AO113" s="1" t="e">
        <f>IF(CHOOSE($I$32,dry!W50,'as new'!W50,'twice as new'!W50)=0,NA(),CHOOSE($I$32,dry!W50,'as new'!W50,'twice as new'!W50))</f>
        <v>#N/A</v>
      </c>
      <c r="AP113" s="1" t="e">
        <f>IF(CHOOSE($I$32,dry!X50,'as new'!X50,'twice as new'!X50)=0,NA(),CHOOSE($I$32,dry!X50,'as new'!X50,'twice as new'!X50))</f>
        <v>#N/A</v>
      </c>
      <c r="AQ113" s="1" t="e">
        <f>IF(CHOOSE($I$32,dry!Y50,'as new'!Y50,'twice as new'!Y50)=0,NA(),CHOOSE($I$32,dry!Y50,'as new'!Y50,'twice as new'!Y50))</f>
        <v>#N/A</v>
      </c>
      <c r="AR113" s="1" t="e">
        <f>IF(CHOOSE($I$32,dry!Z50,'as new'!Z50,'twice as new'!Z50)=0,NA(),CHOOSE($I$32,dry!Z50,'as new'!Z50,'twice as new'!Z50))</f>
        <v>#N/A</v>
      </c>
      <c r="AS113" s="1" t="e">
        <f>Damped[[#This Row],[fI '[rpm']]]/Damped[[#This Row],[frun '[rpm']]]</f>
        <v>#N/A</v>
      </c>
      <c r="AT113" s="1" t="e">
        <f>Damped[[#This Row],[fII '[rpm']]]/Damped[[#This Row],[frun '[rpm']]]</f>
        <v>#N/A</v>
      </c>
      <c r="AU113" s="1" t="e">
        <f>Damped[[#This Row],[fIII '[rpm']]]/Damped[[#This Row],[frun '[rpm']]]</f>
        <v>#N/A</v>
      </c>
      <c r="AV113" s="1" t="e">
        <f>Damped[[#This Row],[fIV '[rpm']]]/Damped[[#This Row],[frun '[rpm']]]</f>
        <v>#N/A</v>
      </c>
      <c r="AW113" s="1" t="e">
        <f>Damped[[#This Row],[fV '[rpm']]]/Damped[[#This Row],[frun '[rpm']]]</f>
        <v>#N/A</v>
      </c>
      <c r="AX113" s="1" t="e">
        <f>Damped[[#This Row],[fVI '[rpm']]]/Damped[[#This Row],[frun '[rpm']]]</f>
        <v>#N/A</v>
      </c>
      <c r="AY113" s="1" t="e">
        <f>Damped[[#This Row],[fVII '[rpm']]]/Damped[[#This Row],[frun '[rpm']]]</f>
        <v>#N/A</v>
      </c>
      <c r="AZ113" s="1" t="e">
        <f>Damped[[#This Row],[fVIII '[rpm']]]/Damped[[#This Row],[frun '[rpm']]]</f>
        <v>#N/A</v>
      </c>
      <c r="BA113" s="1" t="e">
        <f>Damped[[#This Row],[fIX '[rpm']]]/Damped[[#This Row],[frun '[rpm']]]</f>
        <v>#N/A</v>
      </c>
      <c r="BB113" s="1" t="e">
        <f>Damped[[#This Row],[fX '[rpm']]]/Damped[[#This Row],[frun '[rpm']]]</f>
        <v>#N/A</v>
      </c>
      <c r="BC113" s="1" t="e">
        <f>Damped[[#This Row],[fXI '[rpm']]]/Damped[[#This Row],[frun '[rpm']]]</f>
        <v>#N/A</v>
      </c>
      <c r="BD113" s="1" t="e">
        <f>Damped[[#This Row],[fXII '[rpm']]]/Damped[[#This Row],[frun '[rpm']]]</f>
        <v>#N/A</v>
      </c>
    </row>
    <row r="114" spans="8:56" x14ac:dyDescent="0.25">
      <c r="H114" s="1" t="e" cm="1">
        <f t="array" ref="H114">_xlfn.IFS($I$32=1,IF(ISBLANK(dry!B51),NA(),dry!B51),$I$32=2,IF(ISBLANK('as new'!B51),NA(),'as new'!B51),$I$32=3,IF(ISBLANK('twice as new'!B51),NA(),'twice as new'!B51))</f>
        <v>#N/A</v>
      </c>
      <c r="I114" s="1" t="e">
        <f>Damped[[#This Row],[ξI '[-']]]/API_check(Damped[[#This Row],[fI/frun]])</f>
        <v>#N/A</v>
      </c>
      <c r="J114" s="1" t="e">
        <f>Damped[[#This Row],[ξII '[-']]]/API_check(Damped[[#This Row],[fII/frun]])</f>
        <v>#N/A</v>
      </c>
      <c r="K114" s="1" t="e">
        <f>Damped[[#This Row],[ξIII '[-']]]/API_check(Damped[[#This Row],[fIII/frun]])</f>
        <v>#N/A</v>
      </c>
      <c r="L114" s="1" t="e">
        <f>Damped[[#This Row],[ξIV '[-']]]/API_check(Damped[[#This Row],[fIV/frun]])</f>
        <v>#N/A</v>
      </c>
      <c r="M114" s="1" t="e">
        <f>Damped[[#This Row],[ξV '[-']]]/API_check(Damped[[#This Row],[fV/frun]])</f>
        <v>#N/A</v>
      </c>
      <c r="N114" s="1" t="e">
        <f>Damped[[#This Row],[ξVI '[-']]]/API_check(Damped[[#This Row],[fVI/frun]])</f>
        <v>#N/A</v>
      </c>
      <c r="O114" s="1" t="e">
        <f>Damped[[#This Row],[ξVII '[-']]]/API_check(Damped[[#This Row],[fVII/frun]])</f>
        <v>#N/A</v>
      </c>
      <c r="P114" s="1" t="e">
        <f>Damped[[#This Row],[ξVIII '[-']]]/API_check(Damped[[#This Row],[fVIII/frun]])</f>
        <v>#N/A</v>
      </c>
      <c r="Q114" s="1" t="e">
        <f>Damped[[#This Row],[ξIX '[-']]]/API_check(Damped[[#This Row],[fIX/frun]])</f>
        <v>#N/A</v>
      </c>
      <c r="R114" s="1" t="e">
        <f>Damped[[#This Row],[ξX '[-']]]/API_check(Damped[[#This Row],[fX/frun]])</f>
        <v>#N/A</v>
      </c>
      <c r="S114" s="1" t="e">
        <f>Damped[[#This Row],[ξXI '[-']]]/API_check(Damped[[#This Row],[fXI/frun]])</f>
        <v>#N/A</v>
      </c>
      <c r="T114" s="1" t="e">
        <f>Damped[[#This Row],[ξXII '[-']]]/API_check(Damped[[#This Row],[fXII/frun]])</f>
        <v>#N/A</v>
      </c>
      <c r="U114" s="1" t="e" cm="1">
        <f t="array" ref="U114">_xlfn.IFS($I$32=1,IF(ISBLANK(dry!C51),NA(),dry!C51),$I$32=2,IF(ISBLANK('as new'!C51),NA(),'as new'!C51),$I$32=3,IF(ISBLANK('twice as new'!C51),NA(),'twice as new'!C51))</f>
        <v>#N/A</v>
      </c>
      <c r="V114" s="1" t="e" cm="1">
        <f t="array" ref="V114">_xlfn.IFS($I$32=1,IF(ISBLANK(dry!D51),NA(),dry!D51),$I$32=2,IF(ISBLANK('as new'!D51),NA(),'as new'!D51),$I$32=3,IF(ISBLANK('twice as new'!D51),NA(),'twice as new'!D51))</f>
        <v>#N/A</v>
      </c>
      <c r="W114" s="1" t="e" cm="1">
        <f t="array" ref="W114">_xlfn.IFS($I$32=1,IF(ISBLANK(dry!E51),NA(),dry!E51),$I$32=2,IF(ISBLANK('as new'!E51),NA(),'as new'!E51),$I$32=3,IF(ISBLANK('twice as new'!E51),NA(),'twice as new'!E51))</f>
        <v>#N/A</v>
      </c>
      <c r="X114" s="1" t="e" cm="1">
        <f t="array" ref="X114">_xlfn.IFS($I$32=1,IF(ISBLANK(dry!F51),NA(),dry!F51),$I$32=2,IF(ISBLANK('as new'!F51),NA(),'as new'!F51),$I$32=3,IF(ISBLANK('twice as new'!F51),NA(),'twice as new'!F51))</f>
        <v>#N/A</v>
      </c>
      <c r="Y114" s="1" t="e" cm="1">
        <f t="array" ref="Y114">_xlfn.IFS($I$32=1,IF(ISBLANK(dry!G51),NA(),dry!G51),$I$32=2,IF(ISBLANK('as new'!G51),NA(),'as new'!G51),$I$32=3,IF(ISBLANK('twice as new'!G51),NA(),'twice as new'!G51))</f>
        <v>#N/A</v>
      </c>
      <c r="Z114" s="1" t="e" cm="1">
        <f t="array" ref="Z114">_xlfn.IFS($I$32=1,IF(ISBLANK(dry!H51),NA(),dry!H51),$I$32=2,IF(ISBLANK('as new'!H51),NA(),'as new'!H51),$I$32=3,IF(ISBLANK('twice as new'!H51),NA(),'twice as new'!H51))</f>
        <v>#N/A</v>
      </c>
      <c r="AA114" s="1" t="e" cm="1">
        <f t="array" ref="AA114">_xlfn.IFS($I$32=1,IF(ISBLANK(dry!I51),NA(),dry!I51),$I$32=2,IF(ISBLANK('as new'!I51),NA(),'as new'!I51),$I$32=3,IF(ISBLANK('twice as new'!I51),NA(),'twice as new'!I51))</f>
        <v>#N/A</v>
      </c>
      <c r="AB114" s="1" t="e" cm="1">
        <f t="array" ref="AB114">_xlfn.IFS($I$32=1,IF(ISBLANK(dry!J51),NA(),dry!J51),$I$32=2,IF(ISBLANK('as new'!J51),NA(),'as new'!J51),$I$32=3,IF(ISBLANK('twice as new'!J51),NA(),'twice as new'!J51))</f>
        <v>#N/A</v>
      </c>
      <c r="AC114" s="1" t="e" cm="1">
        <f t="array" ref="AC114">_xlfn.IFS($I$32=1,IF(ISBLANK(dry!K51),NA(),dry!K51),$I$32=2,IF(ISBLANK('as new'!K51),NA(),'as new'!K51),$I$32=3,IF(ISBLANK('twice as new'!K51),NA(),'twice as new'!K51))</f>
        <v>#N/A</v>
      </c>
      <c r="AD114" s="1" t="e" cm="1">
        <f t="array" ref="AD114">_xlfn.IFS($I$32=1,IF(ISBLANK(dry!L51),NA(),dry!L51),$I$32=2,IF(ISBLANK('as new'!L51),NA(),'as new'!L51),$I$32=3,IF(ISBLANK('twice as new'!L51),NA(),'twice as new'!L51))</f>
        <v>#N/A</v>
      </c>
      <c r="AE114" s="1" t="e" cm="1">
        <f t="array" ref="AE114">_xlfn.IFS($I$32=1,IF(ISBLANK(dry!M51),NA(),dry!M51),$I$32=2,IF(ISBLANK('as new'!M51),NA(),'as new'!M51),$I$32=3,IF(ISBLANK('twice as new'!M51),NA(),'twice as new'!M51))</f>
        <v>#N/A</v>
      </c>
      <c r="AF114" s="1" t="e" cm="1">
        <f t="array" ref="AF114">_xlfn.IFS($I$32=1,IF(ISBLANK(dry!N51),NA(),dry!N51),$I$32=2,IF(ISBLANK('as new'!N51),NA(),'as new'!N51),$I$32=3,IF(ISBLANK('twice as new'!N51),NA(),'twice as new'!N51))</f>
        <v>#N/A</v>
      </c>
      <c r="AG114" s="1" t="e" cm="1">
        <f t="array" ref="AG114">_xlfn.IFS($I$32=1,IF(ISBLANK(dry!O51),NA(),dry!O51),$I$32=2,IF(ISBLANK('as new'!O51),NA(),'as new'!O51),$I$32=3,IF(ISBLANK('twice as new'!O51),NA(),'twice as new'!O51))</f>
        <v>#N/A</v>
      </c>
      <c r="AH114" s="1" t="e" cm="1">
        <f t="array" ref="AH114">_xlfn.IFS($I$32=1,IF(ISBLANK(dry!P51),NA(),dry!P51),$I$32=2,IF(ISBLANK('as new'!P51),NA(),'as new'!P51),$I$32=3,IF(ISBLANK('twice as new'!P51),NA(),'twice as new'!P51))</f>
        <v>#N/A</v>
      </c>
      <c r="AI114" s="1" t="e" cm="1">
        <f t="array" ref="AI114">_xlfn.IFS($I$32=1,IF(ISBLANK(dry!Q51),NA(),dry!Q51),$I$32=2,IF(ISBLANK('as new'!Q51),NA(),'as new'!Q51),$I$32=3,IF(ISBLANK('twice as new'!Q51),NA(),'twice as new'!Q51))</f>
        <v>#N/A</v>
      </c>
      <c r="AJ114" s="1" t="e" cm="1">
        <f t="array" ref="AJ114">_xlfn.IFS($I$32=1,IF(ISBLANK(dry!R51),NA(),dry!R51),$I$32=2,IF(ISBLANK('as new'!R51),NA(),'as new'!R51),$I$32=3,IF(ISBLANK('twice as new'!R51),NA(),'twice as new'!R51))</f>
        <v>#N/A</v>
      </c>
      <c r="AK114" s="1" t="e">
        <f>IF(CHOOSE($I$32,dry!S51,'as new'!S51,'twice as new'!S51)=0,NA(),CHOOSE($I$32,dry!S51,'as new'!S51,'twice as new'!S51))</f>
        <v>#N/A</v>
      </c>
      <c r="AL114" s="1" t="e">
        <f>IF(CHOOSE($I$32,dry!T51,'as new'!T51,'twice as new'!T51)=0,NA(),CHOOSE($I$32,dry!T51,'as new'!T51,'twice as new'!T51))</f>
        <v>#N/A</v>
      </c>
      <c r="AM114" s="1" t="e">
        <f>IF(CHOOSE($I$32,dry!U51,'as new'!U51,'twice as new'!U51)=0,NA(),CHOOSE($I$32,dry!U51,'as new'!U51,'twice as new'!U51))</f>
        <v>#N/A</v>
      </c>
      <c r="AN114" s="1" t="e">
        <f>IF(CHOOSE($I$32,dry!V51,'as new'!V51,'twice as new'!V51)=0,NA(),CHOOSE($I$32,dry!V51,'as new'!V51,'twice as new'!V51))</f>
        <v>#N/A</v>
      </c>
      <c r="AO114" s="1" t="e">
        <f>IF(CHOOSE($I$32,dry!W51,'as new'!W51,'twice as new'!W51)=0,NA(),CHOOSE($I$32,dry!W51,'as new'!W51,'twice as new'!W51))</f>
        <v>#N/A</v>
      </c>
      <c r="AP114" s="1" t="e">
        <f>IF(CHOOSE($I$32,dry!X51,'as new'!X51,'twice as new'!X51)=0,NA(),CHOOSE($I$32,dry!X51,'as new'!X51,'twice as new'!X51))</f>
        <v>#N/A</v>
      </c>
      <c r="AQ114" s="1" t="e">
        <f>IF(CHOOSE($I$32,dry!Y51,'as new'!Y51,'twice as new'!Y51)=0,NA(),CHOOSE($I$32,dry!Y51,'as new'!Y51,'twice as new'!Y51))</f>
        <v>#N/A</v>
      </c>
      <c r="AR114" s="1" t="e">
        <f>IF(CHOOSE($I$32,dry!Z51,'as new'!Z51,'twice as new'!Z51)=0,NA(),CHOOSE($I$32,dry!Z51,'as new'!Z51,'twice as new'!Z51))</f>
        <v>#N/A</v>
      </c>
      <c r="AS114" s="1" t="e">
        <f>Damped[[#This Row],[fI '[rpm']]]/Damped[[#This Row],[frun '[rpm']]]</f>
        <v>#N/A</v>
      </c>
      <c r="AT114" s="1" t="e">
        <f>Damped[[#This Row],[fII '[rpm']]]/Damped[[#This Row],[frun '[rpm']]]</f>
        <v>#N/A</v>
      </c>
      <c r="AU114" s="1" t="e">
        <f>Damped[[#This Row],[fIII '[rpm']]]/Damped[[#This Row],[frun '[rpm']]]</f>
        <v>#N/A</v>
      </c>
      <c r="AV114" s="1" t="e">
        <f>Damped[[#This Row],[fIV '[rpm']]]/Damped[[#This Row],[frun '[rpm']]]</f>
        <v>#N/A</v>
      </c>
      <c r="AW114" s="1" t="e">
        <f>Damped[[#This Row],[fV '[rpm']]]/Damped[[#This Row],[frun '[rpm']]]</f>
        <v>#N/A</v>
      </c>
      <c r="AX114" s="1" t="e">
        <f>Damped[[#This Row],[fVI '[rpm']]]/Damped[[#This Row],[frun '[rpm']]]</f>
        <v>#N/A</v>
      </c>
      <c r="AY114" s="1" t="e">
        <f>Damped[[#This Row],[fVII '[rpm']]]/Damped[[#This Row],[frun '[rpm']]]</f>
        <v>#N/A</v>
      </c>
      <c r="AZ114" s="1" t="e">
        <f>Damped[[#This Row],[fVIII '[rpm']]]/Damped[[#This Row],[frun '[rpm']]]</f>
        <v>#N/A</v>
      </c>
      <c r="BA114" s="1" t="e">
        <f>Damped[[#This Row],[fIX '[rpm']]]/Damped[[#This Row],[frun '[rpm']]]</f>
        <v>#N/A</v>
      </c>
      <c r="BB114" s="1" t="e">
        <f>Damped[[#This Row],[fX '[rpm']]]/Damped[[#This Row],[frun '[rpm']]]</f>
        <v>#N/A</v>
      </c>
      <c r="BC114" s="1" t="e">
        <f>Damped[[#This Row],[fXI '[rpm']]]/Damped[[#This Row],[frun '[rpm']]]</f>
        <v>#N/A</v>
      </c>
      <c r="BD114" s="1" t="e">
        <f>Damped[[#This Row],[fXII '[rpm']]]/Damped[[#This Row],[frun '[rpm']]]</f>
        <v>#N/A</v>
      </c>
    </row>
    <row r="115" spans="8:56" x14ac:dyDescent="0.25">
      <c r="H115" s="1" t="e" cm="1">
        <f t="array" ref="H115">_xlfn.IFS($I$32=1,IF(ISBLANK(dry!B52),NA(),dry!B52),$I$32=2,IF(ISBLANK('as new'!B52),NA(),'as new'!B52),$I$32=3,IF(ISBLANK('twice as new'!B52),NA(),'twice as new'!B52))</f>
        <v>#N/A</v>
      </c>
      <c r="I115" s="1" t="e">
        <f>Damped[[#This Row],[ξI '[-']]]/API_check(Damped[[#This Row],[fI/frun]])</f>
        <v>#N/A</v>
      </c>
      <c r="J115" s="1" t="e">
        <f>Damped[[#This Row],[ξII '[-']]]/API_check(Damped[[#This Row],[fII/frun]])</f>
        <v>#N/A</v>
      </c>
      <c r="K115" s="1" t="e">
        <f>Damped[[#This Row],[ξIII '[-']]]/API_check(Damped[[#This Row],[fIII/frun]])</f>
        <v>#N/A</v>
      </c>
      <c r="L115" s="1" t="e">
        <f>Damped[[#This Row],[ξIV '[-']]]/API_check(Damped[[#This Row],[fIV/frun]])</f>
        <v>#N/A</v>
      </c>
      <c r="M115" s="1" t="e">
        <f>Damped[[#This Row],[ξV '[-']]]/API_check(Damped[[#This Row],[fV/frun]])</f>
        <v>#N/A</v>
      </c>
      <c r="N115" s="1" t="e">
        <f>Damped[[#This Row],[ξVI '[-']]]/API_check(Damped[[#This Row],[fVI/frun]])</f>
        <v>#N/A</v>
      </c>
      <c r="O115" s="1" t="e">
        <f>Damped[[#This Row],[ξVII '[-']]]/API_check(Damped[[#This Row],[fVII/frun]])</f>
        <v>#N/A</v>
      </c>
      <c r="P115" s="1" t="e">
        <f>Damped[[#This Row],[ξVIII '[-']]]/API_check(Damped[[#This Row],[fVIII/frun]])</f>
        <v>#N/A</v>
      </c>
      <c r="Q115" s="1" t="e">
        <f>Damped[[#This Row],[ξIX '[-']]]/API_check(Damped[[#This Row],[fIX/frun]])</f>
        <v>#N/A</v>
      </c>
      <c r="R115" s="1" t="e">
        <f>Damped[[#This Row],[ξX '[-']]]/API_check(Damped[[#This Row],[fX/frun]])</f>
        <v>#N/A</v>
      </c>
      <c r="S115" s="1" t="e">
        <f>Damped[[#This Row],[ξXI '[-']]]/API_check(Damped[[#This Row],[fXI/frun]])</f>
        <v>#N/A</v>
      </c>
      <c r="T115" s="1" t="e">
        <f>Damped[[#This Row],[ξXII '[-']]]/API_check(Damped[[#This Row],[fXII/frun]])</f>
        <v>#N/A</v>
      </c>
      <c r="U115" s="1" t="e" cm="1">
        <f t="array" ref="U115">_xlfn.IFS($I$32=1,IF(ISBLANK(dry!C52),NA(),dry!C52),$I$32=2,IF(ISBLANK('as new'!C52),NA(),'as new'!C52),$I$32=3,IF(ISBLANK('twice as new'!C52),NA(),'twice as new'!C52))</f>
        <v>#N/A</v>
      </c>
      <c r="V115" s="1" t="e" cm="1">
        <f t="array" ref="V115">_xlfn.IFS($I$32=1,IF(ISBLANK(dry!D52),NA(),dry!D52),$I$32=2,IF(ISBLANK('as new'!D52),NA(),'as new'!D52),$I$32=3,IF(ISBLANK('twice as new'!D52),NA(),'twice as new'!D52))</f>
        <v>#N/A</v>
      </c>
      <c r="W115" s="1" t="e" cm="1">
        <f t="array" ref="W115">_xlfn.IFS($I$32=1,IF(ISBLANK(dry!E52),NA(),dry!E52),$I$32=2,IF(ISBLANK('as new'!E52),NA(),'as new'!E52),$I$32=3,IF(ISBLANK('twice as new'!E52),NA(),'twice as new'!E52))</f>
        <v>#N/A</v>
      </c>
      <c r="X115" s="1" t="e" cm="1">
        <f t="array" ref="X115">_xlfn.IFS($I$32=1,IF(ISBLANK(dry!F52),NA(),dry!F52),$I$32=2,IF(ISBLANK('as new'!F52),NA(),'as new'!F52),$I$32=3,IF(ISBLANK('twice as new'!F52),NA(),'twice as new'!F52))</f>
        <v>#N/A</v>
      </c>
      <c r="Y115" s="1" t="e" cm="1">
        <f t="array" ref="Y115">_xlfn.IFS($I$32=1,IF(ISBLANK(dry!G52),NA(),dry!G52),$I$32=2,IF(ISBLANK('as new'!G52),NA(),'as new'!G52),$I$32=3,IF(ISBLANK('twice as new'!G52),NA(),'twice as new'!G52))</f>
        <v>#N/A</v>
      </c>
      <c r="Z115" s="1" t="e" cm="1">
        <f t="array" ref="Z115">_xlfn.IFS($I$32=1,IF(ISBLANK(dry!H52),NA(),dry!H52),$I$32=2,IF(ISBLANK('as new'!H52),NA(),'as new'!H52),$I$32=3,IF(ISBLANK('twice as new'!H52),NA(),'twice as new'!H52))</f>
        <v>#N/A</v>
      </c>
      <c r="AA115" s="1" t="e" cm="1">
        <f t="array" ref="AA115">_xlfn.IFS($I$32=1,IF(ISBLANK(dry!I52),NA(),dry!I52),$I$32=2,IF(ISBLANK('as new'!I52),NA(),'as new'!I52),$I$32=3,IF(ISBLANK('twice as new'!I52),NA(),'twice as new'!I52))</f>
        <v>#N/A</v>
      </c>
      <c r="AB115" s="1" t="e" cm="1">
        <f t="array" ref="AB115">_xlfn.IFS($I$32=1,IF(ISBLANK(dry!J52),NA(),dry!J52),$I$32=2,IF(ISBLANK('as new'!J52),NA(),'as new'!J52),$I$32=3,IF(ISBLANK('twice as new'!J52),NA(),'twice as new'!J52))</f>
        <v>#N/A</v>
      </c>
      <c r="AC115" s="1" t="e" cm="1">
        <f t="array" ref="AC115">_xlfn.IFS($I$32=1,IF(ISBLANK(dry!K52),NA(),dry!K52),$I$32=2,IF(ISBLANK('as new'!K52),NA(),'as new'!K52),$I$32=3,IF(ISBLANK('twice as new'!K52),NA(),'twice as new'!K52))</f>
        <v>#N/A</v>
      </c>
      <c r="AD115" s="1" t="e" cm="1">
        <f t="array" ref="AD115">_xlfn.IFS($I$32=1,IF(ISBLANK(dry!L52),NA(),dry!L52),$I$32=2,IF(ISBLANK('as new'!L52),NA(),'as new'!L52),$I$32=3,IF(ISBLANK('twice as new'!L52),NA(),'twice as new'!L52))</f>
        <v>#N/A</v>
      </c>
      <c r="AE115" s="1" t="e" cm="1">
        <f t="array" ref="AE115">_xlfn.IFS($I$32=1,IF(ISBLANK(dry!M52),NA(),dry!M52),$I$32=2,IF(ISBLANK('as new'!M52),NA(),'as new'!M52),$I$32=3,IF(ISBLANK('twice as new'!M52),NA(),'twice as new'!M52))</f>
        <v>#N/A</v>
      </c>
      <c r="AF115" s="1" t="e" cm="1">
        <f t="array" ref="AF115">_xlfn.IFS($I$32=1,IF(ISBLANK(dry!N52),NA(),dry!N52),$I$32=2,IF(ISBLANK('as new'!N52),NA(),'as new'!N52),$I$32=3,IF(ISBLANK('twice as new'!N52),NA(),'twice as new'!N52))</f>
        <v>#N/A</v>
      </c>
      <c r="AG115" s="1" t="e" cm="1">
        <f t="array" ref="AG115">_xlfn.IFS($I$32=1,IF(ISBLANK(dry!O52),NA(),dry!O52),$I$32=2,IF(ISBLANK('as new'!O52),NA(),'as new'!O52),$I$32=3,IF(ISBLANK('twice as new'!O52),NA(),'twice as new'!O52))</f>
        <v>#N/A</v>
      </c>
      <c r="AH115" s="1" t="e" cm="1">
        <f t="array" ref="AH115">_xlfn.IFS($I$32=1,IF(ISBLANK(dry!P52),NA(),dry!P52),$I$32=2,IF(ISBLANK('as new'!P52),NA(),'as new'!P52),$I$32=3,IF(ISBLANK('twice as new'!P52),NA(),'twice as new'!P52))</f>
        <v>#N/A</v>
      </c>
      <c r="AI115" s="1" t="e" cm="1">
        <f t="array" ref="AI115">_xlfn.IFS($I$32=1,IF(ISBLANK(dry!Q52),NA(),dry!Q52),$I$32=2,IF(ISBLANK('as new'!Q52),NA(),'as new'!Q52),$I$32=3,IF(ISBLANK('twice as new'!Q52),NA(),'twice as new'!Q52))</f>
        <v>#N/A</v>
      </c>
      <c r="AJ115" s="1" t="e" cm="1">
        <f t="array" ref="AJ115">_xlfn.IFS($I$32=1,IF(ISBLANK(dry!R52),NA(),dry!R52),$I$32=2,IF(ISBLANK('as new'!R52),NA(),'as new'!R52),$I$32=3,IF(ISBLANK('twice as new'!R52),NA(),'twice as new'!R52))</f>
        <v>#N/A</v>
      </c>
      <c r="AK115" s="1" t="e">
        <f>IF(CHOOSE($I$32,dry!S52,'as new'!S52,'twice as new'!S52)=0,NA(),CHOOSE($I$32,dry!S52,'as new'!S52,'twice as new'!S52))</f>
        <v>#N/A</v>
      </c>
      <c r="AL115" s="1" t="e">
        <f>IF(CHOOSE($I$32,dry!T52,'as new'!T52,'twice as new'!T52)=0,NA(),CHOOSE($I$32,dry!T52,'as new'!T52,'twice as new'!T52))</f>
        <v>#N/A</v>
      </c>
      <c r="AM115" s="1" t="e">
        <f>IF(CHOOSE($I$32,dry!U52,'as new'!U52,'twice as new'!U52)=0,NA(),CHOOSE($I$32,dry!U52,'as new'!U52,'twice as new'!U52))</f>
        <v>#N/A</v>
      </c>
      <c r="AN115" s="1" t="e">
        <f>IF(CHOOSE($I$32,dry!V52,'as new'!V52,'twice as new'!V52)=0,NA(),CHOOSE($I$32,dry!V52,'as new'!V52,'twice as new'!V52))</f>
        <v>#N/A</v>
      </c>
      <c r="AO115" s="1" t="e">
        <f>IF(CHOOSE($I$32,dry!W52,'as new'!W52,'twice as new'!W52)=0,NA(),CHOOSE($I$32,dry!W52,'as new'!W52,'twice as new'!W52))</f>
        <v>#N/A</v>
      </c>
      <c r="AP115" s="1" t="e">
        <f>IF(CHOOSE($I$32,dry!X52,'as new'!X52,'twice as new'!X52)=0,NA(),CHOOSE($I$32,dry!X52,'as new'!X52,'twice as new'!X52))</f>
        <v>#N/A</v>
      </c>
      <c r="AQ115" s="1" t="e">
        <f>IF(CHOOSE($I$32,dry!Y52,'as new'!Y52,'twice as new'!Y52)=0,NA(),CHOOSE($I$32,dry!Y52,'as new'!Y52,'twice as new'!Y52))</f>
        <v>#N/A</v>
      </c>
      <c r="AR115" s="1" t="e">
        <f>IF(CHOOSE($I$32,dry!Z52,'as new'!Z52,'twice as new'!Z52)=0,NA(),CHOOSE($I$32,dry!Z52,'as new'!Z52,'twice as new'!Z52))</f>
        <v>#N/A</v>
      </c>
      <c r="AS115" s="1" t="e">
        <f>Damped[[#This Row],[fI '[rpm']]]/Damped[[#This Row],[frun '[rpm']]]</f>
        <v>#N/A</v>
      </c>
      <c r="AT115" s="1" t="e">
        <f>Damped[[#This Row],[fII '[rpm']]]/Damped[[#This Row],[frun '[rpm']]]</f>
        <v>#N/A</v>
      </c>
      <c r="AU115" s="1" t="e">
        <f>Damped[[#This Row],[fIII '[rpm']]]/Damped[[#This Row],[frun '[rpm']]]</f>
        <v>#N/A</v>
      </c>
      <c r="AV115" s="1" t="e">
        <f>Damped[[#This Row],[fIV '[rpm']]]/Damped[[#This Row],[frun '[rpm']]]</f>
        <v>#N/A</v>
      </c>
      <c r="AW115" s="1" t="e">
        <f>Damped[[#This Row],[fV '[rpm']]]/Damped[[#This Row],[frun '[rpm']]]</f>
        <v>#N/A</v>
      </c>
      <c r="AX115" s="1" t="e">
        <f>Damped[[#This Row],[fVI '[rpm']]]/Damped[[#This Row],[frun '[rpm']]]</f>
        <v>#N/A</v>
      </c>
      <c r="AY115" s="1" t="e">
        <f>Damped[[#This Row],[fVII '[rpm']]]/Damped[[#This Row],[frun '[rpm']]]</f>
        <v>#N/A</v>
      </c>
      <c r="AZ115" s="1" t="e">
        <f>Damped[[#This Row],[fVIII '[rpm']]]/Damped[[#This Row],[frun '[rpm']]]</f>
        <v>#N/A</v>
      </c>
      <c r="BA115" s="1" t="e">
        <f>Damped[[#This Row],[fIX '[rpm']]]/Damped[[#This Row],[frun '[rpm']]]</f>
        <v>#N/A</v>
      </c>
      <c r="BB115" s="1" t="e">
        <f>Damped[[#This Row],[fX '[rpm']]]/Damped[[#This Row],[frun '[rpm']]]</f>
        <v>#N/A</v>
      </c>
      <c r="BC115" s="1" t="e">
        <f>Damped[[#This Row],[fXI '[rpm']]]/Damped[[#This Row],[frun '[rpm']]]</f>
        <v>#N/A</v>
      </c>
      <c r="BD115" s="1" t="e">
        <f>Damped[[#This Row],[fXII '[rpm']]]/Damped[[#This Row],[frun '[rpm']]]</f>
        <v>#N/A</v>
      </c>
    </row>
    <row r="116" spans="8:56" x14ac:dyDescent="0.25">
      <c r="H116" s="1" t="e" cm="1">
        <f t="array" ref="H116">_xlfn.IFS($I$32=1,IF(ISBLANK(dry!B53),NA(),dry!B53),$I$32=2,IF(ISBLANK('as new'!B53),NA(),'as new'!B53),$I$32=3,IF(ISBLANK('twice as new'!B53),NA(),'twice as new'!B53))</f>
        <v>#N/A</v>
      </c>
      <c r="I116" s="1" t="e">
        <f>Damped[[#This Row],[ξI '[-']]]/API_check(Damped[[#This Row],[fI/frun]])</f>
        <v>#N/A</v>
      </c>
      <c r="J116" s="1" t="e">
        <f>Damped[[#This Row],[ξII '[-']]]/API_check(Damped[[#This Row],[fII/frun]])</f>
        <v>#N/A</v>
      </c>
      <c r="K116" s="1" t="e">
        <f>Damped[[#This Row],[ξIII '[-']]]/API_check(Damped[[#This Row],[fIII/frun]])</f>
        <v>#N/A</v>
      </c>
      <c r="L116" s="1" t="e">
        <f>Damped[[#This Row],[ξIV '[-']]]/API_check(Damped[[#This Row],[fIV/frun]])</f>
        <v>#N/A</v>
      </c>
      <c r="M116" s="1" t="e">
        <f>Damped[[#This Row],[ξV '[-']]]/API_check(Damped[[#This Row],[fV/frun]])</f>
        <v>#N/A</v>
      </c>
      <c r="N116" s="1" t="e">
        <f>Damped[[#This Row],[ξVI '[-']]]/API_check(Damped[[#This Row],[fVI/frun]])</f>
        <v>#N/A</v>
      </c>
      <c r="O116" s="1" t="e">
        <f>Damped[[#This Row],[ξVII '[-']]]/API_check(Damped[[#This Row],[fVII/frun]])</f>
        <v>#N/A</v>
      </c>
      <c r="P116" s="1" t="e">
        <f>Damped[[#This Row],[ξVIII '[-']]]/API_check(Damped[[#This Row],[fVIII/frun]])</f>
        <v>#N/A</v>
      </c>
      <c r="Q116" s="1" t="e">
        <f>Damped[[#This Row],[ξIX '[-']]]/API_check(Damped[[#This Row],[fIX/frun]])</f>
        <v>#N/A</v>
      </c>
      <c r="R116" s="1" t="e">
        <f>Damped[[#This Row],[ξX '[-']]]/API_check(Damped[[#This Row],[fX/frun]])</f>
        <v>#N/A</v>
      </c>
      <c r="S116" s="1" t="e">
        <f>Damped[[#This Row],[ξXI '[-']]]/API_check(Damped[[#This Row],[fXI/frun]])</f>
        <v>#N/A</v>
      </c>
      <c r="T116" s="1" t="e">
        <f>Damped[[#This Row],[ξXII '[-']]]/API_check(Damped[[#This Row],[fXII/frun]])</f>
        <v>#N/A</v>
      </c>
      <c r="U116" s="1" t="e" cm="1">
        <f t="array" ref="U116">_xlfn.IFS($I$32=1,IF(ISBLANK(dry!C53),NA(),dry!C53),$I$32=2,IF(ISBLANK('as new'!C53),NA(),'as new'!C53),$I$32=3,IF(ISBLANK('twice as new'!C53),NA(),'twice as new'!C53))</f>
        <v>#N/A</v>
      </c>
      <c r="V116" s="1" t="e" cm="1">
        <f t="array" ref="V116">_xlfn.IFS($I$32=1,IF(ISBLANK(dry!D53),NA(),dry!D53),$I$32=2,IF(ISBLANK('as new'!D53),NA(),'as new'!D53),$I$32=3,IF(ISBLANK('twice as new'!D53),NA(),'twice as new'!D53))</f>
        <v>#N/A</v>
      </c>
      <c r="W116" s="1" t="e" cm="1">
        <f t="array" ref="W116">_xlfn.IFS($I$32=1,IF(ISBLANK(dry!E53),NA(),dry!E53),$I$32=2,IF(ISBLANK('as new'!E53),NA(),'as new'!E53),$I$32=3,IF(ISBLANK('twice as new'!E53),NA(),'twice as new'!E53))</f>
        <v>#N/A</v>
      </c>
      <c r="X116" s="1" t="e" cm="1">
        <f t="array" ref="X116">_xlfn.IFS($I$32=1,IF(ISBLANK(dry!F53),NA(),dry!F53),$I$32=2,IF(ISBLANK('as new'!F53),NA(),'as new'!F53),$I$32=3,IF(ISBLANK('twice as new'!F53),NA(),'twice as new'!F53))</f>
        <v>#N/A</v>
      </c>
      <c r="Y116" s="1" t="e" cm="1">
        <f t="array" ref="Y116">_xlfn.IFS($I$32=1,IF(ISBLANK(dry!G53),NA(),dry!G53),$I$32=2,IF(ISBLANK('as new'!G53),NA(),'as new'!G53),$I$32=3,IF(ISBLANK('twice as new'!G53),NA(),'twice as new'!G53))</f>
        <v>#N/A</v>
      </c>
      <c r="Z116" s="1" t="e" cm="1">
        <f t="array" ref="Z116">_xlfn.IFS($I$32=1,IF(ISBLANK(dry!H53),NA(),dry!H53),$I$32=2,IF(ISBLANK('as new'!H53),NA(),'as new'!H53),$I$32=3,IF(ISBLANK('twice as new'!H53),NA(),'twice as new'!H53))</f>
        <v>#N/A</v>
      </c>
      <c r="AA116" s="1" t="e" cm="1">
        <f t="array" ref="AA116">_xlfn.IFS($I$32=1,IF(ISBLANK(dry!I53),NA(),dry!I53),$I$32=2,IF(ISBLANK('as new'!I53),NA(),'as new'!I53),$I$32=3,IF(ISBLANK('twice as new'!I53),NA(),'twice as new'!I53))</f>
        <v>#N/A</v>
      </c>
      <c r="AB116" s="1" t="e" cm="1">
        <f t="array" ref="AB116">_xlfn.IFS($I$32=1,IF(ISBLANK(dry!J53),NA(),dry!J53),$I$32=2,IF(ISBLANK('as new'!J53),NA(),'as new'!J53),$I$32=3,IF(ISBLANK('twice as new'!J53),NA(),'twice as new'!J53))</f>
        <v>#N/A</v>
      </c>
      <c r="AC116" s="1" t="e" cm="1">
        <f t="array" ref="AC116">_xlfn.IFS($I$32=1,IF(ISBLANK(dry!K53),NA(),dry!K53),$I$32=2,IF(ISBLANK('as new'!K53),NA(),'as new'!K53),$I$32=3,IF(ISBLANK('twice as new'!K53),NA(),'twice as new'!K53))</f>
        <v>#N/A</v>
      </c>
      <c r="AD116" s="1" t="e" cm="1">
        <f t="array" ref="AD116">_xlfn.IFS($I$32=1,IF(ISBLANK(dry!L53),NA(),dry!L53),$I$32=2,IF(ISBLANK('as new'!L53),NA(),'as new'!L53),$I$32=3,IF(ISBLANK('twice as new'!L53),NA(),'twice as new'!L53))</f>
        <v>#N/A</v>
      </c>
      <c r="AE116" s="1" t="e" cm="1">
        <f t="array" ref="AE116">_xlfn.IFS($I$32=1,IF(ISBLANK(dry!M53),NA(),dry!M53),$I$32=2,IF(ISBLANK('as new'!M53),NA(),'as new'!M53),$I$32=3,IF(ISBLANK('twice as new'!M53),NA(),'twice as new'!M53))</f>
        <v>#N/A</v>
      </c>
      <c r="AF116" s="1" t="e" cm="1">
        <f t="array" ref="AF116">_xlfn.IFS($I$32=1,IF(ISBLANK(dry!N53),NA(),dry!N53),$I$32=2,IF(ISBLANK('as new'!N53),NA(),'as new'!N53),$I$32=3,IF(ISBLANK('twice as new'!N53),NA(),'twice as new'!N53))</f>
        <v>#N/A</v>
      </c>
      <c r="AG116" s="1" t="e" cm="1">
        <f t="array" ref="AG116">_xlfn.IFS($I$32=1,IF(ISBLANK(dry!O53),NA(),dry!O53),$I$32=2,IF(ISBLANK('as new'!O53),NA(),'as new'!O53),$I$32=3,IF(ISBLANK('twice as new'!O53),NA(),'twice as new'!O53))</f>
        <v>#N/A</v>
      </c>
      <c r="AH116" s="1" t="e" cm="1">
        <f t="array" ref="AH116">_xlfn.IFS($I$32=1,IF(ISBLANK(dry!P53),NA(),dry!P53),$I$32=2,IF(ISBLANK('as new'!P53),NA(),'as new'!P53),$I$32=3,IF(ISBLANK('twice as new'!P53),NA(),'twice as new'!P53))</f>
        <v>#N/A</v>
      </c>
      <c r="AI116" s="1" t="e" cm="1">
        <f t="array" ref="AI116">_xlfn.IFS($I$32=1,IF(ISBLANK(dry!Q53),NA(),dry!Q53),$I$32=2,IF(ISBLANK('as new'!Q53),NA(),'as new'!Q53),$I$32=3,IF(ISBLANK('twice as new'!Q53),NA(),'twice as new'!Q53))</f>
        <v>#N/A</v>
      </c>
      <c r="AJ116" s="1" t="e" cm="1">
        <f t="array" ref="AJ116">_xlfn.IFS($I$32=1,IF(ISBLANK(dry!R53),NA(),dry!R53),$I$32=2,IF(ISBLANK('as new'!R53),NA(),'as new'!R53),$I$32=3,IF(ISBLANK('twice as new'!R53),NA(),'twice as new'!R53))</f>
        <v>#N/A</v>
      </c>
      <c r="AK116" s="1" t="e">
        <f>IF(CHOOSE($I$32,dry!S53,'as new'!S53,'twice as new'!S53)=0,NA(),CHOOSE($I$32,dry!S53,'as new'!S53,'twice as new'!S53))</f>
        <v>#N/A</v>
      </c>
      <c r="AL116" s="1" t="e">
        <f>IF(CHOOSE($I$32,dry!T53,'as new'!T53,'twice as new'!T53)=0,NA(),CHOOSE($I$32,dry!T53,'as new'!T53,'twice as new'!T53))</f>
        <v>#N/A</v>
      </c>
      <c r="AM116" s="1" t="e">
        <f>IF(CHOOSE($I$32,dry!U53,'as new'!U53,'twice as new'!U53)=0,NA(),CHOOSE($I$32,dry!U53,'as new'!U53,'twice as new'!U53))</f>
        <v>#N/A</v>
      </c>
      <c r="AN116" s="1" t="e">
        <f>IF(CHOOSE($I$32,dry!V53,'as new'!V53,'twice as new'!V53)=0,NA(),CHOOSE($I$32,dry!V53,'as new'!V53,'twice as new'!V53))</f>
        <v>#N/A</v>
      </c>
      <c r="AO116" s="1" t="e">
        <f>IF(CHOOSE($I$32,dry!W53,'as new'!W53,'twice as new'!W53)=0,NA(),CHOOSE($I$32,dry!W53,'as new'!W53,'twice as new'!W53))</f>
        <v>#N/A</v>
      </c>
      <c r="AP116" s="1" t="e">
        <f>IF(CHOOSE($I$32,dry!X53,'as new'!X53,'twice as new'!X53)=0,NA(),CHOOSE($I$32,dry!X53,'as new'!X53,'twice as new'!X53))</f>
        <v>#N/A</v>
      </c>
      <c r="AQ116" s="1" t="e">
        <f>IF(CHOOSE($I$32,dry!Y53,'as new'!Y53,'twice as new'!Y53)=0,NA(),CHOOSE($I$32,dry!Y53,'as new'!Y53,'twice as new'!Y53))</f>
        <v>#N/A</v>
      </c>
      <c r="AR116" s="1" t="e">
        <f>IF(CHOOSE($I$32,dry!Z53,'as new'!Z53,'twice as new'!Z53)=0,NA(),CHOOSE($I$32,dry!Z53,'as new'!Z53,'twice as new'!Z53))</f>
        <v>#N/A</v>
      </c>
      <c r="AS116" s="1" t="e">
        <f>Damped[[#This Row],[fI '[rpm']]]/Damped[[#This Row],[frun '[rpm']]]</f>
        <v>#N/A</v>
      </c>
      <c r="AT116" s="1" t="e">
        <f>Damped[[#This Row],[fII '[rpm']]]/Damped[[#This Row],[frun '[rpm']]]</f>
        <v>#N/A</v>
      </c>
      <c r="AU116" s="1" t="e">
        <f>Damped[[#This Row],[fIII '[rpm']]]/Damped[[#This Row],[frun '[rpm']]]</f>
        <v>#N/A</v>
      </c>
      <c r="AV116" s="1" t="e">
        <f>Damped[[#This Row],[fIV '[rpm']]]/Damped[[#This Row],[frun '[rpm']]]</f>
        <v>#N/A</v>
      </c>
      <c r="AW116" s="1" t="e">
        <f>Damped[[#This Row],[fV '[rpm']]]/Damped[[#This Row],[frun '[rpm']]]</f>
        <v>#N/A</v>
      </c>
      <c r="AX116" s="1" t="e">
        <f>Damped[[#This Row],[fVI '[rpm']]]/Damped[[#This Row],[frun '[rpm']]]</f>
        <v>#N/A</v>
      </c>
      <c r="AY116" s="1" t="e">
        <f>Damped[[#This Row],[fVII '[rpm']]]/Damped[[#This Row],[frun '[rpm']]]</f>
        <v>#N/A</v>
      </c>
      <c r="AZ116" s="1" t="e">
        <f>Damped[[#This Row],[fVIII '[rpm']]]/Damped[[#This Row],[frun '[rpm']]]</f>
        <v>#N/A</v>
      </c>
      <c r="BA116" s="1" t="e">
        <f>Damped[[#This Row],[fIX '[rpm']]]/Damped[[#This Row],[frun '[rpm']]]</f>
        <v>#N/A</v>
      </c>
      <c r="BB116" s="1" t="e">
        <f>Damped[[#This Row],[fX '[rpm']]]/Damped[[#This Row],[frun '[rpm']]]</f>
        <v>#N/A</v>
      </c>
      <c r="BC116" s="1" t="e">
        <f>Damped[[#This Row],[fXI '[rpm']]]/Damped[[#This Row],[frun '[rpm']]]</f>
        <v>#N/A</v>
      </c>
      <c r="BD116" s="1" t="e">
        <f>Damped[[#This Row],[fXII '[rpm']]]/Damped[[#This Row],[frun '[rpm']]]</f>
        <v>#N/A</v>
      </c>
    </row>
    <row r="117" spans="8:56" x14ac:dyDescent="0.25">
      <c r="H117" s="1" t="e" cm="1">
        <f t="array" ref="H117">_xlfn.IFS($I$32=1,IF(ISBLANK(dry!B54),NA(),dry!B54),$I$32=2,IF(ISBLANK('as new'!B54),NA(),'as new'!B54),$I$32=3,IF(ISBLANK('twice as new'!B54),NA(),'twice as new'!B54))</f>
        <v>#N/A</v>
      </c>
      <c r="I117" s="1" t="e">
        <f>Damped[[#This Row],[ξI '[-']]]/API_check(Damped[[#This Row],[fI/frun]])</f>
        <v>#N/A</v>
      </c>
      <c r="J117" s="1" t="e">
        <f>Damped[[#This Row],[ξII '[-']]]/API_check(Damped[[#This Row],[fII/frun]])</f>
        <v>#N/A</v>
      </c>
      <c r="K117" s="1" t="e">
        <f>Damped[[#This Row],[ξIII '[-']]]/API_check(Damped[[#This Row],[fIII/frun]])</f>
        <v>#N/A</v>
      </c>
      <c r="L117" s="1" t="e">
        <f>Damped[[#This Row],[ξIV '[-']]]/API_check(Damped[[#This Row],[fIV/frun]])</f>
        <v>#N/A</v>
      </c>
      <c r="M117" s="1" t="e">
        <f>Damped[[#This Row],[ξV '[-']]]/API_check(Damped[[#This Row],[fV/frun]])</f>
        <v>#N/A</v>
      </c>
      <c r="N117" s="1" t="e">
        <f>Damped[[#This Row],[ξVI '[-']]]/API_check(Damped[[#This Row],[fVI/frun]])</f>
        <v>#N/A</v>
      </c>
      <c r="O117" s="1" t="e">
        <f>Damped[[#This Row],[ξVII '[-']]]/API_check(Damped[[#This Row],[fVII/frun]])</f>
        <v>#N/A</v>
      </c>
      <c r="P117" s="1" t="e">
        <f>Damped[[#This Row],[ξVIII '[-']]]/API_check(Damped[[#This Row],[fVIII/frun]])</f>
        <v>#N/A</v>
      </c>
      <c r="Q117" s="1" t="e">
        <f>Damped[[#This Row],[ξIX '[-']]]/API_check(Damped[[#This Row],[fIX/frun]])</f>
        <v>#N/A</v>
      </c>
      <c r="R117" s="1" t="e">
        <f>Damped[[#This Row],[ξX '[-']]]/API_check(Damped[[#This Row],[fX/frun]])</f>
        <v>#N/A</v>
      </c>
      <c r="S117" s="1" t="e">
        <f>Damped[[#This Row],[ξXI '[-']]]/API_check(Damped[[#This Row],[fXI/frun]])</f>
        <v>#N/A</v>
      </c>
      <c r="T117" s="1" t="e">
        <f>Damped[[#This Row],[ξXII '[-']]]/API_check(Damped[[#This Row],[fXII/frun]])</f>
        <v>#N/A</v>
      </c>
      <c r="U117" s="1" t="e" cm="1">
        <f t="array" ref="U117">_xlfn.IFS($I$32=1,IF(ISBLANK(dry!C54),NA(),dry!C54),$I$32=2,IF(ISBLANK('as new'!C54),NA(),'as new'!C54),$I$32=3,IF(ISBLANK('twice as new'!C54),NA(),'twice as new'!C54))</f>
        <v>#N/A</v>
      </c>
      <c r="V117" s="1" t="e" cm="1">
        <f t="array" ref="V117">_xlfn.IFS($I$32=1,IF(ISBLANK(dry!D54),NA(),dry!D54),$I$32=2,IF(ISBLANK('as new'!D54),NA(),'as new'!D54),$I$32=3,IF(ISBLANK('twice as new'!D54),NA(),'twice as new'!D54))</f>
        <v>#N/A</v>
      </c>
      <c r="W117" s="1" t="e" cm="1">
        <f t="array" ref="W117">_xlfn.IFS($I$32=1,IF(ISBLANK(dry!E54),NA(),dry!E54),$I$32=2,IF(ISBLANK('as new'!E54),NA(),'as new'!E54),$I$32=3,IF(ISBLANK('twice as new'!E54),NA(),'twice as new'!E54))</f>
        <v>#N/A</v>
      </c>
      <c r="X117" s="1" t="e" cm="1">
        <f t="array" ref="X117">_xlfn.IFS($I$32=1,IF(ISBLANK(dry!F54),NA(),dry!F54),$I$32=2,IF(ISBLANK('as new'!F54),NA(),'as new'!F54),$I$32=3,IF(ISBLANK('twice as new'!F54),NA(),'twice as new'!F54))</f>
        <v>#N/A</v>
      </c>
      <c r="Y117" s="1" t="e" cm="1">
        <f t="array" ref="Y117">_xlfn.IFS($I$32=1,IF(ISBLANK(dry!G54),NA(),dry!G54),$I$32=2,IF(ISBLANK('as new'!G54),NA(),'as new'!G54),$I$32=3,IF(ISBLANK('twice as new'!G54),NA(),'twice as new'!G54))</f>
        <v>#N/A</v>
      </c>
      <c r="Z117" s="1" t="e" cm="1">
        <f t="array" ref="Z117">_xlfn.IFS($I$32=1,IF(ISBLANK(dry!H54),NA(),dry!H54),$I$32=2,IF(ISBLANK('as new'!H54),NA(),'as new'!H54),$I$32=3,IF(ISBLANK('twice as new'!H54),NA(),'twice as new'!H54))</f>
        <v>#N/A</v>
      </c>
      <c r="AA117" s="1" t="e" cm="1">
        <f t="array" ref="AA117">_xlfn.IFS($I$32=1,IF(ISBLANK(dry!I54),NA(),dry!I54),$I$32=2,IF(ISBLANK('as new'!I54),NA(),'as new'!I54),$I$32=3,IF(ISBLANK('twice as new'!I54),NA(),'twice as new'!I54))</f>
        <v>#N/A</v>
      </c>
      <c r="AB117" s="1" t="e" cm="1">
        <f t="array" ref="AB117">_xlfn.IFS($I$32=1,IF(ISBLANK(dry!J54),NA(),dry!J54),$I$32=2,IF(ISBLANK('as new'!J54),NA(),'as new'!J54),$I$32=3,IF(ISBLANK('twice as new'!J54),NA(),'twice as new'!J54))</f>
        <v>#N/A</v>
      </c>
      <c r="AC117" s="1" t="e" cm="1">
        <f t="array" ref="AC117">_xlfn.IFS($I$32=1,IF(ISBLANK(dry!K54),NA(),dry!K54),$I$32=2,IF(ISBLANK('as new'!K54),NA(),'as new'!K54),$I$32=3,IF(ISBLANK('twice as new'!K54),NA(),'twice as new'!K54))</f>
        <v>#N/A</v>
      </c>
      <c r="AD117" s="1" t="e" cm="1">
        <f t="array" ref="AD117">_xlfn.IFS($I$32=1,IF(ISBLANK(dry!L54),NA(),dry!L54),$I$32=2,IF(ISBLANK('as new'!L54),NA(),'as new'!L54),$I$32=3,IF(ISBLANK('twice as new'!L54),NA(),'twice as new'!L54))</f>
        <v>#N/A</v>
      </c>
      <c r="AE117" s="1" t="e" cm="1">
        <f t="array" ref="AE117">_xlfn.IFS($I$32=1,IF(ISBLANK(dry!M54),NA(),dry!M54),$I$32=2,IF(ISBLANK('as new'!M54),NA(),'as new'!M54),$I$32=3,IF(ISBLANK('twice as new'!M54),NA(),'twice as new'!M54))</f>
        <v>#N/A</v>
      </c>
      <c r="AF117" s="1" t="e" cm="1">
        <f t="array" ref="AF117">_xlfn.IFS($I$32=1,IF(ISBLANK(dry!N54),NA(),dry!N54),$I$32=2,IF(ISBLANK('as new'!N54),NA(),'as new'!N54),$I$32=3,IF(ISBLANK('twice as new'!N54),NA(),'twice as new'!N54))</f>
        <v>#N/A</v>
      </c>
      <c r="AG117" s="1" t="e" cm="1">
        <f t="array" ref="AG117">_xlfn.IFS($I$32=1,IF(ISBLANK(dry!O54),NA(),dry!O54),$I$32=2,IF(ISBLANK('as new'!O54),NA(),'as new'!O54),$I$32=3,IF(ISBLANK('twice as new'!O54),NA(),'twice as new'!O54))</f>
        <v>#N/A</v>
      </c>
      <c r="AH117" s="1" t="e" cm="1">
        <f t="array" ref="AH117">_xlfn.IFS($I$32=1,IF(ISBLANK(dry!P54),NA(),dry!P54),$I$32=2,IF(ISBLANK('as new'!P54),NA(),'as new'!P54),$I$32=3,IF(ISBLANK('twice as new'!P54),NA(),'twice as new'!P54))</f>
        <v>#N/A</v>
      </c>
      <c r="AI117" s="1" t="e" cm="1">
        <f t="array" ref="AI117">_xlfn.IFS($I$32=1,IF(ISBLANK(dry!Q54),NA(),dry!Q54),$I$32=2,IF(ISBLANK('as new'!Q54),NA(),'as new'!Q54),$I$32=3,IF(ISBLANK('twice as new'!Q54),NA(),'twice as new'!Q54))</f>
        <v>#N/A</v>
      </c>
      <c r="AJ117" s="1" t="e" cm="1">
        <f t="array" ref="AJ117">_xlfn.IFS($I$32=1,IF(ISBLANK(dry!R54),NA(),dry!R54),$I$32=2,IF(ISBLANK('as new'!R54),NA(),'as new'!R54),$I$32=3,IF(ISBLANK('twice as new'!R54),NA(),'twice as new'!R54))</f>
        <v>#N/A</v>
      </c>
      <c r="AK117" s="1" t="e">
        <f>IF(CHOOSE($I$32,dry!S54,'as new'!S54,'twice as new'!S54)=0,NA(),CHOOSE($I$32,dry!S54,'as new'!S54,'twice as new'!S54))</f>
        <v>#N/A</v>
      </c>
      <c r="AL117" s="1" t="e">
        <f>IF(CHOOSE($I$32,dry!T54,'as new'!T54,'twice as new'!T54)=0,NA(),CHOOSE($I$32,dry!T54,'as new'!T54,'twice as new'!T54))</f>
        <v>#N/A</v>
      </c>
      <c r="AM117" s="1" t="e">
        <f>IF(CHOOSE($I$32,dry!U54,'as new'!U54,'twice as new'!U54)=0,NA(),CHOOSE($I$32,dry!U54,'as new'!U54,'twice as new'!U54))</f>
        <v>#N/A</v>
      </c>
      <c r="AN117" s="1" t="e">
        <f>IF(CHOOSE($I$32,dry!V54,'as new'!V54,'twice as new'!V54)=0,NA(),CHOOSE($I$32,dry!V54,'as new'!V54,'twice as new'!V54))</f>
        <v>#N/A</v>
      </c>
      <c r="AO117" s="1" t="e">
        <f>IF(CHOOSE($I$32,dry!W54,'as new'!W54,'twice as new'!W54)=0,NA(),CHOOSE($I$32,dry!W54,'as new'!W54,'twice as new'!W54))</f>
        <v>#N/A</v>
      </c>
      <c r="AP117" s="1" t="e">
        <f>IF(CHOOSE($I$32,dry!X54,'as new'!X54,'twice as new'!X54)=0,NA(),CHOOSE($I$32,dry!X54,'as new'!X54,'twice as new'!X54))</f>
        <v>#N/A</v>
      </c>
      <c r="AQ117" s="1" t="e">
        <f>IF(CHOOSE($I$32,dry!Y54,'as new'!Y54,'twice as new'!Y54)=0,NA(),CHOOSE($I$32,dry!Y54,'as new'!Y54,'twice as new'!Y54))</f>
        <v>#N/A</v>
      </c>
      <c r="AR117" s="1" t="e">
        <f>IF(CHOOSE($I$32,dry!Z54,'as new'!Z54,'twice as new'!Z54)=0,NA(),CHOOSE($I$32,dry!Z54,'as new'!Z54,'twice as new'!Z54))</f>
        <v>#N/A</v>
      </c>
      <c r="AS117" s="1" t="e">
        <f>Damped[[#This Row],[fI '[rpm']]]/Damped[[#This Row],[frun '[rpm']]]</f>
        <v>#N/A</v>
      </c>
      <c r="AT117" s="1" t="e">
        <f>Damped[[#This Row],[fII '[rpm']]]/Damped[[#This Row],[frun '[rpm']]]</f>
        <v>#N/A</v>
      </c>
      <c r="AU117" s="1" t="e">
        <f>Damped[[#This Row],[fIII '[rpm']]]/Damped[[#This Row],[frun '[rpm']]]</f>
        <v>#N/A</v>
      </c>
      <c r="AV117" s="1" t="e">
        <f>Damped[[#This Row],[fIV '[rpm']]]/Damped[[#This Row],[frun '[rpm']]]</f>
        <v>#N/A</v>
      </c>
      <c r="AW117" s="1" t="e">
        <f>Damped[[#This Row],[fV '[rpm']]]/Damped[[#This Row],[frun '[rpm']]]</f>
        <v>#N/A</v>
      </c>
      <c r="AX117" s="1" t="e">
        <f>Damped[[#This Row],[fVI '[rpm']]]/Damped[[#This Row],[frun '[rpm']]]</f>
        <v>#N/A</v>
      </c>
      <c r="AY117" s="1" t="e">
        <f>Damped[[#This Row],[fVII '[rpm']]]/Damped[[#This Row],[frun '[rpm']]]</f>
        <v>#N/A</v>
      </c>
      <c r="AZ117" s="1" t="e">
        <f>Damped[[#This Row],[fVIII '[rpm']]]/Damped[[#This Row],[frun '[rpm']]]</f>
        <v>#N/A</v>
      </c>
      <c r="BA117" s="1" t="e">
        <f>Damped[[#This Row],[fIX '[rpm']]]/Damped[[#This Row],[frun '[rpm']]]</f>
        <v>#N/A</v>
      </c>
      <c r="BB117" s="1" t="e">
        <f>Damped[[#This Row],[fX '[rpm']]]/Damped[[#This Row],[frun '[rpm']]]</f>
        <v>#N/A</v>
      </c>
      <c r="BC117" s="1" t="e">
        <f>Damped[[#This Row],[fXI '[rpm']]]/Damped[[#This Row],[frun '[rpm']]]</f>
        <v>#N/A</v>
      </c>
      <c r="BD117" s="1" t="e">
        <f>Damped[[#This Row],[fXII '[rpm']]]/Damped[[#This Row],[frun '[rpm']]]</f>
        <v>#N/A</v>
      </c>
    </row>
    <row r="118" spans="8:56" x14ac:dyDescent="0.25">
      <c r="H118" s="1" t="e" cm="1">
        <f t="array" ref="H118">_xlfn.IFS($I$32=1,IF(ISBLANK(dry!B55),NA(),dry!B55),$I$32=2,IF(ISBLANK('as new'!B55),NA(),'as new'!B55),$I$32=3,IF(ISBLANK('twice as new'!B55),NA(),'twice as new'!B55))</f>
        <v>#N/A</v>
      </c>
      <c r="I118" s="1" t="e">
        <f>Damped[[#This Row],[ξI '[-']]]/API_check(Damped[[#This Row],[fI/frun]])</f>
        <v>#N/A</v>
      </c>
      <c r="J118" s="1" t="e">
        <f>Damped[[#This Row],[ξII '[-']]]/API_check(Damped[[#This Row],[fII/frun]])</f>
        <v>#N/A</v>
      </c>
      <c r="K118" s="1" t="e">
        <f>Damped[[#This Row],[ξIII '[-']]]/API_check(Damped[[#This Row],[fIII/frun]])</f>
        <v>#N/A</v>
      </c>
      <c r="L118" s="1" t="e">
        <f>Damped[[#This Row],[ξIV '[-']]]/API_check(Damped[[#This Row],[fIV/frun]])</f>
        <v>#N/A</v>
      </c>
      <c r="M118" s="1" t="e">
        <f>Damped[[#This Row],[ξV '[-']]]/API_check(Damped[[#This Row],[fV/frun]])</f>
        <v>#N/A</v>
      </c>
      <c r="N118" s="1" t="e">
        <f>Damped[[#This Row],[ξVI '[-']]]/API_check(Damped[[#This Row],[fVI/frun]])</f>
        <v>#N/A</v>
      </c>
      <c r="O118" s="1" t="e">
        <f>Damped[[#This Row],[ξVII '[-']]]/API_check(Damped[[#This Row],[fVII/frun]])</f>
        <v>#N/A</v>
      </c>
      <c r="P118" s="1" t="e">
        <f>Damped[[#This Row],[ξVIII '[-']]]/API_check(Damped[[#This Row],[fVIII/frun]])</f>
        <v>#N/A</v>
      </c>
      <c r="Q118" s="1" t="e">
        <f>Damped[[#This Row],[ξIX '[-']]]/API_check(Damped[[#This Row],[fIX/frun]])</f>
        <v>#N/A</v>
      </c>
      <c r="R118" s="1" t="e">
        <f>Damped[[#This Row],[ξX '[-']]]/API_check(Damped[[#This Row],[fX/frun]])</f>
        <v>#N/A</v>
      </c>
      <c r="S118" s="1" t="e">
        <f>Damped[[#This Row],[ξXI '[-']]]/API_check(Damped[[#This Row],[fXI/frun]])</f>
        <v>#N/A</v>
      </c>
      <c r="T118" s="1" t="e">
        <f>Damped[[#This Row],[ξXII '[-']]]/API_check(Damped[[#This Row],[fXII/frun]])</f>
        <v>#N/A</v>
      </c>
      <c r="U118" s="1" t="e" cm="1">
        <f t="array" ref="U118">_xlfn.IFS($I$32=1,IF(ISBLANK(dry!C55),NA(),dry!C55),$I$32=2,IF(ISBLANK('as new'!C55),NA(),'as new'!C55),$I$32=3,IF(ISBLANK('twice as new'!C55),NA(),'twice as new'!C55))</f>
        <v>#N/A</v>
      </c>
      <c r="V118" s="1" t="e" cm="1">
        <f t="array" ref="V118">_xlfn.IFS($I$32=1,IF(ISBLANK(dry!D55),NA(),dry!D55),$I$32=2,IF(ISBLANK('as new'!D55),NA(),'as new'!D55),$I$32=3,IF(ISBLANK('twice as new'!D55),NA(),'twice as new'!D55))</f>
        <v>#N/A</v>
      </c>
      <c r="W118" s="1" t="e" cm="1">
        <f t="array" ref="W118">_xlfn.IFS($I$32=1,IF(ISBLANK(dry!E55),NA(),dry!E55),$I$32=2,IF(ISBLANK('as new'!E55),NA(),'as new'!E55),$I$32=3,IF(ISBLANK('twice as new'!E55),NA(),'twice as new'!E55))</f>
        <v>#N/A</v>
      </c>
      <c r="X118" s="1" t="e" cm="1">
        <f t="array" ref="X118">_xlfn.IFS($I$32=1,IF(ISBLANK(dry!F55),NA(),dry!F55),$I$32=2,IF(ISBLANK('as new'!F55),NA(),'as new'!F55),$I$32=3,IF(ISBLANK('twice as new'!F55),NA(),'twice as new'!F55))</f>
        <v>#N/A</v>
      </c>
      <c r="Y118" s="1" t="e" cm="1">
        <f t="array" ref="Y118">_xlfn.IFS($I$32=1,IF(ISBLANK(dry!G55),NA(),dry!G55),$I$32=2,IF(ISBLANK('as new'!G55),NA(),'as new'!G55),$I$32=3,IF(ISBLANK('twice as new'!G55),NA(),'twice as new'!G55))</f>
        <v>#N/A</v>
      </c>
      <c r="Z118" s="1" t="e" cm="1">
        <f t="array" ref="Z118">_xlfn.IFS($I$32=1,IF(ISBLANK(dry!H55),NA(),dry!H55),$I$32=2,IF(ISBLANK('as new'!H55),NA(),'as new'!H55),$I$32=3,IF(ISBLANK('twice as new'!H55),NA(),'twice as new'!H55))</f>
        <v>#N/A</v>
      </c>
      <c r="AA118" s="1" t="e" cm="1">
        <f t="array" ref="AA118">_xlfn.IFS($I$32=1,IF(ISBLANK(dry!I55),NA(),dry!I55),$I$32=2,IF(ISBLANK('as new'!I55),NA(),'as new'!I55),$I$32=3,IF(ISBLANK('twice as new'!I55),NA(),'twice as new'!I55))</f>
        <v>#N/A</v>
      </c>
      <c r="AB118" s="1" t="e" cm="1">
        <f t="array" ref="AB118">_xlfn.IFS($I$32=1,IF(ISBLANK(dry!J55),NA(),dry!J55),$I$32=2,IF(ISBLANK('as new'!J55),NA(),'as new'!J55),$I$32=3,IF(ISBLANK('twice as new'!J55),NA(),'twice as new'!J55))</f>
        <v>#N/A</v>
      </c>
      <c r="AC118" s="1" t="e" cm="1">
        <f t="array" ref="AC118">_xlfn.IFS($I$32=1,IF(ISBLANK(dry!K55),NA(),dry!K55),$I$32=2,IF(ISBLANK('as new'!K55),NA(),'as new'!K55),$I$32=3,IF(ISBLANK('twice as new'!K55),NA(),'twice as new'!K55))</f>
        <v>#N/A</v>
      </c>
      <c r="AD118" s="1" t="e" cm="1">
        <f t="array" ref="AD118">_xlfn.IFS($I$32=1,IF(ISBLANK(dry!L55),NA(),dry!L55),$I$32=2,IF(ISBLANK('as new'!L55),NA(),'as new'!L55),$I$32=3,IF(ISBLANK('twice as new'!L55),NA(),'twice as new'!L55))</f>
        <v>#N/A</v>
      </c>
      <c r="AE118" s="1" t="e" cm="1">
        <f t="array" ref="AE118">_xlfn.IFS($I$32=1,IF(ISBLANK(dry!M55),NA(),dry!M55),$I$32=2,IF(ISBLANK('as new'!M55),NA(),'as new'!M55),$I$32=3,IF(ISBLANK('twice as new'!M55),NA(),'twice as new'!M55))</f>
        <v>#N/A</v>
      </c>
      <c r="AF118" s="1" t="e" cm="1">
        <f t="array" ref="AF118">_xlfn.IFS($I$32=1,IF(ISBLANK(dry!N55),NA(),dry!N55),$I$32=2,IF(ISBLANK('as new'!N55),NA(),'as new'!N55),$I$32=3,IF(ISBLANK('twice as new'!N55),NA(),'twice as new'!N55))</f>
        <v>#N/A</v>
      </c>
      <c r="AG118" s="1" t="e" cm="1">
        <f t="array" ref="AG118">_xlfn.IFS($I$32=1,IF(ISBLANK(dry!O55),NA(),dry!O55),$I$32=2,IF(ISBLANK('as new'!O55),NA(),'as new'!O55),$I$32=3,IF(ISBLANK('twice as new'!O55),NA(),'twice as new'!O55))</f>
        <v>#N/A</v>
      </c>
      <c r="AH118" s="1" t="e" cm="1">
        <f t="array" ref="AH118">_xlfn.IFS($I$32=1,IF(ISBLANK(dry!P55),NA(),dry!P55),$I$32=2,IF(ISBLANK('as new'!P55),NA(),'as new'!P55),$I$32=3,IF(ISBLANK('twice as new'!P55),NA(),'twice as new'!P55))</f>
        <v>#N/A</v>
      </c>
      <c r="AI118" s="1" t="e" cm="1">
        <f t="array" ref="AI118">_xlfn.IFS($I$32=1,IF(ISBLANK(dry!Q55),NA(),dry!Q55),$I$32=2,IF(ISBLANK('as new'!Q55),NA(),'as new'!Q55),$I$32=3,IF(ISBLANK('twice as new'!Q55),NA(),'twice as new'!Q55))</f>
        <v>#N/A</v>
      </c>
      <c r="AJ118" s="1" t="e" cm="1">
        <f t="array" ref="AJ118">_xlfn.IFS($I$32=1,IF(ISBLANK(dry!R55),NA(),dry!R55),$I$32=2,IF(ISBLANK('as new'!R55),NA(),'as new'!R55),$I$32=3,IF(ISBLANK('twice as new'!R55),NA(),'twice as new'!R55))</f>
        <v>#N/A</v>
      </c>
      <c r="AK118" s="1" t="e">
        <f>IF(CHOOSE($I$32,dry!S55,'as new'!S55,'twice as new'!S55)=0,NA(),CHOOSE($I$32,dry!S55,'as new'!S55,'twice as new'!S55))</f>
        <v>#N/A</v>
      </c>
      <c r="AL118" s="1" t="e">
        <f>IF(CHOOSE($I$32,dry!T55,'as new'!T55,'twice as new'!T55)=0,NA(),CHOOSE($I$32,dry!T55,'as new'!T55,'twice as new'!T55))</f>
        <v>#N/A</v>
      </c>
      <c r="AM118" s="1" t="e">
        <f>IF(CHOOSE($I$32,dry!U55,'as new'!U55,'twice as new'!U55)=0,NA(),CHOOSE($I$32,dry!U55,'as new'!U55,'twice as new'!U55))</f>
        <v>#N/A</v>
      </c>
      <c r="AN118" s="1" t="e">
        <f>IF(CHOOSE($I$32,dry!V55,'as new'!V55,'twice as new'!V55)=0,NA(),CHOOSE($I$32,dry!V55,'as new'!V55,'twice as new'!V55))</f>
        <v>#N/A</v>
      </c>
      <c r="AO118" s="1" t="e">
        <f>IF(CHOOSE($I$32,dry!W55,'as new'!W55,'twice as new'!W55)=0,NA(),CHOOSE($I$32,dry!W55,'as new'!W55,'twice as new'!W55))</f>
        <v>#N/A</v>
      </c>
      <c r="AP118" s="1" t="e">
        <f>IF(CHOOSE($I$32,dry!X55,'as new'!X55,'twice as new'!X55)=0,NA(),CHOOSE($I$32,dry!X55,'as new'!X55,'twice as new'!X55))</f>
        <v>#N/A</v>
      </c>
      <c r="AQ118" s="1" t="e">
        <f>IF(CHOOSE($I$32,dry!Y55,'as new'!Y55,'twice as new'!Y55)=0,NA(),CHOOSE($I$32,dry!Y55,'as new'!Y55,'twice as new'!Y55))</f>
        <v>#N/A</v>
      </c>
      <c r="AR118" s="1" t="e">
        <f>IF(CHOOSE($I$32,dry!Z55,'as new'!Z55,'twice as new'!Z55)=0,NA(),CHOOSE($I$32,dry!Z55,'as new'!Z55,'twice as new'!Z55))</f>
        <v>#N/A</v>
      </c>
      <c r="AS118" s="1" t="e">
        <f>Damped[[#This Row],[fI '[rpm']]]/Damped[[#This Row],[frun '[rpm']]]</f>
        <v>#N/A</v>
      </c>
      <c r="AT118" s="1" t="e">
        <f>Damped[[#This Row],[fII '[rpm']]]/Damped[[#This Row],[frun '[rpm']]]</f>
        <v>#N/A</v>
      </c>
      <c r="AU118" s="1" t="e">
        <f>Damped[[#This Row],[fIII '[rpm']]]/Damped[[#This Row],[frun '[rpm']]]</f>
        <v>#N/A</v>
      </c>
      <c r="AV118" s="1" t="e">
        <f>Damped[[#This Row],[fIV '[rpm']]]/Damped[[#This Row],[frun '[rpm']]]</f>
        <v>#N/A</v>
      </c>
      <c r="AW118" s="1" t="e">
        <f>Damped[[#This Row],[fV '[rpm']]]/Damped[[#This Row],[frun '[rpm']]]</f>
        <v>#N/A</v>
      </c>
      <c r="AX118" s="1" t="e">
        <f>Damped[[#This Row],[fVI '[rpm']]]/Damped[[#This Row],[frun '[rpm']]]</f>
        <v>#N/A</v>
      </c>
      <c r="AY118" s="1" t="e">
        <f>Damped[[#This Row],[fVII '[rpm']]]/Damped[[#This Row],[frun '[rpm']]]</f>
        <v>#N/A</v>
      </c>
      <c r="AZ118" s="1" t="e">
        <f>Damped[[#This Row],[fVIII '[rpm']]]/Damped[[#This Row],[frun '[rpm']]]</f>
        <v>#N/A</v>
      </c>
      <c r="BA118" s="1" t="e">
        <f>Damped[[#This Row],[fIX '[rpm']]]/Damped[[#This Row],[frun '[rpm']]]</f>
        <v>#N/A</v>
      </c>
      <c r="BB118" s="1" t="e">
        <f>Damped[[#This Row],[fX '[rpm']]]/Damped[[#This Row],[frun '[rpm']]]</f>
        <v>#N/A</v>
      </c>
      <c r="BC118" s="1" t="e">
        <f>Damped[[#This Row],[fXI '[rpm']]]/Damped[[#This Row],[frun '[rpm']]]</f>
        <v>#N/A</v>
      </c>
      <c r="BD118" s="1" t="e">
        <f>Damped[[#This Row],[fXII '[rpm']]]/Damped[[#This Row],[frun '[rpm']]]</f>
        <v>#N/A</v>
      </c>
    </row>
    <row r="119" spans="8:56" x14ac:dyDescent="0.25">
      <c r="H119" s="1" t="e" cm="1">
        <f t="array" ref="H119">_xlfn.IFS($I$32=1,IF(ISBLANK(dry!B56),NA(),dry!B56),$I$32=2,IF(ISBLANK('as new'!B56),NA(),'as new'!B56),$I$32=3,IF(ISBLANK('twice as new'!B56),NA(),'twice as new'!B56))</f>
        <v>#N/A</v>
      </c>
      <c r="I119" s="1" t="e">
        <f>Damped[[#This Row],[ξI '[-']]]/API_check(Damped[[#This Row],[fI/frun]])</f>
        <v>#N/A</v>
      </c>
      <c r="J119" s="1" t="e">
        <f>Damped[[#This Row],[ξII '[-']]]/API_check(Damped[[#This Row],[fII/frun]])</f>
        <v>#N/A</v>
      </c>
      <c r="K119" s="1" t="e">
        <f>Damped[[#This Row],[ξIII '[-']]]/API_check(Damped[[#This Row],[fIII/frun]])</f>
        <v>#N/A</v>
      </c>
      <c r="L119" s="1" t="e">
        <f>Damped[[#This Row],[ξIV '[-']]]/API_check(Damped[[#This Row],[fIV/frun]])</f>
        <v>#N/A</v>
      </c>
      <c r="M119" s="1" t="e">
        <f>Damped[[#This Row],[ξV '[-']]]/API_check(Damped[[#This Row],[fV/frun]])</f>
        <v>#N/A</v>
      </c>
      <c r="N119" s="1" t="e">
        <f>Damped[[#This Row],[ξVI '[-']]]/API_check(Damped[[#This Row],[fVI/frun]])</f>
        <v>#N/A</v>
      </c>
      <c r="O119" s="1" t="e">
        <f>Damped[[#This Row],[ξVII '[-']]]/API_check(Damped[[#This Row],[fVII/frun]])</f>
        <v>#N/A</v>
      </c>
      <c r="P119" s="1" t="e">
        <f>Damped[[#This Row],[ξVIII '[-']]]/API_check(Damped[[#This Row],[fVIII/frun]])</f>
        <v>#N/A</v>
      </c>
      <c r="Q119" s="1" t="e">
        <f>Damped[[#This Row],[ξIX '[-']]]/API_check(Damped[[#This Row],[fIX/frun]])</f>
        <v>#N/A</v>
      </c>
      <c r="R119" s="1" t="e">
        <f>Damped[[#This Row],[ξX '[-']]]/API_check(Damped[[#This Row],[fX/frun]])</f>
        <v>#N/A</v>
      </c>
      <c r="S119" s="1" t="e">
        <f>Damped[[#This Row],[ξXI '[-']]]/API_check(Damped[[#This Row],[fXI/frun]])</f>
        <v>#N/A</v>
      </c>
      <c r="T119" s="1" t="e">
        <f>Damped[[#This Row],[ξXII '[-']]]/API_check(Damped[[#This Row],[fXII/frun]])</f>
        <v>#N/A</v>
      </c>
      <c r="U119" s="1" t="e" cm="1">
        <f t="array" ref="U119">_xlfn.IFS($I$32=1,IF(ISBLANK(dry!C56),NA(),dry!C56),$I$32=2,IF(ISBLANK('as new'!C56),NA(),'as new'!C56),$I$32=3,IF(ISBLANK('twice as new'!C56),NA(),'twice as new'!C56))</f>
        <v>#N/A</v>
      </c>
      <c r="V119" s="1" t="e" cm="1">
        <f t="array" ref="V119">_xlfn.IFS($I$32=1,IF(ISBLANK(dry!D56),NA(),dry!D56),$I$32=2,IF(ISBLANK('as new'!D56),NA(),'as new'!D56),$I$32=3,IF(ISBLANK('twice as new'!D56),NA(),'twice as new'!D56))</f>
        <v>#N/A</v>
      </c>
      <c r="W119" s="1" t="e" cm="1">
        <f t="array" ref="W119">_xlfn.IFS($I$32=1,IF(ISBLANK(dry!E56),NA(),dry!E56),$I$32=2,IF(ISBLANK('as new'!E56),NA(),'as new'!E56),$I$32=3,IF(ISBLANK('twice as new'!E56),NA(),'twice as new'!E56))</f>
        <v>#N/A</v>
      </c>
      <c r="X119" s="1" t="e" cm="1">
        <f t="array" ref="X119">_xlfn.IFS($I$32=1,IF(ISBLANK(dry!F56),NA(),dry!F56),$I$32=2,IF(ISBLANK('as new'!F56),NA(),'as new'!F56),$I$32=3,IF(ISBLANK('twice as new'!F56),NA(),'twice as new'!F56))</f>
        <v>#N/A</v>
      </c>
      <c r="Y119" s="1" t="e" cm="1">
        <f t="array" ref="Y119">_xlfn.IFS($I$32=1,IF(ISBLANK(dry!G56),NA(),dry!G56),$I$32=2,IF(ISBLANK('as new'!G56),NA(),'as new'!G56),$I$32=3,IF(ISBLANK('twice as new'!G56),NA(),'twice as new'!G56))</f>
        <v>#N/A</v>
      </c>
      <c r="Z119" s="1" t="e" cm="1">
        <f t="array" ref="Z119">_xlfn.IFS($I$32=1,IF(ISBLANK(dry!H56),NA(),dry!H56),$I$32=2,IF(ISBLANK('as new'!H56),NA(),'as new'!H56),$I$32=3,IF(ISBLANK('twice as new'!H56),NA(),'twice as new'!H56))</f>
        <v>#N/A</v>
      </c>
      <c r="AA119" s="1" t="e" cm="1">
        <f t="array" ref="AA119">_xlfn.IFS($I$32=1,IF(ISBLANK(dry!I56),NA(),dry!I56),$I$32=2,IF(ISBLANK('as new'!I56),NA(),'as new'!I56),$I$32=3,IF(ISBLANK('twice as new'!I56),NA(),'twice as new'!I56))</f>
        <v>#N/A</v>
      </c>
      <c r="AB119" s="1" t="e" cm="1">
        <f t="array" ref="AB119">_xlfn.IFS($I$32=1,IF(ISBLANK(dry!J56),NA(),dry!J56),$I$32=2,IF(ISBLANK('as new'!J56),NA(),'as new'!J56),$I$32=3,IF(ISBLANK('twice as new'!J56),NA(),'twice as new'!J56))</f>
        <v>#N/A</v>
      </c>
      <c r="AC119" s="1" t="e" cm="1">
        <f t="array" ref="AC119">_xlfn.IFS($I$32=1,IF(ISBLANK(dry!K56),NA(),dry!K56),$I$32=2,IF(ISBLANK('as new'!K56),NA(),'as new'!K56),$I$32=3,IF(ISBLANK('twice as new'!K56),NA(),'twice as new'!K56))</f>
        <v>#N/A</v>
      </c>
      <c r="AD119" s="1" t="e" cm="1">
        <f t="array" ref="AD119">_xlfn.IFS($I$32=1,IF(ISBLANK(dry!L56),NA(),dry!L56),$I$32=2,IF(ISBLANK('as new'!L56),NA(),'as new'!L56),$I$32=3,IF(ISBLANK('twice as new'!L56),NA(),'twice as new'!L56))</f>
        <v>#N/A</v>
      </c>
      <c r="AE119" s="1" t="e" cm="1">
        <f t="array" ref="AE119">_xlfn.IFS($I$32=1,IF(ISBLANK(dry!M56),NA(),dry!M56),$I$32=2,IF(ISBLANK('as new'!M56),NA(),'as new'!M56),$I$32=3,IF(ISBLANK('twice as new'!M56),NA(),'twice as new'!M56))</f>
        <v>#N/A</v>
      </c>
      <c r="AF119" s="1" t="e" cm="1">
        <f t="array" ref="AF119">_xlfn.IFS($I$32=1,IF(ISBLANK(dry!N56),NA(),dry!N56),$I$32=2,IF(ISBLANK('as new'!N56),NA(),'as new'!N56),$I$32=3,IF(ISBLANK('twice as new'!N56),NA(),'twice as new'!N56))</f>
        <v>#N/A</v>
      </c>
      <c r="AG119" s="1" t="e" cm="1">
        <f t="array" ref="AG119">_xlfn.IFS($I$32=1,IF(ISBLANK(dry!O56),NA(),dry!O56),$I$32=2,IF(ISBLANK('as new'!O56),NA(),'as new'!O56),$I$32=3,IF(ISBLANK('twice as new'!O56),NA(),'twice as new'!O56))</f>
        <v>#N/A</v>
      </c>
      <c r="AH119" s="1" t="e" cm="1">
        <f t="array" ref="AH119">_xlfn.IFS($I$32=1,IF(ISBLANK(dry!P56),NA(),dry!P56),$I$32=2,IF(ISBLANK('as new'!P56),NA(),'as new'!P56),$I$32=3,IF(ISBLANK('twice as new'!P56),NA(),'twice as new'!P56))</f>
        <v>#N/A</v>
      </c>
      <c r="AI119" s="1" t="e" cm="1">
        <f t="array" ref="AI119">_xlfn.IFS($I$32=1,IF(ISBLANK(dry!Q56),NA(),dry!Q56),$I$32=2,IF(ISBLANK('as new'!Q56),NA(),'as new'!Q56),$I$32=3,IF(ISBLANK('twice as new'!Q56),NA(),'twice as new'!Q56))</f>
        <v>#N/A</v>
      </c>
      <c r="AJ119" s="1" t="e" cm="1">
        <f t="array" ref="AJ119">_xlfn.IFS($I$32=1,IF(ISBLANK(dry!R56),NA(),dry!R56),$I$32=2,IF(ISBLANK('as new'!R56),NA(),'as new'!R56),$I$32=3,IF(ISBLANK('twice as new'!R56),NA(),'twice as new'!R56))</f>
        <v>#N/A</v>
      </c>
      <c r="AK119" s="1" t="e">
        <f>IF(CHOOSE($I$32,dry!S56,'as new'!S56,'twice as new'!S56)=0,NA(),CHOOSE($I$32,dry!S56,'as new'!S56,'twice as new'!S56))</f>
        <v>#N/A</v>
      </c>
      <c r="AL119" s="1" t="e">
        <f>IF(CHOOSE($I$32,dry!T56,'as new'!T56,'twice as new'!T56)=0,NA(),CHOOSE($I$32,dry!T56,'as new'!T56,'twice as new'!T56))</f>
        <v>#N/A</v>
      </c>
      <c r="AM119" s="1" t="e">
        <f>IF(CHOOSE($I$32,dry!U56,'as new'!U56,'twice as new'!U56)=0,NA(),CHOOSE($I$32,dry!U56,'as new'!U56,'twice as new'!U56))</f>
        <v>#N/A</v>
      </c>
      <c r="AN119" s="1" t="e">
        <f>IF(CHOOSE($I$32,dry!V56,'as new'!V56,'twice as new'!V56)=0,NA(),CHOOSE($I$32,dry!V56,'as new'!V56,'twice as new'!V56))</f>
        <v>#N/A</v>
      </c>
      <c r="AO119" s="1" t="e">
        <f>IF(CHOOSE($I$32,dry!W56,'as new'!W56,'twice as new'!W56)=0,NA(),CHOOSE($I$32,dry!W56,'as new'!W56,'twice as new'!W56))</f>
        <v>#N/A</v>
      </c>
      <c r="AP119" s="1" t="e">
        <f>IF(CHOOSE($I$32,dry!X56,'as new'!X56,'twice as new'!X56)=0,NA(),CHOOSE($I$32,dry!X56,'as new'!X56,'twice as new'!X56))</f>
        <v>#N/A</v>
      </c>
      <c r="AQ119" s="1" t="e">
        <f>IF(CHOOSE($I$32,dry!Y56,'as new'!Y56,'twice as new'!Y56)=0,NA(),CHOOSE($I$32,dry!Y56,'as new'!Y56,'twice as new'!Y56))</f>
        <v>#N/A</v>
      </c>
      <c r="AR119" s="1" t="e">
        <f>IF(CHOOSE($I$32,dry!Z56,'as new'!Z56,'twice as new'!Z56)=0,NA(),CHOOSE($I$32,dry!Z56,'as new'!Z56,'twice as new'!Z56))</f>
        <v>#N/A</v>
      </c>
      <c r="AS119" s="1" t="e">
        <f>Damped[[#This Row],[fI '[rpm']]]/Damped[[#This Row],[frun '[rpm']]]</f>
        <v>#N/A</v>
      </c>
      <c r="AT119" s="1" t="e">
        <f>Damped[[#This Row],[fII '[rpm']]]/Damped[[#This Row],[frun '[rpm']]]</f>
        <v>#N/A</v>
      </c>
      <c r="AU119" s="1" t="e">
        <f>Damped[[#This Row],[fIII '[rpm']]]/Damped[[#This Row],[frun '[rpm']]]</f>
        <v>#N/A</v>
      </c>
      <c r="AV119" s="1" t="e">
        <f>Damped[[#This Row],[fIV '[rpm']]]/Damped[[#This Row],[frun '[rpm']]]</f>
        <v>#N/A</v>
      </c>
      <c r="AW119" s="1" t="e">
        <f>Damped[[#This Row],[fV '[rpm']]]/Damped[[#This Row],[frun '[rpm']]]</f>
        <v>#N/A</v>
      </c>
      <c r="AX119" s="1" t="e">
        <f>Damped[[#This Row],[fVI '[rpm']]]/Damped[[#This Row],[frun '[rpm']]]</f>
        <v>#N/A</v>
      </c>
      <c r="AY119" s="1" t="e">
        <f>Damped[[#This Row],[fVII '[rpm']]]/Damped[[#This Row],[frun '[rpm']]]</f>
        <v>#N/A</v>
      </c>
      <c r="AZ119" s="1" t="e">
        <f>Damped[[#This Row],[fVIII '[rpm']]]/Damped[[#This Row],[frun '[rpm']]]</f>
        <v>#N/A</v>
      </c>
      <c r="BA119" s="1" t="e">
        <f>Damped[[#This Row],[fIX '[rpm']]]/Damped[[#This Row],[frun '[rpm']]]</f>
        <v>#N/A</v>
      </c>
      <c r="BB119" s="1" t="e">
        <f>Damped[[#This Row],[fX '[rpm']]]/Damped[[#This Row],[frun '[rpm']]]</f>
        <v>#N/A</v>
      </c>
      <c r="BC119" s="1" t="e">
        <f>Damped[[#This Row],[fXI '[rpm']]]/Damped[[#This Row],[frun '[rpm']]]</f>
        <v>#N/A</v>
      </c>
      <c r="BD119" s="1" t="e">
        <f>Damped[[#This Row],[fXII '[rpm']]]/Damped[[#This Row],[frun '[rpm']]]</f>
        <v>#N/A</v>
      </c>
    </row>
    <row r="120" spans="8:56" x14ac:dyDescent="0.25">
      <c r="H120" s="1" t="e" cm="1">
        <f t="array" ref="H120">_xlfn.IFS($I$32=1,IF(ISBLANK(dry!B57),NA(),dry!B57),$I$32=2,IF(ISBLANK('as new'!B57),NA(),'as new'!B57),$I$32=3,IF(ISBLANK('twice as new'!B57),NA(),'twice as new'!B57))</f>
        <v>#N/A</v>
      </c>
      <c r="I120" s="1" t="e">
        <f>Damped[[#This Row],[ξI '[-']]]/API_check(Damped[[#This Row],[fI/frun]])</f>
        <v>#N/A</v>
      </c>
      <c r="J120" s="1" t="e">
        <f>Damped[[#This Row],[ξII '[-']]]/API_check(Damped[[#This Row],[fII/frun]])</f>
        <v>#N/A</v>
      </c>
      <c r="K120" s="1" t="e">
        <f>Damped[[#This Row],[ξIII '[-']]]/API_check(Damped[[#This Row],[fIII/frun]])</f>
        <v>#N/A</v>
      </c>
      <c r="L120" s="1" t="e">
        <f>Damped[[#This Row],[ξIV '[-']]]/API_check(Damped[[#This Row],[fIV/frun]])</f>
        <v>#N/A</v>
      </c>
      <c r="M120" s="1" t="e">
        <f>Damped[[#This Row],[ξV '[-']]]/API_check(Damped[[#This Row],[fV/frun]])</f>
        <v>#N/A</v>
      </c>
      <c r="N120" s="1" t="e">
        <f>Damped[[#This Row],[ξVI '[-']]]/API_check(Damped[[#This Row],[fVI/frun]])</f>
        <v>#N/A</v>
      </c>
      <c r="O120" s="1" t="e">
        <f>Damped[[#This Row],[ξVII '[-']]]/API_check(Damped[[#This Row],[fVII/frun]])</f>
        <v>#N/A</v>
      </c>
      <c r="P120" s="1" t="e">
        <f>Damped[[#This Row],[ξVIII '[-']]]/API_check(Damped[[#This Row],[fVIII/frun]])</f>
        <v>#N/A</v>
      </c>
      <c r="Q120" s="1" t="e">
        <f>Damped[[#This Row],[ξIX '[-']]]/API_check(Damped[[#This Row],[fIX/frun]])</f>
        <v>#N/A</v>
      </c>
      <c r="R120" s="1" t="e">
        <f>Damped[[#This Row],[ξX '[-']]]/API_check(Damped[[#This Row],[fX/frun]])</f>
        <v>#N/A</v>
      </c>
      <c r="S120" s="1" t="e">
        <f>Damped[[#This Row],[ξXI '[-']]]/API_check(Damped[[#This Row],[fXI/frun]])</f>
        <v>#N/A</v>
      </c>
      <c r="T120" s="1" t="e">
        <f>Damped[[#This Row],[ξXII '[-']]]/API_check(Damped[[#This Row],[fXII/frun]])</f>
        <v>#N/A</v>
      </c>
      <c r="U120" s="1" t="e" cm="1">
        <f t="array" ref="U120">_xlfn.IFS($I$32=1,IF(ISBLANK(dry!C57),NA(),dry!C57),$I$32=2,IF(ISBLANK('as new'!C57),NA(),'as new'!C57),$I$32=3,IF(ISBLANK('twice as new'!C57),NA(),'twice as new'!C57))</f>
        <v>#N/A</v>
      </c>
      <c r="V120" s="1" t="e" cm="1">
        <f t="array" ref="V120">_xlfn.IFS($I$32=1,IF(ISBLANK(dry!D57),NA(),dry!D57),$I$32=2,IF(ISBLANK('as new'!D57),NA(),'as new'!D57),$I$32=3,IF(ISBLANK('twice as new'!D57),NA(),'twice as new'!D57))</f>
        <v>#N/A</v>
      </c>
      <c r="W120" s="1" t="e" cm="1">
        <f t="array" ref="W120">_xlfn.IFS($I$32=1,IF(ISBLANK(dry!E57),NA(),dry!E57),$I$32=2,IF(ISBLANK('as new'!E57),NA(),'as new'!E57),$I$32=3,IF(ISBLANK('twice as new'!E57),NA(),'twice as new'!E57))</f>
        <v>#N/A</v>
      </c>
      <c r="X120" s="1" t="e" cm="1">
        <f t="array" ref="X120">_xlfn.IFS($I$32=1,IF(ISBLANK(dry!F57),NA(),dry!F57),$I$32=2,IF(ISBLANK('as new'!F57),NA(),'as new'!F57),$I$32=3,IF(ISBLANK('twice as new'!F57),NA(),'twice as new'!F57))</f>
        <v>#N/A</v>
      </c>
      <c r="Y120" s="1" t="e" cm="1">
        <f t="array" ref="Y120">_xlfn.IFS($I$32=1,IF(ISBLANK(dry!G57),NA(),dry!G57),$I$32=2,IF(ISBLANK('as new'!G57),NA(),'as new'!G57),$I$32=3,IF(ISBLANK('twice as new'!G57),NA(),'twice as new'!G57))</f>
        <v>#N/A</v>
      </c>
      <c r="Z120" s="1" t="e" cm="1">
        <f t="array" ref="Z120">_xlfn.IFS($I$32=1,IF(ISBLANK(dry!H57),NA(),dry!H57),$I$32=2,IF(ISBLANK('as new'!H57),NA(),'as new'!H57),$I$32=3,IF(ISBLANK('twice as new'!H57),NA(),'twice as new'!H57))</f>
        <v>#N/A</v>
      </c>
      <c r="AA120" s="1" t="e" cm="1">
        <f t="array" ref="AA120">_xlfn.IFS($I$32=1,IF(ISBLANK(dry!I57),NA(),dry!I57),$I$32=2,IF(ISBLANK('as new'!I57),NA(),'as new'!I57),$I$32=3,IF(ISBLANK('twice as new'!I57),NA(),'twice as new'!I57))</f>
        <v>#N/A</v>
      </c>
      <c r="AB120" s="1" t="e" cm="1">
        <f t="array" ref="AB120">_xlfn.IFS($I$32=1,IF(ISBLANK(dry!J57),NA(),dry!J57),$I$32=2,IF(ISBLANK('as new'!J57),NA(),'as new'!J57),$I$32=3,IF(ISBLANK('twice as new'!J57),NA(),'twice as new'!J57))</f>
        <v>#N/A</v>
      </c>
      <c r="AC120" s="1" t="e" cm="1">
        <f t="array" ref="AC120">_xlfn.IFS($I$32=1,IF(ISBLANK(dry!K57),NA(),dry!K57),$I$32=2,IF(ISBLANK('as new'!K57),NA(),'as new'!K57),$I$32=3,IF(ISBLANK('twice as new'!K57),NA(),'twice as new'!K57))</f>
        <v>#N/A</v>
      </c>
      <c r="AD120" s="1" t="e" cm="1">
        <f t="array" ref="AD120">_xlfn.IFS($I$32=1,IF(ISBLANK(dry!L57),NA(),dry!L57),$I$32=2,IF(ISBLANK('as new'!L57),NA(),'as new'!L57),$I$32=3,IF(ISBLANK('twice as new'!L57),NA(),'twice as new'!L57))</f>
        <v>#N/A</v>
      </c>
      <c r="AE120" s="1" t="e" cm="1">
        <f t="array" ref="AE120">_xlfn.IFS($I$32=1,IF(ISBLANK(dry!M57),NA(),dry!M57),$I$32=2,IF(ISBLANK('as new'!M57),NA(),'as new'!M57),$I$32=3,IF(ISBLANK('twice as new'!M57),NA(),'twice as new'!M57))</f>
        <v>#N/A</v>
      </c>
      <c r="AF120" s="1" t="e" cm="1">
        <f t="array" ref="AF120">_xlfn.IFS($I$32=1,IF(ISBLANK(dry!N57),NA(),dry!N57),$I$32=2,IF(ISBLANK('as new'!N57),NA(),'as new'!N57),$I$32=3,IF(ISBLANK('twice as new'!N57),NA(),'twice as new'!N57))</f>
        <v>#N/A</v>
      </c>
      <c r="AG120" s="1" t="e" cm="1">
        <f t="array" ref="AG120">_xlfn.IFS($I$32=1,IF(ISBLANK(dry!O57),NA(),dry!O57),$I$32=2,IF(ISBLANK('as new'!O57),NA(),'as new'!O57),$I$32=3,IF(ISBLANK('twice as new'!O57),NA(),'twice as new'!O57))</f>
        <v>#N/A</v>
      </c>
      <c r="AH120" s="1" t="e" cm="1">
        <f t="array" ref="AH120">_xlfn.IFS($I$32=1,IF(ISBLANK(dry!P57),NA(),dry!P57),$I$32=2,IF(ISBLANK('as new'!P57),NA(),'as new'!P57),$I$32=3,IF(ISBLANK('twice as new'!P57),NA(),'twice as new'!P57))</f>
        <v>#N/A</v>
      </c>
      <c r="AI120" s="1" t="e" cm="1">
        <f t="array" ref="AI120">_xlfn.IFS($I$32=1,IF(ISBLANK(dry!Q57),NA(),dry!Q57),$I$32=2,IF(ISBLANK('as new'!Q57),NA(),'as new'!Q57),$I$32=3,IF(ISBLANK('twice as new'!Q57),NA(),'twice as new'!Q57))</f>
        <v>#N/A</v>
      </c>
      <c r="AJ120" s="1" t="e" cm="1">
        <f t="array" ref="AJ120">_xlfn.IFS($I$32=1,IF(ISBLANK(dry!R57),NA(),dry!R57),$I$32=2,IF(ISBLANK('as new'!R57),NA(),'as new'!R57),$I$32=3,IF(ISBLANK('twice as new'!R57),NA(),'twice as new'!R57))</f>
        <v>#N/A</v>
      </c>
      <c r="AK120" s="1" t="e">
        <f>IF(CHOOSE($I$32,dry!S57,'as new'!S57,'twice as new'!S57)=0,NA(),CHOOSE($I$32,dry!S57,'as new'!S57,'twice as new'!S57))</f>
        <v>#N/A</v>
      </c>
      <c r="AL120" s="1" t="e">
        <f>IF(CHOOSE($I$32,dry!T57,'as new'!T57,'twice as new'!T57)=0,NA(),CHOOSE($I$32,dry!T57,'as new'!T57,'twice as new'!T57))</f>
        <v>#N/A</v>
      </c>
      <c r="AM120" s="1" t="e">
        <f>IF(CHOOSE($I$32,dry!U57,'as new'!U57,'twice as new'!U57)=0,NA(),CHOOSE($I$32,dry!U57,'as new'!U57,'twice as new'!U57))</f>
        <v>#N/A</v>
      </c>
      <c r="AN120" s="1" t="e">
        <f>IF(CHOOSE($I$32,dry!V57,'as new'!V57,'twice as new'!V57)=0,NA(),CHOOSE($I$32,dry!V57,'as new'!V57,'twice as new'!V57))</f>
        <v>#N/A</v>
      </c>
      <c r="AO120" s="1" t="e">
        <f>IF(CHOOSE($I$32,dry!W57,'as new'!W57,'twice as new'!W57)=0,NA(),CHOOSE($I$32,dry!W57,'as new'!W57,'twice as new'!W57))</f>
        <v>#N/A</v>
      </c>
      <c r="AP120" s="1" t="e">
        <f>IF(CHOOSE($I$32,dry!X57,'as new'!X57,'twice as new'!X57)=0,NA(),CHOOSE($I$32,dry!X57,'as new'!X57,'twice as new'!X57))</f>
        <v>#N/A</v>
      </c>
      <c r="AQ120" s="1" t="e">
        <f>IF(CHOOSE($I$32,dry!Y57,'as new'!Y57,'twice as new'!Y57)=0,NA(),CHOOSE($I$32,dry!Y57,'as new'!Y57,'twice as new'!Y57))</f>
        <v>#N/A</v>
      </c>
      <c r="AR120" s="1" t="e">
        <f>IF(CHOOSE($I$32,dry!Z57,'as new'!Z57,'twice as new'!Z57)=0,NA(),CHOOSE($I$32,dry!Z57,'as new'!Z57,'twice as new'!Z57))</f>
        <v>#N/A</v>
      </c>
      <c r="AS120" s="1" t="e">
        <f>Damped[[#This Row],[fI '[rpm']]]/Damped[[#This Row],[frun '[rpm']]]</f>
        <v>#N/A</v>
      </c>
      <c r="AT120" s="1" t="e">
        <f>Damped[[#This Row],[fII '[rpm']]]/Damped[[#This Row],[frun '[rpm']]]</f>
        <v>#N/A</v>
      </c>
      <c r="AU120" s="1" t="e">
        <f>Damped[[#This Row],[fIII '[rpm']]]/Damped[[#This Row],[frun '[rpm']]]</f>
        <v>#N/A</v>
      </c>
      <c r="AV120" s="1" t="e">
        <f>Damped[[#This Row],[fIV '[rpm']]]/Damped[[#This Row],[frun '[rpm']]]</f>
        <v>#N/A</v>
      </c>
      <c r="AW120" s="1" t="e">
        <f>Damped[[#This Row],[fV '[rpm']]]/Damped[[#This Row],[frun '[rpm']]]</f>
        <v>#N/A</v>
      </c>
      <c r="AX120" s="1" t="e">
        <f>Damped[[#This Row],[fVI '[rpm']]]/Damped[[#This Row],[frun '[rpm']]]</f>
        <v>#N/A</v>
      </c>
      <c r="AY120" s="1" t="e">
        <f>Damped[[#This Row],[fVII '[rpm']]]/Damped[[#This Row],[frun '[rpm']]]</f>
        <v>#N/A</v>
      </c>
      <c r="AZ120" s="1" t="e">
        <f>Damped[[#This Row],[fVIII '[rpm']]]/Damped[[#This Row],[frun '[rpm']]]</f>
        <v>#N/A</v>
      </c>
      <c r="BA120" s="1" t="e">
        <f>Damped[[#This Row],[fIX '[rpm']]]/Damped[[#This Row],[frun '[rpm']]]</f>
        <v>#N/A</v>
      </c>
      <c r="BB120" s="1" t="e">
        <f>Damped[[#This Row],[fX '[rpm']]]/Damped[[#This Row],[frun '[rpm']]]</f>
        <v>#N/A</v>
      </c>
      <c r="BC120" s="1" t="e">
        <f>Damped[[#This Row],[fXI '[rpm']]]/Damped[[#This Row],[frun '[rpm']]]</f>
        <v>#N/A</v>
      </c>
      <c r="BD120" s="1" t="e">
        <f>Damped[[#This Row],[fXII '[rpm']]]/Damped[[#This Row],[frun '[rpm']]]</f>
        <v>#N/A</v>
      </c>
    </row>
    <row r="121" spans="8:56" x14ac:dyDescent="0.25">
      <c r="H121" s="1" t="e" cm="1">
        <f t="array" ref="H121">_xlfn.IFS($I$32=1,IF(ISBLANK(dry!B58),NA(),dry!B58),$I$32=2,IF(ISBLANK('as new'!B58),NA(),'as new'!B58),$I$32=3,IF(ISBLANK('twice as new'!B58),NA(),'twice as new'!B58))</f>
        <v>#N/A</v>
      </c>
      <c r="I121" s="1" t="e">
        <f>Damped[[#This Row],[ξI '[-']]]/API_check(Damped[[#This Row],[fI/frun]])</f>
        <v>#N/A</v>
      </c>
      <c r="J121" s="1" t="e">
        <f>Damped[[#This Row],[ξII '[-']]]/API_check(Damped[[#This Row],[fII/frun]])</f>
        <v>#N/A</v>
      </c>
      <c r="K121" s="1" t="e">
        <f>Damped[[#This Row],[ξIII '[-']]]/API_check(Damped[[#This Row],[fIII/frun]])</f>
        <v>#N/A</v>
      </c>
      <c r="L121" s="1" t="e">
        <f>Damped[[#This Row],[ξIV '[-']]]/API_check(Damped[[#This Row],[fIV/frun]])</f>
        <v>#N/A</v>
      </c>
      <c r="M121" s="1" t="e">
        <f>Damped[[#This Row],[ξV '[-']]]/API_check(Damped[[#This Row],[fV/frun]])</f>
        <v>#N/A</v>
      </c>
      <c r="N121" s="1" t="e">
        <f>Damped[[#This Row],[ξVI '[-']]]/API_check(Damped[[#This Row],[fVI/frun]])</f>
        <v>#N/A</v>
      </c>
      <c r="O121" s="1" t="e">
        <f>Damped[[#This Row],[ξVII '[-']]]/API_check(Damped[[#This Row],[fVII/frun]])</f>
        <v>#N/A</v>
      </c>
      <c r="P121" s="1" t="e">
        <f>Damped[[#This Row],[ξVIII '[-']]]/API_check(Damped[[#This Row],[fVIII/frun]])</f>
        <v>#N/A</v>
      </c>
      <c r="Q121" s="1" t="e">
        <f>Damped[[#This Row],[ξIX '[-']]]/API_check(Damped[[#This Row],[fIX/frun]])</f>
        <v>#N/A</v>
      </c>
      <c r="R121" s="1" t="e">
        <f>Damped[[#This Row],[ξX '[-']]]/API_check(Damped[[#This Row],[fX/frun]])</f>
        <v>#N/A</v>
      </c>
      <c r="S121" s="1" t="e">
        <f>Damped[[#This Row],[ξXI '[-']]]/API_check(Damped[[#This Row],[fXI/frun]])</f>
        <v>#N/A</v>
      </c>
      <c r="T121" s="1" t="e">
        <f>Damped[[#This Row],[ξXII '[-']]]/API_check(Damped[[#This Row],[fXII/frun]])</f>
        <v>#N/A</v>
      </c>
      <c r="U121" s="1" t="e" cm="1">
        <f t="array" ref="U121">_xlfn.IFS($I$32=1,IF(ISBLANK(dry!C58),NA(),dry!C58),$I$32=2,IF(ISBLANK('as new'!C58),NA(),'as new'!C58),$I$32=3,IF(ISBLANK('twice as new'!C58),NA(),'twice as new'!C58))</f>
        <v>#N/A</v>
      </c>
      <c r="V121" s="1" t="e" cm="1">
        <f t="array" ref="V121">_xlfn.IFS($I$32=1,IF(ISBLANK(dry!D58),NA(),dry!D58),$I$32=2,IF(ISBLANK('as new'!D58),NA(),'as new'!D58),$I$32=3,IF(ISBLANK('twice as new'!D58),NA(),'twice as new'!D58))</f>
        <v>#N/A</v>
      </c>
      <c r="W121" s="1" t="e" cm="1">
        <f t="array" ref="W121">_xlfn.IFS($I$32=1,IF(ISBLANK(dry!E58),NA(),dry!E58),$I$32=2,IF(ISBLANK('as new'!E58),NA(),'as new'!E58),$I$32=3,IF(ISBLANK('twice as new'!E58),NA(),'twice as new'!E58))</f>
        <v>#N/A</v>
      </c>
      <c r="X121" s="1" t="e" cm="1">
        <f t="array" ref="X121">_xlfn.IFS($I$32=1,IF(ISBLANK(dry!F58),NA(),dry!F58),$I$32=2,IF(ISBLANK('as new'!F58),NA(),'as new'!F58),$I$32=3,IF(ISBLANK('twice as new'!F58),NA(),'twice as new'!F58))</f>
        <v>#N/A</v>
      </c>
      <c r="Y121" s="1" t="e" cm="1">
        <f t="array" ref="Y121">_xlfn.IFS($I$32=1,IF(ISBLANK(dry!G58),NA(),dry!G58),$I$32=2,IF(ISBLANK('as new'!G58),NA(),'as new'!G58),$I$32=3,IF(ISBLANK('twice as new'!G58),NA(),'twice as new'!G58))</f>
        <v>#N/A</v>
      </c>
      <c r="Z121" s="1" t="e" cm="1">
        <f t="array" ref="Z121">_xlfn.IFS($I$32=1,IF(ISBLANK(dry!H58),NA(),dry!H58),$I$32=2,IF(ISBLANK('as new'!H58),NA(),'as new'!H58),$I$32=3,IF(ISBLANK('twice as new'!H58),NA(),'twice as new'!H58))</f>
        <v>#N/A</v>
      </c>
      <c r="AA121" s="1" t="e" cm="1">
        <f t="array" ref="AA121">_xlfn.IFS($I$32=1,IF(ISBLANK(dry!I58),NA(),dry!I58),$I$32=2,IF(ISBLANK('as new'!I58),NA(),'as new'!I58),$I$32=3,IF(ISBLANK('twice as new'!I58),NA(),'twice as new'!I58))</f>
        <v>#N/A</v>
      </c>
      <c r="AB121" s="1" t="e" cm="1">
        <f t="array" ref="AB121">_xlfn.IFS($I$32=1,IF(ISBLANK(dry!J58),NA(),dry!J58),$I$32=2,IF(ISBLANK('as new'!J58),NA(),'as new'!J58),$I$32=3,IF(ISBLANK('twice as new'!J58),NA(),'twice as new'!J58))</f>
        <v>#N/A</v>
      </c>
      <c r="AC121" s="1" t="e" cm="1">
        <f t="array" ref="AC121">_xlfn.IFS($I$32=1,IF(ISBLANK(dry!K58),NA(),dry!K58),$I$32=2,IF(ISBLANK('as new'!K58),NA(),'as new'!K58),$I$32=3,IF(ISBLANK('twice as new'!K58),NA(),'twice as new'!K58))</f>
        <v>#N/A</v>
      </c>
      <c r="AD121" s="1" t="e" cm="1">
        <f t="array" ref="AD121">_xlfn.IFS($I$32=1,IF(ISBLANK(dry!L58),NA(),dry!L58),$I$32=2,IF(ISBLANK('as new'!L58),NA(),'as new'!L58),$I$32=3,IF(ISBLANK('twice as new'!L58),NA(),'twice as new'!L58))</f>
        <v>#N/A</v>
      </c>
      <c r="AE121" s="1" t="e" cm="1">
        <f t="array" ref="AE121">_xlfn.IFS($I$32=1,IF(ISBLANK(dry!M58),NA(),dry!M58),$I$32=2,IF(ISBLANK('as new'!M58),NA(),'as new'!M58),$I$32=3,IF(ISBLANK('twice as new'!M58),NA(),'twice as new'!M58))</f>
        <v>#N/A</v>
      </c>
      <c r="AF121" s="1" t="e" cm="1">
        <f t="array" ref="AF121">_xlfn.IFS($I$32=1,IF(ISBLANK(dry!N58),NA(),dry!N58),$I$32=2,IF(ISBLANK('as new'!N58),NA(),'as new'!N58),$I$32=3,IF(ISBLANK('twice as new'!N58),NA(),'twice as new'!N58))</f>
        <v>#N/A</v>
      </c>
      <c r="AG121" s="1" t="e" cm="1">
        <f t="array" ref="AG121">_xlfn.IFS($I$32=1,IF(ISBLANK(dry!O58),NA(),dry!O58),$I$32=2,IF(ISBLANK('as new'!O58),NA(),'as new'!O58),$I$32=3,IF(ISBLANK('twice as new'!O58),NA(),'twice as new'!O58))</f>
        <v>#N/A</v>
      </c>
      <c r="AH121" s="1" t="e" cm="1">
        <f t="array" ref="AH121">_xlfn.IFS($I$32=1,IF(ISBLANK(dry!P58),NA(),dry!P58),$I$32=2,IF(ISBLANK('as new'!P58),NA(),'as new'!P58),$I$32=3,IF(ISBLANK('twice as new'!P58),NA(),'twice as new'!P58))</f>
        <v>#N/A</v>
      </c>
      <c r="AI121" s="1" t="e" cm="1">
        <f t="array" ref="AI121">_xlfn.IFS($I$32=1,IF(ISBLANK(dry!Q58),NA(),dry!Q58),$I$32=2,IF(ISBLANK('as new'!Q58),NA(),'as new'!Q58),$I$32=3,IF(ISBLANK('twice as new'!Q58),NA(),'twice as new'!Q58))</f>
        <v>#N/A</v>
      </c>
      <c r="AJ121" s="1" t="e" cm="1">
        <f t="array" ref="AJ121">_xlfn.IFS($I$32=1,IF(ISBLANK(dry!R58),NA(),dry!R58),$I$32=2,IF(ISBLANK('as new'!R58),NA(),'as new'!R58),$I$32=3,IF(ISBLANK('twice as new'!R58),NA(),'twice as new'!R58))</f>
        <v>#N/A</v>
      </c>
      <c r="AK121" s="1" t="e">
        <f>IF(CHOOSE($I$32,dry!S58,'as new'!S58,'twice as new'!S58)=0,NA(),CHOOSE($I$32,dry!S58,'as new'!S58,'twice as new'!S58))</f>
        <v>#N/A</v>
      </c>
      <c r="AL121" s="1" t="e">
        <f>IF(CHOOSE($I$32,dry!T58,'as new'!T58,'twice as new'!T58)=0,NA(),CHOOSE($I$32,dry!T58,'as new'!T58,'twice as new'!T58))</f>
        <v>#N/A</v>
      </c>
      <c r="AM121" s="1" t="e">
        <f>IF(CHOOSE($I$32,dry!U58,'as new'!U58,'twice as new'!U58)=0,NA(),CHOOSE($I$32,dry!U58,'as new'!U58,'twice as new'!U58))</f>
        <v>#N/A</v>
      </c>
      <c r="AN121" s="1" t="e">
        <f>IF(CHOOSE($I$32,dry!V58,'as new'!V58,'twice as new'!V58)=0,NA(),CHOOSE($I$32,dry!V58,'as new'!V58,'twice as new'!V58))</f>
        <v>#N/A</v>
      </c>
      <c r="AO121" s="1" t="e">
        <f>IF(CHOOSE($I$32,dry!W58,'as new'!W58,'twice as new'!W58)=0,NA(),CHOOSE($I$32,dry!W58,'as new'!W58,'twice as new'!W58))</f>
        <v>#N/A</v>
      </c>
      <c r="AP121" s="1" t="e">
        <f>IF(CHOOSE($I$32,dry!X58,'as new'!X58,'twice as new'!X58)=0,NA(),CHOOSE($I$32,dry!X58,'as new'!X58,'twice as new'!X58))</f>
        <v>#N/A</v>
      </c>
      <c r="AQ121" s="1" t="e">
        <f>IF(CHOOSE($I$32,dry!Y58,'as new'!Y58,'twice as new'!Y58)=0,NA(),CHOOSE($I$32,dry!Y58,'as new'!Y58,'twice as new'!Y58))</f>
        <v>#N/A</v>
      </c>
      <c r="AR121" s="1" t="e">
        <f>IF(CHOOSE($I$32,dry!Z58,'as new'!Z58,'twice as new'!Z58)=0,NA(),CHOOSE($I$32,dry!Z58,'as new'!Z58,'twice as new'!Z58))</f>
        <v>#N/A</v>
      </c>
      <c r="AS121" s="1" t="e">
        <f>Damped[[#This Row],[fI '[rpm']]]/Damped[[#This Row],[frun '[rpm']]]</f>
        <v>#N/A</v>
      </c>
      <c r="AT121" s="1" t="e">
        <f>Damped[[#This Row],[fII '[rpm']]]/Damped[[#This Row],[frun '[rpm']]]</f>
        <v>#N/A</v>
      </c>
      <c r="AU121" s="1" t="e">
        <f>Damped[[#This Row],[fIII '[rpm']]]/Damped[[#This Row],[frun '[rpm']]]</f>
        <v>#N/A</v>
      </c>
      <c r="AV121" s="1" t="e">
        <f>Damped[[#This Row],[fIV '[rpm']]]/Damped[[#This Row],[frun '[rpm']]]</f>
        <v>#N/A</v>
      </c>
      <c r="AW121" s="1" t="e">
        <f>Damped[[#This Row],[fV '[rpm']]]/Damped[[#This Row],[frun '[rpm']]]</f>
        <v>#N/A</v>
      </c>
      <c r="AX121" s="1" t="e">
        <f>Damped[[#This Row],[fVI '[rpm']]]/Damped[[#This Row],[frun '[rpm']]]</f>
        <v>#N/A</v>
      </c>
      <c r="AY121" s="1" t="e">
        <f>Damped[[#This Row],[fVII '[rpm']]]/Damped[[#This Row],[frun '[rpm']]]</f>
        <v>#N/A</v>
      </c>
      <c r="AZ121" s="1" t="e">
        <f>Damped[[#This Row],[fVIII '[rpm']]]/Damped[[#This Row],[frun '[rpm']]]</f>
        <v>#N/A</v>
      </c>
      <c r="BA121" s="1" t="e">
        <f>Damped[[#This Row],[fIX '[rpm']]]/Damped[[#This Row],[frun '[rpm']]]</f>
        <v>#N/A</v>
      </c>
      <c r="BB121" s="1" t="e">
        <f>Damped[[#This Row],[fX '[rpm']]]/Damped[[#This Row],[frun '[rpm']]]</f>
        <v>#N/A</v>
      </c>
      <c r="BC121" s="1" t="e">
        <f>Damped[[#This Row],[fXI '[rpm']]]/Damped[[#This Row],[frun '[rpm']]]</f>
        <v>#N/A</v>
      </c>
      <c r="BD121" s="1" t="e">
        <f>Damped[[#This Row],[fXII '[rpm']]]/Damped[[#This Row],[frun '[rpm']]]</f>
        <v>#N/A</v>
      </c>
    </row>
    <row r="122" spans="8:56" x14ac:dyDescent="0.25">
      <c r="H122" s="1" t="e" cm="1">
        <f t="array" ref="H122">_xlfn.IFS($I$32=1,IF(ISBLANK(dry!B59),NA(),dry!B59),$I$32=2,IF(ISBLANK('as new'!B59),NA(),'as new'!B59),$I$32=3,IF(ISBLANK('twice as new'!B59),NA(),'twice as new'!B59))</f>
        <v>#N/A</v>
      </c>
      <c r="I122" s="1" t="e">
        <f>Damped[[#This Row],[ξI '[-']]]/API_check(Damped[[#This Row],[fI/frun]])</f>
        <v>#N/A</v>
      </c>
      <c r="J122" s="1" t="e">
        <f>Damped[[#This Row],[ξII '[-']]]/API_check(Damped[[#This Row],[fII/frun]])</f>
        <v>#N/A</v>
      </c>
      <c r="K122" s="1" t="e">
        <f>Damped[[#This Row],[ξIII '[-']]]/API_check(Damped[[#This Row],[fIII/frun]])</f>
        <v>#N/A</v>
      </c>
      <c r="L122" s="1" t="e">
        <f>Damped[[#This Row],[ξIV '[-']]]/API_check(Damped[[#This Row],[fIV/frun]])</f>
        <v>#N/A</v>
      </c>
      <c r="M122" s="1" t="e">
        <f>Damped[[#This Row],[ξV '[-']]]/API_check(Damped[[#This Row],[fV/frun]])</f>
        <v>#N/A</v>
      </c>
      <c r="N122" s="1" t="e">
        <f>Damped[[#This Row],[ξVI '[-']]]/API_check(Damped[[#This Row],[fVI/frun]])</f>
        <v>#N/A</v>
      </c>
      <c r="O122" s="1" t="e">
        <f>Damped[[#This Row],[ξVII '[-']]]/API_check(Damped[[#This Row],[fVII/frun]])</f>
        <v>#N/A</v>
      </c>
      <c r="P122" s="1" t="e">
        <f>Damped[[#This Row],[ξVIII '[-']]]/API_check(Damped[[#This Row],[fVIII/frun]])</f>
        <v>#N/A</v>
      </c>
      <c r="Q122" s="1" t="e">
        <f>Damped[[#This Row],[ξIX '[-']]]/API_check(Damped[[#This Row],[fIX/frun]])</f>
        <v>#N/A</v>
      </c>
      <c r="R122" s="1" t="e">
        <f>Damped[[#This Row],[ξX '[-']]]/API_check(Damped[[#This Row],[fX/frun]])</f>
        <v>#N/A</v>
      </c>
      <c r="S122" s="1" t="e">
        <f>Damped[[#This Row],[ξXI '[-']]]/API_check(Damped[[#This Row],[fXI/frun]])</f>
        <v>#N/A</v>
      </c>
      <c r="T122" s="1" t="e">
        <f>Damped[[#This Row],[ξXII '[-']]]/API_check(Damped[[#This Row],[fXII/frun]])</f>
        <v>#N/A</v>
      </c>
      <c r="U122" s="1" t="e" cm="1">
        <f t="array" ref="U122">_xlfn.IFS($I$32=1,IF(ISBLANK(dry!C59),NA(),dry!C59),$I$32=2,IF(ISBLANK('as new'!C59),NA(),'as new'!C59),$I$32=3,IF(ISBLANK('twice as new'!C59),NA(),'twice as new'!C59))</f>
        <v>#N/A</v>
      </c>
      <c r="V122" s="1" t="e" cm="1">
        <f t="array" ref="V122">_xlfn.IFS($I$32=1,IF(ISBLANK(dry!D59),NA(),dry!D59),$I$32=2,IF(ISBLANK('as new'!D59),NA(),'as new'!D59),$I$32=3,IF(ISBLANK('twice as new'!D59),NA(),'twice as new'!D59))</f>
        <v>#N/A</v>
      </c>
      <c r="W122" s="1" t="e" cm="1">
        <f t="array" ref="W122">_xlfn.IFS($I$32=1,IF(ISBLANK(dry!E59),NA(),dry!E59),$I$32=2,IF(ISBLANK('as new'!E59),NA(),'as new'!E59),$I$32=3,IF(ISBLANK('twice as new'!E59),NA(),'twice as new'!E59))</f>
        <v>#N/A</v>
      </c>
      <c r="X122" s="1" t="e" cm="1">
        <f t="array" ref="X122">_xlfn.IFS($I$32=1,IF(ISBLANK(dry!F59),NA(),dry!F59),$I$32=2,IF(ISBLANK('as new'!F59),NA(),'as new'!F59),$I$32=3,IF(ISBLANK('twice as new'!F59),NA(),'twice as new'!F59))</f>
        <v>#N/A</v>
      </c>
      <c r="Y122" s="1" t="e" cm="1">
        <f t="array" ref="Y122">_xlfn.IFS($I$32=1,IF(ISBLANK(dry!G59),NA(),dry!G59),$I$32=2,IF(ISBLANK('as new'!G59),NA(),'as new'!G59),$I$32=3,IF(ISBLANK('twice as new'!G59),NA(),'twice as new'!G59))</f>
        <v>#N/A</v>
      </c>
      <c r="Z122" s="1" t="e" cm="1">
        <f t="array" ref="Z122">_xlfn.IFS($I$32=1,IF(ISBLANK(dry!H59),NA(),dry!H59),$I$32=2,IF(ISBLANK('as new'!H59),NA(),'as new'!H59),$I$32=3,IF(ISBLANK('twice as new'!H59),NA(),'twice as new'!H59))</f>
        <v>#N/A</v>
      </c>
      <c r="AA122" s="1" t="e" cm="1">
        <f t="array" ref="AA122">_xlfn.IFS($I$32=1,IF(ISBLANK(dry!I59),NA(),dry!I59),$I$32=2,IF(ISBLANK('as new'!I59),NA(),'as new'!I59),$I$32=3,IF(ISBLANK('twice as new'!I59),NA(),'twice as new'!I59))</f>
        <v>#N/A</v>
      </c>
      <c r="AB122" s="1" t="e" cm="1">
        <f t="array" ref="AB122">_xlfn.IFS($I$32=1,IF(ISBLANK(dry!J59),NA(),dry!J59),$I$32=2,IF(ISBLANK('as new'!J59),NA(),'as new'!J59),$I$32=3,IF(ISBLANK('twice as new'!J59),NA(),'twice as new'!J59))</f>
        <v>#N/A</v>
      </c>
      <c r="AC122" s="1" t="e" cm="1">
        <f t="array" ref="AC122">_xlfn.IFS($I$32=1,IF(ISBLANK(dry!K59),NA(),dry!K59),$I$32=2,IF(ISBLANK('as new'!K59),NA(),'as new'!K59),$I$32=3,IF(ISBLANK('twice as new'!K59),NA(),'twice as new'!K59))</f>
        <v>#N/A</v>
      </c>
      <c r="AD122" s="1" t="e" cm="1">
        <f t="array" ref="AD122">_xlfn.IFS($I$32=1,IF(ISBLANK(dry!L59),NA(),dry!L59),$I$32=2,IF(ISBLANK('as new'!L59),NA(),'as new'!L59),$I$32=3,IF(ISBLANK('twice as new'!L59),NA(),'twice as new'!L59))</f>
        <v>#N/A</v>
      </c>
      <c r="AE122" s="1" t="e" cm="1">
        <f t="array" ref="AE122">_xlfn.IFS($I$32=1,IF(ISBLANK(dry!M59),NA(),dry!M59),$I$32=2,IF(ISBLANK('as new'!M59),NA(),'as new'!M59),$I$32=3,IF(ISBLANK('twice as new'!M59),NA(),'twice as new'!M59))</f>
        <v>#N/A</v>
      </c>
      <c r="AF122" s="1" t="e" cm="1">
        <f t="array" ref="AF122">_xlfn.IFS($I$32=1,IF(ISBLANK(dry!N59),NA(),dry!N59),$I$32=2,IF(ISBLANK('as new'!N59),NA(),'as new'!N59),$I$32=3,IF(ISBLANK('twice as new'!N59),NA(),'twice as new'!N59))</f>
        <v>#N/A</v>
      </c>
      <c r="AG122" s="1" t="e" cm="1">
        <f t="array" ref="AG122">_xlfn.IFS($I$32=1,IF(ISBLANK(dry!O59),NA(),dry!O59),$I$32=2,IF(ISBLANK('as new'!O59),NA(),'as new'!O59),$I$32=3,IF(ISBLANK('twice as new'!O59),NA(),'twice as new'!O59))</f>
        <v>#N/A</v>
      </c>
      <c r="AH122" s="1" t="e" cm="1">
        <f t="array" ref="AH122">_xlfn.IFS($I$32=1,IF(ISBLANK(dry!P59),NA(),dry!P59),$I$32=2,IF(ISBLANK('as new'!P59),NA(),'as new'!P59),$I$32=3,IF(ISBLANK('twice as new'!P59),NA(),'twice as new'!P59))</f>
        <v>#N/A</v>
      </c>
      <c r="AI122" s="1" t="e" cm="1">
        <f t="array" ref="AI122">_xlfn.IFS($I$32=1,IF(ISBLANK(dry!Q59),NA(),dry!Q59),$I$32=2,IF(ISBLANK('as new'!Q59),NA(),'as new'!Q59),$I$32=3,IF(ISBLANK('twice as new'!Q59),NA(),'twice as new'!Q59))</f>
        <v>#N/A</v>
      </c>
      <c r="AJ122" s="1" t="e" cm="1">
        <f t="array" ref="AJ122">_xlfn.IFS($I$32=1,IF(ISBLANK(dry!R59),NA(),dry!R59),$I$32=2,IF(ISBLANK('as new'!R59),NA(),'as new'!R59),$I$32=3,IF(ISBLANK('twice as new'!R59),NA(),'twice as new'!R59))</f>
        <v>#N/A</v>
      </c>
      <c r="AK122" s="1" t="e">
        <f>IF(CHOOSE($I$32,dry!S59,'as new'!S59,'twice as new'!S59)=0,NA(),CHOOSE($I$32,dry!S59,'as new'!S59,'twice as new'!S59))</f>
        <v>#N/A</v>
      </c>
      <c r="AL122" s="1" t="e">
        <f>IF(CHOOSE($I$32,dry!T59,'as new'!T59,'twice as new'!T59)=0,NA(),CHOOSE($I$32,dry!T59,'as new'!T59,'twice as new'!T59))</f>
        <v>#N/A</v>
      </c>
      <c r="AM122" s="1" t="e">
        <f>IF(CHOOSE($I$32,dry!U59,'as new'!U59,'twice as new'!U59)=0,NA(),CHOOSE($I$32,dry!U59,'as new'!U59,'twice as new'!U59))</f>
        <v>#N/A</v>
      </c>
      <c r="AN122" s="1" t="e">
        <f>IF(CHOOSE($I$32,dry!V59,'as new'!V59,'twice as new'!V59)=0,NA(),CHOOSE($I$32,dry!V59,'as new'!V59,'twice as new'!V59))</f>
        <v>#N/A</v>
      </c>
      <c r="AO122" s="1" t="e">
        <f>IF(CHOOSE($I$32,dry!W59,'as new'!W59,'twice as new'!W59)=0,NA(),CHOOSE($I$32,dry!W59,'as new'!W59,'twice as new'!W59))</f>
        <v>#N/A</v>
      </c>
      <c r="AP122" s="1" t="e">
        <f>IF(CHOOSE($I$32,dry!X59,'as new'!X59,'twice as new'!X59)=0,NA(),CHOOSE($I$32,dry!X59,'as new'!X59,'twice as new'!X59))</f>
        <v>#N/A</v>
      </c>
      <c r="AQ122" s="1" t="e">
        <f>IF(CHOOSE($I$32,dry!Y59,'as new'!Y59,'twice as new'!Y59)=0,NA(),CHOOSE($I$32,dry!Y59,'as new'!Y59,'twice as new'!Y59))</f>
        <v>#N/A</v>
      </c>
      <c r="AR122" s="1" t="e">
        <f>IF(CHOOSE($I$32,dry!Z59,'as new'!Z59,'twice as new'!Z59)=0,NA(),CHOOSE($I$32,dry!Z59,'as new'!Z59,'twice as new'!Z59))</f>
        <v>#N/A</v>
      </c>
      <c r="AS122" s="1" t="e">
        <f>Damped[[#This Row],[fI '[rpm']]]/Damped[[#This Row],[frun '[rpm']]]</f>
        <v>#N/A</v>
      </c>
      <c r="AT122" s="1" t="e">
        <f>Damped[[#This Row],[fII '[rpm']]]/Damped[[#This Row],[frun '[rpm']]]</f>
        <v>#N/A</v>
      </c>
      <c r="AU122" s="1" t="e">
        <f>Damped[[#This Row],[fIII '[rpm']]]/Damped[[#This Row],[frun '[rpm']]]</f>
        <v>#N/A</v>
      </c>
      <c r="AV122" s="1" t="e">
        <f>Damped[[#This Row],[fIV '[rpm']]]/Damped[[#This Row],[frun '[rpm']]]</f>
        <v>#N/A</v>
      </c>
      <c r="AW122" s="1" t="e">
        <f>Damped[[#This Row],[fV '[rpm']]]/Damped[[#This Row],[frun '[rpm']]]</f>
        <v>#N/A</v>
      </c>
      <c r="AX122" s="1" t="e">
        <f>Damped[[#This Row],[fVI '[rpm']]]/Damped[[#This Row],[frun '[rpm']]]</f>
        <v>#N/A</v>
      </c>
      <c r="AY122" s="1" t="e">
        <f>Damped[[#This Row],[fVII '[rpm']]]/Damped[[#This Row],[frun '[rpm']]]</f>
        <v>#N/A</v>
      </c>
      <c r="AZ122" s="1" t="e">
        <f>Damped[[#This Row],[fVIII '[rpm']]]/Damped[[#This Row],[frun '[rpm']]]</f>
        <v>#N/A</v>
      </c>
      <c r="BA122" s="1" t="e">
        <f>Damped[[#This Row],[fIX '[rpm']]]/Damped[[#This Row],[frun '[rpm']]]</f>
        <v>#N/A</v>
      </c>
      <c r="BB122" s="1" t="e">
        <f>Damped[[#This Row],[fX '[rpm']]]/Damped[[#This Row],[frun '[rpm']]]</f>
        <v>#N/A</v>
      </c>
      <c r="BC122" s="1" t="e">
        <f>Damped[[#This Row],[fXI '[rpm']]]/Damped[[#This Row],[frun '[rpm']]]</f>
        <v>#N/A</v>
      </c>
      <c r="BD122" s="1" t="e">
        <f>Damped[[#This Row],[fXII '[rpm']]]/Damped[[#This Row],[frun '[rpm']]]</f>
        <v>#N/A</v>
      </c>
    </row>
    <row r="123" spans="8:56" x14ac:dyDescent="0.25">
      <c r="H123" s="1" t="e" cm="1">
        <f t="array" ref="H123">_xlfn.IFS($I$32=1,IF(ISBLANK(dry!B60),NA(),dry!B60),$I$32=2,IF(ISBLANK('as new'!B60),NA(),'as new'!B60),$I$32=3,IF(ISBLANK('twice as new'!B60),NA(),'twice as new'!B60))</f>
        <v>#N/A</v>
      </c>
      <c r="I123" s="1" t="e">
        <f>Damped[[#This Row],[ξI '[-']]]/API_check(Damped[[#This Row],[fI/frun]])</f>
        <v>#N/A</v>
      </c>
      <c r="J123" s="1" t="e">
        <f>Damped[[#This Row],[ξII '[-']]]/API_check(Damped[[#This Row],[fII/frun]])</f>
        <v>#N/A</v>
      </c>
      <c r="K123" s="1" t="e">
        <f>Damped[[#This Row],[ξIII '[-']]]/API_check(Damped[[#This Row],[fIII/frun]])</f>
        <v>#N/A</v>
      </c>
      <c r="L123" s="1" t="e">
        <f>Damped[[#This Row],[ξIV '[-']]]/API_check(Damped[[#This Row],[fIV/frun]])</f>
        <v>#N/A</v>
      </c>
      <c r="M123" s="1" t="e">
        <f>Damped[[#This Row],[ξV '[-']]]/API_check(Damped[[#This Row],[fV/frun]])</f>
        <v>#N/A</v>
      </c>
      <c r="N123" s="1" t="e">
        <f>Damped[[#This Row],[ξVI '[-']]]/API_check(Damped[[#This Row],[fVI/frun]])</f>
        <v>#N/A</v>
      </c>
      <c r="O123" s="1" t="e">
        <f>Damped[[#This Row],[ξVII '[-']]]/API_check(Damped[[#This Row],[fVII/frun]])</f>
        <v>#N/A</v>
      </c>
      <c r="P123" s="1" t="e">
        <f>Damped[[#This Row],[ξVIII '[-']]]/API_check(Damped[[#This Row],[fVIII/frun]])</f>
        <v>#N/A</v>
      </c>
      <c r="Q123" s="1" t="e">
        <f>Damped[[#This Row],[ξIX '[-']]]/API_check(Damped[[#This Row],[fIX/frun]])</f>
        <v>#N/A</v>
      </c>
      <c r="R123" s="1" t="e">
        <f>Damped[[#This Row],[ξX '[-']]]/API_check(Damped[[#This Row],[fX/frun]])</f>
        <v>#N/A</v>
      </c>
      <c r="S123" s="1" t="e">
        <f>Damped[[#This Row],[ξXI '[-']]]/API_check(Damped[[#This Row],[fXI/frun]])</f>
        <v>#N/A</v>
      </c>
      <c r="T123" s="1" t="e">
        <f>Damped[[#This Row],[ξXII '[-']]]/API_check(Damped[[#This Row],[fXII/frun]])</f>
        <v>#N/A</v>
      </c>
      <c r="U123" s="1" t="e" cm="1">
        <f t="array" ref="U123">_xlfn.IFS($I$32=1,IF(ISBLANK(dry!C60),NA(),dry!C60),$I$32=2,IF(ISBLANK('as new'!C60),NA(),'as new'!C60),$I$32=3,IF(ISBLANK('twice as new'!C60),NA(),'twice as new'!C60))</f>
        <v>#N/A</v>
      </c>
      <c r="V123" s="1" t="e" cm="1">
        <f t="array" ref="V123">_xlfn.IFS($I$32=1,IF(ISBLANK(dry!D60),NA(),dry!D60),$I$32=2,IF(ISBLANK('as new'!D60),NA(),'as new'!D60),$I$32=3,IF(ISBLANK('twice as new'!D60),NA(),'twice as new'!D60))</f>
        <v>#N/A</v>
      </c>
      <c r="W123" s="1" t="e" cm="1">
        <f t="array" ref="W123">_xlfn.IFS($I$32=1,IF(ISBLANK(dry!E60),NA(),dry!E60),$I$32=2,IF(ISBLANK('as new'!E60),NA(),'as new'!E60),$I$32=3,IF(ISBLANK('twice as new'!E60),NA(),'twice as new'!E60))</f>
        <v>#N/A</v>
      </c>
      <c r="X123" s="1" t="e" cm="1">
        <f t="array" ref="X123">_xlfn.IFS($I$32=1,IF(ISBLANK(dry!F60),NA(),dry!F60),$I$32=2,IF(ISBLANK('as new'!F60),NA(),'as new'!F60),$I$32=3,IF(ISBLANK('twice as new'!F60),NA(),'twice as new'!F60))</f>
        <v>#N/A</v>
      </c>
      <c r="Y123" s="1" t="e" cm="1">
        <f t="array" ref="Y123">_xlfn.IFS($I$32=1,IF(ISBLANK(dry!G60),NA(),dry!G60),$I$32=2,IF(ISBLANK('as new'!G60),NA(),'as new'!G60),$I$32=3,IF(ISBLANK('twice as new'!G60),NA(),'twice as new'!G60))</f>
        <v>#N/A</v>
      </c>
      <c r="Z123" s="1" t="e" cm="1">
        <f t="array" ref="Z123">_xlfn.IFS($I$32=1,IF(ISBLANK(dry!H60),NA(),dry!H60),$I$32=2,IF(ISBLANK('as new'!H60),NA(),'as new'!H60),$I$32=3,IF(ISBLANK('twice as new'!H60),NA(),'twice as new'!H60))</f>
        <v>#N/A</v>
      </c>
      <c r="AA123" s="1" t="e" cm="1">
        <f t="array" ref="AA123">_xlfn.IFS($I$32=1,IF(ISBLANK(dry!I60),NA(),dry!I60),$I$32=2,IF(ISBLANK('as new'!I60),NA(),'as new'!I60),$I$32=3,IF(ISBLANK('twice as new'!I60),NA(),'twice as new'!I60))</f>
        <v>#N/A</v>
      </c>
      <c r="AB123" s="1" t="e" cm="1">
        <f t="array" ref="AB123">_xlfn.IFS($I$32=1,IF(ISBLANK(dry!J60),NA(),dry!J60),$I$32=2,IF(ISBLANK('as new'!J60),NA(),'as new'!J60),$I$32=3,IF(ISBLANK('twice as new'!J60),NA(),'twice as new'!J60))</f>
        <v>#N/A</v>
      </c>
      <c r="AC123" s="1" t="e" cm="1">
        <f t="array" ref="AC123">_xlfn.IFS($I$32=1,IF(ISBLANK(dry!K60),NA(),dry!K60),$I$32=2,IF(ISBLANK('as new'!K60),NA(),'as new'!K60),$I$32=3,IF(ISBLANK('twice as new'!K60),NA(),'twice as new'!K60))</f>
        <v>#N/A</v>
      </c>
      <c r="AD123" s="1" t="e" cm="1">
        <f t="array" ref="AD123">_xlfn.IFS($I$32=1,IF(ISBLANK(dry!L60),NA(),dry!L60),$I$32=2,IF(ISBLANK('as new'!L60),NA(),'as new'!L60),$I$32=3,IF(ISBLANK('twice as new'!L60),NA(),'twice as new'!L60))</f>
        <v>#N/A</v>
      </c>
      <c r="AE123" s="1" t="e" cm="1">
        <f t="array" ref="AE123">_xlfn.IFS($I$32=1,IF(ISBLANK(dry!M60),NA(),dry!M60),$I$32=2,IF(ISBLANK('as new'!M60),NA(),'as new'!M60),$I$32=3,IF(ISBLANK('twice as new'!M60),NA(),'twice as new'!M60))</f>
        <v>#N/A</v>
      </c>
      <c r="AF123" s="1" t="e" cm="1">
        <f t="array" ref="AF123">_xlfn.IFS($I$32=1,IF(ISBLANK(dry!N60),NA(),dry!N60),$I$32=2,IF(ISBLANK('as new'!N60),NA(),'as new'!N60),$I$32=3,IF(ISBLANK('twice as new'!N60),NA(),'twice as new'!N60))</f>
        <v>#N/A</v>
      </c>
      <c r="AG123" s="1" t="e" cm="1">
        <f t="array" ref="AG123">_xlfn.IFS($I$32=1,IF(ISBLANK(dry!O60),NA(),dry!O60),$I$32=2,IF(ISBLANK('as new'!O60),NA(),'as new'!O60),$I$32=3,IF(ISBLANK('twice as new'!O60),NA(),'twice as new'!O60))</f>
        <v>#N/A</v>
      </c>
      <c r="AH123" s="1" t="e" cm="1">
        <f t="array" ref="AH123">_xlfn.IFS($I$32=1,IF(ISBLANK(dry!P60),NA(),dry!P60),$I$32=2,IF(ISBLANK('as new'!P60),NA(),'as new'!P60),$I$32=3,IF(ISBLANK('twice as new'!P60),NA(),'twice as new'!P60))</f>
        <v>#N/A</v>
      </c>
      <c r="AI123" s="1" t="e" cm="1">
        <f t="array" ref="AI123">_xlfn.IFS($I$32=1,IF(ISBLANK(dry!Q60),NA(),dry!Q60),$I$32=2,IF(ISBLANK('as new'!Q60),NA(),'as new'!Q60),$I$32=3,IF(ISBLANK('twice as new'!Q60),NA(),'twice as new'!Q60))</f>
        <v>#N/A</v>
      </c>
      <c r="AJ123" s="1" t="e" cm="1">
        <f t="array" ref="AJ123">_xlfn.IFS($I$32=1,IF(ISBLANK(dry!R60),NA(),dry!R60),$I$32=2,IF(ISBLANK('as new'!R60),NA(),'as new'!R60),$I$32=3,IF(ISBLANK('twice as new'!R60),NA(),'twice as new'!R60))</f>
        <v>#N/A</v>
      </c>
      <c r="AK123" s="1" t="e">
        <f>IF(CHOOSE($I$32,dry!S60,'as new'!S60,'twice as new'!S60)=0,NA(),CHOOSE($I$32,dry!S60,'as new'!S60,'twice as new'!S60))</f>
        <v>#N/A</v>
      </c>
      <c r="AL123" s="1" t="e">
        <f>IF(CHOOSE($I$32,dry!T60,'as new'!T60,'twice as new'!T60)=0,NA(),CHOOSE($I$32,dry!T60,'as new'!T60,'twice as new'!T60))</f>
        <v>#N/A</v>
      </c>
      <c r="AM123" s="1" t="e">
        <f>IF(CHOOSE($I$32,dry!U60,'as new'!U60,'twice as new'!U60)=0,NA(),CHOOSE($I$32,dry!U60,'as new'!U60,'twice as new'!U60))</f>
        <v>#N/A</v>
      </c>
      <c r="AN123" s="1" t="e">
        <f>IF(CHOOSE($I$32,dry!V60,'as new'!V60,'twice as new'!V60)=0,NA(),CHOOSE($I$32,dry!V60,'as new'!V60,'twice as new'!V60))</f>
        <v>#N/A</v>
      </c>
      <c r="AO123" s="1" t="e">
        <f>IF(CHOOSE($I$32,dry!W60,'as new'!W60,'twice as new'!W60)=0,NA(),CHOOSE($I$32,dry!W60,'as new'!W60,'twice as new'!W60))</f>
        <v>#N/A</v>
      </c>
      <c r="AP123" s="1" t="e">
        <f>IF(CHOOSE($I$32,dry!X60,'as new'!X60,'twice as new'!X60)=0,NA(),CHOOSE($I$32,dry!X60,'as new'!X60,'twice as new'!X60))</f>
        <v>#N/A</v>
      </c>
      <c r="AQ123" s="1" t="e">
        <f>IF(CHOOSE($I$32,dry!Y60,'as new'!Y60,'twice as new'!Y60)=0,NA(),CHOOSE($I$32,dry!Y60,'as new'!Y60,'twice as new'!Y60))</f>
        <v>#N/A</v>
      </c>
      <c r="AR123" s="1" t="e">
        <f>IF(CHOOSE($I$32,dry!Z60,'as new'!Z60,'twice as new'!Z60)=0,NA(),CHOOSE($I$32,dry!Z60,'as new'!Z60,'twice as new'!Z60))</f>
        <v>#N/A</v>
      </c>
      <c r="AS123" s="1" t="e">
        <f>Damped[[#This Row],[fI '[rpm']]]/Damped[[#This Row],[frun '[rpm']]]</f>
        <v>#N/A</v>
      </c>
      <c r="AT123" s="1" t="e">
        <f>Damped[[#This Row],[fII '[rpm']]]/Damped[[#This Row],[frun '[rpm']]]</f>
        <v>#N/A</v>
      </c>
      <c r="AU123" s="1" t="e">
        <f>Damped[[#This Row],[fIII '[rpm']]]/Damped[[#This Row],[frun '[rpm']]]</f>
        <v>#N/A</v>
      </c>
      <c r="AV123" s="1" t="e">
        <f>Damped[[#This Row],[fIV '[rpm']]]/Damped[[#This Row],[frun '[rpm']]]</f>
        <v>#N/A</v>
      </c>
      <c r="AW123" s="1" t="e">
        <f>Damped[[#This Row],[fV '[rpm']]]/Damped[[#This Row],[frun '[rpm']]]</f>
        <v>#N/A</v>
      </c>
      <c r="AX123" s="1" t="e">
        <f>Damped[[#This Row],[fVI '[rpm']]]/Damped[[#This Row],[frun '[rpm']]]</f>
        <v>#N/A</v>
      </c>
      <c r="AY123" s="1" t="e">
        <f>Damped[[#This Row],[fVII '[rpm']]]/Damped[[#This Row],[frun '[rpm']]]</f>
        <v>#N/A</v>
      </c>
      <c r="AZ123" s="1" t="e">
        <f>Damped[[#This Row],[fVIII '[rpm']]]/Damped[[#This Row],[frun '[rpm']]]</f>
        <v>#N/A</v>
      </c>
      <c r="BA123" s="1" t="e">
        <f>Damped[[#This Row],[fIX '[rpm']]]/Damped[[#This Row],[frun '[rpm']]]</f>
        <v>#N/A</v>
      </c>
      <c r="BB123" s="1" t="e">
        <f>Damped[[#This Row],[fX '[rpm']]]/Damped[[#This Row],[frun '[rpm']]]</f>
        <v>#N/A</v>
      </c>
      <c r="BC123" s="1" t="e">
        <f>Damped[[#This Row],[fXI '[rpm']]]/Damped[[#This Row],[frun '[rpm']]]</f>
        <v>#N/A</v>
      </c>
      <c r="BD123" s="1" t="e">
        <f>Damped[[#This Row],[fXII '[rpm']]]/Damped[[#This Row],[frun '[rpm']]]</f>
        <v>#N/A</v>
      </c>
    </row>
    <row r="124" spans="8:56" x14ac:dyDescent="0.25">
      <c r="H124" s="1" t="e" cm="1">
        <f t="array" ref="H124">_xlfn.IFS($I$32=1,IF(ISBLANK(dry!B61),NA(),dry!B61),$I$32=2,IF(ISBLANK('as new'!B61),NA(),'as new'!B61),$I$32=3,IF(ISBLANK('twice as new'!B61),NA(),'twice as new'!B61))</f>
        <v>#N/A</v>
      </c>
      <c r="I124" s="1" t="e">
        <f>Damped[[#This Row],[ξI '[-']]]/API_check(Damped[[#This Row],[fI/frun]])</f>
        <v>#N/A</v>
      </c>
      <c r="J124" s="1" t="e">
        <f>Damped[[#This Row],[ξII '[-']]]/API_check(Damped[[#This Row],[fII/frun]])</f>
        <v>#N/A</v>
      </c>
      <c r="K124" s="1" t="e">
        <f>Damped[[#This Row],[ξIII '[-']]]/API_check(Damped[[#This Row],[fIII/frun]])</f>
        <v>#N/A</v>
      </c>
      <c r="L124" s="1" t="e">
        <f>Damped[[#This Row],[ξIV '[-']]]/API_check(Damped[[#This Row],[fIV/frun]])</f>
        <v>#N/A</v>
      </c>
      <c r="M124" s="1" t="e">
        <f>Damped[[#This Row],[ξV '[-']]]/API_check(Damped[[#This Row],[fV/frun]])</f>
        <v>#N/A</v>
      </c>
      <c r="N124" s="1" t="e">
        <f>Damped[[#This Row],[ξVI '[-']]]/API_check(Damped[[#This Row],[fVI/frun]])</f>
        <v>#N/A</v>
      </c>
      <c r="O124" s="1" t="e">
        <f>Damped[[#This Row],[ξVII '[-']]]/API_check(Damped[[#This Row],[fVII/frun]])</f>
        <v>#N/A</v>
      </c>
      <c r="P124" s="1" t="e">
        <f>Damped[[#This Row],[ξVIII '[-']]]/API_check(Damped[[#This Row],[fVIII/frun]])</f>
        <v>#N/A</v>
      </c>
      <c r="Q124" s="1" t="e">
        <f>Damped[[#This Row],[ξIX '[-']]]/API_check(Damped[[#This Row],[fIX/frun]])</f>
        <v>#N/A</v>
      </c>
      <c r="R124" s="1" t="e">
        <f>Damped[[#This Row],[ξX '[-']]]/API_check(Damped[[#This Row],[fX/frun]])</f>
        <v>#N/A</v>
      </c>
      <c r="S124" s="1" t="e">
        <f>Damped[[#This Row],[ξXI '[-']]]/API_check(Damped[[#This Row],[fXI/frun]])</f>
        <v>#N/A</v>
      </c>
      <c r="T124" s="1" t="e">
        <f>Damped[[#This Row],[ξXII '[-']]]/API_check(Damped[[#This Row],[fXII/frun]])</f>
        <v>#N/A</v>
      </c>
      <c r="U124" s="1" t="e" cm="1">
        <f t="array" ref="U124">_xlfn.IFS($I$32=1,IF(ISBLANK(dry!C61),NA(),dry!C61),$I$32=2,IF(ISBLANK('as new'!C61),NA(),'as new'!C61),$I$32=3,IF(ISBLANK('twice as new'!C61),NA(),'twice as new'!C61))</f>
        <v>#N/A</v>
      </c>
      <c r="V124" s="1" t="e" cm="1">
        <f t="array" ref="V124">_xlfn.IFS($I$32=1,IF(ISBLANK(dry!D61),NA(),dry!D61),$I$32=2,IF(ISBLANK('as new'!D61),NA(),'as new'!D61),$I$32=3,IF(ISBLANK('twice as new'!D61),NA(),'twice as new'!D61))</f>
        <v>#N/A</v>
      </c>
      <c r="W124" s="1" t="e" cm="1">
        <f t="array" ref="W124">_xlfn.IFS($I$32=1,IF(ISBLANK(dry!E61),NA(),dry!E61),$I$32=2,IF(ISBLANK('as new'!E61),NA(),'as new'!E61),$I$32=3,IF(ISBLANK('twice as new'!E61),NA(),'twice as new'!E61))</f>
        <v>#N/A</v>
      </c>
      <c r="X124" s="1" t="e" cm="1">
        <f t="array" ref="X124">_xlfn.IFS($I$32=1,IF(ISBLANK(dry!F61),NA(),dry!F61),$I$32=2,IF(ISBLANK('as new'!F61),NA(),'as new'!F61),$I$32=3,IF(ISBLANK('twice as new'!F61),NA(),'twice as new'!F61))</f>
        <v>#N/A</v>
      </c>
      <c r="Y124" s="1" t="e" cm="1">
        <f t="array" ref="Y124">_xlfn.IFS($I$32=1,IF(ISBLANK(dry!G61),NA(),dry!G61),$I$32=2,IF(ISBLANK('as new'!G61),NA(),'as new'!G61),$I$32=3,IF(ISBLANK('twice as new'!G61),NA(),'twice as new'!G61))</f>
        <v>#N/A</v>
      </c>
      <c r="Z124" s="1" t="e" cm="1">
        <f t="array" ref="Z124">_xlfn.IFS($I$32=1,IF(ISBLANK(dry!H61),NA(),dry!H61),$I$32=2,IF(ISBLANK('as new'!H61),NA(),'as new'!H61),$I$32=3,IF(ISBLANK('twice as new'!H61),NA(),'twice as new'!H61))</f>
        <v>#N/A</v>
      </c>
      <c r="AA124" s="1" t="e" cm="1">
        <f t="array" ref="AA124">_xlfn.IFS($I$32=1,IF(ISBLANK(dry!I61),NA(),dry!I61),$I$32=2,IF(ISBLANK('as new'!I61),NA(),'as new'!I61),$I$32=3,IF(ISBLANK('twice as new'!I61),NA(),'twice as new'!I61))</f>
        <v>#N/A</v>
      </c>
      <c r="AB124" s="1" t="e" cm="1">
        <f t="array" ref="AB124">_xlfn.IFS($I$32=1,IF(ISBLANK(dry!J61),NA(),dry!J61),$I$32=2,IF(ISBLANK('as new'!J61),NA(),'as new'!J61),$I$32=3,IF(ISBLANK('twice as new'!J61),NA(),'twice as new'!J61))</f>
        <v>#N/A</v>
      </c>
      <c r="AC124" s="1" t="e" cm="1">
        <f t="array" ref="AC124">_xlfn.IFS($I$32=1,IF(ISBLANK(dry!K61),NA(),dry!K61),$I$32=2,IF(ISBLANK('as new'!K61),NA(),'as new'!K61),$I$32=3,IF(ISBLANK('twice as new'!K61),NA(),'twice as new'!K61))</f>
        <v>#N/A</v>
      </c>
      <c r="AD124" s="1" t="e" cm="1">
        <f t="array" ref="AD124">_xlfn.IFS($I$32=1,IF(ISBLANK(dry!L61),NA(),dry!L61),$I$32=2,IF(ISBLANK('as new'!L61),NA(),'as new'!L61),$I$32=3,IF(ISBLANK('twice as new'!L61),NA(),'twice as new'!L61))</f>
        <v>#N/A</v>
      </c>
      <c r="AE124" s="1" t="e" cm="1">
        <f t="array" ref="AE124">_xlfn.IFS($I$32=1,IF(ISBLANK(dry!M61),NA(),dry!M61),$I$32=2,IF(ISBLANK('as new'!M61),NA(),'as new'!M61),$I$32=3,IF(ISBLANK('twice as new'!M61),NA(),'twice as new'!M61))</f>
        <v>#N/A</v>
      </c>
      <c r="AF124" s="1" t="e" cm="1">
        <f t="array" ref="AF124">_xlfn.IFS($I$32=1,IF(ISBLANK(dry!N61),NA(),dry!N61),$I$32=2,IF(ISBLANK('as new'!N61),NA(),'as new'!N61),$I$32=3,IF(ISBLANK('twice as new'!N61),NA(),'twice as new'!N61))</f>
        <v>#N/A</v>
      </c>
      <c r="AG124" s="1" t="e" cm="1">
        <f t="array" ref="AG124">_xlfn.IFS($I$32=1,IF(ISBLANK(dry!O61),NA(),dry!O61),$I$32=2,IF(ISBLANK('as new'!O61),NA(),'as new'!O61),$I$32=3,IF(ISBLANK('twice as new'!O61),NA(),'twice as new'!O61))</f>
        <v>#N/A</v>
      </c>
      <c r="AH124" s="1" t="e" cm="1">
        <f t="array" ref="AH124">_xlfn.IFS($I$32=1,IF(ISBLANK(dry!P61),NA(),dry!P61),$I$32=2,IF(ISBLANK('as new'!P61),NA(),'as new'!P61),$I$32=3,IF(ISBLANK('twice as new'!P61),NA(),'twice as new'!P61))</f>
        <v>#N/A</v>
      </c>
      <c r="AI124" s="1" t="e" cm="1">
        <f t="array" ref="AI124">_xlfn.IFS($I$32=1,IF(ISBLANK(dry!Q61),NA(),dry!Q61),$I$32=2,IF(ISBLANK('as new'!Q61),NA(),'as new'!Q61),$I$32=3,IF(ISBLANK('twice as new'!Q61),NA(),'twice as new'!Q61))</f>
        <v>#N/A</v>
      </c>
      <c r="AJ124" s="1" t="e" cm="1">
        <f t="array" ref="AJ124">_xlfn.IFS($I$32=1,IF(ISBLANK(dry!R61),NA(),dry!R61),$I$32=2,IF(ISBLANK('as new'!R61),NA(),'as new'!R61),$I$32=3,IF(ISBLANK('twice as new'!R61),NA(),'twice as new'!R61))</f>
        <v>#N/A</v>
      </c>
      <c r="AK124" s="1" t="e">
        <f>IF(CHOOSE($I$32,dry!S61,'as new'!S61,'twice as new'!S61)=0,NA(),CHOOSE($I$32,dry!S61,'as new'!S61,'twice as new'!S61))</f>
        <v>#N/A</v>
      </c>
      <c r="AL124" s="1" t="e">
        <f>IF(CHOOSE($I$32,dry!T61,'as new'!T61,'twice as new'!T61)=0,NA(),CHOOSE($I$32,dry!T61,'as new'!T61,'twice as new'!T61))</f>
        <v>#N/A</v>
      </c>
      <c r="AM124" s="1" t="e">
        <f>IF(CHOOSE($I$32,dry!U61,'as new'!U61,'twice as new'!U61)=0,NA(),CHOOSE($I$32,dry!U61,'as new'!U61,'twice as new'!U61))</f>
        <v>#N/A</v>
      </c>
      <c r="AN124" s="1" t="e">
        <f>IF(CHOOSE($I$32,dry!V61,'as new'!V61,'twice as new'!V61)=0,NA(),CHOOSE($I$32,dry!V61,'as new'!V61,'twice as new'!V61))</f>
        <v>#N/A</v>
      </c>
      <c r="AO124" s="1" t="e">
        <f>IF(CHOOSE($I$32,dry!W61,'as new'!W61,'twice as new'!W61)=0,NA(),CHOOSE($I$32,dry!W61,'as new'!W61,'twice as new'!W61))</f>
        <v>#N/A</v>
      </c>
      <c r="AP124" s="1" t="e">
        <f>IF(CHOOSE($I$32,dry!X61,'as new'!X61,'twice as new'!X61)=0,NA(),CHOOSE($I$32,dry!X61,'as new'!X61,'twice as new'!X61))</f>
        <v>#N/A</v>
      </c>
      <c r="AQ124" s="1" t="e">
        <f>IF(CHOOSE($I$32,dry!Y61,'as new'!Y61,'twice as new'!Y61)=0,NA(),CHOOSE($I$32,dry!Y61,'as new'!Y61,'twice as new'!Y61))</f>
        <v>#N/A</v>
      </c>
      <c r="AR124" s="1" t="e">
        <f>IF(CHOOSE($I$32,dry!Z61,'as new'!Z61,'twice as new'!Z61)=0,NA(),CHOOSE($I$32,dry!Z61,'as new'!Z61,'twice as new'!Z61))</f>
        <v>#N/A</v>
      </c>
      <c r="AS124" s="1" t="e">
        <f>Damped[[#This Row],[fI '[rpm']]]/Damped[[#This Row],[frun '[rpm']]]</f>
        <v>#N/A</v>
      </c>
      <c r="AT124" s="1" t="e">
        <f>Damped[[#This Row],[fII '[rpm']]]/Damped[[#This Row],[frun '[rpm']]]</f>
        <v>#N/A</v>
      </c>
      <c r="AU124" s="1" t="e">
        <f>Damped[[#This Row],[fIII '[rpm']]]/Damped[[#This Row],[frun '[rpm']]]</f>
        <v>#N/A</v>
      </c>
      <c r="AV124" s="1" t="e">
        <f>Damped[[#This Row],[fIV '[rpm']]]/Damped[[#This Row],[frun '[rpm']]]</f>
        <v>#N/A</v>
      </c>
      <c r="AW124" s="1" t="e">
        <f>Damped[[#This Row],[fV '[rpm']]]/Damped[[#This Row],[frun '[rpm']]]</f>
        <v>#N/A</v>
      </c>
      <c r="AX124" s="1" t="e">
        <f>Damped[[#This Row],[fVI '[rpm']]]/Damped[[#This Row],[frun '[rpm']]]</f>
        <v>#N/A</v>
      </c>
      <c r="AY124" s="1" t="e">
        <f>Damped[[#This Row],[fVII '[rpm']]]/Damped[[#This Row],[frun '[rpm']]]</f>
        <v>#N/A</v>
      </c>
      <c r="AZ124" s="1" t="e">
        <f>Damped[[#This Row],[fVIII '[rpm']]]/Damped[[#This Row],[frun '[rpm']]]</f>
        <v>#N/A</v>
      </c>
      <c r="BA124" s="1" t="e">
        <f>Damped[[#This Row],[fIX '[rpm']]]/Damped[[#This Row],[frun '[rpm']]]</f>
        <v>#N/A</v>
      </c>
      <c r="BB124" s="1" t="e">
        <f>Damped[[#This Row],[fX '[rpm']]]/Damped[[#This Row],[frun '[rpm']]]</f>
        <v>#N/A</v>
      </c>
      <c r="BC124" s="1" t="e">
        <f>Damped[[#This Row],[fXI '[rpm']]]/Damped[[#This Row],[frun '[rpm']]]</f>
        <v>#N/A</v>
      </c>
      <c r="BD124" s="1" t="e">
        <f>Damped[[#This Row],[fXII '[rpm']]]/Damped[[#This Row],[frun '[rpm']]]</f>
        <v>#N/A</v>
      </c>
    </row>
  </sheetData>
  <mergeCells count="26">
    <mergeCell ref="D23:G23"/>
    <mergeCell ref="D21:G21"/>
    <mergeCell ref="D22:G22"/>
    <mergeCell ref="B20:C20"/>
    <mergeCell ref="B21:C21"/>
    <mergeCell ref="F17:G17"/>
    <mergeCell ref="D17:E17"/>
    <mergeCell ref="B17:C17"/>
    <mergeCell ref="B19:G19"/>
    <mergeCell ref="D20:G20"/>
    <mergeCell ref="C9:G9"/>
    <mergeCell ref="C10:G10"/>
    <mergeCell ref="C11:G11"/>
    <mergeCell ref="B16:G16"/>
    <mergeCell ref="B3:G3"/>
    <mergeCell ref="D4:G4"/>
    <mergeCell ref="D5:G5"/>
    <mergeCell ref="D6:G6"/>
    <mergeCell ref="B8:G8"/>
    <mergeCell ref="D24:G24"/>
    <mergeCell ref="I63:T63"/>
    <mergeCell ref="B41:C41"/>
    <mergeCell ref="B42:C42"/>
    <mergeCell ref="B43:C43"/>
    <mergeCell ref="B44:C44"/>
    <mergeCell ref="B45:C45"/>
  </mergeCells>
  <phoneticPr fontId="20" type="noConversion"/>
  <conditionalFormatting sqref="C24">
    <cfRule type="iconSet" priority="20">
      <iconSet iconSet="3Symbols" showValue="0">
        <cfvo type="percent" val="0"/>
        <cfvo type="num" val="1"/>
        <cfvo type="num" val="1.1000000000000001"/>
      </iconSet>
    </cfRule>
  </conditionalFormatting>
  <conditionalFormatting sqref="M65">
    <cfRule type="iconSet" priority="2">
      <iconSet iconSet="3Symbols" showValue="0">
        <cfvo type="percent" val="0"/>
        <cfvo type="num" val="1"/>
        <cfvo type="num" val="1.1000000000000001"/>
      </iconSet>
    </cfRule>
  </conditionalFormatting>
  <conditionalFormatting sqref="N65:O65">
    <cfRule type="iconSet" priority="1">
      <iconSet iconSet="3Symbols" showValue="0">
        <cfvo type="percent" val="0"/>
        <cfvo type="num" val="1"/>
        <cfvo type="num" val="1.1000000000000001"/>
      </iconSet>
    </cfRule>
  </conditionalFormatting>
  <conditionalFormatting sqref="I65:L124">
    <cfRule type="iconSet" priority="21">
      <iconSet iconSet="3Symbols" showValue="0">
        <cfvo type="percent" val="0"/>
        <cfvo type="num" val="1"/>
        <cfvo type="num" val="1.1000000000000001"/>
      </iconSet>
    </cfRule>
  </conditionalFormatting>
  <conditionalFormatting sqref="M65:M124">
    <cfRule type="iconSet" priority="22">
      <iconSet iconSet="3Symbols" showValue="0">
        <cfvo type="percent" val="0"/>
        <cfvo type="num" val="1"/>
        <cfvo type="num" val="1.1000000000000001"/>
      </iconSet>
    </cfRule>
  </conditionalFormatting>
  <conditionalFormatting sqref="N65:O124">
    <cfRule type="iconSet" priority="23">
      <iconSet iconSet="3Symbols" showValue="0">
        <cfvo type="percent" val="0"/>
        <cfvo type="num" val="1"/>
        <cfvo type="num" val="1.1000000000000001"/>
      </iconSet>
    </cfRule>
  </conditionalFormatting>
  <conditionalFormatting sqref="P65:T124">
    <cfRule type="iconSet" priority="24">
      <iconSet iconSet="3Symbols" showValue="0">
        <cfvo type="percent" val="0"/>
        <cfvo type="num" val="1"/>
        <cfvo type="num" val="1.1000000000000001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altText="twice as new clearance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eggi_Dry" altText="Read Dry">
                <anchor moveWithCells="1" sizeWithCells="1">
                  <from>
                    <xdr:col>1</xdr:col>
                    <xdr:colOff>19050</xdr:colOff>
                    <xdr:row>12</xdr:row>
                    <xdr:rowOff>19050</xdr:rowOff>
                  </from>
                  <to>
                    <xdr:col>2</xdr:col>
                    <xdr:colOff>666750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Leggi_As_new" altText="Read Dry">
                <anchor moveWithCells="1" sizeWithCells="1">
                  <from>
                    <xdr:col>3</xdr:col>
                    <xdr:colOff>76200</xdr:colOff>
                    <xdr:row>12</xdr:row>
                    <xdr:rowOff>19050</xdr:rowOff>
                  </from>
                  <to>
                    <xdr:col>4</xdr:col>
                    <xdr:colOff>723900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Leggi_Twice_as_new" altText="Read Dry">
                <anchor moveWithCells="1" sizeWithCells="1">
                  <from>
                    <xdr:col>5</xdr:col>
                    <xdr:colOff>142875</xdr:colOff>
                    <xdr:row>12</xdr:row>
                    <xdr:rowOff>19050</xdr:rowOff>
                  </from>
                  <to>
                    <xdr:col>7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Z28"/>
  <sheetViews>
    <sheetView workbookViewId="0"/>
  </sheetViews>
  <sheetFormatPr defaultRowHeight="15" x14ac:dyDescent="0.25"/>
  <cols>
    <col min="1" max="1" width="3.28515625" customWidth="1"/>
  </cols>
  <sheetData>
    <row r="1" spans="2:26" ht="18" x14ac:dyDescent="0.35">
      <c r="B1" s="2" t="s">
        <v>96</v>
      </c>
      <c r="C1" s="2" t="s">
        <v>39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</row>
    <row r="2" spans="2:26" x14ac:dyDescent="0.25">
      <c r="B2">
        <v>1174.5</v>
      </c>
      <c r="C2">
        <v>0.56969999999999998</v>
      </c>
      <c r="D2">
        <v>1935.1200000000001</v>
      </c>
      <c r="E2">
        <v>8.0199999999999994E-2</v>
      </c>
      <c r="F2">
        <v>7808.88</v>
      </c>
      <c r="G2">
        <v>6.4399999999999999E-2</v>
      </c>
      <c r="H2">
        <v>7965.5999999999995</v>
      </c>
      <c r="I2">
        <v>0.24309999999999998</v>
      </c>
      <c r="J2">
        <v>4202.7</v>
      </c>
      <c r="K2" s="1">
        <v>0.1396</v>
      </c>
      <c r="L2" s="1">
        <v>10868.58</v>
      </c>
      <c r="M2">
        <v>0.19690000000000002</v>
      </c>
      <c r="N2">
        <v>4519.8600000000006</v>
      </c>
      <c r="O2">
        <v>0.1411</v>
      </c>
      <c r="P2">
        <v>11045.52</v>
      </c>
      <c r="Q2">
        <v>0.35489999999999999</v>
      </c>
      <c r="R2">
        <v>2303.7000000000003</v>
      </c>
    </row>
    <row r="3" spans="2:26" x14ac:dyDescent="0.25">
      <c r="B3">
        <v>1305</v>
      </c>
      <c r="C3">
        <v>0.61199999999999999</v>
      </c>
      <c r="D3">
        <v>2006.88</v>
      </c>
      <c r="E3">
        <v>8.6199999999999999E-2</v>
      </c>
      <c r="F3">
        <v>7811.76</v>
      </c>
      <c r="G3">
        <v>7.1500000000000008E-2</v>
      </c>
      <c r="H3">
        <v>7986.5400000000009</v>
      </c>
      <c r="I3">
        <v>0.26679999999999998</v>
      </c>
      <c r="J3">
        <v>4236</v>
      </c>
      <c r="K3" s="1">
        <v>0.1532</v>
      </c>
      <c r="L3" s="1">
        <v>10839.78</v>
      </c>
      <c r="M3">
        <v>0.21260000000000001</v>
      </c>
      <c r="N3">
        <v>4563.0600000000004</v>
      </c>
      <c r="O3">
        <v>0.15190000000000001</v>
      </c>
      <c r="P3">
        <v>11112.24</v>
      </c>
      <c r="Q3">
        <v>0.37130000000000002</v>
      </c>
      <c r="R3">
        <v>2391.1800000000003</v>
      </c>
    </row>
    <row r="4" spans="2:26" x14ac:dyDescent="0.25">
      <c r="B4">
        <v>1566</v>
      </c>
      <c r="C4">
        <v>0.68110000000000004</v>
      </c>
      <c r="D4">
        <v>2127.2999999999997</v>
      </c>
      <c r="E4">
        <v>9.7899999999999987E-2</v>
      </c>
      <c r="F4">
        <v>7817.7599999999993</v>
      </c>
      <c r="G4">
        <v>8.5000000000000006E-2</v>
      </c>
      <c r="H4">
        <v>8024.34</v>
      </c>
      <c r="I4">
        <v>0.31090000000000001</v>
      </c>
      <c r="J4">
        <v>4305.7800000000007</v>
      </c>
      <c r="K4" s="1">
        <v>0.1787</v>
      </c>
      <c r="L4" s="1">
        <v>10807.8</v>
      </c>
      <c r="M4">
        <v>0.24350000000000002</v>
      </c>
      <c r="N4">
        <v>4644.78</v>
      </c>
      <c r="O4">
        <v>0.17559999999999998</v>
      </c>
      <c r="P4">
        <v>11198.34</v>
      </c>
      <c r="Q4">
        <v>0.40979999999999994</v>
      </c>
      <c r="R4">
        <v>2533.7999999999997</v>
      </c>
    </row>
    <row r="5" spans="2:26" x14ac:dyDescent="0.25">
      <c r="B5">
        <v>1827</v>
      </c>
      <c r="C5">
        <v>0.70680000000000009</v>
      </c>
      <c r="D5">
        <v>2369.3399999999997</v>
      </c>
      <c r="E5">
        <v>0.10980000000000001</v>
      </c>
      <c r="F5">
        <v>7831.08</v>
      </c>
      <c r="G5">
        <v>9.5500000000000002E-2</v>
      </c>
      <c r="H5">
        <v>8065.14</v>
      </c>
      <c r="I5">
        <v>0.34869999999999995</v>
      </c>
      <c r="J5">
        <v>4412.22</v>
      </c>
      <c r="K5" s="1">
        <v>0.20430000000000001</v>
      </c>
      <c r="L5" s="1">
        <v>10765.44</v>
      </c>
      <c r="M5">
        <v>0.2656</v>
      </c>
      <c r="N5">
        <v>4760.7</v>
      </c>
      <c r="O5">
        <v>0.1973</v>
      </c>
      <c r="P5">
        <v>11257.44</v>
      </c>
      <c r="Q5">
        <v>0.42020000000000002</v>
      </c>
      <c r="R5">
        <v>2821.44</v>
      </c>
    </row>
    <row r="6" spans="2:26" x14ac:dyDescent="0.25">
      <c r="B6">
        <v>2088</v>
      </c>
      <c r="C6">
        <v>0.72650000000000003</v>
      </c>
      <c r="D6">
        <v>2594.04</v>
      </c>
      <c r="E6">
        <v>0.1211</v>
      </c>
      <c r="F6">
        <v>7846.8600000000006</v>
      </c>
      <c r="G6">
        <v>0.10439999999999999</v>
      </c>
      <c r="H6">
        <v>8104.0800000000008</v>
      </c>
      <c r="I6">
        <v>0.38170000000000004</v>
      </c>
      <c r="J6">
        <v>4531.8</v>
      </c>
      <c r="K6" s="1">
        <v>0.22940000000000002</v>
      </c>
      <c r="L6" s="1">
        <v>10707.84</v>
      </c>
      <c r="M6">
        <v>0.28449999999999998</v>
      </c>
      <c r="N6">
        <v>4879.3799999999992</v>
      </c>
      <c r="O6">
        <v>0.21859999999999999</v>
      </c>
      <c r="P6">
        <v>11296.92</v>
      </c>
      <c r="Q6">
        <v>0.43329999999999996</v>
      </c>
      <c r="R6">
        <v>3105.24</v>
      </c>
    </row>
    <row r="7" spans="2:26" x14ac:dyDescent="0.25">
      <c r="B7">
        <v>2349</v>
      </c>
      <c r="C7">
        <v>0.74199999999999999</v>
      </c>
      <c r="D7">
        <v>2821.62</v>
      </c>
      <c r="E7">
        <v>0.13320000000000001</v>
      </c>
      <c r="F7">
        <v>7858.92</v>
      </c>
      <c r="G7">
        <v>0.11169999999999999</v>
      </c>
      <c r="H7">
        <v>8150.4600000000009</v>
      </c>
      <c r="I7">
        <v>0.41049999999999998</v>
      </c>
      <c r="J7">
        <v>4685.28</v>
      </c>
      <c r="K7" s="1">
        <v>0.25850000000000001</v>
      </c>
      <c r="L7" s="1">
        <v>10614.060000000001</v>
      </c>
      <c r="M7">
        <v>0.29830000000000001</v>
      </c>
      <c r="N7">
        <v>5014.8</v>
      </c>
      <c r="O7">
        <v>0.2369</v>
      </c>
      <c r="P7">
        <v>11358.720000000001</v>
      </c>
      <c r="Q7">
        <v>0.43939999999999996</v>
      </c>
      <c r="R7">
        <v>3450.96</v>
      </c>
    </row>
    <row r="8" spans="2:26" x14ac:dyDescent="0.25">
      <c r="B8">
        <v>2610</v>
      </c>
      <c r="C8">
        <v>0.75430000000000008</v>
      </c>
      <c r="D8">
        <v>3046.26</v>
      </c>
      <c r="E8">
        <v>0.14380000000000001</v>
      </c>
      <c r="F8">
        <v>7875.9</v>
      </c>
      <c r="G8">
        <v>0.1183</v>
      </c>
      <c r="H8">
        <v>8197.3200000000015</v>
      </c>
      <c r="I8">
        <v>0.434</v>
      </c>
      <c r="J8">
        <v>4867.92</v>
      </c>
      <c r="K8" s="1">
        <v>0.2883</v>
      </c>
      <c r="L8" s="1">
        <v>10500.480000000001</v>
      </c>
      <c r="M8">
        <v>0.30680000000000002</v>
      </c>
      <c r="N8">
        <v>5167.7999999999993</v>
      </c>
      <c r="O8">
        <v>0.25579999999999997</v>
      </c>
      <c r="P8">
        <v>11413.08</v>
      </c>
      <c r="Q8">
        <v>0.44819999999999999</v>
      </c>
      <c r="R8">
        <v>3802.5</v>
      </c>
    </row>
    <row r="9" spans="2:26" x14ac:dyDescent="0.25">
      <c r="B9">
        <v>2871</v>
      </c>
      <c r="C9">
        <v>0.76290000000000002</v>
      </c>
      <c r="D9">
        <v>3286.14</v>
      </c>
      <c r="E9">
        <v>0.15289999999999998</v>
      </c>
      <c r="F9">
        <v>7897.74</v>
      </c>
      <c r="G9">
        <v>0.1244</v>
      </c>
      <c r="H9">
        <v>8245.32</v>
      </c>
      <c r="I9">
        <v>0.45189999999999997</v>
      </c>
      <c r="J9">
        <v>5088.78</v>
      </c>
      <c r="K9" s="1">
        <v>0.31940000000000002</v>
      </c>
      <c r="L9" s="1">
        <v>10371.240000000002</v>
      </c>
      <c r="M9">
        <v>0.3075</v>
      </c>
      <c r="N9">
        <v>5357.34</v>
      </c>
      <c r="O9">
        <v>0.2752</v>
      </c>
      <c r="P9">
        <v>11458.56</v>
      </c>
      <c r="Q9">
        <v>0.45909999999999995</v>
      </c>
      <c r="R9">
        <v>4165.8</v>
      </c>
    </row>
    <row r="10" spans="2:26" x14ac:dyDescent="0.25">
      <c r="B10">
        <v>3132</v>
      </c>
      <c r="C10">
        <v>0.77090000000000003</v>
      </c>
      <c r="D10">
        <v>3523.38</v>
      </c>
      <c r="E10">
        <v>0.1598</v>
      </c>
      <c r="F10">
        <v>7916.2799999999988</v>
      </c>
      <c r="G10">
        <v>0.13070000000000001</v>
      </c>
      <c r="H10">
        <v>8293.14</v>
      </c>
      <c r="I10">
        <v>0.46529999999999999</v>
      </c>
      <c r="J10">
        <v>5345.7</v>
      </c>
      <c r="K10" s="1">
        <v>0.35009999999999997</v>
      </c>
      <c r="L10" s="1">
        <v>10227.18</v>
      </c>
      <c r="M10">
        <v>0.30249999999999999</v>
      </c>
      <c r="N10">
        <v>5581.62</v>
      </c>
      <c r="O10">
        <v>0.29620000000000002</v>
      </c>
      <c r="P10">
        <v>11504.16</v>
      </c>
      <c r="Q10">
        <v>0.47009999999999996</v>
      </c>
      <c r="R10">
        <v>4536</v>
      </c>
    </row>
    <row r="11" spans="2:26" x14ac:dyDescent="0.25">
      <c r="B11">
        <v>3393</v>
      </c>
      <c r="C11">
        <v>0.78040000000000009</v>
      </c>
      <c r="D11">
        <v>3730.2599999999998</v>
      </c>
      <c r="E11">
        <v>0.16489999999999999</v>
      </c>
      <c r="F11">
        <v>7927.9800000000005</v>
      </c>
      <c r="G11">
        <v>0.13720000000000002</v>
      </c>
      <c r="H11">
        <v>8334.36</v>
      </c>
      <c r="I11">
        <v>0.47560000000000002</v>
      </c>
      <c r="J11">
        <v>5623.92</v>
      </c>
      <c r="K11" s="1">
        <v>0.38100000000000001</v>
      </c>
      <c r="L11" s="1">
        <v>10060.380000000001</v>
      </c>
      <c r="M11">
        <v>0.29580000000000001</v>
      </c>
      <c r="N11">
        <v>5831.58</v>
      </c>
      <c r="O11">
        <v>0.31869999999999998</v>
      </c>
      <c r="P11">
        <v>11534.34</v>
      </c>
      <c r="Q11">
        <v>0.48229999999999995</v>
      </c>
      <c r="R11">
        <v>4879.74</v>
      </c>
    </row>
    <row r="12" spans="2:26" x14ac:dyDescent="0.25">
      <c r="B12">
        <v>3654</v>
      </c>
      <c r="C12">
        <v>0.79090000000000005</v>
      </c>
      <c r="D12">
        <v>3931.26</v>
      </c>
      <c r="E12">
        <v>0.16980000000000001</v>
      </c>
      <c r="F12">
        <v>7934.16</v>
      </c>
      <c r="G12">
        <v>0.14449999999999999</v>
      </c>
      <c r="H12">
        <v>8369.8799999999992</v>
      </c>
      <c r="I12">
        <v>0.48130000000000001</v>
      </c>
      <c r="J12">
        <v>5984.1</v>
      </c>
      <c r="K12">
        <v>0.42249999999999999</v>
      </c>
      <c r="L12">
        <v>9786</v>
      </c>
      <c r="M12">
        <v>0.28689999999999999</v>
      </c>
      <c r="N12">
        <v>6126.42</v>
      </c>
      <c r="O12">
        <v>0.3387</v>
      </c>
      <c r="P12">
        <v>11589</v>
      </c>
      <c r="Q12" s="1">
        <v>0.49280000000000002</v>
      </c>
      <c r="R12" s="1">
        <v>5230.74</v>
      </c>
    </row>
    <row r="13" spans="2:26" x14ac:dyDescent="0.25">
      <c r="B13">
        <v>3915</v>
      </c>
      <c r="C13">
        <v>0.80090000000000006</v>
      </c>
      <c r="D13">
        <v>4116.78</v>
      </c>
      <c r="E13">
        <v>0.17269999999999999</v>
      </c>
      <c r="F13">
        <v>7935.9599999999991</v>
      </c>
      <c r="G13">
        <v>0.1522</v>
      </c>
      <c r="H13">
        <v>8391.48</v>
      </c>
      <c r="I13">
        <v>0.48060000000000003</v>
      </c>
      <c r="J13">
        <v>6388.4400000000005</v>
      </c>
      <c r="K13">
        <v>0.4667</v>
      </c>
      <c r="L13">
        <v>9456.5400000000009</v>
      </c>
      <c r="M13">
        <v>0.2797</v>
      </c>
      <c r="N13">
        <v>6425.5199999999995</v>
      </c>
      <c r="O13">
        <v>0.35909999999999997</v>
      </c>
      <c r="P13">
        <v>11623.86</v>
      </c>
      <c r="Q13" s="1">
        <v>0.50109999999999999</v>
      </c>
      <c r="R13" s="1">
        <v>5578.08</v>
      </c>
    </row>
    <row r="14" spans="2:26" x14ac:dyDescent="0.25">
      <c r="B14">
        <v>4176</v>
      </c>
      <c r="C14">
        <v>0.80629999999999991</v>
      </c>
      <c r="D14">
        <v>4344.42</v>
      </c>
      <c r="E14">
        <v>0.17430000000000001</v>
      </c>
      <c r="F14">
        <v>7933.68</v>
      </c>
      <c r="G14">
        <v>0.1605</v>
      </c>
      <c r="H14">
        <v>8398.5</v>
      </c>
      <c r="I14">
        <v>0.46789999999999998</v>
      </c>
      <c r="J14">
        <v>6839.82</v>
      </c>
      <c r="K14">
        <v>0.51300000000000001</v>
      </c>
      <c r="L14">
        <v>9146.94</v>
      </c>
      <c r="M14">
        <v>0.27179999999999999</v>
      </c>
      <c r="N14">
        <v>6735.9</v>
      </c>
      <c r="O14">
        <v>0.38109999999999999</v>
      </c>
      <c r="P14">
        <v>11631.36</v>
      </c>
      <c r="Q14" s="1">
        <v>0.50380000000000003</v>
      </c>
      <c r="R14" s="1">
        <v>5963.58</v>
      </c>
    </row>
    <row r="15" spans="2:26" x14ac:dyDescent="0.25">
      <c r="B15">
        <v>4437</v>
      </c>
      <c r="C15">
        <v>0.81189999999999996</v>
      </c>
      <c r="D15">
        <v>4565.5199999999995</v>
      </c>
      <c r="E15">
        <v>0.17469999999999999</v>
      </c>
      <c r="F15">
        <v>7924.4400000000005</v>
      </c>
      <c r="G15">
        <v>0.16920000000000002</v>
      </c>
      <c r="H15">
        <v>8384.8200000000015</v>
      </c>
      <c r="I15">
        <v>0.44840000000000002</v>
      </c>
      <c r="J15">
        <v>7269.96</v>
      </c>
      <c r="K15">
        <v>0.55930000000000002</v>
      </c>
      <c r="L15">
        <v>8902.44</v>
      </c>
      <c r="M15">
        <v>0.26469999999999999</v>
      </c>
      <c r="N15">
        <v>7047.96</v>
      </c>
      <c r="O15">
        <v>0.4052</v>
      </c>
      <c r="P15">
        <v>11598.9</v>
      </c>
      <c r="Q15" s="1">
        <v>0.50479999999999992</v>
      </c>
      <c r="R15" s="1">
        <v>6379.8</v>
      </c>
    </row>
    <row r="16" spans="2:26" x14ac:dyDescent="0.25">
      <c r="B16">
        <v>4698</v>
      </c>
      <c r="C16">
        <v>0.81830000000000003</v>
      </c>
      <c r="D16">
        <v>4771.68</v>
      </c>
      <c r="E16">
        <v>0.17430000000000001</v>
      </c>
      <c r="F16">
        <v>7908.8399999999992</v>
      </c>
      <c r="G16">
        <v>0.1779</v>
      </c>
      <c r="H16">
        <v>8349</v>
      </c>
      <c r="I16">
        <v>0.43060000000000004</v>
      </c>
      <c r="J16">
        <v>7617</v>
      </c>
      <c r="K16">
        <v>0.59729999999999994</v>
      </c>
      <c r="L16">
        <v>8791.68</v>
      </c>
      <c r="M16">
        <v>0.25730000000000003</v>
      </c>
      <c r="N16">
        <v>7358.9400000000005</v>
      </c>
      <c r="O16">
        <v>0.43189999999999995</v>
      </c>
      <c r="P16">
        <v>11517.06</v>
      </c>
      <c r="Q16" s="1">
        <v>0.50479999999999992</v>
      </c>
      <c r="R16" s="1">
        <v>6833.34</v>
      </c>
    </row>
    <row r="17" spans="2:18" x14ac:dyDescent="0.25">
      <c r="B17">
        <v>4959</v>
      </c>
      <c r="C17">
        <v>0.82299999999999995</v>
      </c>
      <c r="D17">
        <v>5008.08</v>
      </c>
      <c r="E17">
        <v>0.17309999999999998</v>
      </c>
      <c r="F17">
        <v>7891.14</v>
      </c>
      <c r="G17">
        <v>0.18710000000000002</v>
      </c>
      <c r="H17">
        <v>8287.92</v>
      </c>
      <c r="I17">
        <v>0.41420000000000001</v>
      </c>
      <c r="J17">
        <v>7907.46</v>
      </c>
      <c r="K17">
        <v>0.62780000000000002</v>
      </c>
      <c r="L17">
        <v>8795.4</v>
      </c>
      <c r="M17">
        <v>0.24640000000000001</v>
      </c>
      <c r="N17">
        <v>7678.4400000000005</v>
      </c>
      <c r="O17">
        <v>0.45779999999999998</v>
      </c>
      <c r="P17">
        <v>11414.88</v>
      </c>
      <c r="Q17" s="1">
        <v>0.50340000000000007</v>
      </c>
      <c r="R17" s="1">
        <v>7344.54</v>
      </c>
    </row>
    <row r="18" spans="2:18" x14ac:dyDescent="0.25">
      <c r="B18">
        <v>5214.7</v>
      </c>
      <c r="C18">
        <v>0.82900000000000007</v>
      </c>
      <c r="D18">
        <v>5214.72</v>
      </c>
      <c r="E18">
        <v>0.17129999999999998</v>
      </c>
      <c r="F18">
        <v>7872.6</v>
      </c>
      <c r="G18">
        <v>0.19829999999999998</v>
      </c>
      <c r="H18">
        <v>8144.4000000000005</v>
      </c>
      <c r="I18">
        <v>0.40279999999999999</v>
      </c>
      <c r="J18">
        <v>8153.4599999999991</v>
      </c>
      <c r="K18">
        <v>0.65069999999999995</v>
      </c>
      <c r="L18">
        <v>8848.98</v>
      </c>
      <c r="M18">
        <v>0.23089999999999999</v>
      </c>
      <c r="N18">
        <v>8061</v>
      </c>
      <c r="O18">
        <v>0.4839</v>
      </c>
      <c r="P18">
        <v>11263.92</v>
      </c>
      <c r="Q18" s="1">
        <v>0.50409999999999999</v>
      </c>
      <c r="R18" s="1">
        <v>7870.1999999999989</v>
      </c>
    </row>
    <row r="19" spans="2:18" x14ac:dyDescent="0.25">
      <c r="B19">
        <v>5220</v>
      </c>
      <c r="C19">
        <v>0.82909999999999995</v>
      </c>
      <c r="D19">
        <v>5218.9800000000005</v>
      </c>
      <c r="E19">
        <v>0.17120000000000002</v>
      </c>
      <c r="F19">
        <v>7872.18</v>
      </c>
      <c r="G19">
        <v>0.19839999999999999</v>
      </c>
      <c r="H19">
        <v>8138.22</v>
      </c>
      <c r="I19">
        <v>0.40259999999999996</v>
      </c>
      <c r="J19">
        <v>8158.5599999999995</v>
      </c>
      <c r="K19">
        <v>0.65110000000000001</v>
      </c>
      <c r="L19">
        <v>8849.94</v>
      </c>
      <c r="M19">
        <v>0.23070000000000002</v>
      </c>
      <c r="N19">
        <v>8072.2800000000007</v>
      </c>
      <c r="O19">
        <v>0.48450000000000004</v>
      </c>
      <c r="P19">
        <v>11260.68</v>
      </c>
      <c r="Q19" s="1">
        <v>0.50409999999999999</v>
      </c>
      <c r="R19" s="1">
        <v>7882.0199999999995</v>
      </c>
    </row>
    <row r="20" spans="2:18" x14ac:dyDescent="0.25">
      <c r="B20">
        <v>5481</v>
      </c>
      <c r="C20">
        <v>0.83660000000000001</v>
      </c>
      <c r="D20">
        <v>5397.42</v>
      </c>
      <c r="E20">
        <v>0.16879999999999998</v>
      </c>
      <c r="F20">
        <v>7852.92</v>
      </c>
      <c r="G20">
        <v>0.1852</v>
      </c>
      <c r="H20">
        <v>8029.68</v>
      </c>
      <c r="I20">
        <v>0.39240000000000003</v>
      </c>
      <c r="J20">
        <v>8412.24</v>
      </c>
      <c r="K20">
        <v>0.67709999999999992</v>
      </c>
      <c r="L20">
        <v>8843.7000000000007</v>
      </c>
      <c r="M20">
        <v>0.23480000000000001</v>
      </c>
      <c r="N20">
        <v>8439.7800000000007</v>
      </c>
      <c r="O20">
        <v>0.50970000000000004</v>
      </c>
      <c r="P20">
        <v>11084.16</v>
      </c>
      <c r="Q20" s="1">
        <v>0.50329999999999997</v>
      </c>
      <c r="R20" s="1">
        <v>8511.66</v>
      </c>
    </row>
    <row r="21" spans="2:18" x14ac:dyDescent="0.25">
      <c r="B21">
        <v>5742</v>
      </c>
      <c r="C21">
        <v>0.84470000000000001</v>
      </c>
      <c r="D21">
        <v>5555.04</v>
      </c>
      <c r="E21">
        <v>0.16600000000000001</v>
      </c>
      <c r="F21">
        <v>7834.7400000000007</v>
      </c>
      <c r="G21">
        <v>0.17629999999999998</v>
      </c>
      <c r="H21">
        <v>8012.88</v>
      </c>
      <c r="I21">
        <v>0.38579999999999998</v>
      </c>
      <c r="J21">
        <v>8647.0199999999986</v>
      </c>
      <c r="K21">
        <v>0.69489999999999996</v>
      </c>
      <c r="L21">
        <v>8907</v>
      </c>
      <c r="M21">
        <v>0.2334</v>
      </c>
      <c r="N21">
        <v>8722.26</v>
      </c>
      <c r="O21">
        <v>0.54270000000000007</v>
      </c>
      <c r="P21">
        <v>10769.04</v>
      </c>
      <c r="Q21" s="1">
        <v>0.49619999999999997</v>
      </c>
      <c r="R21" s="1">
        <v>9233.94</v>
      </c>
    </row>
    <row r="22" spans="2:18" x14ac:dyDescent="0.25">
      <c r="B22">
        <v>6003</v>
      </c>
      <c r="C22">
        <v>0.85309999999999997</v>
      </c>
      <c r="D22">
        <v>5701.08</v>
      </c>
      <c r="E22">
        <v>0.16269999999999998</v>
      </c>
      <c r="F22">
        <v>7818.3</v>
      </c>
      <c r="G22">
        <v>0.16930000000000001</v>
      </c>
      <c r="H22">
        <v>8006.9999999999991</v>
      </c>
      <c r="I22">
        <v>0.38159999999999994</v>
      </c>
      <c r="J22">
        <v>8876.16</v>
      </c>
      <c r="K22">
        <v>0.70250000000000001</v>
      </c>
      <c r="L22">
        <v>9100.92</v>
      </c>
      <c r="M22">
        <v>0.2293</v>
      </c>
      <c r="N22">
        <v>9004.74</v>
      </c>
      <c r="O22">
        <v>0.59119999999999995</v>
      </c>
      <c r="P22">
        <v>10391.16</v>
      </c>
      <c r="Q22" s="1">
        <v>0.47189999999999999</v>
      </c>
      <c r="R22" s="1">
        <v>9982.08</v>
      </c>
    </row>
    <row r="23" spans="2:18" x14ac:dyDescent="0.25">
      <c r="B23">
        <v>6264</v>
      </c>
      <c r="C23">
        <v>0.86269999999999991</v>
      </c>
      <c r="D23">
        <v>5793.8399999999992</v>
      </c>
      <c r="E23">
        <v>0.15939999999999999</v>
      </c>
      <c r="F23">
        <v>7802.82</v>
      </c>
      <c r="G23">
        <v>0.16329999999999997</v>
      </c>
      <c r="H23">
        <v>8006.5800000000008</v>
      </c>
      <c r="I23">
        <v>0.37969999999999998</v>
      </c>
      <c r="J23">
        <v>9108.6</v>
      </c>
      <c r="K23">
        <v>0.71299999999999997</v>
      </c>
      <c r="L23">
        <v>9244.8599999999988</v>
      </c>
      <c r="M23">
        <v>0.22460000000000002</v>
      </c>
      <c r="N23">
        <v>9288.9</v>
      </c>
      <c r="O23">
        <v>0.63329999999999997</v>
      </c>
      <c r="P23">
        <v>10207.92</v>
      </c>
      <c r="Q23" s="1">
        <v>0.4506</v>
      </c>
      <c r="R23" s="1">
        <v>10554.48</v>
      </c>
    </row>
    <row r="24" spans="2:18" x14ac:dyDescent="0.25">
      <c r="B24">
        <v>6525</v>
      </c>
      <c r="C24">
        <v>0.873</v>
      </c>
      <c r="D24">
        <v>5836.62</v>
      </c>
      <c r="E24">
        <v>0.156</v>
      </c>
      <c r="F24">
        <v>7789.02</v>
      </c>
      <c r="G24">
        <v>0.15789999999999998</v>
      </c>
      <c r="H24">
        <v>8010.2999999999993</v>
      </c>
      <c r="I24">
        <v>0.37959999999999999</v>
      </c>
      <c r="J24">
        <v>9340.26</v>
      </c>
      <c r="K24">
        <v>0.72489999999999999</v>
      </c>
      <c r="L24">
        <v>9350.880000000001</v>
      </c>
      <c r="M24">
        <v>0.22</v>
      </c>
      <c r="N24">
        <v>9568.86</v>
      </c>
      <c r="O24">
        <v>0.66650000000000009</v>
      </c>
      <c r="P24">
        <v>10115.939999999999</v>
      </c>
      <c r="Q24" s="1">
        <v>0.43700000000000006</v>
      </c>
      <c r="R24" s="1">
        <v>11029.92</v>
      </c>
    </row>
    <row r="25" spans="2:18" x14ac:dyDescent="0.25">
      <c r="Q25" s="1"/>
      <c r="R25" s="1"/>
    </row>
    <row r="26" spans="2:18" x14ac:dyDescent="0.25">
      <c r="Q26" s="1"/>
      <c r="R26" s="1"/>
    </row>
    <row r="27" spans="2:18" x14ac:dyDescent="0.25">
      <c r="Q27" s="1"/>
      <c r="R27" s="1"/>
    </row>
    <row r="28" spans="2:18" x14ac:dyDescent="0.25">
      <c r="Q28" s="1"/>
      <c r="R2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B1:Z24"/>
  <sheetViews>
    <sheetView workbookViewId="0">
      <selection activeCell="B2" sqref="B2:R24"/>
    </sheetView>
  </sheetViews>
  <sheetFormatPr defaultRowHeight="15" x14ac:dyDescent="0.25"/>
  <cols>
    <col min="1" max="1" width="3.28515625" customWidth="1"/>
  </cols>
  <sheetData>
    <row r="1" spans="2:26" ht="18" x14ac:dyDescent="0.35">
      <c r="B1" s="2" t="s">
        <v>96</v>
      </c>
      <c r="C1" s="2" t="s">
        <v>39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</row>
    <row r="2" spans="2:26" x14ac:dyDescent="0.25">
      <c r="B2">
        <v>1174.5</v>
      </c>
      <c r="C2">
        <v>0.56969999999999998</v>
      </c>
      <c r="D2">
        <v>1935.1200000000001</v>
      </c>
      <c r="E2">
        <v>8.0199999999999994E-2</v>
      </c>
      <c r="F2">
        <v>7808.88</v>
      </c>
      <c r="G2">
        <v>6.4399999999999999E-2</v>
      </c>
      <c r="H2">
        <v>7965.5999999999995</v>
      </c>
      <c r="I2">
        <v>0.24309999999999998</v>
      </c>
      <c r="J2">
        <v>4202.7</v>
      </c>
      <c r="K2">
        <v>0.1396</v>
      </c>
      <c r="L2">
        <v>10868.58</v>
      </c>
      <c r="M2">
        <v>0.19690000000000002</v>
      </c>
      <c r="N2">
        <v>4519.8600000000006</v>
      </c>
      <c r="O2">
        <v>0.1411</v>
      </c>
      <c r="P2">
        <v>11045.52</v>
      </c>
      <c r="Q2">
        <v>0.35489999999999999</v>
      </c>
      <c r="R2">
        <v>2303.7000000000003</v>
      </c>
    </row>
    <row r="3" spans="2:26" x14ac:dyDescent="0.25">
      <c r="B3">
        <v>1305</v>
      </c>
      <c r="C3">
        <v>0.61199999999999999</v>
      </c>
      <c r="D3">
        <v>2006.88</v>
      </c>
      <c r="E3">
        <v>8.6199999999999999E-2</v>
      </c>
      <c r="F3">
        <v>7811.76</v>
      </c>
      <c r="G3">
        <v>7.1500000000000008E-2</v>
      </c>
      <c r="H3">
        <v>7986.5400000000009</v>
      </c>
      <c r="I3">
        <v>0.26679999999999998</v>
      </c>
      <c r="J3">
        <v>4236</v>
      </c>
      <c r="K3">
        <v>0.1532</v>
      </c>
      <c r="L3">
        <v>10839.78</v>
      </c>
      <c r="M3">
        <v>0.21260000000000001</v>
      </c>
      <c r="N3">
        <v>4563.0600000000004</v>
      </c>
      <c r="O3">
        <v>0.15190000000000001</v>
      </c>
      <c r="P3">
        <v>11112.24</v>
      </c>
      <c r="Q3">
        <v>0.37130000000000002</v>
      </c>
      <c r="R3">
        <v>2391.1800000000003</v>
      </c>
    </row>
    <row r="4" spans="2:26" x14ac:dyDescent="0.25">
      <c r="B4">
        <v>1566</v>
      </c>
      <c r="C4">
        <v>0.68110000000000004</v>
      </c>
      <c r="D4">
        <v>2127.2999999999997</v>
      </c>
      <c r="E4">
        <v>9.7899999999999987E-2</v>
      </c>
      <c r="F4">
        <v>7817.7599999999993</v>
      </c>
      <c r="G4">
        <v>8.5000000000000006E-2</v>
      </c>
      <c r="H4">
        <v>8024.34</v>
      </c>
      <c r="I4">
        <v>0.31090000000000001</v>
      </c>
      <c r="J4">
        <v>4305.7800000000007</v>
      </c>
      <c r="K4">
        <v>0.1787</v>
      </c>
      <c r="L4">
        <v>10807.8</v>
      </c>
      <c r="M4">
        <v>0.24350000000000002</v>
      </c>
      <c r="N4">
        <v>4644.78</v>
      </c>
      <c r="O4">
        <v>0.17559999999999998</v>
      </c>
      <c r="P4">
        <v>11198.34</v>
      </c>
      <c r="Q4">
        <v>0.40979999999999994</v>
      </c>
      <c r="R4">
        <v>2533.7999999999997</v>
      </c>
    </row>
    <row r="5" spans="2:26" x14ac:dyDescent="0.25">
      <c r="B5">
        <v>1827</v>
      </c>
      <c r="C5">
        <v>0.70680000000000009</v>
      </c>
      <c r="D5">
        <v>2369.3399999999997</v>
      </c>
      <c r="E5">
        <v>0.10980000000000001</v>
      </c>
      <c r="F5">
        <v>7831.08</v>
      </c>
      <c r="G5">
        <v>9.5500000000000002E-2</v>
      </c>
      <c r="H5">
        <v>8065.14</v>
      </c>
      <c r="I5">
        <v>0.34869999999999995</v>
      </c>
      <c r="J5">
        <v>4412.22</v>
      </c>
      <c r="K5">
        <v>0.20430000000000001</v>
      </c>
      <c r="L5">
        <v>10765.44</v>
      </c>
      <c r="M5">
        <v>0.2656</v>
      </c>
      <c r="N5">
        <v>4760.7</v>
      </c>
      <c r="O5">
        <v>0.1973</v>
      </c>
      <c r="P5">
        <v>11257.44</v>
      </c>
      <c r="Q5">
        <v>0.42020000000000002</v>
      </c>
      <c r="R5">
        <v>2821.44</v>
      </c>
    </row>
    <row r="6" spans="2:26" x14ac:dyDescent="0.25">
      <c r="B6">
        <v>2088</v>
      </c>
      <c r="C6">
        <v>0.72650000000000003</v>
      </c>
      <c r="D6">
        <v>2594.04</v>
      </c>
      <c r="E6">
        <v>0.1211</v>
      </c>
      <c r="F6">
        <v>7846.8600000000006</v>
      </c>
      <c r="G6">
        <v>0.10439999999999999</v>
      </c>
      <c r="H6">
        <v>8104.0800000000008</v>
      </c>
      <c r="I6">
        <v>0.38170000000000004</v>
      </c>
      <c r="J6">
        <v>4531.8</v>
      </c>
      <c r="K6">
        <v>0.22940000000000002</v>
      </c>
      <c r="L6">
        <v>10707.84</v>
      </c>
      <c r="M6">
        <v>0.28449999999999998</v>
      </c>
      <c r="N6">
        <v>4879.3799999999992</v>
      </c>
      <c r="O6">
        <v>0.21859999999999999</v>
      </c>
      <c r="P6">
        <v>11296.92</v>
      </c>
      <c r="Q6">
        <v>0.43329999999999996</v>
      </c>
      <c r="R6">
        <v>3105.24</v>
      </c>
    </row>
    <row r="7" spans="2:26" x14ac:dyDescent="0.25">
      <c r="B7">
        <v>2349</v>
      </c>
      <c r="C7">
        <v>0.74199999999999999</v>
      </c>
      <c r="D7">
        <v>2821.62</v>
      </c>
      <c r="E7">
        <v>0.13320000000000001</v>
      </c>
      <c r="F7">
        <v>7858.92</v>
      </c>
      <c r="G7">
        <v>0.11169999999999999</v>
      </c>
      <c r="H7">
        <v>8150.4600000000009</v>
      </c>
      <c r="I7">
        <v>0.41049999999999998</v>
      </c>
      <c r="J7">
        <v>4685.28</v>
      </c>
      <c r="K7">
        <v>0.25850000000000001</v>
      </c>
      <c r="L7">
        <v>10614.060000000001</v>
      </c>
      <c r="M7">
        <v>0.29830000000000001</v>
      </c>
      <c r="N7">
        <v>5014.8</v>
      </c>
      <c r="O7">
        <v>0.2369</v>
      </c>
      <c r="P7">
        <v>11358.720000000001</v>
      </c>
      <c r="Q7">
        <v>0.43939999999999996</v>
      </c>
      <c r="R7">
        <v>3450.96</v>
      </c>
    </row>
    <row r="8" spans="2:26" x14ac:dyDescent="0.25">
      <c r="B8">
        <v>2610</v>
      </c>
      <c r="C8">
        <v>0.75430000000000008</v>
      </c>
      <c r="D8">
        <v>3046.26</v>
      </c>
      <c r="E8">
        <v>0.14380000000000001</v>
      </c>
      <c r="F8">
        <v>7875.9</v>
      </c>
      <c r="G8">
        <v>0.1183</v>
      </c>
      <c r="H8">
        <v>8197.3200000000015</v>
      </c>
      <c r="I8">
        <v>0.434</v>
      </c>
      <c r="J8">
        <v>4867.92</v>
      </c>
      <c r="K8">
        <v>0.2883</v>
      </c>
      <c r="L8">
        <v>10500.480000000001</v>
      </c>
      <c r="M8">
        <v>0.30680000000000002</v>
      </c>
      <c r="N8">
        <v>5167.7999999999993</v>
      </c>
      <c r="O8">
        <v>0.25579999999999997</v>
      </c>
      <c r="P8">
        <v>11413.08</v>
      </c>
      <c r="Q8">
        <v>0.44819999999999999</v>
      </c>
      <c r="R8">
        <v>3802.5</v>
      </c>
    </row>
    <row r="9" spans="2:26" x14ac:dyDescent="0.25">
      <c r="B9">
        <v>2871</v>
      </c>
      <c r="C9">
        <v>0.76290000000000002</v>
      </c>
      <c r="D9">
        <v>3286.14</v>
      </c>
      <c r="E9">
        <v>0.15289999999999998</v>
      </c>
      <c r="F9">
        <v>7897.74</v>
      </c>
      <c r="G9">
        <v>0.1244</v>
      </c>
      <c r="H9">
        <v>8245.32</v>
      </c>
      <c r="I9">
        <v>0.45189999999999997</v>
      </c>
      <c r="J9">
        <v>5088.78</v>
      </c>
      <c r="K9">
        <v>0.31940000000000002</v>
      </c>
      <c r="L9">
        <v>10371.240000000002</v>
      </c>
      <c r="M9">
        <v>0.3075</v>
      </c>
      <c r="N9">
        <v>5357.34</v>
      </c>
      <c r="O9">
        <v>0.2752</v>
      </c>
      <c r="P9">
        <v>11458.56</v>
      </c>
      <c r="Q9">
        <v>0.45909999999999995</v>
      </c>
      <c r="R9">
        <v>4165.8</v>
      </c>
    </row>
    <row r="10" spans="2:26" x14ac:dyDescent="0.25">
      <c r="B10">
        <v>3132</v>
      </c>
      <c r="C10">
        <v>0.77090000000000003</v>
      </c>
      <c r="D10">
        <v>3523.38</v>
      </c>
      <c r="E10">
        <v>0.1598</v>
      </c>
      <c r="F10">
        <v>7916.2799999999988</v>
      </c>
      <c r="G10">
        <v>0.13070000000000001</v>
      </c>
      <c r="H10">
        <v>8293.14</v>
      </c>
      <c r="I10">
        <v>0.46529999999999999</v>
      </c>
      <c r="J10">
        <v>5345.7</v>
      </c>
      <c r="K10">
        <v>0.35009999999999997</v>
      </c>
      <c r="L10">
        <v>10227.18</v>
      </c>
      <c r="M10">
        <v>0.30249999999999999</v>
      </c>
      <c r="N10">
        <v>5581.62</v>
      </c>
      <c r="O10">
        <v>0.29620000000000002</v>
      </c>
      <c r="P10">
        <v>11504.16</v>
      </c>
      <c r="Q10">
        <v>0.47009999999999996</v>
      </c>
      <c r="R10">
        <v>4536</v>
      </c>
    </row>
    <row r="11" spans="2:26" x14ac:dyDescent="0.25">
      <c r="B11">
        <v>3393</v>
      </c>
      <c r="C11">
        <v>0.78040000000000009</v>
      </c>
      <c r="D11">
        <v>3730.2599999999998</v>
      </c>
      <c r="E11">
        <v>0.16489999999999999</v>
      </c>
      <c r="F11">
        <v>7927.9800000000005</v>
      </c>
      <c r="G11">
        <v>0.13720000000000002</v>
      </c>
      <c r="H11">
        <v>8334.36</v>
      </c>
      <c r="I11">
        <v>0.47560000000000002</v>
      </c>
      <c r="J11">
        <v>5623.92</v>
      </c>
      <c r="K11">
        <v>0.38100000000000001</v>
      </c>
      <c r="L11">
        <v>10060.380000000001</v>
      </c>
      <c r="M11">
        <v>0.29580000000000001</v>
      </c>
      <c r="N11">
        <v>5831.58</v>
      </c>
      <c r="O11">
        <v>0.31869999999999998</v>
      </c>
      <c r="P11">
        <v>11534.34</v>
      </c>
      <c r="Q11">
        <v>0.48229999999999995</v>
      </c>
      <c r="R11">
        <v>4879.74</v>
      </c>
    </row>
    <row r="12" spans="2:26" x14ac:dyDescent="0.25">
      <c r="B12">
        <v>3654</v>
      </c>
      <c r="C12">
        <v>0.79090000000000005</v>
      </c>
      <c r="D12">
        <v>3931.26</v>
      </c>
      <c r="E12">
        <v>0.16980000000000001</v>
      </c>
      <c r="F12">
        <v>7934.16</v>
      </c>
      <c r="G12">
        <v>0.14449999999999999</v>
      </c>
      <c r="H12">
        <v>8369.8799999999992</v>
      </c>
      <c r="I12">
        <v>0.48130000000000001</v>
      </c>
      <c r="J12">
        <v>5984.1</v>
      </c>
      <c r="K12">
        <v>0.42249999999999999</v>
      </c>
      <c r="L12">
        <v>9786</v>
      </c>
      <c r="M12">
        <v>0.28689999999999999</v>
      </c>
      <c r="N12">
        <v>6126.42</v>
      </c>
      <c r="O12">
        <v>0.3387</v>
      </c>
      <c r="P12">
        <v>11589</v>
      </c>
      <c r="Q12">
        <v>0.49280000000000002</v>
      </c>
      <c r="R12">
        <v>5230.74</v>
      </c>
    </row>
    <row r="13" spans="2:26" x14ac:dyDescent="0.25">
      <c r="B13">
        <v>3915</v>
      </c>
      <c r="C13">
        <v>0.80090000000000006</v>
      </c>
      <c r="D13">
        <v>4116.78</v>
      </c>
      <c r="E13">
        <v>0.17269999999999999</v>
      </c>
      <c r="F13">
        <v>7935.9599999999991</v>
      </c>
      <c r="G13">
        <v>0.1522</v>
      </c>
      <c r="H13">
        <v>8391.48</v>
      </c>
      <c r="I13">
        <v>0.48060000000000003</v>
      </c>
      <c r="J13">
        <v>6388.4400000000005</v>
      </c>
      <c r="K13">
        <v>0.4667</v>
      </c>
      <c r="L13">
        <v>9456.5400000000009</v>
      </c>
      <c r="M13">
        <v>0.2797</v>
      </c>
      <c r="N13">
        <v>6425.5199999999995</v>
      </c>
      <c r="O13">
        <v>0.35909999999999997</v>
      </c>
      <c r="P13">
        <v>11623.86</v>
      </c>
      <c r="Q13">
        <v>0.50109999999999999</v>
      </c>
      <c r="R13">
        <v>5578.08</v>
      </c>
    </row>
    <row r="14" spans="2:26" x14ac:dyDescent="0.25">
      <c r="B14">
        <v>4176</v>
      </c>
      <c r="C14">
        <v>0.80629999999999991</v>
      </c>
      <c r="D14">
        <v>4344.42</v>
      </c>
      <c r="E14">
        <v>0.17430000000000001</v>
      </c>
      <c r="F14">
        <v>7933.68</v>
      </c>
      <c r="G14">
        <v>0.1605</v>
      </c>
      <c r="H14">
        <v>8398.5</v>
      </c>
      <c r="I14">
        <v>0.46789999999999998</v>
      </c>
      <c r="J14">
        <v>6839.82</v>
      </c>
      <c r="K14">
        <v>0.51300000000000001</v>
      </c>
      <c r="L14">
        <v>9146.94</v>
      </c>
      <c r="M14">
        <v>0.27179999999999999</v>
      </c>
      <c r="N14">
        <v>6735.9</v>
      </c>
      <c r="O14">
        <v>0.38109999999999999</v>
      </c>
      <c r="P14">
        <v>11631.36</v>
      </c>
      <c r="Q14">
        <v>0.50380000000000003</v>
      </c>
      <c r="R14">
        <v>5963.58</v>
      </c>
    </row>
    <row r="15" spans="2:26" x14ac:dyDescent="0.25">
      <c r="B15">
        <v>4437</v>
      </c>
      <c r="C15">
        <v>0.81189999999999996</v>
      </c>
      <c r="D15">
        <v>4565.5199999999995</v>
      </c>
      <c r="E15">
        <v>0.17469999999999999</v>
      </c>
      <c r="F15">
        <v>7924.4400000000005</v>
      </c>
      <c r="G15">
        <v>0.16920000000000002</v>
      </c>
      <c r="H15">
        <v>8384.8200000000015</v>
      </c>
      <c r="I15">
        <v>0.44840000000000002</v>
      </c>
      <c r="J15">
        <v>7269.96</v>
      </c>
      <c r="K15">
        <v>0.55930000000000002</v>
      </c>
      <c r="L15">
        <v>8902.44</v>
      </c>
      <c r="M15">
        <v>0.26469999999999999</v>
      </c>
      <c r="N15">
        <v>7047.96</v>
      </c>
      <c r="O15">
        <v>0.4052</v>
      </c>
      <c r="P15">
        <v>11598.9</v>
      </c>
      <c r="Q15">
        <v>0.50479999999999992</v>
      </c>
      <c r="R15">
        <v>6379.8</v>
      </c>
    </row>
    <row r="16" spans="2:26" x14ac:dyDescent="0.25">
      <c r="B16">
        <v>4698</v>
      </c>
      <c r="C16">
        <v>0.81830000000000003</v>
      </c>
      <c r="D16">
        <v>4771.68</v>
      </c>
      <c r="E16">
        <v>0.17430000000000001</v>
      </c>
      <c r="F16">
        <v>7908.8399999999992</v>
      </c>
      <c r="G16">
        <v>0.1779</v>
      </c>
      <c r="H16">
        <v>8349</v>
      </c>
      <c r="I16">
        <v>0.43060000000000004</v>
      </c>
      <c r="J16">
        <v>7617</v>
      </c>
      <c r="K16">
        <v>0.59729999999999994</v>
      </c>
      <c r="L16">
        <v>8791.68</v>
      </c>
      <c r="M16">
        <v>0.25730000000000003</v>
      </c>
      <c r="N16">
        <v>7358.9400000000005</v>
      </c>
      <c r="O16">
        <v>0.43189999999999995</v>
      </c>
      <c r="P16">
        <v>11517.06</v>
      </c>
      <c r="Q16">
        <v>0.50479999999999992</v>
      </c>
      <c r="R16">
        <v>6833.34</v>
      </c>
    </row>
    <row r="17" spans="2:18" x14ac:dyDescent="0.25">
      <c r="B17">
        <v>4959</v>
      </c>
      <c r="C17">
        <v>0.82299999999999995</v>
      </c>
      <c r="D17">
        <v>5008.08</v>
      </c>
      <c r="E17">
        <v>0.17309999999999998</v>
      </c>
      <c r="F17">
        <v>7891.14</v>
      </c>
      <c r="G17">
        <v>0.18710000000000002</v>
      </c>
      <c r="H17">
        <v>8287.92</v>
      </c>
      <c r="I17">
        <v>0.41420000000000001</v>
      </c>
      <c r="J17">
        <v>7907.46</v>
      </c>
      <c r="K17">
        <v>0.62780000000000002</v>
      </c>
      <c r="L17">
        <v>8795.4</v>
      </c>
      <c r="M17">
        <v>0.24640000000000001</v>
      </c>
      <c r="N17">
        <v>7678.4400000000005</v>
      </c>
      <c r="O17">
        <v>0.45779999999999998</v>
      </c>
      <c r="P17">
        <v>11414.88</v>
      </c>
      <c r="Q17">
        <v>0.50340000000000007</v>
      </c>
      <c r="R17">
        <v>7344.54</v>
      </c>
    </row>
    <row r="18" spans="2:18" x14ac:dyDescent="0.25">
      <c r="B18">
        <v>5214.7</v>
      </c>
      <c r="C18">
        <v>0.82900000000000007</v>
      </c>
      <c r="D18">
        <v>5214.72</v>
      </c>
      <c r="E18">
        <v>0.17129999999999998</v>
      </c>
      <c r="F18">
        <v>7872.6</v>
      </c>
      <c r="G18">
        <v>0.19829999999999998</v>
      </c>
      <c r="H18">
        <v>8144.4000000000005</v>
      </c>
      <c r="I18">
        <v>0.40279999999999999</v>
      </c>
      <c r="J18">
        <v>8153.4599999999991</v>
      </c>
      <c r="K18">
        <v>0.65069999999999995</v>
      </c>
      <c r="L18">
        <v>8848.98</v>
      </c>
      <c r="M18">
        <v>0.23089999999999999</v>
      </c>
      <c r="N18">
        <v>8061</v>
      </c>
      <c r="O18">
        <v>0.4839</v>
      </c>
      <c r="P18">
        <v>11263.92</v>
      </c>
      <c r="Q18">
        <v>0.50409999999999999</v>
      </c>
      <c r="R18">
        <v>7870.1999999999989</v>
      </c>
    </row>
    <row r="19" spans="2:18" x14ac:dyDescent="0.25">
      <c r="B19">
        <v>5220</v>
      </c>
      <c r="C19">
        <v>0.82909999999999995</v>
      </c>
      <c r="D19">
        <v>5218.9800000000005</v>
      </c>
      <c r="E19">
        <v>0.17120000000000002</v>
      </c>
      <c r="F19">
        <v>7872.18</v>
      </c>
      <c r="G19">
        <v>0.19839999999999999</v>
      </c>
      <c r="H19">
        <v>8138.22</v>
      </c>
      <c r="I19">
        <v>0.40259999999999996</v>
      </c>
      <c r="J19">
        <v>8158.5599999999995</v>
      </c>
      <c r="K19">
        <v>0.65110000000000001</v>
      </c>
      <c r="L19">
        <v>8849.94</v>
      </c>
      <c r="M19">
        <v>0.23070000000000002</v>
      </c>
      <c r="N19">
        <v>8072.2800000000007</v>
      </c>
      <c r="O19">
        <v>0.48450000000000004</v>
      </c>
      <c r="P19">
        <v>11260.68</v>
      </c>
      <c r="Q19">
        <v>0.50409999999999999</v>
      </c>
      <c r="R19">
        <v>7882.0199999999995</v>
      </c>
    </row>
    <row r="20" spans="2:18" x14ac:dyDescent="0.25">
      <c r="B20">
        <v>5481</v>
      </c>
      <c r="C20">
        <v>0.83660000000000001</v>
      </c>
      <c r="D20">
        <v>5397.42</v>
      </c>
      <c r="E20">
        <v>0.16879999999999998</v>
      </c>
      <c r="F20">
        <v>7852.92</v>
      </c>
      <c r="G20">
        <v>0.1852</v>
      </c>
      <c r="H20">
        <v>8029.68</v>
      </c>
      <c r="I20">
        <v>0.39240000000000003</v>
      </c>
      <c r="J20">
        <v>8412.24</v>
      </c>
      <c r="K20">
        <v>0.67709999999999992</v>
      </c>
      <c r="L20">
        <v>8843.7000000000007</v>
      </c>
      <c r="M20">
        <v>0.23480000000000001</v>
      </c>
      <c r="N20">
        <v>8439.7800000000007</v>
      </c>
      <c r="O20">
        <v>0.50970000000000004</v>
      </c>
      <c r="P20">
        <v>11084.16</v>
      </c>
      <c r="Q20">
        <v>0.50329999999999997</v>
      </c>
      <c r="R20">
        <v>8511.66</v>
      </c>
    </row>
    <row r="21" spans="2:18" x14ac:dyDescent="0.25">
      <c r="B21">
        <v>5742</v>
      </c>
      <c r="C21">
        <v>0.84470000000000001</v>
      </c>
      <c r="D21">
        <v>5555.04</v>
      </c>
      <c r="E21">
        <v>0.16600000000000001</v>
      </c>
      <c r="F21">
        <v>7834.7400000000007</v>
      </c>
      <c r="G21">
        <v>0.17629999999999998</v>
      </c>
      <c r="H21">
        <v>8012.88</v>
      </c>
      <c r="I21">
        <v>0.38579999999999998</v>
      </c>
      <c r="J21">
        <v>8647.0199999999986</v>
      </c>
      <c r="K21">
        <v>0.69489999999999996</v>
      </c>
      <c r="L21">
        <v>8907</v>
      </c>
      <c r="M21">
        <v>0.2334</v>
      </c>
      <c r="N21">
        <v>8722.26</v>
      </c>
      <c r="O21">
        <v>0.54270000000000007</v>
      </c>
      <c r="P21">
        <v>10769.04</v>
      </c>
      <c r="Q21">
        <v>0.49619999999999997</v>
      </c>
      <c r="R21">
        <v>9233.94</v>
      </c>
    </row>
    <row r="22" spans="2:18" x14ac:dyDescent="0.25">
      <c r="B22">
        <v>6003</v>
      </c>
      <c r="C22">
        <v>0.85309999999999997</v>
      </c>
      <c r="D22">
        <v>5701.08</v>
      </c>
      <c r="E22">
        <v>0.16269999999999998</v>
      </c>
      <c r="F22">
        <v>7818.3</v>
      </c>
      <c r="G22">
        <v>0.16930000000000001</v>
      </c>
      <c r="H22">
        <v>8006.9999999999991</v>
      </c>
      <c r="I22">
        <v>0.38159999999999994</v>
      </c>
      <c r="J22">
        <v>8876.16</v>
      </c>
      <c r="K22">
        <v>0.70250000000000001</v>
      </c>
      <c r="L22">
        <v>9100.92</v>
      </c>
      <c r="M22">
        <v>0.2293</v>
      </c>
      <c r="N22">
        <v>9004.74</v>
      </c>
      <c r="O22">
        <v>0.59119999999999995</v>
      </c>
      <c r="P22">
        <v>10391.16</v>
      </c>
      <c r="Q22">
        <v>0.47189999999999999</v>
      </c>
      <c r="R22">
        <v>9982.08</v>
      </c>
    </row>
    <row r="23" spans="2:18" x14ac:dyDescent="0.25">
      <c r="B23">
        <v>6264</v>
      </c>
      <c r="C23">
        <v>0.86269999999999991</v>
      </c>
      <c r="D23">
        <v>5793.8399999999992</v>
      </c>
      <c r="E23">
        <v>0.15939999999999999</v>
      </c>
      <c r="F23">
        <v>7802.82</v>
      </c>
      <c r="G23">
        <v>0.16329999999999997</v>
      </c>
      <c r="H23">
        <v>8006.5800000000008</v>
      </c>
      <c r="I23">
        <v>0.37969999999999998</v>
      </c>
      <c r="J23">
        <v>9108.6</v>
      </c>
      <c r="K23">
        <v>0.71299999999999997</v>
      </c>
      <c r="L23">
        <v>9244.8599999999988</v>
      </c>
      <c r="M23">
        <v>0.22460000000000002</v>
      </c>
      <c r="N23">
        <v>9288.9</v>
      </c>
      <c r="O23">
        <v>0.63329999999999997</v>
      </c>
      <c r="P23">
        <v>10207.92</v>
      </c>
      <c r="Q23">
        <v>0.4506</v>
      </c>
      <c r="R23">
        <v>10554.48</v>
      </c>
    </row>
    <row r="24" spans="2:18" x14ac:dyDescent="0.25">
      <c r="B24">
        <v>6525</v>
      </c>
      <c r="C24">
        <v>0.873</v>
      </c>
      <c r="D24">
        <v>5836.62</v>
      </c>
      <c r="E24">
        <v>0.156</v>
      </c>
      <c r="F24">
        <v>7789.02</v>
      </c>
      <c r="G24">
        <v>0.15789999999999998</v>
      </c>
      <c r="H24">
        <v>8010.2999999999993</v>
      </c>
      <c r="I24">
        <v>0.37959999999999999</v>
      </c>
      <c r="J24">
        <v>9340.26</v>
      </c>
      <c r="K24">
        <v>0.72489999999999999</v>
      </c>
      <c r="L24">
        <v>9350.880000000001</v>
      </c>
      <c r="M24">
        <v>0.22</v>
      </c>
      <c r="N24">
        <v>9568.86</v>
      </c>
      <c r="O24">
        <v>0.66650000000000009</v>
      </c>
      <c r="P24">
        <v>10115.939999999999</v>
      </c>
      <c r="Q24">
        <v>0.43700000000000006</v>
      </c>
      <c r="R24">
        <v>11029.92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B1:Z23"/>
  <sheetViews>
    <sheetView workbookViewId="0">
      <selection activeCell="O26" sqref="O26"/>
    </sheetView>
  </sheetViews>
  <sheetFormatPr defaultRowHeight="15" x14ac:dyDescent="0.25"/>
  <cols>
    <col min="1" max="1" width="3.28515625" customWidth="1"/>
  </cols>
  <sheetData>
    <row r="1" spans="2:26" ht="18" x14ac:dyDescent="0.35">
      <c r="B1" s="2" t="s">
        <v>96</v>
      </c>
      <c r="C1" s="2" t="s">
        <v>39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</row>
    <row r="2" spans="2:26" x14ac:dyDescent="0.25">
      <c r="B2">
        <v>1174.5</v>
      </c>
      <c r="C2">
        <v>0.46909999999999996</v>
      </c>
      <c r="D2">
        <v>1609.2</v>
      </c>
      <c r="E2">
        <v>0.1285</v>
      </c>
      <c r="F2">
        <v>4399.9799999999996</v>
      </c>
      <c r="G2">
        <v>0.26539999999999997</v>
      </c>
      <c r="H2">
        <v>1797.96</v>
      </c>
      <c r="I2">
        <v>6.0599999999999994E-2</v>
      </c>
      <c r="J2">
        <v>8013.18</v>
      </c>
      <c r="K2">
        <v>0.1191</v>
      </c>
      <c r="L2">
        <v>4558.74</v>
      </c>
      <c r="M2">
        <v>4.8300000000000003E-2</v>
      </c>
      <c r="N2">
        <v>8035.5599999999995</v>
      </c>
      <c r="O2">
        <v>8.0299999999999996E-2</v>
      </c>
      <c r="P2">
        <v>11563.62</v>
      </c>
      <c r="Q2">
        <v>9.9100000000000008E-2</v>
      </c>
      <c r="R2">
        <v>11612.699999999999</v>
      </c>
    </row>
    <row r="3" spans="2:26" x14ac:dyDescent="0.25">
      <c r="B3">
        <v>1305</v>
      </c>
      <c r="C3">
        <v>0.48450000000000004</v>
      </c>
      <c r="D3">
        <v>1725.54</v>
      </c>
      <c r="E3">
        <v>0.1421</v>
      </c>
      <c r="F3">
        <v>4426.08</v>
      </c>
      <c r="G3">
        <v>0.26929999999999998</v>
      </c>
      <c r="H3">
        <v>1927.0800000000002</v>
      </c>
      <c r="I3">
        <v>6.2899999999999998E-2</v>
      </c>
      <c r="J3">
        <v>8009.4000000000005</v>
      </c>
      <c r="K3">
        <v>0.12960000000000002</v>
      </c>
      <c r="L3">
        <v>4599.4800000000005</v>
      </c>
      <c r="M3">
        <v>5.57E-2</v>
      </c>
      <c r="N3">
        <v>8046.66</v>
      </c>
      <c r="O3">
        <v>9.1600000000000001E-2</v>
      </c>
      <c r="P3">
        <v>11568.720000000001</v>
      </c>
      <c r="Q3">
        <v>0.10339999999999999</v>
      </c>
      <c r="R3">
        <v>11656.560000000001</v>
      </c>
    </row>
    <row r="4" spans="2:26" x14ac:dyDescent="0.25">
      <c r="B4">
        <v>1566</v>
      </c>
      <c r="C4">
        <v>0.51060000000000005</v>
      </c>
      <c r="D4">
        <v>1932.3600000000001</v>
      </c>
      <c r="E4">
        <v>0.16789999999999999</v>
      </c>
      <c r="F4">
        <v>4476.3599999999997</v>
      </c>
      <c r="G4">
        <v>0.28350000000000003</v>
      </c>
      <c r="H4">
        <v>2155.7400000000002</v>
      </c>
      <c r="I4">
        <v>7.0099999999999996E-2</v>
      </c>
      <c r="J4">
        <v>7979.2199999999993</v>
      </c>
      <c r="K4">
        <v>0.1497</v>
      </c>
      <c r="L4">
        <v>4678.08</v>
      </c>
      <c r="M4">
        <v>6.7500000000000004E-2</v>
      </c>
      <c r="N4">
        <v>8089.68</v>
      </c>
      <c r="O4">
        <v>0.1105</v>
      </c>
      <c r="P4">
        <v>11547.960000000001</v>
      </c>
      <c r="Q4">
        <v>0.1153</v>
      </c>
      <c r="R4">
        <v>11780.4</v>
      </c>
    </row>
    <row r="5" spans="2:26" x14ac:dyDescent="0.25">
      <c r="B5">
        <v>1827</v>
      </c>
      <c r="C5">
        <v>0.52539999999999998</v>
      </c>
      <c r="D5">
        <v>2169.84</v>
      </c>
      <c r="E5">
        <v>0.19239999999999999</v>
      </c>
      <c r="F5">
        <v>4543.8</v>
      </c>
      <c r="G5">
        <v>0.28770000000000001</v>
      </c>
      <c r="H5">
        <v>2420.4</v>
      </c>
      <c r="I5">
        <v>7.7699999999999991E-2</v>
      </c>
      <c r="J5">
        <v>7966.2599999999993</v>
      </c>
      <c r="K5">
        <v>0.16750000000000001</v>
      </c>
      <c r="L5">
        <v>4770.84</v>
      </c>
      <c r="M5">
        <v>7.46E-2</v>
      </c>
      <c r="N5">
        <v>8117.22</v>
      </c>
      <c r="O5">
        <v>0.1234</v>
      </c>
      <c r="P5">
        <v>11551.619999999999</v>
      </c>
      <c r="Q5">
        <v>0.12720000000000001</v>
      </c>
      <c r="R5">
        <v>11868.539999999999</v>
      </c>
    </row>
    <row r="6" spans="2:26" x14ac:dyDescent="0.25">
      <c r="B6">
        <v>2088</v>
      </c>
      <c r="C6">
        <v>0.53820000000000001</v>
      </c>
      <c r="D6">
        <v>2393.88</v>
      </c>
      <c r="E6">
        <v>0.215</v>
      </c>
      <c r="F6">
        <v>4614.54</v>
      </c>
      <c r="G6">
        <v>0.29380000000000001</v>
      </c>
      <c r="H6">
        <v>2671.3199999999997</v>
      </c>
      <c r="I6">
        <v>8.5699999999999998E-2</v>
      </c>
      <c r="J6">
        <v>7957.56</v>
      </c>
      <c r="K6">
        <v>0.1837</v>
      </c>
      <c r="L6">
        <v>4864.3799999999992</v>
      </c>
      <c r="M6">
        <v>8.1699999999999995E-2</v>
      </c>
      <c r="N6">
        <v>8142.48</v>
      </c>
      <c r="O6">
        <v>0.13650000000000001</v>
      </c>
      <c r="P6">
        <v>11571.240000000002</v>
      </c>
      <c r="Q6">
        <v>0.13930000000000001</v>
      </c>
      <c r="R6">
        <v>11955.84</v>
      </c>
    </row>
    <row r="7" spans="2:26" x14ac:dyDescent="0.25">
      <c r="B7">
        <v>2349</v>
      </c>
      <c r="C7">
        <v>0.54959999999999998</v>
      </c>
      <c r="D7">
        <v>2639.94</v>
      </c>
      <c r="E7">
        <v>0.23559999999999998</v>
      </c>
      <c r="F7">
        <v>4701.8999999999996</v>
      </c>
      <c r="G7">
        <v>0.29410000000000003</v>
      </c>
      <c r="H7">
        <v>2950.8</v>
      </c>
      <c r="I7">
        <v>9.4700000000000006E-2</v>
      </c>
      <c r="J7">
        <v>7954.4400000000005</v>
      </c>
      <c r="K7">
        <v>0.19769999999999999</v>
      </c>
      <c r="L7">
        <v>4968.96</v>
      </c>
      <c r="M7">
        <v>8.7300000000000003E-2</v>
      </c>
      <c r="N7">
        <v>8173.7999999999993</v>
      </c>
      <c r="O7">
        <v>0.15090000000000001</v>
      </c>
      <c r="P7">
        <v>11614.380000000001</v>
      </c>
    </row>
    <row r="8" spans="2:26" x14ac:dyDescent="0.25">
      <c r="B8">
        <v>2610</v>
      </c>
      <c r="C8">
        <v>0.55940000000000001</v>
      </c>
      <c r="D8">
        <v>2877.06</v>
      </c>
      <c r="E8">
        <v>0.25459999999999999</v>
      </c>
      <c r="F8">
        <v>4794.3</v>
      </c>
      <c r="G8">
        <v>0.29469999999999996</v>
      </c>
      <c r="H8">
        <v>3226.26</v>
      </c>
      <c r="I8">
        <v>0.10279999999999999</v>
      </c>
      <c r="J8">
        <v>7950.06</v>
      </c>
      <c r="K8">
        <v>0.21050000000000002</v>
      </c>
      <c r="L8">
        <v>5075.46</v>
      </c>
      <c r="M8">
        <v>9.2399999999999996E-2</v>
      </c>
      <c r="N8">
        <v>8202.5400000000009</v>
      </c>
      <c r="O8">
        <v>0.16449999999999998</v>
      </c>
      <c r="P8">
        <v>11652.66</v>
      </c>
    </row>
    <row r="9" spans="2:26" x14ac:dyDescent="0.25">
      <c r="B9">
        <v>2871</v>
      </c>
      <c r="C9">
        <v>0.56689999999999996</v>
      </c>
      <c r="D9">
        <v>3112.68</v>
      </c>
      <c r="E9">
        <v>0.27179999999999999</v>
      </c>
      <c r="F9">
        <v>4894.68</v>
      </c>
      <c r="G9">
        <v>0.29380000000000001</v>
      </c>
      <c r="H9">
        <v>3505.8599999999997</v>
      </c>
      <c r="I9">
        <v>0.1106</v>
      </c>
      <c r="J9">
        <v>7943.34</v>
      </c>
      <c r="K9">
        <v>0.22190000000000001</v>
      </c>
      <c r="L9">
        <v>5186.22</v>
      </c>
      <c r="M9">
        <v>9.7100000000000006E-2</v>
      </c>
      <c r="N9">
        <v>8229.7200000000012</v>
      </c>
      <c r="O9">
        <v>0.17800000000000002</v>
      </c>
      <c r="P9">
        <v>11685.42</v>
      </c>
    </row>
    <row r="10" spans="2:26" x14ac:dyDescent="0.25">
      <c r="B10">
        <v>3132</v>
      </c>
      <c r="C10">
        <v>0.57279999999999998</v>
      </c>
      <c r="D10">
        <v>3358.0800000000004</v>
      </c>
      <c r="E10">
        <v>0.2873</v>
      </c>
      <c r="F10">
        <v>5007.3</v>
      </c>
      <c r="G10">
        <v>0.29249999999999998</v>
      </c>
      <c r="H10">
        <v>3794.04</v>
      </c>
      <c r="I10">
        <v>0.1182</v>
      </c>
      <c r="J10">
        <v>7938.3600000000006</v>
      </c>
      <c r="K10">
        <v>0.23180000000000001</v>
      </c>
      <c r="L10">
        <v>5303.16</v>
      </c>
      <c r="M10">
        <v>0.1017</v>
      </c>
      <c r="N10">
        <v>8259</v>
      </c>
      <c r="O10">
        <v>0.19170000000000001</v>
      </c>
      <c r="P10">
        <v>11727.42</v>
      </c>
    </row>
    <row r="11" spans="2:26" x14ac:dyDescent="0.25">
      <c r="B11">
        <v>3393</v>
      </c>
      <c r="C11">
        <v>0.57879999999999998</v>
      </c>
      <c r="D11">
        <v>3595.08</v>
      </c>
      <c r="E11">
        <v>0.30120000000000002</v>
      </c>
      <c r="F11">
        <v>5123.46</v>
      </c>
      <c r="G11">
        <v>0.29199999999999998</v>
      </c>
      <c r="H11">
        <v>4074.9000000000005</v>
      </c>
      <c r="I11">
        <v>0.12539999999999998</v>
      </c>
      <c r="J11">
        <v>7931.9999999999991</v>
      </c>
      <c r="K11">
        <v>0.24109999999999998</v>
      </c>
      <c r="L11">
        <v>5418.06</v>
      </c>
      <c r="M11">
        <v>0.10630000000000001</v>
      </c>
      <c r="N11">
        <v>8287.74</v>
      </c>
      <c r="O11">
        <v>0.20569999999999999</v>
      </c>
      <c r="P11">
        <v>11772.960000000001</v>
      </c>
    </row>
    <row r="12" spans="2:26" x14ac:dyDescent="0.25">
      <c r="B12">
        <v>3654</v>
      </c>
      <c r="C12">
        <v>0.58499999999999996</v>
      </c>
      <c r="D12">
        <v>3841.62</v>
      </c>
      <c r="E12">
        <v>0.31530000000000002</v>
      </c>
      <c r="F12">
        <v>5252.16</v>
      </c>
      <c r="G12">
        <v>0.28809999999999997</v>
      </c>
      <c r="H12">
        <v>4381.2</v>
      </c>
      <c r="I12">
        <v>0.1333</v>
      </c>
      <c r="J12">
        <v>7922.58</v>
      </c>
      <c r="K12">
        <v>0.24859999999999999</v>
      </c>
      <c r="L12">
        <v>5541.54</v>
      </c>
      <c r="M12">
        <v>0.1104</v>
      </c>
      <c r="N12">
        <v>8321.4600000000009</v>
      </c>
      <c r="O12">
        <v>0.22089999999999999</v>
      </c>
      <c r="P12">
        <v>11824.619999999999</v>
      </c>
    </row>
    <row r="13" spans="2:26" x14ac:dyDescent="0.25">
      <c r="B13">
        <v>3915</v>
      </c>
      <c r="C13">
        <v>0.59060000000000001</v>
      </c>
      <c r="D13">
        <v>4080.78</v>
      </c>
      <c r="E13">
        <v>0.3276</v>
      </c>
      <c r="F13">
        <v>5383.38</v>
      </c>
      <c r="G13">
        <v>0.2838</v>
      </c>
      <c r="H13">
        <v>4683.3599999999997</v>
      </c>
      <c r="I13">
        <v>0.14050000000000001</v>
      </c>
      <c r="J13">
        <v>7909.2</v>
      </c>
      <c r="K13">
        <v>0.25629999999999997</v>
      </c>
      <c r="L13">
        <v>5658.4800000000005</v>
      </c>
      <c r="M13">
        <v>0.11470000000000001</v>
      </c>
      <c r="N13">
        <v>8353.26</v>
      </c>
      <c r="O13">
        <v>0.2364</v>
      </c>
      <c r="P13">
        <v>11878.92</v>
      </c>
    </row>
    <row r="14" spans="2:26" x14ac:dyDescent="0.25">
      <c r="B14">
        <v>4176</v>
      </c>
      <c r="C14">
        <v>0.59299999999999997</v>
      </c>
      <c r="D14">
        <v>4338.54</v>
      </c>
      <c r="E14">
        <v>0.3367</v>
      </c>
      <c r="F14">
        <v>5527.14</v>
      </c>
      <c r="G14">
        <v>0.2767</v>
      </c>
      <c r="H14">
        <v>4999.3799999999992</v>
      </c>
      <c r="I14">
        <v>0.14679999999999999</v>
      </c>
      <c r="J14">
        <v>7894.26</v>
      </c>
      <c r="K14">
        <v>0.26500000000000001</v>
      </c>
      <c r="L14">
        <v>5771.58</v>
      </c>
      <c r="M14">
        <v>0.1195</v>
      </c>
      <c r="N14">
        <v>8383.6200000000008</v>
      </c>
      <c r="O14">
        <v>0.2515</v>
      </c>
      <c r="P14">
        <v>11946.6</v>
      </c>
    </row>
    <row r="15" spans="2:26" x14ac:dyDescent="0.25">
      <c r="B15">
        <v>4437</v>
      </c>
      <c r="C15">
        <v>0.59499999999999997</v>
      </c>
      <c r="D15">
        <v>4599.0599999999995</v>
      </c>
      <c r="E15">
        <v>0.34409999999999996</v>
      </c>
      <c r="F15">
        <v>5677.86</v>
      </c>
      <c r="G15">
        <v>0.26519999999999999</v>
      </c>
      <c r="H15">
        <v>5324.16</v>
      </c>
      <c r="I15">
        <v>0.15259999999999999</v>
      </c>
      <c r="J15">
        <v>7874.34</v>
      </c>
      <c r="K15">
        <v>0.27649999999999997</v>
      </c>
      <c r="L15">
        <v>5878.32</v>
      </c>
      <c r="M15">
        <v>0.12470000000000001</v>
      </c>
      <c r="N15">
        <v>8412.48</v>
      </c>
    </row>
    <row r="16" spans="2:26" x14ac:dyDescent="0.25">
      <c r="B16">
        <v>4698</v>
      </c>
      <c r="C16">
        <v>0.5968</v>
      </c>
      <c r="D16">
        <v>4860.8999999999996</v>
      </c>
      <c r="E16">
        <v>0.34990000000000004</v>
      </c>
      <c r="F16">
        <v>5834.82</v>
      </c>
      <c r="G16">
        <v>0.2475</v>
      </c>
      <c r="H16">
        <v>5629.44</v>
      </c>
      <c r="I16">
        <v>0.15759999999999999</v>
      </c>
      <c r="J16">
        <v>7849.26</v>
      </c>
      <c r="K16">
        <v>0.29260000000000003</v>
      </c>
      <c r="L16">
        <v>6005.88</v>
      </c>
      <c r="M16">
        <v>0.13039999999999999</v>
      </c>
      <c r="N16">
        <v>8438.64</v>
      </c>
    </row>
    <row r="17" spans="2:14" x14ac:dyDescent="0.25">
      <c r="B17">
        <v>4959</v>
      </c>
      <c r="C17">
        <v>0.59150000000000003</v>
      </c>
      <c r="D17">
        <v>5160.84</v>
      </c>
      <c r="E17">
        <v>0.3543</v>
      </c>
      <c r="F17">
        <v>5999.52</v>
      </c>
      <c r="G17">
        <v>0.2298</v>
      </c>
      <c r="H17">
        <v>5876.4</v>
      </c>
      <c r="I17">
        <v>0.16159999999999999</v>
      </c>
      <c r="J17">
        <v>7825.14</v>
      </c>
      <c r="K17">
        <v>0.3044</v>
      </c>
      <c r="L17">
        <v>6206.46</v>
      </c>
      <c r="M17">
        <v>0.1368</v>
      </c>
      <c r="N17">
        <v>8461.98</v>
      </c>
    </row>
    <row r="18" spans="2:14" x14ac:dyDescent="0.25">
      <c r="B18">
        <v>5220</v>
      </c>
      <c r="C18">
        <v>0.58609999999999995</v>
      </c>
      <c r="D18">
        <v>5458.92</v>
      </c>
      <c r="E18">
        <v>0.35810000000000003</v>
      </c>
      <c r="F18">
        <v>6164.88</v>
      </c>
      <c r="G18">
        <v>0.21859999999999999</v>
      </c>
      <c r="H18">
        <v>6087.84</v>
      </c>
      <c r="I18">
        <v>0.1648</v>
      </c>
      <c r="J18">
        <v>7795.1999999999989</v>
      </c>
      <c r="K18">
        <v>0.30930000000000002</v>
      </c>
      <c r="L18">
        <v>6436.26</v>
      </c>
      <c r="M18">
        <v>0.1439</v>
      </c>
      <c r="N18">
        <v>8478</v>
      </c>
    </row>
    <row r="19" spans="2:14" x14ac:dyDescent="0.25">
      <c r="B19">
        <v>5481</v>
      </c>
      <c r="C19">
        <v>0.58360000000000001</v>
      </c>
      <c r="D19">
        <v>5758.08</v>
      </c>
      <c r="E19">
        <v>0.35969999999999996</v>
      </c>
      <c r="F19">
        <v>6345.7800000000007</v>
      </c>
      <c r="G19">
        <v>0.20899999999999999</v>
      </c>
      <c r="H19">
        <v>6294.78</v>
      </c>
      <c r="I19">
        <v>0.1673</v>
      </c>
      <c r="J19">
        <v>7756.74</v>
      </c>
      <c r="K19">
        <v>0.30870000000000003</v>
      </c>
      <c r="L19">
        <v>6696.1799999999994</v>
      </c>
      <c r="M19">
        <v>0.1522</v>
      </c>
      <c r="N19">
        <v>8490.36</v>
      </c>
    </row>
    <row r="20" spans="2:14" x14ac:dyDescent="0.25">
      <c r="B20">
        <v>5742</v>
      </c>
      <c r="C20">
        <v>0.58310000000000006</v>
      </c>
      <c r="D20">
        <v>6046.8</v>
      </c>
      <c r="E20">
        <v>0.36170000000000002</v>
      </c>
      <c r="F20">
        <v>6527.16</v>
      </c>
      <c r="G20">
        <v>0.2024</v>
      </c>
      <c r="H20">
        <v>6493.5</v>
      </c>
      <c r="I20">
        <v>0.1686</v>
      </c>
      <c r="J20">
        <v>7712.88</v>
      </c>
      <c r="K20">
        <v>0.3039</v>
      </c>
      <c r="L20">
        <v>6971.1600000000008</v>
      </c>
      <c r="M20">
        <v>0.16250000000000001</v>
      </c>
      <c r="N20">
        <v>8488.14</v>
      </c>
    </row>
    <row r="21" spans="2:14" x14ac:dyDescent="0.25">
      <c r="B21">
        <v>6003</v>
      </c>
      <c r="C21">
        <v>0.58540000000000003</v>
      </c>
      <c r="D21">
        <v>6325.4400000000005</v>
      </c>
      <c r="E21">
        <v>0.36479999999999996</v>
      </c>
      <c r="F21">
        <v>6710.4000000000005</v>
      </c>
      <c r="G21">
        <v>0.1973</v>
      </c>
      <c r="H21">
        <v>6691.08</v>
      </c>
      <c r="I21">
        <v>0.1681</v>
      </c>
      <c r="J21">
        <v>7666.68</v>
      </c>
      <c r="K21">
        <v>0.29399999999999998</v>
      </c>
      <c r="L21">
        <v>7278.42</v>
      </c>
      <c r="M21">
        <v>0.17600000000000002</v>
      </c>
      <c r="N21">
        <v>8460.9</v>
      </c>
    </row>
    <row r="22" spans="2:14" x14ac:dyDescent="0.25">
      <c r="B22">
        <v>6264</v>
      </c>
      <c r="C22">
        <v>0.59009999999999996</v>
      </c>
      <c r="D22">
        <v>6587.04</v>
      </c>
      <c r="E22">
        <v>0.37070000000000003</v>
      </c>
      <c r="F22">
        <v>6888.96</v>
      </c>
      <c r="G22">
        <v>0.19269999999999998</v>
      </c>
      <c r="H22">
        <v>6887.52</v>
      </c>
      <c r="I22">
        <v>0.16579999999999998</v>
      </c>
      <c r="J22">
        <v>7623.42</v>
      </c>
      <c r="K22">
        <v>0.2757</v>
      </c>
      <c r="L22">
        <v>7656.36</v>
      </c>
      <c r="M22">
        <v>0.1961</v>
      </c>
      <c r="N22">
        <v>8376.18</v>
      </c>
    </row>
    <row r="23" spans="2:14" x14ac:dyDescent="0.25">
      <c r="B23">
        <v>6525</v>
      </c>
      <c r="C23">
        <v>0.59640000000000004</v>
      </c>
      <c r="D23">
        <v>6828</v>
      </c>
      <c r="E23">
        <v>0.37829999999999997</v>
      </c>
      <c r="F23">
        <v>7056.78</v>
      </c>
      <c r="G23">
        <v>0.18870000000000001</v>
      </c>
      <c r="H23">
        <v>7078.86</v>
      </c>
      <c r="I23">
        <v>0.16200000000000001</v>
      </c>
      <c r="J23">
        <v>7589.52</v>
      </c>
      <c r="K23">
        <v>0.20760000000000001</v>
      </c>
      <c r="L23">
        <v>8007.18</v>
      </c>
      <c r="M23">
        <v>0.26450000000000001</v>
      </c>
      <c r="N23">
        <v>8324.2199999999993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714501-7148-4458-A344-7A0727F065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F27A51-D523-4DAA-96A2-8B6688158988}"/>
</file>

<file path=customXml/itemProps3.xml><?xml version="1.0" encoding="utf-8"?>
<ds:datastoreItem xmlns:ds="http://schemas.openxmlformats.org/officeDocument/2006/customXml" ds:itemID="{637EA75A-FA62-4E30-8E6F-3A26816F4029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content</vt:lpstr>
      <vt:lpstr>graph</vt:lpstr>
      <vt:lpstr>dry</vt:lpstr>
      <vt:lpstr>as new</vt:lpstr>
      <vt:lpstr>twice as new</vt:lpstr>
    </vt:vector>
  </TitlesOfParts>
  <Manager/>
  <Company>TM.P. S.p.A.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2013-09-09T15:15:38Z</dcterms:created>
  <dcterms:modified xsi:type="dcterms:W3CDTF">2024-12-05T07:21:27Z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