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6.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17" codeName="{00000000-0000-0000-0000-000000000000}"/>
  <workbookPr codeName="Questa_cartella_di_lavoro" defaultThemeVersion="166925"/>
  <mc:AlternateContent xmlns:mc="http://schemas.openxmlformats.org/markup-compatibility/2006">
    <mc:Choice Requires="x15">
      <x15ac:absPath xmlns:x15ac="http://schemas.microsoft.com/office/spreadsheetml/2010/11/ac" url="https://trilliumflow.sharepoint.com/sites/GRP-RD-TPI/Shared Documents/General/STD WORK/Advanced Mechanical Design/ready to publish/"/>
    </mc:Choice>
  </mc:AlternateContent>
  <xr:revisionPtr revIDLastSave="0" documentId="8_{2A2C2B91-FFA4-4868-A086-25CDB5EFA680}" xr6:coauthVersionLast="47" xr6:coauthVersionMax="47" xr10:uidLastSave="{00000000-0000-0000-0000-000000000000}"/>
  <bookViews>
    <workbookView xWindow="-120" yWindow="-120" windowWidth="38640" windowHeight="21240" xr2:uid="{04F1298C-8704-4DC2-8AC1-9C945E2206F6}"/>
  </bookViews>
  <sheets>
    <sheet name="content" sheetId="6" r:id="rId1"/>
    <sheet name="coupling" sheetId="1" r:id="rId2"/>
    <sheet name="harmonic" sheetId="2" r:id="rId3"/>
    <sheet name="line" sheetId="3" r:id="rId4"/>
    <sheet name="linex2" sheetId="4" r:id="rId5"/>
    <sheet name="VFD" sheetId="5" r:id="rId6"/>
  </sheets>
  <definedNames>
    <definedName name="dim_har">0</definedName>
    <definedName name="dim_line">0</definedName>
    <definedName name="dim_line2">0</definedName>
    <definedName name="dim_speed">0</definedName>
    <definedName name="dim_VFD">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 i="1" l="1"/>
  <c r="C23" i="1" a="1"/>
  <c r="C23" i="1" l="1"/>
  <c r="C27" i="1"/>
  <c r="C29" i="1"/>
  <c r="C31" i="1"/>
  <c r="C13" i="1"/>
  <c r="C14" i="1"/>
  <c r="C12" i="1"/>
  <c r="C11" i="1"/>
  <c r="C10" i="1" l="1"/>
  <c r="C15"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<sst xmlns="http://schemas.openxmlformats.org/spreadsheetml/2006/main" count="77" uniqueCount="47">
  <si>
    <r>
      <rPr>
        <b/>
        <sz val="18"/>
        <color theme="3"/>
        <rFont val="Calibri Light"/>
        <family val="2"/>
        <scheme val="major"/>
      </rPr>
      <t>Coupling Fatigue Verification</t>
    </r>
  </si>
  <si>
    <t>Revision</t>
  </si>
  <si>
    <t>By</t>
  </si>
  <si>
    <t>Approved</t>
  </si>
  <si>
    <t>Date</t>
  </si>
  <si>
    <t>Detail of revision</t>
  </si>
  <si>
    <t>draft</t>
  </si>
  <si>
    <t>Fabrizio Cademartori</t>
  </si>
  <si>
    <t>Coupling verification</t>
  </si>
  <si>
    <t>Legenda</t>
  </si>
  <si>
    <t>P [kW]</t>
  </si>
  <si>
    <t>description</t>
  </si>
  <si>
    <t>file name</t>
  </si>
  <si>
    <t>ID</t>
  </si>
  <si>
    <t>f [Hz]</t>
  </si>
  <si>
    <t>input data</t>
  </si>
  <si>
    <r>
      <t>n</t>
    </r>
    <r>
      <rPr>
        <b/>
        <vertAlign val="subscript"/>
        <sz val="11"/>
        <color theme="0"/>
        <rFont val="Calibri"/>
        <family val="2"/>
        <scheme val="minor"/>
      </rPr>
      <t>nom</t>
    </r>
    <r>
      <rPr>
        <b/>
        <sz val="11"/>
        <color theme="0"/>
        <rFont val="Calibri"/>
        <family val="2"/>
        <scheme val="minor"/>
      </rPr>
      <t xml:space="preserve"> [rpm]</t>
    </r>
  </si>
  <si>
    <t>1X</t>
  </si>
  <si>
    <t>…</t>
  </si>
  <si>
    <t>descriptor</t>
  </si>
  <si>
    <r>
      <t>f</t>
    </r>
    <r>
      <rPr>
        <b/>
        <vertAlign val="subscript"/>
        <sz val="11"/>
        <color theme="0"/>
        <rFont val="Calibri"/>
        <family val="2"/>
        <scheme val="minor"/>
      </rPr>
      <t>line</t>
    </r>
    <r>
      <rPr>
        <b/>
        <sz val="11"/>
        <color theme="0"/>
        <rFont val="Calibri"/>
        <family val="2"/>
        <scheme val="minor"/>
      </rPr>
      <t xml:space="preserve"> [Hz]</t>
    </r>
  </si>
  <si>
    <t>calculated formula</t>
  </si>
  <si>
    <t>damping ratio [-]</t>
  </si>
  <si>
    <t>sep. Margin</t>
  </si>
  <si>
    <r>
      <t>T</t>
    </r>
    <r>
      <rPr>
        <b/>
        <vertAlign val="subscript"/>
        <sz val="11"/>
        <color theme="0"/>
        <rFont val="Calibri"/>
        <family val="2"/>
        <scheme val="minor"/>
      </rPr>
      <t>m</t>
    </r>
    <r>
      <rPr>
        <b/>
        <sz val="11"/>
        <color theme="0"/>
        <rFont val="Calibri"/>
        <family val="2"/>
        <scheme val="minor"/>
      </rPr>
      <t xml:space="preserve"> [Nm]</t>
    </r>
  </si>
  <si>
    <r>
      <t>T</t>
    </r>
    <r>
      <rPr>
        <b/>
        <vertAlign val="subscript"/>
        <sz val="11"/>
        <color theme="0"/>
        <rFont val="Calibri"/>
        <family val="2"/>
        <scheme val="minor"/>
      </rPr>
      <t xml:space="preserve">har </t>
    </r>
    <r>
      <rPr>
        <b/>
        <sz val="11"/>
        <color theme="0"/>
        <rFont val="Calibri"/>
        <family val="2"/>
        <scheme val="minor"/>
      </rPr>
      <t>[Nm]</t>
    </r>
  </si>
  <si>
    <r>
      <t>T</t>
    </r>
    <r>
      <rPr>
        <b/>
        <vertAlign val="subscript"/>
        <sz val="11"/>
        <color theme="0"/>
        <rFont val="Calibri"/>
        <family val="2"/>
        <scheme val="minor"/>
      </rPr>
      <t xml:space="preserve">line </t>
    </r>
    <r>
      <rPr>
        <b/>
        <sz val="11"/>
        <color theme="0"/>
        <rFont val="Calibri"/>
        <family val="2"/>
        <scheme val="minor"/>
      </rPr>
      <t>[Nm]</t>
    </r>
  </si>
  <si>
    <r>
      <t>T</t>
    </r>
    <r>
      <rPr>
        <b/>
        <vertAlign val="subscript"/>
        <sz val="11"/>
        <color theme="0"/>
        <rFont val="Calibri"/>
        <family val="2"/>
        <scheme val="minor"/>
      </rPr>
      <t xml:space="preserve">2 x line </t>
    </r>
    <r>
      <rPr>
        <b/>
        <sz val="11"/>
        <color theme="0"/>
        <rFont val="Calibri"/>
        <family val="2"/>
        <scheme val="minor"/>
      </rPr>
      <t>[Nm]</t>
    </r>
  </si>
  <si>
    <r>
      <t>T</t>
    </r>
    <r>
      <rPr>
        <b/>
        <vertAlign val="subscript"/>
        <sz val="11"/>
        <color theme="0"/>
        <rFont val="Calibri"/>
        <family val="2"/>
        <scheme val="minor"/>
      </rPr>
      <t xml:space="preserve">VFD </t>
    </r>
    <r>
      <rPr>
        <b/>
        <sz val="11"/>
        <color theme="0"/>
        <rFont val="Calibri"/>
        <family val="2"/>
        <scheme val="minor"/>
      </rPr>
      <t>[Nm]</t>
    </r>
  </si>
  <si>
    <r>
      <t>T</t>
    </r>
    <r>
      <rPr>
        <b/>
        <vertAlign val="subscript"/>
        <sz val="11"/>
        <color theme="0"/>
        <rFont val="Calibri"/>
        <family val="2"/>
        <scheme val="minor"/>
      </rPr>
      <t>m</t>
    </r>
    <r>
      <rPr>
        <b/>
        <sz val="11"/>
        <color theme="0"/>
        <rFont val="Calibri"/>
        <family val="2"/>
        <scheme val="minor"/>
      </rPr>
      <t xml:space="preserve"> +T</t>
    </r>
    <r>
      <rPr>
        <b/>
        <vertAlign val="subscript"/>
        <sz val="11"/>
        <color theme="0"/>
        <rFont val="Calibri"/>
        <family val="2"/>
        <scheme val="minor"/>
      </rPr>
      <t xml:space="preserve">a </t>
    </r>
    <r>
      <rPr>
        <b/>
        <sz val="11"/>
        <color theme="0"/>
        <rFont val="Calibri"/>
        <family val="2"/>
        <scheme val="minor"/>
      </rPr>
      <t>[Nm]</t>
    </r>
  </si>
  <si>
    <r>
      <t>T</t>
    </r>
    <r>
      <rPr>
        <b/>
        <vertAlign val="subscript"/>
        <sz val="11"/>
        <color theme="0"/>
        <rFont val="Calibri"/>
        <family val="2"/>
        <scheme val="minor"/>
      </rPr>
      <t>limit</t>
    </r>
    <r>
      <rPr>
        <b/>
        <sz val="11"/>
        <color theme="0"/>
        <rFont val="Calibri"/>
        <family val="2"/>
        <scheme val="minor"/>
      </rPr>
      <t xml:space="preserve"> [Nm]</t>
    </r>
  </si>
  <si>
    <t>ready to run</t>
  </si>
  <si>
    <t>ok</t>
  </si>
  <si>
    <t>not ok</t>
  </si>
  <si>
    <t>n [rpm]</t>
  </si>
  <si>
    <t>load 1</t>
  </si>
  <si>
    <t>load 2</t>
  </si>
  <si>
    <t>load 3</t>
  </si>
  <si>
    <t>envelope</t>
  </si>
  <si>
    <t>min speed [rpm]</t>
  </si>
  <si>
    <t>max speed [rpm]</t>
  </si>
  <si>
    <t>max envelope [Nm]</t>
  </si>
  <si>
    <t>f  [Hz]</t>
  </si>
  <si>
    <t>line</t>
  </si>
  <si>
    <t>Torque [Nm]</t>
  </si>
  <si>
    <t>linex2</t>
  </si>
  <si>
    <t>VFD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</si>
</sst>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7">
    <font>
      <sz val="11"/>
      <color theme="1"/>
      <name val="Calibri"/>
      <family val="2"/>
      <scheme val="minor"/>
    </font>
    <font>
      <sz val="18"/>
      <color theme="3"/>
      <name val="Calibri Light"/>
      <family val="2"/>
      <scheme val="major"/>
    </font>
    <font>
      <sz val="8"/>
      <name val="Calibri"/>
      <family val="2"/>
      <scheme val="minor"/>
    </font>
    <font>
      <b/>
      <sz val="11"/>
      <color theme="1"/>
      <name val="Calibri"/>
      <family val="2"/>
      <scheme val="minor"/>
    </font>
    <font>
      <sz val="11"/>
      <color theme="0" tint="-0.499984740745262"/>
      <name val="Calibri"/>
      <family val="2"/>
      <scheme val="minor"/>
    </font>
    <font>
      <i/>
      <sz val="11"/>
      <name val="Calibri"/>
      <family val="2"/>
      <scheme val="minor"/>
    </font>
    <font>
      <i/>
      <sz val="11"/>
      <color theme="0" tint="-0.499984740745262"/>
      <name val="Calibri"/>
      <family val="2"/>
      <scheme val="minor"/>
    </font>
    <font>
      <sz val="11"/>
      <color theme="0" tint="-4.9989318521683403E-2"/>
      <name val="Calibri"/>
      <family val="2"/>
      <scheme val="minor"/>
    </font>
    <font>
      <b/>
      <sz val="11"/>
      <color theme="1"/>
      <name val="Calibri"/>
      <family val="2"/>
    </font>
    <font>
      <sz val="11"/>
      <color theme="1"/>
      <name val="Calibri"/>
      <family val="2"/>
    </font>
    <font>
      <sz val="11"/>
      <color theme="1"/>
      <name val="Calibri"/>
      <family val="2"/>
      <scheme val="minor"/>
    </font>
    <font>
      <b/>
      <sz val="11"/>
      <color theme="0"/>
      <name val="Calibri"/>
      <family val="2"/>
      <scheme val="minor"/>
    </font>
    <font>
      <b/>
      <sz val="18"/>
      <color theme="3"/>
      <name val="Calibri Light"/>
      <family val="2"/>
      <scheme val="major"/>
    </font>
    <font>
      <b/>
      <u/>
      <sz val="11"/>
      <color theme="1"/>
      <name val="Calibri"/>
      <family val="2"/>
      <scheme val="minor"/>
    </font>
    <font>
      <b/>
      <vertAlign val="subscript"/>
      <sz val="11"/>
      <color theme="0"/>
      <name val="Calibri"/>
      <family val="2"/>
      <scheme val="minor"/>
    </font>
    <font>
      <i/>
      <sz val="11"/>
      <color theme="1"/>
      <name val="Calibri"/>
      <family val="2"/>
      <scheme val="minor"/>
    </font>
    <font>
      <b/>
      <i/>
      <sz val="11"/>
      <color theme="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49998474074526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9" fontId="10" fillId="0" borderId="0" applyFont="0" applyFill="0" applyBorder="0" applyAlignment="0" applyProtection="0"/>
  </cellStyleXfs>
  <cellXfs count="51">
    <xf numFmtId="0" fontId="0" fillId="0" borderId="0" xfId="0"/>
    <xf numFmtId="0" fontId="1" fillId="0" borderId="0" xfId="1"/>
    <xf numFmtId="0" fontId="0" fillId="0" borderId="0" xfId="0" applyAlignment="1">
      <alignment horizontal="center"/>
    </xf>
    <xf numFmtId="0" fontId="3" fillId="0" borderId="1" xfId="0" applyFont="1" applyBorder="1" applyAlignment="1">
      <alignment horizontal="center"/>
    </xf>
    <xf numFmtId="0" fontId="0" fillId="0" borderId="1" xfId="0" applyBorder="1" applyAlignment="1">
      <alignment horizontal="center"/>
    </xf>
    <xf numFmtId="0" fontId="0" fillId="2" borderId="1" xfId="0" applyFill="1" applyBorder="1" applyAlignment="1">
      <alignment horizontal="center"/>
    </xf>
    <xf numFmtId="164" fontId="0" fillId="0" borderId="0" xfId="0" applyNumberFormat="1" applyAlignment="1">
      <alignment horizontal="center"/>
    </xf>
    <xf numFmtId="0" fontId="5" fillId="3" borderId="1" xfId="0" applyFont="1" applyFill="1" applyBorder="1" applyAlignment="1">
      <alignment horizontal="center"/>
    </xf>
    <xf numFmtId="0" fontId="6" fillId="3" borderId="1" xfId="0" applyFont="1" applyFill="1" applyBorder="1" applyAlignment="1">
      <alignment horizontal="center"/>
    </xf>
    <xf numFmtId="164" fontId="6" fillId="3" borderId="1" xfId="0" applyNumberFormat="1" applyFont="1" applyFill="1" applyBorder="1" applyAlignment="1">
      <alignment horizontal="center"/>
    </xf>
    <xf numFmtId="0" fontId="4" fillId="0" borderId="0" xfId="0" applyFont="1" applyAlignment="1">
      <alignment horizontal="center"/>
    </xf>
    <xf numFmtId="0" fontId="3" fillId="0" borderId="0" xfId="0" applyFont="1" applyAlignment="1">
      <alignment horizontal="center"/>
    </xf>
    <xf numFmtId="0" fontId="7" fillId="3" borderId="2" xfId="0" applyFont="1" applyFill="1" applyBorder="1" applyAlignment="1">
      <alignment horizontal="center"/>
    </xf>
    <xf numFmtId="0" fontId="7" fillId="3" borderId="3" xfId="0" applyFont="1" applyFill="1" applyBorder="1"/>
    <xf numFmtId="0" fontId="0" fillId="0" borderId="5" xfId="0" applyBorder="1"/>
    <xf numFmtId="0" fontId="7" fillId="0" borderId="0" xfId="0" applyFont="1"/>
    <xf numFmtId="0" fontId="13" fillId="2" borderId="1" xfId="0" applyFont="1" applyFill="1" applyBorder="1" applyAlignment="1">
      <alignment horizontal="center"/>
    </xf>
    <xf numFmtId="2" fontId="5" fillId="0" borderId="1" xfId="0" applyNumberFormat="1" applyFont="1" applyBorder="1" applyAlignment="1">
      <alignment horizontal="center"/>
    </xf>
    <xf numFmtId="0" fontId="11" fillId="4" borderId="1" xfId="0" applyFont="1" applyFill="1" applyBorder="1" applyAlignment="1">
      <alignment horizontal="center"/>
    </xf>
    <xf numFmtId="2" fontId="6" fillId="0" borderId="1" xfId="0" applyNumberFormat="1" applyFont="1" applyBorder="1" applyAlignment="1">
      <alignment horizontal="center"/>
    </xf>
    <xf numFmtId="0" fontId="9" fillId="0" borderId="0" xfId="0" applyFont="1" applyAlignment="1">
      <alignment horizontal="center"/>
    </xf>
    <xf numFmtId="14" fontId="0" fillId="0" borderId="0" xfId="0" applyNumberFormat="1" applyAlignment="1">
      <alignment horizontal="center"/>
    </xf>
    <xf numFmtId="10" fontId="5" fillId="0" borderId="1" xfId="2" applyNumberFormat="1" applyFont="1" applyBorder="1" applyAlignment="1">
      <alignment horizontal="center"/>
    </xf>
    <xf numFmtId="164" fontId="15" fillId="3" borderId="1" xfId="0" applyNumberFormat="1" applyFont="1" applyFill="1" applyBorder="1" applyAlignment="1">
      <alignment horizontal="center"/>
    </xf>
    <xf numFmtId="0" fontId="15" fillId="0" borderId="0" xfId="0" applyFont="1" applyAlignment="1">
      <alignment horizontal="center"/>
    </xf>
    <xf numFmtId="0" fontId="6" fillId="0" borderId="0" xfId="0" applyFont="1" applyAlignment="1">
      <alignment horizontal="center"/>
    </xf>
    <xf numFmtId="2" fontId="6" fillId="0" borderId="0" xfId="0" applyNumberFormat="1" applyFont="1" applyAlignment="1">
      <alignment horizontal="center"/>
    </xf>
    <xf numFmtId="0" fontId="6" fillId="0" borderId="0" xfId="0" applyFont="1"/>
    <xf numFmtId="0" fontId="9" fillId="0" borderId="5" xfId="0" applyFont="1" applyBorder="1" applyAlignment="1">
      <alignment horizontal="center"/>
    </xf>
    <xf numFmtId="0" fontId="9" fillId="0" borderId="6" xfId="0" applyFont="1" applyBorder="1" applyAlignment="1">
      <alignment horizontal="center"/>
    </xf>
    <xf numFmtId="0" fontId="9" fillId="0" borderId="7" xfId="0"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1" xfId="0" applyBorder="1" applyAlignment="1">
      <alignment horizontal="center"/>
    </xf>
    <xf numFmtId="0" fontId="8" fillId="0" borderId="5" xfId="0" applyFont="1" applyBorder="1" applyAlignment="1">
      <alignment horizontal="left"/>
    </xf>
    <xf numFmtId="0" fontId="8" fillId="0" borderId="6" xfId="0" applyFont="1" applyBorder="1" applyAlignment="1">
      <alignment horizontal="left"/>
    </xf>
    <xf numFmtId="0" fontId="8" fillId="0" borderId="7" xfId="0" applyFont="1" applyBorder="1" applyAlignment="1">
      <alignment horizontal="left"/>
    </xf>
    <xf numFmtId="0" fontId="3" fillId="0" borderId="5" xfId="0" applyFont="1" applyBorder="1" applyAlignment="1">
      <alignment horizontal="left"/>
    </xf>
    <xf numFmtId="0" fontId="3" fillId="0" borderId="6" xfId="0" applyFont="1" applyBorder="1" applyAlignment="1">
      <alignment horizontal="left"/>
    </xf>
    <xf numFmtId="0" fontId="3" fillId="0" borderId="7" xfId="0" applyFont="1" applyBorder="1" applyAlignment="1">
      <alignment horizontal="left"/>
    </xf>
    <xf numFmtId="0" fontId="3" fillId="0" borderId="5" xfId="0" applyFont="1" applyBorder="1" applyAlignment="1">
      <alignment horizontal="center"/>
    </xf>
    <xf numFmtId="0" fontId="3" fillId="0" borderId="7" xfId="0" applyFont="1" applyBorder="1" applyAlignment="1">
      <alignment horizontal="center"/>
    </xf>
    <xf numFmtId="0" fontId="3" fillId="0" borderId="6" xfId="0" applyFont="1" applyBorder="1" applyAlignment="1">
      <alignment horizontal="center"/>
    </xf>
    <xf numFmtId="14" fontId="0" fillId="0" borderId="1" xfId="0" applyNumberFormat="1" applyBorder="1" applyAlignment="1">
      <alignment horizontal="center"/>
    </xf>
    <xf numFmtId="0" fontId="6" fillId="0" borderId="2" xfId="0" applyFont="1" applyBorder="1" applyAlignment="1">
      <alignment horizontal="center" vertical="center"/>
    </xf>
    <xf numFmtId="0" fontId="6" fillId="0" borderId="4" xfId="0" applyFont="1" applyBorder="1" applyAlignment="1">
      <alignment horizontal="center" vertical="center"/>
    </xf>
    <xf numFmtId="0" fontId="6" fillId="0" borderId="3" xfId="0" applyFont="1" applyBorder="1" applyAlignment="1">
      <alignment horizontal="center" vertical="center"/>
    </xf>
    <xf numFmtId="0" fontId="16" fillId="4" borderId="5" xfId="0" applyFont="1" applyFill="1" applyBorder="1" applyAlignment="1">
      <alignment horizontal="center"/>
    </xf>
    <xf numFmtId="0" fontId="16" fillId="4" borderId="7" xfId="0" applyFont="1" applyFill="1" applyBorder="1" applyAlignment="1">
      <alignment horizontal="center"/>
    </xf>
    <xf numFmtId="0" fontId="16" fillId="4" borderId="1" xfId="0" applyFont="1" applyFill="1" applyBorder="1" applyAlignment="1">
      <alignment horizontal="center"/>
    </xf>
  </cellXfs>
  <cellStyles count="3">
    <cellStyle name="Normale" xfId="0" builtinId="0"/>
    <cellStyle name="Percentuale" xfId="2" builtinId="5"/>
    <cellStyle name="Titolo" xfId="1" builtinId="15"/>
  </cellStyles>
  <dxfs count="26">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i/>
        <strike val="0"/>
        <outline val="0"/>
        <shadow val="0"/>
        <u val="none"/>
        <vertAlign val="baseline"/>
        <sz val="11"/>
        <color theme="0" tint="-0.499984740745262"/>
        <name val="Calibri"/>
        <family val="2"/>
        <scheme val="minor"/>
      </font>
      <numFmt numFmtId="2" formatCode="0.00"/>
      <alignment horizontal="center" vertical="bottom" textRotation="0" wrapText="0" indent="0" justifyLastLine="0" shrinkToFit="0" readingOrder="0"/>
    </dxf>
    <dxf>
      <font>
        <i/>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font>
        <i/>
        <strike val="0"/>
        <outline val="0"/>
        <shadow val="0"/>
        <u val="none"/>
        <vertAlign val="baseline"/>
        <sz val="11"/>
        <color theme="0" tint="-0.499984740745262"/>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i/>
      </font>
      <alignment horizontal="center" vertical="bottom" textRotation="0" wrapText="0" indent="0" justifyLastLine="0" shrinkToFit="0" readingOrder="0"/>
    </dxf>
    <dxf>
      <font>
        <i/>
      </font>
      <alignment horizontal="center" vertical="bottom" textRotation="0" wrapText="0" indent="0" justifyLastLine="0" shrinkToFit="0" readingOrder="0"/>
    </dxf>
    <dxf>
      <font>
        <i/>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harmonic!$O$4</c:f>
              <c:strCache>
                <c:ptCount val="1"/>
                <c:pt idx="0">
                  <c:v>load 1</c:v>
                </c:pt>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harmonic!$N$5</c:f>
              <c:numCache>
                <c:formatCode>General</c:formatCode>
                <c:ptCount val="1"/>
                <c:pt idx="0">
                  <c:v>1</c:v>
                </c:pt>
              </c:numCache>
            </c:numRef>
          </c:xVal>
          <c:yVal>
            <c:numRef>
              <c:f>harmonic!$O$5</c:f>
              <c:numCache>
                <c:formatCode>General</c:formatCode>
                <c:ptCount val="1"/>
              </c:numCache>
            </c:numRef>
          </c:yVal>
          <c:smooth val="0"/>
          <c:extLst>
            <c:ext xmlns:c16="http://schemas.microsoft.com/office/drawing/2014/chart" uri="{C3380CC4-5D6E-409C-BE32-E72D297353CC}">
              <c16:uniqueId val="{00000000-E774-4116-9EC2-9313CB44BDDE}"/>
            </c:ext>
          </c:extLst>
        </c:ser>
        <c:ser>
          <c:idx val="1"/>
          <c:order val="1"/>
          <c:tx>
            <c:strRef>
              <c:f>harmonic!$P$4</c:f>
              <c:strCache>
                <c:ptCount val="1"/>
                <c:pt idx="0">
                  <c:v>load 2</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harmonic!$N$5</c:f>
              <c:numCache>
                <c:formatCode>General</c:formatCode>
                <c:ptCount val="1"/>
                <c:pt idx="0">
                  <c:v>1</c:v>
                </c:pt>
              </c:numCache>
            </c:numRef>
          </c:xVal>
          <c:yVal>
            <c:numRef>
              <c:f>harmonic!$P$5</c:f>
              <c:numCache>
                <c:formatCode>General</c:formatCode>
                <c:ptCount val="1"/>
              </c:numCache>
            </c:numRef>
          </c:yVal>
          <c:smooth val="0"/>
          <c:extLst>
            <c:ext xmlns:c16="http://schemas.microsoft.com/office/drawing/2014/chart" uri="{C3380CC4-5D6E-409C-BE32-E72D297353CC}">
              <c16:uniqueId val="{00000001-E774-4116-9EC2-9313CB44BDDE}"/>
            </c:ext>
          </c:extLst>
        </c:ser>
        <c:ser>
          <c:idx val="2"/>
          <c:order val="2"/>
          <c:tx>
            <c:strRef>
              <c:f>harmonic!$Q$4</c:f>
              <c:strCache>
                <c:ptCount val="1"/>
                <c:pt idx="0">
                  <c:v>load 3</c:v>
                </c:pt>
              </c:strCache>
            </c:strRef>
          </c:tx>
          <c:spPr>
            <a:ln w="9525" cap="rnd">
              <a:solidFill>
                <a:schemeClr val="accent3"/>
              </a:solidFill>
              <a:round/>
            </a:ln>
            <a:effectLst>
              <a:outerShdw blurRad="57150" dist="19050" dir="5400000" algn="ctr" rotWithShape="0">
                <a:srgbClr val="000000">
                  <a:alpha val="63000"/>
                </a:srgbClr>
              </a:outerShdw>
            </a:effectLst>
          </c:spPr>
          <c:marker>
            <c:symbol val="none"/>
          </c:marker>
          <c:xVal>
            <c:numRef>
              <c:f>harmonic!$N$5</c:f>
              <c:numCache>
                <c:formatCode>General</c:formatCode>
                <c:ptCount val="1"/>
                <c:pt idx="0">
                  <c:v>1</c:v>
                </c:pt>
              </c:numCache>
            </c:numRef>
          </c:xVal>
          <c:yVal>
            <c:numRef>
              <c:f>harmonic!$Q$5</c:f>
              <c:numCache>
                <c:formatCode>General</c:formatCode>
                <c:ptCount val="1"/>
              </c:numCache>
            </c:numRef>
          </c:yVal>
          <c:smooth val="0"/>
          <c:extLst>
            <c:ext xmlns:c16="http://schemas.microsoft.com/office/drawing/2014/chart" uri="{C3380CC4-5D6E-409C-BE32-E72D297353CC}">
              <c16:uniqueId val="{00000002-E774-4116-9EC2-9313CB44BDDE}"/>
            </c:ext>
          </c:extLst>
        </c:ser>
        <c:ser>
          <c:idx val="3"/>
          <c:order val="3"/>
          <c:tx>
            <c:strRef>
              <c:f>harmonic!$R$4</c:f>
              <c:strCache>
                <c:ptCount val="1"/>
                <c:pt idx="0">
                  <c:v>envelope</c:v>
                </c:pt>
              </c:strCache>
            </c:strRef>
          </c:tx>
          <c:spPr>
            <a:ln w="9525" cap="rnd">
              <a:solidFill>
                <a:schemeClr val="accent4"/>
              </a:solidFill>
              <a:round/>
            </a:ln>
            <a:effectLst>
              <a:outerShdw blurRad="57150" dist="19050" dir="5400000" algn="ctr" rotWithShape="0">
                <a:srgbClr val="000000">
                  <a:alpha val="63000"/>
                </a:srgbClr>
              </a:outerShdw>
            </a:effectLst>
          </c:spPr>
          <c:marker>
            <c:symbol val="none"/>
          </c:marker>
          <c:xVal>
            <c:numRef>
              <c:f>harmonic!$N$5</c:f>
              <c:numCache>
                <c:formatCode>General</c:formatCode>
                <c:ptCount val="1"/>
                <c:pt idx="0">
                  <c:v>1</c:v>
                </c:pt>
              </c:numCache>
            </c:numRef>
          </c:xVal>
          <c:yVal>
            <c:numRef>
              <c:f>harmonic!$R$5</c:f>
              <c:numCache>
                <c:formatCode>General</c:formatCode>
                <c:ptCount val="1"/>
              </c:numCache>
            </c:numRef>
          </c:yVal>
          <c:smooth val="0"/>
          <c:extLst>
            <c:ext xmlns:c16="http://schemas.microsoft.com/office/drawing/2014/chart" uri="{C3380CC4-5D6E-409C-BE32-E72D297353CC}">
              <c16:uniqueId val="{00000003-E774-4116-9EC2-9313CB44BDDE}"/>
            </c:ext>
          </c:extLst>
        </c:ser>
        <c:dLbls>
          <c:showLegendKey val="0"/>
          <c:showVal val="0"/>
          <c:showCatName val="0"/>
          <c:showSerName val="0"/>
          <c:showPercent val="0"/>
          <c:showBubbleSize val="0"/>
        </c:dLbls>
        <c:axId val="878155327"/>
        <c:axId val="1947512831"/>
      </c:scatterChart>
      <c:valAx>
        <c:axId val="878155327"/>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r>
                  <a:rPr lang="it-IT" cap="none" baseline="0"/>
                  <a:t>n [rpm]</a:t>
                </a:r>
              </a:p>
            </c:rich>
          </c:tx>
          <c:overlay val="0"/>
          <c:spPr>
            <a:noFill/>
            <a:ln>
              <a:noFill/>
            </a:ln>
            <a:effectLst/>
          </c:spPr>
          <c:txPr>
            <a:bodyPr rot="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47512831"/>
        <c:crosses val="autoZero"/>
        <c:crossBetween val="midCat"/>
      </c:valAx>
      <c:valAx>
        <c:axId val="194751283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r>
                  <a:rPr lang="it-IT" cap="none" baseline="0"/>
                  <a:t>M [Nm]</a:t>
                </a:r>
              </a:p>
            </c:rich>
          </c:tx>
          <c:overlay val="0"/>
          <c:spPr>
            <a:noFill/>
            <a:ln>
              <a:noFill/>
            </a:ln>
            <a:effectLst/>
          </c:spPr>
          <c:txPr>
            <a:bodyPr rot="-540000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78155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line!$O$4</c:f>
              <c:strCache>
                <c:ptCount val="1"/>
                <c:pt idx="0">
                  <c:v>line</c:v>
                </c:pt>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line!$N$5</c:f>
              <c:numCache>
                <c:formatCode>General</c:formatCode>
                <c:ptCount val="1"/>
                <c:pt idx="0">
                  <c:v>1</c:v>
                </c:pt>
              </c:numCache>
            </c:numRef>
          </c:xVal>
          <c:yVal>
            <c:numRef>
              <c:f>line!$O$5</c:f>
              <c:numCache>
                <c:formatCode>General</c:formatCode>
                <c:ptCount val="1"/>
              </c:numCache>
            </c:numRef>
          </c:yVal>
          <c:smooth val="0"/>
          <c:extLst>
            <c:ext xmlns:c16="http://schemas.microsoft.com/office/drawing/2014/chart" uri="{C3380CC4-5D6E-409C-BE32-E72D297353CC}">
              <c16:uniqueId val="{00000000-F4E7-4AEB-9B94-11AC3D23A477}"/>
            </c:ext>
          </c:extLst>
        </c:ser>
        <c:dLbls>
          <c:showLegendKey val="0"/>
          <c:showVal val="0"/>
          <c:showCatName val="0"/>
          <c:showSerName val="0"/>
          <c:showPercent val="0"/>
          <c:showBubbleSize val="0"/>
        </c:dLbls>
        <c:axId val="878155327"/>
        <c:axId val="1947512831"/>
      </c:scatterChart>
      <c:valAx>
        <c:axId val="878155327"/>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r>
                  <a:rPr lang="it-IT" cap="none" baseline="0"/>
                  <a:t>f [Hz]</a:t>
                </a:r>
              </a:p>
            </c:rich>
          </c:tx>
          <c:overlay val="0"/>
          <c:spPr>
            <a:noFill/>
            <a:ln>
              <a:noFill/>
            </a:ln>
            <a:effectLst/>
          </c:spPr>
          <c:txPr>
            <a:bodyPr rot="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47512831"/>
        <c:crosses val="autoZero"/>
        <c:crossBetween val="midCat"/>
      </c:valAx>
      <c:valAx>
        <c:axId val="194751283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r>
                  <a:rPr lang="it-IT" cap="none" baseline="0"/>
                  <a:t>M [Nm]</a:t>
                </a:r>
              </a:p>
            </c:rich>
          </c:tx>
          <c:overlay val="0"/>
          <c:spPr>
            <a:noFill/>
            <a:ln>
              <a:noFill/>
            </a:ln>
            <a:effectLst/>
          </c:spPr>
          <c:txPr>
            <a:bodyPr rot="-540000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78155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linex2!$O$4</c:f>
              <c:strCache>
                <c:ptCount val="1"/>
                <c:pt idx="0">
                  <c:v>linex2</c:v>
                </c:pt>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linex2!$N$5</c:f>
              <c:numCache>
                <c:formatCode>General</c:formatCode>
                <c:ptCount val="1"/>
                <c:pt idx="0">
                  <c:v>1</c:v>
                </c:pt>
              </c:numCache>
            </c:numRef>
          </c:xVal>
          <c:yVal>
            <c:numRef>
              <c:f>linex2!$O$5</c:f>
              <c:numCache>
                <c:formatCode>General</c:formatCode>
                <c:ptCount val="1"/>
              </c:numCache>
            </c:numRef>
          </c:yVal>
          <c:smooth val="0"/>
          <c:extLst>
            <c:ext xmlns:c16="http://schemas.microsoft.com/office/drawing/2014/chart" uri="{C3380CC4-5D6E-409C-BE32-E72D297353CC}">
              <c16:uniqueId val="{00000000-5DB5-489E-BD82-21CC5076E4E3}"/>
            </c:ext>
          </c:extLst>
        </c:ser>
        <c:dLbls>
          <c:showLegendKey val="0"/>
          <c:showVal val="0"/>
          <c:showCatName val="0"/>
          <c:showSerName val="0"/>
          <c:showPercent val="0"/>
          <c:showBubbleSize val="0"/>
        </c:dLbls>
        <c:axId val="878155327"/>
        <c:axId val="1947512831"/>
      </c:scatterChart>
      <c:valAx>
        <c:axId val="878155327"/>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1" i="0" u="none" strike="noStrike" kern="1200" cap="none" baseline="0">
                    <a:solidFill>
                      <a:sysClr val="window" lastClr="FFFFFF">
                        <a:lumMod val="75000"/>
                      </a:sysClr>
                    </a:solidFill>
                    <a:latin typeface="+mn-lt"/>
                    <a:ea typeface="+mn-ea"/>
                    <a:cs typeface="+mn-cs"/>
                  </a:defRPr>
                </a:pPr>
                <a:r>
                  <a:rPr lang="it-IT" sz="900" b="1" i="0" u="none" strike="noStrike" kern="1200" cap="none" baseline="0">
                    <a:solidFill>
                      <a:sysClr val="window" lastClr="FFFFFF">
                        <a:lumMod val="75000"/>
                      </a:sysClr>
                    </a:solidFill>
                  </a:rPr>
                  <a:t>f [Hz]</a:t>
                </a:r>
                <a:endParaRPr lang="it-IT" cap="none" baseline="0"/>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1" i="0" u="none" strike="noStrike" kern="1200" cap="none" baseline="0">
                  <a:solidFill>
                    <a:sysClr val="window" lastClr="FFFFFF">
                      <a:lumMod val="7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47512831"/>
        <c:crosses val="autoZero"/>
        <c:crossBetween val="midCat"/>
      </c:valAx>
      <c:valAx>
        <c:axId val="194751283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r>
                  <a:rPr lang="it-IT" cap="none" baseline="0"/>
                  <a:t>M [Nm]</a:t>
                </a:r>
              </a:p>
            </c:rich>
          </c:tx>
          <c:overlay val="0"/>
          <c:spPr>
            <a:noFill/>
            <a:ln>
              <a:noFill/>
            </a:ln>
            <a:effectLst/>
          </c:spPr>
          <c:txPr>
            <a:bodyPr rot="-540000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78155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VFD!$O$4</c:f>
              <c:strCache>
                <c:ptCount val="1"/>
                <c:pt idx="0">
                  <c:v>VFD</c:v>
                </c:pt>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VFD!$N$5</c:f>
              <c:numCache>
                <c:formatCode>General</c:formatCode>
                <c:ptCount val="1"/>
                <c:pt idx="0">
                  <c:v>1</c:v>
                </c:pt>
              </c:numCache>
            </c:numRef>
          </c:xVal>
          <c:yVal>
            <c:numRef>
              <c:f>VFD!$O$5</c:f>
              <c:numCache>
                <c:formatCode>General</c:formatCode>
                <c:ptCount val="1"/>
              </c:numCache>
            </c:numRef>
          </c:yVal>
          <c:smooth val="0"/>
          <c:extLst>
            <c:ext xmlns:c16="http://schemas.microsoft.com/office/drawing/2014/chart" uri="{C3380CC4-5D6E-409C-BE32-E72D297353CC}">
              <c16:uniqueId val="{00000000-33FA-44A0-B65A-D37CACACF45C}"/>
            </c:ext>
          </c:extLst>
        </c:ser>
        <c:dLbls>
          <c:showLegendKey val="0"/>
          <c:showVal val="0"/>
          <c:showCatName val="0"/>
          <c:showSerName val="0"/>
          <c:showPercent val="0"/>
          <c:showBubbleSize val="0"/>
        </c:dLbls>
        <c:axId val="878155327"/>
        <c:axId val="1947512831"/>
      </c:scatterChart>
      <c:valAx>
        <c:axId val="878155327"/>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r>
                  <a:rPr lang="it-IT" sz="900" b="1" i="0" u="none" strike="noStrike" kern="1200" cap="none" baseline="0">
                    <a:solidFill>
                      <a:sysClr val="window" lastClr="FFFFFF">
                        <a:lumMod val="75000"/>
                      </a:sysClr>
                    </a:solidFill>
                  </a:rPr>
                  <a:t>f [Hz]</a:t>
                </a:r>
              </a:p>
            </c:rich>
          </c:tx>
          <c:overlay val="0"/>
          <c:spPr>
            <a:noFill/>
            <a:ln>
              <a:noFill/>
            </a:ln>
            <a:effectLst/>
          </c:spPr>
          <c:txPr>
            <a:bodyPr rot="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47512831"/>
        <c:crosses val="autoZero"/>
        <c:crossBetween val="midCat"/>
      </c:valAx>
      <c:valAx>
        <c:axId val="194751283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r>
                  <a:rPr lang="it-IT" cap="none" baseline="0"/>
                  <a:t>M [Nm]</a:t>
                </a:r>
              </a:p>
            </c:rich>
          </c:tx>
          <c:overlay val="0"/>
          <c:spPr>
            <a:noFill/>
            <a:ln>
              <a:noFill/>
            </a:ln>
            <a:effectLst/>
          </c:spPr>
          <c:txPr>
            <a:bodyPr rot="-5400000" spcFirstLastPara="1" vertOverflow="ellipsis" vert="horz" wrap="square" anchor="ctr" anchorCtr="1"/>
            <a:lstStyle/>
            <a:p>
              <a:pPr>
                <a:defRPr sz="900" b="1" i="0" u="none" strike="noStrike" kern="1200" cap="none"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78155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Radio" checked="Checked" firstButton="1" fmlaLink="$C$33" lockText="1"/>
</file>

<file path=xl/ctrlProps/ctrlProp9.xml><?xml version="1.0" encoding="utf-8"?>
<formControlPr xmlns="http://schemas.microsoft.com/office/spreadsheetml/2009/9/main" objectType="Radio"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13</xdr:col>
      <xdr:colOff>0</xdr:colOff>
      <xdr:row>29</xdr:row>
      <xdr:rowOff>0</xdr:rowOff>
    </xdr:to>
    <xdr:sp macro="" textlink="">
      <xdr:nvSpPr>
        <xdr:cNvPr id="3" name="TextBox 1">
          <a:extLst>
            <a:ext uri="{FF2B5EF4-FFF2-40B4-BE49-F238E27FC236}">
              <a16:creationId xmlns:a16="http://schemas.microsoft.com/office/drawing/2014/main" id="{00000000-0008-0000-0000-000003000000}"/>
            </a:ext>
          </a:extLst>
        </xdr:cNvPr>
        <xdr:cNvSpPr txBox="1"/>
      </xdr:nvSpPr>
      <xdr:spPr>
        <a:xfrm>
          <a:off x="180975" y="676275"/>
          <a:ext cx="7315200" cy="4953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INSTRUCTIONS</a:t>
          </a:r>
        </a:p>
        <a:p>
          <a:r>
            <a:rPr lang="en-US" sz="1100" b="0" u="none"/>
            <a:t>These worksheets elaborate the results</a:t>
          </a:r>
          <a:r>
            <a:rPr lang="en-US" sz="1100" b="0" u="none" baseline="0"/>
            <a:t> from torsional response frequency analysis calculated with MADYN2000 and perform a coupling verification.</a:t>
          </a:r>
        </a:p>
        <a:p>
          <a:r>
            <a:rPr lang="en-US" sz="1100" b="0" u="none" baseline="0"/>
            <a:t>Put in a local working directory with read/write permission:</a:t>
          </a:r>
        </a:p>
        <a:p>
          <a:r>
            <a:rPr lang="en-US" sz="1100" b="0" u="none" baseline="0"/>
            <a:t>1) this worksheet;</a:t>
          </a:r>
        </a:p>
        <a:p>
          <a:r>
            <a:rPr lang="en-US" sz="1100" b="0" u="none" baseline="0"/>
            <a:t>2) MOD408-Torsional_analysis-Shaft_Fatigue_Verification-Annex1-Compare_harmonics.py;</a:t>
          </a:r>
        </a:p>
        <a:p>
          <a:r>
            <a:rPr lang="en-US" sz="1100" b="0" u="none" baseline="0"/>
            <a:t>3) all the results files from Madyn2000.</a:t>
          </a:r>
        </a:p>
        <a:p>
          <a:endParaRPr lang="en-US" sz="1100" b="0" u="none" baseline="0"/>
        </a:p>
        <a:p>
          <a:r>
            <a:rPr lang="en-US" sz="1100" b="1" baseline="0">
              <a:solidFill>
                <a:schemeClr val="dk1"/>
              </a:solidFill>
              <a:effectLst/>
              <a:latin typeface="+mn-lt"/>
              <a:ea typeface="+mn-ea"/>
              <a:cs typeface="+mn-cs"/>
            </a:rPr>
            <a:t>Sheet "coupling"</a:t>
          </a:r>
          <a:endParaRPr lang="it-IT">
            <a:effectLst/>
          </a:endParaRPr>
        </a:p>
        <a:p>
          <a:r>
            <a:rPr lang="en-US" sz="1100" b="0" baseline="0">
              <a:solidFill>
                <a:schemeClr val="dk1"/>
              </a:solidFill>
              <a:effectLst/>
              <a:latin typeface="+mn-lt"/>
              <a:ea typeface="+mn-ea"/>
              <a:cs typeface="+mn-cs"/>
            </a:rPr>
            <a:t>Calculates and sums the alternating torque due to all excitations active in the system.</a:t>
          </a:r>
        </a:p>
        <a:p>
          <a:r>
            <a:rPr lang="en-US" sz="1100" b="0" baseline="0">
              <a:solidFill>
                <a:schemeClr val="dk1"/>
              </a:solidFill>
              <a:effectLst/>
              <a:latin typeface="+mn-lt"/>
              <a:ea typeface="+mn-ea"/>
              <a:cs typeface="+mn-cs"/>
            </a:rPr>
            <a:t>Evaluates the sum between the alternating torque stress and the medium torque stress and compare it with coupling allowable value.</a:t>
          </a:r>
        </a:p>
        <a:p>
          <a:endParaRPr lang="en-US" sz="1100" b="0"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Sheet "harmonic"</a:t>
          </a:r>
          <a:endParaRPr lang="it-IT">
            <a:effectLst/>
          </a:endParaRPr>
        </a:p>
        <a:p>
          <a:r>
            <a:rPr lang="en-US" sz="1100" b="0" baseline="0">
              <a:solidFill>
                <a:schemeClr val="dk1"/>
              </a:solidFill>
              <a:effectLst/>
              <a:latin typeface="+mn-lt"/>
              <a:ea typeface="+mn-ea"/>
              <a:cs typeface="+mn-cs"/>
            </a:rPr>
            <a:t>Creates a diagram with the envelope of torsional responses to all active harmonic excitations. Should be used if at least one critical speed due to harmonic excitation has an inadequate separation margin.</a:t>
          </a:r>
        </a:p>
        <a:p>
          <a:endParaRPr lang="en-US" sz="1100" b="0"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Sheet "line"</a:t>
          </a:r>
          <a:endParaRPr lang="it-IT">
            <a:effectLst/>
          </a:endParaRPr>
        </a:p>
        <a:p>
          <a:r>
            <a:rPr lang="en-US" sz="1100" b="0" baseline="0">
              <a:solidFill>
                <a:schemeClr val="dk1"/>
              </a:solidFill>
              <a:effectLst/>
              <a:latin typeface="+mn-lt"/>
              <a:ea typeface="+mn-ea"/>
              <a:cs typeface="+mn-cs"/>
            </a:rPr>
            <a:t>Creates a diagram with the peak responses to a torsional excitation due to motor line frequency. Should be used if line frequency excitation has an inadequate separation margin.</a:t>
          </a:r>
          <a:endParaRPr lang="it-IT">
            <a:effectLst/>
          </a:endParaRPr>
        </a:p>
        <a:p>
          <a:endParaRPr lang="en-US" sz="1100" b="0"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Sheet "linex2"</a:t>
          </a:r>
          <a:endParaRPr lang="it-IT">
            <a:effectLst/>
          </a:endParaRPr>
        </a:p>
        <a:p>
          <a:r>
            <a:rPr lang="en-US" sz="1100" b="0" baseline="0">
              <a:solidFill>
                <a:schemeClr val="dk1"/>
              </a:solidFill>
              <a:effectLst/>
              <a:latin typeface="+mn-lt"/>
              <a:ea typeface="+mn-ea"/>
              <a:cs typeface="+mn-cs"/>
            </a:rPr>
            <a:t>Creates a diagram with the peak responses to a torsional excitation due to motor twice the line frequency. Should be used if twce the line frequency excitation has an inadequate separation margin.</a:t>
          </a:r>
          <a:endParaRPr lang="it-IT">
            <a:effectLst/>
          </a:endParaRPr>
        </a:p>
        <a:p>
          <a:endParaRPr lang="it-IT">
            <a:effectLst/>
          </a:endParaRPr>
        </a:p>
        <a:p>
          <a:r>
            <a:rPr lang="en-US" sz="1100" b="1" baseline="0">
              <a:solidFill>
                <a:schemeClr val="dk1"/>
              </a:solidFill>
              <a:effectLst/>
              <a:latin typeface="+mn-lt"/>
              <a:ea typeface="+mn-ea"/>
              <a:cs typeface="+mn-cs"/>
            </a:rPr>
            <a:t>Sheet "VFD"</a:t>
          </a:r>
          <a:endParaRPr lang="it-IT">
            <a:effectLst/>
          </a:endParaRPr>
        </a:p>
        <a:p>
          <a:r>
            <a:rPr lang="en-US" sz="1100" b="0" baseline="0">
              <a:solidFill>
                <a:schemeClr val="dk1"/>
              </a:solidFill>
              <a:effectLst/>
              <a:latin typeface="+mn-lt"/>
              <a:ea typeface="+mn-ea"/>
              <a:cs typeface="+mn-cs"/>
            </a:rPr>
            <a:t>Creates a diagram with the the sum of peak responses to a torsional excitation due to VFD. Should be used if a </a:t>
          </a:r>
          <a:r>
            <a:rPr lang="it-IT" sz="1100" i="1">
              <a:solidFill>
                <a:schemeClr val="dk1"/>
              </a:solidFill>
              <a:effectLst/>
              <a:latin typeface="+mn-lt"/>
              <a:ea typeface="+mn-ea"/>
              <a:cs typeface="+mn-cs"/>
            </a:rPr>
            <a:t>Impressed voltage converter </a:t>
          </a:r>
          <a:r>
            <a:rPr lang="en-US" sz="1100" b="0" baseline="0">
              <a:solidFill>
                <a:schemeClr val="dk1"/>
              </a:solidFill>
              <a:effectLst/>
              <a:latin typeface="+mn-lt"/>
              <a:ea typeface="+mn-ea"/>
              <a:cs typeface="+mn-cs"/>
            </a:rPr>
            <a:t>VFD is included in the torsional train.</a:t>
          </a:r>
          <a:endParaRPr lang="it-IT">
            <a:effectLst/>
          </a:endParaRPr>
        </a:p>
        <a:p>
          <a:endParaRPr lang="it-IT">
            <a:effectLst/>
          </a:endParaRPr>
        </a:p>
        <a:p>
          <a:endParaRPr lang="it-IT">
            <a:effectLst/>
          </a:endParaRPr>
        </a:p>
        <a:p>
          <a:endParaRPr lang="en-US" sz="1100" b="0" u="none"/>
        </a:p>
      </xdr:txBody>
    </xdr:sp>
    <xdr:clientData/>
  </xdr:twoCellAnchor>
  <xdr:twoCellAnchor>
    <xdr:from>
      <xdr:col>14</xdr:col>
      <xdr:colOff>0</xdr:colOff>
      <xdr:row>10</xdr:row>
      <xdr:rowOff>190499</xdr:rowOff>
    </xdr:from>
    <xdr:to>
      <xdr:col>29</xdr:col>
      <xdr:colOff>0</xdr:colOff>
      <xdr:row>29</xdr:row>
      <xdr:rowOff>0</xdr:rowOff>
    </xdr:to>
    <xdr:sp macro="" textlink="">
      <xdr:nvSpPr>
        <xdr:cNvPr id="4" name="TextBox 1">
          <a:extLst>
            <a:ext uri="{FF2B5EF4-FFF2-40B4-BE49-F238E27FC236}">
              <a16:creationId xmlns:a16="http://schemas.microsoft.com/office/drawing/2014/main" id="{00000000-0008-0000-0000-000004000000}"/>
            </a:ext>
          </a:extLst>
        </xdr:cNvPr>
        <xdr:cNvSpPr txBox="1"/>
      </xdr:nvSpPr>
      <xdr:spPr>
        <a:xfrm>
          <a:off x="7677150" y="2200274"/>
          <a:ext cx="9144000" cy="34290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sng"/>
            <a:t>NOTE FOR HARMONIC</a:t>
          </a:r>
          <a:r>
            <a:rPr lang="en-US" sz="1100" b="1" i="0" u="sng" baseline="0"/>
            <a:t> EXCITATIONS</a:t>
          </a:r>
          <a:endParaRPr lang="en-US" sz="1100" b="0" u="none"/>
        </a:p>
        <a:p>
          <a:r>
            <a:rPr lang="en-US" sz="1100" b="0" u="none"/>
            <a:t>If</a:t>
          </a:r>
          <a:r>
            <a:rPr lang="en-US" sz="1100" b="0" u="none" baseline="0"/>
            <a:t> the same harmonic excitation order intersect two or more torsional natural frequencies in the range of unacceptability, the envelope of maximum responses of all these excitations should be considered in the fatigue analysis instead of all single contribution.</a:t>
          </a:r>
        </a:p>
        <a:p>
          <a:r>
            <a:rPr lang="en-US" sz="1100" b="0" u="none" baseline="0"/>
            <a:t>To assolve this task a python module has been created.</a:t>
          </a:r>
        </a:p>
        <a:p>
          <a:endParaRPr lang="en-US" sz="1100" b="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u="sng">
              <a:solidFill>
                <a:schemeClr val="dk1"/>
              </a:solidFill>
              <a:effectLst/>
              <a:latin typeface="+mn-lt"/>
              <a:ea typeface="+mn-ea"/>
              <a:cs typeface="+mn-cs"/>
            </a:rPr>
            <a:t>INSTRUCTIONS FOR PYTHON MODULE</a:t>
          </a:r>
          <a:endParaRPr lang="it-IT">
            <a:effectLst/>
          </a:endParaRPr>
        </a:p>
        <a:p>
          <a:r>
            <a:rPr lang="en-US" sz="1100" b="0" u="none"/>
            <a:t>1) Create</a:t>
          </a:r>
          <a:r>
            <a:rPr lang="en-US" sz="1100" b="0" u="none" baseline="0"/>
            <a:t> a text file called "input.txt" with this format (do not change line order):</a:t>
          </a:r>
        </a:p>
        <a:p>
          <a:r>
            <a:rPr lang="en-US" sz="1100" b="0" u="none" baseline="0"/>
            <a:t># Output file name</a:t>
          </a:r>
        </a:p>
        <a:p>
          <a:r>
            <a:rPr lang="en-US" sz="1100" b="0" u="none" baseline="0"/>
            <a:t>file.txt</a:t>
          </a:r>
        </a:p>
        <a:p>
          <a:r>
            <a:rPr lang="en-US" sz="1100" b="0" u="none" baseline="0"/>
            <a:t># Input file list</a:t>
          </a:r>
        </a:p>
        <a:p>
          <a:r>
            <a:rPr lang="en-US" sz="1100" b="0" u="none" baseline="0"/>
            <a:t>first file.txt</a:t>
          </a:r>
        </a:p>
        <a:p>
          <a:r>
            <a:rPr lang="en-US" sz="1100" b="0" u="none" baseline="0"/>
            <a:t>second file.txt</a:t>
          </a:r>
        </a:p>
        <a:p>
          <a:r>
            <a:rPr lang="en-US" sz="1100" b="0" u="none" baseline="0"/>
            <a:t>third file.txt</a:t>
          </a:r>
        </a:p>
        <a:p>
          <a:r>
            <a:rPr lang="en-US" sz="1100" b="0" u="none" baseline="0"/>
            <a:t>...</a:t>
          </a:r>
          <a:endParaRPr lang="it-IT">
            <a:effectLst/>
          </a:endParaRPr>
        </a:p>
        <a:p>
          <a:r>
            <a:rPr lang="it-IT">
              <a:effectLst/>
            </a:rPr>
            <a:t>2) </a:t>
          </a:r>
          <a:r>
            <a:rPr lang="it-IT" baseline="0">
              <a:effectLst/>
            </a:rPr>
            <a:t>Go to "Start" in windows and digit "Anaconda Prompt".</a:t>
          </a:r>
        </a:p>
        <a:p>
          <a:r>
            <a:rPr lang="it-IT" baseline="0">
              <a:effectLst/>
            </a:rPr>
            <a:t>3) In anaconda prompt window, go to the working directory using dos commands (cd, cd.., etc...).</a:t>
          </a:r>
        </a:p>
        <a:p>
          <a:r>
            <a:rPr lang="it-IT" baseline="0">
              <a:effectLst/>
            </a:rPr>
            <a:t>4) </a:t>
          </a:r>
          <a:r>
            <a:rPr lang="it-IT" sz="1100" baseline="0">
              <a:solidFill>
                <a:schemeClr val="dk1"/>
              </a:solidFill>
              <a:effectLst/>
              <a:latin typeface="+mn-lt"/>
              <a:ea typeface="+mn-ea"/>
              <a:cs typeface="+mn-cs"/>
            </a:rPr>
            <a:t>In anaconda prompt window, digit "python MOD408-Torsional_analysis-Shaft_Fatigue_Verification-Annex1-Compare_harmonics.py" and press enter.</a:t>
          </a:r>
        </a:p>
        <a:p>
          <a:r>
            <a:rPr lang="it-IT" sz="1100" baseline="0">
              <a:solidFill>
                <a:schemeClr val="dk1"/>
              </a:solidFill>
              <a:effectLst/>
              <a:latin typeface="+mn-lt"/>
              <a:ea typeface="+mn-ea"/>
              <a:cs typeface="+mn-cs"/>
            </a:rPr>
            <a:t>5) In the working directory there will be a result file called as defined in the first step</a:t>
          </a:r>
        </a:p>
        <a:p>
          <a:r>
            <a:rPr lang="it-IT" sz="1100" baseline="0">
              <a:solidFill>
                <a:schemeClr val="dk1"/>
              </a:solidFill>
              <a:effectLst/>
              <a:latin typeface="+mn-lt"/>
              <a:ea typeface="+mn-ea"/>
              <a:cs typeface="+mn-cs"/>
            </a:rPr>
            <a:t>6) Use only this file for the fatigue  verification procedure instead of all the other files used in the python module.</a:t>
          </a:r>
          <a:endParaRPr lang="it-IT">
            <a:effectLst/>
          </a:endParaRPr>
        </a:p>
        <a:p>
          <a:endParaRPr lang="it-IT">
            <a:effectLst/>
          </a:endParaRPr>
        </a:p>
        <a:p>
          <a:endParaRPr lang="en-US" sz="1100" b="0" u="none"/>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0</xdr:colOff>
          <xdr:row>20</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STEP0: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0</xdr:colOff>
          <xdr:row>22</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STEP1: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0</xdr:colOff>
          <xdr:row>24</xdr:row>
          <xdr:rowOff>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STEP2:  read natural freq.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0</xdr:colOff>
          <xdr:row>26</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STEP3:  harmonic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2</xdr:col>
          <xdr:colOff>0</xdr:colOff>
          <xdr:row>28</xdr:row>
          <xdr:rowOff>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STEP4:  line freq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28</xdr:row>
          <xdr:rowOff>0</xdr:rowOff>
        </xdr:from>
        <xdr:to>
          <xdr:col>2</xdr:col>
          <xdr:colOff>0</xdr:colOff>
          <xdr:row>30</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100-00000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STEP5:  2 x line freq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2</xdr:col>
          <xdr:colOff>0</xdr:colOff>
          <xdr:row>32</xdr:row>
          <xdr:rowOff>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1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STEP6:  VFD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2</xdr:col>
          <xdr:colOff>0</xdr:colOff>
          <xdr:row>33</xdr:row>
          <xdr:rowOff>0</xdr:rowOff>
        </xdr:to>
        <xdr:sp macro="" textlink="">
          <xdr:nvSpPr>
            <xdr:cNvPr id="5135" name="Option Button 15" hidden="1">
              <a:extLst>
                <a:ext uri="{63B3BB69-23CF-44E3-9099-C40C66FF867C}">
                  <a14:compatExt spid="_x0000_s5135"/>
                </a:ext>
                <a:ext uri="{FF2B5EF4-FFF2-40B4-BE49-F238E27FC236}">
                  <a16:creationId xmlns:a16="http://schemas.microsoft.com/office/drawing/2014/main" id="{00000000-0008-0000-01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Segoe UI"/>
                  <a:cs typeface="Segoe UI"/>
                </a:rPr>
                <a:t>Left side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0</xdr:rowOff>
        </xdr:from>
        <xdr:to>
          <xdr:col>2</xdr:col>
          <xdr:colOff>0</xdr:colOff>
          <xdr:row>34</xdr:row>
          <xdr:rowOff>0</xdr:rowOff>
        </xdr:to>
        <xdr:sp macro="" textlink="">
          <xdr:nvSpPr>
            <xdr:cNvPr id="5136" name="Option Button 16" hidden="1">
              <a:extLst>
                <a:ext uri="{63B3BB69-23CF-44E3-9099-C40C66FF867C}">
                  <a14:compatExt spid="_x0000_s5136"/>
                </a:ext>
                <a:ext uri="{FF2B5EF4-FFF2-40B4-BE49-F238E27FC236}">
                  <a16:creationId xmlns:a16="http://schemas.microsoft.com/office/drawing/2014/main" id="{00000000-0008-0000-01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Segoe UI"/>
                  <a:cs typeface="Segoe UI"/>
                </a:rPr>
                <a:t>Right side</a:t>
              </a:r>
            </a:p>
          </xdr:txBody>
        </xdr:sp>
        <xdr:clientData/>
      </xdr:twoCellAnchor>
    </mc:Choice>
    <mc:Fallback/>
  </mc:AlternateContent>
  <xdr:twoCellAnchor>
    <xdr:from>
      <xdr:col>10</xdr:col>
      <xdr:colOff>0</xdr:colOff>
      <xdr:row>7</xdr:row>
      <xdr:rowOff>0</xdr:rowOff>
    </xdr:from>
    <xdr:to>
      <xdr:col>17</xdr:col>
      <xdr:colOff>0</xdr:colOff>
      <xdr:row>23</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486775" y="1514475"/>
          <a:ext cx="4867275" cy="3314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INSTRUCTIONS</a:t>
          </a:r>
        </a:p>
        <a:p>
          <a:r>
            <a:rPr lang="en-US" sz="1100" b="0" u="none"/>
            <a:t>Compile input cells data from</a:t>
          </a:r>
          <a:r>
            <a:rPr lang="en-US" sz="1100" b="0" u="none" baseline="0"/>
            <a:t> the coupling:</a:t>
          </a:r>
        </a:p>
        <a:p>
          <a:r>
            <a:rPr lang="en-US" sz="1100" b="0" u="none" baseline="0"/>
            <a:t>1) P (nominal power) </a:t>
          </a:r>
        </a:p>
        <a:p>
          <a:pPr marL="0" marR="0" lvl="0" indent="0" defTabSz="914400" eaLnBrk="1" fontAlgn="auto" latinLnBrk="0" hangingPunct="1">
            <a:lnSpc>
              <a:spcPct val="100000"/>
            </a:lnSpc>
            <a:spcBef>
              <a:spcPts val="0"/>
            </a:spcBef>
            <a:spcAft>
              <a:spcPts val="0"/>
            </a:spcAft>
            <a:buClrTx/>
            <a:buSzTx/>
            <a:buFontTx/>
            <a:buNone/>
            <a:tabLst/>
            <a:defRPr/>
          </a:pPr>
          <a:r>
            <a:rPr lang="en-US" sz="1100" b="0" u="none" baseline="0"/>
            <a:t>2) n</a:t>
          </a:r>
          <a:r>
            <a:rPr lang="en-US" sz="1100" b="0" u="none" baseline="-25000"/>
            <a:t>nom</a:t>
          </a:r>
          <a:r>
            <a:rPr lang="en-US" sz="1100" b="0" u="none" baseline="0"/>
            <a:t> (nominal speed)</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f</a:t>
          </a:r>
          <a:r>
            <a:rPr lang="en-US" sz="1100" b="0" baseline="-25000">
              <a:solidFill>
                <a:schemeClr val="dk1"/>
              </a:solidFill>
              <a:effectLst/>
              <a:latin typeface="+mn-lt"/>
              <a:ea typeface="+mn-ea"/>
              <a:cs typeface="+mn-cs"/>
            </a:rPr>
            <a:t>line</a:t>
          </a:r>
          <a:r>
            <a:rPr lang="en-US" sz="1100" b="0" baseline="0">
              <a:solidFill>
                <a:schemeClr val="dk1"/>
              </a:solidFill>
              <a:effectLst/>
              <a:latin typeface="+mn-lt"/>
              <a:ea typeface="+mn-ea"/>
              <a:cs typeface="+mn-cs"/>
            </a:rPr>
            <a:t> (line frequency)</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4) N (number of cycles)</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5) </a:t>
          </a:r>
          <a:r>
            <a:rPr lang="it-IT" sz="1100" b="0" baseline="0">
              <a:solidFill>
                <a:schemeClr val="dk1"/>
              </a:solidFill>
              <a:effectLst/>
              <a:latin typeface="+mn-lt"/>
              <a:ea typeface="+mn-ea"/>
              <a:cs typeface="+mn-cs"/>
            </a:rPr>
            <a:t>damping ratio</a:t>
          </a:r>
          <a:endParaRPr lang="en-US" sz="1100" b="0" i="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6) separation margin</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7) select coupling side </a:t>
          </a:r>
          <a:r>
            <a:rPr lang="en-US" sz="1100" b="0" i="1" baseline="0">
              <a:solidFill>
                <a:schemeClr val="dk1"/>
              </a:solidFill>
              <a:effectLst/>
              <a:latin typeface="+mn-lt"/>
              <a:ea typeface="+mn-ea"/>
              <a:cs typeface="+mn-cs"/>
            </a:rPr>
            <a:t>(left/right)</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8) press "STEP0: reset" button</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9) </a:t>
          </a:r>
          <a:r>
            <a:rPr lang="en-US" sz="1100" b="0" baseline="0">
              <a:solidFill>
                <a:schemeClr val="dk1"/>
              </a:solidFill>
              <a:effectLst/>
              <a:latin typeface="+mn-lt"/>
              <a:ea typeface="+mn-ea"/>
              <a:cs typeface="+mn-cs"/>
            </a:rPr>
            <a:t>compile </a:t>
          </a:r>
          <a:r>
            <a:rPr lang="en-US" sz="1100" b="1" baseline="0">
              <a:solidFill>
                <a:schemeClr val="dk1"/>
              </a:solidFill>
              <a:effectLst/>
              <a:latin typeface="+mn-lt"/>
              <a:ea typeface="+mn-ea"/>
              <a:cs typeface="+mn-cs"/>
            </a:rPr>
            <a:t>description/file name </a:t>
          </a:r>
          <a:r>
            <a:rPr lang="en-US" sz="1100" b="0" baseline="0">
              <a:solidFill>
                <a:schemeClr val="dk1"/>
              </a:solidFill>
              <a:effectLst/>
              <a:latin typeface="+mn-lt"/>
              <a:ea typeface="+mn-ea"/>
              <a:cs typeface="+mn-cs"/>
            </a:rPr>
            <a:t>table</a:t>
          </a:r>
          <a:endParaRPr lang="en-US" sz="1100" b="0" i="0" baseline="0">
            <a:solidFill>
              <a:schemeClr val="dk1"/>
            </a:solidFill>
            <a:effectLst/>
            <a:latin typeface="+mn-lt"/>
            <a:ea typeface="+mn-ea"/>
            <a:cs typeface="+mn-cs"/>
          </a:endParaRPr>
        </a:p>
        <a:p>
          <a:pPr eaLnBrk="1" fontAlgn="auto" latinLnBrk="0" hangingPunct="1"/>
          <a:r>
            <a:rPr lang="en-US" sz="1100" b="0" i="0" baseline="0">
              <a:solidFill>
                <a:schemeClr val="dk1"/>
              </a:solidFill>
              <a:effectLst/>
              <a:latin typeface="+mn-lt"/>
              <a:ea typeface="+mn-ea"/>
              <a:cs typeface="+mn-cs"/>
            </a:rPr>
            <a:t>10) press "STEP1: dimension" button</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11) press "STEP2: read natural" button</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12) press "STEP3: harmonic" button (optional) --&gt; T</a:t>
          </a:r>
          <a:r>
            <a:rPr lang="en-US" sz="1100" b="0" i="0" baseline="-25000">
              <a:solidFill>
                <a:schemeClr val="dk1"/>
              </a:solidFill>
              <a:effectLst/>
              <a:latin typeface="+mn-lt"/>
              <a:ea typeface="+mn-ea"/>
              <a:cs typeface="+mn-cs"/>
            </a:rPr>
            <a:t>har</a:t>
          </a:r>
          <a:r>
            <a:rPr lang="en-US" sz="1100" b="0" i="0" baseline="0">
              <a:solidFill>
                <a:schemeClr val="dk1"/>
              </a:solidFill>
              <a:effectLst/>
              <a:latin typeface="+mn-lt"/>
              <a:ea typeface="+mn-ea"/>
              <a:cs typeface="+mn-cs"/>
            </a:rPr>
            <a:t> is calculated</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13) press "STEP4: line freq" button (optional) --&gt; T</a:t>
          </a:r>
          <a:r>
            <a:rPr lang="en-US" sz="1100" b="0" i="0" baseline="-25000">
              <a:solidFill>
                <a:schemeClr val="dk1"/>
              </a:solidFill>
              <a:effectLst/>
              <a:latin typeface="+mn-lt"/>
              <a:ea typeface="+mn-ea"/>
              <a:cs typeface="+mn-cs"/>
            </a:rPr>
            <a:t>line</a:t>
          </a:r>
          <a:r>
            <a:rPr lang="en-US" sz="1100" b="0" i="0" baseline="0">
              <a:solidFill>
                <a:schemeClr val="dk1"/>
              </a:solidFill>
              <a:effectLst/>
              <a:latin typeface="+mn-lt"/>
              <a:ea typeface="+mn-ea"/>
              <a:cs typeface="+mn-cs"/>
            </a:rPr>
            <a:t> is calculated</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14) press "STEP5: 2 x line freq" button (optional) --&gt; T</a:t>
          </a:r>
          <a:r>
            <a:rPr lang="en-US" sz="1100" b="0" i="0" baseline="-25000">
              <a:solidFill>
                <a:schemeClr val="dk1"/>
              </a:solidFill>
              <a:effectLst/>
              <a:latin typeface="+mn-lt"/>
              <a:ea typeface="+mn-ea"/>
              <a:cs typeface="+mn-cs"/>
            </a:rPr>
            <a:t>2 x line</a:t>
          </a:r>
          <a:r>
            <a:rPr lang="en-US" sz="1100" b="0" i="0" baseline="0">
              <a:solidFill>
                <a:schemeClr val="dk1"/>
              </a:solidFill>
              <a:effectLst/>
              <a:latin typeface="+mn-lt"/>
              <a:ea typeface="+mn-ea"/>
              <a:cs typeface="+mn-cs"/>
            </a:rPr>
            <a:t> is calculated</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15) press "STEP6: VFD" button (optional)--&gt; T</a:t>
          </a:r>
          <a:r>
            <a:rPr lang="en-US" sz="1100" b="0" i="0" baseline="-25000">
              <a:solidFill>
                <a:schemeClr val="dk1"/>
              </a:solidFill>
              <a:effectLst/>
              <a:latin typeface="+mn-lt"/>
              <a:ea typeface="+mn-ea"/>
              <a:cs typeface="+mn-cs"/>
            </a:rPr>
            <a:t>VFD</a:t>
          </a:r>
          <a:r>
            <a:rPr lang="en-US" sz="1100" b="0" i="0" baseline="0">
              <a:solidFill>
                <a:schemeClr val="dk1"/>
              </a:solidFill>
              <a:effectLst/>
              <a:latin typeface="+mn-lt"/>
              <a:ea typeface="+mn-ea"/>
              <a:cs typeface="+mn-cs"/>
            </a:rPr>
            <a:t> is calculated</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16) if T</a:t>
          </a:r>
          <a:r>
            <a:rPr lang="en-US" sz="1100" b="0" i="0" baseline="-25000">
              <a:solidFill>
                <a:schemeClr val="dk1"/>
              </a:solidFill>
              <a:effectLst/>
              <a:latin typeface="+mn-lt"/>
              <a:ea typeface="+mn-ea"/>
              <a:cs typeface="+mn-cs"/>
            </a:rPr>
            <a:t>m</a:t>
          </a:r>
          <a:r>
            <a:rPr lang="en-US" sz="1100" b="0" i="0" baseline="0">
              <a:solidFill>
                <a:schemeClr val="dk1"/>
              </a:solidFill>
              <a:effectLst/>
              <a:latin typeface="+mn-lt"/>
              <a:ea typeface="+mn-ea"/>
              <a:cs typeface="+mn-cs"/>
            </a:rPr>
            <a:t> + T</a:t>
          </a:r>
          <a:r>
            <a:rPr lang="en-US" sz="1100" b="0" i="0" baseline="-25000">
              <a:solidFill>
                <a:schemeClr val="dk1"/>
              </a:solidFill>
              <a:effectLst/>
              <a:latin typeface="+mn-lt"/>
              <a:ea typeface="+mn-ea"/>
              <a:cs typeface="+mn-cs"/>
            </a:rPr>
            <a:t>a</a:t>
          </a:r>
          <a:r>
            <a:rPr lang="en-US" sz="1100" b="0" i="0" baseline="0">
              <a:solidFill>
                <a:schemeClr val="dk1"/>
              </a:solidFill>
              <a:effectLst/>
              <a:latin typeface="+mn-lt"/>
              <a:ea typeface="+mn-ea"/>
              <a:cs typeface="+mn-cs"/>
            </a:rPr>
            <a:t> is greater than T</a:t>
          </a:r>
          <a:r>
            <a:rPr lang="en-US" sz="1100" b="0" i="0" baseline="-25000">
              <a:solidFill>
                <a:schemeClr val="dk1"/>
              </a:solidFill>
              <a:effectLst/>
              <a:latin typeface="+mn-lt"/>
              <a:ea typeface="+mn-ea"/>
              <a:cs typeface="+mn-cs"/>
            </a:rPr>
            <a:t>limit</a:t>
          </a:r>
          <a:r>
            <a:rPr lang="en-US" sz="1100" b="0" i="0" baseline="0">
              <a:solidFill>
                <a:schemeClr val="dk1"/>
              </a:solidFill>
              <a:effectLst/>
              <a:latin typeface="+mn-lt"/>
              <a:ea typeface="+mn-ea"/>
              <a:cs typeface="+mn-cs"/>
            </a:rPr>
            <a:t> the coupling is not verified</a:t>
          </a: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eaLnBrk="1" fontAlgn="auto" latinLnBrk="0" hangingPunct="1"/>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endParaRPr lang="en-US" sz="1100" b="0" u="none" baseline="0"/>
        </a:p>
        <a:p>
          <a:endParaRPr lang="it-IT">
            <a:effectLst/>
          </a:endParaRPr>
        </a:p>
        <a:p>
          <a:endParaRPr lang="it-IT">
            <a:effectLst/>
          </a:endParaRPr>
        </a:p>
        <a:p>
          <a:endParaRPr lang="it-IT">
            <a:effectLst/>
          </a:endParaRPr>
        </a:p>
        <a:p>
          <a:endParaRPr lang="en-US" sz="1100" b="0" u="none"/>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3</xdr:row>
      <xdr:rowOff>0</xdr:rowOff>
    </xdr:from>
    <xdr:to>
      <xdr:col>12</xdr:col>
      <xdr:colOff>0</xdr:colOff>
      <xdr:row>24</xdr:row>
      <xdr:rowOff>0</xdr:rowOff>
    </xdr:to>
    <xdr:graphicFrame macro="">
      <xdr:nvGraphicFramePr>
        <xdr:cNvPr id="2" name="Grafico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0</xdr:colOff>
          <xdr:row>26</xdr:row>
          <xdr:rowOff>0</xdr:rowOff>
        </xdr:from>
        <xdr:to>
          <xdr:col>6</xdr:col>
          <xdr:colOff>0</xdr:colOff>
          <xdr:row>28</xdr:row>
          <xdr:rowOff>190500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autoscale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26</xdr:row>
          <xdr:rowOff>0</xdr:rowOff>
        </xdr:from>
        <xdr:to>
          <xdr:col>8</xdr:col>
          <xdr:colOff>0</xdr:colOff>
          <xdr:row>29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manual</a:t>
              </a:r>
            </a:p>
          </xdr:txBody>
        </xdr:sp>
        <xdr:clientData fPrintsWithSheet="0"/>
      </xdr:twoCellAnchor>
    </mc:Choice>
    <mc:Fallback/>
  </mc:AlternateContent>
  <xdr:twoCellAnchor>
    <xdr:from>
      <xdr:col>19</xdr:col>
      <xdr:colOff>0</xdr:colOff>
      <xdr:row>8</xdr:row>
      <xdr:rowOff>0</xdr:rowOff>
    </xdr:from>
    <xdr:to>
      <xdr:col>25</xdr:col>
      <xdr:colOff>295275</xdr:colOff>
      <xdr:row>13</xdr:row>
      <xdr:rowOff>0</xdr:rowOff>
    </xdr:to>
    <xdr:sp macro="" textlink="">
      <xdr:nvSpPr>
        <xdr:cNvPr id="3" name="TextBox 1">
          <a:extLst>
            <a:ext uri="{FF2B5EF4-FFF2-40B4-BE49-F238E27FC236}">
              <a16:creationId xmlns:a16="http://schemas.microsoft.com/office/drawing/2014/main" id="{00000000-0008-0000-0200-000003000000}"/>
            </a:ext>
          </a:extLst>
        </xdr:cNvPr>
        <xdr:cNvSpPr txBox="1"/>
      </xdr:nvSpPr>
      <xdr:spPr>
        <a:xfrm>
          <a:off x="10496550" y="1628775"/>
          <a:ext cx="4552950" cy="952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INSTRUCTIONS</a:t>
          </a:r>
        </a:p>
        <a:p>
          <a:pPr eaLnBrk="1" fontAlgn="auto" latinLnBrk="0" hangingPunct="1"/>
          <a:r>
            <a:rPr lang="en-US" sz="1100" b="0" baseline="0">
              <a:solidFill>
                <a:schemeClr val="dk1"/>
              </a:solidFill>
              <a:effectLst/>
              <a:latin typeface="+mn-lt"/>
              <a:ea typeface="+mn-ea"/>
              <a:cs typeface="+mn-cs"/>
            </a:rPr>
            <a:t>1) press "autoscale" button to define automatically speed range in the graph</a:t>
          </a:r>
          <a:endParaRPr lang="it-IT">
            <a:effectLst/>
          </a:endParaRPr>
        </a:p>
        <a:p>
          <a:r>
            <a:rPr lang="en-US" sz="1100" b="0" baseline="0">
              <a:solidFill>
                <a:schemeClr val="dk1"/>
              </a:solidFill>
              <a:effectLst/>
              <a:latin typeface="+mn-lt"/>
              <a:ea typeface="+mn-ea"/>
              <a:cs typeface="+mn-cs"/>
            </a:rPr>
            <a:t>2) press "manual" button to define manually speed range in the graph</a:t>
          </a: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insert </a:t>
          </a:r>
          <a:r>
            <a:rPr lang="it-IT" sz="1100" b="0" baseline="0">
              <a:solidFill>
                <a:schemeClr val="dk1"/>
              </a:solidFill>
              <a:effectLst/>
              <a:latin typeface="+mn-lt"/>
              <a:ea typeface="+mn-ea"/>
              <a:cs typeface="+mn-cs"/>
            </a:rPr>
            <a:t>min speed (for manual scaling)</a:t>
          </a:r>
        </a:p>
        <a:p>
          <a:pPr eaLnBrk="1" fontAlgn="auto" latinLnBrk="0" hangingPunct="1"/>
          <a:r>
            <a:rPr lang="it-IT" sz="1100" b="0" baseline="0">
              <a:solidFill>
                <a:schemeClr val="dk1"/>
              </a:solidFill>
              <a:effectLst/>
              <a:latin typeface="+mn-lt"/>
              <a:ea typeface="+mn-ea"/>
              <a:cs typeface="+mn-cs"/>
            </a:rPr>
            <a:t>4) </a:t>
          </a:r>
          <a:r>
            <a:rPr lang="en-US" sz="1100" b="0" baseline="0">
              <a:solidFill>
                <a:schemeClr val="dk1"/>
              </a:solidFill>
              <a:effectLst/>
              <a:latin typeface="+mn-lt"/>
              <a:ea typeface="+mn-ea"/>
              <a:cs typeface="+mn-cs"/>
            </a:rPr>
            <a:t>insert </a:t>
          </a:r>
          <a:r>
            <a:rPr lang="it-IT" sz="1100" b="0" baseline="0">
              <a:solidFill>
                <a:schemeClr val="dk1"/>
              </a:solidFill>
              <a:effectLst/>
              <a:latin typeface="+mn-lt"/>
              <a:ea typeface="+mn-ea"/>
              <a:cs typeface="+mn-cs"/>
            </a:rPr>
            <a:t>max speed (for manual scaling)</a:t>
          </a: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u="none"/>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xdr:row>
      <xdr:rowOff>0</xdr:rowOff>
    </xdr:from>
    <xdr:to>
      <xdr:col>12</xdr:col>
      <xdr:colOff>0</xdr:colOff>
      <xdr:row>24</xdr:row>
      <xdr:rowOff>0</xdr:rowOff>
    </xdr:to>
    <xdr:graphicFrame macro="">
      <xdr:nvGraphicFramePr>
        <xdr:cNvPr id="2" name="Gra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0</xdr:colOff>
          <xdr:row>26</xdr:row>
          <xdr:rowOff>0</xdr:rowOff>
        </xdr:from>
        <xdr:to>
          <xdr:col>6</xdr:col>
          <xdr:colOff>0</xdr:colOff>
          <xdr:row>29</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autoscale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26</xdr:row>
          <xdr:rowOff>0</xdr:rowOff>
        </xdr:from>
        <xdr:to>
          <xdr:col>8</xdr:col>
          <xdr:colOff>0</xdr:colOff>
          <xdr:row>29</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manual</a:t>
              </a:r>
            </a:p>
          </xdr:txBody>
        </xdr:sp>
        <xdr:clientData fPrintsWithSheet="0"/>
      </xdr:twoCellAnchor>
    </mc:Choice>
    <mc:Fallback/>
  </mc:AlternateContent>
  <xdr:twoCellAnchor>
    <xdr:from>
      <xdr:col>15</xdr:col>
      <xdr:colOff>180974</xdr:colOff>
      <xdr:row>8</xdr:row>
      <xdr:rowOff>0</xdr:rowOff>
    </xdr:from>
    <xdr:to>
      <xdr:col>22</xdr:col>
      <xdr:colOff>609599</xdr:colOff>
      <xdr:row>13</xdr:row>
      <xdr:rowOff>0</xdr:rowOff>
    </xdr:to>
    <xdr:sp macro="" textlink="">
      <xdr:nvSpPr>
        <xdr:cNvPr id="3" name="TextBox 1">
          <a:extLst>
            <a:ext uri="{FF2B5EF4-FFF2-40B4-BE49-F238E27FC236}">
              <a16:creationId xmlns:a16="http://schemas.microsoft.com/office/drawing/2014/main" id="{00000000-0008-0000-0300-000003000000}"/>
            </a:ext>
          </a:extLst>
        </xdr:cNvPr>
        <xdr:cNvSpPr txBox="1"/>
      </xdr:nvSpPr>
      <xdr:spPr>
        <a:xfrm>
          <a:off x="8572499" y="1628775"/>
          <a:ext cx="4867275" cy="952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INSTRUCTIONS</a:t>
          </a:r>
        </a:p>
        <a:p>
          <a:pPr eaLnBrk="1" fontAlgn="auto" latinLnBrk="0" hangingPunct="1"/>
          <a:r>
            <a:rPr lang="en-US" sz="1100" b="0" baseline="0">
              <a:solidFill>
                <a:schemeClr val="dk1"/>
              </a:solidFill>
              <a:effectLst/>
              <a:latin typeface="+mn-lt"/>
              <a:ea typeface="+mn-ea"/>
              <a:cs typeface="+mn-cs"/>
            </a:rPr>
            <a:t>1) press "autoscale" button to define automatically frequency range in the graph</a:t>
          </a:r>
          <a:endParaRPr lang="it-IT">
            <a:effectLst/>
          </a:endParaRPr>
        </a:p>
        <a:p>
          <a:r>
            <a:rPr lang="en-US" sz="1100" b="0" baseline="0">
              <a:solidFill>
                <a:schemeClr val="dk1"/>
              </a:solidFill>
              <a:effectLst/>
              <a:latin typeface="+mn-lt"/>
              <a:ea typeface="+mn-ea"/>
              <a:cs typeface="+mn-cs"/>
            </a:rPr>
            <a:t>2) press "manual" button to define manually frequency range in the graph</a:t>
          </a: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insert </a:t>
          </a:r>
          <a:r>
            <a:rPr lang="it-IT" sz="1100" b="0" baseline="0">
              <a:solidFill>
                <a:schemeClr val="dk1"/>
              </a:solidFill>
              <a:effectLst/>
              <a:latin typeface="+mn-lt"/>
              <a:ea typeface="+mn-ea"/>
              <a:cs typeface="+mn-cs"/>
            </a:rPr>
            <a:t>min </a:t>
          </a:r>
          <a:r>
            <a:rPr lang="en-US" sz="1100" b="0" baseline="0">
              <a:solidFill>
                <a:schemeClr val="dk1"/>
              </a:solidFill>
              <a:effectLst/>
              <a:latin typeface="+mn-lt"/>
              <a:ea typeface="+mn-ea"/>
              <a:cs typeface="+mn-cs"/>
            </a:rPr>
            <a:t>frequency</a:t>
          </a:r>
          <a:r>
            <a:rPr lang="it-IT" sz="1100" b="0" baseline="0">
              <a:solidFill>
                <a:schemeClr val="dk1"/>
              </a:solidFill>
              <a:effectLst/>
              <a:latin typeface="+mn-lt"/>
              <a:ea typeface="+mn-ea"/>
              <a:cs typeface="+mn-cs"/>
            </a:rPr>
            <a:t> (for manual scaling)</a:t>
          </a:r>
        </a:p>
        <a:p>
          <a:pPr eaLnBrk="1" fontAlgn="auto" latinLnBrk="0" hangingPunct="1"/>
          <a:r>
            <a:rPr lang="it-IT" sz="1100" b="0" baseline="0">
              <a:solidFill>
                <a:schemeClr val="dk1"/>
              </a:solidFill>
              <a:effectLst/>
              <a:latin typeface="+mn-lt"/>
              <a:ea typeface="+mn-ea"/>
              <a:cs typeface="+mn-cs"/>
            </a:rPr>
            <a:t>4) </a:t>
          </a:r>
          <a:r>
            <a:rPr lang="en-US" sz="1100" b="0" baseline="0">
              <a:solidFill>
                <a:schemeClr val="dk1"/>
              </a:solidFill>
              <a:effectLst/>
              <a:latin typeface="+mn-lt"/>
              <a:ea typeface="+mn-ea"/>
              <a:cs typeface="+mn-cs"/>
            </a:rPr>
            <a:t>insert </a:t>
          </a:r>
          <a:r>
            <a:rPr lang="it-IT" sz="1100" b="0" baseline="0">
              <a:solidFill>
                <a:schemeClr val="dk1"/>
              </a:solidFill>
              <a:effectLst/>
              <a:latin typeface="+mn-lt"/>
              <a:ea typeface="+mn-ea"/>
              <a:cs typeface="+mn-cs"/>
            </a:rPr>
            <a:t>max </a:t>
          </a:r>
          <a:r>
            <a:rPr lang="en-US" sz="1100" b="0" baseline="0">
              <a:solidFill>
                <a:schemeClr val="dk1"/>
              </a:solidFill>
              <a:effectLst/>
              <a:latin typeface="+mn-lt"/>
              <a:ea typeface="+mn-ea"/>
              <a:cs typeface="+mn-cs"/>
            </a:rPr>
            <a:t>frequency</a:t>
          </a:r>
          <a:r>
            <a:rPr lang="it-IT" sz="1100" b="0" baseline="0">
              <a:solidFill>
                <a:schemeClr val="dk1"/>
              </a:solidFill>
              <a:effectLst/>
              <a:latin typeface="+mn-lt"/>
              <a:ea typeface="+mn-ea"/>
              <a:cs typeface="+mn-cs"/>
            </a:rPr>
            <a:t> (for manual scaling)</a:t>
          </a: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u="none"/>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3</xdr:row>
      <xdr:rowOff>0</xdr:rowOff>
    </xdr:from>
    <xdr:to>
      <xdr:col>12</xdr:col>
      <xdr:colOff>0</xdr:colOff>
      <xdr:row>24</xdr:row>
      <xdr:rowOff>0</xdr:rowOff>
    </xdr:to>
    <xdr:graphicFrame macro="">
      <xdr:nvGraphicFramePr>
        <xdr:cNvPr id="2" name="Gra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0</xdr:colOff>
          <xdr:row>26</xdr:row>
          <xdr:rowOff>0</xdr:rowOff>
        </xdr:from>
        <xdr:to>
          <xdr:col>6</xdr:col>
          <xdr:colOff>0</xdr:colOff>
          <xdr:row>29</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autoscale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26</xdr:row>
          <xdr:rowOff>0</xdr:rowOff>
        </xdr:from>
        <xdr:to>
          <xdr:col>8</xdr:col>
          <xdr:colOff>0</xdr:colOff>
          <xdr:row>29</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manual</a:t>
              </a:r>
            </a:p>
          </xdr:txBody>
        </xdr:sp>
        <xdr:clientData fPrintsWithSheet="0"/>
      </xdr:twoCellAnchor>
    </mc:Choice>
    <mc:Fallback/>
  </mc:AlternateContent>
  <xdr:twoCellAnchor>
    <xdr:from>
      <xdr:col>16</xdr:col>
      <xdr:colOff>0</xdr:colOff>
      <xdr:row>8</xdr:row>
      <xdr:rowOff>0</xdr:rowOff>
    </xdr:from>
    <xdr:to>
      <xdr:col>23</xdr:col>
      <xdr:colOff>0</xdr:colOff>
      <xdr:row>13</xdr:row>
      <xdr:rowOff>0</xdr:rowOff>
    </xdr:to>
    <xdr:sp macro="" textlink="">
      <xdr:nvSpPr>
        <xdr:cNvPr id="3" name="TextBox 1">
          <a:extLst>
            <a:ext uri="{FF2B5EF4-FFF2-40B4-BE49-F238E27FC236}">
              <a16:creationId xmlns:a16="http://schemas.microsoft.com/office/drawing/2014/main" id="{00000000-0008-0000-0400-000003000000}"/>
            </a:ext>
          </a:extLst>
        </xdr:cNvPr>
        <xdr:cNvSpPr txBox="1"/>
      </xdr:nvSpPr>
      <xdr:spPr>
        <a:xfrm>
          <a:off x="8572500" y="1628775"/>
          <a:ext cx="4867275" cy="952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INSTRUCTIONS</a:t>
          </a:r>
        </a:p>
        <a:p>
          <a:pPr eaLnBrk="1" fontAlgn="auto" latinLnBrk="0" hangingPunct="1"/>
          <a:r>
            <a:rPr lang="en-US" sz="1100" b="0" baseline="0">
              <a:solidFill>
                <a:schemeClr val="dk1"/>
              </a:solidFill>
              <a:effectLst/>
              <a:latin typeface="+mn-lt"/>
              <a:ea typeface="+mn-ea"/>
              <a:cs typeface="+mn-cs"/>
            </a:rPr>
            <a:t>1) press "autoscale" button to define automatically frequency range in the graph</a:t>
          </a:r>
          <a:endParaRPr lang="it-IT">
            <a:effectLst/>
          </a:endParaRPr>
        </a:p>
        <a:p>
          <a:r>
            <a:rPr lang="en-US" sz="1100" b="0" baseline="0">
              <a:solidFill>
                <a:schemeClr val="dk1"/>
              </a:solidFill>
              <a:effectLst/>
              <a:latin typeface="+mn-lt"/>
              <a:ea typeface="+mn-ea"/>
              <a:cs typeface="+mn-cs"/>
            </a:rPr>
            <a:t>2) press "manual" button to define manually frequency range in the graph</a:t>
          </a: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insert </a:t>
          </a:r>
          <a:r>
            <a:rPr lang="it-IT" sz="1100" b="0" baseline="0">
              <a:solidFill>
                <a:schemeClr val="dk1"/>
              </a:solidFill>
              <a:effectLst/>
              <a:latin typeface="+mn-lt"/>
              <a:ea typeface="+mn-ea"/>
              <a:cs typeface="+mn-cs"/>
            </a:rPr>
            <a:t>min </a:t>
          </a:r>
          <a:r>
            <a:rPr lang="en-US" sz="1100" b="0" baseline="0">
              <a:solidFill>
                <a:schemeClr val="dk1"/>
              </a:solidFill>
              <a:effectLst/>
              <a:latin typeface="+mn-lt"/>
              <a:ea typeface="+mn-ea"/>
              <a:cs typeface="+mn-cs"/>
            </a:rPr>
            <a:t>frequency</a:t>
          </a:r>
          <a:r>
            <a:rPr lang="it-IT" sz="1100" b="0" baseline="0">
              <a:solidFill>
                <a:schemeClr val="dk1"/>
              </a:solidFill>
              <a:effectLst/>
              <a:latin typeface="+mn-lt"/>
              <a:ea typeface="+mn-ea"/>
              <a:cs typeface="+mn-cs"/>
            </a:rPr>
            <a:t> (for manual scaling)</a:t>
          </a:r>
        </a:p>
        <a:p>
          <a:pPr eaLnBrk="1" fontAlgn="auto" latinLnBrk="0" hangingPunct="1"/>
          <a:r>
            <a:rPr lang="it-IT" sz="1100" b="0" baseline="0">
              <a:solidFill>
                <a:schemeClr val="dk1"/>
              </a:solidFill>
              <a:effectLst/>
              <a:latin typeface="+mn-lt"/>
              <a:ea typeface="+mn-ea"/>
              <a:cs typeface="+mn-cs"/>
            </a:rPr>
            <a:t>4) </a:t>
          </a:r>
          <a:r>
            <a:rPr lang="en-US" sz="1100" b="0" baseline="0">
              <a:solidFill>
                <a:schemeClr val="dk1"/>
              </a:solidFill>
              <a:effectLst/>
              <a:latin typeface="+mn-lt"/>
              <a:ea typeface="+mn-ea"/>
              <a:cs typeface="+mn-cs"/>
            </a:rPr>
            <a:t>insert </a:t>
          </a:r>
          <a:r>
            <a:rPr lang="it-IT" sz="1100" b="0" baseline="0">
              <a:solidFill>
                <a:schemeClr val="dk1"/>
              </a:solidFill>
              <a:effectLst/>
              <a:latin typeface="+mn-lt"/>
              <a:ea typeface="+mn-ea"/>
              <a:cs typeface="+mn-cs"/>
            </a:rPr>
            <a:t>max </a:t>
          </a:r>
          <a:r>
            <a:rPr lang="en-US" sz="1100" b="0" baseline="0">
              <a:solidFill>
                <a:schemeClr val="dk1"/>
              </a:solidFill>
              <a:effectLst/>
              <a:latin typeface="+mn-lt"/>
              <a:ea typeface="+mn-ea"/>
              <a:cs typeface="+mn-cs"/>
            </a:rPr>
            <a:t>frequency</a:t>
          </a:r>
          <a:r>
            <a:rPr lang="it-IT" sz="1100" b="0" baseline="0">
              <a:solidFill>
                <a:schemeClr val="dk1"/>
              </a:solidFill>
              <a:effectLst/>
              <a:latin typeface="+mn-lt"/>
              <a:ea typeface="+mn-ea"/>
              <a:cs typeface="+mn-cs"/>
            </a:rPr>
            <a:t> (for manual scaling)</a:t>
          </a: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u="none"/>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0</xdr:rowOff>
    </xdr:from>
    <xdr:to>
      <xdr:col>12</xdr:col>
      <xdr:colOff>0</xdr:colOff>
      <xdr:row>24</xdr:row>
      <xdr:rowOff>0</xdr:rowOff>
    </xdr:to>
    <xdr:graphicFrame macro="">
      <xdr:nvGraphicFramePr>
        <xdr:cNvPr id="2" name="Gra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0</xdr:colOff>
          <xdr:row>26</xdr:row>
          <xdr:rowOff>0</xdr:rowOff>
        </xdr:from>
        <xdr:to>
          <xdr:col>6</xdr:col>
          <xdr:colOff>0</xdr:colOff>
          <xdr:row>29</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autoscale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26</xdr:row>
          <xdr:rowOff>0</xdr:rowOff>
        </xdr:from>
        <xdr:to>
          <xdr:col>8</xdr:col>
          <xdr:colOff>0</xdr:colOff>
          <xdr:row>29</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manual</a:t>
              </a:r>
            </a:p>
          </xdr:txBody>
        </xdr:sp>
        <xdr:clientData fPrintsWithSheet="0"/>
      </xdr:twoCellAnchor>
    </mc:Choice>
    <mc:Fallback/>
  </mc:AlternateContent>
  <xdr:twoCellAnchor>
    <xdr:from>
      <xdr:col>16</xdr:col>
      <xdr:colOff>0</xdr:colOff>
      <xdr:row>8</xdr:row>
      <xdr:rowOff>0</xdr:rowOff>
    </xdr:from>
    <xdr:to>
      <xdr:col>23</xdr:col>
      <xdr:colOff>0</xdr:colOff>
      <xdr:row>13</xdr:row>
      <xdr:rowOff>0</xdr:rowOff>
    </xdr:to>
    <xdr:sp macro="" textlink="">
      <xdr:nvSpPr>
        <xdr:cNvPr id="3" name="TextBox 1">
          <a:extLst>
            <a:ext uri="{FF2B5EF4-FFF2-40B4-BE49-F238E27FC236}">
              <a16:creationId xmlns:a16="http://schemas.microsoft.com/office/drawing/2014/main" id="{00000000-0008-0000-0500-000003000000}"/>
            </a:ext>
          </a:extLst>
        </xdr:cNvPr>
        <xdr:cNvSpPr txBox="1"/>
      </xdr:nvSpPr>
      <xdr:spPr>
        <a:xfrm>
          <a:off x="8572500" y="1628775"/>
          <a:ext cx="4867275" cy="952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INSTRUCTIONS</a:t>
          </a:r>
        </a:p>
        <a:p>
          <a:pPr eaLnBrk="1" fontAlgn="auto" latinLnBrk="0" hangingPunct="1"/>
          <a:r>
            <a:rPr lang="en-US" sz="1100" b="0" baseline="0">
              <a:solidFill>
                <a:schemeClr val="dk1"/>
              </a:solidFill>
              <a:effectLst/>
              <a:latin typeface="+mn-lt"/>
              <a:ea typeface="+mn-ea"/>
              <a:cs typeface="+mn-cs"/>
            </a:rPr>
            <a:t>1) press "autoscale" button to define automatically frequency range in the graph</a:t>
          </a:r>
          <a:endParaRPr lang="it-IT">
            <a:effectLst/>
          </a:endParaRPr>
        </a:p>
        <a:p>
          <a:r>
            <a:rPr lang="en-US" sz="1100" b="0" baseline="0">
              <a:solidFill>
                <a:schemeClr val="dk1"/>
              </a:solidFill>
              <a:effectLst/>
              <a:latin typeface="+mn-lt"/>
              <a:ea typeface="+mn-ea"/>
              <a:cs typeface="+mn-cs"/>
            </a:rPr>
            <a:t>2) press "manual" button to define manually frequency range in the graph</a:t>
          </a: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insert </a:t>
          </a:r>
          <a:r>
            <a:rPr lang="it-IT" sz="1100" b="0" baseline="0">
              <a:solidFill>
                <a:schemeClr val="dk1"/>
              </a:solidFill>
              <a:effectLst/>
              <a:latin typeface="+mn-lt"/>
              <a:ea typeface="+mn-ea"/>
              <a:cs typeface="+mn-cs"/>
            </a:rPr>
            <a:t>min </a:t>
          </a:r>
          <a:r>
            <a:rPr lang="en-US" sz="1100" b="0" baseline="0">
              <a:solidFill>
                <a:schemeClr val="dk1"/>
              </a:solidFill>
              <a:effectLst/>
              <a:latin typeface="+mn-lt"/>
              <a:ea typeface="+mn-ea"/>
              <a:cs typeface="+mn-cs"/>
            </a:rPr>
            <a:t>frequency</a:t>
          </a:r>
          <a:r>
            <a:rPr lang="it-IT" sz="1100" b="0" baseline="0">
              <a:solidFill>
                <a:schemeClr val="dk1"/>
              </a:solidFill>
              <a:effectLst/>
              <a:latin typeface="+mn-lt"/>
              <a:ea typeface="+mn-ea"/>
              <a:cs typeface="+mn-cs"/>
            </a:rPr>
            <a:t> (for manual scaling)</a:t>
          </a:r>
        </a:p>
        <a:p>
          <a:pPr eaLnBrk="1" fontAlgn="auto" latinLnBrk="0" hangingPunct="1"/>
          <a:r>
            <a:rPr lang="it-IT" sz="1100" b="0" baseline="0">
              <a:solidFill>
                <a:schemeClr val="dk1"/>
              </a:solidFill>
              <a:effectLst/>
              <a:latin typeface="+mn-lt"/>
              <a:ea typeface="+mn-ea"/>
              <a:cs typeface="+mn-cs"/>
            </a:rPr>
            <a:t>4) </a:t>
          </a:r>
          <a:r>
            <a:rPr lang="en-US" sz="1100" b="0" baseline="0">
              <a:solidFill>
                <a:schemeClr val="dk1"/>
              </a:solidFill>
              <a:effectLst/>
              <a:latin typeface="+mn-lt"/>
              <a:ea typeface="+mn-ea"/>
              <a:cs typeface="+mn-cs"/>
            </a:rPr>
            <a:t>insert </a:t>
          </a:r>
          <a:r>
            <a:rPr lang="it-IT" sz="1100" b="0" baseline="0">
              <a:solidFill>
                <a:schemeClr val="dk1"/>
              </a:solidFill>
              <a:effectLst/>
              <a:latin typeface="+mn-lt"/>
              <a:ea typeface="+mn-ea"/>
              <a:cs typeface="+mn-cs"/>
            </a:rPr>
            <a:t>max </a:t>
          </a:r>
          <a:r>
            <a:rPr lang="en-US" sz="1100" b="0" baseline="0">
              <a:solidFill>
                <a:schemeClr val="dk1"/>
              </a:solidFill>
              <a:effectLst/>
              <a:latin typeface="+mn-lt"/>
              <a:ea typeface="+mn-ea"/>
              <a:cs typeface="+mn-cs"/>
            </a:rPr>
            <a:t>frequency</a:t>
          </a:r>
          <a:r>
            <a:rPr lang="it-IT" sz="1100" b="0" baseline="0">
              <a:solidFill>
                <a:schemeClr val="dk1"/>
              </a:solidFill>
              <a:effectLst/>
              <a:latin typeface="+mn-lt"/>
              <a:ea typeface="+mn-ea"/>
              <a:cs typeface="+mn-cs"/>
            </a:rPr>
            <a:t> (for manual scaling)</a:t>
          </a: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it-IT">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u="none"/>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0FFB424-CEAC-4DA8-B227-CED445F4FFF7}" name="file" displayName="file" ref="E4:F5" totalsRowShown="0" dataDxfId="25">
  <autoFilter ref="E4:F5" xr:uid="{40FFB424-CEAC-4DA8-B227-CED445F4FFF7}"/>
  <tableColumns count="2">
    <tableColumn id="1" xr3:uid="{FEB04AF4-D30E-4478-957C-9DC95D5A8578}" name="description" dataDxfId="24"/>
    <tableColumn id="2" xr3:uid="{AB96A3AE-6991-417D-80B7-6A9CC0CBF918}" name="file name" dataDxfId="23"/>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244BBB-111D-4AAB-ABED-0A0795655D17}" name="natfreq" displayName="natfreq" ref="H4:I5" totalsRowShown="0" headerRowDxfId="22" dataDxfId="21">
  <autoFilter ref="H4:I5" xr:uid="{FB244BBB-111D-4AAB-ABED-0A0795655D17}"/>
  <tableColumns count="2">
    <tableColumn id="1" xr3:uid="{53030460-7FCF-4159-917E-1407D41DC594}" name="ID" dataDxfId="20"/>
    <tableColumn id="2" xr3:uid="{86D1E46D-D27D-4A7E-BC74-40FC4896257B}" name="f [Hz]" dataDxfId="19"/>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E2C6BC-5A1F-43C9-A1D6-1E79F76D05DD}" name="coupling" displayName="coupling" ref="N4:R5" totalsRowShown="0" headerRowDxfId="18" dataDxfId="17">
  <autoFilter ref="N4:R5" xr:uid="{6FE2C6BC-5A1F-43C9-A1D6-1E79F76D05DD}"/>
  <tableColumns count="5">
    <tableColumn id="1" xr3:uid="{0EC95A38-50A6-4158-97F7-638C03918FE3}" name="n [rpm]" dataDxfId="16"/>
    <tableColumn id="4" xr3:uid="{D250359D-3CB2-408B-888D-FBF2D2B874B9}" name="load 1" dataDxfId="15"/>
    <tableColumn id="6" xr3:uid="{3B9F2DEB-9191-4930-B7EF-7F7D770A9D85}" name="load 2" dataDxfId="14"/>
    <tableColumn id="7" xr3:uid="{01EF6F1F-1BEB-4145-81DD-26AD9458BFCE}" name="load 3" dataDxfId="13"/>
    <tableColumn id="8" xr3:uid="{4393FFD9-1F87-4240-A5A5-481667F17F54}" name="envelope" dataDxfId="12"/>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123C93-8FA2-4BC5-8584-64B8F2217BF5}" name="line" displayName="line" ref="N4:O5" totalsRowShown="0" headerRowDxfId="11" dataDxfId="10">
  <autoFilter ref="N4:O5" xr:uid="{6FE2C6BC-5A1F-43C9-A1D6-1E79F76D05DD}"/>
  <tableColumns count="2">
    <tableColumn id="1" xr3:uid="{B73F8B90-9D81-4764-8A00-A65C165276DA}" name="f  [Hz]" dataDxfId="9"/>
    <tableColumn id="16" xr3:uid="{F5759ADF-8E0E-4659-8067-2936082E311C}" name="line" dataDxfId="8"/>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40AA859-EA68-4371-A23E-81AA7F9B488D}" name="linex2" displayName="linex2" ref="N4:O5" totalsRowShown="0" headerRowDxfId="7" dataDxfId="6">
  <autoFilter ref="N4:O5" xr:uid="{6FE2C6BC-5A1F-43C9-A1D6-1E79F76D05DD}"/>
  <tableColumns count="2">
    <tableColumn id="1" xr3:uid="{80DC6B99-3F8E-48FE-962D-5E943C9CAD26}" name="f  [Hz]" dataDxfId="5"/>
    <tableColumn id="16" xr3:uid="{5C50CDDD-DF20-4068-8F87-E8C8714D17B2}" name="linex2" dataDxfId="4"/>
  </tableColumns>
  <tableStyleInfo name="TableStyleLight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1FCF484-6F8C-4A3F-A325-A9AC5BA1D017}" name="VFD" displayName="VFD" ref="N4:O5" totalsRowShown="0" headerRowDxfId="3" dataDxfId="2">
  <autoFilter ref="N4:O5" xr:uid="{6FE2C6BC-5A1F-43C9-A1D6-1E79F76D05DD}"/>
  <tableColumns count="2">
    <tableColumn id="1" xr3:uid="{DE02A13F-9D9E-41F0-967F-90AF46D45131}" name="f  [Hz]" dataDxfId="1"/>
    <tableColumn id="16" xr3:uid="{A0EF76A1-C445-4D4D-8B2C-9569C34482F4}" name="VFD"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3.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97C04-09A6-4481-9177-E2E94709F3B1}">
  <sheetPr codeName="Foglio6"/>
  <dimension ref="B2:M42"/>
  <sheetViews>
    <sheetView tabSelected="1" workbookViewId="0"/>
  </sheetViews>
  <sheetFormatPr defaultRowHeight="15"/>
  <cols>
    <col min="1" max="1" width="2.7109375" customWidth="1"/>
    <col min="14" max="14" width="2.7109375" customWidth="1"/>
  </cols>
  <sheetData>
    <row r="2" spans="2:2" ht="23.25">
      <c r="B2" s="1" t="s">
        <v>0</v>
      </c>
    </row>
    <row r="23" customFormat="1"/>
    <row r="24" customFormat="1"/>
    <row r="25" customFormat="1"/>
    <row r="26" customFormat="1"/>
    <row r="27" customFormat="1"/>
    <row r="28" customFormat="1"/>
    <row r="35" spans="2:13">
      <c r="B35" s="3" t="s">
        <v>1</v>
      </c>
      <c r="C35" s="35" t="s">
        <v>2</v>
      </c>
      <c r="D35" s="36"/>
      <c r="E35" s="37"/>
      <c r="F35" s="38" t="s">
        <v>3</v>
      </c>
      <c r="G35" s="39"/>
      <c r="H35" s="40"/>
      <c r="I35" s="41" t="s">
        <v>4</v>
      </c>
      <c r="J35" s="42"/>
      <c r="K35" s="41" t="s">
        <v>5</v>
      </c>
      <c r="L35" s="43"/>
      <c r="M35" s="42"/>
    </row>
    <row r="36" spans="2:13">
      <c r="B36" s="4" t="s">
        <v>6</v>
      </c>
      <c r="C36" s="28" t="s">
        <v>7</v>
      </c>
      <c r="D36" s="29"/>
      <c r="E36" s="30"/>
      <c r="F36" s="31"/>
      <c r="G36" s="32"/>
      <c r="H36" s="33"/>
      <c r="I36" s="44">
        <v>45260</v>
      </c>
      <c r="J36" s="34"/>
      <c r="K36" s="31"/>
      <c r="L36" s="32"/>
      <c r="M36" s="33"/>
    </row>
    <row r="37" spans="2:13">
      <c r="B37" s="4"/>
      <c r="C37" s="28"/>
      <c r="D37" s="29"/>
      <c r="E37" s="30"/>
      <c r="F37" s="31"/>
      <c r="G37" s="32"/>
      <c r="H37" s="33"/>
      <c r="I37" s="34"/>
      <c r="J37" s="34"/>
      <c r="K37" s="31"/>
      <c r="L37" s="32"/>
      <c r="M37" s="33"/>
    </row>
    <row r="38" spans="2:13">
      <c r="B38" s="4"/>
      <c r="C38" s="28"/>
      <c r="D38" s="29"/>
      <c r="E38" s="30"/>
      <c r="F38" s="31"/>
      <c r="G38" s="32"/>
      <c r="H38" s="33"/>
      <c r="I38" s="34"/>
      <c r="J38" s="34"/>
      <c r="K38" s="31"/>
      <c r="L38" s="32"/>
      <c r="M38" s="33"/>
    </row>
    <row r="39" spans="2:13">
      <c r="B39" s="4"/>
      <c r="C39" s="28"/>
      <c r="D39" s="29"/>
      <c r="E39" s="30"/>
      <c r="F39" s="31"/>
      <c r="G39" s="32"/>
      <c r="H39" s="33"/>
      <c r="I39" s="34"/>
      <c r="J39" s="34"/>
      <c r="K39" s="31"/>
      <c r="L39" s="32"/>
      <c r="M39" s="33"/>
    </row>
    <row r="40" spans="2:13">
      <c r="B40" s="4"/>
      <c r="C40" s="28"/>
      <c r="D40" s="29"/>
      <c r="E40" s="30"/>
      <c r="F40" s="31"/>
      <c r="G40" s="32"/>
      <c r="H40" s="33"/>
      <c r="I40" s="34"/>
      <c r="J40" s="34"/>
      <c r="K40" s="31"/>
      <c r="L40" s="32"/>
      <c r="M40" s="33"/>
    </row>
    <row r="41" spans="2:13">
      <c r="B41" s="4"/>
      <c r="C41" s="28"/>
      <c r="D41" s="29"/>
      <c r="E41" s="30"/>
      <c r="F41" s="31"/>
      <c r="G41" s="32"/>
      <c r="H41" s="33"/>
      <c r="I41" s="34"/>
      <c r="J41" s="34"/>
      <c r="K41" s="31"/>
      <c r="L41" s="32"/>
      <c r="M41" s="33"/>
    </row>
    <row r="42" spans="2:13">
      <c r="B42" s="4"/>
      <c r="C42" s="28"/>
      <c r="D42" s="29"/>
      <c r="E42" s="30"/>
      <c r="F42" s="31"/>
      <c r="G42" s="32"/>
      <c r="H42" s="33"/>
      <c r="I42" s="34"/>
      <c r="J42" s="34"/>
      <c r="K42" s="31"/>
      <c r="L42" s="32"/>
      <c r="M42" s="33"/>
    </row>
  </sheetData>
  <mergeCells count="32">
    <mergeCell ref="C35:E35"/>
    <mergeCell ref="F35:H35"/>
    <mergeCell ref="I35:J35"/>
    <mergeCell ref="K35:M35"/>
    <mergeCell ref="C36:E36"/>
    <mergeCell ref="F36:H36"/>
    <mergeCell ref="I36:J36"/>
    <mergeCell ref="K36:M36"/>
    <mergeCell ref="C37:E37"/>
    <mergeCell ref="F37:H37"/>
    <mergeCell ref="I37:J37"/>
    <mergeCell ref="K37:M37"/>
    <mergeCell ref="C38:E38"/>
    <mergeCell ref="F38:H38"/>
    <mergeCell ref="I38:J38"/>
    <mergeCell ref="K38:M38"/>
    <mergeCell ref="C39:E39"/>
    <mergeCell ref="F39:H39"/>
    <mergeCell ref="I39:J39"/>
    <mergeCell ref="K39:M39"/>
    <mergeCell ref="C40:E40"/>
    <mergeCell ref="F40:H40"/>
    <mergeCell ref="I40:J40"/>
    <mergeCell ref="K40:M40"/>
    <mergeCell ref="C41:E41"/>
    <mergeCell ref="F41:H41"/>
    <mergeCell ref="I41:J41"/>
    <mergeCell ref="K41:M41"/>
    <mergeCell ref="C42:E42"/>
    <mergeCell ref="F42:H42"/>
    <mergeCell ref="I42:J42"/>
    <mergeCell ref="K42:M4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6E8E5-AC03-4694-978B-64C7387F5A32}">
  <sheetPr codeName="Foglio1"/>
  <dimension ref="B1:N36"/>
  <sheetViews>
    <sheetView zoomScaleNormal="100" workbookViewId="0"/>
  </sheetViews>
  <sheetFormatPr defaultRowHeight="15"/>
  <cols>
    <col min="1" max="1" width="2.7109375" customWidth="1"/>
    <col min="2" max="2" width="20.7109375" customWidth="1"/>
    <col min="3" max="3" width="16.7109375" customWidth="1"/>
    <col min="4" max="4" width="2.7109375" customWidth="1"/>
    <col min="5" max="5" width="15.5703125" style="24" bestFit="1" customWidth="1"/>
    <col min="6" max="6" width="45.7109375" style="24" customWidth="1"/>
    <col min="7" max="7" width="2.7109375" customWidth="1"/>
    <col min="8" max="8" width="7.42578125" style="27" bestFit="1" customWidth="1"/>
    <col min="9" max="9" width="10.28515625" style="27" bestFit="1" customWidth="1"/>
    <col min="10" max="10" width="2.7109375" customWidth="1"/>
    <col min="11" max="11" width="18.140625" bestFit="1" customWidth="1"/>
    <col min="12" max="14" width="9.140625" customWidth="1"/>
  </cols>
  <sheetData>
    <row r="1" spans="2:11">
      <c r="E1"/>
      <c r="F1"/>
      <c r="H1"/>
      <c r="I1"/>
    </row>
    <row r="2" spans="2:11" ht="23.25">
      <c r="B2" s="1" t="s">
        <v>8</v>
      </c>
      <c r="E2"/>
      <c r="F2"/>
      <c r="H2"/>
      <c r="I2"/>
    </row>
    <row r="3" spans="2:11">
      <c r="E3"/>
      <c r="F3"/>
      <c r="H3"/>
      <c r="I3"/>
      <c r="K3" s="16" t="s">
        <v>9</v>
      </c>
    </row>
    <row r="4" spans="2:11">
      <c r="B4" s="18" t="s">
        <v>10</v>
      </c>
      <c r="C4" s="17">
        <v>1000</v>
      </c>
      <c r="E4" s="2" t="s">
        <v>11</v>
      </c>
      <c r="F4" s="2" t="s">
        <v>12</v>
      </c>
      <c r="H4" s="2" t="s">
        <v>13</v>
      </c>
      <c r="I4" s="2" t="s">
        <v>14</v>
      </c>
      <c r="K4" s="17" t="s">
        <v>15</v>
      </c>
    </row>
    <row r="5" spans="2:11" ht="18">
      <c r="B5" s="18" t="s">
        <v>16</v>
      </c>
      <c r="C5" s="17">
        <v>3541</v>
      </c>
      <c r="E5" s="24" t="s">
        <v>17</v>
      </c>
      <c r="F5" s="24" t="s">
        <v>18</v>
      </c>
      <c r="H5" s="25">
        <v>1</v>
      </c>
      <c r="I5" s="26"/>
      <c r="K5" s="18" t="s">
        <v>19</v>
      </c>
    </row>
    <row r="6" spans="2:11" ht="18">
      <c r="B6" s="18" t="s">
        <v>20</v>
      </c>
      <c r="C6" s="17">
        <v>50</v>
      </c>
      <c r="K6" s="19" t="s">
        <v>21</v>
      </c>
    </row>
    <row r="7" spans="2:11">
      <c r="B7" s="18" t="s">
        <v>22</v>
      </c>
      <c r="C7" s="22">
        <v>0.01</v>
      </c>
    </row>
    <row r="8" spans="2:11">
      <c r="B8" s="18" t="s">
        <v>23</v>
      </c>
      <c r="C8" s="22">
        <v>0.1</v>
      </c>
    </row>
    <row r="10" spans="2:11" ht="18">
      <c r="B10" s="18" t="s">
        <v>24</v>
      </c>
      <c r="C10" s="9">
        <f>C4/(2*PI()*C5/60)*1000</f>
        <v>2696.7796061885683</v>
      </c>
    </row>
    <row r="11" spans="2:11" ht="18">
      <c r="B11" s="18" t="s">
        <v>25</v>
      </c>
      <c r="C11" s="9">
        <f>harmonic!D29</f>
        <v>0</v>
      </c>
    </row>
    <row r="12" spans="2:11" ht="18">
      <c r="B12" s="18" t="s">
        <v>26</v>
      </c>
      <c r="C12" s="9">
        <f>line!D29</f>
        <v>0</v>
      </c>
    </row>
    <row r="13" spans="2:11" ht="18">
      <c r="B13" s="18" t="s">
        <v>27</v>
      </c>
      <c r="C13" s="9">
        <f>linex2!$D$29</f>
        <v>0</v>
      </c>
    </row>
    <row r="14" spans="2:11" ht="18">
      <c r="B14" s="18" t="s">
        <v>28</v>
      </c>
      <c r="C14" s="9">
        <f>VFD!D29</f>
        <v>0</v>
      </c>
    </row>
    <row r="15" spans="2:11" ht="18">
      <c r="B15" s="18" t="s">
        <v>29</v>
      </c>
      <c r="C15" s="9">
        <f>C10+C11+C12+C13+C14</f>
        <v>2696.7796061885683</v>
      </c>
    </row>
    <row r="16" spans="2:11" ht="18">
      <c r="B16" s="18" t="s">
        <v>30</v>
      </c>
      <c r="C16" s="23">
        <v>2700</v>
      </c>
    </row>
    <row r="17" spans="2:14">
      <c r="B17" s="11"/>
      <c r="C17" s="6"/>
    </row>
    <row r="18" spans="2:14">
      <c r="C18" s="5" t="s">
        <v>31</v>
      </c>
    </row>
    <row r="19" spans="2:14">
      <c r="C19" s="45" t="s">
        <v>32</v>
      </c>
    </row>
    <row r="20" spans="2:14">
      <c r="C20" s="47"/>
    </row>
    <row r="21" spans="2:14">
      <c r="C21" s="45" t="s">
        <v>33</v>
      </c>
    </row>
    <row r="22" spans="2:14">
      <c r="C22" s="47"/>
    </row>
    <row r="23" spans="2:14">
      <c r="C23" s="45" t="str" cm="1">
        <f t="array" ref="C23">readyN()</f>
        <v>not ok</v>
      </c>
    </row>
    <row r="24" spans="2:14">
      <c r="C24" s="47"/>
    </row>
    <row r="25" spans="2:14">
      <c r="C25" s="45" t="str">
        <f>IF(dim_speed&gt;0,"ok","not ok")</f>
        <v>not ok</v>
      </c>
    </row>
    <row r="26" spans="2:14">
      <c r="C26" s="47"/>
    </row>
    <row r="27" spans="2:14">
      <c r="C27" s="45" t="str">
        <f>IF(dim_line&gt;0,"ok","not ok")</f>
        <v>not ok</v>
      </c>
      <c r="K27" s="20"/>
      <c r="L27" s="2"/>
      <c r="M27" s="2"/>
      <c r="N27" s="2"/>
    </row>
    <row r="28" spans="2:14">
      <c r="C28" s="47"/>
      <c r="K28" s="20"/>
      <c r="L28" s="2"/>
      <c r="M28" s="21"/>
      <c r="N28" s="2"/>
    </row>
    <row r="29" spans="2:14">
      <c r="C29" s="45" t="str">
        <f>IF(dim_line2&gt;0,"ok","not ok")</f>
        <v>not ok</v>
      </c>
      <c r="K29" s="20"/>
      <c r="L29" s="2"/>
      <c r="M29" s="2"/>
      <c r="N29" s="2"/>
    </row>
    <row r="30" spans="2:14">
      <c r="C30" s="47"/>
      <c r="K30" s="20"/>
      <c r="L30" s="2"/>
      <c r="M30" s="2"/>
      <c r="N30" s="2"/>
    </row>
    <row r="31" spans="2:14">
      <c r="C31" s="45" t="str">
        <f>IF(dim_VFD&gt;0,"ok","not ok")</f>
        <v>not ok</v>
      </c>
      <c r="K31" s="20"/>
      <c r="L31" s="2"/>
      <c r="M31" s="2"/>
      <c r="N31" s="2"/>
    </row>
    <row r="32" spans="2:14">
      <c r="C32" s="46"/>
      <c r="K32" s="20"/>
      <c r="L32" s="2"/>
      <c r="M32" s="2"/>
      <c r="N32" s="2"/>
    </row>
    <row r="33" spans="2:14">
      <c r="B33" s="14"/>
      <c r="C33" s="12">
        <v>1</v>
      </c>
      <c r="K33" s="20"/>
      <c r="L33" s="2"/>
      <c r="M33" s="2"/>
      <c r="N33" s="2"/>
    </row>
    <row r="34" spans="2:14">
      <c r="B34" s="14"/>
      <c r="C34" s="13"/>
      <c r="K34" s="20"/>
      <c r="L34" s="2"/>
      <c r="M34" s="2"/>
      <c r="N34" s="2"/>
    </row>
    <row r="35" spans="2:14">
      <c r="C35" s="15"/>
    </row>
    <row r="36" spans="2:14">
      <c r="C36" s="15"/>
    </row>
  </sheetData>
  <mergeCells count="7">
    <mergeCell ref="C31:C32"/>
    <mergeCell ref="C19:C20"/>
    <mergeCell ref="C21:C22"/>
    <mergeCell ref="C23:C24"/>
    <mergeCell ref="C25:C26"/>
    <mergeCell ref="C27:C28"/>
    <mergeCell ref="C29:C30"/>
  </mergeCells>
  <phoneticPr fontId="2" type="noConversion"/>
  <conditionalFormatting sqref="C15">
    <cfRule type="iconSet" priority="7">
      <iconSet iconSet="3Symbols" reverse="1">
        <cfvo type="percent" val="0"/>
        <cfvo type="num" val="0.9*$C$16"/>
        <cfvo type="num" val="$C$16"/>
      </iconSet>
    </cfRule>
  </conditionalFormatting>
  <dataValidations count="1">
    <dataValidation type="list" allowBlank="1" showInputMessage="1" showErrorMessage="1" sqref="E5" xr:uid="{EB8D6063-3FB2-4BEC-8F6B-CCF51F78C4FE}">
      <formula1>"1X,2X,3X,4X,5X,6X,7X,8X,nX,line,linex2,VFD,nat freq"</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reset">
                <anchor moveWithCells="1" sizeWithCells="1">
                  <from>
                    <xdr:col>1</xdr:col>
                    <xdr:colOff>0</xdr:colOff>
                    <xdr:row>18</xdr:row>
                    <xdr:rowOff>0</xdr:rowOff>
                  </from>
                  <to>
                    <xdr:col>2</xdr:col>
                    <xdr:colOff>0</xdr:colOff>
                    <xdr:row>20</xdr:row>
                    <xdr:rowOff>0</xdr:rowOff>
                  </to>
                </anchor>
              </controlPr>
            </control>
          </mc:Choice>
        </mc:AlternateContent>
        <mc:AlternateContent xmlns:mc="http://schemas.openxmlformats.org/markup-compatibility/2006">
          <mc:Choice Requires="x14">
            <control shapeId="5123" r:id="rId5" name="Button 3">
              <controlPr defaultSize="0" print="0" autoFill="0" autoPict="0" macro="[0]!dimen">
                <anchor moveWithCells="1" sizeWithCells="1">
                  <from>
                    <xdr:col>1</xdr:col>
                    <xdr:colOff>0</xdr:colOff>
                    <xdr:row>20</xdr:row>
                    <xdr:rowOff>0</xdr:rowOff>
                  </from>
                  <to>
                    <xdr:col>2</xdr:col>
                    <xdr:colOff>0</xdr:colOff>
                    <xdr:row>22</xdr:row>
                    <xdr:rowOff>0</xdr:rowOff>
                  </to>
                </anchor>
              </controlPr>
            </control>
          </mc:Choice>
        </mc:AlternateContent>
        <mc:AlternateContent xmlns:mc="http://schemas.openxmlformats.org/markup-compatibility/2006">
          <mc:Choice Requires="x14">
            <control shapeId="5124" r:id="rId6" name="Button 4">
              <controlPr defaultSize="0" print="0" autoFill="0" autoPict="0" macro="[0]!read_nat">
                <anchor moveWithCells="1" sizeWithCells="1">
                  <from>
                    <xdr:col>1</xdr:col>
                    <xdr:colOff>0</xdr:colOff>
                    <xdr:row>22</xdr:row>
                    <xdr:rowOff>0</xdr:rowOff>
                  </from>
                  <to>
                    <xdr:col>2</xdr:col>
                    <xdr:colOff>0</xdr:colOff>
                    <xdr:row>24</xdr:row>
                    <xdr:rowOff>0</xdr:rowOff>
                  </to>
                </anchor>
              </controlPr>
            </control>
          </mc:Choice>
        </mc:AlternateContent>
        <mc:AlternateContent xmlns:mc="http://schemas.openxmlformats.org/markup-compatibility/2006">
          <mc:Choice Requires="x14">
            <control shapeId="5126" r:id="rId7" name="Button 6">
              <controlPr defaultSize="0" print="0" autoFill="0" autoPict="0" macro="[0]!harmonic.harmonic">
                <anchor moveWithCells="1" sizeWithCells="1">
                  <from>
                    <xdr:col>1</xdr:col>
                    <xdr:colOff>0</xdr:colOff>
                    <xdr:row>24</xdr:row>
                    <xdr:rowOff>0</xdr:rowOff>
                  </from>
                  <to>
                    <xdr:col>2</xdr:col>
                    <xdr:colOff>0</xdr:colOff>
                    <xdr:row>26</xdr:row>
                    <xdr:rowOff>0</xdr:rowOff>
                  </to>
                </anchor>
              </controlPr>
            </control>
          </mc:Choice>
        </mc:AlternateContent>
        <mc:AlternateContent xmlns:mc="http://schemas.openxmlformats.org/markup-compatibility/2006">
          <mc:Choice Requires="x14">
            <control shapeId="5127" r:id="rId8" name="Button 7">
              <controlPr defaultSize="0" print="0" autoFill="0" autoPict="0" macro="[0]!line1">
                <anchor moveWithCells="1" sizeWithCells="1">
                  <from>
                    <xdr:col>1</xdr:col>
                    <xdr:colOff>0</xdr:colOff>
                    <xdr:row>26</xdr:row>
                    <xdr:rowOff>0</xdr:rowOff>
                  </from>
                  <to>
                    <xdr:col>2</xdr:col>
                    <xdr:colOff>0</xdr:colOff>
                    <xdr:row>28</xdr:row>
                    <xdr:rowOff>0</xdr:rowOff>
                  </to>
                </anchor>
              </controlPr>
            </control>
          </mc:Choice>
        </mc:AlternateContent>
        <mc:AlternateContent xmlns:mc="http://schemas.openxmlformats.org/markup-compatibility/2006">
          <mc:Choice Requires="x14">
            <control shapeId="5128" r:id="rId9" name="Button 8">
              <controlPr defaultSize="0" print="0" autoFill="0" autoPict="0" macro="[0]!line2">
                <anchor moveWithCells="1" sizeWithCells="1">
                  <from>
                    <xdr:col>1</xdr:col>
                    <xdr:colOff>0</xdr:colOff>
                    <xdr:row>28</xdr:row>
                    <xdr:rowOff>0</xdr:rowOff>
                  </from>
                  <to>
                    <xdr:col>2</xdr:col>
                    <xdr:colOff>0</xdr:colOff>
                    <xdr:row>30</xdr:row>
                    <xdr:rowOff>0</xdr:rowOff>
                  </to>
                </anchor>
              </controlPr>
            </control>
          </mc:Choice>
        </mc:AlternateContent>
        <mc:AlternateContent xmlns:mc="http://schemas.openxmlformats.org/markup-compatibility/2006">
          <mc:Choice Requires="x14">
            <control shapeId="5129" r:id="rId10" name="Button 9">
              <controlPr defaultSize="0" print="0" autoFill="0" autoPict="0" macro="[0]!freq.VFD">
                <anchor moveWithCells="1" sizeWithCells="1">
                  <from>
                    <xdr:col>1</xdr:col>
                    <xdr:colOff>0</xdr:colOff>
                    <xdr:row>30</xdr:row>
                    <xdr:rowOff>0</xdr:rowOff>
                  </from>
                  <to>
                    <xdr:col>2</xdr:col>
                    <xdr:colOff>0</xdr:colOff>
                    <xdr:row>32</xdr:row>
                    <xdr:rowOff>0</xdr:rowOff>
                  </to>
                </anchor>
              </controlPr>
            </control>
          </mc:Choice>
        </mc:AlternateContent>
        <mc:AlternateContent xmlns:mc="http://schemas.openxmlformats.org/markup-compatibility/2006">
          <mc:Choice Requires="x14">
            <control shapeId="5135" r:id="rId11" name="Option Button 15">
              <controlPr defaultSize="0" autoFill="0" autoLine="0" autoPict="0">
                <anchor moveWithCells="1">
                  <from>
                    <xdr:col>1</xdr:col>
                    <xdr:colOff>0</xdr:colOff>
                    <xdr:row>32</xdr:row>
                    <xdr:rowOff>0</xdr:rowOff>
                  </from>
                  <to>
                    <xdr:col>2</xdr:col>
                    <xdr:colOff>0</xdr:colOff>
                    <xdr:row>33</xdr:row>
                    <xdr:rowOff>0</xdr:rowOff>
                  </to>
                </anchor>
              </controlPr>
            </control>
          </mc:Choice>
        </mc:AlternateContent>
        <mc:AlternateContent xmlns:mc="http://schemas.openxmlformats.org/markup-compatibility/2006">
          <mc:Choice Requires="x14">
            <control shapeId="5136" r:id="rId12" name="Option Button 16">
              <controlPr defaultSize="0" autoFill="0" autoLine="0" autoPict="0">
                <anchor moveWithCells="1">
                  <from>
                    <xdr:col>1</xdr:col>
                    <xdr:colOff>0</xdr:colOff>
                    <xdr:row>33</xdr:row>
                    <xdr:rowOff>0</xdr:rowOff>
                  </from>
                  <to>
                    <xdr:col>2</xdr:col>
                    <xdr:colOff>0</xdr:colOff>
                    <xdr:row>34</xdr:row>
                    <xdr:rowOff>0</xdr:rowOff>
                  </to>
                </anchor>
              </controlPr>
            </control>
          </mc:Choice>
        </mc:AlternateContent>
      </controls>
    </mc:Choice>
  </mc:AlternateContent>
  <tableParts count="2">
    <tablePart r:id="rId13"/>
    <tablePart r:id="rId1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791D1-852C-4C0F-A663-B0B0CE4B2DFD}">
  <sheetPr codeName="Foglio2"/>
  <dimension ref="B2:T29"/>
  <sheetViews>
    <sheetView workbookViewId="0"/>
  </sheetViews>
  <sheetFormatPr defaultRowHeight="15"/>
  <cols>
    <col min="1" max="1" width="2.7109375" customWidth="1"/>
    <col min="13" max="13" width="2.7109375" customWidth="1"/>
    <col min="14" max="14" width="12.140625" bestFit="1" customWidth="1"/>
    <col min="19" max="19" width="2.7109375" customWidth="1"/>
    <col min="20" max="20" width="18.140625" bestFit="1" customWidth="1"/>
  </cols>
  <sheetData>
    <row r="2" spans="2:20" ht="23.25">
      <c r="B2" s="1" t="s">
        <v>8</v>
      </c>
    </row>
    <row r="4" spans="2:20">
      <c r="N4" s="2" t="s">
        <v>34</v>
      </c>
      <c r="O4" s="2" t="s">
        <v>35</v>
      </c>
      <c r="P4" s="2" t="s">
        <v>36</v>
      </c>
      <c r="Q4" s="2" t="s">
        <v>37</v>
      </c>
      <c r="R4" s="2" t="s">
        <v>38</v>
      </c>
      <c r="T4" s="16" t="s">
        <v>9</v>
      </c>
    </row>
    <row r="5" spans="2:20">
      <c r="N5" s="10">
        <v>1</v>
      </c>
      <c r="O5" s="10"/>
      <c r="P5" s="10"/>
      <c r="Q5" s="10"/>
      <c r="R5" s="10"/>
      <c r="T5" s="17" t="s">
        <v>15</v>
      </c>
    </row>
    <row r="6" spans="2:20">
      <c r="T6" s="18" t="s">
        <v>19</v>
      </c>
    </row>
    <row r="7" spans="2:20">
      <c r="T7" s="19" t="s">
        <v>21</v>
      </c>
    </row>
    <row r="27" spans="2:4">
      <c r="B27" s="48" t="s">
        <v>39</v>
      </c>
      <c r="C27" s="49"/>
      <c r="D27" s="7">
        <v>1000</v>
      </c>
    </row>
    <row r="28" spans="2:4">
      <c r="B28" s="48" t="s">
        <v>40</v>
      </c>
      <c r="C28" s="49"/>
      <c r="D28" s="7">
        <v>3000</v>
      </c>
    </row>
    <row r="29" spans="2:4">
      <c r="B29" s="48" t="s">
        <v>41</v>
      </c>
      <c r="C29" s="49"/>
      <c r="D29" s="8">
        <v>0</v>
      </c>
    </row>
  </sheetData>
  <mergeCells count="3">
    <mergeCell ref="B27:C27"/>
    <mergeCell ref="B28:C28"/>
    <mergeCell ref="B29:C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utoscale">
                <anchor moveWithCells="1" sizeWithCells="1">
                  <from>
                    <xdr:col>4</xdr:col>
                    <xdr:colOff>0</xdr:colOff>
                    <xdr:row>26</xdr:row>
                    <xdr:rowOff>0</xdr:rowOff>
                  </from>
                  <to>
                    <xdr:col>6</xdr:col>
                    <xdr:colOff>0</xdr:colOff>
                    <xdr:row>28</xdr:row>
                    <xdr:rowOff>190500</xdr:rowOff>
                  </to>
                </anchor>
              </controlPr>
            </control>
          </mc:Choice>
        </mc:AlternateContent>
        <mc:AlternateContent xmlns:mc="http://schemas.openxmlformats.org/markup-compatibility/2006">
          <mc:Choice Requires="x14">
            <control shapeId="2050" r:id="rId4" name="Button 2">
              <controlPr defaultSize="0" print="0" autoFill="0" autoPict="0" macro="[0]!manual">
                <anchor moveWithCells="1" sizeWithCells="1">
                  <from>
                    <xdr:col>6</xdr:col>
                    <xdr:colOff>0</xdr:colOff>
                    <xdr:row>26</xdr:row>
                    <xdr:rowOff>0</xdr:rowOff>
                  </from>
                  <to>
                    <xdr:col>8</xdr:col>
                    <xdr:colOff>0</xdr:colOff>
                    <xdr:row>29</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57225-D8D1-4072-92E8-59EF872586BF}">
  <sheetPr codeName="Foglio3"/>
  <dimension ref="B2:Q29"/>
  <sheetViews>
    <sheetView workbookViewId="0"/>
  </sheetViews>
  <sheetFormatPr defaultRowHeight="15"/>
  <cols>
    <col min="1" max="1" width="2.7109375" customWidth="1"/>
    <col min="13" max="13" width="2.7109375" customWidth="1"/>
    <col min="14" max="14" width="10.7109375" bestFit="1" customWidth="1"/>
    <col min="16" max="16" width="2.7109375" customWidth="1"/>
    <col min="17" max="17" width="18.140625" bestFit="1" customWidth="1"/>
  </cols>
  <sheetData>
    <row r="2" spans="2:17" ht="23.25">
      <c r="B2" s="1" t="s">
        <v>8</v>
      </c>
    </row>
    <row r="4" spans="2:17">
      <c r="N4" s="2" t="s">
        <v>42</v>
      </c>
      <c r="O4" s="2" t="s">
        <v>43</v>
      </c>
      <c r="Q4" s="16" t="s">
        <v>9</v>
      </c>
    </row>
    <row r="5" spans="2:17">
      <c r="N5" s="10">
        <v>1</v>
      </c>
      <c r="O5" s="10"/>
      <c r="Q5" s="17" t="s">
        <v>15</v>
      </c>
    </row>
    <row r="6" spans="2:17">
      <c r="Q6" s="18" t="s">
        <v>19</v>
      </c>
    </row>
    <row r="7" spans="2:17">
      <c r="Q7" s="19" t="s">
        <v>21</v>
      </c>
    </row>
    <row r="27" spans="2:4">
      <c r="B27" s="50" t="s">
        <v>39</v>
      </c>
      <c r="C27" s="50"/>
      <c r="D27" s="7">
        <v>500</v>
      </c>
    </row>
    <row r="28" spans="2:4">
      <c r="B28" s="50" t="s">
        <v>40</v>
      </c>
      <c r="C28" s="50"/>
      <c r="D28" s="7">
        <v>3000</v>
      </c>
    </row>
    <row r="29" spans="2:4">
      <c r="B29" s="50" t="s">
        <v>44</v>
      </c>
      <c r="C29" s="50"/>
      <c r="D29" s="9">
        <v>0</v>
      </c>
    </row>
  </sheetData>
  <mergeCells count="3">
    <mergeCell ref="B27:C27"/>
    <mergeCell ref="B28:C28"/>
    <mergeCell ref="B29:C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utoscale">
                <anchor moveWithCells="1" sizeWithCells="1">
                  <from>
                    <xdr:col>4</xdr:col>
                    <xdr:colOff>0</xdr:colOff>
                    <xdr:row>26</xdr:row>
                    <xdr:rowOff>0</xdr:rowOff>
                  </from>
                  <to>
                    <xdr:col>6</xdr:col>
                    <xdr:colOff>0</xdr:colOff>
                    <xdr:row>29</xdr:row>
                    <xdr:rowOff>0</xdr:rowOff>
                  </to>
                </anchor>
              </controlPr>
            </control>
          </mc:Choice>
        </mc:AlternateContent>
        <mc:AlternateContent xmlns:mc="http://schemas.openxmlformats.org/markup-compatibility/2006">
          <mc:Choice Requires="x14">
            <control shapeId="3074" r:id="rId4" name="Button 2">
              <controlPr defaultSize="0" print="0" autoFill="0" autoPict="0" macro="[0]!manual">
                <anchor moveWithCells="1" sizeWithCells="1">
                  <from>
                    <xdr:col>6</xdr:col>
                    <xdr:colOff>0</xdr:colOff>
                    <xdr:row>26</xdr:row>
                    <xdr:rowOff>0</xdr:rowOff>
                  </from>
                  <to>
                    <xdr:col>8</xdr:col>
                    <xdr:colOff>0</xdr:colOff>
                    <xdr:row>29</xdr:row>
                    <xdr:rowOff>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7635C-44FD-428B-861B-B9FB6F53C566}">
  <sheetPr codeName="Foglio4"/>
  <dimension ref="B2:Q29"/>
  <sheetViews>
    <sheetView workbookViewId="0"/>
  </sheetViews>
  <sheetFormatPr defaultRowHeight="15"/>
  <cols>
    <col min="1" max="1" width="2.7109375" customWidth="1"/>
    <col min="13" max="13" width="2.7109375" customWidth="1"/>
    <col min="14" max="14" width="10.7109375" bestFit="1" customWidth="1"/>
    <col min="16" max="16" width="2.7109375" customWidth="1"/>
    <col min="17" max="17" width="18.140625" bestFit="1" customWidth="1"/>
  </cols>
  <sheetData>
    <row r="2" spans="2:17" ht="23.25">
      <c r="B2" s="1" t="s">
        <v>8</v>
      </c>
    </row>
    <row r="4" spans="2:17">
      <c r="N4" s="2" t="s">
        <v>42</v>
      </c>
      <c r="O4" s="2" t="s">
        <v>45</v>
      </c>
      <c r="Q4" s="16" t="s">
        <v>9</v>
      </c>
    </row>
    <row r="5" spans="2:17">
      <c r="N5" s="10">
        <v>1</v>
      </c>
      <c r="O5" s="10"/>
      <c r="Q5" s="17" t="s">
        <v>15</v>
      </c>
    </row>
    <row r="6" spans="2:17">
      <c r="Q6" s="18" t="s">
        <v>19</v>
      </c>
    </row>
    <row r="7" spans="2:17">
      <c r="Q7" s="19" t="s">
        <v>21</v>
      </c>
    </row>
    <row r="27" spans="2:4">
      <c r="B27" s="50" t="s">
        <v>39</v>
      </c>
      <c r="C27" s="50"/>
      <c r="D27" s="7">
        <v>500</v>
      </c>
    </row>
    <row r="28" spans="2:4">
      <c r="B28" s="50" t="s">
        <v>40</v>
      </c>
      <c r="C28" s="50"/>
      <c r="D28" s="7">
        <v>3000</v>
      </c>
    </row>
    <row r="29" spans="2:4">
      <c r="B29" s="50" t="s">
        <v>44</v>
      </c>
      <c r="C29" s="50"/>
      <c r="D29" s="9">
        <v>0</v>
      </c>
    </row>
  </sheetData>
  <mergeCells count="3">
    <mergeCell ref="B27:C27"/>
    <mergeCell ref="B28:C28"/>
    <mergeCell ref="B29:C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autoscale">
                <anchor moveWithCells="1" sizeWithCells="1">
                  <from>
                    <xdr:col>4</xdr:col>
                    <xdr:colOff>0</xdr:colOff>
                    <xdr:row>26</xdr:row>
                    <xdr:rowOff>0</xdr:rowOff>
                  </from>
                  <to>
                    <xdr:col>6</xdr:col>
                    <xdr:colOff>0</xdr:colOff>
                    <xdr:row>29</xdr:row>
                    <xdr:rowOff>0</xdr:rowOff>
                  </to>
                </anchor>
              </controlPr>
            </control>
          </mc:Choice>
        </mc:AlternateContent>
        <mc:AlternateContent xmlns:mc="http://schemas.openxmlformats.org/markup-compatibility/2006">
          <mc:Choice Requires="x14">
            <control shapeId="4098" r:id="rId4" name="Button 2">
              <controlPr defaultSize="0" print="0" autoFill="0" autoPict="0" macro="[0]!manual">
                <anchor moveWithCells="1" sizeWithCells="1">
                  <from>
                    <xdr:col>6</xdr:col>
                    <xdr:colOff>0</xdr:colOff>
                    <xdr:row>26</xdr:row>
                    <xdr:rowOff>0</xdr:rowOff>
                  </from>
                  <to>
                    <xdr:col>8</xdr:col>
                    <xdr:colOff>0</xdr:colOff>
                    <xdr:row>29</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B1528-2F2D-4DEB-992C-0666066718D4}">
  <sheetPr codeName="Foglio5"/>
  <dimension ref="B2:Q29"/>
  <sheetViews>
    <sheetView workbookViewId="0"/>
  </sheetViews>
  <sheetFormatPr defaultRowHeight="15"/>
  <cols>
    <col min="1" max="1" width="2.7109375" customWidth="1"/>
    <col min="13" max="13" width="2.7109375" customWidth="1"/>
    <col min="14" max="14" width="10.7109375" bestFit="1" customWidth="1"/>
    <col min="16" max="16" width="2.7109375" customWidth="1"/>
    <col min="17" max="17" width="18.140625" bestFit="1" customWidth="1"/>
  </cols>
  <sheetData>
    <row r="2" spans="2:17" ht="23.25">
      <c r="B2" s="1" t="s">
        <v>8</v>
      </c>
    </row>
    <row r="4" spans="2:17">
      <c r="N4" s="2" t="s">
        <v>42</v>
      </c>
      <c r="O4" s="2" t="s">
        <v>46</v>
      </c>
      <c r="Q4" s="16" t="s">
        <v>9</v>
      </c>
    </row>
    <row r="5" spans="2:17">
      <c r="N5" s="10">
        <v>1</v>
      </c>
      <c r="O5" s="10"/>
      <c r="Q5" s="17" t="s">
        <v>15</v>
      </c>
    </row>
    <row r="6" spans="2:17">
      <c r="Q6" s="18" t="s">
        <v>19</v>
      </c>
    </row>
    <row r="7" spans="2:17">
      <c r="Q7" s="19" t="s">
        <v>21</v>
      </c>
    </row>
    <row r="27" spans="2:4">
      <c r="B27" s="50" t="s">
        <v>39</v>
      </c>
      <c r="C27" s="50"/>
      <c r="D27" s="7">
        <v>500</v>
      </c>
    </row>
    <row r="28" spans="2:4">
      <c r="B28" s="50" t="s">
        <v>40</v>
      </c>
      <c r="C28" s="50"/>
      <c r="D28" s="7">
        <v>3000</v>
      </c>
    </row>
    <row r="29" spans="2:4">
      <c r="B29" s="50" t="s">
        <v>44</v>
      </c>
      <c r="C29" s="50"/>
      <c r="D29" s="9">
        <v>0</v>
      </c>
    </row>
  </sheetData>
  <mergeCells count="3">
    <mergeCell ref="B27:C27"/>
    <mergeCell ref="B28:C28"/>
    <mergeCell ref="B29:C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autoscale">
                <anchor moveWithCells="1" sizeWithCells="1">
                  <from>
                    <xdr:col>4</xdr:col>
                    <xdr:colOff>0</xdr:colOff>
                    <xdr:row>26</xdr:row>
                    <xdr:rowOff>0</xdr:rowOff>
                  </from>
                  <to>
                    <xdr:col>6</xdr:col>
                    <xdr:colOff>0</xdr:colOff>
                    <xdr:row>29</xdr:row>
                    <xdr:rowOff>0</xdr:rowOff>
                  </to>
                </anchor>
              </controlPr>
            </control>
          </mc:Choice>
        </mc:AlternateContent>
        <mc:AlternateContent xmlns:mc="http://schemas.openxmlformats.org/markup-compatibility/2006">
          <mc:Choice Requires="x14">
            <control shapeId="6146" r:id="rId4" name="Button 2">
              <controlPr defaultSize="0" print="0" autoFill="0" autoPict="0" macro="[0]!manual">
                <anchor moveWithCells="1" sizeWithCells="1">
                  <from>
                    <xdr:col>6</xdr:col>
                    <xdr:colOff>0</xdr:colOff>
                    <xdr:row>26</xdr:row>
                    <xdr:rowOff>0</xdr:rowOff>
                  </from>
                  <to>
                    <xdr:col>8</xdr:col>
                    <xdr:colOff>0</xdr:colOff>
                    <xdr:row>29</xdr:row>
                    <xdr:rowOff>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3FF5BB9810E8454BA2B38D00B6D18848" ma:contentTypeVersion="3" ma:contentTypeDescription="Creare un nuovo documento." ma:contentTypeScope="" ma:versionID="85968c8a5930af966cb491cc87274750">
  <xsd:schema xmlns:xsd="http://www.w3.org/2001/XMLSchema" xmlns:xs="http://www.w3.org/2001/XMLSchema" xmlns:p="http://schemas.microsoft.com/office/2006/metadata/properties" xmlns:ns2="427a1db5-2437-44f3-a84b-464aead4a71a" targetNamespace="http://schemas.microsoft.com/office/2006/metadata/properties" ma:root="true" ma:fieldsID="d822db9e2d05bc620d08fbffa4bfffa8" ns2:_="">
    <xsd:import namespace="427a1db5-2437-44f3-a84b-464aead4a7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7a1db5-2437-44f3-a84b-464aead4a7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E00509-D958-4A1F-9FA2-87943231A631}"/>
</file>

<file path=customXml/itemProps2.xml><?xml version="1.0" encoding="utf-8"?>
<ds:datastoreItem xmlns:ds="http://schemas.openxmlformats.org/officeDocument/2006/customXml" ds:itemID="{824C91F0-DBEC-4ED3-B58E-7E8221311BF6}"/>
</file>

<file path=customXml/itemProps3.xml><?xml version="1.0" encoding="utf-8"?>
<ds:datastoreItem xmlns:ds="http://schemas.openxmlformats.org/officeDocument/2006/customXml" ds:itemID="{BB3B8099-C7B8-48BB-94AA-0E2C304E88B9}"/>
</file>

<file path=docProps/app.xml><?xml version="1.0" encoding="utf-8"?>
<Properties xmlns="http://schemas.openxmlformats.org/officeDocument/2006/extended-properties" xmlns:vt="http://schemas.openxmlformats.org/officeDocument/2006/docPropsVTypes">
  <Application>Microsoft Excel Online</Application>
  <Manager/>
  <Company>Trillium Flow Technologies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Fabrizio Cademartori</dc:creator>
  <cp:keywords/>
  <dc:description/>
  <cp:lastModifiedBy/>
  <cp:revision/>
  <dcterms:created xsi:type="dcterms:W3CDTF">2023-11-30T14:16:04Z</dcterms:created>
  <dcterms:modified xsi:type="dcterms:W3CDTF">2023-12-20T14:54:46Z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0x0101003FF5BB9810E8454BA2B38D00B6D18848</vt:lpwstr>
  </property>
</Properties>
</file>