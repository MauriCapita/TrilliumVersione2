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4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5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6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7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8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9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drawings/drawing10.xml" ContentType="application/vnd.openxmlformats-officedocument.drawing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R:\Documentale\# Nuovo Documentale\Area di lavoro HSEQ\Borghetti\"/>
    </mc:Choice>
  </mc:AlternateContent>
  <xr:revisionPtr revIDLastSave="0" documentId="13_ncr:1_{AA9332C0-4DEF-45D6-B9F7-C3C07B4AA56B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Summary" sheetId="6" r:id="rId1"/>
    <sheet name="Lateral Rotordynamic Analysis 1" sheetId="1" state="hidden" r:id="rId2"/>
    <sheet name="Lateral Rotordynamic Analysis 2" sheetId="7" r:id="rId3"/>
    <sheet name="Lateral Rotordynamic Analysis 3" sheetId="8" state="hidden" r:id="rId4"/>
    <sheet name="Torsional Rotordynamic An. 1" sheetId="5" state="hidden" r:id="rId5"/>
    <sheet name="Torsional Rotordynamic An. 2" sheetId="9" r:id="rId6"/>
    <sheet name="Torsional Rotordynamic An. 3" sheetId="10" state="hidden" r:id="rId7"/>
    <sheet name="Structural Dynamic Analysis 1" sheetId="3" state="hidden" r:id="rId8"/>
    <sheet name="Structural Dynamic Analysis 2" sheetId="11" r:id="rId9"/>
    <sheet name="Structural Dynamic Analysis 3" sheetId="12" state="hidden" r:id="rId10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6" l="1" a="1"/>
  <c r="D7" i="6" s="1"/>
  <c r="E7" i="6" s="1" a="1"/>
  <c r="E7" i="6" s="1"/>
  <c r="U2" i="12"/>
  <c r="U2" i="11"/>
  <c r="I18" i="12"/>
  <c r="I16" i="12"/>
  <c r="I14" i="12"/>
  <c r="I12" i="12"/>
  <c r="I10" i="12"/>
  <c r="I8" i="12"/>
  <c r="I6" i="12"/>
  <c r="I4" i="12"/>
  <c r="R3" i="12"/>
  <c r="I14" i="11"/>
  <c r="I12" i="11"/>
  <c r="I10" i="11"/>
  <c r="I8" i="11"/>
  <c r="I6" i="11"/>
  <c r="I4" i="11"/>
  <c r="R3" i="11"/>
  <c r="U2" i="10"/>
  <c r="U2" i="9"/>
  <c r="I20" i="10"/>
  <c r="I18" i="10"/>
  <c r="I16" i="10"/>
  <c r="I14" i="10"/>
  <c r="I12" i="10"/>
  <c r="I10" i="10"/>
  <c r="I8" i="10"/>
  <c r="I6" i="10"/>
  <c r="I4" i="10"/>
  <c r="I22" i="10" s="1"/>
  <c r="R3" i="10"/>
  <c r="I20" i="9"/>
  <c r="I18" i="9"/>
  <c r="I16" i="9"/>
  <c r="I14" i="9"/>
  <c r="I12" i="9"/>
  <c r="I10" i="9"/>
  <c r="I8" i="9"/>
  <c r="I6" i="9"/>
  <c r="I4" i="9"/>
  <c r="R3" i="9"/>
  <c r="U2" i="8"/>
  <c r="I20" i="8"/>
  <c r="I18" i="8"/>
  <c r="I16" i="8"/>
  <c r="I14" i="8"/>
  <c r="I12" i="8"/>
  <c r="I10" i="8"/>
  <c r="I8" i="8"/>
  <c r="I6" i="8"/>
  <c r="I4" i="8"/>
  <c r="I22" i="8" s="1"/>
  <c r="R3" i="8"/>
  <c r="I20" i="7"/>
  <c r="I18" i="7"/>
  <c r="I16" i="7"/>
  <c r="I14" i="7"/>
  <c r="I12" i="7"/>
  <c r="I10" i="7"/>
  <c r="I8" i="7"/>
  <c r="I6" i="7"/>
  <c r="I4" i="7"/>
  <c r="R3" i="7"/>
  <c r="I20" i="12" l="1"/>
  <c r="I18" i="11"/>
  <c r="I22" i="9"/>
  <c r="I22" i="7"/>
  <c r="U2" i="7" s="1"/>
  <c r="I4" i="3"/>
  <c r="R3" i="3"/>
  <c r="I14" i="5"/>
  <c r="I12" i="5"/>
  <c r="I4" i="5"/>
  <c r="I20" i="5"/>
  <c r="I18" i="5"/>
  <c r="I16" i="5"/>
  <c r="I10" i="5"/>
  <c r="I8" i="5"/>
  <c r="I6" i="5"/>
  <c r="R3" i="5"/>
  <c r="I22" i="5" l="1"/>
  <c r="U2" i="5" s="1"/>
  <c r="D6" i="6" s="1" a="1"/>
  <c r="D6" i="6" s="1"/>
  <c r="E6" i="6" s="1" a="1"/>
  <c r="E6" i="6" s="1"/>
  <c r="I12" i="3"/>
  <c r="I10" i="3"/>
  <c r="I8" i="3"/>
  <c r="I6" i="3"/>
  <c r="I14" i="3"/>
  <c r="I18" i="3" l="1"/>
  <c r="U2" i="3" s="1"/>
  <c r="I4" i="1"/>
  <c r="I18" i="1" l="1"/>
  <c r="R3" i="1" l="1"/>
  <c r="I16" i="1"/>
  <c r="I12" i="1"/>
  <c r="I14" i="1"/>
  <c r="I10" i="1"/>
  <c r="I8" i="1"/>
  <c r="I6" i="1"/>
  <c r="I20" i="1" l="1"/>
  <c r="U2" i="1" s="1"/>
  <c r="D5" i="6" s="1" a="1"/>
  <c r="D5" i="6" s="1"/>
  <c r="E5" i="6" s="1" a="1"/>
  <c r="E5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<sst xmlns="http://schemas.openxmlformats.org/spreadsheetml/2006/main" count="206" uniqueCount="40">
  <si>
    <t>Project n°</t>
  </si>
  <si>
    <t>T00000.00</t>
  </si>
  <si>
    <t>Model name</t>
  </si>
  <si>
    <t>xxxxxxxx</t>
  </si>
  <si>
    <t>Pump type</t>
  </si>
  <si>
    <t>RUN</t>
  </si>
  <si>
    <t>Level</t>
  </si>
  <si>
    <t>Types OH &amp; BB Pumps with Rigid Rotor Designs</t>
  </si>
  <si>
    <t>Analyses
required</t>
  </si>
  <si>
    <t>Types OH &amp; BB Pumps with Flexible Rotor Designs</t>
  </si>
  <si>
    <t>Type VS Pumps</t>
  </si>
  <si>
    <t>Date</t>
  </si>
  <si>
    <t>Compiled by</t>
  </si>
  <si>
    <t>Revision</t>
  </si>
  <si>
    <t>By</t>
  </si>
  <si>
    <t>Approved</t>
  </si>
  <si>
    <t>Details of Revision</t>
  </si>
  <si>
    <t>draft</t>
  </si>
  <si>
    <t>F.Cademartori</t>
  </si>
  <si>
    <t xml:space="preserve">Released </t>
  </si>
  <si>
    <t>Uncertainty value U</t>
  </si>
  <si>
    <t>RISK NUMBER R</t>
  </si>
  <si>
    <t>RUN Value</t>
  </si>
  <si>
    <t>Suggested level
of analysis</t>
  </si>
  <si>
    <t>Lateral Rotordynamic Analysis</t>
  </si>
  <si>
    <t>≤ 15</t>
  </si>
  <si>
    <t>None required</t>
  </si>
  <si>
    <t>&gt; 15; ≤ 20</t>
  </si>
  <si>
    <t>Level 1</t>
  </si>
  <si>
    <t>&gt; 20; ≤ 50</t>
  </si>
  <si>
    <t>Level 2</t>
  </si>
  <si>
    <t>&gt; 50; ≤ 160</t>
  </si>
  <si>
    <t>Level 3</t>
  </si>
  <si>
    <t>&gt; 160</t>
  </si>
  <si>
    <t>Level 3  + Validation</t>
  </si>
  <si>
    <t>System Configuration Total U</t>
  </si>
  <si>
    <t xml:space="preserve"> </t>
  </si>
  <si>
    <t>Torsional Rotordynamic Analysis</t>
  </si>
  <si>
    <t>Structural Dynamic Analysis</t>
  </si>
  <si>
    <t>NOTE: for vertically oriented OH &amp; BB pump types, use type VS pump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</si>
</sst>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i/>
      <sz val="11"/>
      <color theme="0" tint="-0.249977111117893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hair">
        <color indexed="64"/>
      </bottom>
      <diagonal/>
    </border>
    <border>
      <left/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4">
    <xf numFmtId="0" fontId="0" fillId="0" borderId="0" xfId="0"/>
    <xf numFmtId="0" fontId="2" fillId="0" borderId="1" xfId="0" applyFont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0" xfId="0" applyFill="1"/>
    <xf numFmtId="0" fontId="2" fillId="2" borderId="1" xfId="0" applyFont="1" applyFill="1" applyBorder="1" applyAlignment="1">
      <alignment horizontal="center"/>
    </xf>
    <xf numFmtId="0" fontId="1" fillId="0" borderId="0" xfId="1" applyBorder="1" applyAlignment="1"/>
    <xf numFmtId="0" fontId="4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5" fillId="0" borderId="0" xfId="0" applyFont="1"/>
    <xf numFmtId="0" fontId="0" fillId="2" borderId="4" xfId="0" applyFill="1" applyBorder="1"/>
    <xf numFmtId="0" fontId="2" fillId="2" borderId="11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 vertical="center" wrapText="1"/>
    </xf>
    <xf numFmtId="15" fontId="7" fillId="0" borderId="21" xfId="0" applyNumberFormat="1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1" fillId="0" borderId="0" xfId="1" applyBorder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9" xfId="0" applyBorder="1" applyAlignment="1">
      <alignment vertical="center"/>
    </xf>
    <xf numFmtId="0" fontId="8" fillId="3" borderId="22" xfId="0" applyFont="1" applyFill="1" applyBorder="1" applyAlignment="1">
      <alignment horizontal="center" vertical="center"/>
    </xf>
    <xf numFmtId="0" fontId="8" fillId="3" borderId="25" xfId="0" applyFont="1" applyFill="1" applyBorder="1" applyAlignment="1">
      <alignment horizontal="center" vertical="center"/>
    </xf>
    <xf numFmtId="0" fontId="8" fillId="3" borderId="28" xfId="0" applyFont="1" applyFill="1" applyBorder="1" applyAlignment="1">
      <alignment horizontal="center" vertical="center"/>
    </xf>
    <xf numFmtId="0" fontId="8" fillId="3" borderId="31" xfId="0" applyFont="1" applyFill="1" applyBorder="1" applyAlignment="1">
      <alignment horizontal="center" vertical="center"/>
    </xf>
    <xf numFmtId="0" fontId="8" fillId="3" borderId="34" xfId="0" applyFont="1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8" fillId="3" borderId="36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0" fillId="0" borderId="41" xfId="0" applyBorder="1" applyAlignment="1">
      <alignment vertical="center"/>
    </xf>
    <xf numFmtId="0" fontId="3" fillId="0" borderId="42" xfId="0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0" fontId="8" fillId="3" borderId="38" xfId="0" applyFont="1" applyFill="1" applyBorder="1" applyAlignment="1">
      <alignment horizontal="center" vertical="center" textRotation="90" wrapText="1"/>
    </xf>
    <xf numFmtId="0" fontId="8" fillId="3" borderId="38" xfId="0" applyFont="1" applyFill="1" applyBorder="1" applyAlignment="1">
      <alignment horizontal="center" vertical="center" textRotation="90"/>
    </xf>
    <xf numFmtId="0" fontId="8" fillId="3" borderId="40" xfId="0" applyFont="1" applyFill="1" applyBorder="1" applyAlignment="1">
      <alignment horizontal="center" vertical="center" textRotation="90"/>
    </xf>
    <xf numFmtId="0" fontId="3" fillId="0" borderId="23" xfId="0" quotePrefix="1" applyFont="1" applyBorder="1" applyAlignment="1">
      <alignment horizontal="left" vertical="center"/>
    </xf>
    <xf numFmtId="0" fontId="3" fillId="0" borderId="24" xfId="0" quotePrefix="1" applyFont="1" applyBorder="1" applyAlignment="1">
      <alignment horizontal="left" vertical="center"/>
    </xf>
    <xf numFmtId="0" fontId="3" fillId="0" borderId="29" xfId="0" quotePrefix="1" applyFont="1" applyBorder="1" applyAlignment="1">
      <alignment horizontal="left" vertical="center"/>
    </xf>
    <xf numFmtId="0" fontId="3" fillId="0" borderId="30" xfId="0" quotePrefix="1" applyFont="1" applyBorder="1" applyAlignment="1">
      <alignment horizontal="left" vertical="center"/>
    </xf>
    <xf numFmtId="0" fontId="3" fillId="0" borderId="32" xfId="0" applyFont="1" applyBorder="1" applyAlignment="1">
      <alignment horizontal="left" vertical="center"/>
    </xf>
    <xf numFmtId="0" fontId="3" fillId="0" borderId="33" xfId="0" applyFont="1" applyBorder="1" applyAlignment="1">
      <alignment horizontal="left" vertical="center"/>
    </xf>
    <xf numFmtId="0" fontId="3" fillId="0" borderId="26" xfId="0" applyFont="1" applyBorder="1" applyAlignment="1">
      <alignment horizontal="left" vertical="center"/>
    </xf>
    <xf numFmtId="0" fontId="3" fillId="0" borderId="27" xfId="0" applyFont="1" applyBorder="1" applyAlignment="1">
      <alignment horizontal="left" vertical="center"/>
    </xf>
    <xf numFmtId="0" fontId="0" fillId="2" borderId="3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0" borderId="12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1" fillId="0" borderId="7" xfId="1" applyBorder="1" applyAlignment="1">
      <alignment horizontal="center"/>
    </xf>
    <xf numFmtId="0" fontId="1" fillId="0" borderId="8" xfId="1" applyBorder="1" applyAlignment="1">
      <alignment horizontal="center"/>
    </xf>
    <xf numFmtId="0" fontId="1" fillId="0" borderId="9" xfId="1" applyBorder="1" applyAlignment="1">
      <alignment horizontal="center"/>
    </xf>
    <xf numFmtId="0" fontId="1" fillId="0" borderId="12" xfId="1" applyBorder="1" applyAlignment="1">
      <alignment horizontal="center" vertical="center"/>
    </xf>
    <xf numFmtId="0" fontId="1" fillId="0" borderId="10" xfId="1" applyBorder="1" applyAlignment="1">
      <alignment horizontal="center" vertical="center"/>
    </xf>
    <xf numFmtId="0" fontId="1" fillId="0" borderId="11" xfId="1" applyBorder="1" applyAlignment="1">
      <alignment horizontal="center" vertical="center"/>
    </xf>
    <xf numFmtId="0" fontId="3" fillId="0" borderId="12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0" fillId="2" borderId="2" xfId="0" applyFill="1" applyBorder="1" applyAlignment="1">
      <alignment horizontal="left" vertical="center" wrapText="1"/>
    </xf>
    <xf numFmtId="0" fontId="0" fillId="2" borderId="3" xfId="0" applyFill="1" applyBorder="1" applyAlignment="1">
      <alignment horizontal="left" vertical="center" wrapText="1"/>
    </xf>
    <xf numFmtId="0" fontId="0" fillId="2" borderId="13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left" vertical="center" wrapText="1"/>
    </xf>
    <xf numFmtId="0" fontId="0" fillId="2" borderId="6" xfId="0" applyFill="1" applyBorder="1" applyAlignment="1">
      <alignment horizontal="left" vertical="center" wrapText="1"/>
    </xf>
    <xf numFmtId="0" fontId="0" fillId="2" borderId="14" xfId="0" applyFill="1" applyBorder="1" applyAlignment="1">
      <alignment horizontal="left" vertical="center" wrapText="1"/>
    </xf>
  </cellXfs>
  <cellStyles count="2">
    <cellStyle name="Normale" xfId="0" builtinId="0"/>
    <cellStyle name="Titolo" xfId="1" builtinId="15"/>
  </cellStyles>
  <dxfs count="4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  <dxf>
      <font>
        <color auto="1"/>
      </font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Drop" dropStyle="combo" dx="16" fmlaLink="$A$4" fmlaRange="$H$4:$H$6" sel="3" val="0"/>
</file>

<file path=xl/ctrlProps/ctrlProp2.xml><?xml version="1.0" encoding="utf-8"?>
<formControlPr xmlns="http://schemas.microsoft.com/office/spreadsheetml/2009/9/main" objectType="CheckBox" checked="Checked" fmlaLink="$A$5" lockText="1"/>
</file>

<file path=xl/ctrlProps/ctrlProp3.xml><?xml version="1.0" encoding="utf-8"?>
<formControlPr xmlns="http://schemas.microsoft.com/office/spreadsheetml/2009/9/main" objectType="CheckBox" checked="Checked" fmlaLink="$A$6" lockText="1"/>
</file>

<file path=xl/ctrlProps/ctrlProp4.xml><?xml version="1.0" encoding="utf-8"?>
<formControlPr xmlns="http://schemas.microsoft.com/office/spreadsheetml/2009/9/main" objectType="CheckBox" checked="Checked" fmlaLink="$A$7" lockText="1"/>
</file>

<file path=xl/ctrlProps/ctrlProp5.xml><?xml version="1.0" encoding="utf-8"?>
<formControlPr xmlns="http://schemas.microsoft.com/office/spreadsheetml/2009/9/main" objectType="CheckBox" fmlaLink="$H$6" lockText="1"/>
</file>

<file path=xl/ctrlProps/ctrlProp6.xml><?xml version="1.0" encoding="utf-8"?>
<formControlPr xmlns="http://schemas.microsoft.com/office/spreadsheetml/2009/9/main" objectType="CheckBox" fmlaLink="$H$8" lockText="1"/>
</file>

<file path=xl/ctrlProps/ctrlProp7.xml><?xml version="1.0" encoding="utf-8"?>
<formControlPr xmlns="http://schemas.microsoft.com/office/spreadsheetml/2009/9/main" objectType="CheckBox" fmlaLink="$H$10" lockText="1"/>
</file>

<file path=xl/ctrlProps/ctrlProp8.xml><?xml version="1.0" encoding="utf-8"?>
<formControlPr xmlns="http://schemas.microsoft.com/office/spreadsheetml/2009/9/main" objectType="CheckBox" fmlaLink="$H$12" lockText="1"/>
</file>

<file path=xl/ctrlProps/ctrlProp9.xml><?xml version="1.0" encoding="utf-8"?>
<formControlPr xmlns="http://schemas.microsoft.com/office/spreadsheetml/2009/9/main" objectType="CheckBox" fmlaLink="$H$14:$H$15" lockText="1"/>
</file>

<file path=xl/ctrlProps/ctrlProp10.xml><?xml version="1.0" encoding="utf-8"?>
<formControlPr xmlns="http://schemas.microsoft.com/office/spreadsheetml/2009/9/main" objectType="CheckBox" fmlaLink="$H$18" lockText="1"/>
</file>

<file path=xl/ctrlProps/ctrlProp11.xml><?xml version="1.0" encoding="utf-8"?>
<formControlPr xmlns="http://schemas.microsoft.com/office/spreadsheetml/2009/9/main" objectType="CheckBox" fmlaLink="$H$4" lockText="1"/>
</file>

<file path=xl/ctrlProps/ctrlProp12.xml><?xml version="1.0" encoding="utf-8"?>
<formControlPr xmlns="http://schemas.microsoft.com/office/spreadsheetml/2009/9/main" objectType="CheckBox" fmlaLink="$H$16" lockText="1"/>
</file>

<file path=xl/ctrlProps/ctrlProp13.xml><?xml version="1.0" encoding="utf-8"?>
<formControlPr xmlns="http://schemas.microsoft.com/office/spreadsheetml/2009/9/main" objectType="Radio" firstButton="1" fmlaLink="$Q$3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checked="Checked" lockText="1" noThreeD="1"/>
</file>

<file path=xl/ctrlProps/ctrlProp17.xml><?xml version="1.0" encoding="utf-8"?>
<formControlPr xmlns="http://schemas.microsoft.com/office/spreadsheetml/2009/9/main" objectType="Radio" firstButton="1" fmlaLink="$Q$3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CheckBox" fmlaLink="$H$6" lockText="1"/>
</file>

<file path=xl/ctrlProps/ctrlProp22.xml><?xml version="1.0" encoding="utf-8"?>
<formControlPr xmlns="http://schemas.microsoft.com/office/spreadsheetml/2009/9/main" objectType="CheckBox" fmlaLink="$H$8" lockText="1"/>
</file>

<file path=xl/ctrlProps/ctrlProp23.xml><?xml version="1.0" encoding="utf-8"?>
<formControlPr xmlns="http://schemas.microsoft.com/office/spreadsheetml/2009/9/main" objectType="CheckBox" fmlaLink="$H$10" lockText="1"/>
</file>

<file path=xl/ctrlProps/ctrlProp24.xml><?xml version="1.0" encoding="utf-8"?>
<formControlPr xmlns="http://schemas.microsoft.com/office/spreadsheetml/2009/9/main" objectType="CheckBox" fmlaLink="$H$12" lockText="1"/>
</file>

<file path=xl/ctrlProps/ctrlProp25.xml><?xml version="1.0" encoding="utf-8"?>
<formControlPr xmlns="http://schemas.microsoft.com/office/spreadsheetml/2009/9/main" objectType="CheckBox" fmlaLink="$H$14" lockText="1"/>
</file>

<file path=xl/ctrlProps/ctrlProp26.xml><?xml version="1.0" encoding="utf-8"?>
<formControlPr xmlns="http://schemas.microsoft.com/office/spreadsheetml/2009/9/main" objectType="CheckBox" fmlaLink="$H$16" lockText="1"/>
</file>

<file path=xl/ctrlProps/ctrlProp27.xml><?xml version="1.0" encoding="utf-8"?>
<formControlPr xmlns="http://schemas.microsoft.com/office/spreadsheetml/2009/9/main" objectType="CheckBox" fmlaLink="$H$20" lockText="1"/>
</file>

<file path=xl/ctrlProps/ctrlProp28.xml><?xml version="1.0" encoding="utf-8"?>
<formControlPr xmlns="http://schemas.microsoft.com/office/spreadsheetml/2009/9/main" objectType="CheckBox" fmlaLink="$H$4" lockText="1"/>
</file>

<file path=xl/ctrlProps/ctrlProp29.xml><?xml version="1.0" encoding="utf-8"?>
<formControlPr xmlns="http://schemas.microsoft.com/office/spreadsheetml/2009/9/main" objectType="CheckBox" fmlaLink="$H$18" lockText="1"/>
</file>

<file path=xl/ctrlProps/ctrlProp30.xml><?xml version="1.0" encoding="utf-8"?>
<formControlPr xmlns="http://schemas.microsoft.com/office/spreadsheetml/2009/9/main" objectType="Radio" firstButton="1" fmlaLink="$Q$3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CheckBox" fmlaLink="$H$6" lockText="1"/>
</file>

<file path=xl/ctrlProps/ctrlProp35.xml><?xml version="1.0" encoding="utf-8"?>
<formControlPr xmlns="http://schemas.microsoft.com/office/spreadsheetml/2009/9/main" objectType="CheckBox" fmlaLink="$H$8" lockText="1"/>
</file>

<file path=xl/ctrlProps/ctrlProp36.xml><?xml version="1.0" encoding="utf-8"?>
<formControlPr xmlns="http://schemas.microsoft.com/office/spreadsheetml/2009/9/main" objectType="CheckBox" fmlaLink="$H$10" lockText="1"/>
</file>

<file path=xl/ctrlProps/ctrlProp37.xml><?xml version="1.0" encoding="utf-8"?>
<formControlPr xmlns="http://schemas.microsoft.com/office/spreadsheetml/2009/9/main" objectType="CheckBox" fmlaLink="$H$12" lockText="1"/>
</file>

<file path=xl/ctrlProps/ctrlProp38.xml><?xml version="1.0" encoding="utf-8"?>
<formControlPr xmlns="http://schemas.microsoft.com/office/spreadsheetml/2009/9/main" objectType="CheckBox" fmlaLink="$H$14" lockText="1"/>
</file>

<file path=xl/ctrlProps/ctrlProp39.xml><?xml version="1.0" encoding="utf-8"?>
<formControlPr xmlns="http://schemas.microsoft.com/office/spreadsheetml/2009/9/main" objectType="CheckBox" fmlaLink="$H$16" lockText="1"/>
</file>

<file path=xl/ctrlProps/ctrlProp40.xml><?xml version="1.0" encoding="utf-8"?>
<formControlPr xmlns="http://schemas.microsoft.com/office/spreadsheetml/2009/9/main" objectType="CheckBox" fmlaLink="$H$20" lockText="1"/>
</file>

<file path=xl/ctrlProps/ctrlProp41.xml><?xml version="1.0" encoding="utf-8"?>
<formControlPr xmlns="http://schemas.microsoft.com/office/spreadsheetml/2009/9/main" objectType="CheckBox" fmlaLink="$H$4" lockText="1"/>
</file>

<file path=xl/ctrlProps/ctrlProp42.xml><?xml version="1.0" encoding="utf-8"?>
<formControlPr xmlns="http://schemas.microsoft.com/office/spreadsheetml/2009/9/main" objectType="CheckBox" fmlaLink="$H$18" lockText="1"/>
</file>

<file path=xl/ctrlProps/ctrlProp43.xml><?xml version="1.0" encoding="utf-8"?>
<formControlPr xmlns="http://schemas.microsoft.com/office/spreadsheetml/2009/9/main" objectType="CheckBox" fmlaLink="$H$6" lockText="1"/>
</file>

<file path=xl/ctrlProps/ctrlProp44.xml><?xml version="1.0" encoding="utf-8"?>
<formControlPr xmlns="http://schemas.microsoft.com/office/spreadsheetml/2009/9/main" objectType="CheckBox" fmlaLink="$H$8" lockText="1"/>
</file>

<file path=xl/ctrlProps/ctrlProp45.xml><?xml version="1.0" encoding="utf-8"?>
<formControlPr xmlns="http://schemas.microsoft.com/office/spreadsheetml/2009/9/main" objectType="CheckBox" fmlaLink="$H$10" lockText="1"/>
</file>

<file path=xl/ctrlProps/ctrlProp46.xml><?xml version="1.0" encoding="utf-8"?>
<formControlPr xmlns="http://schemas.microsoft.com/office/spreadsheetml/2009/9/main" objectType="CheckBox" fmlaLink="$H$16" lockText="1"/>
</file>

<file path=xl/ctrlProps/ctrlProp47.xml><?xml version="1.0" encoding="utf-8"?>
<formControlPr xmlns="http://schemas.microsoft.com/office/spreadsheetml/2009/9/main" objectType="CheckBox" fmlaLink="$H$18:$H$19" lockText="1"/>
</file>

<file path=xl/ctrlProps/ctrlProp48.xml><?xml version="1.0" encoding="utf-8"?>
<formControlPr xmlns="http://schemas.microsoft.com/office/spreadsheetml/2009/9/main" objectType="CheckBox" fmlaLink="$H$4" lockText="1"/>
</file>

<file path=xl/ctrlProps/ctrlProp49.xml><?xml version="1.0" encoding="utf-8"?>
<formControlPr xmlns="http://schemas.microsoft.com/office/spreadsheetml/2009/9/main" objectType="Radio" firstButton="1" fmlaLink="$Q$3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Radio" checked="Checked" lockText="1" noThreeD="1"/>
</file>

<file path=xl/ctrlProps/ctrlProp53.xml><?xml version="1.0" encoding="utf-8"?>
<formControlPr xmlns="http://schemas.microsoft.com/office/spreadsheetml/2009/9/main" objectType="CheckBox" fmlaLink="$H$20" lockText="1"/>
</file>

<file path=xl/ctrlProps/ctrlProp54.xml><?xml version="1.0" encoding="utf-8"?>
<formControlPr xmlns="http://schemas.microsoft.com/office/spreadsheetml/2009/9/main" objectType="CheckBox" fmlaLink="$H$12" lockText="1"/>
</file>

<file path=xl/ctrlProps/ctrlProp55.xml><?xml version="1.0" encoding="utf-8"?>
<formControlPr xmlns="http://schemas.microsoft.com/office/spreadsheetml/2009/9/main" objectType="CheckBox" fmlaLink="$H$14" lockText="1"/>
</file>

<file path=xl/ctrlProps/ctrlProp56.xml><?xml version="1.0" encoding="utf-8"?>
<formControlPr xmlns="http://schemas.microsoft.com/office/spreadsheetml/2009/9/main" objectType="Radio" firstButton="1" fmlaLink="$Q$3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Radio" checked="Checked" lockText="1" noThreeD="1"/>
</file>

<file path=xl/ctrlProps/ctrlProp60.xml><?xml version="1.0" encoding="utf-8"?>
<formControlPr xmlns="http://schemas.microsoft.com/office/spreadsheetml/2009/9/main" objectType="CheckBox" fmlaLink="$H$6" lockText="1"/>
</file>

<file path=xl/ctrlProps/ctrlProp61.xml><?xml version="1.0" encoding="utf-8"?>
<formControlPr xmlns="http://schemas.microsoft.com/office/spreadsheetml/2009/9/main" objectType="CheckBox" fmlaLink="$H$8" lockText="1"/>
</file>

<file path=xl/ctrlProps/ctrlProp62.xml><?xml version="1.0" encoding="utf-8"?>
<formControlPr xmlns="http://schemas.microsoft.com/office/spreadsheetml/2009/9/main" objectType="CheckBox" fmlaLink="$H$10" lockText="1"/>
</file>

<file path=xl/ctrlProps/ctrlProp63.xml><?xml version="1.0" encoding="utf-8"?>
<formControlPr xmlns="http://schemas.microsoft.com/office/spreadsheetml/2009/9/main" objectType="CheckBox" fmlaLink="$H$12" lockText="1"/>
</file>

<file path=xl/ctrlProps/ctrlProp64.xml><?xml version="1.0" encoding="utf-8"?>
<formControlPr xmlns="http://schemas.microsoft.com/office/spreadsheetml/2009/9/main" objectType="CheckBox" fmlaLink="$H$16" lockText="1"/>
</file>

<file path=xl/ctrlProps/ctrlProp65.xml><?xml version="1.0" encoding="utf-8"?>
<formControlPr xmlns="http://schemas.microsoft.com/office/spreadsheetml/2009/9/main" objectType="CheckBox" fmlaLink="$H$18" lockText="1"/>
</file>

<file path=xl/ctrlProps/ctrlProp66.xml><?xml version="1.0" encoding="utf-8"?>
<formControlPr xmlns="http://schemas.microsoft.com/office/spreadsheetml/2009/9/main" objectType="CheckBox" fmlaLink="$H$14" lockText="1"/>
</file>

<file path=xl/ctrlProps/ctrlProp67.xml><?xml version="1.0" encoding="utf-8"?>
<formControlPr xmlns="http://schemas.microsoft.com/office/spreadsheetml/2009/9/main" objectType="CheckBox" fmlaLink="$H$4" lockText="1"/>
</file>

<file path=xl/ctrlProps/ctrlProp68.xml><?xml version="1.0" encoding="utf-8"?>
<formControlPr xmlns="http://schemas.microsoft.com/office/spreadsheetml/2009/9/main" objectType="CheckBox" fmlaLink="$H$20" lockText="1"/>
</file>

<file path=xl/ctrlProps/ctrlProp69.xml><?xml version="1.0" encoding="utf-8"?>
<formControlPr xmlns="http://schemas.microsoft.com/office/spreadsheetml/2009/9/main" objectType="Radio" firstButton="1" fmlaLink="$Q$3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checked="Checked" lockText="1" noThreeD="1"/>
</file>

<file path=xl/ctrlProps/ctrlProp73.xml><?xml version="1.0" encoding="utf-8"?>
<formControlPr xmlns="http://schemas.microsoft.com/office/spreadsheetml/2009/9/main" objectType="CheckBox" fmlaLink="$H$6" lockText="1"/>
</file>

<file path=xl/ctrlProps/ctrlProp74.xml><?xml version="1.0" encoding="utf-8"?>
<formControlPr xmlns="http://schemas.microsoft.com/office/spreadsheetml/2009/9/main" objectType="CheckBox" fmlaLink="$H$8" lockText="1"/>
</file>

<file path=xl/ctrlProps/ctrlProp75.xml><?xml version="1.0" encoding="utf-8"?>
<formControlPr xmlns="http://schemas.microsoft.com/office/spreadsheetml/2009/9/main" objectType="CheckBox" fmlaLink="$H$10" lockText="1"/>
</file>

<file path=xl/ctrlProps/ctrlProp76.xml><?xml version="1.0" encoding="utf-8"?>
<formControlPr xmlns="http://schemas.microsoft.com/office/spreadsheetml/2009/9/main" objectType="CheckBox" fmlaLink="$H$12" lockText="1"/>
</file>

<file path=xl/ctrlProps/ctrlProp77.xml><?xml version="1.0" encoding="utf-8"?>
<formControlPr xmlns="http://schemas.microsoft.com/office/spreadsheetml/2009/9/main" objectType="CheckBox" fmlaLink="$H$14" lockText="1"/>
</file>

<file path=xl/ctrlProps/ctrlProp78.xml><?xml version="1.0" encoding="utf-8"?>
<formControlPr xmlns="http://schemas.microsoft.com/office/spreadsheetml/2009/9/main" objectType="CheckBox" fmlaLink="$H$16" lockText="1"/>
</file>

<file path=xl/ctrlProps/ctrlProp79.xml><?xml version="1.0" encoding="utf-8"?>
<formControlPr xmlns="http://schemas.microsoft.com/office/spreadsheetml/2009/9/main" objectType="CheckBox" fmlaLink="$H$20" lockText="1"/>
</file>

<file path=xl/ctrlProps/ctrlProp80.xml><?xml version="1.0" encoding="utf-8"?>
<formControlPr xmlns="http://schemas.microsoft.com/office/spreadsheetml/2009/9/main" objectType="CheckBox" fmlaLink="$H$4" lockText="1"/>
</file>

<file path=xl/ctrlProps/ctrlProp81.xml><?xml version="1.0" encoding="utf-8"?>
<formControlPr xmlns="http://schemas.microsoft.com/office/spreadsheetml/2009/9/main" objectType="CheckBox" fmlaLink="$H$18" lockText="1"/>
</file>

<file path=xl/ctrlProps/ctrlProp82.xml><?xml version="1.0" encoding="utf-8"?>
<formControlPr xmlns="http://schemas.microsoft.com/office/spreadsheetml/2009/9/main" objectType="CheckBox" fmlaLink="$H$4" lockText="1"/>
</file>

<file path=xl/ctrlProps/ctrlProp83.xml><?xml version="1.0" encoding="utf-8"?>
<formControlPr xmlns="http://schemas.microsoft.com/office/spreadsheetml/2009/9/main" objectType="CheckBox" fmlaLink="$H$6" lockText="1"/>
</file>

<file path=xl/ctrlProps/ctrlProp84.xml><?xml version="1.0" encoding="utf-8"?>
<formControlPr xmlns="http://schemas.microsoft.com/office/spreadsheetml/2009/9/main" objectType="CheckBox" fmlaLink="$H$8" lockText="1"/>
</file>

<file path=xl/ctrlProps/ctrlProp85.xml><?xml version="1.0" encoding="utf-8"?>
<formControlPr xmlns="http://schemas.microsoft.com/office/spreadsheetml/2009/9/main" objectType="CheckBox" fmlaLink="$H$10" lockText="1"/>
</file>

<file path=xl/ctrlProps/ctrlProp86.xml><?xml version="1.0" encoding="utf-8"?>
<formControlPr xmlns="http://schemas.microsoft.com/office/spreadsheetml/2009/9/main" objectType="CheckBox" fmlaLink="$H$12:$H$13" lockText="1"/>
</file>

<file path=xl/ctrlProps/ctrlProp87.xml><?xml version="1.0" encoding="utf-8"?>
<formControlPr xmlns="http://schemas.microsoft.com/office/spreadsheetml/2009/9/main" objectType="CheckBox" fmlaLink="$H$14" lockText="1"/>
</file>

<file path=xl/ctrlProps/ctrlProp88.xml><?xml version="1.0" encoding="utf-8"?>
<formControlPr xmlns="http://schemas.microsoft.com/office/spreadsheetml/2009/9/main" objectType="Radio" firstButton="1" fmlaLink="$Q$3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lockText="1" noThreeD="1"/>
</file>

<file path=xl/ctrlProps/ctrlProp91.xml><?xml version="1.0" encoding="utf-8"?>
<formControlPr xmlns="http://schemas.microsoft.com/office/spreadsheetml/2009/9/main" objectType="Radio" checked="Checked" lockText="1" noThreeD="1"/>
</file>

<file path=xl/ctrlProps/ctrlProp92.xml><?xml version="1.0" encoding="utf-8"?>
<formControlPr xmlns="http://schemas.microsoft.com/office/spreadsheetml/2009/9/main" objectType="Radio" firstButton="1" fmlaLink="$Q$3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checked="Checked" lockText="1" noThreeD="1"/>
</file>

<file path=xl/ctrlProps/ctrlProp96.xml><?xml version="1.0" encoding="utf-8"?>
<formControlPr xmlns="http://schemas.microsoft.com/office/spreadsheetml/2009/9/main" objectType="CheckBox" fmlaLink="$H$4" lockText="1"/>
</file>

<file path=xl/ctrlProps/ctrlProp97.xml><?xml version="1.0" encoding="utf-8"?>
<formControlPr xmlns="http://schemas.microsoft.com/office/spreadsheetml/2009/9/main" objectType="CheckBox" fmlaLink="$H$6" lockText="1"/>
</file>

<file path=xl/ctrlProps/ctrlProp98.xml><?xml version="1.0" encoding="utf-8"?>
<formControlPr xmlns="http://schemas.microsoft.com/office/spreadsheetml/2009/9/main" objectType="CheckBox" fmlaLink="$H$8" lockText="1"/>
</file>

<file path=xl/ctrlProps/ctrlProp99.xml><?xml version="1.0" encoding="utf-8"?>
<formControlPr xmlns="http://schemas.microsoft.com/office/spreadsheetml/2009/9/main" objectType="CheckBox" fmlaLink="$H$10" lockText="1"/>
</file>

<file path=xl/ctrlProps/ctrlProp100.xml><?xml version="1.0" encoding="utf-8"?>
<formControlPr xmlns="http://schemas.microsoft.com/office/spreadsheetml/2009/9/main" objectType="CheckBox" fmlaLink="$H$12" lockText="1"/>
</file>

<file path=xl/ctrlProps/ctrlProp101.xml><?xml version="1.0" encoding="utf-8"?>
<formControlPr xmlns="http://schemas.microsoft.com/office/spreadsheetml/2009/9/main" objectType="CheckBox" fmlaLink="$H$14" lockText="1"/>
</file>

<file path=xl/ctrlProps/ctrlProp102.xml><?xml version="1.0" encoding="utf-8"?>
<formControlPr xmlns="http://schemas.microsoft.com/office/spreadsheetml/2009/9/main" objectType="Radio" firstButton="1" fmlaLink="$Q$3" lockText="1" noThreeD="1"/>
</file>

<file path=xl/ctrlProps/ctrlProp103.xml><?xml version="1.0" encoding="utf-8"?>
<formControlPr xmlns="http://schemas.microsoft.com/office/spreadsheetml/2009/9/main" objectType="Radio" lockText="1" noThreeD="1"/>
</file>

<file path=xl/ctrlProps/ctrlProp104.xml><?xml version="1.0" encoding="utf-8"?>
<formControlPr xmlns="http://schemas.microsoft.com/office/spreadsheetml/2009/9/main" objectType="Radio" lockText="1" noThreeD="1"/>
</file>

<file path=xl/ctrlProps/ctrlProp105.xml><?xml version="1.0" encoding="utf-8"?>
<formControlPr xmlns="http://schemas.microsoft.com/office/spreadsheetml/2009/9/main" objectType="Radio" checked="Checked" lockText="1" noThreeD="1"/>
</file>

<file path=xl/ctrlProps/ctrlProp106.xml><?xml version="1.0" encoding="utf-8"?>
<formControlPr xmlns="http://schemas.microsoft.com/office/spreadsheetml/2009/9/main" objectType="CheckBox" fmlaLink="$H$6" lockText="1"/>
</file>

<file path=xl/ctrlProps/ctrlProp107.xml><?xml version="1.0" encoding="utf-8"?>
<formControlPr xmlns="http://schemas.microsoft.com/office/spreadsheetml/2009/9/main" objectType="CheckBox" fmlaLink="$H$8" lockText="1"/>
</file>

<file path=xl/ctrlProps/ctrlProp108.xml><?xml version="1.0" encoding="utf-8"?>
<formControlPr xmlns="http://schemas.microsoft.com/office/spreadsheetml/2009/9/main" objectType="CheckBox" fmlaLink="$H$10" lockText="1"/>
</file>

<file path=xl/ctrlProps/ctrlProp109.xml><?xml version="1.0" encoding="utf-8"?>
<formControlPr xmlns="http://schemas.microsoft.com/office/spreadsheetml/2009/9/main" objectType="CheckBox" fmlaLink="$H$12" lockText="1"/>
</file>

<file path=xl/ctrlProps/ctrlProp110.xml><?xml version="1.0" encoding="utf-8"?>
<formControlPr xmlns="http://schemas.microsoft.com/office/spreadsheetml/2009/9/main" objectType="CheckBox" fmlaLink="$H$14" lockText="1"/>
</file>

<file path=xl/ctrlProps/ctrlProp111.xml><?xml version="1.0" encoding="utf-8"?>
<formControlPr xmlns="http://schemas.microsoft.com/office/spreadsheetml/2009/9/main" objectType="CheckBox" fmlaLink="$H$16" lockText="1"/>
</file>

<file path=xl/ctrlProps/ctrlProp112.xml><?xml version="1.0" encoding="utf-8"?>
<formControlPr xmlns="http://schemas.microsoft.com/office/spreadsheetml/2009/9/main" objectType="CheckBox" fmlaLink="$H$18" lockText="1"/>
</file>

<file path=xl/ctrlProps/ctrlProp113.xml><?xml version="1.0" encoding="utf-8"?>
<formControlPr xmlns="http://schemas.microsoft.com/office/spreadsheetml/2009/9/main" objectType="CheckBox" fmlaLink="$H$4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12700</xdr:rowOff>
        </xdr:from>
        <xdr:to>
          <xdr:col>3</xdr:col>
          <xdr:colOff>0</xdr:colOff>
          <xdr:row>3</xdr:row>
          <xdr:rowOff>374650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12700</xdr:rowOff>
        </xdr:from>
        <xdr:to>
          <xdr:col>2</xdr:col>
          <xdr:colOff>2286000</xdr:colOff>
          <xdr:row>5</xdr:row>
          <xdr:rowOff>0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Lateral Rotordynamic Analysis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12700</xdr:rowOff>
        </xdr:from>
        <xdr:to>
          <xdr:col>2</xdr:col>
          <xdr:colOff>2286000</xdr:colOff>
          <xdr:row>6</xdr:row>
          <xdr:rowOff>0</xdr:rowOff>
        </xdr:to>
        <xdr:sp macro="" textlink="">
          <xdr:nvSpPr>
            <xdr:cNvPr id="7172" name="Check Box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Torsional Rotordynamic Analysis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12700</xdr:rowOff>
        </xdr:from>
        <xdr:to>
          <xdr:col>2</xdr:col>
          <xdr:colOff>2286000</xdr:colOff>
          <xdr:row>7</xdr:row>
          <xdr:rowOff>0</xdr:rowOff>
        </xdr:to>
        <xdr:sp macro="" textlink="">
          <xdr:nvSpPr>
            <xdr:cNvPr id="7173" name="Check Box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Structural Dynamic Analysis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Fly wheel driven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Drive shaft driven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Variable speed driven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Power &gt; 30 kW (40 bhp) and &lt; 375 kW (500 bhp)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Power &gt; 375 kW (500 bhp) and &lt; 750 kW (1000 bhp)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No. of vanes = 3 or fewer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Maximum speed &gt; 3800 rpm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Unknown, new design with no field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14</xdr:col>
          <xdr:colOff>514350</xdr:colOff>
          <xdr:row>6</xdr:row>
          <xdr:rowOff>0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Significant modification to standard product or similar design - no field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Minor modification to standard product or similar design with proven field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1036" name="Option 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Identical or standard product, with proven field history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Power &gt; 750 kW (1000 bhp)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8200" name="Option 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Unknown, new design with no field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14</xdr:col>
          <xdr:colOff>514350</xdr:colOff>
          <xdr:row>6</xdr:row>
          <xdr:rowOff>0</xdr:rowOff>
        </xdr:to>
        <xdr:sp macro="" textlink="">
          <xdr:nvSpPr>
            <xdr:cNvPr id="8201" name="Option 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2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Significant modification to standard product or similar design - no field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8202" name="Option 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2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Minor modification to standard product or similar design with proven field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8203" name="Option 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Identical or standard product, with proven field history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7</xdr:col>
          <xdr:colOff>0</xdr:colOff>
          <xdr:row>7</xdr:row>
          <xdr:rowOff>12700</xdr:rowOff>
        </xdr:to>
        <xdr:sp macro="" textlink="">
          <xdr:nvSpPr>
            <xdr:cNvPr id="8205" name="Check Box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Specific gravity &lt; 0.7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8206" name="Check Box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Fly wheel driven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8207" name="Check Box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2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Drive shaft driven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7</xdr:col>
          <xdr:colOff>0</xdr:colOff>
          <xdr:row>12</xdr:row>
          <xdr:rowOff>184150</xdr:rowOff>
        </xdr:to>
        <xdr:sp macro="" textlink="">
          <xdr:nvSpPr>
            <xdr:cNvPr id="8208" name="Check Box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2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Variable speed driven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8209" name="Check Box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2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Power &gt; 30 kW (40 bhp) and &lt; 375 kW (500 bhp)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2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Power &gt; 375 kW (500 bhp) and &lt; 750 kW (1000 bhp)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2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No. of vanes = 3 or fewer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2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Maximum speed &gt; 3800 rpm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8213" name="Check Box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2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Power &gt; 750 kW (1000 bhp)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9224" name="Option 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Unknown, new design with no field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14</xdr:col>
          <xdr:colOff>514350</xdr:colOff>
          <xdr:row>6</xdr:row>
          <xdr:rowOff>0</xdr:rowOff>
        </xdr:to>
        <xdr:sp macro="" textlink="">
          <xdr:nvSpPr>
            <xdr:cNvPr id="9225" name="Option 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3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Significant modification to standard product or similar design - no field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9226" name="Option 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3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Minor modification to standard product or similar design with proven field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9227" name="Option 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3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Identical or standard product, with proven field history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3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Specific gravity &lt; 0.7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9239" name="Check Box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3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Fly wheel driven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9240" name="Check Box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3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Drive shaft driven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7</xdr:col>
          <xdr:colOff>0</xdr:colOff>
          <xdr:row>12</xdr:row>
          <xdr:rowOff>184150</xdr:rowOff>
        </xdr:to>
        <xdr:sp macro="" textlink="">
          <xdr:nvSpPr>
            <xdr:cNvPr id="9241" name="Check Box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3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Variable speed driven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9242" name="Check Box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3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Power &gt; 30 kW (40 bhp) and &lt; 375 kW (500 bhp)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9243" name="Check Box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3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Power &gt; 375 kW (500 bhp) and &lt; 750 kW (1000 bhp)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9244" name="Check Box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3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No. of vanes = 3 or fewer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9245" name="Check Box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3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Maximum speed &gt; 3800 rpm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9246" name="Check Box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3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Power &gt; 750 kW (1000 bhp)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Synchronous motor driven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Fly wheel driven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Drive shaft driven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Power &gt; 30 kW (40 bhp) and &lt; 375 kW (500 bhp)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Power &gt; 375 kW (500 bhp) and &lt; 750 kW (1000 bhp)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Trains with three or more elements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5128" name="Option 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Unknown, new design with no field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14</xdr:col>
          <xdr:colOff>514350</xdr:colOff>
          <xdr:row>6</xdr:row>
          <xdr:rowOff>0</xdr:rowOff>
        </xdr:to>
        <xdr:sp macro="" textlink="">
          <xdr:nvSpPr>
            <xdr:cNvPr id="5129" name="Option 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Significant modification to standard product or similar design - no field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5130" name="Option 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Minor modification to standard product or similar design with proven field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5131" name="Option 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Identical or standard product, with proven field history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Power &gt; 750 kW (1000 bhp)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5152" name="Check Box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4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Internal combustion engine driven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5153" name="Check Box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4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Variable speed driven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10247" name="Option 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5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Unknown, new design with no field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14</xdr:col>
          <xdr:colOff>514350</xdr:colOff>
          <xdr:row>6</xdr:row>
          <xdr:rowOff>0</xdr:rowOff>
        </xdr:to>
        <xdr:sp macro="" textlink="">
          <xdr:nvSpPr>
            <xdr:cNvPr id="10248" name="Option 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5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Significant modification to standard product or similar design - no field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249" name="Option 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5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Minor modification to standard product or similar design with proven field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10250" name="Option 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5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Identical or standard product, with proven field history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10252" name="Check Box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5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Synchronous motor driven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10253" name="Check Box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5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Fly wheel driven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10254" name="Check Box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5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Drive shaft driven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10255" name="Check Box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5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Internal combustion engine driven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10256" name="Check Box 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5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Power &gt; 30 kW (40 bhp) and &lt; 375 kW (500 bhp)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5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Power &gt; 375 kW (500 bhp) and &lt; 750 kW (1000 bhp)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5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Variable speed driven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59" name="Check Box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5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Trains with three or more elements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5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Power &gt; 750 kW (1000 bhp)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11271" name="Option 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6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Unknown, new design with no field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14</xdr:col>
          <xdr:colOff>514350</xdr:colOff>
          <xdr:row>6</xdr:row>
          <xdr:rowOff>0</xdr:rowOff>
        </xdr:to>
        <xdr:sp macro="" textlink="">
          <xdr:nvSpPr>
            <xdr:cNvPr id="11272" name="Option Button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6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Significant modification to standard product or similar design - no field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1273" name="Option Button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6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Minor modification to standard product or similar design with proven field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11274" name="Option Button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6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Identical or standard product, with proven field history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11287" name="Check Box 23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6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Synchronous motor driven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11288" name="Check Box 24" hidden="1">
              <a:extLst>
                <a:ext uri="{63B3BB69-23CF-44E3-9099-C40C66FF867C}">
                  <a14:compatExt spid="_x0000_s11288"/>
                </a:ext>
                <a:ext uri="{FF2B5EF4-FFF2-40B4-BE49-F238E27FC236}">
                  <a16:creationId xmlns:a16="http://schemas.microsoft.com/office/drawing/2014/main" id="{00000000-0008-0000-0600-00001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Fly wheel driven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11289" name="Check Box 25" hidden="1">
              <a:extLst>
                <a:ext uri="{63B3BB69-23CF-44E3-9099-C40C66FF867C}">
                  <a14:compatExt spid="_x0000_s11289"/>
                </a:ext>
                <a:ext uri="{FF2B5EF4-FFF2-40B4-BE49-F238E27FC236}">
                  <a16:creationId xmlns:a16="http://schemas.microsoft.com/office/drawing/2014/main" id="{00000000-0008-0000-0600-00001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Drive shaft driven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11290" name="Check Box 26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6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Internal combustion engine driven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11291" name="Check Box 27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6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Variable speed driven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11292" name="Check Box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Power &gt; 30 kW (40 bhp) and &lt; 375 kW (500 bhp)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11293" name="Check Box 29" hidden="1">
              <a:extLst>
                <a:ext uri="{63B3BB69-23CF-44E3-9099-C40C66FF867C}">
                  <a14:compatExt spid="_x0000_s11293"/>
                </a:ext>
                <a:ext uri="{FF2B5EF4-FFF2-40B4-BE49-F238E27FC236}">
                  <a16:creationId xmlns:a16="http://schemas.microsoft.com/office/drawing/2014/main" id="{00000000-0008-0000-0600-00001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Power &gt; 750 kW (1000 bhp)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1294" name="Check Box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6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Trains with three or more elements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11295" name="Check Box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6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Power &gt; 375 kW (500 bhp) and &lt; 750 kW (1000 bhp)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Flexible foundation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7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Variable speed driven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7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Power &gt; 30 kW (40 bhp) and &lt; 375 kW (500 bhp)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7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Power &gt; 375 kW (500 bhp) and &lt; 750 kW (1000 bhp)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7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Power &gt; 750 kW (1000 bhp)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7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No. of vanes = 3 or fewer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7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Unknown, new design with no field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14</xdr:col>
          <xdr:colOff>514350</xdr:colOff>
          <xdr:row>6</xdr:row>
          <xdr:rowOff>0</xdr:rowOff>
        </xdr:to>
        <xdr:sp macro="" textlink="">
          <xdr:nvSpPr>
            <xdr:cNvPr id="3082" name="Option 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7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Significant modification to standard product or similar design - no field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7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Minor modification to standard product or similar design with proven field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7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Identical or standard product, with proven field history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12295" name="Option 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8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Unknown, new design with no field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14</xdr:col>
          <xdr:colOff>514350</xdr:colOff>
          <xdr:row>6</xdr:row>
          <xdr:rowOff>0</xdr:rowOff>
        </xdr:to>
        <xdr:sp macro="" textlink="">
          <xdr:nvSpPr>
            <xdr:cNvPr id="12296" name="Option 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8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Significant modification to standard product or similar design - no field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2297" name="Option 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8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Minor modification to standard product or similar design with proven field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12298" name="Option 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8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Identical or standard product, with proven field history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8</xdr:col>
          <xdr:colOff>19050</xdr:colOff>
          <xdr:row>4</xdr:row>
          <xdr:rowOff>184150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8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Flexible foundation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8</xdr:col>
          <xdr:colOff>19050</xdr:colOff>
          <xdr:row>6</xdr:row>
          <xdr:rowOff>184150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8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Variable speed driven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8</xdr:col>
          <xdr:colOff>19050</xdr:colOff>
          <xdr:row>8</xdr:row>
          <xdr:rowOff>184150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8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Power &gt; 30 kW (40 bhp) and &lt; 375 kW (500 bhp)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8</xdr:col>
          <xdr:colOff>19050</xdr:colOff>
          <xdr:row>10</xdr:row>
          <xdr:rowOff>184150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8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Power &gt; 375 kW (500 bhp) and &lt; 750 kW (1000 bhp)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8</xdr:col>
          <xdr:colOff>19050</xdr:colOff>
          <xdr:row>13</xdr:row>
          <xdr:rowOff>0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8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Power &gt; 750 kW (1000 bhp)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8</xdr:col>
          <xdr:colOff>19050</xdr:colOff>
          <xdr:row>15</xdr:row>
          <xdr:rowOff>0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8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No. of vanes = 3 or fewer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15</xdr:col>
          <xdr:colOff>0</xdr:colOff>
          <xdr:row>4</xdr:row>
          <xdr:rowOff>0</xdr:rowOff>
        </xdr:to>
        <xdr:sp macro="" textlink="">
          <xdr:nvSpPr>
            <xdr:cNvPr id="13319" name="Option 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9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Unknown, new design with no field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14</xdr:col>
          <xdr:colOff>514350</xdr:colOff>
          <xdr:row>6</xdr:row>
          <xdr:rowOff>0</xdr:rowOff>
        </xdr:to>
        <xdr:sp macro="" textlink="">
          <xdr:nvSpPr>
            <xdr:cNvPr id="13320" name="Option 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9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Significant modification to standard product or similar design - no field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3321" name="Option 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9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Minor modification to standard product or similar design with proven field experience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15</xdr:col>
          <xdr:colOff>0</xdr:colOff>
          <xdr:row>10</xdr:row>
          <xdr:rowOff>0</xdr:rowOff>
        </xdr:to>
        <xdr:sp macro="" textlink="">
          <xdr:nvSpPr>
            <xdr:cNvPr id="13322" name="Option 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9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Identical or standard product, with proven field history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8</xdr:col>
          <xdr:colOff>19050</xdr:colOff>
          <xdr:row>6</xdr:row>
          <xdr:rowOff>184150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9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Drivers supported by the pump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8</xdr:col>
          <xdr:colOff>19050</xdr:colOff>
          <xdr:row>8</xdr:row>
          <xdr:rowOff>184150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id="{00000000-0008-0000-09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Flexible foundation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8</xdr:col>
          <xdr:colOff>19050</xdr:colOff>
          <xdr:row>10</xdr:row>
          <xdr:rowOff>184150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9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Variable speed driven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8</xdr:col>
          <xdr:colOff>19050</xdr:colOff>
          <xdr:row>13</xdr:row>
          <xdr:rowOff>0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9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Power &gt; 30 kW (40 bhp) and &lt; 375 kW (500 bhp)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8</xdr:col>
          <xdr:colOff>19050</xdr:colOff>
          <xdr:row>15</xdr:row>
          <xdr:rowOff>0</xdr:rowOff>
        </xdr:to>
        <xdr:sp macro="" textlink="">
          <xdr:nvSpPr>
            <xdr:cNvPr id="13333" name="Check Box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9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Power &gt; 375 kW (500 bhp) and &lt; 750 kW (1000 bhp)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8</xdr:col>
          <xdr:colOff>19050</xdr:colOff>
          <xdr:row>16</xdr:row>
          <xdr:rowOff>184150</xdr:rowOff>
        </xdr:to>
        <xdr:sp macro="" textlink="">
          <xdr:nvSpPr>
            <xdr:cNvPr id="13334" name="Check Box 22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9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Power &gt; 750 kW (1000 bhp)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8</xdr:col>
          <xdr:colOff>19050</xdr:colOff>
          <xdr:row>18</xdr:row>
          <xdr:rowOff>184150</xdr:rowOff>
        </xdr:to>
        <xdr:sp macro="" textlink="">
          <xdr:nvSpPr>
            <xdr:cNvPr id="13335" name="Check Box 23" hidden="1">
              <a:extLst>
                <a:ext uri="{63B3BB69-23CF-44E3-9099-C40C66FF867C}">
                  <a14:compatExt spid="_x0000_s13335"/>
                </a:ext>
                <a:ext uri="{FF2B5EF4-FFF2-40B4-BE49-F238E27FC236}">
                  <a16:creationId xmlns:a16="http://schemas.microsoft.com/office/drawing/2014/main" id="{00000000-0008-0000-0900-00001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No. of vanes = 3 or fewer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8</xdr:col>
          <xdr:colOff>19050</xdr:colOff>
          <xdr:row>4</xdr:row>
          <xdr:rowOff>184150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9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Drivers suported separately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13" Type="http://schemas.openxmlformats.org/officeDocument/2006/relationships/ctrlProp" Target="../ctrlProps/ctrlProp3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3.xml"/><Relationship Id="rId12" Type="http://schemas.openxmlformats.org/officeDocument/2006/relationships/ctrlProp" Target="../ctrlProps/ctrlProp38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2.xml"/><Relationship Id="rId11" Type="http://schemas.openxmlformats.org/officeDocument/2006/relationships/ctrlProp" Target="../ctrlProps/ctrlProp37.xml"/><Relationship Id="rId5" Type="http://schemas.openxmlformats.org/officeDocument/2006/relationships/ctrlProp" Target="../ctrlProps/ctrlProp31.xml"/><Relationship Id="rId15" Type="http://schemas.openxmlformats.org/officeDocument/2006/relationships/ctrlProp" Target="../ctrlProps/ctrlProp41.xml"/><Relationship Id="rId10" Type="http://schemas.openxmlformats.org/officeDocument/2006/relationships/ctrlProp" Target="../ctrlProps/ctrlProp36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Relationship Id="rId14" Type="http://schemas.openxmlformats.org/officeDocument/2006/relationships/ctrlProp" Target="../ctrlProps/ctrlProp4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13" Type="http://schemas.openxmlformats.org/officeDocument/2006/relationships/ctrlProp" Target="../ctrlProps/ctrlProp5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6.xml"/><Relationship Id="rId12" Type="http://schemas.openxmlformats.org/officeDocument/2006/relationships/ctrlProp" Target="../ctrlProps/ctrlProp51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5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5" Type="http://schemas.openxmlformats.org/officeDocument/2006/relationships/ctrlProp" Target="../ctrlProps/ctrlProp44.xml"/><Relationship Id="rId15" Type="http://schemas.openxmlformats.org/officeDocument/2006/relationships/ctrlProp" Target="../ctrlProps/ctrlProp54.xml"/><Relationship Id="rId10" Type="http://schemas.openxmlformats.org/officeDocument/2006/relationships/ctrlProp" Target="../ctrlProps/ctrlProp49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Relationship Id="rId14" Type="http://schemas.openxmlformats.org/officeDocument/2006/relationships/ctrlProp" Target="../ctrlProps/ctrlProp5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13" Type="http://schemas.openxmlformats.org/officeDocument/2006/relationships/ctrlProp" Target="../ctrlProps/ctrlProp6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59.xml"/><Relationship Id="rId12" Type="http://schemas.openxmlformats.org/officeDocument/2006/relationships/ctrlProp" Target="../ctrlProps/ctrlProp64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68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8.xml"/><Relationship Id="rId11" Type="http://schemas.openxmlformats.org/officeDocument/2006/relationships/ctrlProp" Target="../ctrlProps/ctrlProp63.xml"/><Relationship Id="rId5" Type="http://schemas.openxmlformats.org/officeDocument/2006/relationships/ctrlProp" Target="../ctrlProps/ctrlProp57.xml"/><Relationship Id="rId15" Type="http://schemas.openxmlformats.org/officeDocument/2006/relationships/ctrlProp" Target="../ctrlProps/ctrlProp67.xml"/><Relationship Id="rId10" Type="http://schemas.openxmlformats.org/officeDocument/2006/relationships/ctrlProp" Target="../ctrlProps/ctrlProp62.xml"/><Relationship Id="rId4" Type="http://schemas.openxmlformats.org/officeDocument/2006/relationships/ctrlProp" Target="../ctrlProps/ctrlProp56.xml"/><Relationship Id="rId9" Type="http://schemas.openxmlformats.org/officeDocument/2006/relationships/ctrlProp" Target="../ctrlProps/ctrlProp61.xml"/><Relationship Id="rId14" Type="http://schemas.openxmlformats.org/officeDocument/2006/relationships/ctrlProp" Target="../ctrlProps/ctrlProp6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3.xml"/><Relationship Id="rId13" Type="http://schemas.openxmlformats.org/officeDocument/2006/relationships/ctrlProp" Target="../ctrlProps/ctrlProp78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72.xml"/><Relationship Id="rId12" Type="http://schemas.openxmlformats.org/officeDocument/2006/relationships/ctrlProp" Target="../ctrlProps/ctrlProp77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8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71.xml"/><Relationship Id="rId11" Type="http://schemas.openxmlformats.org/officeDocument/2006/relationships/ctrlProp" Target="../ctrlProps/ctrlProp76.xml"/><Relationship Id="rId5" Type="http://schemas.openxmlformats.org/officeDocument/2006/relationships/ctrlProp" Target="../ctrlProps/ctrlProp70.xml"/><Relationship Id="rId15" Type="http://schemas.openxmlformats.org/officeDocument/2006/relationships/ctrlProp" Target="../ctrlProps/ctrlProp80.xml"/><Relationship Id="rId10" Type="http://schemas.openxmlformats.org/officeDocument/2006/relationships/ctrlProp" Target="../ctrlProps/ctrlProp75.xml"/><Relationship Id="rId4" Type="http://schemas.openxmlformats.org/officeDocument/2006/relationships/ctrlProp" Target="../ctrlProps/ctrlProp69.xml"/><Relationship Id="rId9" Type="http://schemas.openxmlformats.org/officeDocument/2006/relationships/ctrlProp" Target="../ctrlProps/ctrlProp74.xml"/><Relationship Id="rId14" Type="http://schemas.openxmlformats.org/officeDocument/2006/relationships/ctrlProp" Target="../ctrlProps/ctrlProp7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13" Type="http://schemas.openxmlformats.org/officeDocument/2006/relationships/ctrlProp" Target="../ctrlProps/ctrlProp91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85.xml"/><Relationship Id="rId12" Type="http://schemas.openxmlformats.org/officeDocument/2006/relationships/ctrlProp" Target="../ctrlProps/ctrlProp9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84.xml"/><Relationship Id="rId11" Type="http://schemas.openxmlformats.org/officeDocument/2006/relationships/ctrlProp" Target="../ctrlProps/ctrlProp89.xml"/><Relationship Id="rId5" Type="http://schemas.openxmlformats.org/officeDocument/2006/relationships/ctrlProp" Target="../ctrlProps/ctrlProp83.xml"/><Relationship Id="rId10" Type="http://schemas.openxmlformats.org/officeDocument/2006/relationships/ctrlProp" Target="../ctrlProps/ctrlProp88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13" Type="http://schemas.openxmlformats.org/officeDocument/2006/relationships/ctrlProp" Target="../ctrlProps/ctrlProp101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95.xml"/><Relationship Id="rId12" Type="http://schemas.openxmlformats.org/officeDocument/2006/relationships/ctrlProp" Target="../ctrlProps/ctrlProp10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94.xml"/><Relationship Id="rId11" Type="http://schemas.openxmlformats.org/officeDocument/2006/relationships/ctrlProp" Target="../ctrlProps/ctrlProp99.xml"/><Relationship Id="rId5" Type="http://schemas.openxmlformats.org/officeDocument/2006/relationships/ctrlProp" Target="../ctrlProps/ctrlProp93.xml"/><Relationship Id="rId10" Type="http://schemas.openxmlformats.org/officeDocument/2006/relationships/ctrlProp" Target="../ctrlProps/ctrlProp98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6.xml"/><Relationship Id="rId13" Type="http://schemas.openxmlformats.org/officeDocument/2006/relationships/ctrlProp" Target="../ctrlProps/ctrlProp111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105.xml"/><Relationship Id="rId12" Type="http://schemas.openxmlformats.org/officeDocument/2006/relationships/ctrlProp" Target="../ctrlProps/ctrlProp1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04.xml"/><Relationship Id="rId11" Type="http://schemas.openxmlformats.org/officeDocument/2006/relationships/ctrlProp" Target="../ctrlProps/ctrlProp109.xml"/><Relationship Id="rId5" Type="http://schemas.openxmlformats.org/officeDocument/2006/relationships/ctrlProp" Target="../ctrlProps/ctrlProp103.xml"/><Relationship Id="rId15" Type="http://schemas.openxmlformats.org/officeDocument/2006/relationships/ctrlProp" Target="../ctrlProps/ctrlProp113.xml"/><Relationship Id="rId10" Type="http://schemas.openxmlformats.org/officeDocument/2006/relationships/ctrlProp" Target="../ctrlProps/ctrlProp108.xml"/><Relationship Id="rId4" Type="http://schemas.openxmlformats.org/officeDocument/2006/relationships/ctrlProp" Target="../ctrlProps/ctrlProp102.xml"/><Relationship Id="rId9" Type="http://schemas.openxmlformats.org/officeDocument/2006/relationships/ctrlProp" Target="../ctrlProps/ctrlProp107.xml"/><Relationship Id="rId14" Type="http://schemas.openxmlformats.org/officeDocument/2006/relationships/ctrlProp" Target="../ctrlProps/ctrlProp1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91F2-6335-4BBC-A979-D3AB59EB23D6}">
  <sheetPr codeName="Foglio1"/>
  <dimension ref="A1:L16"/>
  <sheetViews>
    <sheetView tabSelected="1" workbookViewId="0">
      <selection activeCell="C3" sqref="C3:E3"/>
    </sheetView>
  </sheetViews>
  <sheetFormatPr defaultRowHeight="14.5" x14ac:dyDescent="0.35"/>
  <cols>
    <col min="1" max="1" width="7.1796875" customWidth="1"/>
    <col min="2" max="2" width="11.1796875" bestFit="1" customWidth="1"/>
    <col min="3" max="3" width="38.453125" customWidth="1"/>
    <col min="4" max="4" width="15.7265625" customWidth="1"/>
    <col min="5" max="5" width="34.453125" customWidth="1"/>
    <col min="6" max="6" width="10.54296875" customWidth="1"/>
    <col min="8" max="9" width="8.7265625" customWidth="1"/>
  </cols>
  <sheetData>
    <row r="1" spans="1:12" ht="15" thickBot="1" x14ac:dyDescent="0.4"/>
    <row r="2" spans="1:12" ht="30" customHeight="1" thickTop="1" x14ac:dyDescent="0.35">
      <c r="B2" s="28" t="s">
        <v>0</v>
      </c>
      <c r="C2" s="43" t="s">
        <v>1</v>
      </c>
      <c r="D2" s="43"/>
      <c r="E2" s="44"/>
    </row>
    <row r="3" spans="1:12" ht="30" customHeight="1" thickBot="1" x14ac:dyDescent="0.4">
      <c r="B3" s="30" t="s">
        <v>2</v>
      </c>
      <c r="C3" s="45" t="s">
        <v>3</v>
      </c>
      <c r="D3" s="45"/>
      <c r="E3" s="46"/>
      <c r="I3" s="24"/>
      <c r="J3" s="24"/>
      <c r="K3" s="24"/>
      <c r="L3" s="24"/>
    </row>
    <row r="4" spans="1:12" ht="30" customHeight="1" x14ac:dyDescent="0.35">
      <c r="A4" s="26">
        <v>3</v>
      </c>
      <c r="B4" s="32" t="s">
        <v>4</v>
      </c>
      <c r="C4" s="33"/>
      <c r="D4" s="34" t="s">
        <v>5</v>
      </c>
      <c r="E4" s="35" t="s">
        <v>6</v>
      </c>
      <c r="H4" s="24" t="s">
        <v>7</v>
      </c>
    </row>
    <row r="5" spans="1:12" ht="30" customHeight="1" x14ac:dyDescent="0.35">
      <c r="A5" s="26" t="b">
        <v>1</v>
      </c>
      <c r="B5" s="40" t="s">
        <v>8</v>
      </c>
      <c r="C5" s="27"/>
      <c r="D5" s="25" cm="1">
        <f t="array" ref="D5">_xlfn.IFS(A5*(A4=1),'Lateral Rotordynamic Analysis 1'!U2,A5*(A4=2),'Lateral Rotordynamic Analysis 2'!U2,A5*(A4=3),'Lateral Rotordynamic Analysis 3'!U2)</f>
        <v>0</v>
      </c>
      <c r="E5" s="36" t="str" cm="1">
        <f t="array" ref="E5">_xlfn.IFS(D5&lt;15,"Level 0 - none required",D5&lt;=20,"Level 1 - Basic Analysis",D5&lt;=50,"Level 2 - Intermediate Analysis",D5&lt;=160,"Level 3 - Advanced Analysis",D5&gt;160,"Level 3 - Advanced Analysis + validation")</f>
        <v>Level 0 - none required</v>
      </c>
      <c r="H5" s="24" t="s">
        <v>9</v>
      </c>
    </row>
    <row r="6" spans="1:12" ht="30" customHeight="1" x14ac:dyDescent="0.35">
      <c r="A6" s="26" t="b">
        <v>1</v>
      </c>
      <c r="B6" s="41"/>
      <c r="C6" s="27"/>
      <c r="D6" s="25" cm="1">
        <f t="array" ref="D6">_xlfn.IFS(A6*(A4=1),'Torsional Rotordynamic An. 1'!U2,A6*(A4=2),'Torsional Rotordynamic An. 2'!U2,A6*(A4=3),'Torsional Rotordynamic An. 3'!U2)</f>
        <v>0</v>
      </c>
      <c r="E6" s="36" t="str" cm="1">
        <f t="array" ref="E6">_xlfn.IFS(D6&lt;15,"Level 0 - none required",D6&lt;=20,"Level 1 - Basic Analysis",D6&lt;=50,"Level 2 - Intermediate Analysis",D6&lt;=160,"Level 3 - Advanced Analysis",D6&gt;160,"Level 3 - Advanced Analysis + validation")</f>
        <v>Level 0 - none required</v>
      </c>
      <c r="H6" s="24" t="s">
        <v>10</v>
      </c>
    </row>
    <row r="7" spans="1:12" ht="30" customHeight="1" thickBot="1" x14ac:dyDescent="0.4">
      <c r="A7" s="26" t="b">
        <v>1</v>
      </c>
      <c r="B7" s="42"/>
      <c r="C7" s="37"/>
      <c r="D7" s="38" cm="1">
        <f t="array" ref="D7">_xlfn.IFS(A7*(A4=1),'Structural Dynamic Analysis 1'!U2,A7*(A4=2),'Structural Dynamic Analysis 2'!U2,A7*(A4=3),'Structural Dynamic Analysis 3'!U2)</f>
        <v>0</v>
      </c>
      <c r="E7" s="39" t="str" cm="1">
        <f t="array" ref="E7">_xlfn.IFS(D7&lt;15,"Level 0 - none required",D7&lt;=20,"Level 1 - Basic Analysis",D7&lt;=50,"Level 2 - Intermediate Analysis",D7&lt;=160,"Level 3 - Advanced Analysis",D7&gt;160,"Level 3 - Advanced Analysis + validation")</f>
        <v>Level 0 - none required</v>
      </c>
    </row>
    <row r="8" spans="1:12" ht="30" customHeight="1" x14ac:dyDescent="0.35">
      <c r="B8" s="31" t="s">
        <v>11</v>
      </c>
      <c r="C8" s="47" t="s">
        <v>3</v>
      </c>
      <c r="D8" s="47"/>
      <c r="E8" s="48"/>
    </row>
    <row r="9" spans="1:12" ht="30" customHeight="1" thickBot="1" x14ac:dyDescent="0.4">
      <c r="B9" s="29" t="s">
        <v>12</v>
      </c>
      <c r="C9" s="49" t="s">
        <v>3</v>
      </c>
      <c r="D9" s="49"/>
      <c r="E9" s="50"/>
    </row>
    <row r="10" spans="1:12" ht="15.5" thickTop="1" thickBot="1" x14ac:dyDescent="0.4"/>
    <row r="11" spans="1:12" ht="28.5" thickBot="1" x14ac:dyDescent="0.4">
      <c r="B11" s="21" t="s">
        <v>13</v>
      </c>
      <c r="C11" s="22" t="s">
        <v>14</v>
      </c>
      <c r="D11" s="22" t="s">
        <v>15</v>
      </c>
      <c r="E11" s="22" t="s">
        <v>11</v>
      </c>
      <c r="F11" s="22" t="s">
        <v>16</v>
      </c>
    </row>
    <row r="12" spans="1:12" ht="15" thickBot="1" x14ac:dyDescent="0.4">
      <c r="B12" s="18" t="s">
        <v>17</v>
      </c>
      <c r="C12" s="20" t="s">
        <v>18</v>
      </c>
      <c r="D12" s="20"/>
      <c r="E12" s="19">
        <v>45022</v>
      </c>
      <c r="F12" s="20" t="s">
        <v>19</v>
      </c>
    </row>
    <row r="13" spans="1:12" ht="15" thickBot="1" x14ac:dyDescent="0.4">
      <c r="B13" s="18"/>
      <c r="C13" s="20"/>
      <c r="D13" s="20"/>
      <c r="E13" s="20"/>
      <c r="F13" s="20"/>
    </row>
    <row r="14" spans="1:12" ht="15" thickBot="1" x14ac:dyDescent="0.4">
      <c r="B14" s="18"/>
      <c r="C14" s="20"/>
      <c r="D14" s="20"/>
      <c r="E14" s="20"/>
      <c r="F14" s="20"/>
    </row>
    <row r="15" spans="1:12" ht="15" thickBot="1" x14ac:dyDescent="0.4">
      <c r="B15" s="18"/>
      <c r="C15" s="20"/>
      <c r="D15" s="20"/>
      <c r="E15" s="20"/>
      <c r="F15" s="20"/>
    </row>
    <row r="16" spans="1:12" ht="15" thickBot="1" x14ac:dyDescent="0.4">
      <c r="B16" s="18"/>
      <c r="C16" s="20"/>
      <c r="D16" s="20"/>
      <c r="E16" s="20"/>
      <c r="F16" s="20"/>
    </row>
  </sheetData>
  <mergeCells count="5">
    <mergeCell ref="B5:B7"/>
    <mergeCell ref="C2:E2"/>
    <mergeCell ref="C3:E3"/>
    <mergeCell ref="C8:E8"/>
    <mergeCell ref="C9:E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Drop Down 2">
              <controlPr defaultSize="0" autoLine="0" autoPict="0">
                <anchor moveWithCells="1">
                  <from>
                    <xdr:col>2</xdr:col>
                    <xdr:colOff>19050</xdr:colOff>
                    <xdr:row>3</xdr:row>
                    <xdr:rowOff>12700</xdr:rowOff>
                  </from>
                  <to>
                    <xdr:col>3</xdr:col>
                    <xdr:colOff>0</xdr:colOff>
                    <xdr:row>3</xdr:row>
                    <xdr:rowOff>374650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Check Box 3">
              <controlPr defaultSize="0" autoFill="0" autoLine="0" autoPict="0">
                <anchor moveWithCells="1">
                  <from>
                    <xdr:col>2</xdr:col>
                    <xdr:colOff>0</xdr:colOff>
                    <xdr:row>4</xdr:row>
                    <xdr:rowOff>12700</xdr:rowOff>
                  </from>
                  <to>
                    <xdr:col>2</xdr:col>
                    <xdr:colOff>2286000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Check Box 4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12700</xdr:rowOff>
                  </from>
                  <to>
                    <xdr:col>2</xdr:col>
                    <xdr:colOff>2286000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Check Box 5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12700</xdr:rowOff>
                  </from>
                  <to>
                    <xdr:col>2</xdr:col>
                    <xdr:colOff>2286000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"/>
  <dimension ref="B2:W23"/>
  <sheetViews>
    <sheetView zoomScaleNormal="100" workbookViewId="0"/>
  </sheetViews>
  <sheetFormatPr defaultRowHeight="14.5" x14ac:dyDescent="0.35"/>
  <cols>
    <col min="1" max="1" width="2.7265625" customWidth="1"/>
    <col min="2" max="2" width="18.7265625" customWidth="1"/>
    <col min="8" max="8" width="9.1796875" hidden="1" customWidth="1"/>
    <col min="10" max="10" width="2.7265625" customWidth="1"/>
    <col min="17" max="17" width="9.1796875" hidden="1" customWidth="1"/>
    <col min="19" max="19" width="2.7265625" customWidth="1"/>
    <col min="22" max="22" width="50.7265625" customWidth="1"/>
    <col min="23" max="23" width="18.453125" customWidth="1"/>
  </cols>
  <sheetData>
    <row r="2" spans="2:23" ht="22.5" x14ac:dyDescent="0.45">
      <c r="B2" s="65" t="s">
        <v>20</v>
      </c>
      <c r="C2" s="66"/>
      <c r="D2" s="66"/>
      <c r="E2" s="66"/>
      <c r="F2" s="66"/>
      <c r="G2" s="66"/>
      <c r="H2" s="66"/>
      <c r="I2" s="67"/>
      <c r="K2" s="65" t="s">
        <v>21</v>
      </c>
      <c r="L2" s="66"/>
      <c r="M2" s="66"/>
      <c r="N2" s="66"/>
      <c r="O2" s="66"/>
      <c r="P2" s="66"/>
      <c r="Q2" s="66"/>
      <c r="R2" s="67"/>
      <c r="S2" s="8"/>
      <c r="T2" s="68" t="s">
        <v>5</v>
      </c>
      <c r="U2" s="68">
        <f>R3*I20</f>
        <v>0</v>
      </c>
      <c r="V2" s="74" t="s">
        <v>22</v>
      </c>
      <c r="W2" s="60" t="s">
        <v>23</v>
      </c>
    </row>
    <row r="3" spans="2:23" ht="14.5" customHeight="1" x14ac:dyDescent="0.35">
      <c r="B3" s="1" t="s">
        <v>4</v>
      </c>
      <c r="C3" s="78" t="s">
        <v>24</v>
      </c>
      <c r="D3" s="78"/>
      <c r="E3" s="78"/>
      <c r="F3" s="78"/>
      <c r="G3" s="78"/>
      <c r="H3" s="78"/>
      <c r="I3" s="79"/>
      <c r="K3" s="75" t="s">
        <v>21</v>
      </c>
      <c r="L3" s="2"/>
      <c r="M3" s="3"/>
      <c r="N3" s="3"/>
      <c r="O3" s="3"/>
      <c r="P3" s="53">
        <v>20</v>
      </c>
      <c r="Q3" s="62">
        <v>4</v>
      </c>
      <c r="R3" s="62">
        <f>CHOOSE(Q3,20,10,4,2)</f>
        <v>2</v>
      </c>
      <c r="T3" s="69"/>
      <c r="U3" s="69"/>
      <c r="V3" s="61"/>
      <c r="W3" s="61"/>
    </row>
    <row r="4" spans="2:23" ht="15" customHeight="1" x14ac:dyDescent="0.35">
      <c r="B4" s="71" t="s">
        <v>7</v>
      </c>
      <c r="C4" s="2"/>
      <c r="D4" s="3"/>
      <c r="E4" s="3"/>
      <c r="F4" s="3"/>
      <c r="G4" s="3"/>
      <c r="H4" s="51" t="b">
        <v>0</v>
      </c>
      <c r="I4" s="53">
        <f>IF(H4,2,0)</f>
        <v>0</v>
      </c>
      <c r="K4" s="76"/>
      <c r="L4" s="4"/>
      <c r="M4" s="5"/>
      <c r="N4" s="5"/>
      <c r="O4" s="5"/>
      <c r="P4" s="54"/>
      <c r="Q4" s="63"/>
      <c r="R4" s="63"/>
      <c r="T4" s="69"/>
      <c r="U4" s="69"/>
      <c r="V4" s="9" t="s">
        <v>25</v>
      </c>
      <c r="W4" s="10" t="s">
        <v>26</v>
      </c>
    </row>
    <row r="5" spans="2:23" ht="14.5" customHeight="1" x14ac:dyDescent="0.35">
      <c r="B5" s="72"/>
      <c r="C5" s="4"/>
      <c r="D5" s="5"/>
      <c r="E5" s="5"/>
      <c r="F5" s="5"/>
      <c r="G5" s="5"/>
      <c r="H5" s="52"/>
      <c r="I5" s="54"/>
      <c r="K5" s="76"/>
      <c r="L5" s="2"/>
      <c r="M5" s="3"/>
      <c r="N5" s="3"/>
      <c r="O5" s="3"/>
      <c r="P5" s="53">
        <v>10</v>
      </c>
      <c r="Q5" s="63"/>
      <c r="R5" s="63"/>
      <c r="T5" s="69"/>
      <c r="U5" s="69"/>
      <c r="V5" s="11" t="s">
        <v>27</v>
      </c>
      <c r="W5" s="11" t="s">
        <v>28</v>
      </c>
    </row>
    <row r="6" spans="2:23" ht="14.5" customHeight="1" x14ac:dyDescent="0.35">
      <c r="B6" s="72"/>
      <c r="C6" s="2"/>
      <c r="D6" s="3"/>
      <c r="E6" s="3"/>
      <c r="F6" s="3"/>
      <c r="G6" s="3"/>
      <c r="H6" s="51" t="b">
        <v>0</v>
      </c>
      <c r="I6" s="53">
        <f>IF(H6,2,0)</f>
        <v>0</v>
      </c>
      <c r="K6" s="76"/>
      <c r="L6" s="4"/>
      <c r="M6" s="5"/>
      <c r="N6" s="5"/>
      <c r="O6" s="5"/>
      <c r="P6" s="54"/>
      <c r="Q6" s="63"/>
      <c r="R6" s="63"/>
      <c r="T6" s="69"/>
      <c r="U6" s="69"/>
      <c r="V6" s="11" t="s">
        <v>29</v>
      </c>
      <c r="W6" s="11" t="s">
        <v>30</v>
      </c>
    </row>
    <row r="7" spans="2:23" ht="14.5" customHeight="1" x14ac:dyDescent="0.35">
      <c r="B7" s="72"/>
      <c r="C7" s="4"/>
      <c r="D7" s="5"/>
      <c r="E7" s="5"/>
      <c r="F7" s="5"/>
      <c r="G7" s="5"/>
      <c r="H7" s="52"/>
      <c r="I7" s="54"/>
      <c r="K7" s="76"/>
      <c r="L7" s="2"/>
      <c r="M7" s="3"/>
      <c r="N7" s="3"/>
      <c r="O7" s="3"/>
      <c r="P7" s="53">
        <v>4</v>
      </c>
      <c r="Q7" s="63"/>
      <c r="R7" s="63"/>
      <c r="T7" s="69"/>
      <c r="U7" s="69"/>
      <c r="V7" s="11" t="s">
        <v>31</v>
      </c>
      <c r="W7" s="11" t="s">
        <v>32</v>
      </c>
    </row>
    <row r="8" spans="2:23" ht="14.5" customHeight="1" x14ac:dyDescent="0.35">
      <c r="B8" s="72"/>
      <c r="C8" s="2"/>
      <c r="D8" s="3"/>
      <c r="E8" s="3"/>
      <c r="F8" s="3"/>
      <c r="G8" s="3"/>
      <c r="H8" s="51" t="b">
        <v>0</v>
      </c>
      <c r="I8" s="53">
        <f>IF(H8,2,0)</f>
        <v>0</v>
      </c>
      <c r="K8" s="76"/>
      <c r="L8" s="4"/>
      <c r="M8" s="5"/>
      <c r="N8" s="5"/>
      <c r="O8" s="5"/>
      <c r="P8" s="54"/>
      <c r="Q8" s="63"/>
      <c r="R8" s="63"/>
      <c r="T8" s="70"/>
      <c r="U8" s="70"/>
      <c r="V8" s="12" t="s">
        <v>33</v>
      </c>
      <c r="W8" s="12" t="s">
        <v>34</v>
      </c>
    </row>
    <row r="9" spans="2:23" ht="14.5" customHeight="1" x14ac:dyDescent="0.35">
      <c r="B9" s="72"/>
      <c r="C9" s="4"/>
      <c r="D9" s="5"/>
      <c r="E9" s="5"/>
      <c r="F9" s="5"/>
      <c r="G9" s="5"/>
      <c r="H9" s="52"/>
      <c r="I9" s="54"/>
      <c r="K9" s="76"/>
      <c r="L9" s="2"/>
      <c r="M9" s="3"/>
      <c r="N9" s="3"/>
      <c r="O9" s="3"/>
      <c r="P9" s="53">
        <v>2</v>
      </c>
      <c r="Q9" s="63"/>
      <c r="R9" s="63"/>
      <c r="T9" s="23"/>
      <c r="U9" s="23"/>
    </row>
    <row r="10" spans="2:23" ht="14.5" customHeight="1" x14ac:dyDescent="0.35">
      <c r="B10" s="72"/>
      <c r="C10" s="2"/>
      <c r="D10" s="3"/>
      <c r="E10" s="3"/>
      <c r="F10" s="3"/>
      <c r="G10" s="3"/>
      <c r="H10" s="51" t="b">
        <v>0</v>
      </c>
      <c r="I10" s="53">
        <f>IF(H10,2,0)</f>
        <v>0</v>
      </c>
      <c r="K10" s="77"/>
      <c r="L10" s="4"/>
      <c r="M10" s="5"/>
      <c r="N10" s="5"/>
      <c r="O10" s="5"/>
      <c r="P10" s="54"/>
      <c r="Q10" s="64"/>
      <c r="R10" s="64"/>
      <c r="T10" s="23"/>
      <c r="U10" s="23"/>
    </row>
    <row r="11" spans="2:23" x14ac:dyDescent="0.35">
      <c r="B11" s="72"/>
      <c r="C11" s="4"/>
      <c r="D11" s="5"/>
      <c r="E11" s="5"/>
      <c r="F11" s="5"/>
      <c r="G11" s="5"/>
      <c r="H11" s="52"/>
      <c r="I11" s="54"/>
    </row>
    <row r="12" spans="2:23" x14ac:dyDescent="0.35">
      <c r="B12" s="72"/>
      <c r="C12" s="2"/>
      <c r="D12" s="3"/>
      <c r="E12" s="3"/>
      <c r="F12" s="3"/>
      <c r="G12" s="3"/>
      <c r="H12" s="51" t="b">
        <v>0</v>
      </c>
      <c r="I12" s="53">
        <f>IF(H12,1,0)</f>
        <v>0</v>
      </c>
      <c r="K12" s="13"/>
    </row>
    <row r="13" spans="2:23" ht="15" customHeight="1" x14ac:dyDescent="0.35">
      <c r="B13" s="72"/>
      <c r="C13" s="4"/>
      <c r="D13" s="5"/>
      <c r="E13" s="5"/>
      <c r="F13" s="5"/>
      <c r="G13" s="5"/>
      <c r="H13" s="52"/>
      <c r="I13" s="54"/>
      <c r="K13" s="13"/>
    </row>
    <row r="14" spans="2:23" x14ac:dyDescent="0.35">
      <c r="B14" s="72"/>
      <c r="C14" s="2"/>
      <c r="D14" s="3"/>
      <c r="E14" s="3"/>
      <c r="F14" s="3"/>
      <c r="G14" s="3"/>
      <c r="H14" s="51" t="b">
        <v>0</v>
      </c>
      <c r="I14" s="53">
        <f t="shared" ref="I14" si="0">IF(H14,2,0)</f>
        <v>0</v>
      </c>
      <c r="K14" s="13"/>
    </row>
    <row r="15" spans="2:23" x14ac:dyDescent="0.35">
      <c r="B15" s="72"/>
      <c r="C15" s="4"/>
      <c r="D15" s="5"/>
      <c r="E15" s="5"/>
      <c r="F15" s="5"/>
      <c r="G15" s="5"/>
      <c r="H15" s="52"/>
      <c r="I15" s="54"/>
    </row>
    <row r="16" spans="2:23" x14ac:dyDescent="0.35">
      <c r="B16" s="72"/>
      <c r="C16" s="6"/>
      <c r="D16" s="6"/>
      <c r="E16" s="6"/>
      <c r="F16" s="6"/>
      <c r="G16" s="6"/>
      <c r="H16" s="55" t="b">
        <v>0</v>
      </c>
      <c r="I16" s="56">
        <f>IF(H16,3,0)</f>
        <v>0</v>
      </c>
    </row>
    <row r="17" spans="2:9" x14ac:dyDescent="0.35">
      <c r="B17" s="72"/>
      <c r="C17" s="5"/>
      <c r="D17" s="5"/>
      <c r="E17" s="5"/>
      <c r="F17" s="5"/>
      <c r="G17" s="5"/>
      <c r="H17" s="52"/>
      <c r="I17" s="54"/>
    </row>
    <row r="18" spans="2:9" x14ac:dyDescent="0.35">
      <c r="B18" s="72"/>
      <c r="C18" s="6"/>
      <c r="D18" s="6"/>
      <c r="E18" s="6"/>
      <c r="F18" s="6"/>
      <c r="G18" s="6"/>
      <c r="H18" s="55" t="b">
        <v>0</v>
      </c>
      <c r="I18" s="56">
        <f>IF(H18,3,0)</f>
        <v>0</v>
      </c>
    </row>
    <row r="19" spans="2:9" x14ac:dyDescent="0.35">
      <c r="B19" s="72"/>
      <c r="C19" s="5"/>
      <c r="D19" s="5"/>
      <c r="E19" s="5"/>
      <c r="F19" s="5"/>
      <c r="G19" s="5"/>
      <c r="H19" s="52"/>
      <c r="I19" s="54"/>
    </row>
    <row r="20" spans="2:9" x14ac:dyDescent="0.35">
      <c r="B20" s="73"/>
      <c r="C20" s="57" t="s">
        <v>35</v>
      </c>
      <c r="D20" s="58"/>
      <c r="E20" s="58"/>
      <c r="F20" s="58"/>
      <c r="G20" s="58"/>
      <c r="H20" s="59"/>
      <c r="I20" s="7">
        <f>SUM(I4:I19)</f>
        <v>0</v>
      </c>
    </row>
    <row r="23" spans="2:9" x14ac:dyDescent="0.35">
      <c r="F23" t="s">
        <v>36</v>
      </c>
    </row>
  </sheetData>
  <mergeCells count="32">
    <mergeCell ref="B4:B20"/>
    <mergeCell ref="P9:P10"/>
    <mergeCell ref="V2:V3"/>
    <mergeCell ref="H6:H7"/>
    <mergeCell ref="I6:I7"/>
    <mergeCell ref="H8:H9"/>
    <mergeCell ref="I8:I9"/>
    <mergeCell ref="H10:H11"/>
    <mergeCell ref="H12:H13"/>
    <mergeCell ref="I12:I13"/>
    <mergeCell ref="H14:H15"/>
    <mergeCell ref="I14:I15"/>
    <mergeCell ref="B2:I2"/>
    <mergeCell ref="K3:K10"/>
    <mergeCell ref="I10:I11"/>
    <mergeCell ref="C3:I3"/>
    <mergeCell ref="W2:W3"/>
    <mergeCell ref="P3:P4"/>
    <mergeCell ref="P5:P6"/>
    <mergeCell ref="P7:P8"/>
    <mergeCell ref="Q3:Q10"/>
    <mergeCell ref="R3:R10"/>
    <mergeCell ref="K2:R2"/>
    <mergeCell ref="U2:U8"/>
    <mergeCell ref="T2:T8"/>
    <mergeCell ref="H4:H5"/>
    <mergeCell ref="I4:I5"/>
    <mergeCell ref="H18:H19"/>
    <mergeCell ref="I18:I19"/>
    <mergeCell ref="C20:H20"/>
    <mergeCell ref="H16:H17"/>
    <mergeCell ref="I16:I17"/>
  </mergeCells>
  <conditionalFormatting sqref="W4">
    <cfRule type="expression" dxfId="44" priority="5">
      <formula>$U$2&lt;15</formula>
    </cfRule>
  </conditionalFormatting>
  <conditionalFormatting sqref="W5">
    <cfRule type="expression" dxfId="43" priority="4">
      <formula>($U$2&gt;15)*($U$2&lt;=20)</formula>
    </cfRule>
  </conditionalFormatting>
  <conditionalFormatting sqref="W6">
    <cfRule type="expression" dxfId="42" priority="3">
      <formula>($U$2&gt;20)*($U$2&lt;=50)</formula>
    </cfRule>
  </conditionalFormatting>
  <conditionalFormatting sqref="W7">
    <cfRule type="expression" dxfId="41" priority="2">
      <formula>($U$2&gt;50)*($U$2&lt;=160)</formula>
    </cfRule>
  </conditionalFormatting>
  <conditionalFormatting sqref="W8">
    <cfRule type="expression" dxfId="40" priority="1">
      <formula>$U$2&gt;160</formula>
    </cfRule>
  </conditionalFormatting>
  <pageMargins left="0.7" right="0.7" top="0.75" bottom="0.75" header="0.3" footer="0.3"/>
  <pageSetup paperSize="9" orientation="portrait" r:id="rId1"/>
  <ignoredErrors>
    <ignoredError sqref="I1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heck Box 13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Option Button 9">
              <controlPr defaultSize="0" autoFill="0" autoLine="0" autoPict="0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Option Button 10">
              <controlPr defaultSize="0" autoFill="0" autoLine="0" autoPict="0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14</xdr:col>
                    <xdr:colOff>514350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Option Button 11">
              <controlPr defaultSize="0" autoFill="0" autoLine="0" autoPict="0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Option Button 12">
              <controlPr defaultSize="0" autoFill="0" autoLine="0" autoPict="0">
                <anchor mov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7C85F-582D-40B5-BB7C-C7875B5052EF}">
  <sheetPr codeName="Foglio3"/>
  <dimension ref="B2:W24"/>
  <sheetViews>
    <sheetView zoomScale="90" zoomScaleNormal="90" workbookViewId="0">
      <selection activeCell="V19" sqref="V19"/>
    </sheetView>
  </sheetViews>
  <sheetFormatPr defaultRowHeight="14.5" x14ac:dyDescent="0.35"/>
  <cols>
    <col min="1" max="1" width="2.7265625" customWidth="1"/>
    <col min="2" max="2" width="18.7265625" customWidth="1"/>
    <col min="8" max="8" width="9.1796875" hidden="1" customWidth="1"/>
    <col min="10" max="10" width="2.7265625" customWidth="1"/>
    <col min="17" max="17" width="9.1796875" hidden="1" customWidth="1"/>
    <col min="19" max="19" width="2.7265625" customWidth="1"/>
    <col min="22" max="22" width="50.7265625" customWidth="1"/>
    <col min="23" max="23" width="18.453125" customWidth="1"/>
  </cols>
  <sheetData>
    <row r="2" spans="2:23" ht="22.5" x14ac:dyDescent="0.45">
      <c r="B2" s="65" t="s">
        <v>20</v>
      </c>
      <c r="C2" s="66"/>
      <c r="D2" s="66"/>
      <c r="E2" s="66"/>
      <c r="F2" s="66"/>
      <c r="G2" s="66"/>
      <c r="H2" s="66"/>
      <c r="I2" s="67"/>
      <c r="K2" s="65" t="s">
        <v>21</v>
      </c>
      <c r="L2" s="66"/>
      <c r="M2" s="66"/>
      <c r="N2" s="66"/>
      <c r="O2" s="66"/>
      <c r="P2" s="66"/>
      <c r="Q2" s="66"/>
      <c r="R2" s="67"/>
      <c r="S2" s="8"/>
      <c r="T2" s="68" t="s">
        <v>5</v>
      </c>
      <c r="U2" s="68">
        <f>R3*I22</f>
        <v>0</v>
      </c>
      <c r="V2" s="74" t="s">
        <v>22</v>
      </c>
      <c r="W2" s="60" t="s">
        <v>23</v>
      </c>
    </row>
    <row r="3" spans="2:23" ht="14.5" customHeight="1" x14ac:dyDescent="0.35">
      <c r="B3" s="1" t="s">
        <v>4</v>
      </c>
      <c r="C3" s="78" t="s">
        <v>24</v>
      </c>
      <c r="D3" s="78"/>
      <c r="E3" s="78"/>
      <c r="F3" s="78"/>
      <c r="G3" s="78"/>
      <c r="H3" s="78"/>
      <c r="I3" s="79"/>
      <c r="K3" s="75" t="s">
        <v>21</v>
      </c>
      <c r="L3" s="2"/>
      <c r="M3" s="3"/>
      <c r="N3" s="3"/>
      <c r="O3" s="3"/>
      <c r="P3" s="53">
        <v>20</v>
      </c>
      <c r="Q3" s="62">
        <v>4</v>
      </c>
      <c r="R3" s="62">
        <f>CHOOSE(Q3,20,10,4,2)</f>
        <v>2</v>
      </c>
      <c r="T3" s="69"/>
      <c r="U3" s="69"/>
      <c r="V3" s="61"/>
      <c r="W3" s="61"/>
    </row>
    <row r="4" spans="2:23" ht="15" customHeight="1" x14ac:dyDescent="0.35">
      <c r="B4" s="71" t="s">
        <v>9</v>
      </c>
      <c r="C4" s="2"/>
      <c r="D4" s="3"/>
      <c r="E4" s="3"/>
      <c r="F4" s="3"/>
      <c r="G4" s="3"/>
      <c r="H4" s="51" t="b">
        <v>0</v>
      </c>
      <c r="I4" s="53">
        <f>IF(H4,2,0)</f>
        <v>0</v>
      </c>
      <c r="K4" s="76"/>
      <c r="L4" s="4"/>
      <c r="M4" s="5"/>
      <c r="N4" s="5"/>
      <c r="O4" s="5"/>
      <c r="P4" s="54"/>
      <c r="Q4" s="63"/>
      <c r="R4" s="63"/>
      <c r="T4" s="69"/>
      <c r="U4" s="69"/>
      <c r="V4" s="9" t="s">
        <v>25</v>
      </c>
      <c r="W4" s="10" t="s">
        <v>26</v>
      </c>
    </row>
    <row r="5" spans="2:23" ht="14.5" customHeight="1" x14ac:dyDescent="0.35">
      <c r="B5" s="72"/>
      <c r="C5" s="4"/>
      <c r="D5" s="5"/>
      <c r="E5" s="5"/>
      <c r="F5" s="5"/>
      <c r="G5" s="5"/>
      <c r="H5" s="52"/>
      <c r="I5" s="54"/>
      <c r="K5" s="76"/>
      <c r="L5" s="2"/>
      <c r="M5" s="3"/>
      <c r="N5" s="3"/>
      <c r="O5" s="3"/>
      <c r="P5" s="53">
        <v>10</v>
      </c>
      <c r="Q5" s="63"/>
      <c r="R5" s="63"/>
      <c r="T5" s="69"/>
      <c r="U5" s="69"/>
      <c r="V5" s="11" t="s">
        <v>27</v>
      </c>
      <c r="W5" s="11" t="s">
        <v>28</v>
      </c>
    </row>
    <row r="6" spans="2:23" ht="14.5" customHeight="1" x14ac:dyDescent="0.35">
      <c r="B6" s="72"/>
      <c r="C6" s="2"/>
      <c r="D6" s="3"/>
      <c r="E6" s="3"/>
      <c r="F6" s="3"/>
      <c r="G6" s="3"/>
      <c r="H6" s="51" t="b">
        <v>0</v>
      </c>
      <c r="I6" s="53">
        <f>IF(H6,2,0)</f>
        <v>0</v>
      </c>
      <c r="K6" s="76"/>
      <c r="L6" s="4"/>
      <c r="M6" s="5"/>
      <c r="N6" s="5"/>
      <c r="O6" s="5"/>
      <c r="P6" s="54"/>
      <c r="Q6" s="63"/>
      <c r="R6" s="63"/>
      <c r="T6" s="69"/>
      <c r="U6" s="69"/>
      <c r="V6" s="11" t="s">
        <v>29</v>
      </c>
      <c r="W6" s="11" t="s">
        <v>30</v>
      </c>
    </row>
    <row r="7" spans="2:23" ht="14.5" customHeight="1" x14ac:dyDescent="0.35">
      <c r="B7" s="72"/>
      <c r="C7" s="4"/>
      <c r="D7" s="5"/>
      <c r="E7" s="5"/>
      <c r="F7" s="5"/>
      <c r="G7" s="5"/>
      <c r="H7" s="52"/>
      <c r="I7" s="54"/>
      <c r="K7" s="76"/>
      <c r="L7" s="2"/>
      <c r="M7" s="3"/>
      <c r="N7" s="3"/>
      <c r="O7" s="3"/>
      <c r="P7" s="53">
        <v>4</v>
      </c>
      <c r="Q7" s="63"/>
      <c r="R7" s="63"/>
      <c r="T7" s="69"/>
      <c r="U7" s="69"/>
      <c r="V7" s="11" t="s">
        <v>31</v>
      </c>
      <c r="W7" s="11" t="s">
        <v>32</v>
      </c>
    </row>
    <row r="8" spans="2:23" ht="14.5" customHeight="1" x14ac:dyDescent="0.35">
      <c r="B8" s="72"/>
      <c r="C8" s="2"/>
      <c r="D8" s="3"/>
      <c r="E8" s="3"/>
      <c r="F8" s="3"/>
      <c r="G8" s="3"/>
      <c r="H8" s="51" t="b">
        <v>0</v>
      </c>
      <c r="I8" s="53">
        <f>IF(H8,2,0)</f>
        <v>0</v>
      </c>
      <c r="K8" s="76"/>
      <c r="L8" s="4"/>
      <c r="M8" s="5"/>
      <c r="N8" s="5"/>
      <c r="O8" s="5"/>
      <c r="P8" s="54"/>
      <c r="Q8" s="63"/>
      <c r="R8" s="63"/>
      <c r="T8" s="70"/>
      <c r="U8" s="70"/>
      <c r="V8" s="12" t="s">
        <v>33</v>
      </c>
      <c r="W8" s="12" t="s">
        <v>34</v>
      </c>
    </row>
    <row r="9" spans="2:23" ht="14.5" customHeight="1" x14ac:dyDescent="0.35">
      <c r="B9" s="72"/>
      <c r="C9" s="4"/>
      <c r="D9" s="5"/>
      <c r="E9" s="5"/>
      <c r="F9" s="5"/>
      <c r="G9" s="5"/>
      <c r="H9" s="52"/>
      <c r="I9" s="54"/>
      <c r="K9" s="76"/>
      <c r="L9" s="2"/>
      <c r="M9" s="3"/>
      <c r="N9" s="3"/>
      <c r="O9" s="3"/>
      <c r="P9" s="53">
        <v>2</v>
      </c>
      <c r="Q9" s="63"/>
      <c r="R9" s="63"/>
      <c r="T9" s="23"/>
      <c r="U9" s="23"/>
    </row>
    <row r="10" spans="2:23" ht="14.5" customHeight="1" x14ac:dyDescent="0.35">
      <c r="B10" s="72"/>
      <c r="C10" s="2"/>
      <c r="D10" s="3"/>
      <c r="E10" s="3"/>
      <c r="F10" s="3"/>
      <c r="G10" s="3"/>
      <c r="H10" s="51" t="b">
        <v>0</v>
      </c>
      <c r="I10" s="53">
        <f>IF(H10,2,0)</f>
        <v>0</v>
      </c>
      <c r="K10" s="77"/>
      <c r="L10" s="4"/>
      <c r="M10" s="5"/>
      <c r="N10" s="5"/>
      <c r="O10" s="5"/>
      <c r="P10" s="54"/>
      <c r="Q10" s="64"/>
      <c r="R10" s="64"/>
      <c r="T10" s="23"/>
      <c r="U10" s="23"/>
    </row>
    <row r="11" spans="2:23" x14ac:dyDescent="0.35">
      <c r="B11" s="72"/>
      <c r="C11" s="4"/>
      <c r="D11" s="5"/>
      <c r="E11" s="5"/>
      <c r="F11" s="5"/>
      <c r="G11" s="5"/>
      <c r="H11" s="52"/>
      <c r="I11" s="54"/>
    </row>
    <row r="12" spans="2:23" x14ac:dyDescent="0.35">
      <c r="B12" s="72"/>
      <c r="C12" s="2"/>
      <c r="D12" s="3"/>
      <c r="E12" s="3"/>
      <c r="F12" s="3"/>
      <c r="G12" s="3"/>
      <c r="H12" s="51" t="b">
        <v>0</v>
      </c>
      <c r="I12" s="53">
        <f>IF(H12,3,0)</f>
        <v>0</v>
      </c>
      <c r="K12" s="13"/>
    </row>
    <row r="13" spans="2:23" ht="15" customHeight="1" x14ac:dyDescent="0.35">
      <c r="B13" s="72"/>
      <c r="C13" s="4"/>
      <c r="D13" s="5"/>
      <c r="E13" s="5"/>
      <c r="F13" s="5"/>
      <c r="G13" s="5"/>
      <c r="H13" s="52"/>
      <c r="I13" s="54"/>
      <c r="K13" s="13"/>
    </row>
    <row r="14" spans="2:23" x14ac:dyDescent="0.35">
      <c r="B14" s="72"/>
      <c r="C14" s="2"/>
      <c r="D14" s="3"/>
      <c r="E14" s="3"/>
      <c r="F14" s="3"/>
      <c r="G14" s="3"/>
      <c r="H14" s="51" t="b">
        <v>0</v>
      </c>
      <c r="I14" s="53">
        <f>IF(H14,1,0)</f>
        <v>0</v>
      </c>
      <c r="K14" s="13"/>
    </row>
    <row r="15" spans="2:23" x14ac:dyDescent="0.35">
      <c r="B15" s="72"/>
      <c r="C15" s="4"/>
      <c r="D15" s="5"/>
      <c r="E15" s="5"/>
      <c r="F15" s="5"/>
      <c r="G15" s="5"/>
      <c r="H15" s="52"/>
      <c r="I15" s="54"/>
    </row>
    <row r="16" spans="2:23" x14ac:dyDescent="0.35">
      <c r="B16" s="72"/>
      <c r="C16" s="2"/>
      <c r="D16" s="3"/>
      <c r="E16" s="3"/>
      <c r="F16" s="3"/>
      <c r="G16" s="3"/>
      <c r="H16" s="51" t="b">
        <v>0</v>
      </c>
      <c r="I16" s="53">
        <f t="shared" ref="I16" si="0">IF(H16,2,0)</f>
        <v>0</v>
      </c>
    </row>
    <row r="17" spans="2:9" x14ac:dyDescent="0.35">
      <c r="B17" s="72"/>
      <c r="C17" s="4"/>
      <c r="D17" s="5"/>
      <c r="E17" s="5"/>
      <c r="F17" s="5"/>
      <c r="G17" s="5"/>
      <c r="H17" s="52"/>
      <c r="I17" s="54"/>
    </row>
    <row r="18" spans="2:9" x14ac:dyDescent="0.35">
      <c r="B18" s="72"/>
      <c r="C18" s="6"/>
      <c r="D18" s="6"/>
      <c r="E18" s="6"/>
      <c r="F18" s="6"/>
      <c r="G18" s="6"/>
      <c r="H18" s="55" t="b">
        <v>0</v>
      </c>
      <c r="I18" s="56">
        <f>IF(H18,3,0)</f>
        <v>0</v>
      </c>
    </row>
    <row r="19" spans="2:9" x14ac:dyDescent="0.35">
      <c r="B19" s="72"/>
      <c r="C19" s="5"/>
      <c r="D19" s="5"/>
      <c r="E19" s="5"/>
      <c r="F19" s="5"/>
      <c r="G19" s="5"/>
      <c r="H19" s="52"/>
      <c r="I19" s="54"/>
    </row>
    <row r="20" spans="2:9" x14ac:dyDescent="0.35">
      <c r="B20" s="72"/>
      <c r="C20" s="6"/>
      <c r="D20" s="6"/>
      <c r="E20" s="6"/>
      <c r="F20" s="6"/>
      <c r="G20" s="6"/>
      <c r="H20" s="55" t="b">
        <v>0</v>
      </c>
      <c r="I20" s="56">
        <f>IF(H20,3,0)</f>
        <v>0</v>
      </c>
    </row>
    <row r="21" spans="2:9" x14ac:dyDescent="0.35">
      <c r="B21" s="72"/>
      <c r="C21" s="5"/>
      <c r="D21" s="5"/>
      <c r="E21" s="5"/>
      <c r="F21" s="5"/>
      <c r="G21" s="5"/>
      <c r="H21" s="52"/>
      <c r="I21" s="54"/>
    </row>
    <row r="22" spans="2:9" x14ac:dyDescent="0.35">
      <c r="B22" s="73"/>
      <c r="C22" s="57" t="s">
        <v>35</v>
      </c>
      <c r="D22" s="58"/>
      <c r="E22" s="58"/>
      <c r="F22" s="58"/>
      <c r="G22" s="58"/>
      <c r="H22" s="59"/>
      <c r="I22" s="7">
        <f>SUM(I4:I21)</f>
        <v>0</v>
      </c>
    </row>
    <row r="24" spans="2:9" ht="15" customHeight="1" x14ac:dyDescent="0.35"/>
  </sheetData>
  <mergeCells count="34">
    <mergeCell ref="P9:P10"/>
    <mergeCell ref="C22:H22"/>
    <mergeCell ref="H12:H13"/>
    <mergeCell ref="I12:I13"/>
    <mergeCell ref="H14:H15"/>
    <mergeCell ref="I14:I15"/>
    <mergeCell ref="H16:H17"/>
    <mergeCell ref="I16:I17"/>
    <mergeCell ref="H18:H19"/>
    <mergeCell ref="I18:I19"/>
    <mergeCell ref="H20:H21"/>
    <mergeCell ref="I20:I21"/>
    <mergeCell ref="H6:H7"/>
    <mergeCell ref="I6:I7"/>
    <mergeCell ref="H8:H9"/>
    <mergeCell ref="I8:I9"/>
    <mergeCell ref="H10:H11"/>
    <mergeCell ref="I10:I11"/>
    <mergeCell ref="V2:V3"/>
    <mergeCell ref="W2:W3"/>
    <mergeCell ref="C3:I3"/>
    <mergeCell ref="K3:K10"/>
    <mergeCell ref="P3:P4"/>
    <mergeCell ref="Q3:Q10"/>
    <mergeCell ref="U2:U8"/>
    <mergeCell ref="T2:T8"/>
    <mergeCell ref="R3:R10"/>
    <mergeCell ref="P5:P6"/>
    <mergeCell ref="P7:P8"/>
    <mergeCell ref="B2:I2"/>
    <mergeCell ref="K2:R2"/>
    <mergeCell ref="B4:B22"/>
    <mergeCell ref="H4:H5"/>
    <mergeCell ref="I4:I5"/>
  </mergeCells>
  <conditionalFormatting sqref="W4">
    <cfRule type="expression" dxfId="39" priority="8">
      <formula>$U$2&lt;15</formula>
    </cfRule>
  </conditionalFormatting>
  <conditionalFormatting sqref="W5">
    <cfRule type="expression" dxfId="38" priority="7">
      <formula>($U$2&gt;15)*($U$2&lt;=20)</formula>
    </cfRule>
  </conditionalFormatting>
  <conditionalFormatting sqref="W6">
    <cfRule type="expression" dxfId="37" priority="6">
      <formula>($U$2&gt;20)*($U$2&lt;=50)</formula>
    </cfRule>
  </conditionalFormatting>
  <conditionalFormatting sqref="W7">
    <cfRule type="expression" dxfId="36" priority="5">
      <formula>($U$2&gt;50)*($U$2&lt;=160)</formula>
    </cfRule>
  </conditionalFormatting>
  <conditionalFormatting sqref="W8">
    <cfRule type="expression" dxfId="35" priority="4">
      <formula>$U$2&gt;160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0" r:id="rId4" name="Option Button 8">
              <controlPr defaultSize="0" autoFill="0" autoLine="0" autoPict="0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5" name="Option Button 9">
              <controlPr defaultSize="0" autoFill="0" autoLine="0" autoPict="0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14</xdr:col>
                    <xdr:colOff>514350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6" name="Option Button 10">
              <controlPr defaultSize="0" autoFill="0" autoLine="0" autoPict="0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7" name="Option Button 11">
              <controlPr defaultSize="0" autoFill="0" autoLine="0" autoPict="0">
                <anchor mov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8" name="Check Box 13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9" name="Check Box 14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0" name="Check Box 15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1" name="Check Box 16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2" name="Check Box 17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3" name="Check Box 18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4" name="Check Box 19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5" name="Check Box 20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6" name="Check Box 21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EE72C-79C1-4F0E-9191-5AACD4CD5991}">
  <sheetPr codeName="Foglio4"/>
  <dimension ref="B2:W24"/>
  <sheetViews>
    <sheetView zoomScale="90" zoomScaleNormal="90" workbookViewId="0">
      <selection activeCell="U17" sqref="U17"/>
    </sheetView>
  </sheetViews>
  <sheetFormatPr defaultRowHeight="14.5" x14ac:dyDescent="0.35"/>
  <cols>
    <col min="1" max="1" width="2.7265625" customWidth="1"/>
    <col min="2" max="2" width="18.7265625" customWidth="1"/>
    <col min="8" max="8" width="9.1796875" hidden="1" customWidth="1"/>
    <col min="10" max="10" width="2.7265625" customWidth="1"/>
    <col min="17" max="17" width="9.1796875" hidden="1" customWidth="1"/>
    <col min="19" max="19" width="2.7265625" customWidth="1"/>
    <col min="22" max="22" width="50.7265625" customWidth="1"/>
    <col min="23" max="23" width="18.453125" customWidth="1"/>
  </cols>
  <sheetData>
    <row r="2" spans="2:23" ht="22.5" x14ac:dyDescent="0.45">
      <c r="B2" s="65" t="s">
        <v>20</v>
      </c>
      <c r="C2" s="66"/>
      <c r="D2" s="66"/>
      <c r="E2" s="66"/>
      <c r="F2" s="66"/>
      <c r="G2" s="66"/>
      <c r="H2" s="66"/>
      <c r="I2" s="67"/>
      <c r="K2" s="65" t="s">
        <v>21</v>
      </c>
      <c r="L2" s="66"/>
      <c r="M2" s="66"/>
      <c r="N2" s="66"/>
      <c r="O2" s="66"/>
      <c r="P2" s="66"/>
      <c r="Q2" s="66"/>
      <c r="R2" s="67"/>
      <c r="S2" s="8"/>
      <c r="T2" s="68" t="s">
        <v>5</v>
      </c>
      <c r="U2" s="68">
        <f>R3*I22</f>
        <v>0</v>
      </c>
      <c r="V2" s="74" t="s">
        <v>22</v>
      </c>
      <c r="W2" s="60" t="s">
        <v>23</v>
      </c>
    </row>
    <row r="3" spans="2:23" ht="14.5" customHeight="1" x14ac:dyDescent="0.35">
      <c r="B3" s="1" t="s">
        <v>4</v>
      </c>
      <c r="C3" s="78" t="s">
        <v>24</v>
      </c>
      <c r="D3" s="78"/>
      <c r="E3" s="78"/>
      <c r="F3" s="78"/>
      <c r="G3" s="78"/>
      <c r="H3" s="78"/>
      <c r="I3" s="79"/>
      <c r="K3" s="75" t="s">
        <v>21</v>
      </c>
      <c r="L3" s="2"/>
      <c r="M3" s="3"/>
      <c r="N3" s="3"/>
      <c r="O3" s="3"/>
      <c r="P3" s="53">
        <v>20</v>
      </c>
      <c r="Q3" s="62">
        <v>4</v>
      </c>
      <c r="R3" s="62">
        <f>CHOOSE(Q3,20,10,4,2)</f>
        <v>2</v>
      </c>
      <c r="T3" s="69"/>
      <c r="U3" s="69"/>
      <c r="V3" s="61"/>
      <c r="W3" s="61"/>
    </row>
    <row r="4" spans="2:23" ht="15" customHeight="1" x14ac:dyDescent="0.35">
      <c r="B4" s="80" t="s">
        <v>10</v>
      </c>
      <c r="C4" s="2"/>
      <c r="D4" s="3"/>
      <c r="E4" s="3"/>
      <c r="F4" s="3"/>
      <c r="G4" s="3"/>
      <c r="H4" s="51" t="b">
        <v>0</v>
      </c>
      <c r="I4" s="53">
        <f>IF(H4,2,0)</f>
        <v>0</v>
      </c>
      <c r="K4" s="76"/>
      <c r="L4" s="4"/>
      <c r="M4" s="5"/>
      <c r="N4" s="5"/>
      <c r="O4" s="5"/>
      <c r="P4" s="54"/>
      <c r="Q4" s="63"/>
      <c r="R4" s="63"/>
      <c r="T4" s="69"/>
      <c r="U4" s="69"/>
      <c r="V4" s="9" t="s">
        <v>25</v>
      </c>
      <c r="W4" s="10" t="s">
        <v>26</v>
      </c>
    </row>
    <row r="5" spans="2:23" ht="14.5" customHeight="1" x14ac:dyDescent="0.35">
      <c r="B5" s="81"/>
      <c r="C5" s="4"/>
      <c r="D5" s="5"/>
      <c r="E5" s="5"/>
      <c r="F5" s="5"/>
      <c r="G5" s="5"/>
      <c r="H5" s="52"/>
      <c r="I5" s="54"/>
      <c r="K5" s="76"/>
      <c r="L5" s="2"/>
      <c r="M5" s="3"/>
      <c r="N5" s="3"/>
      <c r="O5" s="3"/>
      <c r="P5" s="53">
        <v>10</v>
      </c>
      <c r="Q5" s="63"/>
      <c r="R5" s="63"/>
      <c r="T5" s="69"/>
      <c r="U5" s="69"/>
      <c r="V5" s="11" t="s">
        <v>27</v>
      </c>
      <c r="W5" s="11" t="s">
        <v>28</v>
      </c>
    </row>
    <row r="6" spans="2:23" ht="14.5" customHeight="1" x14ac:dyDescent="0.35">
      <c r="B6" s="81"/>
      <c r="C6" s="2"/>
      <c r="D6" s="3"/>
      <c r="E6" s="3"/>
      <c r="F6" s="3"/>
      <c r="G6" s="3"/>
      <c r="H6" s="51" t="b">
        <v>0</v>
      </c>
      <c r="I6" s="53">
        <f>IF(H6,2,0)</f>
        <v>0</v>
      </c>
      <c r="K6" s="76"/>
      <c r="L6" s="4"/>
      <c r="M6" s="5"/>
      <c r="N6" s="5"/>
      <c r="O6" s="5"/>
      <c r="P6" s="54"/>
      <c r="Q6" s="63"/>
      <c r="R6" s="63"/>
      <c r="T6" s="69"/>
      <c r="U6" s="69"/>
      <c r="V6" s="11" t="s">
        <v>29</v>
      </c>
      <c r="W6" s="11" t="s">
        <v>30</v>
      </c>
    </row>
    <row r="7" spans="2:23" ht="14.5" customHeight="1" x14ac:dyDescent="0.35">
      <c r="B7" s="81"/>
      <c r="C7" s="4"/>
      <c r="D7" s="5"/>
      <c r="E7" s="5"/>
      <c r="F7" s="5"/>
      <c r="G7" s="5"/>
      <c r="H7" s="52"/>
      <c r="I7" s="54"/>
      <c r="K7" s="76"/>
      <c r="L7" s="2"/>
      <c r="M7" s="3"/>
      <c r="N7" s="3"/>
      <c r="O7" s="3"/>
      <c r="P7" s="53">
        <v>4</v>
      </c>
      <c r="Q7" s="63"/>
      <c r="R7" s="63"/>
      <c r="T7" s="69"/>
      <c r="U7" s="69"/>
      <c r="V7" s="11" t="s">
        <v>31</v>
      </c>
      <c r="W7" s="11" t="s">
        <v>32</v>
      </c>
    </row>
    <row r="8" spans="2:23" ht="14.5" customHeight="1" x14ac:dyDescent="0.35">
      <c r="B8" s="81"/>
      <c r="C8" s="2"/>
      <c r="D8" s="3"/>
      <c r="E8" s="3"/>
      <c r="F8" s="3"/>
      <c r="G8" s="3"/>
      <c r="H8" s="51" t="b">
        <v>0</v>
      </c>
      <c r="I8" s="53">
        <f>IF(H8,2,0)</f>
        <v>0</v>
      </c>
      <c r="K8" s="76"/>
      <c r="L8" s="4"/>
      <c r="M8" s="5"/>
      <c r="N8" s="5"/>
      <c r="O8" s="5"/>
      <c r="P8" s="54"/>
      <c r="Q8" s="63"/>
      <c r="R8" s="63"/>
      <c r="T8" s="70"/>
      <c r="U8" s="70"/>
      <c r="V8" s="12" t="s">
        <v>33</v>
      </c>
      <c r="W8" s="12" t="s">
        <v>34</v>
      </c>
    </row>
    <row r="9" spans="2:23" ht="14.5" customHeight="1" x14ac:dyDescent="0.35">
      <c r="B9" s="81"/>
      <c r="C9" s="4"/>
      <c r="D9" s="5"/>
      <c r="E9" s="5"/>
      <c r="F9" s="5"/>
      <c r="G9" s="5"/>
      <c r="H9" s="52"/>
      <c r="I9" s="54"/>
      <c r="K9" s="76"/>
      <c r="L9" s="2"/>
      <c r="M9" s="3"/>
      <c r="N9" s="3"/>
      <c r="O9" s="3"/>
      <c r="P9" s="53">
        <v>2</v>
      </c>
      <c r="Q9" s="63"/>
      <c r="R9" s="63"/>
      <c r="T9" s="23"/>
      <c r="U9" s="23"/>
    </row>
    <row r="10" spans="2:23" ht="14.5" customHeight="1" x14ac:dyDescent="0.35">
      <c r="B10" s="81"/>
      <c r="C10" s="2"/>
      <c r="D10" s="3"/>
      <c r="E10" s="3"/>
      <c r="F10" s="3"/>
      <c r="G10" s="3"/>
      <c r="H10" s="51" t="b">
        <v>0</v>
      </c>
      <c r="I10" s="53">
        <f>IF(H10,2,0)</f>
        <v>0</v>
      </c>
      <c r="K10" s="77"/>
      <c r="L10" s="4"/>
      <c r="M10" s="5"/>
      <c r="N10" s="5"/>
      <c r="O10" s="5"/>
      <c r="P10" s="54"/>
      <c r="Q10" s="64"/>
      <c r="R10" s="64"/>
      <c r="T10" s="23"/>
      <c r="U10" s="23"/>
    </row>
    <row r="11" spans="2:23" x14ac:dyDescent="0.35">
      <c r="B11" s="81"/>
      <c r="C11" s="4"/>
      <c r="D11" s="5"/>
      <c r="E11" s="5"/>
      <c r="F11" s="5"/>
      <c r="G11" s="5"/>
      <c r="H11" s="52"/>
      <c r="I11" s="54"/>
    </row>
    <row r="12" spans="2:23" x14ac:dyDescent="0.35">
      <c r="B12" s="81"/>
      <c r="C12" s="2"/>
      <c r="D12" s="3"/>
      <c r="E12" s="3"/>
      <c r="F12" s="3"/>
      <c r="G12" s="3"/>
      <c r="H12" s="51" t="b">
        <v>0</v>
      </c>
      <c r="I12" s="53">
        <f>IF(H12,2,0)</f>
        <v>0</v>
      </c>
      <c r="K12" s="13"/>
    </row>
    <row r="13" spans="2:23" ht="15" customHeight="1" x14ac:dyDescent="0.35">
      <c r="B13" s="81"/>
      <c r="C13" s="4"/>
      <c r="D13" s="5"/>
      <c r="E13" s="5"/>
      <c r="F13" s="5"/>
      <c r="G13" s="5"/>
      <c r="H13" s="52"/>
      <c r="I13" s="54"/>
      <c r="K13" s="13"/>
    </row>
    <row r="14" spans="2:23" x14ac:dyDescent="0.35">
      <c r="B14" s="81"/>
      <c r="C14" s="2"/>
      <c r="D14" s="3"/>
      <c r="E14" s="3"/>
      <c r="F14" s="3"/>
      <c r="G14" s="3"/>
      <c r="H14" s="51" t="b">
        <v>0</v>
      </c>
      <c r="I14" s="53">
        <f>IF(H14,1,0)</f>
        <v>0</v>
      </c>
      <c r="K14" s="13"/>
    </row>
    <row r="15" spans="2:23" x14ac:dyDescent="0.35">
      <c r="B15" s="81"/>
      <c r="C15" s="4"/>
      <c r="D15" s="5"/>
      <c r="E15" s="5"/>
      <c r="F15" s="5"/>
      <c r="G15" s="5"/>
      <c r="H15" s="52"/>
      <c r="I15" s="54"/>
    </row>
    <row r="16" spans="2:23" x14ac:dyDescent="0.35">
      <c r="B16" s="81"/>
      <c r="C16" s="2"/>
      <c r="D16" s="3"/>
      <c r="E16" s="3"/>
      <c r="F16" s="3"/>
      <c r="G16" s="3"/>
      <c r="H16" s="51" t="b">
        <v>0</v>
      </c>
      <c r="I16" s="53">
        <f t="shared" ref="I16" si="0">IF(H16,2,0)</f>
        <v>0</v>
      </c>
    </row>
    <row r="17" spans="2:9" x14ac:dyDescent="0.35">
      <c r="B17" s="81"/>
      <c r="C17" s="4"/>
      <c r="D17" s="5"/>
      <c r="E17" s="5"/>
      <c r="F17" s="5"/>
      <c r="G17" s="5"/>
      <c r="H17" s="52"/>
      <c r="I17" s="54"/>
    </row>
    <row r="18" spans="2:9" x14ac:dyDescent="0.35">
      <c r="B18" s="81"/>
      <c r="C18" s="6"/>
      <c r="D18" s="6"/>
      <c r="E18" s="6"/>
      <c r="F18" s="6"/>
      <c r="G18" s="6"/>
      <c r="H18" s="55" t="b">
        <v>0</v>
      </c>
      <c r="I18" s="56">
        <f>IF(H18,3,0)</f>
        <v>0</v>
      </c>
    </row>
    <row r="19" spans="2:9" x14ac:dyDescent="0.35">
      <c r="B19" s="81"/>
      <c r="C19" s="5"/>
      <c r="D19" s="5"/>
      <c r="E19" s="5"/>
      <c r="F19" s="5"/>
      <c r="G19" s="5"/>
      <c r="H19" s="52"/>
      <c r="I19" s="54"/>
    </row>
    <row r="20" spans="2:9" x14ac:dyDescent="0.35">
      <c r="B20" s="81"/>
      <c r="C20" s="6"/>
      <c r="D20" s="6"/>
      <c r="E20" s="6"/>
      <c r="F20" s="6"/>
      <c r="G20" s="6"/>
      <c r="H20" s="55" t="b">
        <v>0</v>
      </c>
      <c r="I20" s="56">
        <f>IF(H20,3,0)</f>
        <v>0</v>
      </c>
    </row>
    <row r="21" spans="2:9" x14ac:dyDescent="0.35">
      <c r="B21" s="81"/>
      <c r="C21" s="5"/>
      <c r="D21" s="5"/>
      <c r="E21" s="5"/>
      <c r="F21" s="5"/>
      <c r="G21" s="5"/>
      <c r="H21" s="52"/>
      <c r="I21" s="54"/>
    </row>
    <row r="22" spans="2:9" x14ac:dyDescent="0.35">
      <c r="B22" s="82"/>
      <c r="C22" s="57" t="s">
        <v>35</v>
      </c>
      <c r="D22" s="58"/>
      <c r="E22" s="58"/>
      <c r="F22" s="58"/>
      <c r="G22" s="58"/>
      <c r="H22" s="59"/>
      <c r="I22" s="7">
        <f>SUM(I4:I21)</f>
        <v>0</v>
      </c>
    </row>
    <row r="24" spans="2:9" ht="15" customHeight="1" x14ac:dyDescent="0.35"/>
  </sheetData>
  <mergeCells count="34">
    <mergeCell ref="H20:H21"/>
    <mergeCell ref="I20:I21"/>
    <mergeCell ref="C22:H22"/>
    <mergeCell ref="H14:H15"/>
    <mergeCell ref="I14:I15"/>
    <mergeCell ref="H16:H17"/>
    <mergeCell ref="I16:I17"/>
    <mergeCell ref="H18:H19"/>
    <mergeCell ref="W2:W3"/>
    <mergeCell ref="C3:I3"/>
    <mergeCell ref="K3:K10"/>
    <mergeCell ref="P3:P4"/>
    <mergeCell ref="Q3:Q10"/>
    <mergeCell ref="P9:P10"/>
    <mergeCell ref="R3:R10"/>
    <mergeCell ref="P5:P6"/>
    <mergeCell ref="P7:P8"/>
    <mergeCell ref="B2:I2"/>
    <mergeCell ref="K2:R2"/>
    <mergeCell ref="U2:U8"/>
    <mergeCell ref="T2:T8"/>
    <mergeCell ref="I10:I11"/>
    <mergeCell ref="B4:B22"/>
    <mergeCell ref="H4:H5"/>
    <mergeCell ref="I8:I9"/>
    <mergeCell ref="H10:H11"/>
    <mergeCell ref="I18:I19"/>
    <mergeCell ref="H8:H9"/>
    <mergeCell ref="V2:V3"/>
    <mergeCell ref="H12:H13"/>
    <mergeCell ref="I12:I13"/>
    <mergeCell ref="I4:I5"/>
    <mergeCell ref="H6:H7"/>
    <mergeCell ref="I6:I7"/>
  </mergeCells>
  <conditionalFormatting sqref="W4">
    <cfRule type="expression" dxfId="34" priority="8">
      <formula>$U$2&lt;15</formula>
    </cfRule>
  </conditionalFormatting>
  <conditionalFormatting sqref="W5">
    <cfRule type="expression" dxfId="33" priority="7">
      <formula>($U$2&gt;15)*($U$2&lt;=20)</formula>
    </cfRule>
  </conditionalFormatting>
  <conditionalFormatting sqref="W6">
    <cfRule type="expression" dxfId="32" priority="6">
      <formula>($U$2&gt;20)*($U$2&lt;=50)</formula>
    </cfRule>
  </conditionalFormatting>
  <conditionalFormatting sqref="W7">
    <cfRule type="expression" dxfId="31" priority="5">
      <formula>($U$2&gt;50)*($U$2&lt;=160)</formula>
    </cfRule>
  </conditionalFormatting>
  <conditionalFormatting sqref="W8">
    <cfRule type="expression" dxfId="30" priority="4">
      <formula>$U$2&gt;160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4" name="Option Button 8">
              <controlPr defaultSize="0" autoFill="0" autoLine="0" autoPict="0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5" name="Option Button 9">
              <controlPr defaultSize="0" autoFill="0" autoLine="0" autoPict="0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14</xdr:col>
                    <xdr:colOff>514350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6" name="Option Button 10">
              <controlPr defaultSize="0" autoFill="0" autoLine="0" autoPict="0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Option Button 11">
              <controlPr defaultSize="0" autoFill="0" autoLine="0" autoPict="0">
                <anchor mov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8" name="Check Box 22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9" name="Check Box 23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0" name="Check Box 24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11" name="Check Box 25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12" name="Check Box 26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13" name="Check Box 27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14" name="Check Box 28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15" name="Check Box 29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16" name="Check Box 30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5"/>
  <dimension ref="B2:W23"/>
  <sheetViews>
    <sheetView zoomScaleNormal="100" workbookViewId="0"/>
  </sheetViews>
  <sheetFormatPr defaultRowHeight="14.5" x14ac:dyDescent="0.35"/>
  <cols>
    <col min="1" max="1" width="2.7265625" customWidth="1"/>
    <col min="2" max="2" width="18.7265625" customWidth="1"/>
    <col min="8" max="8" width="9.1796875" hidden="1" customWidth="1"/>
    <col min="10" max="10" width="2.7265625" customWidth="1"/>
    <col min="17" max="17" width="9.1796875" hidden="1" customWidth="1"/>
    <col min="19" max="19" width="2.7265625" customWidth="1"/>
    <col min="22" max="22" width="50.7265625" customWidth="1"/>
    <col min="23" max="23" width="18.453125" customWidth="1"/>
  </cols>
  <sheetData>
    <row r="2" spans="2:23" ht="22.5" x14ac:dyDescent="0.45">
      <c r="B2" s="65" t="s">
        <v>20</v>
      </c>
      <c r="C2" s="66"/>
      <c r="D2" s="66"/>
      <c r="E2" s="66"/>
      <c r="F2" s="66"/>
      <c r="G2" s="66"/>
      <c r="H2" s="66"/>
      <c r="I2" s="67"/>
      <c r="K2" s="65" t="s">
        <v>21</v>
      </c>
      <c r="L2" s="66"/>
      <c r="M2" s="66"/>
      <c r="N2" s="66"/>
      <c r="O2" s="66"/>
      <c r="P2" s="66"/>
      <c r="Q2" s="66"/>
      <c r="R2" s="67"/>
      <c r="S2" s="8"/>
      <c r="T2" s="68" t="s">
        <v>5</v>
      </c>
      <c r="U2" s="68">
        <f>R3*I22</f>
        <v>0</v>
      </c>
      <c r="V2" s="74" t="s">
        <v>22</v>
      </c>
      <c r="W2" s="60" t="s">
        <v>23</v>
      </c>
    </row>
    <row r="3" spans="2:23" ht="14.5" customHeight="1" x14ac:dyDescent="0.35">
      <c r="B3" s="1" t="s">
        <v>4</v>
      </c>
      <c r="C3" s="78" t="s">
        <v>37</v>
      </c>
      <c r="D3" s="78"/>
      <c r="E3" s="78"/>
      <c r="F3" s="78"/>
      <c r="G3" s="78"/>
      <c r="H3" s="78"/>
      <c r="I3" s="79"/>
      <c r="K3" s="75" t="s">
        <v>21</v>
      </c>
      <c r="L3" s="2"/>
      <c r="M3" s="3"/>
      <c r="N3" s="3"/>
      <c r="O3" s="3"/>
      <c r="P3" s="53">
        <v>20</v>
      </c>
      <c r="Q3" s="62">
        <v>4</v>
      </c>
      <c r="R3" s="62">
        <f>CHOOSE(Q3,20,10,4,2)</f>
        <v>2</v>
      </c>
      <c r="T3" s="69"/>
      <c r="U3" s="69"/>
      <c r="V3" s="61"/>
      <c r="W3" s="61"/>
    </row>
    <row r="4" spans="2:23" ht="15" customHeight="1" x14ac:dyDescent="0.35">
      <c r="B4" s="71" t="s">
        <v>7</v>
      </c>
      <c r="C4" s="2"/>
      <c r="D4" s="3"/>
      <c r="E4" s="3"/>
      <c r="F4" s="3"/>
      <c r="G4" s="3"/>
      <c r="H4" s="51" t="b">
        <v>0</v>
      </c>
      <c r="I4" s="53">
        <f>IF(H4,1,0)</f>
        <v>0</v>
      </c>
      <c r="K4" s="76"/>
      <c r="L4" s="4"/>
      <c r="M4" s="5"/>
      <c r="N4" s="5"/>
      <c r="O4" s="5"/>
      <c r="P4" s="54"/>
      <c r="Q4" s="63"/>
      <c r="R4" s="63"/>
      <c r="T4" s="69"/>
      <c r="U4" s="69"/>
      <c r="V4" s="9" t="s">
        <v>25</v>
      </c>
      <c r="W4" s="10" t="s">
        <v>26</v>
      </c>
    </row>
    <row r="5" spans="2:23" ht="14.5" customHeight="1" x14ac:dyDescent="0.35">
      <c r="B5" s="72"/>
      <c r="C5" s="4"/>
      <c r="D5" s="5"/>
      <c r="E5" s="5"/>
      <c r="F5" s="5"/>
      <c r="G5" s="5"/>
      <c r="H5" s="52"/>
      <c r="I5" s="54"/>
      <c r="K5" s="76"/>
      <c r="L5" s="2"/>
      <c r="M5" s="3"/>
      <c r="N5" s="3"/>
      <c r="O5" s="3"/>
      <c r="P5" s="53">
        <v>10</v>
      </c>
      <c r="Q5" s="63"/>
      <c r="R5" s="63"/>
      <c r="T5" s="69"/>
      <c r="U5" s="69"/>
      <c r="V5" s="11" t="s">
        <v>27</v>
      </c>
      <c r="W5" s="11" t="s">
        <v>28</v>
      </c>
    </row>
    <row r="6" spans="2:23" ht="14.5" customHeight="1" x14ac:dyDescent="0.35">
      <c r="B6" s="72"/>
      <c r="C6" s="2"/>
      <c r="D6" s="3"/>
      <c r="E6" s="3"/>
      <c r="F6" s="3"/>
      <c r="G6" s="3"/>
      <c r="H6" s="51" t="b">
        <v>0</v>
      </c>
      <c r="I6" s="53">
        <f>IF(H6,2,0)</f>
        <v>0</v>
      </c>
      <c r="K6" s="76"/>
      <c r="L6" s="4"/>
      <c r="M6" s="5"/>
      <c r="N6" s="5"/>
      <c r="O6" s="5"/>
      <c r="P6" s="54"/>
      <c r="Q6" s="63"/>
      <c r="R6" s="63"/>
      <c r="T6" s="69"/>
      <c r="U6" s="69"/>
      <c r="V6" s="11" t="s">
        <v>29</v>
      </c>
      <c r="W6" s="11" t="s">
        <v>30</v>
      </c>
    </row>
    <row r="7" spans="2:23" ht="14.5" customHeight="1" x14ac:dyDescent="0.35">
      <c r="B7" s="72"/>
      <c r="C7" s="4"/>
      <c r="D7" s="5"/>
      <c r="E7" s="5"/>
      <c r="F7" s="5"/>
      <c r="G7" s="5"/>
      <c r="H7" s="52"/>
      <c r="I7" s="54"/>
      <c r="K7" s="76"/>
      <c r="L7" s="2"/>
      <c r="M7" s="3"/>
      <c r="N7" s="3"/>
      <c r="O7" s="3"/>
      <c r="P7" s="53">
        <v>4</v>
      </c>
      <c r="Q7" s="63"/>
      <c r="R7" s="63"/>
      <c r="T7" s="69"/>
      <c r="U7" s="69"/>
      <c r="V7" s="11" t="s">
        <v>31</v>
      </c>
      <c r="W7" s="11" t="s">
        <v>32</v>
      </c>
    </row>
    <row r="8" spans="2:23" ht="14.5" customHeight="1" x14ac:dyDescent="0.35">
      <c r="B8" s="72"/>
      <c r="C8" s="2"/>
      <c r="D8" s="3"/>
      <c r="E8" s="3"/>
      <c r="F8" s="3"/>
      <c r="G8" s="3"/>
      <c r="H8" s="51" t="b">
        <v>0</v>
      </c>
      <c r="I8" s="53">
        <f>IF(H8,2,0)</f>
        <v>0</v>
      </c>
      <c r="K8" s="76"/>
      <c r="L8" s="4"/>
      <c r="M8" s="5"/>
      <c r="N8" s="5"/>
      <c r="O8" s="5"/>
      <c r="P8" s="54"/>
      <c r="Q8" s="63"/>
      <c r="R8" s="63"/>
      <c r="T8" s="70"/>
      <c r="U8" s="70"/>
      <c r="V8" s="12" t="s">
        <v>33</v>
      </c>
      <c r="W8" s="12" t="s">
        <v>34</v>
      </c>
    </row>
    <row r="9" spans="2:23" ht="14.5" customHeight="1" x14ac:dyDescent="0.35">
      <c r="B9" s="72"/>
      <c r="C9" s="4"/>
      <c r="D9" s="5"/>
      <c r="E9" s="5"/>
      <c r="F9" s="5"/>
      <c r="G9" s="5"/>
      <c r="H9" s="52"/>
      <c r="I9" s="54"/>
      <c r="K9" s="76"/>
      <c r="L9" s="2"/>
      <c r="M9" s="3"/>
      <c r="N9" s="3"/>
      <c r="O9" s="3"/>
      <c r="P9" s="53">
        <v>2</v>
      </c>
      <c r="Q9" s="63"/>
      <c r="R9" s="63"/>
      <c r="T9" s="23"/>
      <c r="U9" s="23"/>
    </row>
    <row r="10" spans="2:23" ht="14.5" customHeight="1" x14ac:dyDescent="0.35">
      <c r="B10" s="72"/>
      <c r="C10" s="2"/>
      <c r="D10" s="3"/>
      <c r="E10" s="3"/>
      <c r="F10" s="3"/>
      <c r="G10" s="3"/>
      <c r="H10" s="51" t="b">
        <v>0</v>
      </c>
      <c r="I10" s="53">
        <f>IF(H10,2,0)</f>
        <v>0</v>
      </c>
      <c r="K10" s="77"/>
      <c r="L10" s="4"/>
      <c r="M10" s="5"/>
      <c r="N10" s="5"/>
      <c r="O10" s="5"/>
      <c r="P10" s="54"/>
      <c r="Q10" s="64"/>
      <c r="R10" s="64"/>
      <c r="T10" s="23"/>
      <c r="U10" s="23"/>
    </row>
    <row r="11" spans="2:23" x14ac:dyDescent="0.35">
      <c r="B11" s="72"/>
      <c r="C11" s="4"/>
      <c r="D11" s="5"/>
      <c r="E11" s="5"/>
      <c r="F11" s="5"/>
      <c r="G11" s="5"/>
      <c r="H11" s="52"/>
      <c r="I11" s="54"/>
    </row>
    <row r="12" spans="2:23" x14ac:dyDescent="0.35">
      <c r="B12" s="72"/>
      <c r="C12" s="2"/>
      <c r="D12" s="3"/>
      <c r="E12" s="3"/>
      <c r="F12" s="3"/>
      <c r="G12" s="3"/>
      <c r="H12" s="83" t="b">
        <v>0</v>
      </c>
      <c r="I12" s="53">
        <f>IF(H12,2,0)</f>
        <v>0</v>
      </c>
      <c r="K12" s="13"/>
    </row>
    <row r="13" spans="2:23" x14ac:dyDescent="0.35">
      <c r="B13" s="72"/>
      <c r="C13" s="4"/>
      <c r="D13" s="5"/>
      <c r="E13" s="5"/>
      <c r="F13" s="5"/>
      <c r="G13" s="5"/>
      <c r="H13" s="84"/>
      <c r="I13" s="54"/>
      <c r="K13" s="13"/>
    </row>
    <row r="14" spans="2:23" x14ac:dyDescent="0.35">
      <c r="B14" s="72"/>
      <c r="C14" s="14"/>
      <c r="D14" s="6"/>
      <c r="E14" s="6"/>
      <c r="F14" s="6"/>
      <c r="G14" s="6"/>
      <c r="H14" s="83" t="b">
        <v>0</v>
      </c>
      <c r="I14" s="53">
        <f>IF(H14,3,0)</f>
        <v>0</v>
      </c>
      <c r="K14" s="13"/>
    </row>
    <row r="15" spans="2:23" x14ac:dyDescent="0.35">
      <c r="B15" s="72"/>
      <c r="C15" s="14"/>
      <c r="D15" s="6"/>
      <c r="E15" s="6"/>
      <c r="F15" s="6"/>
      <c r="G15" s="6"/>
      <c r="H15" s="84"/>
      <c r="I15" s="54"/>
    </row>
    <row r="16" spans="2:23" x14ac:dyDescent="0.35">
      <c r="B16" s="72"/>
      <c r="C16" s="2"/>
      <c r="D16" s="3"/>
      <c r="E16" s="3"/>
      <c r="F16" s="3"/>
      <c r="G16" s="3"/>
      <c r="H16" s="51" t="b">
        <v>0</v>
      </c>
      <c r="I16" s="53">
        <f>IF(H16,1,0)</f>
        <v>0</v>
      </c>
    </row>
    <row r="17" spans="2:9" x14ac:dyDescent="0.35">
      <c r="B17" s="72"/>
      <c r="C17" s="4"/>
      <c r="D17" s="5"/>
      <c r="E17" s="5"/>
      <c r="F17" s="5"/>
      <c r="G17" s="5"/>
      <c r="H17" s="52"/>
      <c r="I17" s="54"/>
    </row>
    <row r="18" spans="2:9" x14ac:dyDescent="0.35">
      <c r="B18" s="72"/>
      <c r="C18" s="2"/>
      <c r="D18" s="3"/>
      <c r="E18" s="3"/>
      <c r="F18" s="3"/>
      <c r="G18" s="3"/>
      <c r="H18" s="51" t="b">
        <v>0</v>
      </c>
      <c r="I18" s="53">
        <f t="shared" ref="I18" si="0">IF(H18,2,0)</f>
        <v>0</v>
      </c>
    </row>
    <row r="19" spans="2:9" x14ac:dyDescent="0.35">
      <c r="B19" s="72"/>
      <c r="C19" s="4"/>
      <c r="D19" s="5"/>
      <c r="E19" s="5"/>
      <c r="F19" s="5"/>
      <c r="G19" s="5"/>
      <c r="H19" s="52"/>
      <c r="I19" s="54"/>
    </row>
    <row r="20" spans="2:9" x14ac:dyDescent="0.35">
      <c r="B20" s="72"/>
      <c r="C20" s="6"/>
      <c r="D20" s="6"/>
      <c r="E20" s="6"/>
      <c r="F20" s="6"/>
      <c r="G20" s="6"/>
      <c r="H20" s="55" t="b">
        <v>0</v>
      </c>
      <c r="I20" s="56">
        <f>IF(H20,3,0)</f>
        <v>0</v>
      </c>
    </row>
    <row r="21" spans="2:9" x14ac:dyDescent="0.35">
      <c r="B21" s="72"/>
      <c r="C21" s="5"/>
      <c r="D21" s="5"/>
      <c r="E21" s="5"/>
      <c r="F21" s="5"/>
      <c r="G21" s="5"/>
      <c r="H21" s="52"/>
      <c r="I21" s="54"/>
    </row>
    <row r="22" spans="2:9" x14ac:dyDescent="0.35">
      <c r="B22" s="73"/>
      <c r="C22" s="57" t="s">
        <v>35</v>
      </c>
      <c r="D22" s="58"/>
      <c r="E22" s="58"/>
      <c r="F22" s="58"/>
      <c r="G22" s="58"/>
      <c r="H22" s="59"/>
      <c r="I22" s="7">
        <f>SUM(I4:I21)</f>
        <v>0</v>
      </c>
    </row>
    <row r="23" spans="2:9" ht="15" customHeight="1" x14ac:dyDescent="0.35"/>
  </sheetData>
  <mergeCells count="34">
    <mergeCell ref="H18:H19"/>
    <mergeCell ref="I18:I19"/>
    <mergeCell ref="H20:H21"/>
    <mergeCell ref="I20:I21"/>
    <mergeCell ref="C22:H22"/>
    <mergeCell ref="H10:H11"/>
    <mergeCell ref="I10:I11"/>
    <mergeCell ref="H16:H17"/>
    <mergeCell ref="I16:I17"/>
    <mergeCell ref="R3:R10"/>
    <mergeCell ref="H4:H5"/>
    <mergeCell ref="I4:I5"/>
    <mergeCell ref="P5:P6"/>
    <mergeCell ref="H6:H7"/>
    <mergeCell ref="I6:I7"/>
    <mergeCell ref="P7:P8"/>
    <mergeCell ref="H8:H9"/>
    <mergeCell ref="I8:I9"/>
    <mergeCell ref="W2:W3"/>
    <mergeCell ref="H12:H13"/>
    <mergeCell ref="B2:I2"/>
    <mergeCell ref="K2:R2"/>
    <mergeCell ref="V2:V3"/>
    <mergeCell ref="C3:I3"/>
    <mergeCell ref="K3:K10"/>
    <mergeCell ref="P3:P4"/>
    <mergeCell ref="Q3:Q10"/>
    <mergeCell ref="P9:P10"/>
    <mergeCell ref="B4:B22"/>
    <mergeCell ref="H14:H15"/>
    <mergeCell ref="I12:I13"/>
    <mergeCell ref="I14:I15"/>
    <mergeCell ref="U2:U8"/>
    <mergeCell ref="T2:T8"/>
  </mergeCells>
  <conditionalFormatting sqref="W4">
    <cfRule type="expression" dxfId="29" priority="8">
      <formula>$U$2&lt;15</formula>
    </cfRule>
  </conditionalFormatting>
  <conditionalFormatting sqref="W5">
    <cfRule type="expression" dxfId="28" priority="7">
      <formula>($U$2&gt;15)*($U$2&lt;=20)</formula>
    </cfRule>
  </conditionalFormatting>
  <conditionalFormatting sqref="W6">
    <cfRule type="expression" dxfId="27" priority="6">
      <formula>($U$2&gt;20)*($U$2&lt;=50)</formula>
    </cfRule>
  </conditionalFormatting>
  <conditionalFormatting sqref="W7">
    <cfRule type="expression" dxfId="26" priority="5">
      <formula>($U$2&gt;50)*($U$2&lt;=160)</formula>
    </cfRule>
  </conditionalFormatting>
  <conditionalFormatting sqref="W8">
    <cfRule type="expression" dxfId="25" priority="4">
      <formula>$U$2&gt;160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Check Box 1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Check Box 2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Check Box 3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Check Box 4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Check Box 5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Check Box 7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Option Button 8">
              <controlPr defaultSize="0" autoFill="0" autoLine="0" autoPict="0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1" name="Option Button 9">
              <controlPr defaultSize="0" autoFill="0" autoLine="0" autoPict="0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14</xdr:col>
                    <xdr:colOff>514350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2" name="Option Button 10">
              <controlPr defaultSize="0" autoFill="0" autoLine="0" autoPict="0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3" name="Option Button 11">
              <controlPr defaultSize="0" autoFill="0" autoLine="0" autoPict="0">
                <anchor mov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4" name="Check Box 12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15" name="Check Box 32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6" name="Check Box 33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8DF13-2566-46C9-9076-693937D121AD}">
  <sheetPr codeName="Foglio6"/>
  <dimension ref="B2:W23"/>
  <sheetViews>
    <sheetView zoomScale="90" zoomScaleNormal="90" workbookViewId="0"/>
  </sheetViews>
  <sheetFormatPr defaultRowHeight="14.5" x14ac:dyDescent="0.35"/>
  <cols>
    <col min="1" max="1" width="2.7265625" customWidth="1"/>
    <col min="2" max="2" width="18.7265625" customWidth="1"/>
    <col min="8" max="8" width="9.1796875" hidden="1" customWidth="1"/>
    <col min="10" max="10" width="2.7265625" customWidth="1"/>
    <col min="17" max="17" width="9.1796875" hidden="1" customWidth="1"/>
    <col min="19" max="19" width="2.7265625" customWidth="1"/>
    <col min="22" max="22" width="50.7265625" customWidth="1"/>
    <col min="23" max="23" width="18.453125" customWidth="1"/>
  </cols>
  <sheetData>
    <row r="2" spans="2:23" ht="22.5" x14ac:dyDescent="0.45">
      <c r="B2" s="65" t="s">
        <v>20</v>
      </c>
      <c r="C2" s="66"/>
      <c r="D2" s="66"/>
      <c r="E2" s="66"/>
      <c r="F2" s="66"/>
      <c r="G2" s="66"/>
      <c r="H2" s="66"/>
      <c r="I2" s="67"/>
      <c r="K2" s="65" t="s">
        <v>21</v>
      </c>
      <c r="L2" s="66"/>
      <c r="M2" s="66"/>
      <c r="N2" s="66"/>
      <c r="O2" s="66"/>
      <c r="P2" s="66"/>
      <c r="Q2" s="66"/>
      <c r="R2" s="67"/>
      <c r="S2" s="8"/>
      <c r="T2" s="68" t="s">
        <v>5</v>
      </c>
      <c r="U2" s="68">
        <f>R3*I22</f>
        <v>0</v>
      </c>
      <c r="V2" s="74" t="s">
        <v>22</v>
      </c>
      <c r="W2" s="60" t="s">
        <v>23</v>
      </c>
    </row>
    <row r="3" spans="2:23" ht="14.5" customHeight="1" x14ac:dyDescent="0.35">
      <c r="B3" s="1" t="s">
        <v>4</v>
      </c>
      <c r="C3" s="78" t="s">
        <v>37</v>
      </c>
      <c r="D3" s="78"/>
      <c r="E3" s="78"/>
      <c r="F3" s="78"/>
      <c r="G3" s="78"/>
      <c r="H3" s="78"/>
      <c r="I3" s="79"/>
      <c r="K3" s="75" t="s">
        <v>21</v>
      </c>
      <c r="L3" s="2"/>
      <c r="M3" s="3"/>
      <c r="N3" s="3"/>
      <c r="O3" s="3"/>
      <c r="P3" s="53">
        <v>20</v>
      </c>
      <c r="Q3" s="62">
        <v>4</v>
      </c>
      <c r="R3" s="62">
        <f>CHOOSE(Q3,20,10,4,2)</f>
        <v>2</v>
      </c>
      <c r="T3" s="69"/>
      <c r="U3" s="69"/>
      <c r="V3" s="61"/>
      <c r="W3" s="61"/>
    </row>
    <row r="4" spans="2:23" ht="15" customHeight="1" x14ac:dyDescent="0.35">
      <c r="B4" s="71" t="s">
        <v>9</v>
      </c>
      <c r="C4" s="2"/>
      <c r="D4" s="3"/>
      <c r="E4" s="3"/>
      <c r="F4" s="3"/>
      <c r="G4" s="3"/>
      <c r="H4" s="51" t="b">
        <v>0</v>
      </c>
      <c r="I4" s="53">
        <f>IF(H4,1,0)</f>
        <v>0</v>
      </c>
      <c r="K4" s="76"/>
      <c r="L4" s="4"/>
      <c r="M4" s="5"/>
      <c r="N4" s="5"/>
      <c r="O4" s="5"/>
      <c r="P4" s="54"/>
      <c r="Q4" s="63"/>
      <c r="R4" s="63"/>
      <c r="T4" s="69"/>
      <c r="U4" s="69"/>
      <c r="V4" s="9" t="s">
        <v>25</v>
      </c>
      <c r="W4" s="10" t="s">
        <v>26</v>
      </c>
    </row>
    <row r="5" spans="2:23" ht="14.5" customHeight="1" x14ac:dyDescent="0.35">
      <c r="B5" s="72"/>
      <c r="C5" s="4"/>
      <c r="D5" s="5"/>
      <c r="E5" s="5"/>
      <c r="F5" s="5"/>
      <c r="G5" s="5"/>
      <c r="H5" s="52"/>
      <c r="I5" s="54"/>
      <c r="K5" s="76"/>
      <c r="L5" s="2"/>
      <c r="M5" s="3"/>
      <c r="N5" s="3"/>
      <c r="O5" s="3"/>
      <c r="P5" s="53">
        <v>10</v>
      </c>
      <c r="Q5" s="63"/>
      <c r="R5" s="63"/>
      <c r="T5" s="69"/>
      <c r="U5" s="69"/>
      <c r="V5" s="11" t="s">
        <v>27</v>
      </c>
      <c r="W5" s="11" t="s">
        <v>28</v>
      </c>
    </row>
    <row r="6" spans="2:23" ht="14.5" customHeight="1" x14ac:dyDescent="0.35">
      <c r="B6" s="72"/>
      <c r="C6" s="2"/>
      <c r="D6" s="3"/>
      <c r="E6" s="3"/>
      <c r="F6" s="3"/>
      <c r="G6" s="3"/>
      <c r="H6" s="51" t="b">
        <v>0</v>
      </c>
      <c r="I6" s="53">
        <f>IF(H6,2,0)</f>
        <v>0</v>
      </c>
      <c r="K6" s="76"/>
      <c r="L6" s="4"/>
      <c r="M6" s="5"/>
      <c r="N6" s="5"/>
      <c r="O6" s="5"/>
      <c r="P6" s="54"/>
      <c r="Q6" s="63"/>
      <c r="R6" s="63"/>
      <c r="T6" s="69"/>
      <c r="U6" s="69"/>
      <c r="V6" s="11" t="s">
        <v>29</v>
      </c>
      <c r="W6" s="11" t="s">
        <v>30</v>
      </c>
    </row>
    <row r="7" spans="2:23" ht="14.5" customHeight="1" x14ac:dyDescent="0.35">
      <c r="B7" s="72"/>
      <c r="C7" s="4"/>
      <c r="D7" s="5"/>
      <c r="E7" s="5"/>
      <c r="F7" s="5"/>
      <c r="G7" s="5"/>
      <c r="H7" s="52"/>
      <c r="I7" s="54"/>
      <c r="K7" s="76"/>
      <c r="L7" s="2"/>
      <c r="M7" s="3"/>
      <c r="N7" s="3"/>
      <c r="O7" s="3"/>
      <c r="P7" s="53">
        <v>4</v>
      </c>
      <c r="Q7" s="63"/>
      <c r="R7" s="63"/>
      <c r="T7" s="69"/>
      <c r="U7" s="69"/>
      <c r="V7" s="11" t="s">
        <v>31</v>
      </c>
      <c r="W7" s="11" t="s">
        <v>32</v>
      </c>
    </row>
    <row r="8" spans="2:23" ht="14.5" customHeight="1" x14ac:dyDescent="0.35">
      <c r="B8" s="72"/>
      <c r="C8" s="2"/>
      <c r="D8" s="3"/>
      <c r="E8" s="3"/>
      <c r="F8" s="3"/>
      <c r="G8" s="3"/>
      <c r="H8" s="51" t="b">
        <v>0</v>
      </c>
      <c r="I8" s="53">
        <f>IF(H8,2,0)</f>
        <v>0</v>
      </c>
      <c r="K8" s="76"/>
      <c r="L8" s="4"/>
      <c r="M8" s="5"/>
      <c r="N8" s="5"/>
      <c r="O8" s="5"/>
      <c r="P8" s="54"/>
      <c r="Q8" s="63"/>
      <c r="R8" s="63"/>
      <c r="T8" s="70"/>
      <c r="U8" s="70"/>
      <c r="V8" s="12" t="s">
        <v>33</v>
      </c>
      <c r="W8" s="12" t="s">
        <v>34</v>
      </c>
    </row>
    <row r="9" spans="2:23" ht="14.5" customHeight="1" x14ac:dyDescent="0.35">
      <c r="B9" s="72"/>
      <c r="C9" s="4"/>
      <c r="D9" s="5"/>
      <c r="E9" s="5"/>
      <c r="F9" s="5"/>
      <c r="G9" s="5"/>
      <c r="H9" s="52"/>
      <c r="I9" s="54"/>
      <c r="K9" s="76"/>
      <c r="L9" s="2"/>
      <c r="M9" s="3"/>
      <c r="N9" s="3"/>
      <c r="O9" s="3"/>
      <c r="P9" s="53">
        <v>2</v>
      </c>
      <c r="Q9" s="63"/>
      <c r="R9" s="63"/>
      <c r="T9" s="23"/>
      <c r="U9" s="23"/>
    </row>
    <row r="10" spans="2:23" ht="14.5" customHeight="1" x14ac:dyDescent="0.35">
      <c r="B10" s="72"/>
      <c r="C10" s="2"/>
      <c r="D10" s="3"/>
      <c r="E10" s="3"/>
      <c r="F10" s="3"/>
      <c r="G10" s="3"/>
      <c r="H10" s="51" t="b">
        <v>0</v>
      </c>
      <c r="I10" s="53">
        <f>IF(H10,2,0)</f>
        <v>0</v>
      </c>
      <c r="K10" s="77"/>
      <c r="L10" s="4"/>
      <c r="M10" s="5"/>
      <c r="N10" s="5"/>
      <c r="O10" s="5"/>
      <c r="P10" s="54"/>
      <c r="Q10" s="64"/>
      <c r="R10" s="64"/>
      <c r="T10" s="23"/>
      <c r="U10" s="23"/>
    </row>
    <row r="11" spans="2:23" x14ac:dyDescent="0.35">
      <c r="B11" s="72"/>
      <c r="C11" s="4"/>
      <c r="D11" s="5"/>
      <c r="E11" s="5"/>
      <c r="F11" s="5"/>
      <c r="G11" s="5"/>
      <c r="H11" s="52"/>
      <c r="I11" s="54"/>
    </row>
    <row r="12" spans="2:23" x14ac:dyDescent="0.35">
      <c r="B12" s="72"/>
      <c r="C12" s="2"/>
      <c r="D12" s="3"/>
      <c r="E12" s="3"/>
      <c r="F12" s="3"/>
      <c r="G12" s="3"/>
      <c r="H12" s="51" t="b">
        <v>0</v>
      </c>
      <c r="I12" s="53">
        <f>IF(H12,2,0)</f>
        <v>0</v>
      </c>
      <c r="K12" s="13"/>
    </row>
    <row r="13" spans="2:23" x14ac:dyDescent="0.35">
      <c r="B13" s="72"/>
      <c r="C13" s="4"/>
      <c r="D13" s="5"/>
      <c r="E13" s="5"/>
      <c r="F13" s="5"/>
      <c r="G13" s="5"/>
      <c r="H13" s="52"/>
      <c r="I13" s="54"/>
      <c r="K13" s="13"/>
    </row>
    <row r="14" spans="2:23" x14ac:dyDescent="0.35">
      <c r="B14" s="72"/>
      <c r="C14" s="2"/>
      <c r="D14" s="3"/>
      <c r="E14" s="3"/>
      <c r="F14" s="3"/>
      <c r="G14" s="3"/>
      <c r="H14" s="51" t="b">
        <v>0</v>
      </c>
      <c r="I14" s="53">
        <f>IF(H14,3,0)</f>
        <v>0</v>
      </c>
      <c r="K14" s="13"/>
    </row>
    <row r="15" spans="2:23" x14ac:dyDescent="0.35">
      <c r="B15" s="72"/>
      <c r="C15" s="4"/>
      <c r="D15" s="5"/>
      <c r="E15" s="5"/>
      <c r="F15" s="5"/>
      <c r="G15" s="5"/>
      <c r="H15" s="52"/>
      <c r="I15" s="54"/>
    </row>
    <row r="16" spans="2:23" x14ac:dyDescent="0.35">
      <c r="B16" s="72"/>
      <c r="C16" s="2"/>
      <c r="D16" s="3"/>
      <c r="E16" s="3"/>
      <c r="F16" s="3"/>
      <c r="G16" s="3"/>
      <c r="H16" s="51" t="b">
        <v>0</v>
      </c>
      <c r="I16" s="53">
        <f>IF(H16,1,0)</f>
        <v>0</v>
      </c>
    </row>
    <row r="17" spans="2:9" x14ac:dyDescent="0.35">
      <c r="B17" s="72"/>
      <c r="C17" s="4"/>
      <c r="D17" s="5"/>
      <c r="E17" s="5"/>
      <c r="F17" s="5"/>
      <c r="G17" s="5"/>
      <c r="H17" s="52"/>
      <c r="I17" s="54"/>
    </row>
    <row r="18" spans="2:9" x14ac:dyDescent="0.35">
      <c r="B18" s="72"/>
      <c r="C18" s="2"/>
      <c r="D18" s="3"/>
      <c r="E18" s="3"/>
      <c r="F18" s="3"/>
      <c r="G18" s="3"/>
      <c r="H18" s="51" t="b">
        <v>0</v>
      </c>
      <c r="I18" s="53">
        <f t="shared" ref="I18" si="0">IF(H18,2,0)</f>
        <v>0</v>
      </c>
    </row>
    <row r="19" spans="2:9" x14ac:dyDescent="0.35">
      <c r="B19" s="72"/>
      <c r="C19" s="4"/>
      <c r="D19" s="5"/>
      <c r="E19" s="5"/>
      <c r="F19" s="5"/>
      <c r="G19" s="5"/>
      <c r="H19" s="52"/>
      <c r="I19" s="54"/>
    </row>
    <row r="20" spans="2:9" x14ac:dyDescent="0.35">
      <c r="B20" s="72"/>
      <c r="C20" s="6"/>
      <c r="D20" s="6"/>
      <c r="E20" s="6"/>
      <c r="F20" s="6"/>
      <c r="G20" s="6"/>
      <c r="H20" s="55" t="b">
        <v>0</v>
      </c>
      <c r="I20" s="56">
        <f>IF(H20,3,0)</f>
        <v>0</v>
      </c>
    </row>
    <row r="21" spans="2:9" x14ac:dyDescent="0.35">
      <c r="B21" s="72"/>
      <c r="C21" s="5"/>
      <c r="D21" s="5"/>
      <c r="E21" s="5"/>
      <c r="F21" s="5"/>
      <c r="G21" s="5"/>
      <c r="H21" s="52"/>
      <c r="I21" s="54"/>
    </row>
    <row r="22" spans="2:9" x14ac:dyDescent="0.35">
      <c r="B22" s="73"/>
      <c r="C22" s="57" t="s">
        <v>35</v>
      </c>
      <c r="D22" s="58"/>
      <c r="E22" s="58"/>
      <c r="F22" s="58"/>
      <c r="G22" s="58"/>
      <c r="H22" s="59"/>
      <c r="I22" s="7">
        <f>SUM(I4:I21)</f>
        <v>0</v>
      </c>
    </row>
    <row r="23" spans="2:9" ht="15" customHeight="1" x14ac:dyDescent="0.35"/>
  </sheetData>
  <mergeCells count="34">
    <mergeCell ref="C22:H22"/>
    <mergeCell ref="H16:H17"/>
    <mergeCell ref="I16:I17"/>
    <mergeCell ref="H18:H19"/>
    <mergeCell ref="I18:I19"/>
    <mergeCell ref="H20:H21"/>
    <mergeCell ref="I20:I21"/>
    <mergeCell ref="H10:H11"/>
    <mergeCell ref="I10:I11"/>
    <mergeCell ref="H12:H13"/>
    <mergeCell ref="I12:I13"/>
    <mergeCell ref="H14:H15"/>
    <mergeCell ref="I14:I15"/>
    <mergeCell ref="I4:I5"/>
    <mergeCell ref="H6:H7"/>
    <mergeCell ref="I6:I7"/>
    <mergeCell ref="H8:H9"/>
    <mergeCell ref="I8:I9"/>
    <mergeCell ref="T2:T8"/>
    <mergeCell ref="U2:U8"/>
    <mergeCell ref="V2:V3"/>
    <mergeCell ref="W2:W3"/>
    <mergeCell ref="C3:I3"/>
    <mergeCell ref="K3:K10"/>
    <mergeCell ref="P3:P4"/>
    <mergeCell ref="Q3:Q10"/>
    <mergeCell ref="P9:P10"/>
    <mergeCell ref="R3:R10"/>
    <mergeCell ref="P5:P6"/>
    <mergeCell ref="P7:P8"/>
    <mergeCell ref="B2:I2"/>
    <mergeCell ref="K2:R2"/>
    <mergeCell ref="B4:B22"/>
    <mergeCell ref="H4:H5"/>
  </mergeCells>
  <conditionalFormatting sqref="W4">
    <cfRule type="expression" dxfId="24" priority="5">
      <formula>$U$2&lt;15</formula>
    </cfRule>
  </conditionalFormatting>
  <conditionalFormatting sqref="W5">
    <cfRule type="expression" dxfId="23" priority="4">
      <formula>($U$2&gt;15)*($U$2&lt;=20)</formula>
    </cfRule>
  </conditionalFormatting>
  <conditionalFormatting sqref="W6">
    <cfRule type="expression" dxfId="22" priority="3">
      <formula>($U$2&gt;20)*($U$2&lt;=50)</formula>
    </cfRule>
  </conditionalFormatting>
  <conditionalFormatting sqref="W7">
    <cfRule type="expression" dxfId="21" priority="2">
      <formula>($U$2&gt;50)*($U$2&lt;=160)</formula>
    </cfRule>
  </conditionalFormatting>
  <conditionalFormatting sqref="W8">
    <cfRule type="expression" dxfId="20" priority="1">
      <formula>$U$2&gt;160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Option Button 7">
              <controlPr defaultSize="0" autoFill="0" autoLine="0" autoPict="0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5" name="Option Button 8">
              <controlPr defaultSize="0" autoFill="0" autoLine="0" autoPict="0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14</xdr:col>
                    <xdr:colOff>514350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6" name="Option Button 9">
              <controlPr defaultSize="0" autoFill="0" autoLine="0" autoPict="0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7" name="Option Button 10">
              <controlPr defaultSize="0" autoFill="0" autoLine="0" autoPict="0">
                <anchor mov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8" name="Check Box 12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9" name="Check Box 13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0" name="Check Box 14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1" name="Check Box 15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2" name="Check Box 16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3" name="Check Box 17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14" name="Check Box 18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5" name="Check Box 19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6" name="Check Box 20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C1922-087C-489C-A291-E8DAF6B8DE81}">
  <sheetPr codeName="Foglio7"/>
  <dimension ref="B2:W23"/>
  <sheetViews>
    <sheetView zoomScale="90" zoomScaleNormal="90" workbookViewId="0"/>
  </sheetViews>
  <sheetFormatPr defaultRowHeight="14.5" x14ac:dyDescent="0.35"/>
  <cols>
    <col min="1" max="1" width="2.7265625" customWidth="1"/>
    <col min="2" max="2" width="18.7265625" customWidth="1"/>
    <col min="8" max="8" width="9.1796875" hidden="1" customWidth="1"/>
    <col min="10" max="10" width="2.7265625" customWidth="1"/>
    <col min="17" max="17" width="9.1796875" hidden="1" customWidth="1"/>
    <col min="19" max="19" width="2.7265625" customWidth="1"/>
    <col min="22" max="22" width="50.7265625" customWidth="1"/>
    <col min="23" max="23" width="18.453125" customWidth="1"/>
  </cols>
  <sheetData>
    <row r="2" spans="2:23" ht="22.5" x14ac:dyDescent="0.45">
      <c r="B2" s="65" t="s">
        <v>20</v>
      </c>
      <c r="C2" s="66"/>
      <c r="D2" s="66"/>
      <c r="E2" s="66"/>
      <c r="F2" s="66"/>
      <c r="G2" s="66"/>
      <c r="H2" s="66"/>
      <c r="I2" s="67"/>
      <c r="K2" s="65" t="s">
        <v>21</v>
      </c>
      <c r="L2" s="66"/>
      <c r="M2" s="66"/>
      <c r="N2" s="66"/>
      <c r="O2" s="66"/>
      <c r="P2" s="66"/>
      <c r="Q2" s="66"/>
      <c r="R2" s="67"/>
      <c r="S2" s="8"/>
      <c r="T2" s="68" t="s">
        <v>5</v>
      </c>
      <c r="U2" s="68">
        <f>R3*I22</f>
        <v>0</v>
      </c>
      <c r="V2" s="74" t="s">
        <v>22</v>
      </c>
      <c r="W2" s="60" t="s">
        <v>23</v>
      </c>
    </row>
    <row r="3" spans="2:23" ht="14.5" customHeight="1" x14ac:dyDescent="0.35">
      <c r="B3" s="1" t="s">
        <v>4</v>
      </c>
      <c r="C3" s="78" t="s">
        <v>37</v>
      </c>
      <c r="D3" s="78"/>
      <c r="E3" s="78"/>
      <c r="F3" s="78"/>
      <c r="G3" s="78"/>
      <c r="H3" s="78"/>
      <c r="I3" s="79"/>
      <c r="K3" s="75" t="s">
        <v>21</v>
      </c>
      <c r="L3" s="2"/>
      <c r="M3" s="3"/>
      <c r="N3" s="3"/>
      <c r="O3" s="3"/>
      <c r="P3" s="53">
        <v>20</v>
      </c>
      <c r="Q3" s="62">
        <v>4</v>
      </c>
      <c r="R3" s="62">
        <f>CHOOSE(Q3,20,10,4,2)</f>
        <v>2</v>
      </c>
      <c r="T3" s="69"/>
      <c r="U3" s="69"/>
      <c r="V3" s="61"/>
      <c r="W3" s="61"/>
    </row>
    <row r="4" spans="2:23" ht="15" customHeight="1" x14ac:dyDescent="0.35">
      <c r="B4" s="80" t="s">
        <v>10</v>
      </c>
      <c r="C4" s="2"/>
      <c r="D4" s="3"/>
      <c r="E4" s="3"/>
      <c r="F4" s="3"/>
      <c r="G4" s="3"/>
      <c r="H4" s="51" t="b">
        <v>0</v>
      </c>
      <c r="I4" s="53">
        <f>IF(H4,1,0)</f>
        <v>0</v>
      </c>
      <c r="K4" s="76"/>
      <c r="L4" s="4"/>
      <c r="M4" s="5"/>
      <c r="N4" s="5"/>
      <c r="O4" s="5"/>
      <c r="P4" s="54"/>
      <c r="Q4" s="63"/>
      <c r="R4" s="63"/>
      <c r="T4" s="69"/>
      <c r="U4" s="69"/>
      <c r="V4" s="9" t="s">
        <v>25</v>
      </c>
      <c r="W4" s="10" t="s">
        <v>26</v>
      </c>
    </row>
    <row r="5" spans="2:23" ht="14.5" customHeight="1" x14ac:dyDescent="0.35">
      <c r="B5" s="81"/>
      <c r="C5" s="4"/>
      <c r="D5" s="5"/>
      <c r="E5" s="5"/>
      <c r="F5" s="5"/>
      <c r="G5" s="5"/>
      <c r="H5" s="52"/>
      <c r="I5" s="54"/>
      <c r="K5" s="76"/>
      <c r="L5" s="2"/>
      <c r="M5" s="3"/>
      <c r="N5" s="3"/>
      <c r="O5" s="3"/>
      <c r="P5" s="53">
        <v>10</v>
      </c>
      <c r="Q5" s="63"/>
      <c r="R5" s="63"/>
      <c r="T5" s="69"/>
      <c r="U5" s="69"/>
      <c r="V5" s="11" t="s">
        <v>27</v>
      </c>
      <c r="W5" s="11" t="s">
        <v>28</v>
      </c>
    </row>
    <row r="6" spans="2:23" ht="14.5" customHeight="1" x14ac:dyDescent="0.35">
      <c r="B6" s="81"/>
      <c r="C6" s="2"/>
      <c r="D6" s="3"/>
      <c r="E6" s="3"/>
      <c r="F6" s="3"/>
      <c r="G6" s="3"/>
      <c r="H6" s="51" t="b">
        <v>0</v>
      </c>
      <c r="I6" s="53">
        <f>IF(H6,2,0)</f>
        <v>0</v>
      </c>
      <c r="K6" s="76"/>
      <c r="L6" s="4"/>
      <c r="M6" s="5"/>
      <c r="N6" s="5"/>
      <c r="O6" s="5"/>
      <c r="P6" s="54"/>
      <c r="Q6" s="63"/>
      <c r="R6" s="63"/>
      <c r="T6" s="69"/>
      <c r="U6" s="69"/>
      <c r="V6" s="11" t="s">
        <v>29</v>
      </c>
      <c r="W6" s="11" t="s">
        <v>30</v>
      </c>
    </row>
    <row r="7" spans="2:23" ht="14.5" customHeight="1" x14ac:dyDescent="0.35">
      <c r="B7" s="81"/>
      <c r="C7" s="4"/>
      <c r="D7" s="5"/>
      <c r="E7" s="5"/>
      <c r="F7" s="5"/>
      <c r="G7" s="5"/>
      <c r="H7" s="52"/>
      <c r="I7" s="54"/>
      <c r="K7" s="76"/>
      <c r="L7" s="2"/>
      <c r="M7" s="3"/>
      <c r="N7" s="3"/>
      <c r="O7" s="3"/>
      <c r="P7" s="53">
        <v>4</v>
      </c>
      <c r="Q7" s="63"/>
      <c r="R7" s="63"/>
      <c r="T7" s="69"/>
      <c r="U7" s="69"/>
      <c r="V7" s="11" t="s">
        <v>31</v>
      </c>
      <c r="W7" s="11" t="s">
        <v>32</v>
      </c>
    </row>
    <row r="8" spans="2:23" ht="14.5" customHeight="1" x14ac:dyDescent="0.35">
      <c r="B8" s="81"/>
      <c r="C8" s="2"/>
      <c r="D8" s="3"/>
      <c r="E8" s="3"/>
      <c r="F8" s="3"/>
      <c r="G8" s="3"/>
      <c r="H8" s="51" t="b">
        <v>0</v>
      </c>
      <c r="I8" s="53">
        <f>IF(H8,2,0)</f>
        <v>0</v>
      </c>
      <c r="K8" s="76"/>
      <c r="L8" s="4"/>
      <c r="M8" s="5"/>
      <c r="N8" s="5"/>
      <c r="O8" s="5"/>
      <c r="P8" s="54"/>
      <c r="Q8" s="63"/>
      <c r="R8" s="63"/>
      <c r="T8" s="70"/>
      <c r="U8" s="70"/>
      <c r="V8" s="12" t="s">
        <v>33</v>
      </c>
      <c r="W8" s="12" t="s">
        <v>34</v>
      </c>
    </row>
    <row r="9" spans="2:23" ht="14.5" customHeight="1" x14ac:dyDescent="0.35">
      <c r="B9" s="81"/>
      <c r="C9" s="4"/>
      <c r="D9" s="5"/>
      <c r="E9" s="5"/>
      <c r="F9" s="5"/>
      <c r="G9" s="5"/>
      <c r="H9" s="52"/>
      <c r="I9" s="54"/>
      <c r="K9" s="76"/>
      <c r="L9" s="2"/>
      <c r="M9" s="3"/>
      <c r="N9" s="3"/>
      <c r="O9" s="3"/>
      <c r="P9" s="53">
        <v>2</v>
      </c>
      <c r="Q9" s="63"/>
      <c r="R9" s="63"/>
      <c r="T9" s="23"/>
      <c r="U9" s="23"/>
    </row>
    <row r="10" spans="2:23" ht="14.5" customHeight="1" x14ac:dyDescent="0.35">
      <c r="B10" s="81"/>
      <c r="C10" s="2"/>
      <c r="D10" s="3"/>
      <c r="E10" s="3"/>
      <c r="F10" s="3"/>
      <c r="G10" s="3"/>
      <c r="H10" s="51" t="b">
        <v>0</v>
      </c>
      <c r="I10" s="53">
        <f>IF(H10,2,0)</f>
        <v>0</v>
      </c>
      <c r="K10" s="77"/>
      <c r="L10" s="4"/>
      <c r="M10" s="5"/>
      <c r="N10" s="5"/>
      <c r="O10" s="5"/>
      <c r="P10" s="54"/>
      <c r="Q10" s="64"/>
      <c r="R10" s="64"/>
      <c r="T10" s="23"/>
      <c r="U10" s="23"/>
    </row>
    <row r="11" spans="2:23" x14ac:dyDescent="0.35">
      <c r="B11" s="81"/>
      <c r="C11" s="4"/>
      <c r="D11" s="5"/>
      <c r="E11" s="5"/>
      <c r="F11" s="5"/>
      <c r="G11" s="5"/>
      <c r="H11" s="52"/>
      <c r="I11" s="54"/>
    </row>
    <row r="12" spans="2:23" x14ac:dyDescent="0.35">
      <c r="B12" s="81"/>
      <c r="C12" s="2"/>
      <c r="D12" s="3"/>
      <c r="E12" s="3"/>
      <c r="F12" s="3"/>
      <c r="G12" s="3"/>
      <c r="H12" s="51" t="b">
        <v>0</v>
      </c>
      <c r="I12" s="53">
        <f>IF(H12,2,0)</f>
        <v>0</v>
      </c>
      <c r="K12" s="13"/>
    </row>
    <row r="13" spans="2:23" x14ac:dyDescent="0.35">
      <c r="B13" s="81"/>
      <c r="C13" s="4"/>
      <c r="D13" s="5"/>
      <c r="E13" s="5"/>
      <c r="F13" s="5"/>
      <c r="G13" s="5"/>
      <c r="H13" s="52"/>
      <c r="I13" s="54"/>
      <c r="K13" s="13"/>
    </row>
    <row r="14" spans="2:23" x14ac:dyDescent="0.35">
      <c r="B14" s="81"/>
      <c r="C14" s="2"/>
      <c r="D14" s="3"/>
      <c r="E14" s="3"/>
      <c r="F14" s="3"/>
      <c r="G14" s="3"/>
      <c r="H14" s="51" t="b">
        <v>0</v>
      </c>
      <c r="I14" s="53">
        <f>IF(H14,3,0)</f>
        <v>0</v>
      </c>
      <c r="K14" s="13"/>
    </row>
    <row r="15" spans="2:23" x14ac:dyDescent="0.35">
      <c r="B15" s="81"/>
      <c r="C15" s="4"/>
      <c r="D15" s="5"/>
      <c r="E15" s="5"/>
      <c r="F15" s="5"/>
      <c r="G15" s="5"/>
      <c r="H15" s="52"/>
      <c r="I15" s="54"/>
    </row>
    <row r="16" spans="2:23" x14ac:dyDescent="0.35">
      <c r="B16" s="81"/>
      <c r="C16" s="2"/>
      <c r="D16" s="3"/>
      <c r="E16" s="3"/>
      <c r="F16" s="3"/>
      <c r="G16" s="3"/>
      <c r="H16" s="51" t="b">
        <v>0</v>
      </c>
      <c r="I16" s="53">
        <f>IF(H16,1,0)</f>
        <v>0</v>
      </c>
    </row>
    <row r="17" spans="2:9" x14ac:dyDescent="0.35">
      <c r="B17" s="81"/>
      <c r="C17" s="4"/>
      <c r="D17" s="5"/>
      <c r="E17" s="5"/>
      <c r="F17" s="5"/>
      <c r="G17" s="5"/>
      <c r="H17" s="52"/>
      <c r="I17" s="54"/>
    </row>
    <row r="18" spans="2:9" x14ac:dyDescent="0.35">
      <c r="B18" s="81"/>
      <c r="C18" s="6"/>
      <c r="D18" s="6"/>
      <c r="E18" s="6"/>
      <c r="F18" s="6"/>
      <c r="G18" s="6"/>
      <c r="H18" s="55" t="b">
        <v>0</v>
      </c>
      <c r="I18" s="56">
        <f>IF(H18,2,0)</f>
        <v>0</v>
      </c>
    </row>
    <row r="19" spans="2:9" x14ac:dyDescent="0.35">
      <c r="B19" s="81"/>
      <c r="C19" s="5"/>
      <c r="D19" s="5"/>
      <c r="E19" s="5"/>
      <c r="F19" s="5"/>
      <c r="G19" s="5"/>
      <c r="H19" s="52"/>
      <c r="I19" s="54"/>
    </row>
    <row r="20" spans="2:9" x14ac:dyDescent="0.35">
      <c r="B20" s="81"/>
      <c r="C20" s="6"/>
      <c r="D20" s="6"/>
      <c r="E20" s="6"/>
      <c r="F20" s="6"/>
      <c r="G20" s="6"/>
      <c r="H20" s="55" t="b">
        <v>0</v>
      </c>
      <c r="I20" s="56">
        <f>IF(H20,3,0)</f>
        <v>0</v>
      </c>
    </row>
    <row r="21" spans="2:9" x14ac:dyDescent="0.35">
      <c r="B21" s="81"/>
      <c r="C21" s="5"/>
      <c r="D21" s="5"/>
      <c r="E21" s="5"/>
      <c r="F21" s="5"/>
      <c r="G21" s="5"/>
      <c r="H21" s="52"/>
      <c r="I21" s="54"/>
    </row>
    <row r="22" spans="2:9" x14ac:dyDescent="0.35">
      <c r="B22" s="82"/>
      <c r="C22" s="57" t="s">
        <v>35</v>
      </c>
      <c r="D22" s="58"/>
      <c r="E22" s="58"/>
      <c r="F22" s="58"/>
      <c r="G22" s="58"/>
      <c r="H22" s="59"/>
      <c r="I22" s="7">
        <f>SUM(I4:I21)</f>
        <v>0</v>
      </c>
    </row>
    <row r="23" spans="2:9" ht="15" customHeight="1" x14ac:dyDescent="0.35"/>
  </sheetData>
  <mergeCells count="34">
    <mergeCell ref="C22:H22"/>
    <mergeCell ref="H14:H15"/>
    <mergeCell ref="I14:I15"/>
    <mergeCell ref="H16:H17"/>
    <mergeCell ref="I16:I17"/>
    <mergeCell ref="H18:H19"/>
    <mergeCell ref="I18:I19"/>
    <mergeCell ref="H10:H11"/>
    <mergeCell ref="I10:I11"/>
    <mergeCell ref="H12:H13"/>
    <mergeCell ref="I12:I13"/>
    <mergeCell ref="H20:H21"/>
    <mergeCell ref="I20:I21"/>
    <mergeCell ref="I4:I5"/>
    <mergeCell ref="H6:H7"/>
    <mergeCell ref="I6:I7"/>
    <mergeCell ref="H8:H9"/>
    <mergeCell ref="I8:I9"/>
    <mergeCell ref="T2:T8"/>
    <mergeCell ref="U2:U8"/>
    <mergeCell ref="V2:V3"/>
    <mergeCell ref="W2:W3"/>
    <mergeCell ref="C3:I3"/>
    <mergeCell ref="K3:K10"/>
    <mergeCell ref="P3:P4"/>
    <mergeCell ref="Q3:Q10"/>
    <mergeCell ref="P9:P10"/>
    <mergeCell ref="R3:R10"/>
    <mergeCell ref="P5:P6"/>
    <mergeCell ref="P7:P8"/>
    <mergeCell ref="B2:I2"/>
    <mergeCell ref="K2:R2"/>
    <mergeCell ref="B4:B22"/>
    <mergeCell ref="H4:H5"/>
  </mergeCells>
  <conditionalFormatting sqref="W4">
    <cfRule type="expression" dxfId="19" priority="5">
      <formula>$U$2&lt;15</formula>
    </cfRule>
  </conditionalFormatting>
  <conditionalFormatting sqref="W5">
    <cfRule type="expression" dxfId="18" priority="4">
      <formula>($U$2&gt;15)*($U$2&lt;=20)</formula>
    </cfRule>
  </conditionalFormatting>
  <conditionalFormatting sqref="W6">
    <cfRule type="expression" dxfId="17" priority="3">
      <formula>($U$2&gt;20)*($U$2&lt;=50)</formula>
    </cfRule>
  </conditionalFormatting>
  <conditionalFormatting sqref="W7">
    <cfRule type="expression" dxfId="16" priority="2">
      <formula>($U$2&gt;50)*($U$2&lt;=160)</formula>
    </cfRule>
  </conditionalFormatting>
  <conditionalFormatting sqref="W8">
    <cfRule type="expression" dxfId="15" priority="1">
      <formula>$U$2&gt;160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1" r:id="rId4" name="Option Button 7">
              <controlPr defaultSize="0" autoFill="0" autoLine="0" autoPict="0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5" name="Option Button 8">
              <controlPr defaultSize="0" autoFill="0" autoLine="0" autoPict="0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14</xdr:col>
                    <xdr:colOff>514350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6" name="Option Button 9">
              <controlPr defaultSize="0" autoFill="0" autoLine="0" autoPict="0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7" name="Option Button 10">
              <controlPr defaultSize="0" autoFill="0" autoLine="0" autoPict="0">
                <anchor mov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8" name="Check Box 23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9" name="Check Box 24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9" r:id="rId10" name="Check Box 25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11" name="Check Box 26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12" name="Check Box 27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13" name="Check Box 28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3" r:id="rId14" name="Check Box 29">
              <controlPr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15" name="Check Box 30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16" name="Check Box 31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8"/>
  <dimension ref="B2:W24"/>
  <sheetViews>
    <sheetView zoomScaleNormal="100" workbookViewId="0"/>
  </sheetViews>
  <sheetFormatPr defaultRowHeight="14.5" x14ac:dyDescent="0.35"/>
  <cols>
    <col min="1" max="1" width="2.7265625" customWidth="1"/>
    <col min="2" max="2" width="18.7265625" customWidth="1"/>
    <col min="8" max="8" width="9.1796875" hidden="1" customWidth="1"/>
    <col min="10" max="10" width="2.7265625" customWidth="1"/>
    <col min="17" max="17" width="9.1796875" hidden="1" customWidth="1"/>
    <col min="19" max="19" width="2.7265625" customWidth="1"/>
    <col min="22" max="22" width="50.7265625" customWidth="1"/>
    <col min="23" max="23" width="18.453125" customWidth="1"/>
  </cols>
  <sheetData>
    <row r="2" spans="2:23" ht="22.5" x14ac:dyDescent="0.45">
      <c r="B2" s="65" t="s">
        <v>20</v>
      </c>
      <c r="C2" s="66"/>
      <c r="D2" s="66"/>
      <c r="E2" s="66"/>
      <c r="F2" s="66"/>
      <c r="G2" s="66"/>
      <c r="H2" s="66"/>
      <c r="I2" s="67"/>
      <c r="K2" s="65" t="s">
        <v>21</v>
      </c>
      <c r="L2" s="66"/>
      <c r="M2" s="66"/>
      <c r="N2" s="66"/>
      <c r="O2" s="66"/>
      <c r="P2" s="66"/>
      <c r="Q2" s="66"/>
      <c r="R2" s="67"/>
      <c r="S2" s="8"/>
      <c r="T2" s="68" t="s">
        <v>5</v>
      </c>
      <c r="U2" s="68">
        <f>R3*I18</f>
        <v>0</v>
      </c>
      <c r="V2" s="74" t="s">
        <v>22</v>
      </c>
      <c r="W2" s="60" t="s">
        <v>23</v>
      </c>
    </row>
    <row r="3" spans="2:23" ht="15" customHeight="1" x14ac:dyDescent="0.35">
      <c r="B3" s="1" t="s">
        <v>4</v>
      </c>
      <c r="C3" s="78" t="s">
        <v>38</v>
      </c>
      <c r="D3" s="78"/>
      <c r="E3" s="78"/>
      <c r="F3" s="78"/>
      <c r="G3" s="78"/>
      <c r="H3" s="78"/>
      <c r="I3" s="79"/>
      <c r="K3" s="75" t="s">
        <v>21</v>
      </c>
      <c r="L3" s="2"/>
      <c r="M3" s="3"/>
      <c r="N3" s="3"/>
      <c r="O3" s="3"/>
      <c r="P3" s="53">
        <v>20</v>
      </c>
      <c r="Q3" s="62">
        <v>4</v>
      </c>
      <c r="R3" s="62">
        <f>CHOOSE(Q3,20,10,4,2)</f>
        <v>2</v>
      </c>
      <c r="T3" s="69"/>
      <c r="U3" s="69"/>
      <c r="V3" s="61"/>
      <c r="W3" s="61"/>
    </row>
    <row r="4" spans="2:23" ht="15" customHeight="1" x14ac:dyDescent="0.35">
      <c r="B4" s="71" t="s">
        <v>7</v>
      </c>
      <c r="C4" s="2"/>
      <c r="D4" s="3"/>
      <c r="E4" s="3"/>
      <c r="F4" s="3"/>
      <c r="G4" s="3"/>
      <c r="H4" s="51" t="b">
        <v>0</v>
      </c>
      <c r="I4" s="53">
        <f>IF(H4,1,0)</f>
        <v>0</v>
      </c>
      <c r="K4" s="76"/>
      <c r="L4" s="4"/>
      <c r="M4" s="5"/>
      <c r="N4" s="5"/>
      <c r="O4" s="5"/>
      <c r="P4" s="54"/>
      <c r="Q4" s="63"/>
      <c r="R4" s="63"/>
      <c r="T4" s="69"/>
      <c r="U4" s="69"/>
      <c r="V4" s="9" t="s">
        <v>25</v>
      </c>
      <c r="W4" s="10" t="s">
        <v>26</v>
      </c>
    </row>
    <row r="5" spans="2:23" ht="15" customHeight="1" x14ac:dyDescent="0.35">
      <c r="B5" s="72"/>
      <c r="C5" s="4"/>
      <c r="D5" s="5"/>
      <c r="E5" s="5"/>
      <c r="F5" s="5"/>
      <c r="G5" s="5"/>
      <c r="H5" s="52"/>
      <c r="I5" s="54"/>
      <c r="K5" s="76"/>
      <c r="L5" s="2"/>
      <c r="M5" s="3"/>
      <c r="N5" s="3"/>
      <c r="O5" s="3"/>
      <c r="P5" s="53">
        <v>10</v>
      </c>
      <c r="Q5" s="63"/>
      <c r="R5" s="63"/>
      <c r="T5" s="69"/>
      <c r="U5" s="69"/>
      <c r="V5" s="11" t="s">
        <v>27</v>
      </c>
      <c r="W5" s="11" t="s">
        <v>28</v>
      </c>
    </row>
    <row r="6" spans="2:23" ht="15" customHeight="1" x14ac:dyDescent="0.35">
      <c r="B6" s="72"/>
      <c r="C6" s="2"/>
      <c r="D6" s="3"/>
      <c r="E6" s="3"/>
      <c r="F6" s="3"/>
      <c r="G6" s="3"/>
      <c r="H6" s="51" t="b">
        <v>0</v>
      </c>
      <c r="I6" s="53">
        <f>IF(H6,3,0)</f>
        <v>0</v>
      </c>
      <c r="K6" s="76"/>
      <c r="L6" s="4"/>
      <c r="M6" s="5"/>
      <c r="N6" s="5"/>
      <c r="O6" s="5"/>
      <c r="P6" s="54"/>
      <c r="Q6" s="63"/>
      <c r="R6" s="63"/>
      <c r="T6" s="69"/>
      <c r="U6" s="69"/>
      <c r="V6" s="11" t="s">
        <v>29</v>
      </c>
      <c r="W6" s="11" t="s">
        <v>30</v>
      </c>
    </row>
    <row r="7" spans="2:23" ht="15" customHeight="1" x14ac:dyDescent="0.35">
      <c r="B7" s="72"/>
      <c r="C7" s="4"/>
      <c r="D7" s="5"/>
      <c r="E7" s="5"/>
      <c r="F7" s="5"/>
      <c r="G7" s="5"/>
      <c r="H7" s="52"/>
      <c r="I7" s="54"/>
      <c r="K7" s="76"/>
      <c r="L7" s="2"/>
      <c r="M7" s="3"/>
      <c r="N7" s="3"/>
      <c r="O7" s="3"/>
      <c r="P7" s="53">
        <v>4</v>
      </c>
      <c r="Q7" s="63"/>
      <c r="R7" s="63"/>
      <c r="T7" s="69"/>
      <c r="U7" s="69"/>
      <c r="V7" s="11" t="s">
        <v>31</v>
      </c>
      <c r="W7" s="11" t="s">
        <v>32</v>
      </c>
    </row>
    <row r="8" spans="2:23" ht="15" customHeight="1" x14ac:dyDescent="0.35">
      <c r="B8" s="72"/>
      <c r="C8" s="2"/>
      <c r="D8" s="3"/>
      <c r="E8" s="3"/>
      <c r="F8" s="3"/>
      <c r="G8" s="3"/>
      <c r="H8" s="51" t="b">
        <v>0</v>
      </c>
      <c r="I8" s="53">
        <f>IF(H8,1,0)</f>
        <v>0</v>
      </c>
      <c r="K8" s="76"/>
      <c r="L8" s="4"/>
      <c r="M8" s="5"/>
      <c r="N8" s="5"/>
      <c r="O8" s="5"/>
      <c r="P8" s="54"/>
      <c r="Q8" s="63"/>
      <c r="R8" s="63"/>
      <c r="T8" s="70"/>
      <c r="U8" s="70"/>
      <c r="V8" s="12" t="s">
        <v>33</v>
      </c>
      <c r="W8" s="12" t="s">
        <v>34</v>
      </c>
    </row>
    <row r="9" spans="2:23" ht="15" customHeight="1" x14ac:dyDescent="0.35">
      <c r="B9" s="72"/>
      <c r="C9" s="4"/>
      <c r="D9" s="5"/>
      <c r="E9" s="5"/>
      <c r="F9" s="5"/>
      <c r="G9" s="5"/>
      <c r="H9" s="52"/>
      <c r="I9" s="54"/>
      <c r="K9" s="76"/>
      <c r="L9" s="2"/>
      <c r="M9" s="3"/>
      <c r="N9" s="3"/>
      <c r="O9" s="3"/>
      <c r="P9" s="53">
        <v>2</v>
      </c>
      <c r="Q9" s="63"/>
      <c r="R9" s="63"/>
      <c r="T9" s="23"/>
      <c r="U9" s="23"/>
    </row>
    <row r="10" spans="2:23" ht="15" customHeight="1" x14ac:dyDescent="0.35">
      <c r="B10" s="72"/>
      <c r="C10" s="2"/>
      <c r="D10" s="3"/>
      <c r="E10" s="3"/>
      <c r="F10" s="3"/>
      <c r="G10" s="3"/>
      <c r="H10" s="51" t="b">
        <v>0</v>
      </c>
      <c r="I10" s="53">
        <f>IF(H10,2,0)</f>
        <v>0</v>
      </c>
      <c r="K10" s="77"/>
      <c r="L10" s="4"/>
      <c r="M10" s="5"/>
      <c r="N10" s="5"/>
      <c r="O10" s="5"/>
      <c r="P10" s="54"/>
      <c r="Q10" s="64"/>
      <c r="R10" s="64"/>
      <c r="T10" s="23"/>
      <c r="U10" s="23"/>
    </row>
    <row r="11" spans="2:23" x14ac:dyDescent="0.35">
      <c r="B11" s="72"/>
      <c r="C11" s="4"/>
      <c r="D11" s="5"/>
      <c r="E11" s="5"/>
      <c r="F11" s="5"/>
      <c r="G11" s="5"/>
      <c r="H11" s="52"/>
      <c r="I11" s="54"/>
    </row>
    <row r="12" spans="2:23" x14ac:dyDescent="0.35">
      <c r="B12" s="72"/>
      <c r="C12" s="2"/>
      <c r="D12" s="3"/>
      <c r="E12" s="3"/>
      <c r="F12" s="3"/>
      <c r="G12" s="3"/>
      <c r="H12" s="51" t="b">
        <v>0</v>
      </c>
      <c r="I12" s="53">
        <f>IF(H12,3,0)</f>
        <v>0</v>
      </c>
      <c r="K12" s="13"/>
    </row>
    <row r="13" spans="2:23" x14ac:dyDescent="0.35">
      <c r="B13" s="72"/>
      <c r="C13" s="4"/>
      <c r="D13" s="5"/>
      <c r="E13" s="5"/>
      <c r="F13" s="5"/>
      <c r="G13" s="5"/>
      <c r="H13" s="52"/>
      <c r="I13" s="54"/>
      <c r="K13" s="13"/>
    </row>
    <row r="14" spans="2:23" x14ac:dyDescent="0.35">
      <c r="B14" s="72"/>
      <c r="C14" s="6"/>
      <c r="D14" s="6"/>
      <c r="E14" s="6"/>
      <c r="F14" s="6"/>
      <c r="G14" s="6"/>
      <c r="H14" s="55" t="b">
        <v>0</v>
      </c>
      <c r="I14" s="56">
        <f>IF(H14,3,0)</f>
        <v>0</v>
      </c>
      <c r="K14" s="13"/>
    </row>
    <row r="15" spans="2:23" x14ac:dyDescent="0.35">
      <c r="B15" s="72"/>
      <c r="C15" s="6"/>
      <c r="D15" s="6"/>
      <c r="E15" s="6"/>
      <c r="F15" s="6"/>
      <c r="G15" s="6"/>
      <c r="H15" s="55"/>
      <c r="I15" s="56"/>
    </row>
    <row r="16" spans="2:23" ht="15" customHeight="1" x14ac:dyDescent="0.35">
      <c r="B16" s="72"/>
      <c r="C16" s="88" t="s">
        <v>39</v>
      </c>
      <c r="D16" s="89"/>
      <c r="E16" s="89"/>
      <c r="F16" s="89"/>
      <c r="G16" s="89"/>
      <c r="H16" s="90"/>
      <c r="I16" s="16"/>
    </row>
    <row r="17" spans="2:9" x14ac:dyDescent="0.35">
      <c r="B17" s="72"/>
      <c r="C17" s="91"/>
      <c r="D17" s="92"/>
      <c r="E17" s="92"/>
      <c r="F17" s="92"/>
      <c r="G17" s="92"/>
      <c r="H17" s="93"/>
      <c r="I17" s="17"/>
    </row>
    <row r="18" spans="2:9" x14ac:dyDescent="0.35">
      <c r="B18" s="73"/>
      <c r="C18" s="85" t="s">
        <v>35</v>
      </c>
      <c r="D18" s="86"/>
      <c r="E18" s="86"/>
      <c r="F18" s="86"/>
      <c r="G18" s="86"/>
      <c r="H18" s="87"/>
      <c r="I18" s="15">
        <f>SUM(I4:I15)</f>
        <v>0</v>
      </c>
    </row>
    <row r="19" spans="2:9" ht="15" customHeight="1" x14ac:dyDescent="0.35"/>
    <row r="24" spans="2:9" ht="15" customHeight="1" x14ac:dyDescent="0.35"/>
  </sheetData>
  <mergeCells count="29">
    <mergeCell ref="U2:U8"/>
    <mergeCell ref="T2:T8"/>
    <mergeCell ref="W2:W3"/>
    <mergeCell ref="C3:I3"/>
    <mergeCell ref="K3:K10"/>
    <mergeCell ref="P3:P4"/>
    <mergeCell ref="Q3:Q10"/>
    <mergeCell ref="B2:I2"/>
    <mergeCell ref="K2:R2"/>
    <mergeCell ref="V2:V3"/>
    <mergeCell ref="B4:B18"/>
    <mergeCell ref="H10:H11"/>
    <mergeCell ref="I10:I11"/>
    <mergeCell ref="R3:R10"/>
    <mergeCell ref="P5:P6"/>
    <mergeCell ref="P7:P8"/>
    <mergeCell ref="H4:H5"/>
    <mergeCell ref="I4:I5"/>
    <mergeCell ref="P9:P10"/>
    <mergeCell ref="H6:H7"/>
    <mergeCell ref="I6:I7"/>
    <mergeCell ref="H8:H9"/>
    <mergeCell ref="I8:I9"/>
    <mergeCell ref="C18:H18"/>
    <mergeCell ref="H12:H13"/>
    <mergeCell ref="I12:I13"/>
    <mergeCell ref="H14:H15"/>
    <mergeCell ref="I14:I15"/>
    <mergeCell ref="C16:H17"/>
  </mergeCells>
  <conditionalFormatting sqref="W4">
    <cfRule type="expression" dxfId="14" priority="8">
      <formula>$U$2&lt;15</formula>
    </cfRule>
  </conditionalFormatting>
  <conditionalFormatting sqref="W5">
    <cfRule type="expression" dxfId="13" priority="7">
      <formula>($U$2&gt;15)*($U$2&lt;=20)</formula>
    </cfRule>
  </conditionalFormatting>
  <conditionalFormatting sqref="W6">
    <cfRule type="expression" dxfId="12" priority="6">
      <formula>($U$2&gt;20)*($U$2&lt;=50)</formula>
    </cfRule>
  </conditionalFormatting>
  <conditionalFormatting sqref="W7">
    <cfRule type="expression" dxfId="11" priority="5">
      <formula>($U$2&gt;50)*($U$2&lt;=160)</formula>
    </cfRule>
  </conditionalFormatting>
  <conditionalFormatting sqref="W8">
    <cfRule type="expression" dxfId="10" priority="4">
      <formula>$U$2&gt;160</formula>
    </cfRule>
  </conditionalFormatting>
  <pageMargins left="0.7" right="0.7" top="0.75" bottom="0.75" header="0.3" footer="0.3"/>
  <pageSetup paperSize="9" orientation="portrait" r:id="rId1"/>
  <ignoredErrors>
    <ignoredError sqref="I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Check Box 3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Check Box 4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Check Box 5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Check Box 6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Check Box 7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0" name="Option Button 9">
              <controlPr defaultSize="0" autoFill="0" autoLine="0" autoPict="0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1" name="Option Button 10">
              <controlPr defaultSize="0" autoFill="0" autoLine="0" autoPict="0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14</xdr:col>
                    <xdr:colOff>514350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2" name="Option Button 11">
              <controlPr defaultSize="0" autoFill="0" autoLine="0" autoPict="0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3" name="Option Button 12">
              <controlPr defaultSize="0" autoFill="0" autoLine="0" autoPict="0">
                <anchor mov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4A6D-6FC7-4BC2-B9EE-B19BAD8552C6}">
  <sheetPr codeName="Foglio9"/>
  <dimension ref="B2:W24"/>
  <sheetViews>
    <sheetView zoomScale="90" zoomScaleNormal="90" workbookViewId="0"/>
  </sheetViews>
  <sheetFormatPr defaultRowHeight="14.5" x14ac:dyDescent="0.35"/>
  <cols>
    <col min="1" max="1" width="2.7265625" customWidth="1"/>
    <col min="2" max="2" width="18.7265625" customWidth="1"/>
    <col min="8" max="8" width="9.1796875" hidden="1" customWidth="1"/>
    <col min="10" max="10" width="2.7265625" customWidth="1"/>
    <col min="17" max="17" width="9.1796875" hidden="1" customWidth="1"/>
    <col min="19" max="19" width="2.7265625" customWidth="1"/>
    <col min="22" max="22" width="50.7265625" customWidth="1"/>
    <col min="23" max="23" width="18.453125" customWidth="1"/>
  </cols>
  <sheetData>
    <row r="2" spans="2:23" ht="22.5" x14ac:dyDescent="0.45">
      <c r="B2" s="65" t="s">
        <v>20</v>
      </c>
      <c r="C2" s="66"/>
      <c r="D2" s="66"/>
      <c r="E2" s="66"/>
      <c r="F2" s="66"/>
      <c r="G2" s="66"/>
      <c r="H2" s="66"/>
      <c r="I2" s="67"/>
      <c r="K2" s="65" t="s">
        <v>21</v>
      </c>
      <c r="L2" s="66"/>
      <c r="M2" s="66"/>
      <c r="N2" s="66"/>
      <c r="O2" s="66"/>
      <c r="P2" s="66"/>
      <c r="Q2" s="66"/>
      <c r="R2" s="67"/>
      <c r="S2" s="8"/>
      <c r="T2" s="68" t="s">
        <v>5</v>
      </c>
      <c r="U2" s="68">
        <f>R3*I18</f>
        <v>0</v>
      </c>
      <c r="V2" s="74" t="s">
        <v>22</v>
      </c>
      <c r="W2" s="60" t="s">
        <v>23</v>
      </c>
    </row>
    <row r="3" spans="2:23" ht="15" customHeight="1" x14ac:dyDescent="0.35">
      <c r="B3" s="1" t="s">
        <v>4</v>
      </c>
      <c r="C3" s="78" t="s">
        <v>38</v>
      </c>
      <c r="D3" s="78"/>
      <c r="E3" s="78"/>
      <c r="F3" s="78"/>
      <c r="G3" s="78"/>
      <c r="H3" s="78"/>
      <c r="I3" s="79"/>
      <c r="K3" s="75" t="s">
        <v>21</v>
      </c>
      <c r="L3" s="2"/>
      <c r="M3" s="3"/>
      <c r="N3" s="3"/>
      <c r="O3" s="3"/>
      <c r="P3" s="53">
        <v>20</v>
      </c>
      <c r="Q3" s="62">
        <v>4</v>
      </c>
      <c r="R3" s="62">
        <f>CHOOSE(Q3,20,10,4,2)</f>
        <v>2</v>
      </c>
      <c r="T3" s="69"/>
      <c r="U3" s="69"/>
      <c r="V3" s="61"/>
      <c r="W3" s="61"/>
    </row>
    <row r="4" spans="2:23" ht="15" customHeight="1" x14ac:dyDescent="0.35">
      <c r="B4" s="71" t="s">
        <v>9</v>
      </c>
      <c r="C4" s="2"/>
      <c r="D4" s="3"/>
      <c r="E4" s="3"/>
      <c r="F4" s="3"/>
      <c r="G4" s="3"/>
      <c r="H4" s="51" t="b">
        <v>0</v>
      </c>
      <c r="I4" s="53">
        <f>IF(H4,1,0)</f>
        <v>0</v>
      </c>
      <c r="K4" s="76"/>
      <c r="L4" s="4"/>
      <c r="M4" s="5"/>
      <c r="N4" s="5"/>
      <c r="O4" s="5"/>
      <c r="P4" s="54"/>
      <c r="Q4" s="63"/>
      <c r="R4" s="63"/>
      <c r="T4" s="69"/>
      <c r="U4" s="69"/>
      <c r="V4" s="9" t="s">
        <v>25</v>
      </c>
      <c r="W4" s="10" t="s">
        <v>26</v>
      </c>
    </row>
    <row r="5" spans="2:23" ht="15" customHeight="1" x14ac:dyDescent="0.35">
      <c r="B5" s="72"/>
      <c r="C5" s="4"/>
      <c r="D5" s="5"/>
      <c r="E5" s="5"/>
      <c r="F5" s="5"/>
      <c r="G5" s="5"/>
      <c r="H5" s="52"/>
      <c r="I5" s="54"/>
      <c r="K5" s="76"/>
      <c r="L5" s="2"/>
      <c r="M5" s="3"/>
      <c r="N5" s="3"/>
      <c r="O5" s="3"/>
      <c r="P5" s="53">
        <v>10</v>
      </c>
      <c r="Q5" s="63"/>
      <c r="R5" s="63"/>
      <c r="T5" s="69"/>
      <c r="U5" s="69"/>
      <c r="V5" s="11" t="s">
        <v>27</v>
      </c>
      <c r="W5" s="11" t="s">
        <v>28</v>
      </c>
    </row>
    <row r="6" spans="2:23" ht="15" customHeight="1" x14ac:dyDescent="0.35">
      <c r="B6" s="72"/>
      <c r="C6" s="2"/>
      <c r="D6" s="3"/>
      <c r="E6" s="3"/>
      <c r="F6" s="3"/>
      <c r="G6" s="3"/>
      <c r="H6" s="51" t="b">
        <v>0</v>
      </c>
      <c r="I6" s="53">
        <f>IF(H6,3,0)</f>
        <v>0</v>
      </c>
      <c r="K6" s="76"/>
      <c r="L6" s="4"/>
      <c r="M6" s="5"/>
      <c r="N6" s="5"/>
      <c r="O6" s="5"/>
      <c r="P6" s="54"/>
      <c r="Q6" s="63"/>
      <c r="R6" s="63"/>
      <c r="T6" s="69"/>
      <c r="U6" s="69"/>
      <c r="V6" s="11" t="s">
        <v>29</v>
      </c>
      <c r="W6" s="11" t="s">
        <v>30</v>
      </c>
    </row>
    <row r="7" spans="2:23" ht="15" customHeight="1" x14ac:dyDescent="0.35">
      <c r="B7" s="72"/>
      <c r="C7" s="4"/>
      <c r="D7" s="5"/>
      <c r="E7" s="5"/>
      <c r="F7" s="5"/>
      <c r="G7" s="5"/>
      <c r="H7" s="52"/>
      <c r="I7" s="54"/>
      <c r="K7" s="76"/>
      <c r="L7" s="2"/>
      <c r="M7" s="3"/>
      <c r="N7" s="3"/>
      <c r="O7" s="3"/>
      <c r="P7" s="53">
        <v>4</v>
      </c>
      <c r="Q7" s="63"/>
      <c r="R7" s="63"/>
      <c r="T7" s="69"/>
      <c r="U7" s="69"/>
      <c r="V7" s="11" t="s">
        <v>31</v>
      </c>
      <c r="W7" s="11" t="s">
        <v>32</v>
      </c>
    </row>
    <row r="8" spans="2:23" ht="15" customHeight="1" x14ac:dyDescent="0.35">
      <c r="B8" s="72"/>
      <c r="C8" s="2"/>
      <c r="D8" s="3"/>
      <c r="E8" s="3"/>
      <c r="F8" s="3"/>
      <c r="G8" s="3"/>
      <c r="H8" s="51" t="b">
        <v>0</v>
      </c>
      <c r="I8" s="53">
        <f>IF(H8,1,0)</f>
        <v>0</v>
      </c>
      <c r="K8" s="76"/>
      <c r="L8" s="4"/>
      <c r="M8" s="5"/>
      <c r="N8" s="5"/>
      <c r="O8" s="5"/>
      <c r="P8" s="54"/>
      <c r="Q8" s="63"/>
      <c r="R8" s="63"/>
      <c r="T8" s="70"/>
      <c r="U8" s="70"/>
      <c r="V8" s="12" t="s">
        <v>33</v>
      </c>
      <c r="W8" s="12" t="s">
        <v>34</v>
      </c>
    </row>
    <row r="9" spans="2:23" ht="15" customHeight="1" x14ac:dyDescent="0.35">
      <c r="B9" s="72"/>
      <c r="C9" s="4"/>
      <c r="D9" s="5"/>
      <c r="E9" s="5"/>
      <c r="F9" s="5"/>
      <c r="G9" s="5"/>
      <c r="H9" s="52"/>
      <c r="I9" s="54"/>
      <c r="K9" s="76"/>
      <c r="L9" s="2"/>
      <c r="M9" s="3"/>
      <c r="N9" s="3"/>
      <c r="O9" s="3"/>
      <c r="P9" s="53">
        <v>2</v>
      </c>
      <c r="Q9" s="63"/>
      <c r="R9" s="63"/>
      <c r="T9" s="23"/>
      <c r="U9" s="23"/>
    </row>
    <row r="10" spans="2:23" ht="15" customHeight="1" x14ac:dyDescent="0.35">
      <c r="B10" s="72"/>
      <c r="C10" s="2"/>
      <c r="D10" s="3"/>
      <c r="E10" s="3"/>
      <c r="F10" s="3"/>
      <c r="G10" s="3"/>
      <c r="H10" s="51" t="b">
        <v>0</v>
      </c>
      <c r="I10" s="53">
        <f>IF(H10,2,0)</f>
        <v>0</v>
      </c>
      <c r="K10" s="77"/>
      <c r="L10" s="4"/>
      <c r="M10" s="5"/>
      <c r="N10" s="5"/>
      <c r="O10" s="5"/>
      <c r="P10" s="54"/>
      <c r="Q10" s="64"/>
      <c r="R10" s="64"/>
      <c r="T10" s="23"/>
      <c r="U10" s="23"/>
    </row>
    <row r="11" spans="2:23" x14ac:dyDescent="0.35">
      <c r="B11" s="72"/>
      <c r="C11" s="4"/>
      <c r="D11" s="5"/>
      <c r="E11" s="5"/>
      <c r="F11" s="5"/>
      <c r="G11" s="5"/>
      <c r="H11" s="52"/>
      <c r="I11" s="54"/>
    </row>
    <row r="12" spans="2:23" x14ac:dyDescent="0.35">
      <c r="B12" s="72"/>
      <c r="C12" s="2"/>
      <c r="D12" s="3"/>
      <c r="E12" s="3"/>
      <c r="F12" s="3"/>
      <c r="G12" s="3"/>
      <c r="H12" s="51" t="b">
        <v>0</v>
      </c>
      <c r="I12" s="53">
        <f>IF(H12,3,0)</f>
        <v>0</v>
      </c>
      <c r="K12" s="13"/>
    </row>
    <row r="13" spans="2:23" x14ac:dyDescent="0.35">
      <c r="B13" s="72"/>
      <c r="C13" s="4"/>
      <c r="D13" s="5"/>
      <c r="E13" s="5"/>
      <c r="F13" s="5"/>
      <c r="G13" s="5"/>
      <c r="H13" s="52"/>
      <c r="I13" s="54"/>
      <c r="K13" s="13"/>
    </row>
    <row r="14" spans="2:23" x14ac:dyDescent="0.35">
      <c r="B14" s="72"/>
      <c r="C14" s="6"/>
      <c r="D14" s="6"/>
      <c r="E14" s="6"/>
      <c r="F14" s="6"/>
      <c r="G14" s="6"/>
      <c r="H14" s="55" t="b">
        <v>0</v>
      </c>
      <c r="I14" s="56">
        <f>IF(H14,3,0)</f>
        <v>0</v>
      </c>
      <c r="K14" s="13"/>
    </row>
    <row r="15" spans="2:23" x14ac:dyDescent="0.35">
      <c r="B15" s="72"/>
      <c r="C15" s="5"/>
      <c r="D15" s="5"/>
      <c r="E15" s="5"/>
      <c r="F15" s="5"/>
      <c r="G15" s="5"/>
      <c r="H15" s="52"/>
      <c r="I15" s="54"/>
    </row>
    <row r="16" spans="2:23" ht="15" customHeight="1" x14ac:dyDescent="0.35">
      <c r="B16" s="72"/>
      <c r="C16" s="88" t="s">
        <v>39</v>
      </c>
      <c r="D16" s="89"/>
      <c r="E16" s="89"/>
      <c r="F16" s="89"/>
      <c r="G16" s="89"/>
      <c r="H16" s="90"/>
      <c r="I16" s="16"/>
    </row>
    <row r="17" spans="2:9" x14ac:dyDescent="0.35">
      <c r="B17" s="72"/>
      <c r="C17" s="91"/>
      <c r="D17" s="92"/>
      <c r="E17" s="92"/>
      <c r="F17" s="92"/>
      <c r="G17" s="92"/>
      <c r="H17" s="93"/>
      <c r="I17" s="17"/>
    </row>
    <row r="18" spans="2:9" x14ac:dyDescent="0.35">
      <c r="B18" s="73"/>
      <c r="C18" s="57" t="s">
        <v>35</v>
      </c>
      <c r="D18" s="58"/>
      <c r="E18" s="58"/>
      <c r="F18" s="58"/>
      <c r="G18" s="58"/>
      <c r="H18" s="59"/>
      <c r="I18" s="7">
        <f>SUM(I4:I15)</f>
        <v>0</v>
      </c>
    </row>
    <row r="19" spans="2:9" ht="15" customHeight="1" x14ac:dyDescent="0.35"/>
    <row r="24" spans="2:9" ht="15" customHeight="1" x14ac:dyDescent="0.35"/>
  </sheetData>
  <mergeCells count="29">
    <mergeCell ref="H10:H11"/>
    <mergeCell ref="C18:H18"/>
    <mergeCell ref="I10:I11"/>
    <mergeCell ref="H12:H13"/>
    <mergeCell ref="I12:I13"/>
    <mergeCell ref="H14:H15"/>
    <mergeCell ref="I14:I15"/>
    <mergeCell ref="C16:H17"/>
    <mergeCell ref="I4:I5"/>
    <mergeCell ref="H6:H7"/>
    <mergeCell ref="I6:I7"/>
    <mergeCell ref="H8:H9"/>
    <mergeCell ref="I8:I9"/>
    <mergeCell ref="T2:T8"/>
    <mergeCell ref="U2:U8"/>
    <mergeCell ref="V2:V3"/>
    <mergeCell ref="W2:W3"/>
    <mergeCell ref="C3:I3"/>
    <mergeCell ref="K3:K10"/>
    <mergeCell ref="P3:P4"/>
    <mergeCell ref="Q3:Q10"/>
    <mergeCell ref="P9:P10"/>
    <mergeCell ref="R3:R10"/>
    <mergeCell ref="P5:P6"/>
    <mergeCell ref="P7:P8"/>
    <mergeCell ref="B2:I2"/>
    <mergeCell ref="K2:R2"/>
    <mergeCell ref="B4:B18"/>
    <mergeCell ref="H4:H5"/>
  </mergeCells>
  <conditionalFormatting sqref="W4">
    <cfRule type="expression" dxfId="9" priority="5">
      <formula>$U$2&lt;15</formula>
    </cfRule>
  </conditionalFormatting>
  <conditionalFormatting sqref="W5">
    <cfRule type="expression" dxfId="8" priority="4">
      <formula>($U$2&gt;15)*($U$2&lt;=20)</formula>
    </cfRule>
  </conditionalFormatting>
  <conditionalFormatting sqref="W6">
    <cfRule type="expression" dxfId="7" priority="3">
      <formula>($U$2&gt;20)*($U$2&lt;=50)</formula>
    </cfRule>
  </conditionalFormatting>
  <conditionalFormatting sqref="W7">
    <cfRule type="expression" dxfId="6" priority="2">
      <formula>($U$2&gt;50)*($U$2&lt;=160)</formula>
    </cfRule>
  </conditionalFormatting>
  <conditionalFormatting sqref="W8">
    <cfRule type="expression" dxfId="5" priority="1">
      <formula>$U$2&gt;160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4" name="Option Button 7">
              <controlPr defaultSize="0" autoFill="0" autoLine="0" autoPict="0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Option Button 8">
              <controlPr defaultSize="0" autoFill="0" autoLine="0" autoPict="0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14</xdr:col>
                    <xdr:colOff>514350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6" name="Option Button 9">
              <controlPr defaultSize="0" autoFill="0" autoLine="0" autoPict="0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7" name="Option Button 10">
              <controlPr defaultSize="0" autoFill="0" autoLine="0" autoPict="0">
                <anchor mov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8" name="Check Box 11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8</xdr:col>
                    <xdr:colOff>19050</xdr:colOff>
                    <xdr:row>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9" name="Check Box 12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8</xdr:col>
                    <xdr:colOff>19050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0" name="Check Box 13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8</xdr:col>
                    <xdr:colOff>19050</xdr:colOff>
                    <xdr:row>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1" name="Check Box 14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8</xdr:col>
                    <xdr:colOff>19050</xdr:colOff>
                    <xdr:row>10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2" name="Check Box 15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8</xdr:col>
                    <xdr:colOff>19050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3" name="Check Box 16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8</xdr:col>
                    <xdr:colOff>19050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A562C-73D3-47A8-8964-96BEA2419B31}">
  <sheetPr codeName="Foglio10"/>
  <dimension ref="B2:W24"/>
  <sheetViews>
    <sheetView zoomScale="90" zoomScaleNormal="90" workbookViewId="0"/>
  </sheetViews>
  <sheetFormatPr defaultRowHeight="14.5" x14ac:dyDescent="0.35"/>
  <cols>
    <col min="1" max="1" width="2.7265625" customWidth="1"/>
    <col min="2" max="2" width="18.7265625" customWidth="1"/>
    <col min="8" max="8" width="9.1796875" hidden="1" customWidth="1"/>
    <col min="10" max="10" width="2.7265625" customWidth="1"/>
    <col min="17" max="17" width="9.1796875" hidden="1" customWidth="1"/>
    <col min="19" max="19" width="2.7265625" customWidth="1"/>
    <col min="22" max="22" width="50.7265625" customWidth="1"/>
    <col min="23" max="23" width="18.453125" customWidth="1"/>
  </cols>
  <sheetData>
    <row r="2" spans="2:23" ht="22.5" x14ac:dyDescent="0.45">
      <c r="B2" s="65" t="s">
        <v>20</v>
      </c>
      <c r="C2" s="66"/>
      <c r="D2" s="66"/>
      <c r="E2" s="66"/>
      <c r="F2" s="66"/>
      <c r="G2" s="66"/>
      <c r="H2" s="66"/>
      <c r="I2" s="67"/>
      <c r="K2" s="65" t="s">
        <v>21</v>
      </c>
      <c r="L2" s="66"/>
      <c r="M2" s="66"/>
      <c r="N2" s="66"/>
      <c r="O2" s="66"/>
      <c r="P2" s="66"/>
      <c r="Q2" s="66"/>
      <c r="R2" s="67"/>
      <c r="S2" s="8"/>
      <c r="T2" s="68" t="s">
        <v>5</v>
      </c>
      <c r="U2" s="68">
        <f>R3*I20</f>
        <v>0</v>
      </c>
      <c r="V2" s="74" t="s">
        <v>22</v>
      </c>
      <c r="W2" s="60" t="s">
        <v>23</v>
      </c>
    </row>
    <row r="3" spans="2:23" ht="15" customHeight="1" x14ac:dyDescent="0.35">
      <c r="B3" s="1" t="s">
        <v>4</v>
      </c>
      <c r="C3" s="78" t="s">
        <v>38</v>
      </c>
      <c r="D3" s="78"/>
      <c r="E3" s="78"/>
      <c r="F3" s="78"/>
      <c r="G3" s="78"/>
      <c r="H3" s="78"/>
      <c r="I3" s="79"/>
      <c r="K3" s="75" t="s">
        <v>21</v>
      </c>
      <c r="L3" s="2"/>
      <c r="M3" s="3"/>
      <c r="N3" s="3"/>
      <c r="O3" s="3"/>
      <c r="P3" s="53">
        <v>20</v>
      </c>
      <c r="Q3" s="62">
        <v>4</v>
      </c>
      <c r="R3" s="62">
        <f>CHOOSE(Q3,20,10,4,2)</f>
        <v>2</v>
      </c>
      <c r="T3" s="69"/>
      <c r="U3" s="69"/>
      <c r="V3" s="61"/>
      <c r="W3" s="61"/>
    </row>
    <row r="4" spans="2:23" ht="15" customHeight="1" x14ac:dyDescent="0.35">
      <c r="B4" s="71" t="s">
        <v>10</v>
      </c>
      <c r="C4" s="2"/>
      <c r="D4" s="3"/>
      <c r="E4" s="3"/>
      <c r="F4" s="3"/>
      <c r="G4" s="3"/>
      <c r="H4" s="51" t="b">
        <v>0</v>
      </c>
      <c r="I4" s="53">
        <f>IF(H4,1,0)</f>
        <v>0</v>
      </c>
      <c r="K4" s="76"/>
      <c r="L4" s="4"/>
      <c r="M4" s="5"/>
      <c r="N4" s="5"/>
      <c r="O4" s="5"/>
      <c r="P4" s="54"/>
      <c r="Q4" s="63"/>
      <c r="R4" s="63"/>
      <c r="T4" s="69"/>
      <c r="U4" s="69"/>
      <c r="V4" s="9" t="s">
        <v>25</v>
      </c>
      <c r="W4" s="10" t="s">
        <v>26</v>
      </c>
    </row>
    <row r="5" spans="2:23" ht="15" customHeight="1" x14ac:dyDescent="0.35">
      <c r="B5" s="72"/>
      <c r="C5" s="4"/>
      <c r="D5" s="5"/>
      <c r="E5" s="5"/>
      <c r="F5" s="5"/>
      <c r="G5" s="5"/>
      <c r="H5" s="52"/>
      <c r="I5" s="54"/>
      <c r="K5" s="76"/>
      <c r="L5" s="2"/>
      <c r="M5" s="3"/>
      <c r="N5" s="3"/>
      <c r="O5" s="3"/>
      <c r="P5" s="53">
        <v>10</v>
      </c>
      <c r="Q5" s="63"/>
      <c r="R5" s="63"/>
      <c r="T5" s="69"/>
      <c r="U5" s="69"/>
      <c r="V5" s="11" t="s">
        <v>27</v>
      </c>
      <c r="W5" s="11" t="s">
        <v>28</v>
      </c>
    </row>
    <row r="6" spans="2:23" ht="15" customHeight="1" x14ac:dyDescent="0.35">
      <c r="B6" s="72"/>
      <c r="C6" s="2"/>
      <c r="D6" s="3"/>
      <c r="E6" s="3"/>
      <c r="F6" s="3"/>
      <c r="G6" s="3"/>
      <c r="H6" s="51" t="b">
        <v>0</v>
      </c>
      <c r="I6" s="53">
        <f>IF(H6,2,0)</f>
        <v>0</v>
      </c>
      <c r="K6" s="76"/>
      <c r="L6" s="4"/>
      <c r="M6" s="5"/>
      <c r="N6" s="5"/>
      <c r="O6" s="5"/>
      <c r="P6" s="54"/>
      <c r="Q6" s="63"/>
      <c r="R6" s="63"/>
      <c r="T6" s="69"/>
      <c r="U6" s="69"/>
      <c r="V6" s="11" t="s">
        <v>29</v>
      </c>
      <c r="W6" s="11" t="s">
        <v>30</v>
      </c>
    </row>
    <row r="7" spans="2:23" ht="15" customHeight="1" x14ac:dyDescent="0.35">
      <c r="B7" s="72"/>
      <c r="C7" s="4"/>
      <c r="D7" s="5"/>
      <c r="E7" s="5"/>
      <c r="F7" s="5"/>
      <c r="G7" s="5"/>
      <c r="H7" s="52"/>
      <c r="I7" s="54"/>
      <c r="K7" s="76"/>
      <c r="L7" s="2"/>
      <c r="M7" s="3"/>
      <c r="N7" s="3"/>
      <c r="O7" s="3"/>
      <c r="P7" s="53">
        <v>4</v>
      </c>
      <c r="Q7" s="63"/>
      <c r="R7" s="63"/>
      <c r="T7" s="69"/>
      <c r="U7" s="69"/>
      <c r="V7" s="11" t="s">
        <v>31</v>
      </c>
      <c r="W7" s="11" t="s">
        <v>32</v>
      </c>
    </row>
    <row r="8" spans="2:23" ht="15" customHeight="1" x14ac:dyDescent="0.35">
      <c r="B8" s="72"/>
      <c r="C8" s="2"/>
      <c r="D8" s="3"/>
      <c r="E8" s="3"/>
      <c r="F8" s="3"/>
      <c r="G8" s="3"/>
      <c r="H8" s="51" t="b">
        <v>0</v>
      </c>
      <c r="I8" s="53">
        <f>IF(H8,2,0)</f>
        <v>0</v>
      </c>
      <c r="K8" s="76"/>
      <c r="L8" s="4"/>
      <c r="M8" s="5"/>
      <c r="N8" s="5"/>
      <c r="O8" s="5"/>
      <c r="P8" s="54"/>
      <c r="Q8" s="63"/>
      <c r="R8" s="63"/>
      <c r="T8" s="70"/>
      <c r="U8" s="70"/>
      <c r="V8" s="12" t="s">
        <v>33</v>
      </c>
      <c r="W8" s="12" t="s">
        <v>34</v>
      </c>
    </row>
    <row r="9" spans="2:23" ht="15" customHeight="1" x14ac:dyDescent="0.35">
      <c r="B9" s="72"/>
      <c r="C9" s="4"/>
      <c r="D9" s="5"/>
      <c r="E9" s="5"/>
      <c r="F9" s="5"/>
      <c r="G9" s="5"/>
      <c r="H9" s="52"/>
      <c r="I9" s="54"/>
      <c r="K9" s="76"/>
      <c r="L9" s="2"/>
      <c r="M9" s="3"/>
      <c r="N9" s="3"/>
      <c r="O9" s="3"/>
      <c r="P9" s="53">
        <v>2</v>
      </c>
      <c r="Q9" s="63"/>
      <c r="R9" s="63"/>
      <c r="T9" s="23"/>
      <c r="U9" s="23"/>
    </row>
    <row r="10" spans="2:23" ht="15" customHeight="1" x14ac:dyDescent="0.35">
      <c r="B10" s="72"/>
      <c r="C10" s="2"/>
      <c r="D10" s="3"/>
      <c r="E10" s="3"/>
      <c r="F10" s="3"/>
      <c r="G10" s="3"/>
      <c r="H10" s="51" t="b">
        <v>0</v>
      </c>
      <c r="I10" s="53">
        <f>IF(H10,3,0)</f>
        <v>0</v>
      </c>
      <c r="K10" s="77"/>
      <c r="L10" s="4"/>
      <c r="M10" s="5"/>
      <c r="N10" s="5"/>
      <c r="O10" s="5"/>
      <c r="P10" s="54"/>
      <c r="Q10" s="64"/>
      <c r="R10" s="64"/>
      <c r="T10" s="23"/>
      <c r="U10" s="23"/>
    </row>
    <row r="11" spans="2:23" x14ac:dyDescent="0.35">
      <c r="B11" s="72"/>
      <c r="C11" s="4"/>
      <c r="D11" s="5"/>
      <c r="E11" s="5"/>
      <c r="F11" s="5"/>
      <c r="G11" s="5"/>
      <c r="H11" s="52"/>
      <c r="I11" s="54"/>
    </row>
    <row r="12" spans="2:23" x14ac:dyDescent="0.35">
      <c r="B12" s="72"/>
      <c r="C12" s="2"/>
      <c r="D12" s="3"/>
      <c r="E12" s="3"/>
      <c r="F12" s="3"/>
      <c r="G12" s="3"/>
      <c r="H12" s="51" t="b">
        <v>0</v>
      </c>
      <c r="I12" s="53">
        <f>IF(H12,1,0)</f>
        <v>0</v>
      </c>
      <c r="K12" s="13"/>
    </row>
    <row r="13" spans="2:23" x14ac:dyDescent="0.35">
      <c r="B13" s="72"/>
      <c r="C13" s="4"/>
      <c r="D13" s="5"/>
      <c r="E13" s="5"/>
      <c r="F13" s="5"/>
      <c r="G13" s="5"/>
      <c r="H13" s="52"/>
      <c r="I13" s="54"/>
      <c r="K13" s="13"/>
    </row>
    <row r="14" spans="2:23" x14ac:dyDescent="0.35">
      <c r="B14" s="72"/>
      <c r="C14" s="2"/>
      <c r="D14" s="3"/>
      <c r="E14" s="3"/>
      <c r="F14" s="3"/>
      <c r="G14" s="3"/>
      <c r="H14" s="51" t="b">
        <v>0</v>
      </c>
      <c r="I14" s="53">
        <f>IF(H14,2,0)</f>
        <v>0</v>
      </c>
      <c r="K14" s="13"/>
    </row>
    <row r="15" spans="2:23" x14ac:dyDescent="0.35">
      <c r="B15" s="72"/>
      <c r="C15" s="4"/>
      <c r="D15" s="5"/>
      <c r="E15" s="5"/>
      <c r="F15" s="5"/>
      <c r="G15" s="5"/>
      <c r="H15" s="52"/>
      <c r="I15" s="54"/>
    </row>
    <row r="16" spans="2:23" ht="15" customHeight="1" x14ac:dyDescent="0.35">
      <c r="B16" s="72"/>
      <c r="C16" s="2"/>
      <c r="D16" s="3"/>
      <c r="E16" s="3"/>
      <c r="F16" s="3"/>
      <c r="G16" s="3"/>
      <c r="H16" s="51" t="b">
        <v>0</v>
      </c>
      <c r="I16" s="53">
        <f>IF(H16,3,0)</f>
        <v>0</v>
      </c>
    </row>
    <row r="17" spans="2:9" x14ac:dyDescent="0.35">
      <c r="B17" s="72"/>
      <c r="C17" s="4"/>
      <c r="D17" s="5"/>
      <c r="E17" s="5"/>
      <c r="F17" s="5"/>
      <c r="G17" s="5"/>
      <c r="H17" s="52"/>
      <c r="I17" s="54"/>
    </row>
    <row r="18" spans="2:9" x14ac:dyDescent="0.35">
      <c r="B18" s="72"/>
      <c r="C18" s="6"/>
      <c r="D18" s="6"/>
      <c r="E18" s="6"/>
      <c r="F18" s="6"/>
      <c r="G18" s="6"/>
      <c r="H18" s="55" t="b">
        <v>0</v>
      </c>
      <c r="I18" s="56">
        <f>IF(H18,3,0)</f>
        <v>0</v>
      </c>
    </row>
    <row r="19" spans="2:9" ht="15" customHeight="1" x14ac:dyDescent="0.35">
      <c r="B19" s="72"/>
      <c r="C19" s="5"/>
      <c r="D19" s="5"/>
      <c r="E19" s="5"/>
      <c r="F19" s="5"/>
      <c r="G19" s="5"/>
      <c r="H19" s="52"/>
      <c r="I19" s="54"/>
    </row>
    <row r="20" spans="2:9" x14ac:dyDescent="0.35">
      <c r="B20" s="73"/>
      <c r="C20" s="57" t="s">
        <v>35</v>
      </c>
      <c r="D20" s="58"/>
      <c r="E20" s="58"/>
      <c r="F20" s="58"/>
      <c r="G20" s="58"/>
      <c r="H20" s="59"/>
      <c r="I20" s="7">
        <f>SUM(I4:I19)</f>
        <v>0</v>
      </c>
    </row>
    <row r="24" spans="2:9" ht="15" customHeight="1" x14ac:dyDescent="0.35"/>
  </sheetData>
  <mergeCells count="32">
    <mergeCell ref="H10:H11"/>
    <mergeCell ref="I10:I11"/>
    <mergeCell ref="H18:H19"/>
    <mergeCell ref="I18:I19"/>
    <mergeCell ref="C20:H20"/>
    <mergeCell ref="H12:H13"/>
    <mergeCell ref="I12:I13"/>
    <mergeCell ref="H14:H15"/>
    <mergeCell ref="I14:I15"/>
    <mergeCell ref="H16:H17"/>
    <mergeCell ref="I16:I17"/>
    <mergeCell ref="I4:I5"/>
    <mergeCell ref="H6:H7"/>
    <mergeCell ref="I6:I7"/>
    <mergeCell ref="H8:H9"/>
    <mergeCell ref="I8:I9"/>
    <mergeCell ref="T2:T8"/>
    <mergeCell ref="U2:U8"/>
    <mergeCell ref="V2:V3"/>
    <mergeCell ref="W2:W3"/>
    <mergeCell ref="C3:I3"/>
    <mergeCell ref="K3:K10"/>
    <mergeCell ref="P3:P4"/>
    <mergeCell ref="Q3:Q10"/>
    <mergeCell ref="P9:P10"/>
    <mergeCell ref="R3:R10"/>
    <mergeCell ref="P5:P6"/>
    <mergeCell ref="P7:P8"/>
    <mergeCell ref="B2:I2"/>
    <mergeCell ref="K2:R2"/>
    <mergeCell ref="B4:B20"/>
    <mergeCell ref="H4:H5"/>
  </mergeCells>
  <conditionalFormatting sqref="W4">
    <cfRule type="expression" dxfId="4" priority="5">
      <formula>$U$2&lt;15</formula>
    </cfRule>
  </conditionalFormatting>
  <conditionalFormatting sqref="W5">
    <cfRule type="expression" dxfId="3" priority="4">
      <formula>($U$2&gt;15)*($U$2&lt;=20)</formula>
    </cfRule>
  </conditionalFormatting>
  <conditionalFormatting sqref="W6">
    <cfRule type="expression" dxfId="2" priority="3">
      <formula>($U$2&gt;20)*($U$2&lt;=50)</formula>
    </cfRule>
  </conditionalFormatting>
  <conditionalFormatting sqref="W7">
    <cfRule type="expression" dxfId="1" priority="2">
      <formula>($U$2&gt;50)*($U$2&lt;=160)</formula>
    </cfRule>
  </conditionalFormatting>
  <conditionalFormatting sqref="W8">
    <cfRule type="expression" dxfId="0" priority="1">
      <formula>$U$2&gt;160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9" r:id="rId4" name="Option Button 7">
              <controlPr defaultSize="0" autoFill="0" autoLine="0" autoPict="0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Option Button 8">
              <controlPr defaultSize="0" autoFill="0" autoLine="0" autoPict="0">
                <anchor moveWithCells="1"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14</xdr:col>
                    <xdr:colOff>514350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6" name="Option Button 9">
              <controlPr defaultSize="0" autoFill="0" autoLine="0" autoPict="0">
                <anchor mov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7" name="Option Button 10">
              <controlPr defaultSize="0" autoFill="0" autoLine="0" autoPict="0">
                <anchor moveWithCells="1">
                  <from>
                    <xdr:col>11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8" name="Check Box 17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8</xdr:col>
                    <xdr:colOff>19050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9" name="Check Box 18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8</xdr:col>
                    <xdr:colOff>19050</xdr:colOff>
                    <xdr:row>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10" name="Check Box 19">
              <controlPr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8</xdr:col>
                    <xdr:colOff>19050</xdr:colOff>
                    <xdr:row>10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11" name="Check Box 20">
              <controlPr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8</xdr:col>
                    <xdr:colOff>19050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12" name="Check Box 21">
              <controlPr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8</xdr:col>
                    <xdr:colOff>19050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3" name="Check Box 22">
              <controlPr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8</xdr:col>
                    <xdr:colOff>19050</xdr:colOff>
                    <xdr:row>16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14" name="Check Box 23">
              <controlPr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8</xdr:col>
                    <xdr:colOff>19050</xdr:colOff>
                    <xdr:row>18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5" name="Check Box 24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8</xdr:col>
                    <xdr:colOff>19050</xdr:colOff>
                    <xdr:row>4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3" ma:contentTypeDescription="Creare un nuovo documento." ma:contentTypeScope="" ma:versionID="85968c8a5930af966cb491cc87274750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d822db9e2d05bc620d08fbffa4bfffa8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F98E0F2-E878-4478-BF03-E3FF9255BFA0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9F0DCA5-D918-4972-BED0-691F587418F3}"/>
</file>

<file path=customXml/itemProps3.xml><?xml version="1.0" encoding="utf-8"?>
<ds:datastoreItem xmlns:ds="http://schemas.openxmlformats.org/officeDocument/2006/customXml" ds:itemID="{311C4219-8C73-4BBB-AA96-F85B19535BF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Summary</vt:lpstr>
      <vt:lpstr>Lateral Rotordynamic Analysis 1</vt:lpstr>
      <vt:lpstr>Lateral Rotordynamic Analysis 2</vt:lpstr>
      <vt:lpstr>Lateral Rotordynamic Analysis 3</vt:lpstr>
      <vt:lpstr>Torsional Rotordynamic An. 1</vt:lpstr>
      <vt:lpstr>Torsional Rotordynamic An. 2</vt:lpstr>
      <vt:lpstr>Torsional Rotordynamic An. 3</vt:lpstr>
      <vt:lpstr>Structural Dynamic Analysis 1</vt:lpstr>
      <vt:lpstr>Structural Dynamic Analysis 2</vt:lpstr>
      <vt:lpstr>Structural Dynamic Analysis 3</vt:lpstr>
    </vt:vector>
  </TitlesOfParts>
  <Manager/>
  <Company>TM.P. SpA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Fabrizio Cademartori</dc:creator>
  <cp:keywords/>
  <dc:description/>
  <cp:lastModifiedBy>Carmine Delli Quadri</cp:lastModifiedBy>
  <cp:revision/>
  <dcterms:created xsi:type="dcterms:W3CDTF">2021-10-26T08:57:24Z</dcterms:created>
  <dcterms:modified xsi:type="dcterms:W3CDTF">2023-07-07T14:11:14Z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0x0101003FF5BB9810E8454BA2B38D00B6D18848</vt:lpwstr>
  </property>
</Properties>
</file>