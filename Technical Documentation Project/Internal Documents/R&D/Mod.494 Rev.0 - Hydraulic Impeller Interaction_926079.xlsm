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Questa_cartella_di_lavoro" defaultThemeVersion="124226"/>
  <xr:revisionPtr revIDLastSave="0" documentId="13_ncr:1_{93F43718-184C-482A-AFD5-9733091D4A86}" xr6:coauthVersionLast="47" xr6:coauthVersionMax="47" xr10:uidLastSave="{00000000-0000-0000-0000-000000000000}"/>
  <bookViews>
    <workbookView xWindow="-19320" yWindow="-120" windowWidth="19440" windowHeight="15000" xr2:uid="{00000000-000D-0000-FFFF-FFFF00000000}"/>
  </bookViews>
  <sheets>
    <sheet name="content" sheetId="11" r:id="rId1"/>
    <sheet name="Impeller Interaction" sheetId="15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content!$A$1:$AD$47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>#REF!</definedName>
    <definedName name="Impeller_Eye_Diameter" localSheetId="0">#REF!</definedName>
    <definedName name="Impeller_Eye_Diameter">#REF!</definedName>
    <definedName name="Impeller_Hub_Diameter" localSheetId="0">#REF!</definedName>
    <definedName name="Impeller_Hub_Diameter">#REF!</definedName>
    <definedName name="Impeller_Inlet_Diameter" localSheetId="0">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5" l="1" a="1"/>
  <c r="H6" i="15"/>
  <c r="C47" i="15"/>
  <c r="N30" i="15"/>
  <c r="O30" i="15"/>
  <c r="O29" i="15"/>
  <c r="O48" i="15"/>
  <c r="P48" i="15"/>
  <c r="O49" i="15"/>
  <c r="P49" i="15"/>
  <c r="B12" i="15"/>
  <c r="B23" i="15"/>
  <c r="H4" i="15" a="1"/>
  <c r="H4" i="15"/>
  <c r="B10" i="15"/>
  <c r="B22" i="15"/>
  <c r="H3" i="15" a="1"/>
  <c r="H3" i="15"/>
  <c r="P29" i="15"/>
  <c r="P30" i="15"/>
  <c r="B14" i="15"/>
  <c r="H7" i="15" a="1"/>
  <c r="H7" i="15"/>
  <c r="B16" i="15"/>
  <c r="B17" i="15"/>
  <c r="B24" i="15"/>
  <c r="H5" i="15" a="1"/>
  <c r="H5" i="15"/>
  <c r="B8" i="15"/>
  <c r="B21" i="15"/>
  <c r="H2" i="15" a="1"/>
  <c r="H2" i="15"/>
  <c r="J29" i="15"/>
  <c r="D29" i="15"/>
  <c r="E29" i="15"/>
  <c r="H29" i="15"/>
  <c r="I29" i="15"/>
  <c r="N29" i="15"/>
  <c r="G29" i="15"/>
  <c r="G30" i="15"/>
  <c r="J30" i="15"/>
  <c r="K29" i="15"/>
  <c r="K30" i="15"/>
  <c r="L29" i="15"/>
  <c r="L30" i="15"/>
  <c r="M29" i="15"/>
  <c r="M30" i="15"/>
  <c r="D30" i="15"/>
  <c r="E30" i="15"/>
  <c r="F29" i="15"/>
  <c r="F30" i="15"/>
  <c r="H30" i="15"/>
  <c r="I30" i="15"/>
  <c r="C29" i="15"/>
  <c r="C30" i="15"/>
  <c r="I11" i="15"/>
  <c r="B25" i="15"/>
  <c r="J7" i="15"/>
  <c r="I7" i="15"/>
  <c r="E48" i="15"/>
  <c r="D48" i="15"/>
  <c r="F48" i="15"/>
  <c r="G48" i="15"/>
  <c r="H48" i="15"/>
  <c r="I48" i="15"/>
  <c r="J48" i="15"/>
  <c r="K48" i="15"/>
  <c r="L48" i="15"/>
  <c r="M48" i="15"/>
  <c r="N48" i="15"/>
  <c r="C48" i="15"/>
  <c r="C49" i="15"/>
  <c r="L49" i="15"/>
  <c r="J49" i="15"/>
  <c r="E49" i="15"/>
  <c r="N49" i="15"/>
  <c r="M49" i="15"/>
  <c r="G49" i="15"/>
  <c r="K49" i="15"/>
  <c r="I49" i="15"/>
  <c r="H49" i="15"/>
  <c r="F49" i="15"/>
  <c r="D49" i="15"/>
  <c r="K34" i="15"/>
  <c r="K40" i="15"/>
  <c r="G33" i="15"/>
  <c r="G39" i="15"/>
  <c r="D36" i="15"/>
  <c r="D42" i="15"/>
  <c r="C33" i="15"/>
  <c r="C39" i="15"/>
  <c r="N31" i="15"/>
  <c r="G32" i="15"/>
  <c r="H33" i="15"/>
  <c r="H39" i="15"/>
  <c r="L31" i="15"/>
  <c r="I32" i="15"/>
  <c r="I33" i="15"/>
  <c r="I39" i="15"/>
  <c r="K35" i="15"/>
  <c r="K41" i="15"/>
  <c r="H32" i="15"/>
  <c r="E36" i="15"/>
  <c r="E42" i="15"/>
  <c r="C34" i="15"/>
  <c r="C40" i="15"/>
  <c r="F36" i="15"/>
  <c r="F42" i="15"/>
  <c r="I31" i="15"/>
  <c r="D35" i="15"/>
  <c r="D41" i="15"/>
  <c r="N35" i="15"/>
  <c r="N41" i="15"/>
  <c r="E32" i="15"/>
  <c r="J32" i="15"/>
  <c r="G34" i="15"/>
  <c r="G40" i="15"/>
  <c r="F34" i="15"/>
  <c r="F40" i="15"/>
  <c r="P36" i="15"/>
  <c r="P42" i="15"/>
  <c r="E34" i="15"/>
  <c r="E40" i="15"/>
  <c r="F32" i="15"/>
  <c r="J33" i="15"/>
  <c r="J39" i="15"/>
  <c r="G36" i="15"/>
  <c r="G42" i="15"/>
  <c r="I34" i="15"/>
  <c r="I40" i="15"/>
  <c r="C36" i="15"/>
  <c r="C42" i="15"/>
  <c r="C35" i="15"/>
  <c r="C41" i="15"/>
  <c r="O34" i="15"/>
  <c r="O40" i="15"/>
  <c r="E35" i="15"/>
  <c r="E41" i="15"/>
  <c r="C31" i="15"/>
  <c r="O35" i="15"/>
  <c r="O41" i="15"/>
  <c r="L34" i="15"/>
  <c r="L40" i="15"/>
  <c r="M36" i="15"/>
  <c r="M42" i="15"/>
  <c r="M35" i="15"/>
  <c r="M41" i="15"/>
  <c r="O31" i="15"/>
  <c r="K32" i="15"/>
  <c r="K33" i="15"/>
  <c r="K39" i="15"/>
  <c r="H36" i="15"/>
  <c r="H42" i="15"/>
  <c r="M33" i="15"/>
  <c r="M39" i="15"/>
  <c r="K36" i="15"/>
  <c r="K42" i="15"/>
  <c r="E31" i="15"/>
  <c r="H34" i="15"/>
  <c r="H40" i="15"/>
  <c r="N34" i="15"/>
  <c r="N40" i="15"/>
  <c r="G31" i="15"/>
  <c r="H31" i="15"/>
  <c r="D32" i="15"/>
  <c r="J34" i="15"/>
  <c r="J40" i="15"/>
  <c r="J36" i="15"/>
  <c r="J42" i="15"/>
  <c r="P33" i="15"/>
  <c r="P39" i="15"/>
  <c r="E33" i="15"/>
  <c r="E39" i="15"/>
  <c r="F31" i="15"/>
  <c r="C32" i="15"/>
  <c r="F33" i="15"/>
  <c r="F39" i="15"/>
  <c r="P31" i="15"/>
  <c r="L33" i="15"/>
  <c r="L39" i="15"/>
  <c r="I36" i="15"/>
  <c r="I42" i="15"/>
  <c r="P35" i="15"/>
  <c r="P41" i="15"/>
  <c r="J35" i="15"/>
  <c r="J41" i="15"/>
  <c r="P34" i="15"/>
  <c r="P40" i="15"/>
  <c r="I35" i="15"/>
  <c r="I41" i="15"/>
  <c r="K31" i="15"/>
  <c r="L32" i="15"/>
  <c r="N33" i="15"/>
  <c r="N39" i="15"/>
  <c r="P32" i="15"/>
  <c r="L35" i="15"/>
  <c r="L41" i="15"/>
  <c r="J31" i="15"/>
  <c r="H35" i="15"/>
  <c r="H41" i="15"/>
  <c r="F35" i="15"/>
  <c r="F41" i="15"/>
  <c r="O32" i="15"/>
  <c r="N32" i="15"/>
  <c r="N36" i="15"/>
  <c r="N42" i="15"/>
  <c r="D33" i="15"/>
  <c r="D39" i="15"/>
  <c r="M31" i="15"/>
  <c r="O33" i="15"/>
  <c r="O39" i="15"/>
  <c r="G35" i="15"/>
  <c r="G41" i="15"/>
  <c r="M34" i="15"/>
  <c r="M40" i="15"/>
  <c r="O36" i="15"/>
  <c r="O42" i="15"/>
  <c r="D31" i="15"/>
  <c r="M32" i="15"/>
  <c r="D34" i="15"/>
  <c r="D40" i="15"/>
  <c r="L36" i="15"/>
  <c r="L42" i="15"/>
  <c r="J38" i="15"/>
  <c r="J51" i="15"/>
  <c r="E38" i="15"/>
  <c r="E51" i="15"/>
  <c r="I37" i="15"/>
  <c r="I50" i="15"/>
  <c r="M38" i="15"/>
  <c r="M51" i="15"/>
  <c r="G37" i="15"/>
  <c r="G50" i="15"/>
  <c r="P37" i="15"/>
  <c r="P50" i="15"/>
  <c r="D38" i="15"/>
  <c r="D51" i="15"/>
  <c r="M37" i="15"/>
  <c r="M50" i="15"/>
  <c r="E37" i="15"/>
  <c r="E50" i="15"/>
  <c r="H38" i="15"/>
  <c r="H51" i="15"/>
  <c r="F51" i="15"/>
  <c r="F38" i="15"/>
  <c r="N51" i="15"/>
  <c r="N38" i="15"/>
  <c r="I38" i="15"/>
  <c r="I51" i="15"/>
  <c r="C51" i="15"/>
  <c r="C38" i="15"/>
  <c r="L50" i="15"/>
  <c r="L37" i="15"/>
  <c r="K51" i="15"/>
  <c r="K38" i="15"/>
  <c r="D37" i="15"/>
  <c r="D50" i="15"/>
  <c r="O37" i="15"/>
  <c r="O50" i="15"/>
  <c r="G38" i="15"/>
  <c r="G51" i="15"/>
  <c r="K50" i="15"/>
  <c r="K37" i="15"/>
  <c r="N50" i="15"/>
  <c r="N37" i="15"/>
  <c r="H50" i="15"/>
  <c r="H37" i="15"/>
  <c r="P51" i="15"/>
  <c r="P38" i="15"/>
  <c r="O38" i="15"/>
  <c r="O51" i="15"/>
  <c r="F50" i="15"/>
  <c r="F37" i="15"/>
  <c r="J50" i="15"/>
  <c r="J37" i="15"/>
  <c r="L51" i="15"/>
  <c r="L38" i="15"/>
  <c r="C37" i="15"/>
  <c r="C50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<sst xmlns="http://schemas.openxmlformats.org/spreadsheetml/2006/main" count="102" uniqueCount="100">
  <si>
    <t>First issue</t>
  </si>
  <si>
    <t>R&amp;D - L. Francesconi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</si>
  <si>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</si>
  <si>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</si>
  <si>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</si>
  <si>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</si>
  <si>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</si>
  <si>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</si>
  <si>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</si>
  <si>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</si>
  <si>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Input parameters</t>
  </si>
  <si>
    <t>Legend</t>
  </si>
  <si>
    <r>
      <t>ρ [kg/m</t>
    </r>
    <r>
      <rPr>
        <b/>
        <vertAlign val="superscript"/>
        <sz val="11"/>
        <color theme="0"/>
        <rFont val="Calibri"/>
        <family val="2"/>
      </rPr>
      <t>3</t>
    </r>
    <r>
      <rPr>
        <b/>
        <sz val="11"/>
        <color theme="0"/>
        <rFont val="Calibri"/>
        <family val="2"/>
      </rPr>
      <t>]</t>
    </r>
  </si>
  <si>
    <t>(fluid density)</t>
  </si>
  <si>
    <t>input data</t>
  </si>
  <si>
    <t>μ [Pa s]</t>
  </si>
  <si>
    <t>(fluid dynamic viscosity)</t>
  </si>
  <si>
    <t>descriptor</t>
  </si>
  <si>
    <r>
      <t>Q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</si>
  <si>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(flow rate)</t>
  </si>
  <si>
    <t>calculated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</si>
  <si>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opt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</si>
  <si>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(flow rate at best efficiency point)</t>
  </si>
  <si>
    <t>annotation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</si>
  <si>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[mm]</t>
    </r>
  </si>
  <si>
    <t>(axial distance between impeller shrouds and casing, F)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</si>
  <si>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[m]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</si>
  <si>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 xml:space="preserve">s </t>
    </r>
    <r>
      <rPr>
        <b/>
        <sz val="11"/>
        <color theme="0"/>
        <rFont val="Calibri"/>
        <family val="2"/>
        <scheme val="minor"/>
      </rPr>
      <t>[mm]</t>
    </r>
  </si>
  <si>
    <t>(lenght shroud)</t>
  </si>
  <si>
    <t>single suction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</si>
  <si>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 xml:space="preserve">s </t>
    </r>
    <r>
      <rPr>
        <b/>
        <sz val="11"/>
        <color theme="0"/>
        <rFont val="Calibri"/>
        <family val="2"/>
        <scheme val="minor"/>
      </rPr>
      <t>[m]</t>
    </r>
  </si>
  <si>
    <t>double suction</t>
  </si>
  <si>
    <r>
      <t>g</t>
    </r>
    <r>
      <rPr>
        <b/>
        <vertAlign val="subscript"/>
        <sz val="11"/>
        <color theme="0"/>
        <rFont val="Calibri"/>
        <family val="2"/>
        <scheme val="minor"/>
      </rPr>
      <t xml:space="preserve">A </t>
    </r>
    <r>
      <rPr>
        <b/>
        <sz val="11"/>
        <color theme="0"/>
        <rFont val="Calibri"/>
        <family val="2"/>
        <scheme val="minor"/>
      </rPr>
      <t>[mm]</t>
    </r>
  </si>
  <si>
    <t>(radial gap between impeller shroud and diffuser side plate)</t>
  </si>
  <si>
    <r>
      <t>g</t>
    </r>
    <r>
      <rPr>
        <b/>
        <vertAlign val="subscript"/>
        <sz val="11"/>
        <color theme="0"/>
        <rFont val="Calibri"/>
        <family val="2"/>
        <scheme val="minor"/>
      </rPr>
      <t xml:space="preserve">A </t>
    </r>
    <r>
      <rPr>
        <b/>
        <sz val="11"/>
        <color theme="0"/>
        <rFont val="Calibri"/>
        <family val="2"/>
        <scheme val="minor"/>
      </rPr>
      <t>[m]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</si>
  <si>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 xml:space="preserve">2 </t>
    </r>
    <r>
      <rPr>
        <b/>
        <sz val="11"/>
        <color theme="0"/>
        <rFont val="Calibri"/>
        <family val="2"/>
        <scheme val="minor"/>
      </rPr>
      <t>[mm]</t>
    </r>
  </si>
  <si>
    <t>(impeller diameter)</t>
  </si>
  <si>
    <r>
      <t>r</t>
    </r>
    <r>
      <rPr>
        <b/>
        <vertAlign val="subscript"/>
        <sz val="11"/>
        <color theme="0"/>
        <rFont val="Calibri"/>
        <family val="2"/>
        <scheme val="minor"/>
      </rPr>
      <t xml:space="preserve">2 </t>
    </r>
    <r>
      <rPr>
        <b/>
        <sz val="11"/>
        <color theme="0"/>
        <rFont val="Calibri"/>
        <family val="2"/>
        <scheme val="minor"/>
      </rPr>
      <t>[m]</t>
    </r>
  </si>
  <si>
    <t>(impeller radius)</t>
  </si>
  <si>
    <r>
      <t>b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[mm]</t>
    </r>
  </si>
  <si>
    <t>(impeller outlet width; if double entry, per impeller side)</t>
  </si>
  <si>
    <r>
      <t>b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[m]</t>
    </r>
  </si>
  <si>
    <r>
      <t>X</t>
    </r>
    <r>
      <rPr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[kg]</t>
    </r>
  </si>
  <si>
    <t>-</t>
  </si>
  <si>
    <t>Suction [-]</t>
  </si>
  <si>
    <t>(impeller suction type)</t>
  </si>
  <si>
    <t>Correlation range</t>
  </si>
  <si>
    <r>
      <t>s</t>
    </r>
    <r>
      <rPr>
        <vertAlign val="subscript"/>
        <sz val="11"/>
        <color theme="0"/>
        <rFont val="Calibri"/>
        <family val="2"/>
        <scheme val="minor"/>
      </rPr>
      <t>ax</t>
    </r>
    <r>
      <rPr>
        <sz val="11"/>
        <color theme="0"/>
        <rFont val="Calibri"/>
        <family val="2"/>
        <scheme val="minor"/>
      </rPr>
      <t>*</t>
    </r>
    <r>
      <rPr>
        <b/>
        <sz val="11"/>
        <color theme="0"/>
        <rFont val="Calibri"/>
        <family val="2"/>
        <scheme val="minor"/>
      </rPr>
      <t xml:space="preserve"> [-]</t>
    </r>
  </si>
  <si>
    <t>(dimensionless axial distance between impeller shrouds and casing) [0.016-0.18]</t>
  </si>
  <si>
    <r>
      <t>L</t>
    </r>
    <r>
      <rPr>
        <vertAlign val="subscript"/>
        <sz val="11"/>
        <color theme="0"/>
        <rFont val="Calibri"/>
        <family val="2"/>
        <scheme val="minor"/>
      </rPr>
      <t>s</t>
    </r>
    <r>
      <rPr>
        <sz val="11"/>
        <color theme="0"/>
        <rFont val="Calibri"/>
        <family val="2"/>
        <scheme val="minor"/>
      </rPr>
      <t>*</t>
    </r>
    <r>
      <rPr>
        <b/>
        <sz val="11"/>
        <color theme="0"/>
        <rFont val="Calibri"/>
        <family val="2"/>
        <scheme val="minor"/>
      </rPr>
      <t xml:space="preserve">  [-]</t>
    </r>
  </si>
  <si>
    <t>(dimensionless lenght shroud) [0-0.25]</t>
  </si>
  <si>
    <r>
      <t>g</t>
    </r>
    <r>
      <rPr>
        <vertAlign val="subscript"/>
        <sz val="11"/>
        <color theme="0"/>
        <rFont val="Calibri"/>
        <family val="2"/>
        <scheme val="minor"/>
      </rPr>
      <t>A</t>
    </r>
    <r>
      <rPr>
        <sz val="11"/>
        <color theme="0"/>
        <rFont val="Calibri"/>
        <family val="2"/>
        <scheme val="minor"/>
      </rPr>
      <t>*</t>
    </r>
    <r>
      <rPr>
        <b/>
        <sz val="11"/>
        <color theme="0"/>
        <rFont val="Calibri"/>
        <family val="2"/>
        <scheme val="minor"/>
      </rPr>
      <t xml:space="preserve">  [-]</t>
    </r>
  </si>
  <si>
    <t>(dimensionless radial gap between impeller shroud and diffuser side plate) [0.0045-0.06]</t>
  </si>
  <si>
    <t>q*  [-]</t>
  </si>
  <si>
    <t>flow rate referred to flow rate at best efficiency point [0.25-1.4]</t>
  </si>
  <si>
    <t>(impeller diameter) [160-370 mm]</t>
  </si>
  <si>
    <t>Hydraulic impeller interaction coefficients</t>
  </si>
  <si>
    <t>ω [rpm]</t>
  </si>
  <si>
    <t>(rotating speed)</t>
  </si>
  <si>
    <t>ω [rad/s]</t>
  </si>
  <si>
    <t>Re [-]</t>
  </si>
  <si>
    <t>(Reynolds number) [7E+5 - 7E+7]</t>
  </si>
  <si>
    <t>k* [-]</t>
  </si>
  <si>
    <t>(dimensionless direct stiffness)</t>
  </si>
  <si>
    <r>
      <t>k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>* [-]</t>
    </r>
  </si>
  <si>
    <t>(dimensionless cross-coupled stiffness)</t>
  </si>
  <si>
    <t>c* [-]</t>
  </si>
  <si>
    <t>(dimensionless direct damping)</t>
  </si>
  <si>
    <r>
      <t>c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>* [-]</t>
    </r>
  </si>
  <si>
    <t>(dimensionless cross-coupled damping)</t>
  </si>
  <si>
    <t>m* [-]</t>
  </si>
  <si>
    <t>(dimensionless direct mass)</t>
  </si>
  <si>
    <r>
      <t>m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>* [-]</t>
    </r>
  </si>
  <si>
    <t>(dimensionless cross-coupled mass)</t>
  </si>
  <si>
    <t>k [N/m]</t>
  </si>
  <si>
    <t>(direct stiffness)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</si>
  <si>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 xml:space="preserve">c </t>
    </r>
    <r>
      <rPr>
        <b/>
        <sz val="11"/>
        <color theme="0"/>
        <rFont val="Calibri"/>
        <family val="2"/>
        <scheme val="minor"/>
      </rPr>
      <t>[N/m]</t>
    </r>
  </si>
  <si>
    <t>(cross-coupled stiffness)</t>
  </si>
  <si>
    <t>c [Ns/m]</t>
  </si>
  <si>
    <t>(direct damping)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</si>
  <si>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 xml:space="preserve">c </t>
    </r>
    <r>
      <rPr>
        <b/>
        <sz val="11"/>
        <color theme="0"/>
        <rFont val="Calibri"/>
        <family val="2"/>
        <scheme val="minor"/>
      </rPr>
      <t>[Ns/m]</t>
    </r>
  </si>
  <si>
    <t>(cross-coupled damping)</t>
  </si>
  <si>
    <t>m [kg]</t>
  </si>
  <si>
    <t>(direct mass)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</si>
  <si>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 xml:space="preserve">c </t>
    </r>
    <r>
      <rPr>
        <b/>
        <sz val="11"/>
        <color theme="0"/>
        <rFont val="Calibri"/>
        <family val="2"/>
        <scheme val="minor"/>
      </rPr>
      <t>[kg]</t>
    </r>
  </si>
  <si>
    <t>(cross-coupled mass)</t>
  </si>
  <si>
    <t>FDC Name</t>
  </si>
  <si>
    <t>FDC_hydraulic_impeller_interaction.txt</t>
  </si>
  <si>
    <t>Resulting radial and tangential force</t>
  </si>
  <si>
    <t>Ω [rpm]</t>
  </si>
  <si>
    <t>(whirling speed)</t>
  </si>
  <si>
    <t>Ω [rad/s]</t>
  </si>
  <si>
    <t>Ω/ω [-]</t>
  </si>
  <si>
    <t>(whirling and rotating speed ratio)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</si>
  <si>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>/A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[N/m]</t>
    </r>
  </si>
  <si>
    <t>(radial force per unit amplitude)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</si>
  <si>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/A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[N/m]</t>
    </r>
  </si>
  <si>
    <t>(tangential force per unit amplitude)</t>
  </si>
  <si>
    <t>Mod.494-0</t>
  </si>
  <si>
    <t xml:space="preserve">Hydraulic Impeller Interaction
(linked to SOP-518)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</si>
</sst>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_)"/>
    <numFmt numFmtId="165" formatCode="&quot;$&quot;#,##0.00;[Red]\-&quot;$&quot;#,##0.00"/>
    <numFmt numFmtId="166" formatCode="0.000"/>
    <numFmt numFmtId="167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</font>
    <font>
      <b/>
      <vertAlign val="superscript"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164" fontId="3" fillId="0" borderId="0"/>
    <xf numFmtId="165" fontId="9" fillId="0" borderId="0" applyFont="0" applyFill="0" applyBorder="0" applyAlignment="0" applyProtection="0"/>
  </cellStyleXfs>
  <cellXfs count="152">
    <xf numFmtId="0" fontId="0" fillId="0" borderId="0" xfId="0"/>
    <xf numFmtId="0" fontId="2" fillId="0" borderId="1" xfId="1" applyBorder="1" applyAlignment="1">
      <alignment horizontal="center" vertical="center"/>
    </xf>
    <xf numFmtId="0" fontId="2" fillId="0" borderId="2" xfId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164" fontId="3" fillId="0" borderId="0" xfId="2"/>
    <xf numFmtId="0" fontId="2" fillId="0" borderId="5" xfId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4" fillId="0" borderId="0" xfId="1" applyFont="1" applyAlignment="1">
      <alignment horizontal="center" vertical="top"/>
    </xf>
    <xf numFmtId="0" fontId="2" fillId="0" borderId="0" xfId="1" applyAlignment="1">
      <alignment horizontal="center"/>
    </xf>
    <xf numFmtId="0" fontId="5" fillId="0" borderId="0" xfId="1" applyFont="1" applyAlignment="1">
      <alignment horizontal="center" vertical="top"/>
    </xf>
    <xf numFmtId="0" fontId="6" fillId="0" borderId="6" xfId="1" applyFont="1" applyBorder="1" applyAlignment="1">
      <alignment horizontal="center" vertical="top"/>
    </xf>
    <xf numFmtId="0" fontId="7" fillId="0" borderId="5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" fillId="4" borderId="26" xfId="0" applyFont="1" applyFill="1" applyBorder="1" applyAlignment="1">
      <alignment horizontal="center"/>
    </xf>
    <xf numFmtId="2" fontId="12" fillId="3" borderId="27" xfId="0" applyNumberFormat="1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11" fontId="12" fillId="3" borderId="27" xfId="0" applyNumberFormat="1" applyFont="1" applyFill="1" applyBorder="1" applyAlignment="1">
      <alignment horizontal="center"/>
    </xf>
    <xf numFmtId="167" fontId="13" fillId="0" borderId="27" xfId="0" applyNumberFormat="1" applyFont="1" applyBorder="1" applyAlignment="1">
      <alignment horizontal="center"/>
    </xf>
    <xf numFmtId="2" fontId="12" fillId="3" borderId="0" xfId="0" applyNumberFormat="1" applyFont="1" applyFill="1" applyAlignment="1">
      <alignment horizontal="center"/>
    </xf>
    <xf numFmtId="2" fontId="13" fillId="5" borderId="26" xfId="0" applyNumberFormat="1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 vertical="center"/>
    </xf>
    <xf numFmtId="0" fontId="1" fillId="4" borderId="41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2" fontId="13" fillId="5" borderId="12" xfId="0" applyNumberFormat="1" applyFont="1" applyFill="1" applyBorder="1" applyAlignment="1">
      <alignment horizontal="center"/>
    </xf>
    <xf numFmtId="11" fontId="13" fillId="5" borderId="12" xfId="0" applyNumberFormat="1" applyFont="1" applyFill="1" applyBorder="1" applyAlignment="1">
      <alignment horizontal="center" vertical="center"/>
    </xf>
    <xf numFmtId="11" fontId="13" fillId="5" borderId="51" xfId="0" applyNumberFormat="1" applyFont="1" applyFill="1" applyBorder="1" applyAlignment="1">
      <alignment horizontal="center" vertical="center"/>
    </xf>
    <xf numFmtId="11" fontId="13" fillId="5" borderId="29" xfId="0" applyNumberFormat="1" applyFont="1" applyFill="1" applyBorder="1" applyAlignment="1">
      <alignment horizontal="center" vertical="center"/>
    </xf>
    <xf numFmtId="11" fontId="13" fillId="5" borderId="36" xfId="0" applyNumberFormat="1" applyFont="1" applyFill="1" applyBorder="1" applyAlignment="1">
      <alignment horizontal="center" vertical="center"/>
    </xf>
    <xf numFmtId="0" fontId="14" fillId="0" borderId="4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2" fontId="12" fillId="3" borderId="32" xfId="0" applyNumberFormat="1" applyFont="1" applyFill="1" applyBorder="1" applyAlignment="1">
      <alignment horizontal="center"/>
    </xf>
    <xf numFmtId="2" fontId="13" fillId="5" borderId="47" xfId="0" applyNumberFormat="1" applyFont="1" applyFill="1" applyBorder="1" applyAlignment="1">
      <alignment horizontal="center"/>
    </xf>
    <xf numFmtId="11" fontId="13" fillId="5" borderId="52" xfId="0" applyNumberFormat="1" applyFont="1" applyFill="1" applyBorder="1" applyAlignment="1">
      <alignment horizontal="center" vertical="center"/>
    </xf>
    <xf numFmtId="11" fontId="13" fillId="5" borderId="37" xfId="0" applyNumberFormat="1" applyFont="1" applyFill="1" applyBorder="1" applyAlignment="1">
      <alignment horizontal="center" vertical="center"/>
    </xf>
    <xf numFmtId="11" fontId="13" fillId="5" borderId="47" xfId="0" applyNumberFormat="1" applyFont="1" applyFill="1" applyBorder="1" applyAlignment="1">
      <alignment horizontal="center" vertical="center"/>
    </xf>
    <xf numFmtId="11" fontId="13" fillId="5" borderId="33" xfId="0" applyNumberFormat="1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wrapText="1"/>
    </xf>
    <xf numFmtId="0" fontId="1" fillId="4" borderId="46" xfId="0" applyFont="1" applyFill="1" applyBorder="1" applyAlignment="1">
      <alignment horizontal="center" vertical="center"/>
    </xf>
    <xf numFmtId="0" fontId="1" fillId="4" borderId="50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4" borderId="34" xfId="0" applyFont="1" applyFill="1" applyBorder="1" applyAlignment="1">
      <alignment horizontal="center"/>
    </xf>
    <xf numFmtId="0" fontId="14" fillId="0" borderId="45" xfId="0" applyFont="1" applyBorder="1" applyAlignment="1">
      <alignment horizontal="center" vertical="center" wrapText="1"/>
    </xf>
    <xf numFmtId="2" fontId="12" fillId="3" borderId="53" xfId="0" applyNumberFormat="1" applyFont="1" applyFill="1" applyBorder="1" applyAlignment="1">
      <alignment horizontal="center"/>
    </xf>
    <xf numFmtId="2" fontId="12" fillId="3" borderId="51" xfId="0" applyNumberFormat="1" applyFont="1" applyFill="1" applyBorder="1" applyAlignment="1">
      <alignment horizontal="center"/>
    </xf>
    <xf numFmtId="2" fontId="12" fillId="3" borderId="52" xfId="0" applyNumberFormat="1" applyFont="1" applyFill="1" applyBorder="1" applyAlignment="1">
      <alignment horizontal="center"/>
    </xf>
    <xf numFmtId="2" fontId="13" fillId="5" borderId="29" xfId="0" applyNumberFormat="1" applyFont="1" applyFill="1" applyBorder="1" applyAlignment="1">
      <alignment horizontal="center"/>
    </xf>
    <xf numFmtId="2" fontId="13" fillId="5" borderId="33" xfId="0" applyNumberFormat="1" applyFont="1" applyFill="1" applyBorder="1" applyAlignment="1">
      <alignment horizontal="center"/>
    </xf>
    <xf numFmtId="11" fontId="13" fillId="5" borderId="39" xfId="0" applyNumberFormat="1" applyFont="1" applyFill="1" applyBorder="1" applyAlignment="1">
      <alignment horizontal="center" vertical="center"/>
    </xf>
    <xf numFmtId="11" fontId="13" fillId="5" borderId="40" xfId="0" applyNumberFormat="1" applyFont="1" applyFill="1" applyBorder="1" applyAlignment="1">
      <alignment horizontal="center" vertical="center"/>
    </xf>
    <xf numFmtId="0" fontId="21" fillId="0" borderId="0" xfId="0" quotePrefix="1" applyFont="1"/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  <xf numFmtId="0" fontId="1" fillId="4" borderId="26" xfId="0" applyFont="1" applyFill="1" applyBorder="1" applyAlignment="1">
      <alignment horizontal="center" vertical="center"/>
    </xf>
    <xf numFmtId="2" fontId="13" fillId="0" borderId="27" xfId="0" applyNumberFormat="1" applyFont="1" applyBorder="1" applyAlignment="1">
      <alignment horizontal="center" vertical="center"/>
    </xf>
    <xf numFmtId="2" fontId="13" fillId="0" borderId="34" xfId="0" applyNumberFormat="1" applyFont="1" applyBorder="1" applyAlignment="1">
      <alignment horizontal="center" vertical="center"/>
    </xf>
    <xf numFmtId="164" fontId="22" fillId="0" borderId="0" xfId="2" quotePrefix="1" applyFont="1"/>
    <xf numFmtId="0" fontId="1" fillId="4" borderId="41" xfId="0" applyFont="1" applyFill="1" applyBorder="1" applyAlignment="1">
      <alignment horizontal="center"/>
    </xf>
    <xf numFmtId="167" fontId="13" fillId="0" borderId="54" xfId="0" applyNumberFormat="1" applyFont="1" applyBorder="1" applyAlignment="1">
      <alignment horizontal="center"/>
    </xf>
    <xf numFmtId="167" fontId="13" fillId="3" borderId="34" xfId="0" applyNumberFormat="1" applyFont="1" applyFill="1" applyBorder="1" applyAlignment="1">
      <alignment horizontal="center"/>
    </xf>
    <xf numFmtId="2" fontId="12" fillId="3" borderId="3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1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0" fontId="7" fillId="0" borderId="7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2" fillId="0" borderId="10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0" fontId="2" fillId="0" borderId="16" xfId="1" applyBorder="1" applyAlignment="1">
      <alignment horizontal="center" vertical="center"/>
    </xf>
    <xf numFmtId="0" fontId="2" fillId="0" borderId="11" xfId="1" applyBorder="1" applyAlignment="1">
      <alignment horizontal="center" vertical="center"/>
    </xf>
    <xf numFmtId="0" fontId="2" fillId="0" borderId="18" xfId="1" applyBorder="1" applyAlignment="1">
      <alignment horizontal="center" vertical="center"/>
    </xf>
    <xf numFmtId="0" fontId="2" fillId="0" borderId="19" xfId="1" applyBorder="1" applyAlignment="1">
      <alignment horizontal="center" vertical="center"/>
    </xf>
    <xf numFmtId="0" fontId="2" fillId="0" borderId="20" xfId="1" applyBorder="1" applyAlignment="1">
      <alignment horizontal="center" vertical="center"/>
    </xf>
    <xf numFmtId="0" fontId="2" fillId="0" borderId="17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9" fillId="0" borderId="18" xfId="1" applyFont="1" applyBorder="1" applyAlignment="1">
      <alignment horizontal="center" vertical="center" wrapText="1"/>
    </xf>
    <xf numFmtId="0" fontId="9" fillId="0" borderId="19" xfId="1" applyFont="1" applyBorder="1" applyAlignment="1">
      <alignment horizontal="center" vertical="center" wrapText="1"/>
    </xf>
    <xf numFmtId="0" fontId="9" fillId="0" borderId="20" xfId="1" applyFont="1" applyBorder="1" applyAlignment="1">
      <alignment horizontal="center" vertical="center" wrapText="1"/>
    </xf>
    <xf numFmtId="0" fontId="9" fillId="0" borderId="17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14" fontId="9" fillId="0" borderId="18" xfId="1" applyNumberFormat="1" applyFont="1" applyBorder="1" applyAlignment="1">
      <alignment horizontal="center" vertical="center"/>
    </xf>
    <xf numFmtId="14" fontId="9" fillId="0" borderId="19" xfId="1" applyNumberFormat="1" applyFont="1" applyBorder="1" applyAlignment="1">
      <alignment horizontal="center" vertical="center"/>
    </xf>
    <xf numFmtId="14" fontId="9" fillId="0" borderId="13" xfId="1" applyNumberFormat="1" applyFont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 wrapText="1"/>
    </xf>
    <xf numFmtId="165" fontId="2" fillId="0" borderId="7" xfId="3" applyFont="1" applyBorder="1" applyAlignment="1">
      <alignment horizontal="right" vertical="center"/>
    </xf>
    <xf numFmtId="165" fontId="3" fillId="0" borderId="8" xfId="3" applyFont="1" applyBorder="1" applyAlignment="1">
      <alignment horizontal="right" vertical="center"/>
    </xf>
    <xf numFmtId="165" fontId="3" fillId="0" borderId="9" xfId="3" applyFont="1" applyBorder="1" applyAlignment="1">
      <alignment horizontal="right" vertical="center"/>
    </xf>
    <xf numFmtId="165" fontId="2" fillId="0" borderId="21" xfId="3" applyFont="1" applyBorder="1" applyAlignment="1">
      <alignment horizontal="center" vertical="center"/>
    </xf>
    <xf numFmtId="165" fontId="2" fillId="0" borderId="22" xfId="3" applyFont="1" applyBorder="1" applyAlignment="1">
      <alignment horizontal="center" vertical="center"/>
    </xf>
    <xf numFmtId="0" fontId="10" fillId="0" borderId="23" xfId="1" applyFont="1" applyBorder="1" applyAlignment="1">
      <alignment horizontal="center" vertical="center"/>
    </xf>
    <xf numFmtId="0" fontId="10" fillId="0" borderId="24" xfId="1" applyFont="1" applyBorder="1" applyAlignment="1">
      <alignment horizontal="center" vertical="center"/>
    </xf>
    <xf numFmtId="0" fontId="10" fillId="0" borderId="22" xfId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42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1" fillId="2" borderId="13" xfId="0" applyFont="1" applyFill="1" applyBorder="1" applyAlignment="1">
      <alignment horizontal="center" vertical="center"/>
    </xf>
    <xf numFmtId="2" fontId="12" fillId="3" borderId="18" xfId="0" applyNumberFormat="1" applyFont="1" applyFill="1" applyBorder="1" applyAlignment="1">
      <alignment horizontal="center" vertical="center"/>
    </xf>
    <xf numFmtId="2" fontId="12" fillId="3" borderId="13" xfId="0" applyNumberFormat="1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2" fontId="13" fillId="0" borderId="18" xfId="0" applyNumberFormat="1" applyFont="1" applyBorder="1" applyAlignment="1">
      <alignment horizontal="center" vertical="center"/>
    </xf>
    <xf numFmtId="2" fontId="13" fillId="0" borderId="13" xfId="0" applyNumberFormat="1" applyFont="1" applyBorder="1" applyAlignment="1">
      <alignment horizontal="center" vertical="center"/>
    </xf>
    <xf numFmtId="0" fontId="11" fillId="2" borderId="46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4" fillId="0" borderId="44" xfId="0" applyFont="1" applyBorder="1" applyAlignment="1">
      <alignment horizontal="center" vertical="center" wrapText="1"/>
    </xf>
    <xf numFmtId="0" fontId="14" fillId="0" borderId="49" xfId="0" applyFont="1" applyBorder="1" applyAlignment="1">
      <alignment horizontal="center" vertical="center" wrapText="1"/>
    </xf>
  </cellXfs>
  <cellStyles count="4">
    <cellStyle name="Normale" xfId="0" builtinId="0"/>
    <cellStyle name="Normale 3" xfId="2" xr:uid="{DAB37C46-0A9E-45FD-8121-6EB96B2D8F22}"/>
    <cellStyle name="Normale 4" xfId="1" xr:uid="{FCA8FE1A-E504-4C6A-9439-0D61BEC1530E}"/>
    <cellStyle name="Valuta 2" xfId="3" xr:uid="{976FD118-F49B-4A0B-8D0E-BD62C67D80B5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3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30</xdr:row>
      <xdr:rowOff>28575</xdr:rowOff>
    </xdr:from>
    <xdr:to>
      <xdr:col>29</xdr:col>
      <xdr:colOff>19050</xdr:colOff>
      <xdr:row>37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5250" y="5743575"/>
          <a:ext cx="6276975" cy="13525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defines the hydraulic impeller interaction coefficients to use when performing a lateral analysis on OH and BB pumps with more than two stages.</a:t>
          </a:r>
        </a:p>
        <a:p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"Impeller Interaction"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This calculations are based on formulas derived from chapter 10.6.3 of: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  <a:r>
            <a:rPr lang="en-GB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Gülich, Johann F. “Centrifugal Pumps” 4th Edition. Springer International Publishing, 2019.</a:t>
          </a:r>
          <a:endParaRPr lang="it-IT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37799</xdr:colOff>
      <xdr:row>1</xdr:row>
      <xdr:rowOff>22413</xdr:rowOff>
    </xdr:from>
    <xdr:to>
      <xdr:col>9</xdr:col>
      <xdr:colOff>481852</xdr:colOff>
      <xdr:row>12</xdr:row>
      <xdr:rowOff>133148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530179" y="388033"/>
          <a:ext cx="2520000" cy="216975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18</xdr:col>
      <xdr:colOff>165542</xdr:colOff>
      <xdr:row>26</xdr:row>
      <xdr:rowOff>42423</xdr:rowOff>
    </xdr:from>
    <xdr:to>
      <xdr:col>31</xdr:col>
      <xdr:colOff>34831</xdr:colOff>
      <xdr:row>50</xdr:row>
      <xdr:rowOff>354102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11513" y="5925511"/>
          <a:ext cx="8833994" cy="7012797"/>
        </a:xfrm>
        <a:prstGeom prst="rect">
          <a:avLst/>
        </a:prstGeom>
      </xdr:spPr>
    </xdr:pic>
    <xdr:clientData/>
  </xdr:twoCellAnchor>
  <xdr:twoCellAnchor editAs="oneCell">
    <xdr:from>
      <xdr:col>7</xdr:col>
      <xdr:colOff>20731</xdr:colOff>
      <xdr:row>20</xdr:row>
      <xdr:rowOff>5042</xdr:rowOff>
    </xdr:from>
    <xdr:to>
      <xdr:col>17</xdr:col>
      <xdr:colOff>177613</xdr:colOff>
      <xdr:row>23</xdr:row>
      <xdr:rowOff>2801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27" t="7041" r="1076" b="7528"/>
        <a:stretch/>
      </xdr:blipFill>
      <xdr:spPr>
        <a:xfrm>
          <a:off x="6688231" y="4148417"/>
          <a:ext cx="8472207" cy="98835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42</xdr:row>
          <xdr:rowOff>95250</xdr:rowOff>
        </xdr:from>
        <xdr:to>
          <xdr:col>5</xdr:col>
          <xdr:colOff>304800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FDC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12885</xdr:colOff>
      <xdr:row>7</xdr:row>
      <xdr:rowOff>4479</xdr:rowOff>
    </xdr:from>
    <xdr:to>
      <xdr:col>15</xdr:col>
      <xdr:colOff>734835</xdr:colOff>
      <xdr:row>17</xdr:row>
      <xdr:rowOff>180975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280710" y="1480854"/>
          <a:ext cx="4932000" cy="2462496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/>
            <a:t>1) </a:t>
          </a: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 the input data cells.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Verify to be inside the range covered by correlation. If outside the sheet will use the cut-off values.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Define the rotating speed point to evaluate hydraulic impeller interaction coefficients and verify Reynolds number is in the range specified. If outside do not use the correlation.</a:t>
          </a:r>
        </a:p>
        <a:p>
          <a:pPr eaLnBrk="1" fontAlgn="auto" latinLnBrk="0" hangingPunct="1"/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Input in "FDC Name" cell the name for the file.txt to create.</a:t>
          </a:r>
        </a:p>
        <a:p>
          <a:pPr eaLnBrk="1" fontAlgn="auto" latinLnBrk="0" hangingPunct="1"/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Push the button "Write FDC" to generate the file.txt with name at point 4).</a:t>
          </a:r>
        </a:p>
        <a:p>
          <a:pPr eaLnBrk="1" fontAlgn="auto" latinLnBrk="0" hangingPunct="1"/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Define the whirling speed if interested in the resulting radial and tangential forces per amplitude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B5B84-F814-4AD1-A126-048DFA32A1A8}">
  <sheetPr codeName="Foglio2"/>
  <dimension ref="A1:AD47"/>
  <sheetViews>
    <sheetView tabSelected="1" topLeftCell="A8" zoomScaleNormal="100" zoomScaleSheetLayoutView="100" workbookViewId="0">
      <selection activeCell="A8" sqref="A8:AD38"/>
    </sheetView>
  </sheetViews>
  <sheetFormatPr defaultRowHeight="12" x14ac:dyDescent="0.2"/>
  <cols>
    <col min="1" max="30" width="3.28515625" style="4" customWidth="1"/>
    <col min="31" max="256" width="9.140625" style="4"/>
    <col min="257" max="286" width="3.28515625" style="4" customWidth="1"/>
    <col min="287" max="512" width="9.140625" style="4"/>
    <col min="513" max="542" width="3.28515625" style="4" customWidth="1"/>
    <col min="543" max="768" width="9.140625" style="4"/>
    <col min="769" max="798" width="3.28515625" style="4" customWidth="1"/>
    <col min="799" max="1024" width="9.140625" style="4"/>
    <col min="1025" max="1054" width="3.28515625" style="4" customWidth="1"/>
    <col min="1055" max="1280" width="9.140625" style="4"/>
    <col min="1281" max="1310" width="3.28515625" style="4" customWidth="1"/>
    <col min="1311" max="1536" width="9.140625" style="4"/>
    <col min="1537" max="1566" width="3.28515625" style="4" customWidth="1"/>
    <col min="1567" max="1792" width="9.140625" style="4"/>
    <col min="1793" max="1822" width="3.28515625" style="4" customWidth="1"/>
    <col min="1823" max="2048" width="9.140625" style="4"/>
    <col min="2049" max="2078" width="3.28515625" style="4" customWidth="1"/>
    <col min="2079" max="2304" width="9.140625" style="4"/>
    <col min="2305" max="2334" width="3.28515625" style="4" customWidth="1"/>
    <col min="2335" max="2560" width="9.140625" style="4"/>
    <col min="2561" max="2590" width="3.28515625" style="4" customWidth="1"/>
    <col min="2591" max="2816" width="9.140625" style="4"/>
    <col min="2817" max="2846" width="3.28515625" style="4" customWidth="1"/>
    <col min="2847" max="3072" width="9.140625" style="4"/>
    <col min="3073" max="3102" width="3.28515625" style="4" customWidth="1"/>
    <col min="3103" max="3328" width="9.140625" style="4"/>
    <col min="3329" max="3358" width="3.28515625" style="4" customWidth="1"/>
    <col min="3359" max="3584" width="9.140625" style="4"/>
    <col min="3585" max="3614" width="3.28515625" style="4" customWidth="1"/>
    <col min="3615" max="3840" width="9.140625" style="4"/>
    <col min="3841" max="3870" width="3.28515625" style="4" customWidth="1"/>
    <col min="3871" max="4096" width="9.140625" style="4"/>
    <col min="4097" max="4126" width="3.28515625" style="4" customWidth="1"/>
    <col min="4127" max="4352" width="9.140625" style="4"/>
    <col min="4353" max="4382" width="3.28515625" style="4" customWidth="1"/>
    <col min="4383" max="4608" width="9.140625" style="4"/>
    <col min="4609" max="4638" width="3.28515625" style="4" customWidth="1"/>
    <col min="4639" max="4864" width="9.140625" style="4"/>
    <col min="4865" max="4894" width="3.28515625" style="4" customWidth="1"/>
    <col min="4895" max="5120" width="9.140625" style="4"/>
    <col min="5121" max="5150" width="3.28515625" style="4" customWidth="1"/>
    <col min="5151" max="5376" width="9.140625" style="4"/>
    <col min="5377" max="5406" width="3.28515625" style="4" customWidth="1"/>
    <col min="5407" max="5632" width="9.140625" style="4"/>
    <col min="5633" max="5662" width="3.28515625" style="4" customWidth="1"/>
    <col min="5663" max="5888" width="9.140625" style="4"/>
    <col min="5889" max="5918" width="3.28515625" style="4" customWidth="1"/>
    <col min="5919" max="6144" width="9.140625" style="4"/>
    <col min="6145" max="6174" width="3.28515625" style="4" customWidth="1"/>
    <col min="6175" max="6400" width="9.140625" style="4"/>
    <col min="6401" max="6430" width="3.28515625" style="4" customWidth="1"/>
    <col min="6431" max="6656" width="9.140625" style="4"/>
    <col min="6657" max="6686" width="3.28515625" style="4" customWidth="1"/>
    <col min="6687" max="6912" width="9.140625" style="4"/>
    <col min="6913" max="6942" width="3.28515625" style="4" customWidth="1"/>
    <col min="6943" max="7168" width="9.140625" style="4"/>
    <col min="7169" max="7198" width="3.28515625" style="4" customWidth="1"/>
    <col min="7199" max="7424" width="9.140625" style="4"/>
    <col min="7425" max="7454" width="3.28515625" style="4" customWidth="1"/>
    <col min="7455" max="7680" width="9.140625" style="4"/>
    <col min="7681" max="7710" width="3.28515625" style="4" customWidth="1"/>
    <col min="7711" max="7936" width="9.140625" style="4"/>
    <col min="7937" max="7966" width="3.28515625" style="4" customWidth="1"/>
    <col min="7967" max="8192" width="9.140625" style="4"/>
    <col min="8193" max="8222" width="3.28515625" style="4" customWidth="1"/>
    <col min="8223" max="8448" width="9.140625" style="4"/>
    <col min="8449" max="8478" width="3.28515625" style="4" customWidth="1"/>
    <col min="8479" max="8704" width="9.140625" style="4"/>
    <col min="8705" max="8734" width="3.28515625" style="4" customWidth="1"/>
    <col min="8735" max="8960" width="9.140625" style="4"/>
    <col min="8961" max="8990" width="3.28515625" style="4" customWidth="1"/>
    <col min="8991" max="9216" width="9.140625" style="4"/>
    <col min="9217" max="9246" width="3.28515625" style="4" customWidth="1"/>
    <col min="9247" max="9472" width="9.140625" style="4"/>
    <col min="9473" max="9502" width="3.28515625" style="4" customWidth="1"/>
    <col min="9503" max="9728" width="9.140625" style="4"/>
    <col min="9729" max="9758" width="3.28515625" style="4" customWidth="1"/>
    <col min="9759" max="9984" width="9.140625" style="4"/>
    <col min="9985" max="10014" width="3.28515625" style="4" customWidth="1"/>
    <col min="10015" max="10240" width="9.140625" style="4"/>
    <col min="10241" max="10270" width="3.28515625" style="4" customWidth="1"/>
    <col min="10271" max="10496" width="9.140625" style="4"/>
    <col min="10497" max="10526" width="3.28515625" style="4" customWidth="1"/>
    <col min="10527" max="10752" width="9.140625" style="4"/>
    <col min="10753" max="10782" width="3.28515625" style="4" customWidth="1"/>
    <col min="10783" max="11008" width="9.140625" style="4"/>
    <col min="11009" max="11038" width="3.28515625" style="4" customWidth="1"/>
    <col min="11039" max="11264" width="9.140625" style="4"/>
    <col min="11265" max="11294" width="3.28515625" style="4" customWidth="1"/>
    <col min="11295" max="11520" width="9.140625" style="4"/>
    <col min="11521" max="11550" width="3.28515625" style="4" customWidth="1"/>
    <col min="11551" max="11776" width="9.140625" style="4"/>
    <col min="11777" max="11806" width="3.28515625" style="4" customWidth="1"/>
    <col min="11807" max="12032" width="9.140625" style="4"/>
    <col min="12033" max="12062" width="3.28515625" style="4" customWidth="1"/>
    <col min="12063" max="12288" width="9.140625" style="4"/>
    <col min="12289" max="12318" width="3.28515625" style="4" customWidth="1"/>
    <col min="12319" max="12544" width="9.140625" style="4"/>
    <col min="12545" max="12574" width="3.28515625" style="4" customWidth="1"/>
    <col min="12575" max="12800" width="9.140625" style="4"/>
    <col min="12801" max="12830" width="3.28515625" style="4" customWidth="1"/>
    <col min="12831" max="13056" width="9.140625" style="4"/>
    <col min="13057" max="13086" width="3.28515625" style="4" customWidth="1"/>
    <col min="13087" max="13312" width="9.140625" style="4"/>
    <col min="13313" max="13342" width="3.28515625" style="4" customWidth="1"/>
    <col min="13343" max="13568" width="9.140625" style="4"/>
    <col min="13569" max="13598" width="3.28515625" style="4" customWidth="1"/>
    <col min="13599" max="13824" width="9.140625" style="4"/>
    <col min="13825" max="13854" width="3.28515625" style="4" customWidth="1"/>
    <col min="13855" max="14080" width="9.140625" style="4"/>
    <col min="14081" max="14110" width="3.28515625" style="4" customWidth="1"/>
    <col min="14111" max="14336" width="9.140625" style="4"/>
    <col min="14337" max="14366" width="3.28515625" style="4" customWidth="1"/>
    <col min="14367" max="14592" width="9.140625" style="4"/>
    <col min="14593" max="14622" width="3.28515625" style="4" customWidth="1"/>
    <col min="14623" max="14848" width="9.140625" style="4"/>
    <col min="14849" max="14878" width="3.28515625" style="4" customWidth="1"/>
    <col min="14879" max="15104" width="9.140625" style="4"/>
    <col min="15105" max="15134" width="3.28515625" style="4" customWidth="1"/>
    <col min="15135" max="15360" width="9.140625" style="4"/>
    <col min="15361" max="15390" width="3.28515625" style="4" customWidth="1"/>
    <col min="15391" max="15616" width="9.140625" style="4"/>
    <col min="15617" max="15646" width="3.28515625" style="4" customWidth="1"/>
    <col min="15647" max="15872" width="9.140625" style="4"/>
    <col min="15873" max="15902" width="3.28515625" style="4" customWidth="1"/>
    <col min="15903" max="16128" width="9.140625" style="4"/>
    <col min="16129" max="16158" width="3.28515625" style="4" customWidth="1"/>
    <col min="16159" max="16384" width="9.140625" style="4"/>
  </cols>
  <sheetData>
    <row r="1" spans="1:30" ht="1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0" ht="15" customHeight="1" x14ac:dyDescent="0.2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7"/>
    </row>
    <row r="3" spans="1:30" ht="15" customHeight="1" x14ac:dyDescent="0.2">
      <c r="A3" s="5"/>
      <c r="B3" s="6"/>
      <c r="C3" s="6"/>
      <c r="D3" s="6"/>
      <c r="E3" s="6"/>
      <c r="F3" s="6"/>
      <c r="G3" s="6"/>
      <c r="H3" s="8"/>
      <c r="I3" s="8"/>
      <c r="J3" s="8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"/>
      <c r="X3" s="10"/>
      <c r="Y3" s="10"/>
      <c r="Z3" s="10"/>
      <c r="AA3" s="10"/>
      <c r="AB3" s="10"/>
      <c r="AC3" s="10"/>
      <c r="AD3" s="11"/>
    </row>
    <row r="4" spans="1:30" ht="15" customHeight="1" x14ac:dyDescent="0.2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7"/>
    </row>
    <row r="5" spans="1:30" ht="15" customHeight="1" x14ac:dyDescent="0.2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7"/>
    </row>
    <row r="6" spans="1:30" ht="15" customHeight="1" x14ac:dyDescent="0.2">
      <c r="A6" s="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7"/>
    </row>
    <row r="7" spans="1:30" ht="15" customHeight="1" thickBot="1" x14ac:dyDescent="0.25">
      <c r="A7" s="12"/>
      <c r="B7" s="13"/>
      <c r="C7" s="13"/>
      <c r="D7" s="13"/>
      <c r="E7" s="13"/>
      <c r="F7" s="14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13"/>
      <c r="AB7" s="13"/>
      <c r="AC7" s="13"/>
      <c r="AD7" s="15"/>
    </row>
    <row r="8" spans="1:30" ht="15" customHeight="1" x14ac:dyDescent="0.2">
      <c r="A8" s="69" t="s">
        <v>99</v>
      </c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1"/>
    </row>
    <row r="9" spans="1:30" ht="15" customHeight="1" x14ac:dyDescent="0.2">
      <c r="A9" s="72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4"/>
    </row>
    <row r="10" spans="1:30" ht="15" customHeight="1" x14ac:dyDescent="0.2">
      <c r="A10" s="72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4"/>
    </row>
    <row r="11" spans="1:30" ht="15" customHeight="1" x14ac:dyDescent="0.2">
      <c r="A11" s="72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4"/>
    </row>
    <row r="12" spans="1:30" ht="15" customHeight="1" x14ac:dyDescent="0.2">
      <c r="A12" s="72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4"/>
    </row>
    <row r="13" spans="1:30" ht="15" customHeight="1" x14ac:dyDescent="0.2">
      <c r="A13" s="72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4"/>
    </row>
    <row r="14" spans="1:30" ht="15" customHeight="1" x14ac:dyDescent="0.2">
      <c r="A14" s="72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4"/>
    </row>
    <row r="15" spans="1:30" ht="15" customHeight="1" x14ac:dyDescent="0.2">
      <c r="A15" s="72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4"/>
    </row>
    <row r="16" spans="1:30" ht="15" customHeight="1" x14ac:dyDescent="0.2">
      <c r="A16" s="72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4"/>
    </row>
    <row r="17" spans="1:30" ht="15" customHeight="1" x14ac:dyDescent="0.2">
      <c r="A17" s="72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4"/>
    </row>
    <row r="18" spans="1:30" ht="15" customHeight="1" x14ac:dyDescent="0.2">
      <c r="A18" s="72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4"/>
    </row>
    <row r="19" spans="1:30" ht="15" customHeight="1" x14ac:dyDescent="0.2">
      <c r="A19" s="72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4"/>
    </row>
    <row r="20" spans="1:30" ht="15" customHeight="1" x14ac:dyDescent="0.2">
      <c r="A20" s="72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4"/>
    </row>
    <row r="21" spans="1:30" ht="15" customHeight="1" x14ac:dyDescent="0.2">
      <c r="A21" s="72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4"/>
    </row>
    <row r="22" spans="1:30" ht="15" customHeight="1" x14ac:dyDescent="0.2">
      <c r="A22" s="72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4"/>
    </row>
    <row r="23" spans="1:30" ht="15" customHeight="1" x14ac:dyDescent="0.2">
      <c r="A23" s="72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4"/>
    </row>
    <row r="24" spans="1:30" ht="15" customHeight="1" x14ac:dyDescent="0.2">
      <c r="A24" s="72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4"/>
    </row>
    <row r="25" spans="1:30" ht="15" customHeight="1" x14ac:dyDescent="0.2">
      <c r="A25" s="72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4"/>
    </row>
    <row r="26" spans="1:30" ht="15" customHeight="1" x14ac:dyDescent="0.2">
      <c r="A26" s="72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4"/>
    </row>
    <row r="27" spans="1:30" ht="15" customHeight="1" x14ac:dyDescent="0.2">
      <c r="A27" s="72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4"/>
    </row>
    <row r="28" spans="1:30" ht="15" customHeight="1" x14ac:dyDescent="0.2">
      <c r="A28" s="72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4"/>
    </row>
    <row r="29" spans="1:30" ht="15" customHeight="1" x14ac:dyDescent="0.2">
      <c r="A29" s="72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4"/>
    </row>
    <row r="30" spans="1:30" ht="15" customHeight="1" x14ac:dyDescent="0.2">
      <c r="A30" s="72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4"/>
    </row>
    <row r="31" spans="1:30" ht="15" customHeight="1" x14ac:dyDescent="0.2">
      <c r="A31" s="72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4"/>
    </row>
    <row r="32" spans="1:30" ht="15" customHeight="1" x14ac:dyDescent="0.2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4"/>
    </row>
    <row r="33" spans="1:30" ht="15" customHeight="1" x14ac:dyDescent="0.2">
      <c r="A33" s="72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4"/>
    </row>
    <row r="34" spans="1:30" ht="15" customHeight="1" x14ac:dyDescent="0.2">
      <c r="A34" s="72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4"/>
    </row>
    <row r="35" spans="1:30" ht="15" customHeight="1" x14ac:dyDescent="0.2">
      <c r="A35" s="72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4"/>
    </row>
    <row r="36" spans="1:30" ht="15" customHeight="1" x14ac:dyDescent="0.2">
      <c r="A36" s="72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4"/>
    </row>
    <row r="37" spans="1:30" ht="15" customHeight="1" x14ac:dyDescent="0.2">
      <c r="A37" s="72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4"/>
    </row>
    <row r="38" spans="1:30" ht="15" customHeight="1" thickBot="1" x14ac:dyDescent="0.25">
      <c r="A38" s="75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7"/>
    </row>
    <row r="39" spans="1:30" ht="30" customHeight="1" x14ac:dyDescent="0.2">
      <c r="A39" s="78"/>
      <c r="B39" s="79"/>
      <c r="C39" s="80"/>
      <c r="D39" s="81"/>
      <c r="E39" s="81"/>
      <c r="F39" s="79"/>
      <c r="G39" s="80"/>
      <c r="H39" s="81"/>
      <c r="I39" s="81"/>
      <c r="J39" s="81"/>
      <c r="K39" s="81"/>
      <c r="L39" s="81"/>
      <c r="M39" s="81"/>
      <c r="N39" s="81"/>
      <c r="O39" s="81"/>
      <c r="P39" s="80"/>
      <c r="Q39" s="81"/>
      <c r="R39" s="81"/>
      <c r="S39" s="81"/>
      <c r="T39" s="79"/>
      <c r="U39" s="80"/>
      <c r="V39" s="81"/>
      <c r="W39" s="81"/>
      <c r="X39" s="81"/>
      <c r="Y39" s="79"/>
      <c r="Z39" s="80"/>
      <c r="AA39" s="81"/>
      <c r="AB39" s="81"/>
      <c r="AC39" s="81"/>
      <c r="AD39" s="82"/>
    </row>
    <row r="40" spans="1:30" ht="30" customHeight="1" x14ac:dyDescent="0.2">
      <c r="A40" s="86"/>
      <c r="B40" s="87"/>
      <c r="C40" s="83"/>
      <c r="D40" s="84"/>
      <c r="E40" s="84"/>
      <c r="F40" s="87"/>
      <c r="G40" s="83"/>
      <c r="H40" s="84"/>
      <c r="I40" s="84"/>
      <c r="J40" s="84"/>
      <c r="K40" s="84"/>
      <c r="L40" s="84"/>
      <c r="M40" s="84"/>
      <c r="N40" s="84"/>
      <c r="O40" s="84"/>
      <c r="P40" s="83"/>
      <c r="Q40" s="84"/>
      <c r="R40" s="84"/>
      <c r="S40" s="84"/>
      <c r="T40" s="87"/>
      <c r="U40" s="83"/>
      <c r="V40" s="84"/>
      <c r="W40" s="84"/>
      <c r="X40" s="84"/>
      <c r="Y40" s="87"/>
      <c r="Z40" s="83"/>
      <c r="AA40" s="84"/>
      <c r="AB40" s="84"/>
      <c r="AC40" s="84"/>
      <c r="AD40" s="85"/>
    </row>
    <row r="41" spans="1:30" ht="30" customHeight="1" x14ac:dyDescent="0.2">
      <c r="A41" s="86"/>
      <c r="B41" s="87"/>
      <c r="C41" s="83"/>
      <c r="D41" s="84"/>
      <c r="E41" s="84"/>
      <c r="F41" s="87"/>
      <c r="G41" s="83"/>
      <c r="H41" s="84"/>
      <c r="I41" s="84"/>
      <c r="J41" s="84"/>
      <c r="K41" s="84"/>
      <c r="L41" s="84"/>
      <c r="M41" s="84"/>
      <c r="N41" s="84"/>
      <c r="O41" s="84"/>
      <c r="P41" s="83"/>
      <c r="Q41" s="84"/>
      <c r="R41" s="84"/>
      <c r="S41" s="84"/>
      <c r="T41" s="87"/>
      <c r="U41" s="83"/>
      <c r="V41" s="84"/>
      <c r="W41" s="84"/>
      <c r="X41" s="84"/>
      <c r="Y41" s="87"/>
      <c r="Z41" s="83"/>
      <c r="AA41" s="84"/>
      <c r="AB41" s="84"/>
      <c r="AC41" s="84"/>
      <c r="AD41" s="85"/>
    </row>
    <row r="42" spans="1:30" ht="30" customHeight="1" x14ac:dyDescent="0.2">
      <c r="A42" s="86"/>
      <c r="B42" s="87"/>
      <c r="C42" s="83"/>
      <c r="D42" s="84"/>
      <c r="E42" s="84"/>
      <c r="F42" s="87"/>
      <c r="G42" s="83"/>
      <c r="H42" s="84"/>
      <c r="I42" s="84"/>
      <c r="J42" s="84"/>
      <c r="K42" s="84"/>
      <c r="L42" s="84"/>
      <c r="M42" s="84"/>
      <c r="N42" s="84"/>
      <c r="O42" s="84"/>
      <c r="P42" s="83"/>
      <c r="Q42" s="84"/>
      <c r="R42" s="84"/>
      <c r="S42" s="84"/>
      <c r="T42" s="87"/>
      <c r="U42" s="83"/>
      <c r="V42" s="84"/>
      <c r="W42" s="84"/>
      <c r="X42" s="84"/>
      <c r="Y42" s="87"/>
      <c r="Z42" s="83"/>
      <c r="AA42" s="84"/>
      <c r="AB42" s="84"/>
      <c r="AC42" s="84"/>
      <c r="AD42" s="85"/>
    </row>
    <row r="43" spans="1:30" ht="30" customHeight="1" x14ac:dyDescent="0.2">
      <c r="A43" s="86"/>
      <c r="B43" s="87"/>
      <c r="C43" s="83"/>
      <c r="D43" s="84"/>
      <c r="E43" s="84"/>
      <c r="F43" s="87"/>
      <c r="G43" s="83"/>
      <c r="H43" s="84"/>
      <c r="I43" s="84"/>
      <c r="J43" s="84"/>
      <c r="K43" s="84"/>
      <c r="L43" s="84"/>
      <c r="M43" s="84"/>
      <c r="N43" s="84"/>
      <c r="O43" s="84"/>
      <c r="P43" s="83"/>
      <c r="Q43" s="84"/>
      <c r="R43" s="84"/>
      <c r="S43" s="84"/>
      <c r="T43" s="87"/>
      <c r="U43" s="83"/>
      <c r="V43" s="84"/>
      <c r="W43" s="84"/>
      <c r="X43" s="84"/>
      <c r="Y43" s="87"/>
      <c r="Z43" s="83"/>
      <c r="AA43" s="84"/>
      <c r="AB43" s="84"/>
      <c r="AC43" s="84"/>
      <c r="AD43" s="85"/>
    </row>
    <row r="44" spans="1:30" ht="30" customHeight="1" x14ac:dyDescent="0.2">
      <c r="A44" s="86"/>
      <c r="B44" s="87"/>
      <c r="C44" s="83"/>
      <c r="D44" s="84"/>
      <c r="E44" s="84"/>
      <c r="F44" s="87"/>
      <c r="G44" s="83"/>
      <c r="H44" s="84"/>
      <c r="I44" s="84"/>
      <c r="J44" s="84"/>
      <c r="K44" s="84"/>
      <c r="L44" s="84"/>
      <c r="M44" s="84"/>
      <c r="N44" s="84"/>
      <c r="O44" s="84"/>
      <c r="P44" s="83"/>
      <c r="Q44" s="84"/>
      <c r="R44" s="84"/>
      <c r="S44" s="84"/>
      <c r="T44" s="87"/>
      <c r="U44" s="83"/>
      <c r="V44" s="84"/>
      <c r="W44" s="84"/>
      <c r="X44" s="84"/>
      <c r="Y44" s="87"/>
      <c r="Z44" s="83"/>
      <c r="AA44" s="84"/>
      <c r="AB44" s="84"/>
      <c r="AC44" s="84"/>
      <c r="AD44" s="85"/>
    </row>
    <row r="45" spans="1:30" ht="30" customHeight="1" x14ac:dyDescent="0.2">
      <c r="A45" s="91">
        <v>0</v>
      </c>
      <c r="B45" s="92"/>
      <c r="C45" s="93">
        <v>45628</v>
      </c>
      <c r="D45" s="94"/>
      <c r="E45" s="94"/>
      <c r="F45" s="95"/>
      <c r="G45" s="96" t="s">
        <v>0</v>
      </c>
      <c r="H45" s="97"/>
      <c r="I45" s="97"/>
      <c r="J45" s="97"/>
      <c r="K45" s="97"/>
      <c r="L45" s="97"/>
      <c r="M45" s="97"/>
      <c r="N45" s="97"/>
      <c r="O45" s="97"/>
      <c r="P45" s="88" t="s">
        <v>1</v>
      </c>
      <c r="Q45" s="89"/>
      <c r="R45" s="89"/>
      <c r="S45" s="89"/>
      <c r="T45" s="98"/>
      <c r="U45" s="88" t="s">
        <v>2</v>
      </c>
      <c r="V45" s="89"/>
      <c r="W45" s="89"/>
      <c r="X45" s="89"/>
      <c r="Y45" s="98"/>
      <c r="Z45" s="88" t="s">
        <v>3</v>
      </c>
      <c r="AA45" s="89"/>
      <c r="AB45" s="89"/>
      <c r="AC45" s="89"/>
      <c r="AD45" s="90"/>
    </row>
    <row r="46" spans="1:30" ht="15" customHeight="1" thickBot="1" x14ac:dyDescent="0.25">
      <c r="A46" s="102" t="s">
        <v>4</v>
      </c>
      <c r="B46" s="103"/>
      <c r="C46" s="104" t="s">
        <v>5</v>
      </c>
      <c r="D46" s="105"/>
      <c r="E46" s="105"/>
      <c r="F46" s="106"/>
      <c r="G46" s="104" t="s">
        <v>6</v>
      </c>
      <c r="H46" s="105"/>
      <c r="I46" s="105"/>
      <c r="J46" s="105"/>
      <c r="K46" s="105"/>
      <c r="L46" s="105"/>
      <c r="M46" s="105"/>
      <c r="N46" s="105"/>
      <c r="O46" s="105"/>
      <c r="P46" s="104" t="s">
        <v>7</v>
      </c>
      <c r="Q46" s="105"/>
      <c r="R46" s="105"/>
      <c r="S46" s="105"/>
      <c r="T46" s="106"/>
      <c r="U46" s="104" t="s">
        <v>8</v>
      </c>
      <c r="V46" s="105"/>
      <c r="W46" s="105"/>
      <c r="X46" s="105"/>
      <c r="Y46" s="105"/>
      <c r="Z46" s="104" t="s">
        <v>9</v>
      </c>
      <c r="AA46" s="105"/>
      <c r="AB46" s="105"/>
      <c r="AC46" s="105"/>
      <c r="AD46" s="107"/>
    </row>
    <row r="47" spans="1:30" ht="15" customHeight="1" thickBot="1" x14ac:dyDescent="0.25">
      <c r="A47" s="99" t="s">
        <v>98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/>
    </row>
  </sheetData>
  <mergeCells count="50">
    <mergeCell ref="A47:AD47"/>
    <mergeCell ref="A46:B46"/>
    <mergeCell ref="C46:F46"/>
    <mergeCell ref="G46:O46"/>
    <mergeCell ref="P46:T46"/>
    <mergeCell ref="U46:Y46"/>
    <mergeCell ref="Z46:AD46"/>
    <mergeCell ref="Z45:AD45"/>
    <mergeCell ref="A44:B44"/>
    <mergeCell ref="C44:F44"/>
    <mergeCell ref="G44:O44"/>
    <mergeCell ref="P44:T44"/>
    <mergeCell ref="U44:Y44"/>
    <mergeCell ref="Z44:AD44"/>
    <mergeCell ref="A45:B45"/>
    <mergeCell ref="C45:F45"/>
    <mergeCell ref="G45:O45"/>
    <mergeCell ref="P45:T45"/>
    <mergeCell ref="U45:Y45"/>
    <mergeCell ref="Z43:AD43"/>
    <mergeCell ref="A42:B42"/>
    <mergeCell ref="C42:F42"/>
    <mergeCell ref="G42:O42"/>
    <mergeCell ref="P42:T42"/>
    <mergeCell ref="U42:Y42"/>
    <mergeCell ref="Z42:AD42"/>
    <mergeCell ref="A43:B43"/>
    <mergeCell ref="C43:F43"/>
    <mergeCell ref="G43:O43"/>
    <mergeCell ref="P43:T43"/>
    <mergeCell ref="U43:Y43"/>
    <mergeCell ref="Z41:AD41"/>
    <mergeCell ref="A40:B40"/>
    <mergeCell ref="C40:F40"/>
    <mergeCell ref="G40:O40"/>
    <mergeCell ref="P40:T40"/>
    <mergeCell ref="U40:Y40"/>
    <mergeCell ref="Z40:AD40"/>
    <mergeCell ref="A41:B41"/>
    <mergeCell ref="C41:F41"/>
    <mergeCell ref="G41:O41"/>
    <mergeCell ref="P41:T41"/>
    <mergeCell ref="U41:Y41"/>
    <mergeCell ref="A8:AD38"/>
    <mergeCell ref="A39:B39"/>
    <mergeCell ref="C39:F39"/>
    <mergeCell ref="G39:O39"/>
    <mergeCell ref="P39:T39"/>
    <mergeCell ref="U39:Y39"/>
    <mergeCell ref="Z39:AD3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CA4E-8DA1-4F49-8B57-EF6ADB102D37}">
  <sheetPr codeName="Foglio3"/>
  <dimension ref="A2:W71"/>
  <sheetViews>
    <sheetView topLeftCell="A10" zoomScale="85" zoomScaleNormal="85" workbookViewId="0">
      <selection activeCell="H15" sqref="H15"/>
    </sheetView>
  </sheetViews>
  <sheetFormatPr defaultRowHeight="15" x14ac:dyDescent="0.25"/>
  <cols>
    <col min="1" max="1" width="13.28515625" bestFit="1" customWidth="1"/>
    <col min="2" max="2" width="22" customWidth="1"/>
    <col min="3" max="3" width="12.85546875" customWidth="1"/>
    <col min="4" max="5" width="13" customWidth="1"/>
    <col min="6" max="6" width="12.85546875" customWidth="1"/>
    <col min="7" max="12" width="13" customWidth="1"/>
    <col min="13" max="13" width="12.85546875" style="21" customWidth="1"/>
    <col min="14" max="14" width="13" customWidth="1"/>
    <col min="15" max="17" width="11.28515625" bestFit="1" customWidth="1"/>
    <col min="18" max="19" width="14.85546875" bestFit="1" customWidth="1"/>
    <col min="20" max="23" width="11.28515625" bestFit="1" customWidth="1"/>
    <col min="26" max="26" width="10.28515625" bestFit="1" customWidth="1"/>
    <col min="27" max="27" width="9.5703125" bestFit="1" customWidth="1"/>
    <col min="28" max="29" width="9.28515625" bestFit="1" customWidth="1"/>
  </cols>
  <sheetData>
    <row r="2" spans="1:14" x14ac:dyDescent="0.25">
      <c r="A2" s="127" t="s">
        <v>10</v>
      </c>
      <c r="B2" s="127"/>
      <c r="C2" s="127"/>
      <c r="D2" s="127"/>
      <c r="E2" s="127"/>
      <c r="F2" s="128"/>
      <c r="H2" s="58" cm="1">
        <f t="array" ref="H2">_xlfn.IFS(B21&lt;I2,I2,B21&lt;J2,B21,B21&gt;=J2,J2)</f>
        <v>0.11986301369863016</v>
      </c>
      <c r="I2" s="58">
        <v>1.6E-2</v>
      </c>
      <c r="J2" s="58">
        <v>0.18</v>
      </c>
      <c r="K2" s="127" t="s">
        <v>11</v>
      </c>
      <c r="L2" s="131"/>
    </row>
    <row r="3" spans="1:14" ht="17.25" x14ac:dyDescent="0.25">
      <c r="A3" s="16" t="s">
        <v>12</v>
      </c>
      <c r="B3" s="17">
        <v>477</v>
      </c>
      <c r="C3" s="138" t="s">
        <v>13</v>
      </c>
      <c r="D3" s="139"/>
      <c r="E3" s="139"/>
      <c r="F3" s="140"/>
      <c r="H3" s="58" cm="1">
        <f t="array" ref="H3">_xlfn.IFS(B22&lt;I3,I3,B22&lt;J3,B22,B22&gt;=J3,J3)</f>
        <v>0.14897260273972604</v>
      </c>
      <c r="I3" s="58">
        <v>0</v>
      </c>
      <c r="J3" s="58">
        <v>0.25</v>
      </c>
      <c r="K3" s="132" t="s">
        <v>14</v>
      </c>
      <c r="L3" s="133"/>
      <c r="N3" s="63"/>
    </row>
    <row r="4" spans="1:14" x14ac:dyDescent="0.25">
      <c r="A4" s="16" t="s">
        <v>15</v>
      </c>
      <c r="B4" s="23">
        <v>9.0600000000000007E-5</v>
      </c>
      <c r="C4" s="123" t="s">
        <v>16</v>
      </c>
      <c r="D4" s="123"/>
      <c r="E4" s="123"/>
      <c r="F4" s="124"/>
      <c r="H4" s="58" cm="1">
        <f t="array" ref="H4">_xlfn.IFS(B23&lt;I4,I4,B23&lt;J4,B23,B23&gt;=J4,J4)</f>
        <v>5.9931506849315079E-2</v>
      </c>
      <c r="I4" s="58">
        <v>4.4999999999999997E-3</v>
      </c>
      <c r="J4" s="58">
        <v>0.06</v>
      </c>
      <c r="K4" s="134" t="s">
        <v>17</v>
      </c>
      <c r="L4" s="135"/>
      <c r="N4" s="57"/>
    </row>
    <row r="5" spans="1:14" ht="17.25" x14ac:dyDescent="0.25">
      <c r="A5" s="16" t="s">
        <v>18</v>
      </c>
      <c r="B5" s="17">
        <v>59</v>
      </c>
      <c r="C5" s="123" t="s">
        <v>19</v>
      </c>
      <c r="D5" s="123"/>
      <c r="E5" s="123"/>
      <c r="F5" s="124"/>
      <c r="H5" s="58" cm="1">
        <f t="array" ref="H5">_xlfn.IFS(B24&lt;I5,I5,B24&lt;J5,B24,B24&gt;=J5,J5)</f>
        <v>0.80272108843537415</v>
      </c>
      <c r="I5" s="58">
        <v>0.25</v>
      </c>
      <c r="J5" s="58">
        <v>1.4</v>
      </c>
      <c r="K5" s="141" t="s">
        <v>20</v>
      </c>
      <c r="L5" s="142"/>
    </row>
    <row r="6" spans="1:14" ht="18.75" x14ac:dyDescent="0.35">
      <c r="A6" s="16" t="s">
        <v>21</v>
      </c>
      <c r="B6" s="17">
        <v>73.5</v>
      </c>
      <c r="C6" s="123" t="s">
        <v>22</v>
      </c>
      <c r="D6" s="123"/>
      <c r="E6" s="123"/>
      <c r="F6" s="124"/>
      <c r="H6" s="58" cm="1">
        <f t="array" ref="H6">_xlfn.IFS(B25&lt;I6,I6,B25&lt;J6,B25,B25&gt;=J6,J6)</f>
        <v>292</v>
      </c>
      <c r="I6" s="58">
        <v>160</v>
      </c>
      <c r="J6" s="58">
        <v>370</v>
      </c>
      <c r="K6" s="136" t="s">
        <v>23</v>
      </c>
      <c r="L6" s="137"/>
    </row>
    <row r="7" spans="1:14" ht="18" x14ac:dyDescent="0.35">
      <c r="A7" s="16" t="s">
        <v>24</v>
      </c>
      <c r="B7" s="17">
        <v>17.5</v>
      </c>
      <c r="C7" s="108" t="s">
        <v>25</v>
      </c>
      <c r="D7" s="109"/>
      <c r="E7" s="109"/>
      <c r="F7" s="110"/>
      <c r="G7" s="21"/>
      <c r="H7" s="58" cm="1">
        <f t="array" ref="H7">_xlfn.IFS(B14&lt;I7,I7,B14&lt;J7,B14,B14&gt;=J7,J7)</f>
        <v>0.14599999999999999</v>
      </c>
      <c r="I7" s="58">
        <f>I6/2/1000</f>
        <v>0.08</v>
      </c>
      <c r="J7" s="58">
        <f>J6/2/1000</f>
        <v>0.185</v>
      </c>
    </row>
    <row r="8" spans="1:14" ht="18" x14ac:dyDescent="0.35">
      <c r="A8" s="16" t="s">
        <v>26</v>
      </c>
      <c r="B8" s="24">
        <f>B7/1000</f>
        <v>1.7500000000000002E-2</v>
      </c>
      <c r="C8" s="111"/>
      <c r="D8" s="112"/>
      <c r="E8" s="112"/>
      <c r="F8" s="113"/>
      <c r="H8" s="58"/>
    </row>
    <row r="9" spans="1:14" ht="18" x14ac:dyDescent="0.35">
      <c r="A9" s="16" t="s">
        <v>27</v>
      </c>
      <c r="B9" s="17">
        <v>21.75</v>
      </c>
      <c r="C9" s="114" t="s">
        <v>28</v>
      </c>
      <c r="D9" s="115"/>
      <c r="E9" s="115"/>
      <c r="F9" s="116"/>
      <c r="G9" s="68"/>
      <c r="H9" s="59" t="s">
        <v>29</v>
      </c>
      <c r="I9" s="58">
        <v>1</v>
      </c>
    </row>
    <row r="10" spans="1:14" ht="18" x14ac:dyDescent="0.35">
      <c r="A10" s="16" t="s">
        <v>30</v>
      </c>
      <c r="B10" s="24">
        <f>B9/1000</f>
        <v>2.1749999999999999E-2</v>
      </c>
      <c r="C10" s="117"/>
      <c r="D10" s="118"/>
      <c r="E10" s="118"/>
      <c r="F10" s="119"/>
      <c r="G10" s="68"/>
      <c r="H10" s="59" t="s">
        <v>31</v>
      </c>
      <c r="I10" s="58">
        <v>2</v>
      </c>
    </row>
    <row r="11" spans="1:14" ht="18" x14ac:dyDescent="0.35">
      <c r="A11" s="16" t="s">
        <v>32</v>
      </c>
      <c r="B11" s="17">
        <v>8.75</v>
      </c>
      <c r="C11" s="108" t="s">
        <v>33</v>
      </c>
      <c r="D11" s="109"/>
      <c r="E11" s="109"/>
      <c r="F11" s="110"/>
      <c r="G11" s="68"/>
      <c r="H11" s="19"/>
      <c r="I11" s="19">
        <f>IF(B18=H9,I9,2)</f>
        <v>1</v>
      </c>
    </row>
    <row r="12" spans="1:14" ht="18" x14ac:dyDescent="0.35">
      <c r="A12" s="16" t="s">
        <v>34</v>
      </c>
      <c r="B12" s="24">
        <f>B11/1000</f>
        <v>8.7500000000000008E-3</v>
      </c>
      <c r="C12" s="111"/>
      <c r="D12" s="112"/>
      <c r="E12" s="112"/>
      <c r="F12" s="113"/>
    </row>
    <row r="13" spans="1:14" ht="18" x14ac:dyDescent="0.35">
      <c r="A13" s="16" t="s">
        <v>35</v>
      </c>
      <c r="B13" s="17">
        <v>292</v>
      </c>
      <c r="C13" s="123" t="s">
        <v>36</v>
      </c>
      <c r="D13" s="123"/>
      <c r="E13" s="123"/>
      <c r="F13" s="124"/>
    </row>
    <row r="14" spans="1:14" ht="18" x14ac:dyDescent="0.35">
      <c r="A14" s="16" t="s">
        <v>37</v>
      </c>
      <c r="B14" s="24">
        <f>B13/2/1000</f>
        <v>0.14599999999999999</v>
      </c>
      <c r="C14" s="123" t="s">
        <v>38</v>
      </c>
      <c r="D14" s="123"/>
      <c r="E14" s="123"/>
      <c r="F14" s="124"/>
    </row>
    <row r="15" spans="1:14" ht="18" x14ac:dyDescent="0.35">
      <c r="A15" s="16" t="s">
        <v>39</v>
      </c>
      <c r="B15" s="17">
        <v>8.5</v>
      </c>
      <c r="C15" s="108" t="s">
        <v>40</v>
      </c>
      <c r="D15" s="109"/>
      <c r="E15" s="109"/>
      <c r="F15" s="110"/>
      <c r="G15" s="21"/>
    </row>
    <row r="16" spans="1:14" ht="18" x14ac:dyDescent="0.35">
      <c r="A16" s="64" t="s">
        <v>41</v>
      </c>
      <c r="B16" s="65">
        <f>B15/1000</f>
        <v>8.5000000000000006E-3</v>
      </c>
      <c r="C16" s="120"/>
      <c r="D16" s="121"/>
      <c r="E16" s="121"/>
      <c r="F16" s="122"/>
    </row>
    <row r="17" spans="1:16" ht="18" x14ac:dyDescent="0.35">
      <c r="A17" s="16" t="s">
        <v>42</v>
      </c>
      <c r="B17" s="24">
        <f>PI()*B3*H7^2*B16</f>
        <v>0.27151441331639375</v>
      </c>
      <c r="C17" s="123" t="s">
        <v>43</v>
      </c>
      <c r="D17" s="123"/>
      <c r="E17" s="123"/>
      <c r="F17" s="124"/>
    </row>
    <row r="18" spans="1:16" x14ac:dyDescent="0.25">
      <c r="A18" s="18" t="s">
        <v>44</v>
      </c>
      <c r="B18" s="66" t="s">
        <v>29</v>
      </c>
      <c r="C18" s="125" t="s">
        <v>45</v>
      </c>
      <c r="D18" s="125"/>
      <c r="E18" s="125"/>
      <c r="F18" s="126"/>
    </row>
    <row r="20" spans="1:16" x14ac:dyDescent="0.25">
      <c r="A20" s="127" t="s">
        <v>46</v>
      </c>
      <c r="B20" s="127"/>
      <c r="C20" s="127"/>
      <c r="D20" s="127"/>
      <c r="E20" s="127"/>
      <c r="F20" s="128"/>
    </row>
    <row r="21" spans="1:16" ht="29.25" customHeight="1" x14ac:dyDescent="0.25">
      <c r="A21" s="60" t="s">
        <v>47</v>
      </c>
      <c r="B21" s="61">
        <f>B8/H7</f>
        <v>0.11986301369863016</v>
      </c>
      <c r="C21" s="129" t="s">
        <v>48</v>
      </c>
      <c r="D21" s="129"/>
      <c r="E21" s="129"/>
      <c r="F21" s="130"/>
    </row>
    <row r="22" spans="1:16" ht="20.25" customHeight="1" x14ac:dyDescent="0.25">
      <c r="A22" s="60" t="s">
        <v>49</v>
      </c>
      <c r="B22" s="61">
        <f>B10/H7</f>
        <v>0.14897260273972604</v>
      </c>
      <c r="C22" s="123" t="s">
        <v>50</v>
      </c>
      <c r="D22" s="123"/>
      <c r="E22" s="123"/>
      <c r="F22" s="124"/>
    </row>
    <row r="23" spans="1:16" ht="28.5" customHeight="1" x14ac:dyDescent="0.25">
      <c r="A23" s="60" t="s">
        <v>51</v>
      </c>
      <c r="B23" s="61">
        <f>B12/H7</f>
        <v>5.9931506849315079E-2</v>
      </c>
      <c r="C23" s="129" t="s">
        <v>52</v>
      </c>
      <c r="D23" s="129"/>
      <c r="E23" s="129"/>
      <c r="F23" s="130"/>
    </row>
    <row r="24" spans="1:16" ht="15" customHeight="1" x14ac:dyDescent="0.25">
      <c r="A24" s="60" t="s">
        <v>53</v>
      </c>
      <c r="B24" s="61">
        <f>B5/B6</f>
        <v>0.80272108843537415</v>
      </c>
      <c r="C24" s="108" t="s">
        <v>54</v>
      </c>
      <c r="D24" s="109"/>
      <c r="E24" s="109"/>
      <c r="F24" s="110"/>
    </row>
    <row r="25" spans="1:16" ht="18" x14ac:dyDescent="0.25">
      <c r="A25" s="29" t="s">
        <v>35</v>
      </c>
      <c r="B25" s="62">
        <f>B13</f>
        <v>292</v>
      </c>
      <c r="C25" s="125" t="s">
        <v>55</v>
      </c>
      <c r="D25" s="125"/>
      <c r="E25" s="125"/>
      <c r="F25" s="126"/>
    </row>
    <row r="27" spans="1:16" x14ac:dyDescent="0.25">
      <c r="A27" s="143" t="s">
        <v>56</v>
      </c>
      <c r="B27" s="144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</row>
    <row r="28" spans="1:16" x14ac:dyDescent="0.25">
      <c r="A28" s="27" t="s">
        <v>57</v>
      </c>
      <c r="B28" s="145" t="s">
        <v>58</v>
      </c>
      <c r="C28" s="25">
        <v>1150</v>
      </c>
      <c r="D28" s="25">
        <v>1600</v>
      </c>
      <c r="E28" s="25">
        <v>2050</v>
      </c>
      <c r="F28" s="25">
        <v>2500</v>
      </c>
      <c r="G28" s="25">
        <v>2950</v>
      </c>
      <c r="H28" s="25">
        <v>3400</v>
      </c>
      <c r="I28" s="25">
        <v>3850</v>
      </c>
      <c r="J28" s="25">
        <v>4300</v>
      </c>
      <c r="K28" s="25">
        <v>4750</v>
      </c>
      <c r="L28" s="25">
        <v>5200</v>
      </c>
      <c r="M28" s="25">
        <v>5650</v>
      </c>
      <c r="N28" s="67">
        <v>6100</v>
      </c>
      <c r="O28" s="67">
        <v>6550</v>
      </c>
      <c r="P28" s="37">
        <v>5220</v>
      </c>
    </row>
    <row r="29" spans="1:16" x14ac:dyDescent="0.25">
      <c r="A29" s="29" t="s">
        <v>59</v>
      </c>
      <c r="B29" s="146"/>
      <c r="C29" s="30">
        <f>'Impeller Interaction'!C$28*2*PI()/60</f>
        <v>120.42771838760873</v>
      </c>
      <c r="D29" s="30">
        <f>'Impeller Interaction'!D$28*2*PI()/60</f>
        <v>167.55160819145564</v>
      </c>
      <c r="E29" s="30">
        <f>'Impeller Interaction'!E$28*2*PI()/60</f>
        <v>214.67549799530252</v>
      </c>
      <c r="F29" s="30">
        <f>'Impeller Interaction'!F$28*2*PI()/60</f>
        <v>261.79938779914943</v>
      </c>
      <c r="G29" s="30">
        <f>'Impeller Interaction'!G$28*2*PI()/60</f>
        <v>308.92327760299634</v>
      </c>
      <c r="H29" s="30">
        <f>'Impeller Interaction'!H$28*2*PI()/60</f>
        <v>356.04716740684319</v>
      </c>
      <c r="I29" s="30">
        <f>'Impeller Interaction'!I$28*2*PI()/60</f>
        <v>403.17105721069015</v>
      </c>
      <c r="J29" s="30">
        <f>'Impeller Interaction'!J$28*2*PI()/60</f>
        <v>450.294947014537</v>
      </c>
      <c r="K29" s="30">
        <f>'Impeller Interaction'!K$28*2*PI()/60</f>
        <v>497.41883681838391</v>
      </c>
      <c r="L29" s="30">
        <f>'Impeller Interaction'!L$28*2*PI()/60</f>
        <v>544.54272662223082</v>
      </c>
      <c r="M29" s="30">
        <f>'Impeller Interaction'!M$28*2*PI()/60</f>
        <v>591.66661642607767</v>
      </c>
      <c r="N29" s="30">
        <f>'Impeller Interaction'!N$28*2*PI()/60</f>
        <v>638.79050622992463</v>
      </c>
      <c r="O29" s="30">
        <f>'Impeller Interaction'!O$28*2*PI()/60</f>
        <v>685.91439603377148</v>
      </c>
      <c r="P29" s="38">
        <f>'Impeller Interaction'!P$28*2*PI()/60</f>
        <v>546.63712172462397</v>
      </c>
    </row>
    <row r="30" spans="1:16" ht="30" x14ac:dyDescent="0.25">
      <c r="A30" s="44" t="s">
        <v>60</v>
      </c>
      <c r="B30" s="43" t="s">
        <v>61</v>
      </c>
      <c r="C30" s="31">
        <f>$B$3*'Impeller Interaction'!C$29*$H$7^2/$B$4</f>
        <v>13515196.092016308</v>
      </c>
      <c r="D30" s="31">
        <f>$B$3*'Impeller Interaction'!D$29*$H$7^2/$B$4</f>
        <v>18803751.084544431</v>
      </c>
      <c r="E30" s="31">
        <f>$B$3*'Impeller Interaction'!E$29*$H$7^2/$B$4</f>
        <v>24092306.07707255</v>
      </c>
      <c r="F30" s="31">
        <f>$B$3*'Impeller Interaction'!F$29*$H$7^2/$B$4</f>
        <v>29380861.069600672</v>
      </c>
      <c r="G30" s="31">
        <f>$B$3*'Impeller Interaction'!G$29*$H$7^2/$B$4</f>
        <v>34669416.06212879</v>
      </c>
      <c r="H30" s="31">
        <f>$B$3*'Impeller Interaction'!H$29*$H$7^2/$B$4</f>
        <v>39957971.054656908</v>
      </c>
      <c r="I30" s="31">
        <f>$B$3*'Impeller Interaction'!I$29*$H$7^2/$B$4</f>
        <v>45246526.047185034</v>
      </c>
      <c r="J30" s="31">
        <f>$B$3*'Impeller Interaction'!J$29*$H$7^2/$B$4</f>
        <v>50535081.039713152</v>
      </c>
      <c r="K30" s="31">
        <f>$B$3*'Impeller Interaction'!K$29*$H$7^2/$B$4</f>
        <v>55823636.032241277</v>
      </c>
      <c r="L30" s="31">
        <f>$B$3*'Impeller Interaction'!L$29*$H$7^2/$B$4</f>
        <v>61112191.024769396</v>
      </c>
      <c r="M30" s="31">
        <f>$B$3*'Impeller Interaction'!M$29*$H$7^2/$B$4</f>
        <v>66400746.017297514</v>
      </c>
      <c r="N30" s="31">
        <f>$B$3*'Impeller Interaction'!N$29*$H$7^2/$B$4</f>
        <v>71689301.009825647</v>
      </c>
      <c r="O30" s="31">
        <f>$B$3*'Impeller Interaction'!O$29*$H$7^2/$B$4</f>
        <v>76977856.002353758</v>
      </c>
      <c r="P30" s="41">
        <f>$B$3*'Impeller Interaction'!P$29*$H$7^2/$B$4</f>
        <v>61347237.913326189</v>
      </c>
    </row>
    <row r="31" spans="1:16" ht="30" x14ac:dyDescent="0.25">
      <c r="A31" s="27" t="s">
        <v>62</v>
      </c>
      <c r="B31" s="35" t="s">
        <v>63</v>
      </c>
      <c r="C31" s="32">
        <f>(-3.4/(0.53+0.47*$H$5))*(0.25+6*$H$3)*(0.033/$H$2)^0.32*(0.02/$H$4)^0.55</f>
        <v>-1.5513259388555785</v>
      </c>
      <c r="D31" s="32">
        <f t="shared" ref="D31:P31" si="0">(-3.4/(0.53+0.47*$H$5))*(0.25+6*$H$3)*(0.033/$H$2)^0.32*(0.02/$H$4)^0.55</f>
        <v>-1.5513259388555785</v>
      </c>
      <c r="E31" s="32">
        <f t="shared" si="0"/>
        <v>-1.5513259388555785</v>
      </c>
      <c r="F31" s="32">
        <f t="shared" si="0"/>
        <v>-1.5513259388555785</v>
      </c>
      <c r="G31" s="32">
        <f t="shared" si="0"/>
        <v>-1.5513259388555785</v>
      </c>
      <c r="H31" s="32">
        <f t="shared" si="0"/>
        <v>-1.5513259388555785</v>
      </c>
      <c r="I31" s="32">
        <f t="shared" si="0"/>
        <v>-1.5513259388555785</v>
      </c>
      <c r="J31" s="32">
        <f t="shared" si="0"/>
        <v>-1.5513259388555785</v>
      </c>
      <c r="K31" s="32">
        <f t="shared" si="0"/>
        <v>-1.5513259388555785</v>
      </c>
      <c r="L31" s="32">
        <f t="shared" si="0"/>
        <v>-1.5513259388555785</v>
      </c>
      <c r="M31" s="32">
        <f t="shared" si="0"/>
        <v>-1.5513259388555785</v>
      </c>
      <c r="N31" s="32">
        <f t="shared" si="0"/>
        <v>-1.5513259388555785</v>
      </c>
      <c r="O31" s="32">
        <f t="shared" si="0"/>
        <v>-1.5513259388555785</v>
      </c>
      <c r="P31" s="39">
        <f t="shared" si="0"/>
        <v>-1.5513259388555785</v>
      </c>
    </row>
    <row r="32" spans="1:16" ht="30" x14ac:dyDescent="0.25">
      <c r="A32" s="28" t="s">
        <v>64</v>
      </c>
      <c r="B32" s="35" t="s">
        <v>65</v>
      </c>
      <c r="C32" s="34">
        <f t="shared" ref="C32:N32" si="1">4.1*(10^7/C30)^-0.25*(0.67+2.64*$H$3)*(0.033/$H$2)^0.4*(0.02/$H$4)^0.2</f>
        <v>2.2529247251491946</v>
      </c>
      <c r="D32" s="34">
        <f t="shared" si="1"/>
        <v>2.4468210995373605</v>
      </c>
      <c r="E32" s="34">
        <f t="shared" si="1"/>
        <v>2.603218886705652</v>
      </c>
      <c r="F32" s="34">
        <f t="shared" si="1"/>
        <v>2.7356291536731585</v>
      </c>
      <c r="G32" s="34">
        <f t="shared" si="1"/>
        <v>2.8512002812720731</v>
      </c>
      <c r="H32" s="34">
        <f t="shared" si="1"/>
        <v>2.9542139900549089</v>
      </c>
      <c r="I32" s="34">
        <f t="shared" si="1"/>
        <v>3.0474557172774173</v>
      </c>
      <c r="J32" s="34">
        <f t="shared" si="1"/>
        <v>3.1328480784406931</v>
      </c>
      <c r="K32" s="34">
        <f t="shared" si="1"/>
        <v>3.2117787740008721</v>
      </c>
      <c r="L32" s="34">
        <f t="shared" si="1"/>
        <v>3.285285047930651</v>
      </c>
      <c r="M32" s="34">
        <f t="shared" si="1"/>
        <v>3.3541643072455347</v>
      </c>
      <c r="N32" s="34">
        <f t="shared" si="1"/>
        <v>3.4190439224467744</v>
      </c>
      <c r="O32" s="34">
        <f t="shared" ref="O32:P32" si="2">4.1*(10^7/O30)^-0.25*(0.67+2.64*$H$3)*(0.033/$H$2)^0.4*(0.02/$H$4)^0.2</f>
        <v>3.4804271369895634</v>
      </c>
      <c r="P32" s="40">
        <f t="shared" si="2"/>
        <v>3.2884394299104702</v>
      </c>
    </row>
    <row r="33" spans="1:16" ht="30" x14ac:dyDescent="0.25">
      <c r="A33" s="28" t="s">
        <v>66</v>
      </c>
      <c r="B33" s="35" t="s">
        <v>67</v>
      </c>
      <c r="C33" s="34">
        <f t="shared" ref="C33:N33" si="3">3.8*(10^7/C30)^0.1*(0.67+2.64*$H$3)*(0.033/$H$2)^0.5*(0.02/$H$4)^0.55*(1.67-0.67*$H$5)</f>
        <v>1.2736113797112476</v>
      </c>
      <c r="D33" s="34">
        <f t="shared" si="3"/>
        <v>1.2322383378593582</v>
      </c>
      <c r="E33" s="34">
        <f t="shared" si="3"/>
        <v>1.20207434594181</v>
      </c>
      <c r="F33" s="34">
        <f t="shared" si="3"/>
        <v>1.1784542147489177</v>
      </c>
      <c r="G33" s="34">
        <f t="shared" si="3"/>
        <v>1.1591096280260498</v>
      </c>
      <c r="H33" s="34">
        <f t="shared" si="3"/>
        <v>1.1427699800024518</v>
      </c>
      <c r="I33" s="34">
        <f t="shared" si="3"/>
        <v>1.1286535239927227</v>
      </c>
      <c r="J33" s="34">
        <f t="shared" si="3"/>
        <v>1.1162458809355316</v>
      </c>
      <c r="K33" s="34">
        <f t="shared" si="3"/>
        <v>1.1051910363212398</v>
      </c>
      <c r="L33" s="34">
        <f t="shared" si="3"/>
        <v>1.0952326460214477</v>
      </c>
      <c r="M33" s="34">
        <f t="shared" si="3"/>
        <v>1.0861801707809209</v>
      </c>
      <c r="N33" s="34">
        <f t="shared" si="3"/>
        <v>1.0778882342004088</v>
      </c>
      <c r="O33" s="34">
        <f t="shared" ref="O33:P33" si="4">3.8*(10^7/O30)^0.1*(0.67+2.64*$H$3)*(0.033/$H$2)^0.5*(0.02/$H$4)^0.55*(1.67-0.67*$H$5)</f>
        <v>1.0702434654723645</v>
      </c>
      <c r="P33" s="40">
        <f t="shared" si="4"/>
        <v>1.0948122913957405</v>
      </c>
    </row>
    <row r="34" spans="1:16" ht="30" x14ac:dyDescent="0.25">
      <c r="A34" s="28" t="s">
        <v>68</v>
      </c>
      <c r="B34" s="35" t="s">
        <v>69</v>
      </c>
      <c r="C34" s="34">
        <f t="shared" ref="C34:N34" si="5">10.4*(10^7/C30)^0.2*(0.67+2.64*$H$3)*(0.033/$H$2)^0.7*(0.02/$H$4)^0.25*(1.67-0.67*$H$5)</f>
        <v>3.6320995912194518</v>
      </c>
      <c r="D34" s="34">
        <f t="shared" si="5"/>
        <v>3.3999561805955576</v>
      </c>
      <c r="E34" s="34">
        <f>10.4*(10^7/E30)^0.2*(0.67+2.64*$H$3)*(0.033/$H$2)^0.7*(0.02/$H$4)^0.25*(1.67-0.67*$H$5)</f>
        <v>3.2355382929606606</v>
      </c>
      <c r="F34" s="34">
        <f t="shared" si="5"/>
        <v>3.1096342754357713</v>
      </c>
      <c r="G34" s="34">
        <f t="shared" si="5"/>
        <v>3.0083815263376099</v>
      </c>
      <c r="H34" s="34">
        <f t="shared" si="5"/>
        <v>2.9241626991498912</v>
      </c>
      <c r="I34" s="34">
        <f t="shared" si="5"/>
        <v>2.852365470469763</v>
      </c>
      <c r="J34" s="34">
        <f t="shared" si="5"/>
        <v>2.7899962863866521</v>
      </c>
      <c r="K34" s="34">
        <f t="shared" si="5"/>
        <v>2.7350079584371798</v>
      </c>
      <c r="L34" s="34">
        <f t="shared" si="5"/>
        <v>2.6859421068741884</v>
      </c>
      <c r="M34" s="34">
        <f t="shared" si="5"/>
        <v>2.6417251252865932</v>
      </c>
      <c r="N34" s="34">
        <f t="shared" si="5"/>
        <v>2.6015450410543379</v>
      </c>
      <c r="O34" s="34">
        <f t="shared" ref="O34:P34" si="6">10.4*(10^7/O30)^0.2*(0.67+2.64*$H$3)*(0.033/$H$2)^0.7*(0.02/$H$4)^0.25*(1.67-0.67*$H$5)</f>
        <v>2.564773727671156</v>
      </c>
      <c r="P34" s="40">
        <f t="shared" si="6"/>
        <v>2.6838807520989736</v>
      </c>
    </row>
    <row r="35" spans="1:16" ht="30" x14ac:dyDescent="0.25">
      <c r="A35" s="28" t="s">
        <v>70</v>
      </c>
      <c r="B35" s="35" t="s">
        <v>71</v>
      </c>
      <c r="C35" s="34">
        <f t="shared" ref="C35:N35" si="7">8.3*(10^7/C30)^0.1*(0.25+6*$H$3)*(0.033/$H$2)^0.65*(0.02/$H$4)^0.17*(1.33-0.33*$H$5)</f>
        <v>3.5205708659853072</v>
      </c>
      <c r="D35" s="34">
        <f t="shared" si="7"/>
        <v>3.4062057400911141</v>
      </c>
      <c r="E35" s="34">
        <f t="shared" si="7"/>
        <v>3.3228251478332047</v>
      </c>
      <c r="F35" s="34">
        <f t="shared" si="7"/>
        <v>3.2575333743353108</v>
      </c>
      <c r="G35" s="34">
        <f t="shared" si="7"/>
        <v>3.2040602431149416</v>
      </c>
      <c r="H35" s="34">
        <f t="shared" si="7"/>
        <v>3.1588934915385107</v>
      </c>
      <c r="I35" s="34">
        <f t="shared" si="7"/>
        <v>3.1198721820947437</v>
      </c>
      <c r="J35" s="34">
        <f t="shared" si="7"/>
        <v>3.0855744462558929</v>
      </c>
      <c r="K35" s="34">
        <f t="shared" si="7"/>
        <v>3.0550161735385948</v>
      </c>
      <c r="L35" s="34">
        <f t="shared" si="7"/>
        <v>3.027488766575956</v>
      </c>
      <c r="M35" s="34">
        <f t="shared" si="7"/>
        <v>3.0024655286365487</v>
      </c>
      <c r="N35" s="34">
        <f t="shared" si="7"/>
        <v>2.979544604080608</v>
      </c>
      <c r="O35" s="34">
        <f t="shared" ref="O35:P35" si="8">8.3*(10^7/O30)^0.1*(0.25+6*$H$3)*(0.033/$H$2)^0.65*(0.02/$H$4)^0.17*(1.33-0.33*$H$5)</f>
        <v>2.9584126084892604</v>
      </c>
      <c r="P35" s="40">
        <f t="shared" si="8"/>
        <v>3.0263268044011342</v>
      </c>
    </row>
    <row r="36" spans="1:16" ht="30" x14ac:dyDescent="0.25">
      <c r="A36" s="29" t="s">
        <v>72</v>
      </c>
      <c r="B36" s="36" t="s">
        <v>73</v>
      </c>
      <c r="C36" s="31">
        <f>3*(10^7/C30)^-0.55*(0.25+6*$H$3)*(0.033/$H$2)^0.9*(0.02/$H$4)^-0.75</f>
        <v>2.8890292357000193</v>
      </c>
      <c r="D36" s="31">
        <f t="shared" ref="D36:N36" si="9">3*(10^7/D30)^-0.55*(0.25+6*$H$3)*(0.033/$H$2)^0.9*(0.02/$H$4)^-0.75</f>
        <v>3.4644485414264254</v>
      </c>
      <c r="E36" s="31">
        <f t="shared" si="9"/>
        <v>3.9703861581334592</v>
      </c>
      <c r="F36" s="31">
        <f t="shared" si="9"/>
        <v>4.4282805690572715</v>
      </c>
      <c r="G36" s="31">
        <f t="shared" si="9"/>
        <v>4.8503182263668609</v>
      </c>
      <c r="H36" s="31">
        <f t="shared" si="9"/>
        <v>5.2442275645315926</v>
      </c>
      <c r="I36" s="31">
        <f t="shared" si="9"/>
        <v>5.615281409299862</v>
      </c>
      <c r="J36" s="31">
        <f t="shared" si="9"/>
        <v>5.9672711868128854</v>
      </c>
      <c r="K36" s="31">
        <f t="shared" si="9"/>
        <v>6.3030334197415936</v>
      </c>
      <c r="L36" s="31">
        <f t="shared" si="9"/>
        <v>6.6247571649968862</v>
      </c>
      <c r="M36" s="31">
        <f t="shared" si="9"/>
        <v>6.9341745681547824</v>
      </c>
      <c r="N36" s="31">
        <f t="shared" si="9"/>
        <v>7.2326847136664831</v>
      </c>
      <c r="O36" s="31">
        <f t="shared" ref="O36:P36" si="10">3*(10^7/O30)^-0.55*(0.25+6*$H$3)*(0.033/$H$2)^0.9*(0.02/$H$4)^-0.75</f>
        <v>7.521437300567567</v>
      </c>
      <c r="P36" s="41">
        <f t="shared" si="10"/>
        <v>6.6387589694543889</v>
      </c>
    </row>
    <row r="37" spans="1:16" x14ac:dyDescent="0.25">
      <c r="A37" s="27" t="s">
        <v>74</v>
      </c>
      <c r="B37" s="35" t="s">
        <v>75</v>
      </c>
      <c r="C37" s="32">
        <f>$B$17*C29^2*C31*$I$11</f>
        <v>-6108.7008789999045</v>
      </c>
      <c r="D37" s="32">
        <f t="shared" ref="D37:N37" si="11">$B$17*D29^2*D31*$I$11</f>
        <v>-11824.782041769195</v>
      </c>
      <c r="E37" s="32">
        <f t="shared" si="11"/>
        <v>-19411.580675990248</v>
      </c>
      <c r="F37" s="32">
        <f t="shared" si="11"/>
        <v>-28869.096781663069</v>
      </c>
      <c r="G37" s="32">
        <f t="shared" si="11"/>
        <v>-40197.330358787658</v>
      </c>
      <c r="H37" s="32">
        <f t="shared" si="11"/>
        <v>-53396.281407364004</v>
      </c>
      <c r="I37" s="32">
        <f t="shared" si="11"/>
        <v>-68465.949927392139</v>
      </c>
      <c r="J37" s="32">
        <f>$B$17*J29^2*J31*$I$11</f>
        <v>-85406.335918872021</v>
      </c>
      <c r="K37" s="32">
        <f t="shared" si="11"/>
        <v>-104217.43938180368</v>
      </c>
      <c r="L37" s="32">
        <f t="shared" si="11"/>
        <v>-124899.26031618711</v>
      </c>
      <c r="M37" s="32">
        <f t="shared" si="11"/>
        <v>-147451.79872202224</v>
      </c>
      <c r="N37" s="32">
        <f t="shared" si="11"/>
        <v>-171875.05459930925</v>
      </c>
      <c r="O37" s="32">
        <f t="shared" ref="O37:P37" si="12">$B$17*O29^2*O31*$I$11</f>
        <v>-198169.02794804797</v>
      </c>
      <c r="P37" s="39">
        <f t="shared" si="12"/>
        <v>-125861.87147927487</v>
      </c>
    </row>
    <row r="38" spans="1:16" ht="30" x14ac:dyDescent="0.25">
      <c r="A38" s="28" t="s">
        <v>76</v>
      </c>
      <c r="B38" s="35" t="s">
        <v>77</v>
      </c>
      <c r="C38" s="33">
        <f>$B$17*C29^2*C32*$I$11</f>
        <v>8871.4066490708792</v>
      </c>
      <c r="D38" s="33">
        <f t="shared" ref="D38:N38" si="13">$B$17*D29^2*D32*$I$11</f>
        <v>18650.578497111612</v>
      </c>
      <c r="E38" s="33">
        <f t="shared" si="13"/>
        <v>32573.808102394294</v>
      </c>
      <c r="F38" s="33">
        <f t="shared" si="13"/>
        <v>50908.155931686306</v>
      </c>
      <c r="G38" s="33">
        <f t="shared" si="13"/>
        <v>73879.148639718289</v>
      </c>
      <c r="H38" s="33">
        <f t="shared" si="13"/>
        <v>101683.36492001945</v>
      </c>
      <c r="I38" s="33">
        <f t="shared" si="13"/>
        <v>134495.88208328452</v>
      </c>
      <c r="J38" s="33">
        <f t="shared" si="13"/>
        <v>172475.08642025464</v>
      </c>
      <c r="K38" s="33">
        <f t="shared" si="13"/>
        <v>215765.97883364657</v>
      </c>
      <c r="L38" s="33">
        <f t="shared" si="13"/>
        <v>264502.55367809423</v>
      </c>
      <c r="M38" s="33">
        <f t="shared" si="13"/>
        <v>318809.57310454844</v>
      </c>
      <c r="N38" s="33">
        <f t="shared" si="13"/>
        <v>378803.929032146</v>
      </c>
      <c r="O38" s="33">
        <f t="shared" ref="O38:P38" si="14">$B$17*O29^2*O32*$I$11</f>
        <v>444595.71345144545</v>
      </c>
      <c r="P38" s="42">
        <f t="shared" si="14"/>
        <v>266797.022165503</v>
      </c>
    </row>
    <row r="39" spans="1:16" x14ac:dyDescent="0.25">
      <c r="A39" s="28" t="s">
        <v>78</v>
      </c>
      <c r="B39" s="35" t="s">
        <v>79</v>
      </c>
      <c r="C39" s="34">
        <f>$B$17*C29*C33*$I$11</f>
        <v>41.644368250323424</v>
      </c>
      <c r="D39" s="34">
        <f t="shared" ref="D39:N39" si="15">$B$17*D29*D33*$I$11</f>
        <v>56.057820196288823</v>
      </c>
      <c r="E39" s="34">
        <f t="shared" si="15"/>
        <v>70.065898692182699</v>
      </c>
      <c r="F39" s="34">
        <f t="shared" si="15"/>
        <v>83.767244496095699</v>
      </c>
      <c r="G39" s="34">
        <f t="shared" si="15"/>
        <v>97.222780235549649</v>
      </c>
      <c r="H39" s="34">
        <f t="shared" si="15"/>
        <v>110.4737883938586</v>
      </c>
      <c r="I39" s="34">
        <f t="shared" si="15"/>
        <v>123.55003660652697</v>
      </c>
      <c r="J39" s="34">
        <f t="shared" si="15"/>
        <v>136.47397207632272</v>
      </c>
      <c r="K39" s="34">
        <f t="shared" si="15"/>
        <v>149.26310460934218</v>
      </c>
      <c r="L39" s="34">
        <f t="shared" si="15"/>
        <v>161.93145983747684</v>
      </c>
      <c r="M39" s="34">
        <f t="shared" si="15"/>
        <v>174.49051518011206</v>
      </c>
      <c r="N39" s="34">
        <f t="shared" si="15"/>
        <v>186.94982948153165</v>
      </c>
      <c r="O39" s="34">
        <f t="shared" ref="O39:P39" si="16">$B$17*O29*O33*$I$11</f>
        <v>199.31748191132277</v>
      </c>
      <c r="P39" s="40">
        <f t="shared" si="16"/>
        <v>162.49188417093828</v>
      </c>
    </row>
    <row r="40" spans="1:16" ht="30" x14ac:dyDescent="0.25">
      <c r="A40" s="28" t="s">
        <v>80</v>
      </c>
      <c r="B40" s="35" t="s">
        <v>81</v>
      </c>
      <c r="C40" s="33">
        <f>$B$17*C29*C34*$I$11</f>
        <v>118.76188867979872</v>
      </c>
      <c r="D40" s="33">
        <f t="shared" ref="D40:N40" si="17">$B$17*D29*D34*$I$11</f>
        <v>154.67310697229757</v>
      </c>
      <c r="E40" s="33">
        <f t="shared" si="17"/>
        <v>188.59141201590333</v>
      </c>
      <c r="F40" s="33">
        <f t="shared" si="17"/>
        <v>221.03997879914826</v>
      </c>
      <c r="G40" s="33">
        <f t="shared" si="17"/>
        <v>252.33438574563854</v>
      </c>
      <c r="H40" s="33">
        <f t="shared" si="17"/>
        <v>282.68447448576347</v>
      </c>
      <c r="I40" s="33">
        <f t="shared" si="17"/>
        <v>312.2391866062211</v>
      </c>
      <c r="J40" s="33">
        <f t="shared" si="17"/>
        <v>341.10932168659605</v>
      </c>
      <c r="K40" s="33">
        <f t="shared" si="17"/>
        <v>369.38028412395892</v>
      </c>
      <c r="L40" s="33">
        <f t="shared" si="17"/>
        <v>397.11976079698434</v>
      </c>
      <c r="M40" s="33">
        <f t="shared" si="17"/>
        <v>424.38261208920289</v>
      </c>
      <c r="N40" s="33">
        <f t="shared" si="17"/>
        <v>451.21412998298439</v>
      </c>
      <c r="O40" s="33">
        <f t="shared" ref="O40:P40" si="18">$B$17*O29*O34*$I$11</f>
        <v>477.65228900146144</v>
      </c>
      <c r="P40" s="42">
        <f t="shared" si="18"/>
        <v>398.34119851056494</v>
      </c>
    </row>
    <row r="41" spans="1:16" x14ac:dyDescent="0.25">
      <c r="A41" s="28" t="s">
        <v>82</v>
      </c>
      <c r="B41" s="35" t="s">
        <v>83</v>
      </c>
      <c r="C41" s="33">
        <f>$B$17*C35*$I$11</f>
        <v>0.95588573321678894</v>
      </c>
      <c r="D41" s="33">
        <f t="shared" ref="D41:N41" si="19">$B$17*D35*$I$11</f>
        <v>0.92483395315577166</v>
      </c>
      <c r="E41" s="33">
        <f t="shared" si="19"/>
        <v>0.90219492056689188</v>
      </c>
      <c r="F41" s="33">
        <f t="shared" si="19"/>
        <v>0.88446726299122436</v>
      </c>
      <c r="G41" s="33">
        <f t="shared" si="19"/>
        <v>0.8699485371397353</v>
      </c>
      <c r="H41" s="33">
        <f t="shared" si="19"/>
        <v>0.85768511308405337</v>
      </c>
      <c r="I41" s="33">
        <f t="shared" si="19"/>
        <v>0.84709026514359154</v>
      </c>
      <c r="J41" s="33">
        <f t="shared" si="19"/>
        <v>0.8377779355192253</v>
      </c>
      <c r="K41" s="33">
        <f t="shared" si="19"/>
        <v>0.82948092403042573</v>
      </c>
      <c r="L41" s="33">
        <f t="shared" si="19"/>
        <v>0.8220068362788433</v>
      </c>
      <c r="M41" s="33">
        <f t="shared" si="19"/>
        <v>0.81521266651044855</v>
      </c>
      <c r="N41" s="33">
        <f t="shared" si="19"/>
        <v>0.80898930512697298</v>
      </c>
      <c r="O41" s="33">
        <f t="shared" ref="O41:P41" si="20">$B$17*O35*$I$11</f>
        <v>0.80325166374178358</v>
      </c>
      <c r="P41" s="42">
        <f t="shared" si="20"/>
        <v>0.8216913468006507</v>
      </c>
    </row>
    <row r="42" spans="1:16" ht="18" x14ac:dyDescent="0.25">
      <c r="A42" s="29" t="s">
        <v>84</v>
      </c>
      <c r="B42" s="36" t="s">
        <v>85</v>
      </c>
      <c r="C42" s="31">
        <f>IF($B$17*C36&gt;3*$I$11,3*$I$11,$B$17*C36*$I$11)</f>
        <v>0.78441307798500015</v>
      </c>
      <c r="D42" s="31">
        <f t="shared" ref="D42:N42" si="21">IF($B$17*D36&gt;3*$I$11,3*$I$11,$B$17*D36*$I$11)</f>
        <v>0.94064771319023199</v>
      </c>
      <c r="E42" s="31">
        <f t="shared" si="21"/>
        <v>1.0780170683651367</v>
      </c>
      <c r="F42" s="31">
        <f t="shared" si="21"/>
        <v>1.2023420007079713</v>
      </c>
      <c r="G42" s="31">
        <f t="shared" si="21"/>
        <v>1.3169313076298097</v>
      </c>
      <c r="H42" s="31">
        <f t="shared" si="21"/>
        <v>1.4238833704814557</v>
      </c>
      <c r="I42" s="31">
        <f t="shared" si="21"/>
        <v>1.5246298374525047</v>
      </c>
      <c r="J42" s="31">
        <f t="shared" si="21"/>
        <v>1.6202001353873212</v>
      </c>
      <c r="K42" s="31">
        <f t="shared" si="21"/>
        <v>1.7113644210747618</v>
      </c>
      <c r="L42" s="31">
        <f t="shared" si="21"/>
        <v>1.7987170550177054</v>
      </c>
      <c r="M42" s="31">
        <f t="shared" si="21"/>
        <v>1.8827283397060037</v>
      </c>
      <c r="N42" s="55">
        <f t="shared" si="21"/>
        <v>1.9637781467336046</v>
      </c>
      <c r="O42" s="55">
        <f t="shared" ref="O42:P42" si="22">IF($B$17*O36&gt;3*$I$11,3*$I$11,$B$17*O36*$I$11)</f>
        <v>2.0421786359596434</v>
      </c>
      <c r="P42" s="56">
        <f t="shared" si="22"/>
        <v>1.8025187467403552</v>
      </c>
    </row>
    <row r="44" spans="1:16" x14ac:dyDescent="0.25">
      <c r="A44" s="20" t="s">
        <v>86</v>
      </c>
      <c r="B44" s="147" t="s">
        <v>87</v>
      </c>
      <c r="C44" s="148"/>
      <c r="D44" s="149"/>
    </row>
    <row r="46" spans="1:16" x14ac:dyDescent="0.25">
      <c r="A46" s="143" t="s">
        <v>88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</row>
    <row r="47" spans="1:16" ht="15" customHeight="1" x14ac:dyDescent="0.25">
      <c r="A47" s="45" t="s">
        <v>89</v>
      </c>
      <c r="B47" s="150" t="s">
        <v>90</v>
      </c>
      <c r="C47" s="50">
        <f>1150/2</f>
        <v>575</v>
      </c>
      <c r="D47" s="51">
        <v>1600</v>
      </c>
      <c r="E47" s="51">
        <v>2050</v>
      </c>
      <c r="F47" s="51">
        <v>2500</v>
      </c>
      <c r="G47" s="51">
        <v>2950</v>
      </c>
      <c r="H47" s="51">
        <v>3400</v>
      </c>
      <c r="I47" s="51">
        <v>3850</v>
      </c>
      <c r="J47" s="51">
        <v>4300</v>
      </c>
      <c r="K47" s="51">
        <v>4750</v>
      </c>
      <c r="L47" s="51">
        <v>5200</v>
      </c>
      <c r="M47" s="51">
        <v>5650</v>
      </c>
      <c r="N47" s="51">
        <v>6100</v>
      </c>
      <c r="O47" s="51">
        <v>6550</v>
      </c>
      <c r="P47" s="52">
        <v>5220</v>
      </c>
    </row>
    <row r="48" spans="1:16" x14ac:dyDescent="0.25">
      <c r="A48" s="46" t="s">
        <v>91</v>
      </c>
      <c r="B48" s="151"/>
      <c r="C48" s="26">
        <f>'Impeller Interaction'!C$47*2*PI()/60</f>
        <v>60.213859193804367</v>
      </c>
      <c r="D48" s="53">
        <f>'Impeller Interaction'!D$47*2*PI()/60</f>
        <v>167.55160819145564</v>
      </c>
      <c r="E48" s="53">
        <f>'Impeller Interaction'!E$47*2*PI()/60</f>
        <v>214.67549799530252</v>
      </c>
      <c r="F48" s="53">
        <f>'Impeller Interaction'!F$47*2*PI()/60</f>
        <v>261.79938779914943</v>
      </c>
      <c r="G48" s="53">
        <f>'Impeller Interaction'!G$47*2*PI()/60</f>
        <v>308.92327760299634</v>
      </c>
      <c r="H48" s="53">
        <f>'Impeller Interaction'!H$47*2*PI()/60</f>
        <v>356.04716740684319</v>
      </c>
      <c r="I48" s="53">
        <f>'Impeller Interaction'!I$47*2*PI()/60</f>
        <v>403.17105721069015</v>
      </c>
      <c r="J48" s="53">
        <f>'Impeller Interaction'!J$47*2*PI()/60</f>
        <v>450.294947014537</v>
      </c>
      <c r="K48" s="53">
        <f>'Impeller Interaction'!K$47*2*PI()/60</f>
        <v>497.41883681838391</v>
      </c>
      <c r="L48" s="53">
        <f>'Impeller Interaction'!L$47*2*PI()/60</f>
        <v>544.54272662223082</v>
      </c>
      <c r="M48" s="53">
        <f>'Impeller Interaction'!M$47*2*PI()/60</f>
        <v>591.66661642607767</v>
      </c>
      <c r="N48" s="53">
        <f>'Impeller Interaction'!N$47*2*PI()/60</f>
        <v>638.79050622992463</v>
      </c>
      <c r="O48" s="53">
        <f>'Impeller Interaction'!O$47*2*PI()/60</f>
        <v>685.91439603377148</v>
      </c>
      <c r="P48" s="54">
        <f>'Impeller Interaction'!P$47*2*PI()/60</f>
        <v>546.63712172462397</v>
      </c>
    </row>
    <row r="49" spans="1:23" ht="30" x14ac:dyDescent="0.25">
      <c r="A49" s="48" t="s">
        <v>92</v>
      </c>
      <c r="B49" s="49" t="s">
        <v>93</v>
      </c>
      <c r="C49" s="30">
        <f>C$48/C$29</f>
        <v>0.5</v>
      </c>
      <c r="D49" s="30">
        <f t="shared" ref="D49:P49" si="23">D$48/D$29</f>
        <v>1</v>
      </c>
      <c r="E49" s="30">
        <f t="shared" si="23"/>
        <v>1</v>
      </c>
      <c r="F49" s="30">
        <f t="shared" si="23"/>
        <v>1</v>
      </c>
      <c r="G49" s="30">
        <f t="shared" si="23"/>
        <v>1</v>
      </c>
      <c r="H49" s="30">
        <f t="shared" si="23"/>
        <v>1</v>
      </c>
      <c r="I49" s="30">
        <f t="shared" si="23"/>
        <v>1</v>
      </c>
      <c r="J49" s="30">
        <f t="shared" si="23"/>
        <v>1</v>
      </c>
      <c r="K49" s="30">
        <f t="shared" si="23"/>
        <v>1</v>
      </c>
      <c r="L49" s="30">
        <f t="shared" si="23"/>
        <v>1</v>
      </c>
      <c r="M49" s="30">
        <f t="shared" si="23"/>
        <v>1</v>
      </c>
      <c r="N49" s="30">
        <f t="shared" si="23"/>
        <v>1</v>
      </c>
      <c r="O49" s="30">
        <f t="shared" si="23"/>
        <v>1</v>
      </c>
      <c r="P49" s="38">
        <f t="shared" si="23"/>
        <v>1</v>
      </c>
    </row>
    <row r="50" spans="1:23" ht="30" x14ac:dyDescent="0.35">
      <c r="A50" s="47" t="s">
        <v>94</v>
      </c>
      <c r="B50" s="35" t="s">
        <v>95</v>
      </c>
      <c r="C50" s="34">
        <f t="shared" ref="C50:P50" si="24">PI()*$B$3*C$29^2*$H$7^2*$B$16*(-C$31-C$34*C$49+C$35*C$49^2)</f>
        <v>2423.3525884531446</v>
      </c>
      <c r="D50" s="34">
        <f t="shared" si="24"/>
        <v>11872.418503611987</v>
      </c>
      <c r="E50" s="34">
        <f t="shared" si="24"/>
        <v>20503.792043616701</v>
      </c>
      <c r="F50" s="34">
        <f t="shared" si="24"/>
        <v>31621.396149003856</v>
      </c>
      <c r="G50" s="34">
        <f t="shared" si="24"/>
        <v>45267.678133855909</v>
      </c>
      <c r="H50" s="34">
        <f t="shared" si="24"/>
        <v>61475.661202046278</v>
      </c>
      <c r="I50" s="34">
        <f t="shared" si="24"/>
        <v>80272.044742559374</v>
      </c>
      <c r="J50" s="34">
        <f t="shared" si="24"/>
        <v>101679.02689875547</v>
      </c>
      <c r="K50" s="34">
        <f t="shared" si="24"/>
        <v>125715.4598323698</v>
      </c>
      <c r="L50" s="34">
        <f t="shared" si="24"/>
        <v>152397.62419430609</v>
      </c>
      <c r="M50" s="34">
        <f t="shared" si="24"/>
        <v>181739.77136102726</v>
      </c>
      <c r="N50" s="34">
        <f t="shared" si="24"/>
        <v>213754.51648826789</v>
      </c>
      <c r="O50" s="34">
        <f t="shared" si="24"/>
        <v>248453.131643128</v>
      </c>
      <c r="P50" s="40">
        <f t="shared" si="24"/>
        <v>153645.13735777576</v>
      </c>
    </row>
    <row r="51" spans="1:23" ht="30" x14ac:dyDescent="0.35">
      <c r="A51" s="48" t="s">
        <v>96</v>
      </c>
      <c r="B51" s="49" t="s">
        <v>97</v>
      </c>
      <c r="C51" s="55">
        <f t="shared" ref="C51:P51" si="25">PI()*$B$3*C$29^2*$H$7^2*$B$16*(C$32-C$33*C$49-C$36*C$49^2)</f>
        <v>3519.7850927446943</v>
      </c>
      <c r="D51" s="55">
        <f t="shared" si="25"/>
        <v>-17149.311954640714</v>
      </c>
      <c r="E51" s="55">
        <f t="shared" si="25"/>
        <v>-32148.654052979735</v>
      </c>
      <c r="F51" s="55">
        <f t="shared" si="25"/>
        <v>-53429.278935304734</v>
      </c>
      <c r="G51" s="55">
        <f t="shared" si="25"/>
        <v>-81834.715661767332</v>
      </c>
      <c r="H51" s="55">
        <f t="shared" si="25"/>
        <v>-118155.61907045724</v>
      </c>
      <c r="I51" s="55">
        <f t="shared" si="25"/>
        <v>-163139.77261157701</v>
      </c>
      <c r="J51" s="55">
        <f t="shared" si="25"/>
        <v>-217499.20784151705</v>
      </c>
      <c r="K51" s="55">
        <f t="shared" si="25"/>
        <v>-281915.49727580423</v>
      </c>
      <c r="L51" s="55">
        <f t="shared" si="25"/>
        <v>-357043.8234526859</v>
      </c>
      <c r="M51" s="55">
        <f t="shared" si="25"/>
        <v>-443516.19160044112</v>
      </c>
      <c r="N51" s="55">
        <f t="shared" si="25"/>
        <v>-541944.02173046954</v>
      </c>
      <c r="O51" s="55">
        <f t="shared" si="25"/>
        <v>-652920.27799912891</v>
      </c>
      <c r="P51" s="56">
        <f t="shared" si="25"/>
        <v>-360641.56293737161</v>
      </c>
    </row>
    <row r="54" spans="1:23" x14ac:dyDescent="0.25">
      <c r="O54" s="22"/>
      <c r="P54" s="22"/>
      <c r="Q54" s="22"/>
      <c r="R54" s="22"/>
      <c r="S54" s="22"/>
      <c r="T54" s="22"/>
      <c r="U54" s="22"/>
      <c r="V54" s="22"/>
    </row>
    <row r="55" spans="1:23" x14ac:dyDescent="0.25">
      <c r="O55" s="22"/>
      <c r="P55" s="22"/>
      <c r="Q55" s="22"/>
      <c r="R55" s="22"/>
      <c r="S55" s="22"/>
      <c r="T55" s="22"/>
      <c r="U55" s="22"/>
      <c r="V55" s="22"/>
    </row>
    <row r="56" spans="1:23" x14ac:dyDescent="0.25">
      <c r="O56" s="22"/>
      <c r="P56" s="22"/>
      <c r="Q56" s="22"/>
      <c r="R56" s="22"/>
      <c r="S56" s="22"/>
      <c r="T56" s="22"/>
      <c r="U56" s="22"/>
      <c r="V56" s="22"/>
    </row>
    <row r="57" spans="1:23" x14ac:dyDescent="0.25">
      <c r="O57" s="22"/>
      <c r="P57" s="22"/>
      <c r="Q57" s="22"/>
      <c r="R57" s="22"/>
      <c r="S57" s="22"/>
      <c r="T57" s="22"/>
      <c r="U57" s="22"/>
      <c r="V57" s="22"/>
    </row>
    <row r="58" spans="1:23" x14ac:dyDescent="0.25">
      <c r="U58" s="22"/>
      <c r="V58" s="22"/>
      <c r="W58" s="22"/>
    </row>
    <row r="59" spans="1:23" x14ac:dyDescent="0.25">
      <c r="U59" s="22"/>
      <c r="V59" s="22"/>
      <c r="W59" s="22"/>
    </row>
    <row r="60" spans="1:23" x14ac:dyDescent="0.25">
      <c r="U60" s="22"/>
      <c r="V60" s="22"/>
      <c r="W60" s="22"/>
    </row>
    <row r="61" spans="1:23" x14ac:dyDescent="0.25">
      <c r="U61" s="22"/>
      <c r="V61" s="22"/>
      <c r="W61" s="22"/>
    </row>
    <row r="62" spans="1:23" x14ac:dyDescent="0.25">
      <c r="U62" s="22"/>
      <c r="V62" s="22"/>
      <c r="W62" s="22"/>
    </row>
    <row r="63" spans="1:23" x14ac:dyDescent="0.25">
      <c r="U63" s="22"/>
      <c r="V63" s="22"/>
      <c r="W63" s="22"/>
    </row>
    <row r="64" spans="1:23" x14ac:dyDescent="0.25">
      <c r="U64" s="22"/>
      <c r="V64" s="22"/>
      <c r="W64" s="22"/>
    </row>
    <row r="71" spans="8:8" x14ac:dyDescent="0.25">
      <c r="H71" s="22"/>
    </row>
  </sheetData>
  <mergeCells count="29">
    <mergeCell ref="A27:P27"/>
    <mergeCell ref="A46:P46"/>
    <mergeCell ref="B28:B29"/>
    <mergeCell ref="B44:D44"/>
    <mergeCell ref="B47:B48"/>
    <mergeCell ref="K2:L2"/>
    <mergeCell ref="K3:L3"/>
    <mergeCell ref="K4:L4"/>
    <mergeCell ref="K6:L6"/>
    <mergeCell ref="A2:F2"/>
    <mergeCell ref="C3:F3"/>
    <mergeCell ref="C4:F4"/>
    <mergeCell ref="C6:F6"/>
    <mergeCell ref="K5:L5"/>
    <mergeCell ref="C5:F5"/>
    <mergeCell ref="C24:F24"/>
    <mergeCell ref="C25:F25"/>
    <mergeCell ref="C18:F18"/>
    <mergeCell ref="A20:F20"/>
    <mergeCell ref="C21:F21"/>
    <mergeCell ref="C22:F22"/>
    <mergeCell ref="C23:F23"/>
    <mergeCell ref="C7:F8"/>
    <mergeCell ref="C9:F10"/>
    <mergeCell ref="C11:F12"/>
    <mergeCell ref="C15:F16"/>
    <mergeCell ref="C17:F17"/>
    <mergeCell ref="C14:F14"/>
    <mergeCell ref="C13:F13"/>
  </mergeCells>
  <dataValidations count="1">
    <dataValidation type="list" allowBlank="1" showInputMessage="1" showErrorMessage="1" sqref="B18" xr:uid="{8B3E7F6C-6CA7-44E0-BB6D-D18E70CDB87B}">
      <formula1>$H$9:$H$10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ivi">
                <anchor moveWithCells="1" sizeWithCells="1">
                  <from>
                    <xdr:col>4</xdr:col>
                    <xdr:colOff>276225</xdr:colOff>
                    <xdr:row>42</xdr:row>
                    <xdr:rowOff>95250</xdr:rowOff>
                  </from>
                  <to>
                    <xdr:col>5</xdr:col>
                    <xdr:colOff>304800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B2959137-19D1-4A33-A98C-C6F40187EB1A}">
            <x14:iconSet custom="1">
              <x14:cfvo type="percent">
                <xm:f>0</xm:f>
              </x14:cfvo>
              <x14:cfvo type="num">
                <xm:f>700000</xm:f>
              </x14:cfvo>
              <x14:cfvo type="num" gte="0">
                <xm:f>70000000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C30:P30</xm:sqref>
        </x14:conditionalFormatting>
        <x14:conditionalFormatting xmlns:xm="http://schemas.microsoft.com/office/excel/2006/main">
          <x14:cfRule type="iconSet" priority="5" id="{5A3E510E-77C3-4074-97FA-9D8CC27B720D}">
            <x14:iconSet custom="1">
              <x14:cfvo type="percent">
                <xm:f>0</xm:f>
              </x14:cfvo>
              <x14:cfvo type="num">
                <xm:f>1.6E-2</xm:f>
              </x14:cfvo>
              <x14:cfvo type="num" gte="0">
                <xm:f>0.18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B21</xm:sqref>
        </x14:conditionalFormatting>
        <x14:conditionalFormatting xmlns:xm="http://schemas.microsoft.com/office/excel/2006/main">
          <x14:cfRule type="iconSet" priority="4" id="{72BAD50D-BCF4-4793-B63B-430C423E13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0.25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B22</xm:sqref>
        </x14:conditionalFormatting>
        <x14:conditionalFormatting xmlns:xm="http://schemas.microsoft.com/office/excel/2006/main">
          <x14:cfRule type="iconSet" priority="3" id="{12E154DF-D56B-4D2D-BDF5-F81E56A6CC61}">
            <x14:iconSet custom="1">
              <x14:cfvo type="percent">
                <xm:f>0</xm:f>
              </x14:cfvo>
              <x14:cfvo type="num">
                <xm:f>4.4999999999999997E-3</xm:f>
              </x14:cfvo>
              <x14:cfvo type="num" gte="0">
                <xm:f>0.06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B23</xm:sqref>
        </x14:conditionalFormatting>
        <x14:conditionalFormatting xmlns:xm="http://schemas.microsoft.com/office/excel/2006/main">
          <x14:cfRule type="iconSet" priority="2" id="{FBBB0374-5649-435C-B59A-674BED12CF91}">
            <x14:iconSet custom="1">
              <x14:cfvo type="percent">
                <xm:f>0</xm:f>
              </x14:cfvo>
              <x14:cfvo type="num">
                <xm:f>0.25</xm:f>
              </x14:cfvo>
              <x14:cfvo type="num" gte="0">
                <xm:f>1.4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B24</xm:sqref>
        </x14:conditionalFormatting>
        <x14:conditionalFormatting xmlns:xm="http://schemas.microsoft.com/office/excel/2006/main">
          <x14:cfRule type="iconSet" priority="1" id="{FADEC237-265B-4EAF-B1ED-6213CAA0ED69}">
            <x14:iconSet custom="1">
              <x14:cfvo type="percent">
                <xm:f>0</xm:f>
              </x14:cfvo>
              <x14:cfvo type="num">
                <xm:f>160</xm:f>
              </x14:cfvo>
              <x14:cfvo type="num" gte="0">
                <xm:f>370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B25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E5BAA4-3F73-47C5-8A01-FDB06600E0C7}">
  <ds:schemaRefs>
    <ds:schemaRef ds:uri="http://schemas.microsoft.com/office/2006/metadata/properties"/>
    <ds:schemaRef ds:uri="http://schemas.microsoft.com/office/infopath/2007/PartnerControls"/>
    <ds:schemaRef ds:uri="f16ae08e-32aa-43c4-955b-813e13c9303e"/>
    <ds:schemaRef ds:uri="2710bc8b-17c9-4e36-a567-5a8748d28b44"/>
  </ds:schemaRefs>
</ds:datastoreItem>
</file>

<file path=customXml/itemProps2.xml><?xml version="1.0" encoding="utf-8"?>
<ds:datastoreItem xmlns:ds="http://schemas.openxmlformats.org/officeDocument/2006/customXml" ds:itemID="{E53ED085-49C7-408D-97A0-140FF32B3BD7}"/>
</file>

<file path=customXml/itemProps3.xml><?xml version="1.0" encoding="utf-8"?>
<ds:datastoreItem xmlns:ds="http://schemas.openxmlformats.org/officeDocument/2006/customXml" ds:itemID="{538FDB22-60C7-435E-B152-B02CB356314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content</vt:lpstr>
      <vt:lpstr>Impeller Interaction</vt:lpstr>
      <vt:lpstr>content!Area_stampa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2024-06-24T06:59:32Z</dcterms:created>
  <dcterms:modified xsi:type="dcterms:W3CDTF">2024-12-05T07:20:49Z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0x0101003FF5BB9810E8454BA2B38D00B6D18848</vt:lpwstr>
  </property>
</Properties>
</file>