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C:\Users\110453\Downloads\"/>
    </mc:Choice>
  </mc:AlternateContent>
  <xr:revisionPtr revIDLastSave="0" documentId="13_ncr:1_{C4692FD0-044D-4F4D-8E2E-FBCDCDB00733}" xr6:coauthVersionLast="47" xr6:coauthVersionMax="47" xr10:uidLastSave="{00000000-0000-0000-0000-000000000000}"/>
  <bookViews>
    <workbookView xWindow="-120" yWindow="-120" windowWidth="19440" windowHeight="15000" xr2:uid="{00000000-000D-0000-FFFF-FFFF00000000}"/>
  </bookViews>
  <sheets>
    <sheet name="Cover" sheetId="7" r:id="rId1"/>
    <sheet name="Input_Output" sheetId="5" r:id="rId2"/>
    <sheet name="Metric_Conversion" sheetId="13" r:id="rId3"/>
    <sheet name="calc" sheetId="14" r:id="rId4"/>
    <sheet name="setup" sheetId="6" r:id="rId5"/>
  </sheets>
  <externalReferences>
    <externalReference r:id="rId6"/>
    <externalReference r:id="rId7"/>
    <externalReference r:id="rId8"/>
    <externalReference r:id="rId9"/>
    <externalReference r:id="rId10"/>
    <externalReference r:id="rId11"/>
    <externalReference r:id="rId12"/>
    <externalReference r:id="rId13"/>
  </externalReferences>
  <definedNames>
    <definedName name="_bga2">#REF!</definedName>
    <definedName name="_Col1">#REF!</definedName>
    <definedName name="_Col2">#REF!</definedName>
    <definedName name="_Col3">#REF!</definedName>
    <definedName name="_Col4">#REF!</definedName>
    <definedName name="a">#REF!</definedName>
    <definedName name="Ac">#REF!</definedName>
    <definedName name="adsv">#REF!</definedName>
    <definedName name="_xlnm.Print_Area" localSheetId="0">Cover!$A$1:$AD$48</definedName>
    <definedName name="_xlnm.Print_Area" localSheetId="1">Input_Output!$B$3:$K$49</definedName>
    <definedName name="_xlnm.Print_Area" localSheetId="2">Metric_Conversion!$B$3:$K$48</definedName>
    <definedName name="asdfg">[1]DAF!$F$17:$F$20</definedName>
    <definedName name="bga">#REF!</definedName>
    <definedName name="bp">#REF!</definedName>
    <definedName name="CARATTERISTICHE">#REF!</definedName>
    <definedName name="CK">#REF!</definedName>
    <definedName name="CURVA_RIFERIMENTO">#REF!</definedName>
    <definedName name="d">#REF!</definedName>
    <definedName name="das">#REF!</definedName>
    <definedName name="DATA">[2]Bearings!$B$6:$Z$14</definedName>
    <definedName name="ddd">'[3]From RPI'!$AB$90</definedName>
    <definedName name="DEN">'[4] '!$C$5:$C$37</definedName>
    <definedName name="Doc_type">#REF!</definedName>
    <definedName name="DOCID">[5]listes!$C$2:$C$150</definedName>
    <definedName name="dpt_code">#REF!</definedName>
    <definedName name="EQPT_LIST_UNIT_31">#REF!</definedName>
    <definedName name="FACTORS">#REF!</definedName>
    <definedName name="fm">#REF!</definedName>
    <definedName name="Impeller_Eye_Area" localSheetId="0">#REF!</definedName>
    <definedName name="Impeller_Eye_Area" localSheetId="1">Input_Output!#REF!</definedName>
    <definedName name="Impeller_Eye_Area" localSheetId="2">Metric_Conversion!#REF!</definedName>
    <definedName name="Impeller_Eye_Area">#REF!</definedName>
    <definedName name="Impeller_Eye_Diameter" localSheetId="0">#REF!</definedName>
    <definedName name="Impeller_Eye_Diameter" localSheetId="1">Input_Output!#REF!</definedName>
    <definedName name="Impeller_Eye_Diameter" localSheetId="2">Metric_Conversion!#REF!</definedName>
    <definedName name="Impeller_Eye_Diameter">#REF!</definedName>
    <definedName name="Impeller_Hub_Diameter" localSheetId="0">#REF!</definedName>
    <definedName name="Impeller_Hub_Diameter" localSheetId="1">Input_Output!#REF!</definedName>
    <definedName name="Impeller_Hub_Diameter" localSheetId="2">Metric_Conversion!#REF!</definedName>
    <definedName name="Impeller_Hub_Diameter">#REF!</definedName>
    <definedName name="Impeller_Inlet_Diameter" localSheetId="0">#REF!</definedName>
    <definedName name="Impeller_Inlet_Diameter" localSheetId="1">Input_Output!#REF!</definedName>
    <definedName name="Impeller_Inlet_Diameter" localSheetId="2">Metric_Conversion!#REF!</definedName>
    <definedName name="Impeller_Inlet_Diameter">#REF!</definedName>
    <definedName name="indx">#REF!</definedName>
    <definedName name="INT_DIAM">#REF!</definedName>
    <definedName name="Items">#REF!</definedName>
    <definedName name="kl">#REF!</definedName>
    <definedName name="KR">#REF!</definedName>
    <definedName name="LAG">#REF!</definedName>
    <definedName name="Language">#REF!</definedName>
    <definedName name="Larghezza">#REF!</definedName>
    <definedName name="LENGHTS">#REF!</definedName>
    <definedName name="LINE_LIST_UNIT_31">#REF!</definedName>
    <definedName name="ListIndex">#REF!</definedName>
    <definedName name="MAT">#REF!</definedName>
    <definedName name="Number">#REF!</definedName>
    <definedName name="pipesize">#REF!</definedName>
    <definedName name="Portata">#REF!</definedName>
    <definedName name="portatacalcolo">'[6]Basi di progetto'!$D$16</definedName>
    <definedName name="portataminima">'[6]Basi di progetto'!$D$10</definedName>
    <definedName name="portatanera">'[6]Basi di progetto'!$D$14</definedName>
    <definedName name="portcalcolo">#REF!</definedName>
    <definedName name="portnera">#REF!</definedName>
    <definedName name="Print_Area_MI">#REF!</definedName>
    <definedName name="prtpioggia">'[6]Basi di progetto'!$D$12</definedName>
    <definedName name="pump">#REF!</definedName>
    <definedName name="PUMPCALC">'[7]PUMP CALCULATION'!$J$4</definedName>
    <definedName name="PUMPDATA">'[7]PUMP CALCULATION'!$J$12</definedName>
    <definedName name="q">#REF!</definedName>
    <definedName name="references">#REF!</definedName>
    <definedName name="rev">#REF!</definedName>
    <definedName name="RevTable">#REF!</definedName>
    <definedName name="Rgas">#REF!</definedName>
    <definedName name="rhokl">#REF!</definedName>
    <definedName name="ROUGHNESS">#REF!</definedName>
    <definedName name="RPM">#REF!</definedName>
    <definedName name="s">'[3]From RPI'!$AB$88</definedName>
    <definedName name="solub">#REF!</definedName>
    <definedName name="Speed">[8]Utility!$A$3</definedName>
    <definedName name="Suction_Diameter" localSheetId="0">#REF!</definedName>
    <definedName name="Suction_Diameter" localSheetId="1">Input_Output!#REF!</definedName>
    <definedName name="Suction_Diameter" localSheetId="2">Metric_Conversion!$M$16</definedName>
    <definedName name="Suction_Diameter">#REF!</definedName>
    <definedName name="Sup">#REF!</definedName>
    <definedName name="title">#REF!</definedName>
    <definedName name="TRASPORTA">#REF!</definedName>
    <definedName name="uh">#REF!</definedName>
    <definedName name="UNIT">[5]listes!$D$2:$D$150</definedName>
    <definedName name="Unit_number">#REF!</definedName>
    <definedName name="units">#REF!</definedName>
    <definedName name="Values">#REF!</definedName>
    <definedName name="velocita_di_progetto">#REF!</definedName>
    <definedName name="velocità_di_progetto">#REF!</definedName>
    <definedName name="velocitamassima">#REF!</definedName>
    <definedName name="velocitaminima">#REF!</definedName>
    <definedName name="VH">#REF!</definedName>
    <definedName name="vt">#REF!</definedName>
    <definedName name="WC">[5]listes!$A$2:$A$25</definedName>
    <definedName name="work_cent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8" i="5" l="1"/>
  <c r="AF47" i="5"/>
  <c r="AF46" i="5"/>
  <c r="AF45" i="5"/>
  <c r="AF44" i="5"/>
  <c r="AF43" i="5"/>
  <c r="AF42" i="5"/>
  <c r="AF41" i="5"/>
  <c r="AF40" i="5"/>
  <c r="AF39" i="5"/>
  <c r="AF38" i="5"/>
  <c r="AF37" i="5"/>
  <c r="AF36" i="5"/>
  <c r="AF35" i="5"/>
  <c r="AF34" i="5"/>
  <c r="AF33" i="5"/>
  <c r="AF32" i="5"/>
  <c r="AF31" i="5"/>
  <c r="AF30" i="5"/>
  <c r="AF29" i="5"/>
  <c r="AF28" i="5"/>
  <c r="AF27" i="5"/>
  <c r="AF26" i="5"/>
  <c r="AF25" i="5"/>
  <c r="AF24" i="5"/>
  <c r="AF23" i="5"/>
  <c r="AF22" i="5"/>
  <c r="AF21" i="5"/>
  <c r="AF20" i="5"/>
  <c r="AF19" i="5"/>
  <c r="AF18" i="5"/>
  <c r="AF17" i="5"/>
  <c r="AF16" i="5"/>
  <c r="AG12" i="5"/>
  <c r="AG11" i="5"/>
  <c r="AC20" i="5"/>
  <c r="AC19" i="5"/>
  <c r="AC16" i="5"/>
  <c r="AC15" i="5"/>
  <c r="AC13" i="5"/>
  <c r="AC17" i="5"/>
  <c r="AC12" i="5"/>
  <c r="T37" i="5"/>
  <c r="T38" i="5" s="1"/>
  <c r="T39" i="5" s="1"/>
  <c r="T40" i="5" s="1"/>
  <c r="T41" i="5" s="1"/>
  <c r="T42" i="5" s="1"/>
  <c r="T43" i="5" s="1"/>
  <c r="T44" i="5" s="1"/>
  <c r="T45" i="5" s="1"/>
  <c r="T46" i="5" s="1"/>
  <c r="T47" i="5" s="1"/>
  <c r="T48" i="5" s="1"/>
  <c r="T36" i="5"/>
  <c r="U12" i="5"/>
  <c r="U11" i="5"/>
  <c r="Q20" i="5"/>
  <c r="Q19" i="5"/>
  <c r="Q16" i="5"/>
  <c r="Q17" i="5"/>
  <c r="Q15" i="5"/>
  <c r="Q13" i="5"/>
  <c r="Q12" i="5"/>
  <c r="R13" i="5"/>
  <c r="E20" i="13"/>
  <c r="E19" i="13"/>
  <c r="E17" i="13"/>
  <c r="E16" i="13"/>
  <c r="G45" i="5" l="1"/>
  <c r="G38" i="5"/>
  <c r="G44" i="5"/>
  <c r="G37" i="5"/>
  <c r="Z60" i="14"/>
  <c r="AB57" i="14"/>
  <c r="AA57" i="14"/>
  <c r="B17" i="13"/>
  <c r="B18" i="13"/>
  <c r="B19" i="13"/>
  <c r="B20" i="13"/>
  <c r="F17" i="5"/>
  <c r="F12" i="5"/>
  <c r="B13" i="13"/>
  <c r="B14" i="13"/>
  <c r="B15" i="13"/>
  <c r="B16" i="13"/>
  <c r="F20" i="5"/>
  <c r="F19" i="5"/>
  <c r="J12" i="13"/>
  <c r="J11" i="13"/>
  <c r="F16" i="5"/>
  <c r="F15" i="5"/>
  <c r="J12" i="5"/>
  <c r="J11" i="5"/>
  <c r="BY6" i="14" l="1"/>
  <c r="BY3" i="14"/>
  <c r="BY4" i="14"/>
  <c r="BY5" i="14"/>
  <c r="BC67" i="14" l="1" a="1"/>
  <c r="BC67" i="14" s="1"/>
  <c r="AW26" i="14"/>
  <c r="AW27" i="14" s="1"/>
  <c r="AW28" i="14" s="1"/>
  <c r="AW29" i="14" s="1"/>
  <c r="AW30" i="14" s="1"/>
  <c r="AW31" i="14" s="1"/>
  <c r="AW32" i="14" s="1"/>
  <c r="E15" i="13"/>
  <c r="E14" i="13" l="1"/>
  <c r="B12" i="13"/>
  <c r="B11" i="13"/>
  <c r="B28" i="14" l="1"/>
  <c r="B29" i="14" s="1"/>
  <c r="B27" i="14"/>
  <c r="B30" i="14" l="1"/>
  <c r="B31" i="14" l="1"/>
  <c r="B32" i="14" l="1"/>
  <c r="B33" i="14" l="1"/>
  <c r="B34" i="14" l="1"/>
  <c r="B35" i="14" l="1"/>
  <c r="B36" i="14" l="1"/>
  <c r="B37" i="14" l="1"/>
  <c r="B38" i="14" l="1"/>
  <c r="B39" i="14" l="1"/>
  <c r="B40" i="14" l="1"/>
  <c r="E13" i="13" l="1"/>
  <c r="E12" i="13"/>
  <c r="E11" i="13"/>
  <c r="BD47" i="14" l="1"/>
  <c r="BD50" i="14" s="1"/>
  <c r="BE50" i="14" s="1"/>
  <c r="H3" i="14"/>
  <c r="C46" i="13"/>
  <c r="I3" i="14"/>
  <c r="D13" i="14"/>
  <c r="D24" i="14"/>
  <c r="D36" i="14"/>
  <c r="D14" i="14"/>
  <c r="D26" i="14"/>
  <c r="D38" i="14"/>
  <c r="D15" i="14"/>
  <c r="D27" i="14"/>
  <c r="D39" i="14"/>
  <c r="D16" i="14"/>
  <c r="D28" i="14"/>
  <c r="D40" i="14"/>
  <c r="D17" i="14"/>
  <c r="D29" i="14"/>
  <c r="D18" i="14"/>
  <c r="D30" i="14"/>
  <c r="D23" i="14"/>
  <c r="D19" i="14"/>
  <c r="D31" i="14"/>
  <c r="D32" i="14"/>
  <c r="D20" i="14"/>
  <c r="D33" i="14"/>
  <c r="D34" i="14"/>
  <c r="D21" i="14"/>
  <c r="D35" i="14"/>
  <c r="D25" i="14"/>
  <c r="D37" i="14"/>
  <c r="D22" i="14"/>
  <c r="E25" i="14"/>
  <c r="E37" i="14"/>
  <c r="E24" i="14"/>
  <c r="E14" i="14"/>
  <c r="E26" i="14"/>
  <c r="E38" i="14"/>
  <c r="E34" i="14"/>
  <c r="E15" i="14"/>
  <c r="E27" i="14"/>
  <c r="E39" i="14"/>
  <c r="E32" i="14"/>
  <c r="E36" i="14"/>
  <c r="E16" i="14"/>
  <c r="E28" i="14"/>
  <c r="E40" i="14"/>
  <c r="E23" i="14"/>
  <c r="E17" i="14"/>
  <c r="E29" i="14"/>
  <c r="E13" i="14"/>
  <c r="E33" i="14"/>
  <c r="E18" i="14"/>
  <c r="E30" i="14"/>
  <c r="E35" i="14"/>
  <c r="E19" i="14"/>
  <c r="E31" i="14"/>
  <c r="E20" i="14"/>
  <c r="E22" i="14"/>
  <c r="E21" i="14"/>
  <c r="AB50" i="14"/>
  <c r="BD46" i="14"/>
  <c r="BD62" i="14"/>
  <c r="BE62" i="14" s="1"/>
  <c r="BD54" i="14"/>
  <c r="BE54" i="14" s="1"/>
  <c r="BD56" i="14"/>
  <c r="BE56" i="14" s="1"/>
  <c r="BD52" i="14"/>
  <c r="BE52" i="14" s="1"/>
  <c r="BD59" i="14"/>
  <c r="BE59" i="14" s="1"/>
  <c r="BD51" i="14"/>
  <c r="BE51" i="14" s="1"/>
  <c r="BD60" i="14"/>
  <c r="BE60" i="14" s="1"/>
  <c r="BD55" i="14"/>
  <c r="BE55" i="14" s="1"/>
  <c r="BD61" i="14"/>
  <c r="BE61" i="14" s="1"/>
  <c r="BD67" i="14"/>
  <c r="BD63" i="14"/>
  <c r="BE63" i="14" s="1"/>
  <c r="BD53" i="14"/>
  <c r="BE53" i="14" s="1"/>
  <c r="BD58" i="14"/>
  <c r="BE58" i="14" s="1"/>
  <c r="BD64" i="14"/>
  <c r="BE64" i="14" s="1"/>
  <c r="BD65" i="14"/>
  <c r="BE65" i="14" s="1"/>
  <c r="BD57" i="14"/>
  <c r="BE57" i="14" s="1"/>
  <c r="F13" i="5"/>
  <c r="G4" i="14" l="1"/>
  <c r="U3" i="14" s="1"/>
  <c r="U4" i="14" s="1"/>
  <c r="G3" i="14"/>
  <c r="T3" i="14" s="1"/>
  <c r="T4" i="14" s="1"/>
  <c r="E4" i="14"/>
  <c r="E5" i="14" s="1"/>
  <c r="E3" i="14"/>
  <c r="F4" i="14"/>
  <c r="S3" i="14" s="1"/>
  <c r="S4" i="14" s="1"/>
  <c r="F3" i="14"/>
  <c r="D4" i="14"/>
  <c r="D5" i="14" s="1"/>
  <c r="D3" i="14"/>
  <c r="H37" i="5"/>
  <c r="I37" i="5" s="1"/>
  <c r="H37" i="13"/>
  <c r="I37" i="13" s="1"/>
  <c r="L5" i="14"/>
  <c r="N5" i="14"/>
  <c r="O5" i="14" s="1"/>
  <c r="N4" i="14"/>
  <c r="D37" i="13" s="1"/>
  <c r="N3" i="14"/>
  <c r="AB54" i="14"/>
  <c r="AB51" i="14"/>
  <c r="AB52" i="14" s="1"/>
  <c r="A14" i="14"/>
  <c r="A21" i="14"/>
  <c r="A17" i="14"/>
  <c r="A15" i="14"/>
  <c r="A24" i="14"/>
  <c r="A19" i="14"/>
  <c r="A16" i="14"/>
  <c r="A13" i="14"/>
  <c r="T16" i="5" s="1"/>
  <c r="A22" i="14"/>
  <c r="A18" i="14"/>
  <c r="A20" i="14"/>
  <c r="A23" i="14"/>
  <c r="BE67" i="14"/>
  <c r="AD50" i="14" s="1"/>
  <c r="AA50" i="14"/>
  <c r="G22" i="14" l="1"/>
  <c r="H22" i="14" s="1"/>
  <c r="I22" i="14" s="1"/>
  <c r="T25" i="5"/>
  <c r="G21" i="14"/>
  <c r="H21" i="14" s="1"/>
  <c r="I21" i="14" s="1"/>
  <c r="T24" i="5"/>
  <c r="G16" i="14"/>
  <c r="H16" i="14" s="1"/>
  <c r="I16" i="14" s="1"/>
  <c r="T19" i="5"/>
  <c r="G24" i="14"/>
  <c r="H24" i="14" s="1"/>
  <c r="I24" i="14" s="1"/>
  <c r="T27" i="5"/>
  <c r="G19" i="14"/>
  <c r="H19" i="14" s="1"/>
  <c r="I19" i="14" s="1"/>
  <c r="T22" i="5"/>
  <c r="G17" i="14"/>
  <c r="H17" i="14" s="1"/>
  <c r="I17" i="14" s="1"/>
  <c r="T20" i="5"/>
  <c r="G14" i="14"/>
  <c r="H14" i="14" s="1"/>
  <c r="I14" i="14" s="1"/>
  <c r="T17" i="5"/>
  <c r="G23" i="14"/>
  <c r="H23" i="14" s="1"/>
  <c r="I23" i="14" s="1"/>
  <c r="T26" i="5"/>
  <c r="G15" i="14"/>
  <c r="H15" i="14" s="1"/>
  <c r="I15" i="14" s="1"/>
  <c r="T18" i="5"/>
  <c r="G20" i="14"/>
  <c r="H20" i="14" s="1"/>
  <c r="I20" i="14" s="1"/>
  <c r="T23" i="5"/>
  <c r="G18" i="14"/>
  <c r="H18" i="14" s="1"/>
  <c r="I18" i="14" s="1"/>
  <c r="T21" i="5"/>
  <c r="N11" i="14"/>
  <c r="R3" i="14"/>
  <c r="R4" i="14" s="1"/>
  <c r="L4" i="14"/>
  <c r="M4" i="14" s="1"/>
  <c r="L3" i="14"/>
  <c r="M3" i="14" s="1"/>
  <c r="BY15" i="14"/>
  <c r="Z51" i="14"/>
  <c r="AC51" i="14" s="1"/>
  <c r="AA54" i="14"/>
  <c r="AA51" i="14"/>
  <c r="AA52" i="14" s="1"/>
  <c r="AD54" i="14"/>
  <c r="AF54" i="14" s="1"/>
  <c r="AD51" i="14"/>
  <c r="D37" i="5"/>
  <c r="D38" i="13"/>
  <c r="G13" i="14"/>
  <c r="H13" i="14" s="1"/>
  <c r="I13" i="14" s="1"/>
  <c r="M5" i="14"/>
  <c r="E44" i="13"/>
  <c r="Z58" i="14" s="1"/>
  <c r="A25" i="14"/>
  <c r="E37" i="13"/>
  <c r="Z52" i="14" s="1"/>
  <c r="O3" i="14"/>
  <c r="O4" i="14"/>
  <c r="AF50" i="14"/>
  <c r="AY22" i="14" s="1"/>
  <c r="G25" i="14" l="1"/>
  <c r="H25" i="14" s="1"/>
  <c r="I25" i="14" s="1"/>
  <c r="T28" i="5"/>
  <c r="D44" i="13"/>
  <c r="Z57" i="14" s="1"/>
  <c r="AC57" i="14" s="1"/>
  <c r="AD57" i="14" s="1"/>
  <c r="D38" i="5"/>
  <c r="D40" i="13"/>
  <c r="D40" i="5" s="1"/>
  <c r="CD15" i="14"/>
  <c r="E44" i="5"/>
  <c r="F44" i="5" s="1"/>
  <c r="E45" i="13"/>
  <c r="AZ22" i="14" a="1"/>
  <c r="AZ22" i="14" s="1"/>
  <c r="BA22" i="14" s="1" a="1"/>
  <c r="BA22" i="14" s="1"/>
  <c r="AG50" i="14" s="1"/>
  <c r="BY16" i="14"/>
  <c r="CD16" i="14"/>
  <c r="CI16" i="14"/>
  <c r="AF51" i="14"/>
  <c r="AD52" i="14"/>
  <c r="AF52" i="14" s="1"/>
  <c r="D45" i="13"/>
  <c r="AC52" i="14"/>
  <c r="CI15" i="14"/>
  <c r="AE51" i="14"/>
  <c r="CD17" i="14" s="1"/>
  <c r="E37" i="5"/>
  <c r="F37" i="5" s="1"/>
  <c r="E38" i="13"/>
  <c r="I12" i="13"/>
  <c r="F37" i="13" s="1"/>
  <c r="F38" i="13" s="1"/>
  <c r="F40" i="13" s="1"/>
  <c r="A26" i="14"/>
  <c r="G26" i="14" l="1"/>
  <c r="H26" i="14" s="1"/>
  <c r="I26" i="14" s="1"/>
  <c r="T29" i="5"/>
  <c r="D44" i="5"/>
  <c r="E45" i="5"/>
  <c r="E46" i="13"/>
  <c r="E46" i="5" s="1"/>
  <c r="F40" i="5"/>
  <c r="G40" i="13"/>
  <c r="G40" i="5" s="1"/>
  <c r="E38" i="5"/>
  <c r="E40" i="13"/>
  <c r="E40" i="5" s="1"/>
  <c r="D45" i="5"/>
  <c r="D46" i="13"/>
  <c r="D46" i="5" s="1"/>
  <c r="I11" i="13"/>
  <c r="BC7" i="14"/>
  <c r="Z50" i="14" s="1"/>
  <c r="AC50" i="14" s="1"/>
  <c r="AE50" i="14" s="1"/>
  <c r="CA96" i="14"/>
  <c r="CA196" i="14"/>
  <c r="CA109" i="14"/>
  <c r="CA33" i="14"/>
  <c r="CA122" i="14"/>
  <c r="CA27" i="14"/>
  <c r="CA171" i="14"/>
  <c r="CA4" i="14"/>
  <c r="CA125" i="14"/>
  <c r="CA187" i="14"/>
  <c r="CA102" i="14"/>
  <c r="CA107" i="14"/>
  <c r="CA32" i="14"/>
  <c r="CA176" i="14"/>
  <c r="CA46" i="14"/>
  <c r="CA190" i="14"/>
  <c r="CA132" i="14"/>
  <c r="CA28" i="14"/>
  <c r="CA31" i="14"/>
  <c r="CA23" i="14"/>
  <c r="CA108" i="14"/>
  <c r="CA69" i="14"/>
  <c r="CA121" i="14"/>
  <c r="CA141" i="14"/>
  <c r="CA134" i="14"/>
  <c r="CA39" i="14"/>
  <c r="CA183" i="14"/>
  <c r="CA16" i="14"/>
  <c r="CA137" i="14"/>
  <c r="CA45" i="14"/>
  <c r="CA114" i="14"/>
  <c r="CA7" i="14"/>
  <c r="CA44" i="14"/>
  <c r="CA188" i="14"/>
  <c r="CA58" i="14"/>
  <c r="CA3" i="14"/>
  <c r="CA145" i="14"/>
  <c r="CA158" i="14"/>
  <c r="CA17" i="14"/>
  <c r="CA191" i="14"/>
  <c r="CA68" i="14"/>
  <c r="CA120" i="14"/>
  <c r="CA165" i="14"/>
  <c r="CA133" i="14"/>
  <c r="CA155" i="14"/>
  <c r="CA146" i="14"/>
  <c r="CA51" i="14"/>
  <c r="CA195" i="14"/>
  <c r="CA5" i="14"/>
  <c r="CA149" i="14"/>
  <c r="CA189" i="14"/>
  <c r="CA126" i="14"/>
  <c r="CA19" i="14"/>
  <c r="CA56" i="14"/>
  <c r="CA200" i="14"/>
  <c r="CA70" i="14"/>
  <c r="CA11" i="14"/>
  <c r="CA143" i="14"/>
  <c r="CA14" i="14"/>
  <c r="CA63" i="14"/>
  <c r="CA161" i="14"/>
  <c r="CA138" i="14"/>
  <c r="CA119" i="14"/>
  <c r="CA82" i="14"/>
  <c r="CA144" i="14"/>
  <c r="CA13" i="14"/>
  <c r="CA157" i="14"/>
  <c r="CA26" i="14"/>
  <c r="CA170" i="14"/>
  <c r="CA75" i="14"/>
  <c r="CA88" i="14"/>
  <c r="CA29" i="14"/>
  <c r="CA173" i="14"/>
  <c r="CA6" i="14"/>
  <c r="CA150" i="14"/>
  <c r="CA43" i="14"/>
  <c r="CA80" i="14"/>
  <c r="CA9" i="14"/>
  <c r="CA94" i="14"/>
  <c r="CA35" i="14"/>
  <c r="CA100" i="14"/>
  <c r="CA124" i="14"/>
  <c r="CA147" i="14"/>
  <c r="CA139" i="14"/>
  <c r="CA8" i="14"/>
  <c r="CA22" i="14"/>
  <c r="CA97" i="14"/>
  <c r="CA15" i="14"/>
  <c r="CA95" i="14"/>
  <c r="CA129" i="14"/>
  <c r="CA178" i="14"/>
  <c r="CA12" i="14"/>
  <c r="CA156" i="14"/>
  <c r="CA25" i="14"/>
  <c r="CA169" i="14"/>
  <c r="CA38" i="14"/>
  <c r="CA182" i="14"/>
  <c r="CA87" i="14"/>
  <c r="CA136" i="14"/>
  <c r="CA41" i="14"/>
  <c r="CA185" i="14"/>
  <c r="CA18" i="14"/>
  <c r="CA174" i="14"/>
  <c r="CA55" i="14"/>
  <c r="CA92" i="14"/>
  <c r="CA81" i="14"/>
  <c r="CA106" i="14"/>
  <c r="CA47" i="14"/>
  <c r="CA166" i="14"/>
  <c r="CA110" i="14"/>
  <c r="CA90" i="14"/>
  <c r="CA24" i="14"/>
  <c r="CA168" i="14"/>
  <c r="CA37" i="14"/>
  <c r="CA181" i="14"/>
  <c r="CA50" i="14"/>
  <c r="CA194" i="14"/>
  <c r="CA99" i="14"/>
  <c r="CA184" i="14"/>
  <c r="CA53" i="14"/>
  <c r="CA197" i="14"/>
  <c r="CA30" i="14"/>
  <c r="CA186" i="14"/>
  <c r="CA67" i="14"/>
  <c r="CA104" i="14"/>
  <c r="CA117" i="14"/>
  <c r="CA118" i="14"/>
  <c r="CA59" i="14"/>
  <c r="CA154" i="14"/>
  <c r="CA85" i="14"/>
  <c r="CA21" i="14"/>
  <c r="CA101" i="14"/>
  <c r="CA57" i="14"/>
  <c r="CA167" i="14"/>
  <c r="CA172" i="14"/>
  <c r="CA159" i="14"/>
  <c r="CA163" i="14"/>
  <c r="CA34" i="14"/>
  <c r="CA36" i="14"/>
  <c r="CA180" i="14"/>
  <c r="CA49" i="14"/>
  <c r="CA193" i="14"/>
  <c r="CA62" i="14"/>
  <c r="CA52" i="14"/>
  <c r="CA111" i="14"/>
  <c r="CA199" i="14"/>
  <c r="CA65" i="14"/>
  <c r="CA162" i="14"/>
  <c r="CA42" i="14"/>
  <c r="CA127" i="14"/>
  <c r="CA79" i="14"/>
  <c r="CA116" i="14"/>
  <c r="CA177" i="14"/>
  <c r="CA130" i="14"/>
  <c r="CA71" i="14"/>
  <c r="CA83" i="14"/>
  <c r="CA131" i="14"/>
  <c r="CA84" i="14"/>
  <c r="CA20" i="14"/>
  <c r="CA48" i="14"/>
  <c r="CA192" i="14"/>
  <c r="CA61" i="14"/>
  <c r="CA40" i="14"/>
  <c r="CA74" i="14"/>
  <c r="CA112" i="14"/>
  <c r="CA123" i="14"/>
  <c r="CA93" i="14"/>
  <c r="CA77" i="14"/>
  <c r="CA198" i="14"/>
  <c r="CA54" i="14"/>
  <c r="CA151" i="14"/>
  <c r="CA91" i="14"/>
  <c r="CA128" i="14"/>
  <c r="CA179" i="14"/>
  <c r="CA142" i="14"/>
  <c r="CA148" i="14"/>
  <c r="CA164" i="14"/>
  <c r="CA60" i="14"/>
  <c r="CA64" i="14"/>
  <c r="CA73" i="14"/>
  <c r="CA76" i="14"/>
  <c r="CA86" i="14"/>
  <c r="CA160" i="14"/>
  <c r="CA135" i="14"/>
  <c r="CA105" i="14"/>
  <c r="CA89" i="14"/>
  <c r="CA115" i="14"/>
  <c r="CA66" i="14"/>
  <c r="CA175" i="14"/>
  <c r="CA103" i="14"/>
  <c r="CA140" i="14"/>
  <c r="CA10" i="14"/>
  <c r="CA72" i="14"/>
  <c r="CA98" i="14"/>
  <c r="CA153" i="14"/>
  <c r="CA78" i="14"/>
  <c r="CA152" i="14"/>
  <c r="CA113" i="14"/>
  <c r="AE52" i="14"/>
  <c r="CI17" i="14" s="1"/>
  <c r="CF57" i="14" s="1"/>
  <c r="N6" i="14"/>
  <c r="O6" i="14" s="1"/>
  <c r="Z54" i="14"/>
  <c r="AC54" i="14" s="1"/>
  <c r="AE54" i="14" s="1"/>
  <c r="BY17" i="14" s="1"/>
  <c r="BV181" i="14" s="1"/>
  <c r="A27" i="14"/>
  <c r="G27" i="14" l="1"/>
  <c r="H27" i="14" s="1"/>
  <c r="I27" i="14" s="1"/>
  <c r="T30" i="5"/>
  <c r="C37" i="13"/>
  <c r="L6" i="14"/>
  <c r="F44" i="13"/>
  <c r="F45" i="13" s="1"/>
  <c r="BV39" i="14"/>
  <c r="BV109" i="14"/>
  <c r="BV76" i="14"/>
  <c r="BV42" i="14"/>
  <c r="BV75" i="14"/>
  <c r="BV48" i="14"/>
  <c r="BV6" i="14"/>
  <c r="BV40" i="14"/>
  <c r="BV127" i="14"/>
  <c r="BV163" i="14"/>
  <c r="BV118" i="14"/>
  <c r="BV134" i="14"/>
  <c r="BV85" i="14"/>
  <c r="BV147" i="14"/>
  <c r="BV30" i="14"/>
  <c r="BV159" i="14"/>
  <c r="BV136" i="14"/>
  <c r="BV50" i="14"/>
  <c r="BV140" i="14"/>
  <c r="BV167" i="14"/>
  <c r="BV168" i="14"/>
  <c r="BV84" i="14"/>
  <c r="BV69" i="14"/>
  <c r="BV169" i="14"/>
  <c r="BV195" i="14"/>
  <c r="BV190" i="14"/>
  <c r="BV200" i="14"/>
  <c r="BV160" i="14"/>
  <c r="BV62" i="14"/>
  <c r="BV57" i="14"/>
  <c r="BV130" i="14"/>
  <c r="BV193" i="14"/>
  <c r="BV15" i="14"/>
  <c r="CF80" i="14"/>
  <c r="CF113" i="14"/>
  <c r="CF64" i="14"/>
  <c r="CF145" i="14"/>
  <c r="CF60" i="14"/>
  <c r="BV152" i="14"/>
  <c r="BV61" i="14"/>
  <c r="BV137" i="14"/>
  <c r="BV132" i="14"/>
  <c r="BV111" i="14"/>
  <c r="BV166" i="14"/>
  <c r="BV171" i="14"/>
  <c r="BV139" i="14"/>
  <c r="BV28" i="14"/>
  <c r="BV155" i="14"/>
  <c r="BV44" i="14"/>
  <c r="BV117" i="14"/>
  <c r="BV150" i="14"/>
  <c r="BV115" i="14"/>
  <c r="BV156" i="14"/>
  <c r="BV114" i="14"/>
  <c r="BV180" i="14"/>
  <c r="BV135" i="14"/>
  <c r="BV158" i="14"/>
  <c r="BV121" i="14"/>
  <c r="BV72" i="14"/>
  <c r="BV176" i="14"/>
  <c r="BV56" i="14"/>
  <c r="BV36" i="14"/>
  <c r="BV182" i="14"/>
  <c r="BV78" i="14"/>
  <c r="BV55" i="14"/>
  <c r="BV46" i="14"/>
  <c r="BV70" i="14"/>
  <c r="M6" i="14"/>
  <c r="H10" i="14" s="1"/>
  <c r="G10" i="14"/>
  <c r="CF175" i="14"/>
  <c r="CF20" i="14"/>
  <c r="CF45" i="14"/>
  <c r="CF8" i="14"/>
  <c r="CF93" i="14"/>
  <c r="CF82" i="14"/>
  <c r="CF98" i="14"/>
  <c r="CF126" i="14"/>
  <c r="CF139" i="14"/>
  <c r="CF16" i="14"/>
  <c r="CF109" i="14"/>
  <c r="CF27" i="14"/>
  <c r="CF146" i="14"/>
  <c r="CF125" i="14"/>
  <c r="CF140" i="14"/>
  <c r="CF62" i="14"/>
  <c r="CF187" i="14"/>
  <c r="CF147" i="14"/>
  <c r="CF24" i="14"/>
  <c r="CF178" i="14"/>
  <c r="CF128" i="14"/>
  <c r="CF11" i="14"/>
  <c r="CF174" i="14"/>
  <c r="BV178" i="14"/>
  <c r="CF74" i="14"/>
  <c r="CF144" i="14"/>
  <c r="CF17" i="14"/>
  <c r="CF92" i="14"/>
  <c r="CF5" i="14"/>
  <c r="CF120" i="14"/>
  <c r="CF50" i="14"/>
  <c r="CF188" i="14"/>
  <c r="CF114" i="14"/>
  <c r="CF186" i="14"/>
  <c r="CF160" i="14"/>
  <c r="CF100" i="14"/>
  <c r="CF53" i="14"/>
  <c r="CF101" i="14"/>
  <c r="CF104" i="14"/>
  <c r="CC9" i="14"/>
  <c r="CF85" i="14"/>
  <c r="CF173" i="14"/>
  <c r="CF33" i="14"/>
  <c r="CF36" i="14"/>
  <c r="CF38" i="14"/>
  <c r="CF155" i="14"/>
  <c r="CF164" i="14"/>
  <c r="CF169" i="14"/>
  <c r="BV74" i="14"/>
  <c r="BV34" i="14"/>
  <c r="BV22" i="14"/>
  <c r="BV120" i="14"/>
  <c r="BV47" i="14"/>
  <c r="BV128" i="14"/>
  <c r="CF182" i="14"/>
  <c r="CF168" i="14"/>
  <c r="CF119" i="14"/>
  <c r="CF21" i="14"/>
  <c r="CF161" i="14"/>
  <c r="CF166" i="14"/>
  <c r="CF86" i="14"/>
  <c r="CF127" i="14"/>
  <c r="CF133" i="14"/>
  <c r="CF162" i="14"/>
  <c r="BV9" i="14"/>
  <c r="BV138" i="14"/>
  <c r="BV194" i="14"/>
  <c r="BV184" i="14"/>
  <c r="BV198" i="14"/>
  <c r="CC11" i="14"/>
  <c r="CF4" i="14"/>
  <c r="CF39" i="14"/>
  <c r="CF65" i="14"/>
  <c r="CF176" i="14"/>
  <c r="CF179" i="14"/>
  <c r="CF141" i="14"/>
  <c r="CF153" i="14"/>
  <c r="CF129" i="14"/>
  <c r="CF154" i="14"/>
  <c r="CF41" i="14"/>
  <c r="CF172" i="14"/>
  <c r="CF99" i="14"/>
  <c r="CF102" i="14"/>
  <c r="CF42" i="14"/>
  <c r="CF69" i="14"/>
  <c r="CF22" i="14"/>
  <c r="CF81" i="14"/>
  <c r="CF197" i="14"/>
  <c r="CF192" i="14"/>
  <c r="CF63" i="14"/>
  <c r="CF196" i="14"/>
  <c r="CF88" i="14"/>
  <c r="CF72" i="14"/>
  <c r="CF44" i="14"/>
  <c r="BV24" i="14"/>
  <c r="BV144" i="14"/>
  <c r="BV133" i="14"/>
  <c r="BV183" i="14"/>
  <c r="BV3" i="14"/>
  <c r="BV81" i="14"/>
  <c r="BV60" i="14"/>
  <c r="BV188" i="14"/>
  <c r="BV102" i="14"/>
  <c r="BV98" i="14"/>
  <c r="CC8" i="14"/>
  <c r="CC3" i="14"/>
  <c r="CF124" i="14"/>
  <c r="CF73" i="14"/>
  <c r="CF19" i="14"/>
  <c r="CF190" i="14"/>
  <c r="CF106" i="14"/>
  <c r="CF23" i="14"/>
  <c r="CF40" i="14"/>
  <c r="CF18" i="14"/>
  <c r="CF13" i="14"/>
  <c r="CF137" i="14"/>
  <c r="CF30" i="14"/>
  <c r="CF43" i="14"/>
  <c r="CF66" i="14"/>
  <c r="CF34" i="14"/>
  <c r="CF79" i="14"/>
  <c r="CF70" i="14"/>
  <c r="CF150" i="14"/>
  <c r="BV173" i="14"/>
  <c r="BV162" i="14"/>
  <c r="BV49" i="14"/>
  <c r="BV151" i="14"/>
  <c r="BV90" i="14"/>
  <c r="BV7" i="14"/>
  <c r="BV32" i="14"/>
  <c r="BV33" i="14"/>
  <c r="CC7" i="14"/>
  <c r="CF177" i="14"/>
  <c r="CF26" i="14"/>
  <c r="CF195" i="14"/>
  <c r="CF6" i="14"/>
  <c r="CF97" i="14"/>
  <c r="CF184" i="14"/>
  <c r="CF149" i="14"/>
  <c r="CF55" i="14"/>
  <c r="CF157" i="14"/>
  <c r="CF35" i="14"/>
  <c r="CF152" i="14"/>
  <c r="CF46" i="14"/>
  <c r="CF117" i="14"/>
  <c r="CF122" i="14"/>
  <c r="CF28" i="14"/>
  <c r="CF108" i="14"/>
  <c r="CF3" i="14"/>
  <c r="CF115" i="14"/>
  <c r="CF170" i="14"/>
  <c r="CF130" i="14"/>
  <c r="CF118" i="14"/>
  <c r="CF194" i="14"/>
  <c r="CF163" i="14"/>
  <c r="CF48" i="14"/>
  <c r="CF121" i="14"/>
  <c r="CF110" i="14"/>
  <c r="CF75" i="14"/>
  <c r="CF54" i="14"/>
  <c r="CF84" i="14"/>
  <c r="CF136" i="14"/>
  <c r="CF83" i="14"/>
  <c r="CF199" i="14"/>
  <c r="CF61" i="14"/>
  <c r="CF52" i="14"/>
  <c r="CC6" i="14"/>
  <c r="CF116" i="14"/>
  <c r="CF56" i="14"/>
  <c r="CF32" i="14"/>
  <c r="CF76" i="14"/>
  <c r="CF29" i="14"/>
  <c r="CF91" i="14"/>
  <c r="CF37" i="14"/>
  <c r="CF167" i="14"/>
  <c r="CF58" i="14"/>
  <c r="CF135" i="14"/>
  <c r="CF14" i="14"/>
  <c r="CF107" i="14"/>
  <c r="BV21" i="14"/>
  <c r="BV100" i="14"/>
  <c r="BV170" i="14"/>
  <c r="BV16" i="14"/>
  <c r="BV71" i="14"/>
  <c r="BV13" i="14"/>
  <c r="CF171" i="14"/>
  <c r="CF77" i="14"/>
  <c r="CF105" i="14"/>
  <c r="CF111" i="14"/>
  <c r="CF148" i="14"/>
  <c r="CF9" i="14"/>
  <c r="CF68" i="14"/>
  <c r="CF87" i="14"/>
  <c r="CF89" i="14"/>
  <c r="CF200" i="14"/>
  <c r="CF151" i="14"/>
  <c r="CF181" i="14"/>
  <c r="CF71" i="14"/>
  <c r="CF96" i="14"/>
  <c r="CF138" i="14"/>
  <c r="CF158" i="14"/>
  <c r="CF189" i="14"/>
  <c r="CC12" i="14"/>
  <c r="BV17" i="14"/>
  <c r="BV116" i="14"/>
  <c r="BV96" i="14"/>
  <c r="BV142" i="14"/>
  <c r="BV86" i="14"/>
  <c r="BV23" i="14"/>
  <c r="BV124" i="14"/>
  <c r="BV38" i="14"/>
  <c r="BV110" i="14"/>
  <c r="BV192" i="14"/>
  <c r="BV172" i="14"/>
  <c r="BV45" i="14"/>
  <c r="BV80" i="14"/>
  <c r="BV53" i="14"/>
  <c r="CF165" i="14"/>
  <c r="CF94" i="14"/>
  <c r="CF183" i="14"/>
  <c r="CF198" i="14"/>
  <c r="CF12" i="14"/>
  <c r="CF47" i="14"/>
  <c r="CF78" i="14"/>
  <c r="CF180" i="14"/>
  <c r="CF191" i="14"/>
  <c r="CF103" i="14"/>
  <c r="CF131" i="14"/>
  <c r="CF134" i="14"/>
  <c r="CF159" i="14"/>
  <c r="CF49" i="14"/>
  <c r="CF185" i="14"/>
  <c r="CF142" i="14"/>
  <c r="CF10" i="14"/>
  <c r="BV59" i="14"/>
  <c r="BV54" i="14"/>
  <c r="BV129" i="14"/>
  <c r="BV164" i="14"/>
  <c r="BV26" i="14"/>
  <c r="BV79" i="14"/>
  <c r="BV108" i="14"/>
  <c r="BV97" i="14"/>
  <c r="BV154" i="14"/>
  <c r="BV63" i="14"/>
  <c r="BV123" i="14"/>
  <c r="BV64" i="14"/>
  <c r="BV37" i="14"/>
  <c r="BV19" i="14"/>
  <c r="CC10" i="14"/>
  <c r="CC4" i="14"/>
  <c r="CC5" i="14"/>
  <c r="CF15" i="14"/>
  <c r="CF132" i="14"/>
  <c r="CF31" i="14"/>
  <c r="CF51" i="14"/>
  <c r="CF156" i="14"/>
  <c r="CF67" i="14"/>
  <c r="CF7" i="14"/>
  <c r="CF59" i="14"/>
  <c r="CF95" i="14"/>
  <c r="CF25" i="14"/>
  <c r="CF123" i="14"/>
  <c r="CF112" i="14"/>
  <c r="CF143" i="14"/>
  <c r="CF193" i="14"/>
  <c r="CF90" i="14"/>
  <c r="BV99" i="14"/>
  <c r="BV43" i="14"/>
  <c r="BV65" i="14"/>
  <c r="BV41" i="14"/>
  <c r="BV58" i="14"/>
  <c r="BV112" i="14"/>
  <c r="BV185" i="14"/>
  <c r="BV82" i="14"/>
  <c r="BV101" i="14"/>
  <c r="BV165" i="14"/>
  <c r="BV196" i="14"/>
  <c r="BV175" i="14"/>
  <c r="BV67" i="14"/>
  <c r="BV12" i="14"/>
  <c r="BV141" i="14"/>
  <c r="BV14" i="14"/>
  <c r="BV52" i="14"/>
  <c r="BV153" i="14"/>
  <c r="BV66" i="14"/>
  <c r="BV18" i="14"/>
  <c r="BV77" i="14"/>
  <c r="BV94" i="14"/>
  <c r="BV191" i="14"/>
  <c r="BV95" i="14"/>
  <c r="BV148" i="14"/>
  <c r="BV68" i="14"/>
  <c r="BV5" i="14"/>
  <c r="BV35" i="14"/>
  <c r="BV122" i="14"/>
  <c r="BV119" i="14"/>
  <c r="BV29" i="14"/>
  <c r="BV174" i="14"/>
  <c r="BV146" i="14"/>
  <c r="BV83" i="14"/>
  <c r="BV91" i="14"/>
  <c r="BV177" i="14"/>
  <c r="BV179" i="14"/>
  <c r="BV149" i="14"/>
  <c r="BV25" i="14"/>
  <c r="BV20" i="14"/>
  <c r="BV88" i="14"/>
  <c r="BV31" i="14"/>
  <c r="BV105" i="14"/>
  <c r="BV11" i="14"/>
  <c r="BV199" i="14"/>
  <c r="BV161" i="14"/>
  <c r="BV27" i="14"/>
  <c r="BV113" i="14"/>
  <c r="BV157" i="14"/>
  <c r="BV143" i="14"/>
  <c r="BV103" i="14"/>
  <c r="BV126" i="14"/>
  <c r="BV131" i="14"/>
  <c r="BV197" i="14"/>
  <c r="BV4" i="14"/>
  <c r="BV145" i="14"/>
  <c r="BV87" i="14"/>
  <c r="BV189" i="14"/>
  <c r="BV89" i="14"/>
  <c r="BV73" i="14"/>
  <c r="BV92" i="14"/>
  <c r="BV106" i="14"/>
  <c r="BV107" i="14"/>
  <c r="BV104" i="14"/>
  <c r="BV93" i="14"/>
  <c r="BV125" i="14"/>
  <c r="C37" i="5"/>
  <c r="C38" i="13"/>
  <c r="BV186" i="14"/>
  <c r="BV10" i="14"/>
  <c r="BV51" i="14"/>
  <c r="BV187" i="14"/>
  <c r="BV8" i="14"/>
  <c r="I10" i="14"/>
  <c r="J10" i="14"/>
  <c r="A28" i="14"/>
  <c r="G28" i="14" l="1"/>
  <c r="H28" i="14" s="1"/>
  <c r="I28" i="14" s="1"/>
  <c r="T31" i="5"/>
  <c r="C38" i="5"/>
  <c r="V3" i="14" s="1"/>
  <c r="V4" i="14" s="1"/>
  <c r="C40" i="13"/>
  <c r="C40" i="5" s="1"/>
  <c r="F45" i="5"/>
  <c r="F46" i="13"/>
  <c r="CH7" i="14"/>
  <c r="CH9" i="14"/>
  <c r="CH12" i="14"/>
  <c r="CH8" i="14"/>
  <c r="CH4" i="14"/>
  <c r="CH3" i="14"/>
  <c r="CH5" i="14"/>
  <c r="CH11" i="14"/>
  <c r="CH10" i="14"/>
  <c r="CD18" i="14"/>
  <c r="CD19" i="14" s="1" a="1"/>
  <c r="CD19" i="14" s="1"/>
  <c r="AG51" i="14" s="1"/>
  <c r="AH51" i="14" s="1"/>
  <c r="CH6" i="14"/>
  <c r="BX6" i="14"/>
  <c r="BX7" i="14"/>
  <c r="BX10" i="14"/>
  <c r="BX5" i="14"/>
  <c r="BX11" i="14"/>
  <c r="BX8" i="14"/>
  <c r="BX4" i="14"/>
  <c r="BX9" i="14"/>
  <c r="BX12" i="14"/>
  <c r="BX3" i="14"/>
  <c r="A29" i="14"/>
  <c r="G29" i="14" l="1"/>
  <c r="H29" i="14" s="1"/>
  <c r="I29" i="14" s="1"/>
  <c r="T32" i="5"/>
  <c r="F46" i="5"/>
  <c r="G46" i="13"/>
  <c r="G46" i="5" s="1"/>
  <c r="AI51" i="14"/>
  <c r="D39" i="13" s="1"/>
  <c r="D39" i="5" s="1"/>
  <c r="CI18" i="14"/>
  <c r="CI19" i="14" s="1" a="1"/>
  <c r="CI19" i="14" s="1"/>
  <c r="AG52" i="14" s="1"/>
  <c r="AH52" i="14" s="1"/>
  <c r="BY18" i="14"/>
  <c r="AH50" i="14"/>
  <c r="A30" i="14"/>
  <c r="G30" i="14" l="1"/>
  <c r="H30" i="14" s="1"/>
  <c r="I30" i="14" s="1"/>
  <c r="T33" i="5"/>
  <c r="AI50" i="14"/>
  <c r="C39" i="13" s="1"/>
  <c r="C39" i="5" s="1"/>
  <c r="AI52" i="14"/>
  <c r="E39" i="13" s="1"/>
  <c r="E39" i="5" s="1"/>
  <c r="BY19" i="14" a="1"/>
  <c r="BY19" i="14" s="1"/>
  <c r="AG54" i="14" s="1"/>
  <c r="AH54" i="14" s="1"/>
  <c r="AI54" i="14" s="1"/>
  <c r="F39" i="13" s="1"/>
  <c r="F39" i="5" s="1"/>
  <c r="A31" i="14"/>
  <c r="G31" i="14" l="1"/>
  <c r="H31" i="14" s="1"/>
  <c r="I31" i="14" s="1"/>
  <c r="T34" i="5"/>
  <c r="A32" i="14"/>
  <c r="G32" i="14" s="1"/>
  <c r="H32" i="14" s="1"/>
  <c r="I32" i="14" s="1"/>
  <c r="A33" i="14" l="1"/>
  <c r="G33" i="14" s="1"/>
  <c r="H33" i="14" s="1"/>
  <c r="I33" i="14" s="1"/>
  <c r="A34" i="14" l="1"/>
  <c r="G34" i="14" s="1"/>
  <c r="H34" i="14" s="1"/>
  <c r="I34" i="14" s="1"/>
  <c r="A35" i="14" l="1"/>
  <c r="G35" i="14" s="1"/>
  <c r="H35" i="14" s="1"/>
  <c r="I35" i="14" s="1"/>
  <c r="A36" i="14" l="1"/>
  <c r="G36" i="14" s="1"/>
  <c r="H36" i="14" s="1"/>
  <c r="I36" i="14" s="1"/>
  <c r="A37" i="14" l="1"/>
  <c r="G37" i="14" s="1"/>
  <c r="H37" i="14" s="1"/>
  <c r="I37" i="14" s="1"/>
  <c r="A38" i="14" l="1"/>
  <c r="G38" i="14" s="1"/>
  <c r="H38" i="14" s="1"/>
  <c r="I38" i="14" s="1"/>
  <c r="A39" i="14" l="1"/>
  <c r="G39" i="14" s="1"/>
  <c r="H39" i="14" s="1"/>
  <c r="I39" i="14" s="1"/>
  <c r="A40" i="14" l="1"/>
  <c r="G40" i="14" s="1"/>
  <c r="H40" i="14" s="1"/>
  <c r="I40" i="14" s="1"/>
  <c r="Q3" i="14" l="1"/>
  <c r="Q4" i="14"/>
  <c r="F38"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<sst xmlns="http://schemas.openxmlformats.org/spreadsheetml/2006/main" count="286" uniqueCount="113">
  <si>
    <t>First issue</t>
  </si>
  <si>
    <t>R&amp;D - L.DeFranco</t>
  </si>
  <si>
    <t>QA/HSEM C.Delli Quadri - M.Tremolada</t>
  </si>
  <si>
    <t>R&amp;D Manager / M.Borghetti</t>
  </si>
  <si>
    <t>Rev.</t>
  </si>
  <si>
    <t>Date</t>
  </si>
  <si>
    <t>Description</t>
  </si>
  <si>
    <t>Prepared</t>
  </si>
  <si>
    <t>Checked</t>
  </si>
  <si>
    <t>Approved</t>
  </si>
  <si>
    <t>Mod.xxx-0</t>
  </si>
  <si>
    <t>Flange nozzle Selection</t>
  </si>
  <si>
    <t>PUMP MODEL</t>
  </si>
  <si>
    <t>PUMP SIZE</t>
  </si>
  <si>
    <t>DRAWING NUMBER</t>
  </si>
  <si>
    <t>US</t>
  </si>
  <si>
    <t>SI</t>
  </si>
  <si>
    <t>INPUT DATA</t>
  </si>
  <si>
    <t>unit system</t>
  </si>
  <si>
    <t>selected Diameter</t>
  </si>
  <si>
    <t>Pump speed</t>
  </si>
  <si>
    <t>RPM</t>
  </si>
  <si>
    <t>Din</t>
  </si>
  <si>
    <t>in</t>
  </si>
  <si>
    <t>mm</t>
  </si>
  <si>
    <t>Qbep</t>
  </si>
  <si>
    <t>Dout</t>
  </si>
  <si>
    <t>gpm</t>
  </si>
  <si>
    <t>m3/h</t>
  </si>
  <si>
    <t>Hpeb/stage</t>
  </si>
  <si>
    <t>m</t>
  </si>
  <si>
    <t>number of suctions</t>
  </si>
  <si>
    <t>D2</t>
  </si>
  <si>
    <t>nominal bolt flanges [in]</t>
  </si>
  <si>
    <t>nominal bolt flange [in]</t>
  </si>
  <si>
    <t xml:space="preserve">Ld - Length of diffusive duct (approx.) </t>
  </si>
  <si>
    <t>Qbleed off</t>
  </si>
  <si>
    <t>VS pump?</t>
  </si>
  <si>
    <t>y</t>
  </si>
  <si>
    <t>D1</t>
  </si>
  <si>
    <t>Dh</t>
  </si>
  <si>
    <t>OUTPUT DATA</t>
  </si>
  <si>
    <t>suggested values for outlet flange</t>
  </si>
  <si>
    <t>for max eff</t>
  </si>
  <si>
    <t>minimum</t>
  </si>
  <si>
    <t>maximum</t>
  </si>
  <si>
    <t>selected</t>
  </si>
  <si>
    <t>Nq</t>
  </si>
  <si>
    <t>Ns</t>
  </si>
  <si>
    <t>Diameter</t>
  </si>
  <si>
    <t>velocity</t>
  </si>
  <si>
    <t>Loss/Hst</t>
  </si>
  <si>
    <t>KE/Hst</t>
  </si>
  <si>
    <t>suggested values for inlet flange</t>
  </si>
  <si>
    <t>Limitations:</t>
  </si>
  <si>
    <t xml:space="preserve"> For lower Nq further consideration on kinetic losses on the discharge duct are considered. Selected dimensions fo the flanges must withstand the request of the customer. Take into account the possibility to use the same pattern for accelerated pumps. vor VS pumps min 3.3m/s (11ft/s) and max 4.6m/s (15ft/s) are used. for double volute use the total throat area and the outle diameter. The length is for the inner raw. Added KE3% limit </t>
  </si>
  <si>
    <t>selected flanges Diameter</t>
  </si>
  <si>
    <t>suggested values dor outlet flange</t>
  </si>
  <si>
    <t>max eff</t>
  </si>
  <si>
    <t>min std.</t>
  </si>
  <si>
    <t>max std.</t>
  </si>
  <si>
    <t>vout</t>
  </si>
  <si>
    <t>m/s</t>
  </si>
  <si>
    <t>Loss/Hp</t>
  </si>
  <si>
    <t>Hdyn/H</t>
  </si>
  <si>
    <t>vin</t>
  </si>
  <si>
    <t>Vin</t>
  </si>
  <si>
    <t>Vout</t>
  </si>
  <si>
    <t>for VS</t>
  </si>
  <si>
    <t>ke3%</t>
  </si>
  <si>
    <t>SELECTED UNITS</t>
  </si>
  <si>
    <t>target</t>
  </si>
  <si>
    <t>min. std</t>
  </si>
  <si>
    <t>DN</t>
  </si>
  <si>
    <t>Vin-MIN</t>
  </si>
  <si>
    <t>Vin-MAX</t>
  </si>
  <si>
    <t>Vout-MIN</t>
  </si>
  <si>
    <t>Vout-MAX</t>
  </si>
  <si>
    <t>Vminloss</t>
  </si>
  <si>
    <t>L/R</t>
  </si>
  <si>
    <t>AR</t>
  </si>
  <si>
    <t>cp</t>
  </si>
  <si>
    <t>dist</t>
  </si>
  <si>
    <t>min</t>
  </si>
  <si>
    <t>min-dist</t>
  </si>
  <si>
    <t>ave</t>
  </si>
  <si>
    <t>max</t>
  </si>
  <si>
    <t>Dout for best Cp</t>
  </si>
  <si>
    <t>L/R1</t>
  </si>
  <si>
    <t>Ar</t>
  </si>
  <si>
    <t>selected UNIT</t>
  </si>
  <si>
    <t>NOZZLE SIZE</t>
  </si>
  <si>
    <t>size</t>
  </si>
  <si>
    <t>Cp</t>
  </si>
  <si>
    <t>=REGR.LIN(bh25:bo25;ay25:bf25^{1,2,3,4,5,6})</t>
  </si>
  <si>
    <t>Stepanoff</t>
  </si>
  <si>
    <t>Hp</t>
  </si>
  <si>
    <t>c3q</t>
  </si>
  <si>
    <t>u2</t>
  </si>
  <si>
    <t>Aout</t>
  </si>
  <si>
    <t>Ain</t>
  </si>
  <si>
    <t>R1</t>
  </si>
  <si>
    <t>Zita SpD</t>
  </si>
  <si>
    <t>H/Hst</t>
  </si>
  <si>
    <t>Kcv</t>
  </si>
  <si>
    <t>A3q</t>
  </si>
  <si>
    <t>ideal</t>
  </si>
  <si>
    <t>min.std</t>
  </si>
  <si>
    <t>max.std</t>
  </si>
  <si>
    <t>Dn</t>
  </si>
  <si>
    <t>zitaE</t>
  </si>
  <si>
    <t>setup for selection</t>
  </si>
  <si>
    <t>Flange nozzle Selection
(linked to SOP-480)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</si>
</sst>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General_)"/>
    <numFmt numFmtId="166" formatCode="&quot;$&quot;#,##0.00;[Red]\-&quot;$&quot;#,##0.00"/>
    <numFmt numFmtId="167" formatCode="0.0%"/>
  </numFmts>
  <fonts count="16" x14ac:knownFonts="1">
    <font>
      <sz val="10"/>
      <name val="Arial"/>
    </font>
    <font>
      <sz val="10"/>
      <name val="Arial"/>
      <family val="2"/>
    </font>
    <font>
      <sz val="14"/>
      <name val="TradeGothic"/>
    </font>
    <font>
      <sz val="10"/>
      <name val="TradeGothic"/>
    </font>
    <font>
      <b/>
      <sz val="12"/>
      <name val="TradeGothic"/>
    </font>
    <font>
      <sz val="9"/>
      <name val="Arial"/>
      <family val="2"/>
    </font>
    <font>
      <b/>
      <sz val="14"/>
      <name val="Arial"/>
      <family val="2"/>
    </font>
    <font>
      <b/>
      <sz val="12"/>
      <name val="Arial"/>
      <family val="2"/>
    </font>
    <font>
      <b/>
      <sz val="12"/>
      <color indexed="9"/>
      <name val="Arial"/>
      <family val="2"/>
    </font>
    <font>
      <sz val="26"/>
      <name val="Arial"/>
      <family val="2"/>
    </font>
    <font>
      <b/>
      <sz val="26"/>
      <name val="Arial"/>
      <family val="2"/>
    </font>
    <font>
      <sz val="8"/>
      <name val="Arial"/>
      <family val="2"/>
    </font>
    <font>
      <i/>
      <sz val="10"/>
      <name val="Arial"/>
      <family val="2"/>
    </font>
    <font>
      <sz val="8"/>
      <name val="Arial"/>
      <family val="2"/>
    </font>
    <font>
      <b/>
      <u/>
      <sz val="10"/>
      <color rgb="FFFF0000"/>
      <name val="TradeGothic"/>
    </font>
    <font>
      <b/>
      <u/>
      <sz val="10"/>
      <color rgb="FFFF0000"/>
      <name val="Arial"/>
      <family val="2"/>
    </font>
  </fonts>
  <fills count="9">
    <fill>
      <patternFill patternType="none"/>
    </fill>
    <fill>
      <patternFill patternType="gray125"/>
    </fill>
    <fill>
      <patternFill patternType="solid">
        <fgColor rgb="FF00B050"/>
        <bgColor indexed="64"/>
      </patternFill>
    </fill>
    <fill>
      <patternFill patternType="solid">
        <fgColor rgb="FF00B0F0"/>
        <bgColor indexed="64"/>
      </patternFill>
    </fill>
    <fill>
      <patternFill patternType="solid">
        <fgColor rgb="FF92D050"/>
        <bgColor indexed="64"/>
      </patternFill>
    </fill>
    <fill>
      <patternFill patternType="solid">
        <fgColor theme="0"/>
        <bgColor indexed="64"/>
      </patternFill>
    </fill>
    <fill>
      <patternFill patternType="solid">
        <fgColor rgb="FF0070C0"/>
        <bgColor indexed="64"/>
      </patternFill>
    </fill>
    <fill>
      <patternFill patternType="solid">
        <fgColor theme="6" tint="0.39997558519241921"/>
        <bgColor indexed="64"/>
      </patternFill>
    </fill>
    <fill>
      <patternFill patternType="solid">
        <fgColor theme="0" tint="-0.149998474074526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6">
    <xf numFmtId="0" fontId="0" fillId="0" borderId="0"/>
    <xf numFmtId="9" fontId="1" fillId="0" borderId="0" applyFont="0" applyFill="0" applyBorder="0" applyAlignment="0" applyProtection="0"/>
    <xf numFmtId="0" fontId="1" fillId="0" borderId="0"/>
    <xf numFmtId="0" fontId="1" fillId="0" borderId="0"/>
    <xf numFmtId="165" fontId="5" fillId="0" borderId="0"/>
    <xf numFmtId="166" fontId="11" fillId="0" borderId="0" applyFont="0" applyFill="0" applyBorder="0" applyAlignment="0" applyProtection="0"/>
  </cellStyleXfs>
  <cellXfs count="147">
    <xf numFmtId="0" fontId="0" fillId="0" borderId="0" xfId="0"/>
    <xf numFmtId="1" fontId="0" fillId="0" borderId="1" xfId="1" applyNumberFormat="1" applyFont="1" applyBorder="1" applyAlignment="1" applyProtection="1">
      <alignment horizontal="center"/>
    </xf>
    <xf numFmtId="1" fontId="0" fillId="0" borderId="11" xfId="1" applyNumberFormat="1" applyFont="1" applyBorder="1" applyAlignment="1" applyProtection="1">
      <alignment horizontal="center"/>
    </xf>
    <xf numFmtId="0" fontId="1" fillId="0" borderId="0" xfId="2"/>
    <xf numFmtId="0" fontId="1" fillId="0" borderId="0" xfId="2" applyAlignment="1">
      <alignment wrapText="1"/>
    </xf>
    <xf numFmtId="164" fontId="1" fillId="0" borderId="10" xfId="2" applyNumberFormat="1" applyBorder="1" applyAlignment="1">
      <alignment horizontal="center"/>
    </xf>
    <xf numFmtId="0" fontId="1" fillId="0" borderId="12" xfId="2" applyBorder="1"/>
    <xf numFmtId="0" fontId="1" fillId="0" borderId="0" xfId="0" applyFont="1"/>
    <xf numFmtId="0" fontId="1" fillId="3" borderId="5" xfId="2" applyFill="1" applyBorder="1"/>
    <xf numFmtId="0" fontId="1" fillId="3" borderId="6" xfId="2" applyFill="1" applyBorder="1"/>
    <xf numFmtId="0" fontId="1" fillId="3" borderId="5" xfId="2" applyFill="1" applyBorder="1" applyAlignment="1">
      <alignment wrapText="1"/>
    </xf>
    <xf numFmtId="0" fontId="1" fillId="3" borderId="13" xfId="2" applyFill="1" applyBorder="1" applyAlignment="1">
      <alignment wrapText="1"/>
    </xf>
    <xf numFmtId="0" fontId="1" fillId="3" borderId="0" xfId="2" applyFill="1"/>
    <xf numFmtId="0" fontId="1" fillId="3" borderId="0" xfId="2" applyFill="1" applyAlignment="1">
      <alignment wrapText="1"/>
    </xf>
    <xf numFmtId="0" fontId="1" fillId="3" borderId="6" xfId="2" applyFill="1" applyBorder="1" applyAlignment="1">
      <alignment wrapText="1"/>
    </xf>
    <xf numFmtId="0" fontId="3" fillId="3" borderId="0" xfId="2" applyFont="1" applyFill="1"/>
    <xf numFmtId="0" fontId="3" fillId="3" borderId="6" xfId="2" applyFont="1" applyFill="1" applyBorder="1"/>
    <xf numFmtId="0" fontId="3" fillId="2" borderId="2" xfId="2" applyFont="1" applyFill="1" applyBorder="1"/>
    <xf numFmtId="0" fontId="3" fillId="2" borderId="3" xfId="2" applyFont="1" applyFill="1" applyBorder="1"/>
    <xf numFmtId="0" fontId="3" fillId="2" borderId="4" xfId="2" applyFont="1" applyFill="1" applyBorder="1"/>
    <xf numFmtId="0" fontId="4" fillId="3" borderId="0" xfId="2" applyFont="1" applyFill="1"/>
    <xf numFmtId="0" fontId="3" fillId="4" borderId="4" xfId="2" applyFont="1" applyFill="1" applyBorder="1"/>
    <xf numFmtId="0" fontId="1" fillId="0" borderId="0" xfId="2" quotePrefix="1"/>
    <xf numFmtId="0" fontId="1" fillId="0" borderId="0" xfId="2" applyAlignment="1">
      <alignment horizontal="center" vertical="center"/>
    </xf>
    <xf numFmtId="1" fontId="3" fillId="5" borderId="1" xfId="1" applyNumberFormat="1" applyFont="1" applyFill="1" applyBorder="1" applyAlignment="1" applyProtection="1">
      <alignment horizontal="center"/>
      <protection locked="0"/>
    </xf>
    <xf numFmtId="0" fontId="1" fillId="0" borderId="16" xfId="3" applyBorder="1" applyAlignment="1">
      <alignment horizontal="center" vertical="center"/>
    </xf>
    <xf numFmtId="0" fontId="1" fillId="0" borderId="17" xfId="3" applyBorder="1" applyAlignment="1">
      <alignment horizontal="center" vertical="center"/>
    </xf>
    <xf numFmtId="0" fontId="1" fillId="0" borderId="18" xfId="3" applyBorder="1" applyAlignment="1">
      <alignment horizontal="center" vertical="center"/>
    </xf>
    <xf numFmtId="165" fontId="5" fillId="0" borderId="0" xfId="4"/>
    <xf numFmtId="0" fontId="1" fillId="0" borderId="19" xfId="3" applyBorder="1" applyAlignment="1">
      <alignment horizontal="center" vertical="center"/>
    </xf>
    <xf numFmtId="0" fontId="1" fillId="0" borderId="0" xfId="3" applyAlignment="1">
      <alignment horizontal="center" vertical="center"/>
    </xf>
    <xf numFmtId="0" fontId="1" fillId="0" borderId="20" xfId="3" applyBorder="1" applyAlignment="1">
      <alignment horizontal="center" vertical="center"/>
    </xf>
    <xf numFmtId="0" fontId="6" fillId="0" borderId="0" xfId="3" applyFont="1" applyAlignment="1">
      <alignment horizontal="center" vertical="top"/>
    </xf>
    <xf numFmtId="0" fontId="1" fillId="0" borderId="0" xfId="3" applyAlignment="1">
      <alignment horizontal="center"/>
    </xf>
    <xf numFmtId="0" fontId="7" fillId="0" borderId="0" xfId="3" applyFont="1" applyAlignment="1">
      <alignment horizontal="center" vertical="top"/>
    </xf>
    <xf numFmtId="0" fontId="8" fillId="0" borderId="20" xfId="3" applyFont="1" applyBorder="1" applyAlignment="1">
      <alignment horizontal="center" vertical="top"/>
    </xf>
    <xf numFmtId="0" fontId="9" fillId="0" borderId="19" xfId="3" applyFont="1" applyBorder="1" applyAlignment="1">
      <alignment horizontal="center" vertical="center"/>
    </xf>
    <xf numFmtId="0" fontId="9" fillId="0" borderId="0" xfId="3" applyFont="1" applyAlignment="1">
      <alignment horizontal="center" vertical="center"/>
    </xf>
    <xf numFmtId="0" fontId="10" fillId="0" borderId="0" xfId="3" applyFont="1" applyAlignment="1">
      <alignment horizontal="center" vertical="center"/>
    </xf>
    <xf numFmtId="0" fontId="9" fillId="0" borderId="20" xfId="3" applyFont="1" applyBorder="1" applyAlignment="1">
      <alignment horizontal="center" vertical="center"/>
    </xf>
    <xf numFmtId="0" fontId="2" fillId="4" borderId="9" xfId="2" applyFont="1" applyFill="1" applyBorder="1"/>
    <xf numFmtId="0" fontId="3" fillId="4" borderId="14" xfId="2" applyFont="1" applyFill="1" applyBorder="1"/>
    <xf numFmtId="0" fontId="2" fillId="6" borderId="9" xfId="2" applyFont="1" applyFill="1" applyBorder="1"/>
    <xf numFmtId="0" fontId="3" fillId="6" borderId="14" xfId="2" applyFont="1" applyFill="1" applyBorder="1"/>
    <xf numFmtId="0" fontId="3" fillId="6" borderId="4" xfId="2" applyFont="1" applyFill="1" applyBorder="1"/>
    <xf numFmtId="0" fontId="3" fillId="7" borderId="2" xfId="2" applyFont="1" applyFill="1" applyBorder="1" applyProtection="1">
      <protection locked="0"/>
    </xf>
    <xf numFmtId="0" fontId="3" fillId="7" borderId="3" xfId="2" applyFont="1" applyFill="1" applyBorder="1" applyProtection="1">
      <protection locked="0"/>
    </xf>
    <xf numFmtId="0" fontId="3" fillId="7" borderId="8" xfId="2" applyFont="1" applyFill="1" applyBorder="1" applyProtection="1">
      <protection locked="0"/>
    </xf>
    <xf numFmtId="0" fontId="3" fillId="7" borderId="5" xfId="2" applyFont="1" applyFill="1" applyBorder="1" applyProtection="1">
      <protection locked="0"/>
    </xf>
    <xf numFmtId="1" fontId="3" fillId="7" borderId="4" xfId="1" applyNumberFormat="1" applyFont="1" applyFill="1" applyBorder="1" applyAlignment="1" applyProtection="1">
      <alignment horizontal="center"/>
      <protection locked="0"/>
    </xf>
    <xf numFmtId="1" fontId="3" fillId="7" borderId="1" xfId="1" applyNumberFormat="1" applyFont="1" applyFill="1" applyBorder="1" applyAlignment="1" applyProtection="1">
      <alignment horizontal="center"/>
      <protection locked="0"/>
    </xf>
    <xf numFmtId="164" fontId="3" fillId="7" borderId="1" xfId="1" applyNumberFormat="1" applyFont="1" applyFill="1" applyBorder="1" applyAlignment="1" applyProtection="1">
      <alignment horizontal="center"/>
      <protection locked="0"/>
    </xf>
    <xf numFmtId="164" fontId="3" fillId="7" borderId="36" xfId="1" applyNumberFormat="1" applyFont="1" applyFill="1" applyBorder="1" applyAlignment="1" applyProtection="1">
      <alignment horizontal="center"/>
      <protection locked="0"/>
    </xf>
    <xf numFmtId="0" fontId="1" fillId="0" borderId="9" xfId="2" applyBorder="1"/>
    <xf numFmtId="0" fontId="1" fillId="0" borderId="14" xfId="2" applyBorder="1"/>
    <xf numFmtId="0" fontId="1" fillId="0" borderId="15" xfId="2" applyBorder="1"/>
    <xf numFmtId="0" fontId="1" fillId="0" borderId="7" xfId="2" applyBorder="1"/>
    <xf numFmtId="0" fontId="1" fillId="0" borderId="6" xfId="2" applyBorder="1"/>
    <xf numFmtId="164" fontId="1" fillId="0" borderId="6" xfId="2" applyNumberFormat="1" applyBorder="1"/>
    <xf numFmtId="164" fontId="1" fillId="0" borderId="7" xfId="2" applyNumberFormat="1" applyBorder="1"/>
    <xf numFmtId="164" fontId="1" fillId="0" borderId="8" xfId="2" applyNumberFormat="1" applyBorder="1"/>
    <xf numFmtId="0" fontId="1" fillId="0" borderId="5" xfId="2" applyBorder="1"/>
    <xf numFmtId="0" fontId="1" fillId="0" borderId="13" xfId="2" applyBorder="1"/>
    <xf numFmtId="0" fontId="1" fillId="0" borderId="8" xfId="2" applyBorder="1"/>
    <xf numFmtId="1" fontId="1" fillId="0" borderId="0" xfId="2" applyNumberFormat="1"/>
    <xf numFmtId="164" fontId="1" fillId="0" borderId="0" xfId="2" applyNumberFormat="1"/>
    <xf numFmtId="0" fontId="1" fillId="3" borderId="1" xfId="2" applyFill="1" applyBorder="1"/>
    <xf numFmtId="0" fontId="1" fillId="8" borderId="1" xfId="2" applyFill="1" applyBorder="1"/>
    <xf numFmtId="1" fontId="1" fillId="0" borderId="5" xfId="2" applyNumberFormat="1" applyBorder="1"/>
    <xf numFmtId="0" fontId="1" fillId="3" borderId="1" xfId="2" applyFill="1" applyBorder="1" applyAlignment="1">
      <alignment wrapText="1"/>
    </xf>
    <xf numFmtId="167" fontId="1" fillId="0" borderId="0" xfId="1" applyNumberFormat="1"/>
    <xf numFmtId="164" fontId="1" fillId="3" borderId="0" xfId="2" applyNumberFormat="1" applyFill="1"/>
    <xf numFmtId="164" fontId="1" fillId="3" borderId="1" xfId="2" applyNumberFormat="1" applyFill="1" applyBorder="1"/>
    <xf numFmtId="167" fontId="1" fillId="3" borderId="1" xfId="1" applyNumberFormat="1" applyFill="1" applyBorder="1"/>
    <xf numFmtId="0" fontId="3" fillId="8" borderId="1" xfId="2" applyFont="1" applyFill="1" applyBorder="1" applyAlignment="1">
      <alignment wrapText="1"/>
    </xf>
    <xf numFmtId="0" fontId="3" fillId="8" borderId="1" xfId="2" applyFont="1" applyFill="1" applyBorder="1"/>
    <xf numFmtId="164" fontId="3" fillId="8" borderId="1" xfId="2" applyNumberFormat="1" applyFont="1" applyFill="1" applyBorder="1"/>
    <xf numFmtId="167" fontId="3" fillId="8" borderId="1" xfId="1" applyNumberFormat="1" applyFont="1" applyFill="1" applyBorder="1"/>
    <xf numFmtId="1" fontId="3" fillId="8" borderId="1" xfId="2" applyNumberFormat="1" applyFont="1" applyFill="1" applyBorder="1"/>
    <xf numFmtId="164" fontId="1" fillId="8" borderId="1" xfId="2" applyNumberFormat="1" applyFill="1" applyBorder="1"/>
    <xf numFmtId="2" fontId="1" fillId="8" borderId="1" xfId="2" applyNumberFormat="1" applyFill="1" applyBorder="1"/>
    <xf numFmtId="167" fontId="1" fillId="3" borderId="0" xfId="1" applyNumberFormat="1" applyFill="1"/>
    <xf numFmtId="9" fontId="3" fillId="8" borderId="1" xfId="1" applyFont="1" applyFill="1" applyBorder="1"/>
    <xf numFmtId="0" fontId="14" fillId="3" borderId="0" xfId="2" applyFont="1" applyFill="1"/>
    <xf numFmtId="0" fontId="15" fillId="3" borderId="0" xfId="2" applyFont="1" applyFill="1"/>
    <xf numFmtId="0" fontId="1" fillId="0" borderId="3" xfId="2" applyBorder="1"/>
    <xf numFmtId="0" fontId="3" fillId="2" borderId="1" xfId="2" applyFont="1" applyFill="1" applyBorder="1"/>
    <xf numFmtId="0" fontId="9" fillId="0" borderId="16" xfId="3" applyFont="1" applyBorder="1" applyAlignment="1">
      <alignment horizontal="center" vertical="center" wrapText="1"/>
    </xf>
    <xf numFmtId="0" fontId="9" fillId="0" borderId="17"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19" xfId="3" applyFont="1" applyBorder="1" applyAlignment="1">
      <alignment horizontal="center" vertical="center" wrapText="1"/>
    </xf>
    <xf numFmtId="0" fontId="9" fillId="0" borderId="0" xfId="3" applyFont="1" applyAlignment="1">
      <alignment horizontal="center" vertical="center" wrapText="1"/>
    </xf>
    <xf numFmtId="0" fontId="9" fillId="0" borderId="20" xfId="3" applyFont="1" applyBorder="1" applyAlignment="1">
      <alignment horizontal="center" vertical="center" wrapText="1"/>
    </xf>
    <xf numFmtId="0" fontId="9" fillId="0" borderId="21" xfId="3" applyFont="1" applyBorder="1" applyAlignment="1">
      <alignment horizontal="center" vertical="center" wrapText="1"/>
    </xf>
    <xf numFmtId="0" fontId="9" fillId="0" borderId="22" xfId="3" applyFont="1" applyBorder="1" applyAlignment="1">
      <alignment horizontal="center" vertical="center" wrapText="1"/>
    </xf>
    <xf numFmtId="0" fontId="9" fillId="0" borderId="23" xfId="3" applyFont="1" applyBorder="1" applyAlignment="1">
      <alignment horizontal="center" vertical="center" wrapText="1"/>
    </xf>
    <xf numFmtId="0" fontId="1" fillId="0" borderId="24" xfId="3" applyBorder="1" applyAlignment="1">
      <alignment horizontal="center" vertical="center"/>
    </xf>
    <xf numFmtId="0" fontId="1" fillId="0" borderId="25" xfId="3" applyBorder="1" applyAlignment="1">
      <alignment horizontal="center" vertical="center"/>
    </xf>
    <xf numFmtId="0" fontId="1" fillId="0" borderId="26" xfId="3" applyBorder="1" applyAlignment="1">
      <alignment horizontal="center" vertical="center"/>
    </xf>
    <xf numFmtId="0" fontId="1" fillId="0" borderId="27" xfId="3" applyBorder="1" applyAlignment="1">
      <alignment horizontal="center" vertical="center"/>
    </xf>
    <xf numFmtId="0" fontId="1" fillId="0" borderId="28" xfId="3" applyBorder="1" applyAlignment="1">
      <alignment horizontal="center" vertical="center"/>
    </xf>
    <xf numFmtId="0" fontId="1" fillId="0" borderId="2" xfId="3" applyBorder="1" applyAlignment="1">
      <alignment horizontal="center" vertical="center"/>
    </xf>
    <xf numFmtId="0" fontId="1" fillId="0" borderId="3" xfId="3" applyBorder="1" applyAlignment="1">
      <alignment horizontal="center" vertical="center"/>
    </xf>
    <xf numFmtId="0" fontId="1" fillId="0" borderId="30" xfId="3" applyBorder="1" applyAlignment="1">
      <alignment horizontal="center" vertical="center"/>
    </xf>
    <xf numFmtId="0" fontId="1" fillId="0" borderId="29" xfId="3" applyBorder="1" applyAlignment="1">
      <alignment horizontal="center" vertical="center"/>
    </xf>
    <xf numFmtId="0" fontId="1" fillId="0" borderId="4" xfId="3" applyBorder="1" applyAlignment="1">
      <alignment horizontal="center" vertical="center"/>
    </xf>
    <xf numFmtId="0" fontId="11" fillId="0" borderId="2" xfId="3" applyFont="1" applyBorder="1" applyAlignment="1">
      <alignment horizontal="center" vertical="center" wrapText="1"/>
    </xf>
    <xf numFmtId="0" fontId="11" fillId="0" borderId="3" xfId="3" applyFont="1" applyBorder="1" applyAlignment="1">
      <alignment horizontal="center" vertical="center" wrapText="1"/>
    </xf>
    <xf numFmtId="0" fontId="11" fillId="0" borderId="30" xfId="3" applyFont="1" applyBorder="1" applyAlignment="1">
      <alignment horizontal="center" vertical="center" wrapText="1"/>
    </xf>
    <xf numFmtId="0" fontId="11" fillId="0" borderId="29" xfId="3" applyFont="1" applyBorder="1" applyAlignment="1">
      <alignment horizontal="center" vertical="center"/>
    </xf>
    <xf numFmtId="0" fontId="11" fillId="0" borderId="4" xfId="3" applyFont="1" applyBorder="1" applyAlignment="1">
      <alignment horizontal="center" vertical="center"/>
    </xf>
    <xf numFmtId="14" fontId="11" fillId="0" borderId="2" xfId="3" applyNumberFormat="1" applyFont="1" applyBorder="1" applyAlignment="1">
      <alignment horizontal="center" vertical="center"/>
    </xf>
    <xf numFmtId="14" fontId="11" fillId="0" borderId="3" xfId="3" applyNumberFormat="1" applyFont="1" applyBorder="1" applyAlignment="1">
      <alignment horizontal="center" vertical="center"/>
    </xf>
    <xf numFmtId="14" fontId="11" fillId="0" borderId="4" xfId="3" applyNumberFormat="1" applyFont="1" applyBorder="1" applyAlignment="1">
      <alignment horizontal="center" vertical="center"/>
    </xf>
    <xf numFmtId="0" fontId="11" fillId="0" borderId="2" xfId="3" applyFont="1" applyBorder="1" applyAlignment="1">
      <alignment horizontal="center" vertical="center"/>
    </xf>
    <xf numFmtId="0" fontId="11" fillId="0" borderId="3" xfId="3" applyFont="1" applyBorder="1" applyAlignment="1">
      <alignment horizontal="center" vertical="center"/>
    </xf>
    <xf numFmtId="0" fontId="11" fillId="0" borderId="4" xfId="3" applyFont="1" applyBorder="1" applyAlignment="1">
      <alignment horizontal="center" vertical="center" wrapText="1"/>
    </xf>
    <xf numFmtId="166" fontId="1" fillId="0" borderId="21" xfId="5" applyFont="1" applyBorder="1" applyAlignment="1">
      <alignment horizontal="right" vertical="center"/>
    </xf>
    <xf numFmtId="166" fontId="5" fillId="0" borderId="22" xfId="5" applyFont="1" applyBorder="1" applyAlignment="1">
      <alignment horizontal="right" vertical="center"/>
    </xf>
    <xf numFmtId="166" fontId="5" fillId="0" borderId="23" xfId="5" applyFont="1" applyBorder="1" applyAlignment="1">
      <alignment horizontal="right" vertical="center"/>
    </xf>
    <xf numFmtId="166" fontId="1" fillId="0" borderId="31" xfId="5" applyFont="1" applyBorder="1" applyAlignment="1">
      <alignment horizontal="center" vertical="center"/>
    </xf>
    <xf numFmtId="166" fontId="1" fillId="0" borderId="32" xfId="5" applyFont="1" applyBorder="1" applyAlignment="1">
      <alignment horizontal="center" vertical="center"/>
    </xf>
    <xf numFmtId="0" fontId="12" fillId="0" borderId="33" xfId="3" applyFont="1" applyBorder="1" applyAlignment="1">
      <alignment horizontal="center" vertical="center"/>
    </xf>
    <xf numFmtId="0" fontId="12" fillId="0" borderId="34" xfId="3" applyFont="1" applyBorder="1" applyAlignment="1">
      <alignment horizontal="center" vertical="center"/>
    </xf>
    <xf numFmtId="0" fontId="12" fillId="0" borderId="32" xfId="3" applyFont="1" applyBorder="1" applyAlignment="1">
      <alignment horizontal="center" vertical="center"/>
    </xf>
    <xf numFmtId="0" fontId="12" fillId="0" borderId="35" xfId="3" applyFont="1" applyBorder="1" applyAlignment="1">
      <alignment horizontal="center" vertical="center"/>
    </xf>
    <xf numFmtId="0" fontId="2" fillId="5" borderId="9" xfId="0" applyFont="1" applyFill="1" applyBorder="1" applyAlignment="1">
      <alignment horizontal="right" wrapText="1"/>
    </xf>
    <xf numFmtId="0" fontId="2" fillId="5" borderId="14" xfId="0" applyFont="1" applyFill="1" applyBorder="1" applyAlignment="1">
      <alignment horizontal="right" wrapText="1"/>
    </xf>
    <xf numFmtId="0" fontId="2" fillId="5" borderId="15" xfId="0" applyFont="1" applyFill="1" applyBorder="1" applyAlignment="1">
      <alignment horizontal="right" wrapText="1"/>
    </xf>
    <xf numFmtId="0" fontId="2" fillId="5" borderId="7" xfId="0" applyFont="1" applyFill="1" applyBorder="1" applyAlignment="1">
      <alignment horizontal="right" wrapText="1"/>
    </xf>
    <xf numFmtId="0" fontId="2" fillId="5" borderId="0" xfId="0" applyFont="1" applyFill="1" applyAlignment="1">
      <alignment horizontal="right" wrapText="1"/>
    </xf>
    <xf numFmtId="0" fontId="2" fillId="5" borderId="6" xfId="0" applyFont="1" applyFill="1" applyBorder="1" applyAlignment="1">
      <alignment horizontal="right" wrapText="1"/>
    </xf>
    <xf numFmtId="0" fontId="2" fillId="5" borderId="8" xfId="0" applyFont="1" applyFill="1" applyBorder="1" applyAlignment="1">
      <alignment horizontal="right" wrapText="1"/>
    </xf>
    <xf numFmtId="0" fontId="2" fillId="5" borderId="5" xfId="0" applyFont="1" applyFill="1" applyBorder="1" applyAlignment="1">
      <alignment horizontal="right" wrapText="1"/>
    </xf>
    <xf numFmtId="0" fontId="2" fillId="5" borderId="13" xfId="0" applyFont="1" applyFill="1" applyBorder="1" applyAlignment="1">
      <alignment horizontal="right" wrapText="1"/>
    </xf>
    <xf numFmtId="0" fontId="1" fillId="0" borderId="0" xfId="2" applyAlignment="1">
      <alignment horizontal="center"/>
    </xf>
    <xf numFmtId="0" fontId="1" fillId="0" borderId="6" xfId="2" applyBorder="1" applyAlignment="1">
      <alignment horizontal="center"/>
    </xf>
    <xf numFmtId="0" fontId="3" fillId="2" borderId="0" xfId="2" applyFont="1" applyFill="1" applyAlignment="1">
      <alignment horizontal="center"/>
    </xf>
    <xf numFmtId="0" fontId="3" fillId="2" borderId="6" xfId="2" applyFont="1" applyFill="1" applyBorder="1" applyAlignment="1">
      <alignment horizontal="center"/>
    </xf>
    <xf numFmtId="0" fontId="3" fillId="0" borderId="0" xfId="2" applyFont="1" applyAlignment="1">
      <alignment horizontal="left" vertical="top" wrapText="1"/>
    </xf>
    <xf numFmtId="0" fontId="3" fillId="0" borderId="6" xfId="2" applyFont="1" applyBorder="1" applyAlignment="1">
      <alignment horizontal="left" vertical="top" wrapText="1"/>
    </xf>
    <xf numFmtId="0" fontId="2" fillId="6" borderId="0" xfId="2" applyFont="1" applyFill="1" applyAlignment="1">
      <alignment horizontal="center"/>
    </xf>
    <xf numFmtId="0" fontId="2" fillId="6" borderId="6" xfId="2" applyFont="1" applyFill="1" applyBorder="1" applyAlignment="1">
      <alignment horizontal="center"/>
    </xf>
    <xf numFmtId="0" fontId="2" fillId="4" borderId="0" xfId="2" applyFont="1" applyFill="1" applyAlignment="1">
      <alignment horizontal="center"/>
    </xf>
    <xf numFmtId="0" fontId="2" fillId="4" borderId="6" xfId="2" applyFont="1" applyFill="1" applyBorder="1" applyAlignment="1">
      <alignment horizontal="center"/>
    </xf>
    <xf numFmtId="0" fontId="3" fillId="0" borderId="0" xfId="2" applyFont="1" applyAlignment="1">
      <alignment horizontal="center" vertical="top" wrapText="1"/>
    </xf>
    <xf numFmtId="0" fontId="3" fillId="0" borderId="6" xfId="2" applyFont="1" applyBorder="1" applyAlignment="1">
      <alignment horizontal="center" vertical="top" wrapText="1"/>
    </xf>
  </cellXfs>
  <cellStyles count="6">
    <cellStyle name="Normale" xfId="0" builtinId="0"/>
    <cellStyle name="Normale 2" xfId="2" xr:uid="{795928D0-5C76-4F0F-A20E-094B7972AE98}"/>
    <cellStyle name="Normale 3" xfId="4" xr:uid="{C011C091-F2B0-4EF2-B4A7-63FDBD1F912D}"/>
    <cellStyle name="Normale 4" xfId="3" xr:uid="{57B8244B-0C9E-478A-B498-3B3BB4B0A698}"/>
    <cellStyle name="Percentuale" xfId="1" builtinId="5"/>
    <cellStyle name="Valuta 2" xfId="5" xr:uid="{AF86A1FB-1D8C-4F3A-BB52-783ECB8E972A}"/>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externalLink" Target="externalLinks/externalLink8.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externalLink" Target="externalLinks/externalLink2.xml"/><Relationship Id="rId12" Type="http://schemas.openxmlformats.org/officeDocument/2006/relationships/externalLink" Target="externalLinks/externalLink7.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OUTLET NOZZLE</a:t>
            </a:r>
          </a:p>
        </c:rich>
      </c:tx>
      <c:layout>
        <c:manualLayout>
          <c:xMode val="edge"/>
          <c:yMode val="edge"/>
          <c:x val="0.49755334136159618"/>
          <c:y val="2.65385849083217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manualLayout>
          <c:layoutTarget val="inner"/>
          <c:xMode val="edge"/>
          <c:yMode val="edge"/>
          <c:x val="0.39229778147445049"/>
          <c:y val="0.16248313903713935"/>
          <c:w val="0.54963153111191765"/>
          <c:h val="0.64661017099364915"/>
        </c:manualLayout>
      </c:layout>
      <c:scatterChart>
        <c:scatterStyle val="smoothMarker"/>
        <c:varyColors val="0"/>
        <c:ser>
          <c:idx val="0"/>
          <c:order val="0"/>
          <c:tx>
            <c:v>velocity trend</c:v>
          </c:tx>
          <c:spPr>
            <a:ln w="19050" cap="rnd">
              <a:solidFill>
                <a:schemeClr val="accent1"/>
              </a:solidFill>
              <a:prstDash val="sysDash"/>
              <a:round/>
            </a:ln>
            <a:effectLst/>
          </c:spPr>
          <c:marker>
            <c:symbol val="none"/>
          </c:marker>
          <c:xVal>
            <c:numRef>
              <c:f>calc!$G$13:$G$39</c:f>
              <c:numCache>
                <c:formatCode>General</c:formatCode>
                <c:ptCount val="27"/>
                <c:pt idx="0">
                  <c:v>25</c:v>
                </c:pt>
                <c:pt idx="1">
                  <c:v>50</c:v>
                </c:pt>
                <c:pt idx="2">
                  <c:v>75</c:v>
                </c:pt>
                <c:pt idx="3">
                  <c:v>100</c:v>
                </c:pt>
                <c:pt idx="4">
                  <c:v>125</c:v>
                </c:pt>
                <c:pt idx="5">
                  <c:v>150</c:v>
                </c:pt>
                <c:pt idx="6">
                  <c:v>200</c:v>
                </c:pt>
                <c:pt idx="7">
                  <c:v>250</c:v>
                </c:pt>
                <c:pt idx="8">
                  <c:v>300</c:v>
                </c:pt>
                <c:pt idx="9">
                  <c:v>350</c:v>
                </c:pt>
                <c:pt idx="10">
                  <c:v>400</c:v>
                </c:pt>
                <c:pt idx="11">
                  <c:v>450</c:v>
                </c:pt>
                <c:pt idx="12">
                  <c:v>500</c:v>
                </c:pt>
                <c:pt idx="13">
                  <c:v>600</c:v>
                </c:pt>
                <c:pt idx="14">
                  <c:v>700</c:v>
                </c:pt>
                <c:pt idx="15">
                  <c:v>800</c:v>
                </c:pt>
                <c:pt idx="16">
                  <c:v>900</c:v>
                </c:pt>
                <c:pt idx="17">
                  <c:v>1000</c:v>
                </c:pt>
                <c:pt idx="18">
                  <c:v>1100</c:v>
                </c:pt>
                <c:pt idx="19">
                  <c:v>1100</c:v>
                </c:pt>
                <c:pt idx="20">
                  <c:v>1100</c:v>
                </c:pt>
                <c:pt idx="21">
                  <c:v>1100</c:v>
                </c:pt>
                <c:pt idx="22">
                  <c:v>1100</c:v>
                </c:pt>
                <c:pt idx="23">
                  <c:v>1100</c:v>
                </c:pt>
                <c:pt idx="24">
                  <c:v>1100</c:v>
                </c:pt>
                <c:pt idx="25">
                  <c:v>1100</c:v>
                </c:pt>
                <c:pt idx="26">
                  <c:v>1100</c:v>
                </c:pt>
              </c:numCache>
            </c:numRef>
          </c:xVal>
          <c:yVal>
            <c:numRef>
              <c:f>calc!$I$13:$I$39</c:f>
              <c:numCache>
                <c:formatCode>General</c:formatCode>
                <c:ptCount val="27"/>
                <c:pt idx="0">
                  <c:v>2264.6850672328383</c:v>
                </c:pt>
                <c:pt idx="1">
                  <c:v>566.17126680820957</c:v>
                </c:pt>
                <c:pt idx="2">
                  <c:v>251.63167413698199</c:v>
                </c:pt>
                <c:pt idx="3">
                  <c:v>141.54281670205239</c:v>
                </c:pt>
                <c:pt idx="4">
                  <c:v>90.587402689313521</c:v>
                </c:pt>
                <c:pt idx="5">
                  <c:v>62.907918534245496</c:v>
                </c:pt>
                <c:pt idx="6">
                  <c:v>35.385704175513098</c:v>
                </c:pt>
                <c:pt idx="7">
                  <c:v>22.64685067232838</c:v>
                </c:pt>
                <c:pt idx="8">
                  <c:v>15.726979633561374</c:v>
                </c:pt>
                <c:pt idx="9">
                  <c:v>11.554515649147133</c:v>
                </c:pt>
                <c:pt idx="10">
                  <c:v>8.8464260438782745</c:v>
                </c:pt>
                <c:pt idx="11">
                  <c:v>6.9897687260272772</c:v>
                </c:pt>
                <c:pt idx="12">
                  <c:v>5.6617126680820951</c:v>
                </c:pt>
                <c:pt idx="13">
                  <c:v>3.9317449083903435</c:v>
                </c:pt>
                <c:pt idx="14">
                  <c:v>2.8886289122867832</c:v>
                </c:pt>
                <c:pt idx="15">
                  <c:v>2.2116065109695686</c:v>
                </c:pt>
                <c:pt idx="16">
                  <c:v>1.7474421815068193</c:v>
                </c:pt>
                <c:pt idx="17">
                  <c:v>1.4154281670205238</c:v>
                </c:pt>
                <c:pt idx="18">
                  <c:v>1.1697753446450609</c:v>
                </c:pt>
                <c:pt idx="19">
                  <c:v>0.98293622709758588</c:v>
                </c:pt>
                <c:pt idx="20">
                  <c:v>0.83753145977545773</c:v>
                </c:pt>
                <c:pt idx="21">
                  <c:v>0.7221572280716958</c:v>
                </c:pt>
                <c:pt idx="22">
                  <c:v>0.62907918534245499</c:v>
                </c:pt>
                <c:pt idx="23">
                  <c:v>0.55290162774239215</c:v>
                </c:pt>
                <c:pt idx="24">
                  <c:v>0.48976753184101168</c:v>
                </c:pt>
                <c:pt idx="25">
                  <c:v>0.43686054537670482</c:v>
                </c:pt>
                <c:pt idx="26">
                  <c:v>0.39208536482562983</c:v>
                </c:pt>
              </c:numCache>
            </c:numRef>
          </c:yVal>
          <c:smooth val="1"/>
          <c:extLst>
            <c:ext xmlns:c16="http://schemas.microsoft.com/office/drawing/2014/chart" uri="{C3380CC4-5D6E-409C-BE32-E72D297353CC}">
              <c16:uniqueId val="{00000000-A5F3-48A3-A196-90754EEED39D}"/>
            </c:ext>
          </c:extLst>
        </c:ser>
        <c:ser>
          <c:idx val="1"/>
          <c:order val="1"/>
          <c:tx>
            <c:v>vmin-std</c:v>
          </c:tx>
          <c:spPr>
            <a:ln w="19050" cap="rnd">
              <a:solidFill>
                <a:schemeClr val="accent2"/>
              </a:solidFill>
              <a:round/>
            </a:ln>
            <a:effectLst/>
          </c:spPr>
          <c:marker>
            <c:symbol val="none"/>
          </c:marker>
          <c:xVal>
            <c:numRef>
              <c:f>calc!$Q$3:$Q$4</c:f>
              <c:numCache>
                <c:formatCode>0.0</c:formatCode>
                <c:ptCount val="2"/>
                <c:pt idx="0">
                  <c:v>25</c:v>
                </c:pt>
                <c:pt idx="1">
                  <c:v>1100</c:v>
                </c:pt>
              </c:numCache>
            </c:numRef>
          </c:xVal>
          <c:yVal>
            <c:numRef>
              <c:f>calc!$T$3:$T$4</c:f>
              <c:numCache>
                <c:formatCode>General</c:formatCode>
                <c:ptCount val="2"/>
                <c:pt idx="0">
                  <c:v>3.3</c:v>
                </c:pt>
                <c:pt idx="1">
                  <c:v>3.3</c:v>
                </c:pt>
              </c:numCache>
            </c:numRef>
          </c:yVal>
          <c:smooth val="1"/>
          <c:extLst>
            <c:ext xmlns:c16="http://schemas.microsoft.com/office/drawing/2014/chart" uri="{C3380CC4-5D6E-409C-BE32-E72D297353CC}">
              <c16:uniqueId val="{00000001-A5F3-48A3-A196-90754EEED39D}"/>
            </c:ext>
          </c:extLst>
        </c:ser>
        <c:ser>
          <c:idx val="2"/>
          <c:order val="2"/>
          <c:tx>
            <c:v>v_selected</c:v>
          </c:tx>
          <c:spPr>
            <a:ln w="19050" cap="rnd">
              <a:solidFill>
                <a:schemeClr val="accent3"/>
              </a:solidFill>
              <a:round/>
            </a:ln>
            <a:effectLst/>
          </c:spPr>
          <c:marker>
            <c:symbol val="circle"/>
            <c:size val="8"/>
            <c:spPr>
              <a:solidFill>
                <a:srgbClr val="FF0000"/>
              </a:solidFill>
              <a:ln w="9525">
                <a:solidFill>
                  <a:schemeClr val="tx1"/>
                </a:solidFill>
              </a:ln>
              <a:effectLst/>
            </c:spPr>
          </c:marker>
          <c:xVal>
            <c:numRef>
              <c:f>calc!$I$10</c:f>
              <c:numCache>
                <c:formatCode>General</c:formatCode>
                <c:ptCount val="1"/>
                <c:pt idx="0">
                  <c:v>600</c:v>
                </c:pt>
              </c:numCache>
            </c:numRef>
          </c:xVal>
          <c:yVal>
            <c:numRef>
              <c:f>calc!$J$10</c:f>
              <c:numCache>
                <c:formatCode>General</c:formatCode>
                <c:ptCount val="1"/>
                <c:pt idx="0">
                  <c:v>3.9317449083903435</c:v>
                </c:pt>
              </c:numCache>
            </c:numRef>
          </c:yVal>
          <c:smooth val="1"/>
          <c:extLst>
            <c:ext xmlns:c16="http://schemas.microsoft.com/office/drawing/2014/chart" uri="{C3380CC4-5D6E-409C-BE32-E72D297353CC}">
              <c16:uniqueId val="{00000002-A5F3-48A3-A196-90754EEED39D}"/>
            </c:ext>
          </c:extLst>
        </c:ser>
        <c:ser>
          <c:idx val="3"/>
          <c:order val="3"/>
          <c:tx>
            <c:v>vmax-std</c:v>
          </c:tx>
          <c:spPr>
            <a:ln w="19050" cap="rnd">
              <a:solidFill>
                <a:schemeClr val="accent4"/>
              </a:solidFill>
              <a:round/>
            </a:ln>
            <a:effectLst/>
          </c:spPr>
          <c:marker>
            <c:symbol val="none"/>
          </c:marker>
          <c:xVal>
            <c:numRef>
              <c:f>calc!$Q$3:$Q$4</c:f>
              <c:numCache>
                <c:formatCode>0.0</c:formatCode>
                <c:ptCount val="2"/>
                <c:pt idx="0">
                  <c:v>25</c:v>
                </c:pt>
                <c:pt idx="1">
                  <c:v>1100</c:v>
                </c:pt>
              </c:numCache>
            </c:numRef>
          </c:xVal>
          <c:yVal>
            <c:numRef>
              <c:f>calc!$U$3:$U$4</c:f>
              <c:numCache>
                <c:formatCode>General</c:formatCode>
                <c:ptCount val="2"/>
                <c:pt idx="0">
                  <c:v>4.5999999999999996</c:v>
                </c:pt>
                <c:pt idx="1">
                  <c:v>4.5999999999999996</c:v>
                </c:pt>
              </c:numCache>
            </c:numRef>
          </c:yVal>
          <c:smooth val="1"/>
          <c:extLst>
            <c:ext xmlns:c16="http://schemas.microsoft.com/office/drawing/2014/chart" uri="{C3380CC4-5D6E-409C-BE32-E72D297353CC}">
              <c16:uniqueId val="{00000003-A5F3-48A3-A196-90754EEED39D}"/>
            </c:ext>
          </c:extLst>
        </c:ser>
        <c:ser>
          <c:idx val="4"/>
          <c:order val="4"/>
          <c:tx>
            <c:v>v-minloss</c:v>
          </c:tx>
          <c:spPr>
            <a:ln w="19050" cap="rnd">
              <a:solidFill>
                <a:schemeClr val="accent5"/>
              </a:solidFill>
              <a:round/>
            </a:ln>
            <a:effectLst/>
          </c:spPr>
          <c:marker>
            <c:symbol val="none"/>
          </c:marker>
          <c:xVal>
            <c:numRef>
              <c:f>calc!$Q$3:$Q$4</c:f>
              <c:numCache>
                <c:formatCode>0.0</c:formatCode>
                <c:ptCount val="2"/>
                <c:pt idx="0">
                  <c:v>25</c:v>
                </c:pt>
                <c:pt idx="1">
                  <c:v>1100</c:v>
                </c:pt>
              </c:numCache>
            </c:numRef>
          </c:xVal>
          <c:yVal>
            <c:numRef>
              <c:f>calc!$V$3:$V$4</c:f>
              <c:numCache>
                <c:formatCode>General</c:formatCode>
                <c:ptCount val="2"/>
                <c:pt idx="0">
                  <c:v>8.1482238749223992</c:v>
                </c:pt>
                <c:pt idx="1">
                  <c:v>8.1482238749223992</c:v>
                </c:pt>
              </c:numCache>
            </c:numRef>
          </c:yVal>
          <c:smooth val="1"/>
          <c:extLst>
            <c:ext xmlns:c16="http://schemas.microsoft.com/office/drawing/2014/chart" uri="{C3380CC4-5D6E-409C-BE32-E72D297353CC}">
              <c16:uniqueId val="{00000004-A5F3-48A3-A196-90754EEED39D}"/>
            </c:ext>
          </c:extLst>
        </c:ser>
        <c:dLbls>
          <c:showLegendKey val="0"/>
          <c:showVal val="0"/>
          <c:showCatName val="0"/>
          <c:showSerName val="0"/>
          <c:showPercent val="0"/>
          <c:showBubbleSize val="0"/>
        </c:dLbls>
        <c:axId val="1704842784"/>
        <c:axId val="1035506735"/>
      </c:scatterChart>
      <c:valAx>
        <c:axId val="1704842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Nozzle DN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35506735"/>
        <c:crosses val="autoZero"/>
        <c:crossBetween val="midCat"/>
      </c:valAx>
      <c:valAx>
        <c:axId val="1035506735"/>
        <c:scaling>
          <c:orientation val="minMax"/>
          <c:max val="3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Nozzle velocity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704842784"/>
        <c:crosses val="autoZero"/>
        <c:crossBetween val="midCat"/>
      </c:valAx>
      <c:spPr>
        <a:noFill/>
        <a:ln>
          <a:noFill/>
        </a:ln>
        <a:effectLst/>
      </c:spPr>
    </c:plotArea>
    <c:legend>
      <c:legendPos val="r"/>
      <c:layout>
        <c:manualLayout>
          <c:xMode val="edge"/>
          <c:yMode val="edge"/>
          <c:x val="2.8132546199290065E-2"/>
          <c:y val="0.24360331293484364"/>
          <c:w val="0.2387647545889468"/>
          <c:h val="0.547950381901381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INLET NOZZLE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manualLayout>
          <c:layoutTarget val="inner"/>
          <c:xMode val="edge"/>
          <c:yMode val="edge"/>
          <c:x val="0.19238794148202348"/>
          <c:y val="0.18451476579905673"/>
          <c:w val="0.72192492567213651"/>
          <c:h val="0.61609205318876992"/>
        </c:manualLayout>
      </c:layout>
      <c:scatterChart>
        <c:scatterStyle val="smoothMarker"/>
        <c:varyColors val="0"/>
        <c:ser>
          <c:idx val="0"/>
          <c:order val="0"/>
          <c:spPr>
            <a:ln w="19050" cap="rnd">
              <a:solidFill>
                <a:schemeClr val="accent1"/>
              </a:solidFill>
              <a:prstDash val="sysDash"/>
              <a:round/>
            </a:ln>
            <a:effectLst/>
          </c:spPr>
          <c:marker>
            <c:symbol val="none"/>
          </c:marker>
          <c:xVal>
            <c:numRef>
              <c:f>calc!$G$13:$G$39</c:f>
              <c:numCache>
                <c:formatCode>General</c:formatCode>
                <c:ptCount val="27"/>
                <c:pt idx="0">
                  <c:v>25</c:v>
                </c:pt>
                <c:pt idx="1">
                  <c:v>50</c:v>
                </c:pt>
                <c:pt idx="2">
                  <c:v>75</c:v>
                </c:pt>
                <c:pt idx="3">
                  <c:v>100</c:v>
                </c:pt>
                <c:pt idx="4">
                  <c:v>125</c:v>
                </c:pt>
                <c:pt idx="5">
                  <c:v>150</c:v>
                </c:pt>
                <c:pt idx="6">
                  <c:v>200</c:v>
                </c:pt>
                <c:pt idx="7">
                  <c:v>250</c:v>
                </c:pt>
                <c:pt idx="8">
                  <c:v>300</c:v>
                </c:pt>
                <c:pt idx="9">
                  <c:v>350</c:v>
                </c:pt>
                <c:pt idx="10">
                  <c:v>400</c:v>
                </c:pt>
                <c:pt idx="11">
                  <c:v>450</c:v>
                </c:pt>
                <c:pt idx="12">
                  <c:v>500</c:v>
                </c:pt>
                <c:pt idx="13">
                  <c:v>600</c:v>
                </c:pt>
                <c:pt idx="14">
                  <c:v>700</c:v>
                </c:pt>
                <c:pt idx="15">
                  <c:v>800</c:v>
                </c:pt>
                <c:pt idx="16">
                  <c:v>900</c:v>
                </c:pt>
                <c:pt idx="17">
                  <c:v>1000</c:v>
                </c:pt>
                <c:pt idx="18">
                  <c:v>1100</c:v>
                </c:pt>
                <c:pt idx="19">
                  <c:v>1100</c:v>
                </c:pt>
                <c:pt idx="20">
                  <c:v>1100</c:v>
                </c:pt>
                <c:pt idx="21">
                  <c:v>1100</c:v>
                </c:pt>
                <c:pt idx="22">
                  <c:v>1100</c:v>
                </c:pt>
                <c:pt idx="23">
                  <c:v>1100</c:v>
                </c:pt>
                <c:pt idx="24">
                  <c:v>1100</c:v>
                </c:pt>
                <c:pt idx="25">
                  <c:v>1100</c:v>
                </c:pt>
                <c:pt idx="26">
                  <c:v>1100</c:v>
                </c:pt>
              </c:numCache>
            </c:numRef>
          </c:xVal>
          <c:yVal>
            <c:numRef>
              <c:f>calc!$H$13:$H$39</c:f>
              <c:numCache>
                <c:formatCode>General</c:formatCode>
                <c:ptCount val="27"/>
                <c:pt idx="0">
                  <c:v>2264.6850672328383</c:v>
                </c:pt>
                <c:pt idx="1">
                  <c:v>566.17126680820957</c:v>
                </c:pt>
                <c:pt idx="2">
                  <c:v>251.63167413698199</c:v>
                </c:pt>
                <c:pt idx="3">
                  <c:v>141.54281670205239</c:v>
                </c:pt>
                <c:pt idx="4">
                  <c:v>90.587402689313521</c:v>
                </c:pt>
                <c:pt idx="5">
                  <c:v>62.907918534245496</c:v>
                </c:pt>
                <c:pt idx="6">
                  <c:v>35.385704175513098</c:v>
                </c:pt>
                <c:pt idx="7">
                  <c:v>22.64685067232838</c:v>
                </c:pt>
                <c:pt idx="8">
                  <c:v>15.726979633561374</c:v>
                </c:pt>
                <c:pt idx="9">
                  <c:v>11.554515649147133</c:v>
                </c:pt>
                <c:pt idx="10">
                  <c:v>8.8464260438782745</c:v>
                </c:pt>
                <c:pt idx="11">
                  <c:v>6.9897687260272772</c:v>
                </c:pt>
                <c:pt idx="12">
                  <c:v>5.6617126680820951</c:v>
                </c:pt>
                <c:pt idx="13">
                  <c:v>3.9317449083903435</c:v>
                </c:pt>
                <c:pt idx="14">
                  <c:v>2.8886289122867832</c:v>
                </c:pt>
                <c:pt idx="15">
                  <c:v>2.2116065109695686</c:v>
                </c:pt>
                <c:pt idx="16">
                  <c:v>1.7474421815068193</c:v>
                </c:pt>
                <c:pt idx="17">
                  <c:v>1.4154281670205238</c:v>
                </c:pt>
                <c:pt idx="18">
                  <c:v>1.1697753446450609</c:v>
                </c:pt>
                <c:pt idx="19">
                  <c:v>0.98293622709758588</c:v>
                </c:pt>
                <c:pt idx="20">
                  <c:v>0.83753145977545773</c:v>
                </c:pt>
                <c:pt idx="21">
                  <c:v>0.7221572280716958</c:v>
                </c:pt>
                <c:pt idx="22">
                  <c:v>0.62907918534245499</c:v>
                </c:pt>
                <c:pt idx="23">
                  <c:v>0.55290162774239215</c:v>
                </c:pt>
                <c:pt idx="24">
                  <c:v>0.48976753184101168</c:v>
                </c:pt>
                <c:pt idx="25">
                  <c:v>0.43686054537670482</c:v>
                </c:pt>
                <c:pt idx="26">
                  <c:v>0.39208536482562983</c:v>
                </c:pt>
              </c:numCache>
            </c:numRef>
          </c:yVal>
          <c:smooth val="1"/>
          <c:extLst>
            <c:ext xmlns:c16="http://schemas.microsoft.com/office/drawing/2014/chart" uri="{C3380CC4-5D6E-409C-BE32-E72D297353CC}">
              <c16:uniqueId val="{00000000-D06C-43D7-81B5-066ACF8116C6}"/>
            </c:ext>
          </c:extLst>
        </c:ser>
        <c:ser>
          <c:idx val="1"/>
          <c:order val="1"/>
          <c:spPr>
            <a:ln w="19050" cap="rnd">
              <a:solidFill>
                <a:schemeClr val="accent2"/>
              </a:solidFill>
              <a:round/>
            </a:ln>
            <a:effectLst/>
          </c:spPr>
          <c:marker>
            <c:symbol val="none"/>
          </c:marker>
          <c:xVal>
            <c:numRef>
              <c:f>calc!$Q$3:$Q$4</c:f>
              <c:numCache>
                <c:formatCode>0.0</c:formatCode>
                <c:ptCount val="2"/>
                <c:pt idx="0">
                  <c:v>25</c:v>
                </c:pt>
                <c:pt idx="1">
                  <c:v>1100</c:v>
                </c:pt>
              </c:numCache>
            </c:numRef>
          </c:xVal>
          <c:yVal>
            <c:numRef>
              <c:f>calc!$R$3:$R$4</c:f>
              <c:numCache>
                <c:formatCode>General</c:formatCode>
                <c:ptCount val="2"/>
                <c:pt idx="0">
                  <c:v>3.3</c:v>
                </c:pt>
                <c:pt idx="1">
                  <c:v>3.3</c:v>
                </c:pt>
              </c:numCache>
            </c:numRef>
          </c:yVal>
          <c:smooth val="1"/>
          <c:extLst>
            <c:ext xmlns:c16="http://schemas.microsoft.com/office/drawing/2014/chart" uri="{C3380CC4-5D6E-409C-BE32-E72D297353CC}">
              <c16:uniqueId val="{00000001-D06C-43D7-81B5-066ACF8116C6}"/>
            </c:ext>
          </c:extLst>
        </c:ser>
        <c:ser>
          <c:idx val="3"/>
          <c:order val="2"/>
          <c:spPr>
            <a:ln w="19050" cap="rnd">
              <a:solidFill>
                <a:schemeClr val="accent4"/>
              </a:solidFill>
              <a:round/>
            </a:ln>
            <a:effectLst/>
          </c:spPr>
          <c:marker>
            <c:symbol val="none"/>
          </c:marker>
          <c:xVal>
            <c:numRef>
              <c:f>calc!$Q$3:$Q$4</c:f>
              <c:numCache>
                <c:formatCode>0.0</c:formatCode>
                <c:ptCount val="2"/>
                <c:pt idx="0">
                  <c:v>25</c:v>
                </c:pt>
                <c:pt idx="1">
                  <c:v>1100</c:v>
                </c:pt>
              </c:numCache>
            </c:numRef>
          </c:xVal>
          <c:yVal>
            <c:numRef>
              <c:f>calc!$S$3:$S$4</c:f>
              <c:numCache>
                <c:formatCode>General</c:formatCode>
                <c:ptCount val="2"/>
                <c:pt idx="0">
                  <c:v>4.5999999999999996</c:v>
                </c:pt>
                <c:pt idx="1">
                  <c:v>4.5999999999999996</c:v>
                </c:pt>
              </c:numCache>
            </c:numRef>
          </c:yVal>
          <c:smooth val="1"/>
          <c:extLst>
            <c:ext xmlns:c16="http://schemas.microsoft.com/office/drawing/2014/chart" uri="{C3380CC4-5D6E-409C-BE32-E72D297353CC}">
              <c16:uniqueId val="{00000002-D06C-43D7-81B5-066ACF8116C6}"/>
            </c:ext>
          </c:extLst>
        </c:ser>
        <c:ser>
          <c:idx val="2"/>
          <c:order val="3"/>
          <c:spPr>
            <a:ln w="19050" cap="rnd">
              <a:solidFill>
                <a:schemeClr val="accent3"/>
              </a:solidFill>
              <a:round/>
            </a:ln>
            <a:effectLst/>
          </c:spPr>
          <c:marker>
            <c:symbol val="circle"/>
            <c:size val="8"/>
            <c:spPr>
              <a:solidFill>
                <a:srgbClr val="FF0000"/>
              </a:solidFill>
              <a:ln w="9525">
                <a:solidFill>
                  <a:schemeClr val="tx1"/>
                </a:solidFill>
              </a:ln>
              <a:effectLst/>
            </c:spPr>
          </c:marker>
          <c:xVal>
            <c:numRef>
              <c:f>calc!$G$10</c:f>
              <c:numCache>
                <c:formatCode>General</c:formatCode>
                <c:ptCount val="1"/>
                <c:pt idx="0">
                  <c:v>600</c:v>
                </c:pt>
              </c:numCache>
            </c:numRef>
          </c:xVal>
          <c:yVal>
            <c:numRef>
              <c:f>calc!$H$10</c:f>
              <c:numCache>
                <c:formatCode>General</c:formatCode>
                <c:ptCount val="1"/>
                <c:pt idx="0">
                  <c:v>3.9317449083903435</c:v>
                </c:pt>
              </c:numCache>
            </c:numRef>
          </c:yVal>
          <c:smooth val="1"/>
          <c:extLst>
            <c:ext xmlns:c16="http://schemas.microsoft.com/office/drawing/2014/chart" uri="{C3380CC4-5D6E-409C-BE32-E72D297353CC}">
              <c16:uniqueId val="{00000003-D06C-43D7-81B5-066ACF8116C6}"/>
            </c:ext>
          </c:extLst>
        </c:ser>
        <c:dLbls>
          <c:showLegendKey val="0"/>
          <c:showVal val="0"/>
          <c:showCatName val="0"/>
          <c:showSerName val="0"/>
          <c:showPercent val="0"/>
          <c:showBubbleSize val="0"/>
        </c:dLbls>
        <c:axId val="1704842784"/>
        <c:axId val="1035506735"/>
      </c:scatterChart>
      <c:valAx>
        <c:axId val="1704842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Nozzle DN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35506735"/>
        <c:crosses val="autoZero"/>
        <c:crossBetween val="midCat"/>
      </c:valAx>
      <c:valAx>
        <c:axId val="103550673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Nozzle</a:t>
                </a:r>
                <a:r>
                  <a:rPr lang="en-US" baseline="0"/>
                  <a:t> velocity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7048427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INLET NOZZLE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calc!$G$13:$G$39</c:f>
              <c:numCache>
                <c:formatCode>General</c:formatCode>
                <c:ptCount val="27"/>
                <c:pt idx="0">
                  <c:v>25</c:v>
                </c:pt>
                <c:pt idx="1">
                  <c:v>50</c:v>
                </c:pt>
                <c:pt idx="2">
                  <c:v>75</c:v>
                </c:pt>
                <c:pt idx="3">
                  <c:v>100</c:v>
                </c:pt>
                <c:pt idx="4">
                  <c:v>125</c:v>
                </c:pt>
                <c:pt idx="5">
                  <c:v>150</c:v>
                </c:pt>
                <c:pt idx="6">
                  <c:v>200</c:v>
                </c:pt>
                <c:pt idx="7">
                  <c:v>250</c:v>
                </c:pt>
                <c:pt idx="8">
                  <c:v>300</c:v>
                </c:pt>
                <c:pt idx="9">
                  <c:v>350</c:v>
                </c:pt>
                <c:pt idx="10">
                  <c:v>400</c:v>
                </c:pt>
                <c:pt idx="11">
                  <c:v>450</c:v>
                </c:pt>
                <c:pt idx="12">
                  <c:v>500</c:v>
                </c:pt>
                <c:pt idx="13">
                  <c:v>600</c:v>
                </c:pt>
                <c:pt idx="14">
                  <c:v>700</c:v>
                </c:pt>
                <c:pt idx="15">
                  <c:v>800</c:v>
                </c:pt>
                <c:pt idx="16">
                  <c:v>900</c:v>
                </c:pt>
                <c:pt idx="17">
                  <c:v>1000</c:v>
                </c:pt>
                <c:pt idx="18">
                  <c:v>1100</c:v>
                </c:pt>
                <c:pt idx="19">
                  <c:v>1100</c:v>
                </c:pt>
                <c:pt idx="20">
                  <c:v>1100</c:v>
                </c:pt>
                <c:pt idx="21">
                  <c:v>1100</c:v>
                </c:pt>
                <c:pt idx="22">
                  <c:v>1100</c:v>
                </c:pt>
                <c:pt idx="23">
                  <c:v>1100</c:v>
                </c:pt>
                <c:pt idx="24">
                  <c:v>1100</c:v>
                </c:pt>
                <c:pt idx="25">
                  <c:v>1100</c:v>
                </c:pt>
                <c:pt idx="26">
                  <c:v>1100</c:v>
                </c:pt>
              </c:numCache>
            </c:numRef>
          </c:xVal>
          <c:yVal>
            <c:numRef>
              <c:f>calc!$H$13:$H$39</c:f>
              <c:numCache>
                <c:formatCode>General</c:formatCode>
                <c:ptCount val="27"/>
                <c:pt idx="0">
                  <c:v>2264.6850672328383</c:v>
                </c:pt>
                <c:pt idx="1">
                  <c:v>566.17126680820957</c:v>
                </c:pt>
                <c:pt idx="2">
                  <c:v>251.63167413698199</c:v>
                </c:pt>
                <c:pt idx="3">
                  <c:v>141.54281670205239</c:v>
                </c:pt>
                <c:pt idx="4">
                  <c:v>90.587402689313521</c:v>
                </c:pt>
                <c:pt idx="5">
                  <c:v>62.907918534245496</c:v>
                </c:pt>
                <c:pt idx="6">
                  <c:v>35.385704175513098</c:v>
                </c:pt>
                <c:pt idx="7">
                  <c:v>22.64685067232838</c:v>
                </c:pt>
                <c:pt idx="8">
                  <c:v>15.726979633561374</c:v>
                </c:pt>
                <c:pt idx="9">
                  <c:v>11.554515649147133</c:v>
                </c:pt>
                <c:pt idx="10">
                  <c:v>8.8464260438782745</c:v>
                </c:pt>
                <c:pt idx="11">
                  <c:v>6.9897687260272772</c:v>
                </c:pt>
                <c:pt idx="12">
                  <c:v>5.6617126680820951</c:v>
                </c:pt>
                <c:pt idx="13">
                  <c:v>3.9317449083903435</c:v>
                </c:pt>
                <c:pt idx="14">
                  <c:v>2.8886289122867832</c:v>
                </c:pt>
                <c:pt idx="15">
                  <c:v>2.2116065109695686</c:v>
                </c:pt>
                <c:pt idx="16">
                  <c:v>1.7474421815068193</c:v>
                </c:pt>
                <c:pt idx="17">
                  <c:v>1.4154281670205238</c:v>
                </c:pt>
                <c:pt idx="18">
                  <c:v>1.1697753446450609</c:v>
                </c:pt>
                <c:pt idx="19">
                  <c:v>0.98293622709758588</c:v>
                </c:pt>
                <c:pt idx="20">
                  <c:v>0.83753145977545773</c:v>
                </c:pt>
                <c:pt idx="21">
                  <c:v>0.7221572280716958</c:v>
                </c:pt>
                <c:pt idx="22">
                  <c:v>0.62907918534245499</c:v>
                </c:pt>
                <c:pt idx="23">
                  <c:v>0.55290162774239215</c:v>
                </c:pt>
                <c:pt idx="24">
                  <c:v>0.48976753184101168</c:v>
                </c:pt>
                <c:pt idx="25">
                  <c:v>0.43686054537670482</c:v>
                </c:pt>
                <c:pt idx="26">
                  <c:v>0.39208536482562983</c:v>
                </c:pt>
              </c:numCache>
            </c:numRef>
          </c:yVal>
          <c:smooth val="1"/>
          <c:extLst>
            <c:ext xmlns:c16="http://schemas.microsoft.com/office/drawing/2014/chart" uri="{C3380CC4-5D6E-409C-BE32-E72D297353CC}">
              <c16:uniqueId val="{00000000-B575-46DF-8D73-D32F89627F71}"/>
            </c:ext>
          </c:extLst>
        </c:ser>
        <c:ser>
          <c:idx val="1"/>
          <c:order val="1"/>
          <c:spPr>
            <a:ln w="19050" cap="rnd">
              <a:solidFill>
                <a:schemeClr val="accent2"/>
              </a:solidFill>
              <a:round/>
            </a:ln>
            <a:effectLst/>
          </c:spPr>
          <c:marker>
            <c:symbol val="none"/>
          </c:marker>
          <c:xVal>
            <c:numRef>
              <c:f>calc!$Q$3:$Q$4</c:f>
              <c:numCache>
                <c:formatCode>0.0</c:formatCode>
                <c:ptCount val="2"/>
                <c:pt idx="0">
                  <c:v>25</c:v>
                </c:pt>
                <c:pt idx="1">
                  <c:v>1100</c:v>
                </c:pt>
              </c:numCache>
            </c:numRef>
          </c:xVal>
          <c:yVal>
            <c:numRef>
              <c:f>calc!$R$3:$R$4</c:f>
              <c:numCache>
                <c:formatCode>General</c:formatCode>
                <c:ptCount val="2"/>
                <c:pt idx="0">
                  <c:v>3.3</c:v>
                </c:pt>
                <c:pt idx="1">
                  <c:v>3.3</c:v>
                </c:pt>
              </c:numCache>
            </c:numRef>
          </c:yVal>
          <c:smooth val="1"/>
          <c:extLst>
            <c:ext xmlns:c16="http://schemas.microsoft.com/office/drawing/2014/chart" uri="{C3380CC4-5D6E-409C-BE32-E72D297353CC}">
              <c16:uniqueId val="{00000001-B575-46DF-8D73-D32F89627F71}"/>
            </c:ext>
          </c:extLst>
        </c:ser>
        <c:ser>
          <c:idx val="3"/>
          <c:order val="2"/>
          <c:spPr>
            <a:ln w="19050" cap="rnd">
              <a:solidFill>
                <a:schemeClr val="accent4"/>
              </a:solidFill>
              <a:round/>
            </a:ln>
            <a:effectLst/>
          </c:spPr>
          <c:marker>
            <c:symbol val="none"/>
          </c:marker>
          <c:xVal>
            <c:numRef>
              <c:f>calc!$Q$3:$Q$4</c:f>
              <c:numCache>
                <c:formatCode>0.0</c:formatCode>
                <c:ptCount val="2"/>
                <c:pt idx="0">
                  <c:v>25</c:v>
                </c:pt>
                <c:pt idx="1">
                  <c:v>1100</c:v>
                </c:pt>
              </c:numCache>
            </c:numRef>
          </c:xVal>
          <c:yVal>
            <c:numRef>
              <c:f>calc!$S$3:$S$4</c:f>
              <c:numCache>
                <c:formatCode>General</c:formatCode>
                <c:ptCount val="2"/>
                <c:pt idx="0">
                  <c:v>4.5999999999999996</c:v>
                </c:pt>
                <c:pt idx="1">
                  <c:v>4.5999999999999996</c:v>
                </c:pt>
              </c:numCache>
            </c:numRef>
          </c:yVal>
          <c:smooth val="1"/>
          <c:extLst>
            <c:ext xmlns:c16="http://schemas.microsoft.com/office/drawing/2014/chart" uri="{C3380CC4-5D6E-409C-BE32-E72D297353CC}">
              <c16:uniqueId val="{00000002-B575-46DF-8D73-D32F89627F71}"/>
            </c:ext>
          </c:extLst>
        </c:ser>
        <c:ser>
          <c:idx val="2"/>
          <c:order val="3"/>
          <c:spPr>
            <a:ln w="19050" cap="rnd">
              <a:solidFill>
                <a:schemeClr val="accent3"/>
              </a:solidFill>
              <a:round/>
            </a:ln>
            <a:effectLst/>
          </c:spPr>
          <c:marker>
            <c:symbol val="circle"/>
            <c:size val="8"/>
            <c:spPr>
              <a:solidFill>
                <a:srgbClr val="FF0000"/>
              </a:solidFill>
              <a:ln w="9525">
                <a:solidFill>
                  <a:schemeClr val="tx1"/>
                </a:solidFill>
              </a:ln>
              <a:effectLst/>
            </c:spPr>
          </c:marker>
          <c:xVal>
            <c:numRef>
              <c:f>calc!$G$10</c:f>
              <c:numCache>
                <c:formatCode>General</c:formatCode>
                <c:ptCount val="1"/>
                <c:pt idx="0">
                  <c:v>600</c:v>
                </c:pt>
              </c:numCache>
            </c:numRef>
          </c:xVal>
          <c:yVal>
            <c:numRef>
              <c:f>calc!$H$10</c:f>
              <c:numCache>
                <c:formatCode>General</c:formatCode>
                <c:ptCount val="1"/>
                <c:pt idx="0">
                  <c:v>3.9317449083903435</c:v>
                </c:pt>
              </c:numCache>
            </c:numRef>
          </c:yVal>
          <c:smooth val="1"/>
          <c:extLst>
            <c:ext xmlns:c16="http://schemas.microsoft.com/office/drawing/2014/chart" uri="{C3380CC4-5D6E-409C-BE32-E72D297353CC}">
              <c16:uniqueId val="{00000003-B575-46DF-8D73-D32F89627F71}"/>
            </c:ext>
          </c:extLst>
        </c:ser>
        <c:dLbls>
          <c:showLegendKey val="0"/>
          <c:showVal val="0"/>
          <c:showCatName val="0"/>
          <c:showSerName val="0"/>
          <c:showPercent val="0"/>
          <c:showBubbleSize val="0"/>
        </c:dLbls>
        <c:axId val="1704842784"/>
        <c:axId val="1035506735"/>
      </c:scatterChart>
      <c:valAx>
        <c:axId val="1704842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Nozzle DN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35506735"/>
        <c:crosses val="autoZero"/>
        <c:crossBetween val="midCat"/>
      </c:valAx>
      <c:valAx>
        <c:axId val="1035506735"/>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Nozzle</a:t>
                </a:r>
                <a:r>
                  <a:rPr lang="en-US" baseline="0"/>
                  <a:t> velocity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7048427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OUTLET NOZZLE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scatterChart>
        <c:scatterStyle val="smoothMarker"/>
        <c:varyColors val="0"/>
        <c:ser>
          <c:idx val="0"/>
          <c:order val="0"/>
          <c:tx>
            <c:v>velocity trend</c:v>
          </c:tx>
          <c:spPr>
            <a:ln w="19050" cap="rnd">
              <a:solidFill>
                <a:schemeClr val="accent1"/>
              </a:solidFill>
              <a:round/>
            </a:ln>
            <a:effectLst/>
          </c:spPr>
          <c:marker>
            <c:symbol val="none"/>
          </c:marker>
          <c:xVal>
            <c:numRef>
              <c:f>calc!$G$13:$G$39</c:f>
              <c:numCache>
                <c:formatCode>General</c:formatCode>
                <c:ptCount val="27"/>
                <c:pt idx="0">
                  <c:v>25</c:v>
                </c:pt>
                <c:pt idx="1">
                  <c:v>50</c:v>
                </c:pt>
                <c:pt idx="2">
                  <c:v>75</c:v>
                </c:pt>
                <c:pt idx="3">
                  <c:v>100</c:v>
                </c:pt>
                <c:pt idx="4">
                  <c:v>125</c:v>
                </c:pt>
                <c:pt idx="5">
                  <c:v>150</c:v>
                </c:pt>
                <c:pt idx="6">
                  <c:v>200</c:v>
                </c:pt>
                <c:pt idx="7">
                  <c:v>250</c:v>
                </c:pt>
                <c:pt idx="8">
                  <c:v>300</c:v>
                </c:pt>
                <c:pt idx="9">
                  <c:v>350</c:v>
                </c:pt>
                <c:pt idx="10">
                  <c:v>400</c:v>
                </c:pt>
                <c:pt idx="11">
                  <c:v>450</c:v>
                </c:pt>
                <c:pt idx="12">
                  <c:v>500</c:v>
                </c:pt>
                <c:pt idx="13">
                  <c:v>600</c:v>
                </c:pt>
                <c:pt idx="14">
                  <c:v>700</c:v>
                </c:pt>
                <c:pt idx="15">
                  <c:v>800</c:v>
                </c:pt>
                <c:pt idx="16">
                  <c:v>900</c:v>
                </c:pt>
                <c:pt idx="17">
                  <c:v>1000</c:v>
                </c:pt>
                <c:pt idx="18">
                  <c:v>1100</c:v>
                </c:pt>
                <c:pt idx="19">
                  <c:v>1100</c:v>
                </c:pt>
                <c:pt idx="20">
                  <c:v>1100</c:v>
                </c:pt>
                <c:pt idx="21">
                  <c:v>1100</c:v>
                </c:pt>
                <c:pt idx="22">
                  <c:v>1100</c:v>
                </c:pt>
                <c:pt idx="23">
                  <c:v>1100</c:v>
                </c:pt>
                <c:pt idx="24">
                  <c:v>1100</c:v>
                </c:pt>
                <c:pt idx="25">
                  <c:v>1100</c:v>
                </c:pt>
                <c:pt idx="26">
                  <c:v>1100</c:v>
                </c:pt>
              </c:numCache>
            </c:numRef>
          </c:xVal>
          <c:yVal>
            <c:numRef>
              <c:f>calc!$I$13:$I$39</c:f>
              <c:numCache>
                <c:formatCode>General</c:formatCode>
                <c:ptCount val="27"/>
                <c:pt idx="0">
                  <c:v>2264.6850672328383</c:v>
                </c:pt>
                <c:pt idx="1">
                  <c:v>566.17126680820957</c:v>
                </c:pt>
                <c:pt idx="2">
                  <c:v>251.63167413698199</c:v>
                </c:pt>
                <c:pt idx="3">
                  <c:v>141.54281670205239</c:v>
                </c:pt>
                <c:pt idx="4">
                  <c:v>90.587402689313521</c:v>
                </c:pt>
                <c:pt idx="5">
                  <c:v>62.907918534245496</c:v>
                </c:pt>
                <c:pt idx="6">
                  <c:v>35.385704175513098</c:v>
                </c:pt>
                <c:pt idx="7">
                  <c:v>22.64685067232838</c:v>
                </c:pt>
                <c:pt idx="8">
                  <c:v>15.726979633561374</c:v>
                </c:pt>
                <c:pt idx="9">
                  <c:v>11.554515649147133</c:v>
                </c:pt>
                <c:pt idx="10">
                  <c:v>8.8464260438782745</c:v>
                </c:pt>
                <c:pt idx="11">
                  <c:v>6.9897687260272772</c:v>
                </c:pt>
                <c:pt idx="12">
                  <c:v>5.6617126680820951</c:v>
                </c:pt>
                <c:pt idx="13">
                  <c:v>3.9317449083903435</c:v>
                </c:pt>
                <c:pt idx="14">
                  <c:v>2.8886289122867832</c:v>
                </c:pt>
                <c:pt idx="15">
                  <c:v>2.2116065109695686</c:v>
                </c:pt>
                <c:pt idx="16">
                  <c:v>1.7474421815068193</c:v>
                </c:pt>
                <c:pt idx="17">
                  <c:v>1.4154281670205238</c:v>
                </c:pt>
                <c:pt idx="18">
                  <c:v>1.1697753446450609</c:v>
                </c:pt>
                <c:pt idx="19">
                  <c:v>0.98293622709758588</c:v>
                </c:pt>
                <c:pt idx="20">
                  <c:v>0.83753145977545773</c:v>
                </c:pt>
                <c:pt idx="21">
                  <c:v>0.7221572280716958</c:v>
                </c:pt>
                <c:pt idx="22">
                  <c:v>0.62907918534245499</c:v>
                </c:pt>
                <c:pt idx="23">
                  <c:v>0.55290162774239215</c:v>
                </c:pt>
                <c:pt idx="24">
                  <c:v>0.48976753184101168</c:v>
                </c:pt>
                <c:pt idx="25">
                  <c:v>0.43686054537670482</c:v>
                </c:pt>
                <c:pt idx="26">
                  <c:v>0.39208536482562983</c:v>
                </c:pt>
              </c:numCache>
            </c:numRef>
          </c:yVal>
          <c:smooth val="1"/>
          <c:extLst>
            <c:ext xmlns:c16="http://schemas.microsoft.com/office/drawing/2014/chart" uri="{C3380CC4-5D6E-409C-BE32-E72D297353CC}">
              <c16:uniqueId val="{00000000-103E-43F3-95DD-ABAEAF1AB354}"/>
            </c:ext>
          </c:extLst>
        </c:ser>
        <c:ser>
          <c:idx val="1"/>
          <c:order val="1"/>
          <c:tx>
            <c:v>vmin-std</c:v>
          </c:tx>
          <c:spPr>
            <a:ln w="19050" cap="rnd">
              <a:solidFill>
                <a:schemeClr val="accent2"/>
              </a:solidFill>
              <a:round/>
            </a:ln>
            <a:effectLst/>
          </c:spPr>
          <c:marker>
            <c:symbol val="none"/>
          </c:marker>
          <c:xVal>
            <c:numRef>
              <c:f>calc!$Q$3:$Q$4</c:f>
              <c:numCache>
                <c:formatCode>0.0</c:formatCode>
                <c:ptCount val="2"/>
                <c:pt idx="0">
                  <c:v>25</c:v>
                </c:pt>
                <c:pt idx="1">
                  <c:v>1100</c:v>
                </c:pt>
              </c:numCache>
            </c:numRef>
          </c:xVal>
          <c:yVal>
            <c:numRef>
              <c:f>calc!$T$3:$T$4</c:f>
              <c:numCache>
                <c:formatCode>General</c:formatCode>
                <c:ptCount val="2"/>
                <c:pt idx="0">
                  <c:v>3.3</c:v>
                </c:pt>
                <c:pt idx="1">
                  <c:v>3.3</c:v>
                </c:pt>
              </c:numCache>
            </c:numRef>
          </c:yVal>
          <c:smooth val="1"/>
          <c:extLst>
            <c:ext xmlns:c16="http://schemas.microsoft.com/office/drawing/2014/chart" uri="{C3380CC4-5D6E-409C-BE32-E72D297353CC}">
              <c16:uniqueId val="{00000001-103E-43F3-95DD-ABAEAF1AB354}"/>
            </c:ext>
          </c:extLst>
        </c:ser>
        <c:ser>
          <c:idx val="2"/>
          <c:order val="2"/>
          <c:tx>
            <c:v>v_selected</c:v>
          </c:tx>
          <c:spPr>
            <a:ln w="19050" cap="rnd">
              <a:solidFill>
                <a:schemeClr val="accent3"/>
              </a:solidFill>
              <a:round/>
            </a:ln>
            <a:effectLst/>
          </c:spPr>
          <c:marker>
            <c:symbol val="circle"/>
            <c:size val="8"/>
            <c:spPr>
              <a:solidFill>
                <a:srgbClr val="FF0000"/>
              </a:solidFill>
              <a:ln w="9525">
                <a:solidFill>
                  <a:schemeClr val="tx1"/>
                </a:solidFill>
              </a:ln>
              <a:effectLst/>
            </c:spPr>
          </c:marker>
          <c:xVal>
            <c:numRef>
              <c:f>calc!$I$10</c:f>
              <c:numCache>
                <c:formatCode>General</c:formatCode>
                <c:ptCount val="1"/>
                <c:pt idx="0">
                  <c:v>600</c:v>
                </c:pt>
              </c:numCache>
            </c:numRef>
          </c:xVal>
          <c:yVal>
            <c:numRef>
              <c:f>calc!$J$10</c:f>
              <c:numCache>
                <c:formatCode>General</c:formatCode>
                <c:ptCount val="1"/>
                <c:pt idx="0">
                  <c:v>3.9317449083903435</c:v>
                </c:pt>
              </c:numCache>
            </c:numRef>
          </c:yVal>
          <c:smooth val="1"/>
          <c:extLst>
            <c:ext xmlns:c16="http://schemas.microsoft.com/office/drawing/2014/chart" uri="{C3380CC4-5D6E-409C-BE32-E72D297353CC}">
              <c16:uniqueId val="{00000002-103E-43F3-95DD-ABAEAF1AB354}"/>
            </c:ext>
          </c:extLst>
        </c:ser>
        <c:ser>
          <c:idx val="3"/>
          <c:order val="3"/>
          <c:tx>
            <c:v>vmax-std</c:v>
          </c:tx>
          <c:spPr>
            <a:ln w="19050" cap="rnd">
              <a:solidFill>
                <a:schemeClr val="accent4"/>
              </a:solidFill>
              <a:round/>
            </a:ln>
            <a:effectLst/>
          </c:spPr>
          <c:marker>
            <c:symbol val="none"/>
          </c:marker>
          <c:xVal>
            <c:numRef>
              <c:f>calc!$Q$3:$Q$4</c:f>
              <c:numCache>
                <c:formatCode>0.0</c:formatCode>
                <c:ptCount val="2"/>
                <c:pt idx="0">
                  <c:v>25</c:v>
                </c:pt>
                <c:pt idx="1">
                  <c:v>1100</c:v>
                </c:pt>
              </c:numCache>
            </c:numRef>
          </c:xVal>
          <c:yVal>
            <c:numRef>
              <c:f>calc!$U$3:$U$4</c:f>
              <c:numCache>
                <c:formatCode>General</c:formatCode>
                <c:ptCount val="2"/>
                <c:pt idx="0">
                  <c:v>4.5999999999999996</c:v>
                </c:pt>
                <c:pt idx="1">
                  <c:v>4.5999999999999996</c:v>
                </c:pt>
              </c:numCache>
            </c:numRef>
          </c:yVal>
          <c:smooth val="1"/>
          <c:extLst>
            <c:ext xmlns:c16="http://schemas.microsoft.com/office/drawing/2014/chart" uri="{C3380CC4-5D6E-409C-BE32-E72D297353CC}">
              <c16:uniqueId val="{00000003-103E-43F3-95DD-ABAEAF1AB354}"/>
            </c:ext>
          </c:extLst>
        </c:ser>
        <c:ser>
          <c:idx val="4"/>
          <c:order val="4"/>
          <c:tx>
            <c:v>v-minloss</c:v>
          </c:tx>
          <c:spPr>
            <a:ln w="19050" cap="rnd">
              <a:solidFill>
                <a:schemeClr val="accent5"/>
              </a:solidFill>
              <a:round/>
            </a:ln>
            <a:effectLst/>
          </c:spPr>
          <c:marker>
            <c:symbol val="none"/>
          </c:marker>
          <c:xVal>
            <c:numRef>
              <c:f>calc!$Q$3:$Q$4</c:f>
              <c:numCache>
                <c:formatCode>0.0</c:formatCode>
                <c:ptCount val="2"/>
                <c:pt idx="0">
                  <c:v>25</c:v>
                </c:pt>
                <c:pt idx="1">
                  <c:v>1100</c:v>
                </c:pt>
              </c:numCache>
            </c:numRef>
          </c:xVal>
          <c:yVal>
            <c:numRef>
              <c:f>calc!$V$3:$V$4</c:f>
              <c:numCache>
                <c:formatCode>General</c:formatCode>
                <c:ptCount val="2"/>
                <c:pt idx="0">
                  <c:v>8.1482238749223992</c:v>
                </c:pt>
                <c:pt idx="1">
                  <c:v>8.1482238749223992</c:v>
                </c:pt>
              </c:numCache>
            </c:numRef>
          </c:yVal>
          <c:smooth val="1"/>
          <c:extLst>
            <c:ext xmlns:c16="http://schemas.microsoft.com/office/drawing/2014/chart" uri="{C3380CC4-5D6E-409C-BE32-E72D297353CC}">
              <c16:uniqueId val="{00000000-CE51-4649-8440-36AB7038587F}"/>
            </c:ext>
          </c:extLst>
        </c:ser>
        <c:dLbls>
          <c:showLegendKey val="0"/>
          <c:showVal val="0"/>
          <c:showCatName val="0"/>
          <c:showSerName val="0"/>
          <c:showPercent val="0"/>
          <c:showBubbleSize val="0"/>
        </c:dLbls>
        <c:axId val="1704842784"/>
        <c:axId val="1035506735"/>
      </c:scatterChart>
      <c:valAx>
        <c:axId val="1704842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Nozzle DN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035506735"/>
        <c:crosses val="autoZero"/>
        <c:crossBetween val="midCat"/>
      </c:valAx>
      <c:valAx>
        <c:axId val="1035506735"/>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Nozzle velocity [m/s]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70484278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manualLayout>
          <c:layoutTarget val="inner"/>
          <c:xMode val="edge"/>
          <c:yMode val="edge"/>
          <c:x val="5.6321217940992374E-2"/>
          <c:y val="9.6785812618402828E-2"/>
          <c:w val="0.8598528977891472"/>
          <c:h val="0.81136482249335296"/>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calc!$BB$50:$BB$66</c:f>
              <c:numCache>
                <c:formatCode>General</c:formatCode>
                <c:ptCount val="17"/>
                <c:pt idx="0">
                  <c:v>5</c:v>
                </c:pt>
                <c:pt idx="1">
                  <c:v>10</c:v>
                </c:pt>
                <c:pt idx="2">
                  <c:v>15</c:v>
                </c:pt>
                <c:pt idx="3">
                  <c:v>20</c:v>
                </c:pt>
                <c:pt idx="4">
                  <c:v>25</c:v>
                </c:pt>
                <c:pt idx="5">
                  <c:v>30</c:v>
                </c:pt>
                <c:pt idx="6">
                  <c:v>35</c:v>
                </c:pt>
                <c:pt idx="7">
                  <c:v>40</c:v>
                </c:pt>
                <c:pt idx="8">
                  <c:v>50</c:v>
                </c:pt>
                <c:pt idx="9">
                  <c:v>60</c:v>
                </c:pt>
                <c:pt idx="10">
                  <c:v>70</c:v>
                </c:pt>
                <c:pt idx="11">
                  <c:v>80</c:v>
                </c:pt>
                <c:pt idx="12">
                  <c:v>90</c:v>
                </c:pt>
                <c:pt idx="13">
                  <c:v>100</c:v>
                </c:pt>
                <c:pt idx="14">
                  <c:v>110</c:v>
                </c:pt>
                <c:pt idx="15">
                  <c:v>120</c:v>
                </c:pt>
              </c:numCache>
            </c:numRef>
          </c:xVal>
          <c:yVal>
            <c:numRef>
              <c:f>calc!$BC$50:$BC$66</c:f>
              <c:numCache>
                <c:formatCode>General</c:formatCode>
                <c:ptCount val="17"/>
                <c:pt idx="0">
                  <c:v>0.57999999999999996</c:v>
                </c:pt>
                <c:pt idx="1">
                  <c:v>0.52</c:v>
                </c:pt>
                <c:pt idx="2">
                  <c:v>0.48</c:v>
                </c:pt>
                <c:pt idx="3">
                  <c:v>0.44</c:v>
                </c:pt>
                <c:pt idx="4">
                  <c:v>0.41</c:v>
                </c:pt>
                <c:pt idx="5">
                  <c:v>0.38</c:v>
                </c:pt>
                <c:pt idx="6">
                  <c:v>0.36</c:v>
                </c:pt>
                <c:pt idx="7">
                  <c:v>0.34</c:v>
                </c:pt>
                <c:pt idx="8">
                  <c:v>0.31</c:v>
                </c:pt>
                <c:pt idx="9">
                  <c:v>0.28999999999999998</c:v>
                </c:pt>
                <c:pt idx="10">
                  <c:v>0.27500000000000002</c:v>
                </c:pt>
                <c:pt idx="11">
                  <c:v>0.26500000000000001</c:v>
                </c:pt>
                <c:pt idx="12">
                  <c:v>0.26</c:v>
                </c:pt>
                <c:pt idx="13">
                  <c:v>0.253</c:v>
                </c:pt>
                <c:pt idx="14">
                  <c:v>0.248</c:v>
                </c:pt>
                <c:pt idx="15">
                  <c:v>0.245</c:v>
                </c:pt>
              </c:numCache>
            </c:numRef>
          </c:yVal>
          <c:smooth val="1"/>
          <c:extLst>
            <c:ext xmlns:c16="http://schemas.microsoft.com/office/drawing/2014/chart" uri="{C3380CC4-5D6E-409C-BE32-E72D297353CC}">
              <c16:uniqueId val="{00000000-240C-4ABF-BFF1-EE15C34B3425}"/>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calc!$BB$67</c:f>
              <c:numCache>
                <c:formatCode>General</c:formatCode>
                <c:ptCount val="1"/>
                <c:pt idx="0">
                  <c:v>22</c:v>
                </c:pt>
              </c:numCache>
            </c:numRef>
          </c:xVal>
          <c:yVal>
            <c:numRef>
              <c:f>calc!$BC$67</c:f>
              <c:numCache>
                <c:formatCode>General</c:formatCode>
                <c:ptCount val="1"/>
                <c:pt idx="0">
                  <c:v>0.42749277812767611</c:v>
                </c:pt>
              </c:numCache>
            </c:numRef>
          </c:yVal>
          <c:smooth val="1"/>
          <c:extLst>
            <c:ext xmlns:c16="http://schemas.microsoft.com/office/drawing/2014/chart" uri="{C3380CC4-5D6E-409C-BE32-E72D297353CC}">
              <c16:uniqueId val="{00000001-240C-4ABF-BFF1-EE15C34B3425}"/>
            </c:ext>
          </c:extLst>
        </c:ser>
        <c:dLbls>
          <c:showLegendKey val="0"/>
          <c:showVal val="0"/>
          <c:showCatName val="0"/>
          <c:showSerName val="0"/>
          <c:showPercent val="0"/>
          <c:showBubbleSize val="0"/>
        </c:dLbls>
        <c:axId val="1549521455"/>
        <c:axId val="171647727"/>
      </c:scatterChart>
      <c:valAx>
        <c:axId val="1549521455"/>
        <c:scaling>
          <c:orientation val="minMax"/>
          <c:max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71647727"/>
        <c:crosses val="autoZero"/>
        <c:crossBetween val="midCat"/>
        <c:majorUnit val="20"/>
      </c:valAx>
      <c:valAx>
        <c:axId val="171647727"/>
        <c:scaling>
          <c:orientation val="minMax"/>
          <c:max val="0.55000000000000004"/>
          <c:min val="0.150000000000000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15495214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manualLayout>
          <c:layoutTarget val="inner"/>
          <c:xMode val="edge"/>
          <c:yMode val="edge"/>
          <c:x val="4.7683339899790761E-2"/>
          <c:y val="9.0127224681201656E-2"/>
          <c:w val="0.92077427582183979"/>
          <c:h val="0.8535019075187753"/>
        </c:manualLayout>
      </c:layout>
      <c:scatterChart>
        <c:scatterStyle val="lineMarker"/>
        <c:varyColors val="0"/>
        <c:ser>
          <c:idx val="0"/>
          <c:order val="0"/>
          <c:spPr>
            <a:ln w="25400" cap="rnd">
              <a:solidFill>
                <a:schemeClr val="accent1"/>
              </a:solidFill>
              <a:round/>
            </a:ln>
            <a:effectLst/>
          </c:spPr>
          <c:marker>
            <c:symbol val="circle"/>
            <c:size val="5"/>
            <c:spPr>
              <a:solidFill>
                <a:schemeClr val="accent1"/>
              </a:solidFill>
              <a:ln w="9525">
                <a:solidFill>
                  <a:schemeClr val="accent1"/>
                </a:solidFill>
              </a:ln>
              <a:effectLst/>
            </c:spPr>
          </c:marker>
          <c:xVal>
            <c:numRef>
              <c:f>calc!$AY$8:$AY$21</c:f>
              <c:numCache>
                <c:formatCode>General</c:formatCode>
                <c:ptCount val="14"/>
                <c:pt idx="0">
                  <c:v>1.3</c:v>
                </c:pt>
                <c:pt idx="1">
                  <c:v>2</c:v>
                </c:pt>
                <c:pt idx="2">
                  <c:v>3</c:v>
                </c:pt>
                <c:pt idx="3">
                  <c:v>4</c:v>
                </c:pt>
                <c:pt idx="4">
                  <c:v>5</c:v>
                </c:pt>
                <c:pt idx="5">
                  <c:v>6</c:v>
                </c:pt>
                <c:pt idx="6">
                  <c:v>7</c:v>
                </c:pt>
                <c:pt idx="7">
                  <c:v>8</c:v>
                </c:pt>
                <c:pt idx="8">
                  <c:v>9</c:v>
                </c:pt>
                <c:pt idx="9">
                  <c:v>10</c:v>
                </c:pt>
                <c:pt idx="10">
                  <c:v>20</c:v>
                </c:pt>
                <c:pt idx="11">
                  <c:v>30</c:v>
                </c:pt>
                <c:pt idx="12">
                  <c:v>40</c:v>
                </c:pt>
              </c:numCache>
            </c:numRef>
          </c:xVal>
          <c:yVal>
            <c:numRef>
              <c:f>calc!$AZ$8:$AZ$21</c:f>
              <c:numCache>
                <c:formatCode>General</c:formatCode>
                <c:ptCount val="14"/>
                <c:pt idx="0">
                  <c:v>1.45</c:v>
                </c:pt>
                <c:pt idx="1">
                  <c:v>1.5</c:v>
                </c:pt>
                <c:pt idx="2">
                  <c:v>1.6</c:v>
                </c:pt>
                <c:pt idx="3">
                  <c:v>1.75</c:v>
                </c:pt>
                <c:pt idx="4">
                  <c:v>1.9</c:v>
                </c:pt>
                <c:pt idx="5">
                  <c:v>2.1</c:v>
                </c:pt>
                <c:pt idx="6">
                  <c:v>2.25</c:v>
                </c:pt>
                <c:pt idx="7">
                  <c:v>2.44</c:v>
                </c:pt>
                <c:pt idx="8">
                  <c:v>2.6</c:v>
                </c:pt>
                <c:pt idx="9">
                  <c:v>2.8</c:v>
                </c:pt>
                <c:pt idx="10">
                  <c:v>4.7</c:v>
                </c:pt>
                <c:pt idx="11">
                  <c:v>6.5</c:v>
                </c:pt>
                <c:pt idx="12">
                  <c:v>8.5</c:v>
                </c:pt>
              </c:numCache>
            </c:numRef>
          </c:yVal>
          <c:smooth val="0"/>
          <c:extLst>
            <c:ext xmlns:c16="http://schemas.microsoft.com/office/drawing/2014/chart" uri="{C3380CC4-5D6E-409C-BE32-E72D297353CC}">
              <c16:uniqueId val="{00000000-5E0F-4205-9217-3524E89F47DA}"/>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calc!$BS$3:$BS$53</c:f>
              <c:numCache>
                <c:formatCode>General</c:formatCode>
                <c:ptCount val="51"/>
                <c:pt idx="0">
                  <c:v>50</c:v>
                </c:pt>
                <c:pt idx="1">
                  <c:v>45</c:v>
                </c:pt>
                <c:pt idx="2">
                  <c:v>40</c:v>
                </c:pt>
                <c:pt idx="3">
                  <c:v>35</c:v>
                </c:pt>
                <c:pt idx="4">
                  <c:v>30</c:v>
                </c:pt>
                <c:pt idx="5">
                  <c:v>28</c:v>
                </c:pt>
                <c:pt idx="6">
                  <c:v>28.5</c:v>
                </c:pt>
                <c:pt idx="7">
                  <c:v>30</c:v>
                </c:pt>
                <c:pt idx="8">
                  <c:v>32</c:v>
                </c:pt>
                <c:pt idx="9">
                  <c:v>34</c:v>
                </c:pt>
                <c:pt idx="10">
                  <c:v>50</c:v>
                </c:pt>
                <c:pt idx="11">
                  <c:v>45</c:v>
                </c:pt>
                <c:pt idx="12">
                  <c:v>40</c:v>
                </c:pt>
                <c:pt idx="13">
                  <c:v>35</c:v>
                </c:pt>
                <c:pt idx="14">
                  <c:v>30</c:v>
                </c:pt>
                <c:pt idx="15">
                  <c:v>25</c:v>
                </c:pt>
                <c:pt idx="16">
                  <c:v>20</c:v>
                </c:pt>
                <c:pt idx="17">
                  <c:v>17</c:v>
                </c:pt>
                <c:pt idx="18">
                  <c:v>16.2</c:v>
                </c:pt>
                <c:pt idx="19">
                  <c:v>16.899999999999999</c:v>
                </c:pt>
                <c:pt idx="20">
                  <c:v>18</c:v>
                </c:pt>
                <c:pt idx="21">
                  <c:v>20</c:v>
                </c:pt>
                <c:pt idx="22">
                  <c:v>22</c:v>
                </c:pt>
                <c:pt idx="23">
                  <c:v>24</c:v>
                </c:pt>
                <c:pt idx="24">
                  <c:v>25</c:v>
                </c:pt>
                <c:pt idx="25">
                  <c:v>50</c:v>
                </c:pt>
                <c:pt idx="26">
                  <c:v>43</c:v>
                </c:pt>
                <c:pt idx="27">
                  <c:v>37</c:v>
                </c:pt>
                <c:pt idx="28">
                  <c:v>30</c:v>
                </c:pt>
                <c:pt idx="29">
                  <c:v>25</c:v>
                </c:pt>
                <c:pt idx="30">
                  <c:v>20</c:v>
                </c:pt>
                <c:pt idx="31">
                  <c:v>15</c:v>
                </c:pt>
                <c:pt idx="32">
                  <c:v>12</c:v>
                </c:pt>
                <c:pt idx="33">
                  <c:v>12.2</c:v>
                </c:pt>
                <c:pt idx="34">
                  <c:v>13</c:v>
                </c:pt>
                <c:pt idx="35">
                  <c:v>14</c:v>
                </c:pt>
                <c:pt idx="36">
                  <c:v>15</c:v>
                </c:pt>
                <c:pt idx="37">
                  <c:v>16.5</c:v>
                </c:pt>
                <c:pt idx="38">
                  <c:v>18</c:v>
                </c:pt>
                <c:pt idx="39">
                  <c:v>20</c:v>
                </c:pt>
                <c:pt idx="40">
                  <c:v>21.3</c:v>
                </c:pt>
                <c:pt idx="41">
                  <c:v>50</c:v>
                </c:pt>
                <c:pt idx="42">
                  <c:v>40</c:v>
                </c:pt>
                <c:pt idx="43">
                  <c:v>32</c:v>
                </c:pt>
                <c:pt idx="44">
                  <c:v>25</c:v>
                </c:pt>
                <c:pt idx="45">
                  <c:v>19</c:v>
                </c:pt>
                <c:pt idx="46">
                  <c:v>13.5</c:v>
                </c:pt>
                <c:pt idx="47">
                  <c:v>10</c:v>
                </c:pt>
                <c:pt idx="48">
                  <c:v>9.1999999999999993</c:v>
                </c:pt>
                <c:pt idx="49">
                  <c:v>9.5</c:v>
                </c:pt>
                <c:pt idx="50">
                  <c:v>10.5</c:v>
                </c:pt>
              </c:numCache>
            </c:numRef>
          </c:xVal>
          <c:yVal>
            <c:numRef>
              <c:f>calc!$BT$3:$BT$53</c:f>
              <c:numCache>
                <c:formatCode>General</c:formatCode>
                <c:ptCount val="51"/>
                <c:pt idx="0">
                  <c:v>6.1</c:v>
                </c:pt>
                <c:pt idx="1">
                  <c:v>5.8</c:v>
                </c:pt>
                <c:pt idx="2">
                  <c:v>5.55</c:v>
                </c:pt>
                <c:pt idx="3">
                  <c:v>5.4</c:v>
                </c:pt>
                <c:pt idx="4">
                  <c:v>5.45</c:v>
                </c:pt>
                <c:pt idx="5">
                  <c:v>6</c:v>
                </c:pt>
                <c:pt idx="6">
                  <c:v>7</c:v>
                </c:pt>
                <c:pt idx="7">
                  <c:v>7.8</c:v>
                </c:pt>
                <c:pt idx="8">
                  <c:v>8.9</c:v>
                </c:pt>
                <c:pt idx="9">
                  <c:v>10</c:v>
                </c:pt>
                <c:pt idx="10">
                  <c:v>4.25</c:v>
                </c:pt>
                <c:pt idx="11">
                  <c:v>4.0999999999999996</c:v>
                </c:pt>
                <c:pt idx="12">
                  <c:v>3.9</c:v>
                </c:pt>
                <c:pt idx="13">
                  <c:v>3.7</c:v>
                </c:pt>
                <c:pt idx="14">
                  <c:v>3.55</c:v>
                </c:pt>
                <c:pt idx="15">
                  <c:v>3.5</c:v>
                </c:pt>
                <c:pt idx="16">
                  <c:v>3.5</c:v>
                </c:pt>
                <c:pt idx="17">
                  <c:v>3.8</c:v>
                </c:pt>
                <c:pt idx="18">
                  <c:v>4.4000000000000004</c:v>
                </c:pt>
                <c:pt idx="19">
                  <c:v>5.2</c:v>
                </c:pt>
                <c:pt idx="20">
                  <c:v>5.9</c:v>
                </c:pt>
                <c:pt idx="21">
                  <c:v>7</c:v>
                </c:pt>
                <c:pt idx="22">
                  <c:v>8.1</c:v>
                </c:pt>
                <c:pt idx="23">
                  <c:v>9.1999999999999993</c:v>
                </c:pt>
                <c:pt idx="24">
                  <c:v>10</c:v>
                </c:pt>
                <c:pt idx="25">
                  <c:v>3.3</c:v>
                </c:pt>
                <c:pt idx="26">
                  <c:v>3.15</c:v>
                </c:pt>
                <c:pt idx="27">
                  <c:v>3</c:v>
                </c:pt>
                <c:pt idx="28">
                  <c:v>2.85</c:v>
                </c:pt>
                <c:pt idx="29">
                  <c:v>2.77</c:v>
                </c:pt>
                <c:pt idx="30">
                  <c:v>2.71</c:v>
                </c:pt>
                <c:pt idx="31">
                  <c:v>2.7</c:v>
                </c:pt>
                <c:pt idx="32">
                  <c:v>2.9</c:v>
                </c:pt>
                <c:pt idx="33">
                  <c:v>3.6</c:v>
                </c:pt>
                <c:pt idx="34">
                  <c:v>4.2</c:v>
                </c:pt>
                <c:pt idx="35">
                  <c:v>4.8</c:v>
                </c:pt>
                <c:pt idx="36">
                  <c:v>5.5</c:v>
                </c:pt>
                <c:pt idx="37">
                  <c:v>6.5</c:v>
                </c:pt>
                <c:pt idx="38">
                  <c:v>7.5</c:v>
                </c:pt>
                <c:pt idx="39">
                  <c:v>9</c:v>
                </c:pt>
                <c:pt idx="40">
                  <c:v>10</c:v>
                </c:pt>
                <c:pt idx="41">
                  <c:v>2.7</c:v>
                </c:pt>
                <c:pt idx="42">
                  <c:v>2.56</c:v>
                </c:pt>
                <c:pt idx="43">
                  <c:v>2.4300000000000002</c:v>
                </c:pt>
                <c:pt idx="44">
                  <c:v>2.35</c:v>
                </c:pt>
                <c:pt idx="45">
                  <c:v>2.2999999999999998</c:v>
                </c:pt>
                <c:pt idx="46">
                  <c:v>2.2999999999999998</c:v>
                </c:pt>
                <c:pt idx="47">
                  <c:v>2.35</c:v>
                </c:pt>
                <c:pt idx="48">
                  <c:v>2.6</c:v>
                </c:pt>
                <c:pt idx="49">
                  <c:v>2.95</c:v>
                </c:pt>
                <c:pt idx="50">
                  <c:v>3.5</c:v>
                </c:pt>
              </c:numCache>
            </c:numRef>
          </c:yVal>
          <c:smooth val="0"/>
          <c:extLst>
            <c:ext xmlns:c16="http://schemas.microsoft.com/office/drawing/2014/chart" uri="{C3380CC4-5D6E-409C-BE32-E72D297353CC}">
              <c16:uniqueId val="{00000001-5E0F-4205-9217-3524E89F47DA}"/>
            </c:ext>
          </c:extLst>
        </c:ser>
        <c:ser>
          <c:idx val="5"/>
          <c:order val="2"/>
          <c:spPr>
            <a:ln w="25400" cap="rnd">
              <a:noFill/>
              <a:round/>
            </a:ln>
            <a:effectLst/>
          </c:spPr>
          <c:marker>
            <c:symbol val="circle"/>
            <c:size val="5"/>
            <c:spPr>
              <a:solidFill>
                <a:schemeClr val="accent6"/>
              </a:solidFill>
              <a:ln w="9525">
                <a:solidFill>
                  <a:schemeClr val="accent6"/>
                </a:solidFill>
              </a:ln>
              <a:effectLst/>
            </c:spPr>
          </c:marker>
          <c:xVal>
            <c:numRef>
              <c:f>calc!$BF$25:$BF$30</c:f>
              <c:numCache>
                <c:formatCode>General</c:formatCode>
                <c:ptCount val="6"/>
                <c:pt idx="4">
                  <c:v>10</c:v>
                </c:pt>
                <c:pt idx="5">
                  <c:v>8.1999999999999993</c:v>
                </c:pt>
              </c:numCache>
            </c:numRef>
          </c:xVal>
          <c:yVal>
            <c:numRef>
              <c:f>calc!$BG$25:$BG$30</c:f>
              <c:numCache>
                <c:formatCode>General</c:formatCode>
                <c:ptCount val="6"/>
              </c:numCache>
            </c:numRef>
          </c:yVal>
          <c:smooth val="0"/>
          <c:extLst>
            <c:ext xmlns:c16="http://schemas.microsoft.com/office/drawing/2014/chart" uri="{C3380CC4-5D6E-409C-BE32-E72D297353CC}">
              <c16:uniqueId val="{00000005-5E0F-4205-9217-3524E89F47DA}"/>
            </c:ext>
          </c:extLst>
        </c:ser>
        <c:ser>
          <c:idx val="2"/>
          <c:order val="3"/>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calc!$BY$16</c:f>
              <c:numCache>
                <c:formatCode>0</c:formatCode>
                <c:ptCount val="1"/>
                <c:pt idx="0">
                  <c:v>19.660924333721933</c:v>
                </c:pt>
              </c:numCache>
            </c:numRef>
          </c:xVal>
          <c:yVal>
            <c:numRef>
              <c:f>calc!$BY$17</c:f>
              <c:numCache>
                <c:formatCode>General</c:formatCode>
                <c:ptCount val="1"/>
                <c:pt idx="0">
                  <c:v>9.6370291160860209</c:v>
                </c:pt>
              </c:numCache>
            </c:numRef>
          </c:yVal>
          <c:smooth val="0"/>
          <c:extLst>
            <c:ext xmlns:c16="http://schemas.microsoft.com/office/drawing/2014/chart" uri="{C3380CC4-5D6E-409C-BE32-E72D297353CC}">
              <c16:uniqueId val="{00000006-5E0F-4205-9217-3524E89F47DA}"/>
            </c:ext>
          </c:extLst>
        </c:ser>
        <c:ser>
          <c:idx val="3"/>
          <c:order val="4"/>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calc!$AY$8:$AY$21</c:f>
              <c:numCache>
                <c:formatCode>General</c:formatCode>
                <c:ptCount val="14"/>
                <c:pt idx="0">
                  <c:v>1.3</c:v>
                </c:pt>
                <c:pt idx="1">
                  <c:v>2</c:v>
                </c:pt>
                <c:pt idx="2">
                  <c:v>3</c:v>
                </c:pt>
                <c:pt idx="3">
                  <c:v>4</c:v>
                </c:pt>
                <c:pt idx="4">
                  <c:v>5</c:v>
                </c:pt>
                <c:pt idx="5">
                  <c:v>6</c:v>
                </c:pt>
                <c:pt idx="6">
                  <c:v>7</c:v>
                </c:pt>
                <c:pt idx="7">
                  <c:v>8</c:v>
                </c:pt>
                <c:pt idx="8">
                  <c:v>9</c:v>
                </c:pt>
                <c:pt idx="9">
                  <c:v>10</c:v>
                </c:pt>
                <c:pt idx="10">
                  <c:v>20</c:v>
                </c:pt>
                <c:pt idx="11">
                  <c:v>30</c:v>
                </c:pt>
                <c:pt idx="12">
                  <c:v>40</c:v>
                </c:pt>
              </c:numCache>
            </c:numRef>
          </c:xVal>
          <c:yVal>
            <c:numRef>
              <c:f>calc!$BY$16</c:f>
              <c:numCache>
                <c:formatCode>0</c:formatCode>
                <c:ptCount val="1"/>
                <c:pt idx="0">
                  <c:v>19.660924333721933</c:v>
                </c:pt>
              </c:numCache>
            </c:numRef>
          </c:yVal>
          <c:smooth val="0"/>
          <c:extLst>
            <c:ext xmlns:c16="http://schemas.microsoft.com/office/drawing/2014/chart" uri="{C3380CC4-5D6E-409C-BE32-E72D297353CC}">
              <c16:uniqueId val="{00000007-5E0F-4205-9217-3524E89F47DA}"/>
            </c:ext>
          </c:extLst>
        </c:ser>
        <c:ser>
          <c:idx val="4"/>
          <c:order val="5"/>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calc!$AY$8:$AY$21</c:f>
              <c:numCache>
                <c:formatCode>General</c:formatCode>
                <c:ptCount val="14"/>
                <c:pt idx="0">
                  <c:v>1.3</c:v>
                </c:pt>
                <c:pt idx="1">
                  <c:v>2</c:v>
                </c:pt>
                <c:pt idx="2">
                  <c:v>3</c:v>
                </c:pt>
                <c:pt idx="3">
                  <c:v>4</c:v>
                </c:pt>
                <c:pt idx="4">
                  <c:v>5</c:v>
                </c:pt>
                <c:pt idx="5">
                  <c:v>6</c:v>
                </c:pt>
                <c:pt idx="6">
                  <c:v>7</c:v>
                </c:pt>
                <c:pt idx="7">
                  <c:v>8</c:v>
                </c:pt>
                <c:pt idx="8">
                  <c:v>9</c:v>
                </c:pt>
                <c:pt idx="9">
                  <c:v>10</c:v>
                </c:pt>
                <c:pt idx="10">
                  <c:v>20</c:v>
                </c:pt>
                <c:pt idx="11">
                  <c:v>30</c:v>
                </c:pt>
                <c:pt idx="12">
                  <c:v>40</c:v>
                </c:pt>
              </c:numCache>
            </c:numRef>
          </c:xVal>
          <c:yVal>
            <c:numRef>
              <c:f>calc!$BY$17</c:f>
              <c:numCache>
                <c:formatCode>General</c:formatCode>
                <c:ptCount val="1"/>
                <c:pt idx="0">
                  <c:v>9.6370291160860209</c:v>
                </c:pt>
              </c:numCache>
            </c:numRef>
          </c:yVal>
          <c:smooth val="0"/>
          <c:extLst>
            <c:ext xmlns:c16="http://schemas.microsoft.com/office/drawing/2014/chart" uri="{C3380CC4-5D6E-409C-BE32-E72D297353CC}">
              <c16:uniqueId val="{00000008-5E0F-4205-9217-3524E89F47DA}"/>
            </c:ext>
          </c:extLst>
        </c:ser>
        <c:ser>
          <c:idx val="6"/>
          <c:order val="6"/>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calc!$AY$22</c:f>
              <c:numCache>
                <c:formatCode>General</c:formatCode>
                <c:ptCount val="1"/>
                <c:pt idx="0">
                  <c:v>19.660924333721933</c:v>
                </c:pt>
              </c:numCache>
            </c:numRef>
          </c:xVal>
          <c:yVal>
            <c:numRef>
              <c:f>calc!$AZ$22</c:f>
              <c:numCache>
                <c:formatCode>General</c:formatCode>
                <c:ptCount val="1"/>
                <c:pt idx="0">
                  <c:v>4.6477774730824013</c:v>
                </c:pt>
              </c:numCache>
            </c:numRef>
          </c:yVal>
          <c:smooth val="0"/>
          <c:extLst>
            <c:ext xmlns:c16="http://schemas.microsoft.com/office/drawing/2014/chart" uri="{C3380CC4-5D6E-409C-BE32-E72D297353CC}">
              <c16:uniqueId val="{00000000-88A5-42E5-8471-389F64416977}"/>
            </c:ext>
          </c:extLst>
        </c:ser>
        <c:dLbls>
          <c:showLegendKey val="0"/>
          <c:showVal val="0"/>
          <c:showCatName val="0"/>
          <c:showSerName val="0"/>
          <c:showPercent val="0"/>
          <c:showBubbleSize val="0"/>
        </c:dLbls>
        <c:axId val="284464463"/>
        <c:axId val="205000991"/>
      </c:scatterChart>
      <c:valAx>
        <c:axId val="284464463"/>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5000991"/>
        <c:crosses val="autoZero"/>
        <c:crossBetween val="midCat"/>
      </c:valAx>
      <c:valAx>
        <c:axId val="205000991"/>
        <c:scaling>
          <c:logBase val="10"/>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844644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manualLayout>
          <c:layoutTarget val="inner"/>
          <c:xMode val="edge"/>
          <c:yMode val="edge"/>
          <c:x val="4.7683339899790761E-2"/>
          <c:y val="9.0127224681201656E-2"/>
          <c:w val="0.91201587927294769"/>
          <c:h val="0.8535019075187753"/>
        </c:manualLayout>
      </c:layout>
      <c:scatterChart>
        <c:scatterStyle val="lineMarker"/>
        <c:varyColors val="0"/>
        <c:ser>
          <c:idx val="0"/>
          <c:order val="0"/>
          <c:spPr>
            <a:ln w="25400" cap="rnd">
              <a:solidFill>
                <a:schemeClr val="accent1"/>
              </a:solidFill>
              <a:round/>
            </a:ln>
            <a:effectLst/>
          </c:spPr>
          <c:marker>
            <c:symbol val="circle"/>
            <c:size val="5"/>
            <c:spPr>
              <a:solidFill>
                <a:schemeClr val="accent1"/>
              </a:solidFill>
              <a:ln w="9525">
                <a:solidFill>
                  <a:schemeClr val="accent1"/>
                </a:solidFill>
              </a:ln>
              <a:effectLst/>
            </c:spPr>
          </c:marker>
          <c:xVal>
            <c:numRef>
              <c:f>calc!$AY$8:$AY$21</c:f>
              <c:numCache>
                <c:formatCode>General</c:formatCode>
                <c:ptCount val="14"/>
                <c:pt idx="0">
                  <c:v>1.3</c:v>
                </c:pt>
                <c:pt idx="1">
                  <c:v>2</c:v>
                </c:pt>
                <c:pt idx="2">
                  <c:v>3</c:v>
                </c:pt>
                <c:pt idx="3">
                  <c:v>4</c:v>
                </c:pt>
                <c:pt idx="4">
                  <c:v>5</c:v>
                </c:pt>
                <c:pt idx="5">
                  <c:v>6</c:v>
                </c:pt>
                <c:pt idx="6">
                  <c:v>7</c:v>
                </c:pt>
                <c:pt idx="7">
                  <c:v>8</c:v>
                </c:pt>
                <c:pt idx="8">
                  <c:v>9</c:v>
                </c:pt>
                <c:pt idx="9">
                  <c:v>10</c:v>
                </c:pt>
                <c:pt idx="10">
                  <c:v>20</c:v>
                </c:pt>
                <c:pt idx="11">
                  <c:v>30</c:v>
                </c:pt>
                <c:pt idx="12">
                  <c:v>40</c:v>
                </c:pt>
              </c:numCache>
            </c:numRef>
          </c:xVal>
          <c:yVal>
            <c:numRef>
              <c:f>calc!$AZ$8:$AZ$21</c:f>
              <c:numCache>
                <c:formatCode>General</c:formatCode>
                <c:ptCount val="14"/>
                <c:pt idx="0">
                  <c:v>1.45</c:v>
                </c:pt>
                <c:pt idx="1">
                  <c:v>1.5</c:v>
                </c:pt>
                <c:pt idx="2">
                  <c:v>1.6</c:v>
                </c:pt>
                <c:pt idx="3">
                  <c:v>1.75</c:v>
                </c:pt>
                <c:pt idx="4">
                  <c:v>1.9</c:v>
                </c:pt>
                <c:pt idx="5">
                  <c:v>2.1</c:v>
                </c:pt>
                <c:pt idx="6">
                  <c:v>2.25</c:v>
                </c:pt>
                <c:pt idx="7">
                  <c:v>2.44</c:v>
                </c:pt>
                <c:pt idx="8">
                  <c:v>2.6</c:v>
                </c:pt>
                <c:pt idx="9">
                  <c:v>2.8</c:v>
                </c:pt>
                <c:pt idx="10">
                  <c:v>4.7</c:v>
                </c:pt>
                <c:pt idx="11">
                  <c:v>6.5</c:v>
                </c:pt>
                <c:pt idx="12">
                  <c:v>8.5</c:v>
                </c:pt>
              </c:numCache>
            </c:numRef>
          </c:yVal>
          <c:smooth val="0"/>
          <c:extLst>
            <c:ext xmlns:c16="http://schemas.microsoft.com/office/drawing/2014/chart" uri="{C3380CC4-5D6E-409C-BE32-E72D297353CC}">
              <c16:uniqueId val="{00000000-9707-4BC4-A296-2A974FA598FF}"/>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calc!$BS$3:$BS$300</c:f>
              <c:numCache>
                <c:formatCode>General</c:formatCode>
                <c:ptCount val="298"/>
                <c:pt idx="0">
                  <c:v>50</c:v>
                </c:pt>
                <c:pt idx="1">
                  <c:v>45</c:v>
                </c:pt>
                <c:pt idx="2">
                  <c:v>40</c:v>
                </c:pt>
                <c:pt idx="3">
                  <c:v>35</c:v>
                </c:pt>
                <c:pt idx="4">
                  <c:v>30</c:v>
                </c:pt>
                <c:pt idx="5">
                  <c:v>28</c:v>
                </c:pt>
                <c:pt idx="6">
                  <c:v>28.5</c:v>
                </c:pt>
                <c:pt idx="7">
                  <c:v>30</c:v>
                </c:pt>
                <c:pt idx="8">
                  <c:v>32</c:v>
                </c:pt>
                <c:pt idx="9">
                  <c:v>34</c:v>
                </c:pt>
                <c:pt idx="10">
                  <c:v>50</c:v>
                </c:pt>
                <c:pt idx="11">
                  <c:v>45</c:v>
                </c:pt>
                <c:pt idx="12">
                  <c:v>40</c:v>
                </c:pt>
                <c:pt idx="13">
                  <c:v>35</c:v>
                </c:pt>
                <c:pt idx="14">
                  <c:v>30</c:v>
                </c:pt>
                <c:pt idx="15">
                  <c:v>25</c:v>
                </c:pt>
                <c:pt idx="16">
                  <c:v>20</c:v>
                </c:pt>
                <c:pt idx="17">
                  <c:v>17</c:v>
                </c:pt>
                <c:pt idx="18">
                  <c:v>16.2</c:v>
                </c:pt>
                <c:pt idx="19">
                  <c:v>16.899999999999999</c:v>
                </c:pt>
                <c:pt idx="20">
                  <c:v>18</c:v>
                </c:pt>
                <c:pt idx="21">
                  <c:v>20</c:v>
                </c:pt>
                <c:pt idx="22">
                  <c:v>22</c:v>
                </c:pt>
                <c:pt idx="23">
                  <c:v>24</c:v>
                </c:pt>
                <c:pt idx="24">
                  <c:v>25</c:v>
                </c:pt>
                <c:pt idx="25">
                  <c:v>50</c:v>
                </c:pt>
                <c:pt idx="26">
                  <c:v>43</c:v>
                </c:pt>
                <c:pt idx="27">
                  <c:v>37</c:v>
                </c:pt>
                <c:pt idx="28">
                  <c:v>30</c:v>
                </c:pt>
                <c:pt idx="29">
                  <c:v>25</c:v>
                </c:pt>
                <c:pt idx="30">
                  <c:v>20</c:v>
                </c:pt>
                <c:pt idx="31">
                  <c:v>15</c:v>
                </c:pt>
                <c:pt idx="32">
                  <c:v>12</c:v>
                </c:pt>
                <c:pt idx="33">
                  <c:v>12.2</c:v>
                </c:pt>
                <c:pt idx="34">
                  <c:v>13</c:v>
                </c:pt>
                <c:pt idx="35">
                  <c:v>14</c:v>
                </c:pt>
                <c:pt idx="36">
                  <c:v>15</c:v>
                </c:pt>
                <c:pt idx="37">
                  <c:v>16.5</c:v>
                </c:pt>
                <c:pt idx="38">
                  <c:v>18</c:v>
                </c:pt>
                <c:pt idx="39">
                  <c:v>20</c:v>
                </c:pt>
                <c:pt idx="40">
                  <c:v>21.3</c:v>
                </c:pt>
                <c:pt idx="41">
                  <c:v>50</c:v>
                </c:pt>
                <c:pt idx="42">
                  <c:v>40</c:v>
                </c:pt>
                <c:pt idx="43">
                  <c:v>32</c:v>
                </c:pt>
                <c:pt idx="44">
                  <c:v>25</c:v>
                </c:pt>
                <c:pt idx="45">
                  <c:v>19</c:v>
                </c:pt>
                <c:pt idx="46">
                  <c:v>13.5</c:v>
                </c:pt>
                <c:pt idx="47">
                  <c:v>10</c:v>
                </c:pt>
                <c:pt idx="48">
                  <c:v>9.1999999999999993</c:v>
                </c:pt>
                <c:pt idx="49">
                  <c:v>9.5</c:v>
                </c:pt>
                <c:pt idx="50">
                  <c:v>10.5</c:v>
                </c:pt>
                <c:pt idx="51">
                  <c:v>11.3</c:v>
                </c:pt>
                <c:pt idx="52">
                  <c:v>12</c:v>
                </c:pt>
                <c:pt idx="53">
                  <c:v>13</c:v>
                </c:pt>
                <c:pt idx="54">
                  <c:v>14</c:v>
                </c:pt>
                <c:pt idx="55">
                  <c:v>15</c:v>
                </c:pt>
                <c:pt idx="56">
                  <c:v>16.2</c:v>
                </c:pt>
                <c:pt idx="57">
                  <c:v>17.5</c:v>
                </c:pt>
                <c:pt idx="58">
                  <c:v>18.5</c:v>
                </c:pt>
                <c:pt idx="59">
                  <c:v>50</c:v>
                </c:pt>
                <c:pt idx="60">
                  <c:v>40</c:v>
                </c:pt>
                <c:pt idx="61">
                  <c:v>32</c:v>
                </c:pt>
                <c:pt idx="62">
                  <c:v>25</c:v>
                </c:pt>
                <c:pt idx="63">
                  <c:v>19</c:v>
                </c:pt>
                <c:pt idx="64">
                  <c:v>14</c:v>
                </c:pt>
                <c:pt idx="65">
                  <c:v>10</c:v>
                </c:pt>
                <c:pt idx="66">
                  <c:v>8</c:v>
                </c:pt>
                <c:pt idx="67">
                  <c:v>7.1</c:v>
                </c:pt>
                <c:pt idx="68">
                  <c:v>7.5</c:v>
                </c:pt>
                <c:pt idx="69">
                  <c:v>8.1</c:v>
                </c:pt>
                <c:pt idx="70">
                  <c:v>9</c:v>
                </c:pt>
                <c:pt idx="71">
                  <c:v>9.6999999999999993</c:v>
                </c:pt>
                <c:pt idx="72">
                  <c:v>10.5</c:v>
                </c:pt>
                <c:pt idx="73">
                  <c:v>11.1</c:v>
                </c:pt>
                <c:pt idx="74">
                  <c:v>12</c:v>
                </c:pt>
                <c:pt idx="75">
                  <c:v>13</c:v>
                </c:pt>
                <c:pt idx="76">
                  <c:v>14</c:v>
                </c:pt>
                <c:pt idx="77">
                  <c:v>14.9</c:v>
                </c:pt>
                <c:pt idx="78">
                  <c:v>16</c:v>
                </c:pt>
                <c:pt idx="79">
                  <c:v>16.899999999999999</c:v>
                </c:pt>
                <c:pt idx="80">
                  <c:v>50</c:v>
                </c:pt>
                <c:pt idx="81">
                  <c:v>40</c:v>
                </c:pt>
                <c:pt idx="82">
                  <c:v>32</c:v>
                </c:pt>
                <c:pt idx="83">
                  <c:v>25</c:v>
                </c:pt>
                <c:pt idx="84">
                  <c:v>19</c:v>
                </c:pt>
                <c:pt idx="85">
                  <c:v>14</c:v>
                </c:pt>
                <c:pt idx="86">
                  <c:v>10</c:v>
                </c:pt>
                <c:pt idx="87">
                  <c:v>8</c:v>
                </c:pt>
                <c:pt idx="88">
                  <c:v>6</c:v>
                </c:pt>
                <c:pt idx="89">
                  <c:v>5.0999999999999996</c:v>
                </c:pt>
                <c:pt idx="90">
                  <c:v>5.5</c:v>
                </c:pt>
                <c:pt idx="91">
                  <c:v>6.2</c:v>
                </c:pt>
                <c:pt idx="92">
                  <c:v>7</c:v>
                </c:pt>
                <c:pt idx="93">
                  <c:v>7.5</c:v>
                </c:pt>
                <c:pt idx="94">
                  <c:v>8.1999999999999993</c:v>
                </c:pt>
                <c:pt idx="95">
                  <c:v>9</c:v>
                </c:pt>
                <c:pt idx="96">
                  <c:v>10</c:v>
                </c:pt>
                <c:pt idx="97">
                  <c:v>11</c:v>
                </c:pt>
                <c:pt idx="98">
                  <c:v>12</c:v>
                </c:pt>
                <c:pt idx="99">
                  <c:v>13</c:v>
                </c:pt>
                <c:pt idx="100">
                  <c:v>14</c:v>
                </c:pt>
                <c:pt idx="101">
                  <c:v>14.8</c:v>
                </c:pt>
                <c:pt idx="102">
                  <c:v>50</c:v>
                </c:pt>
                <c:pt idx="103">
                  <c:v>40</c:v>
                </c:pt>
                <c:pt idx="104">
                  <c:v>32</c:v>
                </c:pt>
                <c:pt idx="105">
                  <c:v>25</c:v>
                </c:pt>
                <c:pt idx="106">
                  <c:v>19</c:v>
                </c:pt>
                <c:pt idx="107">
                  <c:v>14</c:v>
                </c:pt>
                <c:pt idx="108">
                  <c:v>10</c:v>
                </c:pt>
                <c:pt idx="109">
                  <c:v>8</c:v>
                </c:pt>
                <c:pt idx="110">
                  <c:v>6</c:v>
                </c:pt>
                <c:pt idx="111">
                  <c:v>4.5</c:v>
                </c:pt>
                <c:pt idx="112">
                  <c:v>3.4</c:v>
                </c:pt>
                <c:pt idx="113">
                  <c:v>3.7</c:v>
                </c:pt>
                <c:pt idx="114">
                  <c:v>4.5</c:v>
                </c:pt>
                <c:pt idx="115">
                  <c:v>5.2</c:v>
                </c:pt>
                <c:pt idx="116">
                  <c:v>6</c:v>
                </c:pt>
                <c:pt idx="117">
                  <c:v>6.7</c:v>
                </c:pt>
                <c:pt idx="118">
                  <c:v>7.5</c:v>
                </c:pt>
                <c:pt idx="119">
                  <c:v>8.5</c:v>
                </c:pt>
                <c:pt idx="120">
                  <c:v>9.5</c:v>
                </c:pt>
                <c:pt idx="121">
                  <c:v>10.4</c:v>
                </c:pt>
                <c:pt idx="122">
                  <c:v>11.3</c:v>
                </c:pt>
                <c:pt idx="123">
                  <c:v>12.6</c:v>
                </c:pt>
                <c:pt idx="124">
                  <c:v>50</c:v>
                </c:pt>
                <c:pt idx="125">
                  <c:v>41</c:v>
                </c:pt>
                <c:pt idx="126">
                  <c:v>32</c:v>
                </c:pt>
                <c:pt idx="127">
                  <c:v>25</c:v>
                </c:pt>
                <c:pt idx="128">
                  <c:v>19</c:v>
                </c:pt>
                <c:pt idx="129">
                  <c:v>14</c:v>
                </c:pt>
                <c:pt idx="130">
                  <c:v>10</c:v>
                </c:pt>
                <c:pt idx="131">
                  <c:v>8</c:v>
                </c:pt>
                <c:pt idx="132">
                  <c:v>6</c:v>
                </c:pt>
                <c:pt idx="133">
                  <c:v>4.5</c:v>
                </c:pt>
                <c:pt idx="134">
                  <c:v>3.4</c:v>
                </c:pt>
                <c:pt idx="135">
                  <c:v>2.4</c:v>
                </c:pt>
                <c:pt idx="136">
                  <c:v>2.5</c:v>
                </c:pt>
                <c:pt idx="137">
                  <c:v>2.9</c:v>
                </c:pt>
                <c:pt idx="138">
                  <c:v>3.5</c:v>
                </c:pt>
                <c:pt idx="139">
                  <c:v>4.2</c:v>
                </c:pt>
                <c:pt idx="140">
                  <c:v>5</c:v>
                </c:pt>
                <c:pt idx="141">
                  <c:v>5.9</c:v>
                </c:pt>
                <c:pt idx="142">
                  <c:v>6.8</c:v>
                </c:pt>
                <c:pt idx="143">
                  <c:v>7.7</c:v>
                </c:pt>
                <c:pt idx="144">
                  <c:v>8.6</c:v>
                </c:pt>
                <c:pt idx="145">
                  <c:v>9.8000000000000007</c:v>
                </c:pt>
                <c:pt idx="146">
                  <c:v>11</c:v>
                </c:pt>
                <c:pt idx="147">
                  <c:v>50</c:v>
                </c:pt>
                <c:pt idx="148">
                  <c:v>41</c:v>
                </c:pt>
                <c:pt idx="149">
                  <c:v>32</c:v>
                </c:pt>
                <c:pt idx="150">
                  <c:v>25</c:v>
                </c:pt>
                <c:pt idx="151">
                  <c:v>19</c:v>
                </c:pt>
                <c:pt idx="152">
                  <c:v>14</c:v>
                </c:pt>
                <c:pt idx="153">
                  <c:v>10</c:v>
                </c:pt>
                <c:pt idx="154">
                  <c:v>8</c:v>
                </c:pt>
                <c:pt idx="155">
                  <c:v>6</c:v>
                </c:pt>
                <c:pt idx="156">
                  <c:v>4.5</c:v>
                </c:pt>
                <c:pt idx="157">
                  <c:v>3.4</c:v>
                </c:pt>
                <c:pt idx="158">
                  <c:v>2.4</c:v>
                </c:pt>
                <c:pt idx="159">
                  <c:v>2</c:v>
                </c:pt>
                <c:pt idx="160">
                  <c:v>1.7</c:v>
                </c:pt>
                <c:pt idx="161">
                  <c:v>1.9</c:v>
                </c:pt>
                <c:pt idx="162">
                  <c:v>2.2999999999999998</c:v>
                </c:pt>
                <c:pt idx="163">
                  <c:v>2.7</c:v>
                </c:pt>
                <c:pt idx="164">
                  <c:v>3.4</c:v>
                </c:pt>
                <c:pt idx="165">
                  <c:v>4</c:v>
                </c:pt>
                <c:pt idx="166">
                  <c:v>4.8</c:v>
                </c:pt>
                <c:pt idx="167">
                  <c:v>5.6</c:v>
                </c:pt>
                <c:pt idx="168">
                  <c:v>6.5</c:v>
                </c:pt>
                <c:pt idx="169">
                  <c:v>7.5</c:v>
                </c:pt>
                <c:pt idx="170">
                  <c:v>8.5</c:v>
                </c:pt>
                <c:pt idx="171">
                  <c:v>9.5</c:v>
                </c:pt>
                <c:pt idx="172">
                  <c:v>50</c:v>
                </c:pt>
                <c:pt idx="173">
                  <c:v>41</c:v>
                </c:pt>
                <c:pt idx="174">
                  <c:v>32</c:v>
                </c:pt>
                <c:pt idx="175">
                  <c:v>25</c:v>
                </c:pt>
                <c:pt idx="176">
                  <c:v>19</c:v>
                </c:pt>
                <c:pt idx="177">
                  <c:v>14</c:v>
                </c:pt>
                <c:pt idx="178">
                  <c:v>10</c:v>
                </c:pt>
                <c:pt idx="179">
                  <c:v>8</c:v>
                </c:pt>
                <c:pt idx="180">
                  <c:v>6</c:v>
                </c:pt>
                <c:pt idx="181">
                  <c:v>4.5</c:v>
                </c:pt>
                <c:pt idx="182">
                  <c:v>3.4</c:v>
                </c:pt>
                <c:pt idx="183">
                  <c:v>2.4</c:v>
                </c:pt>
                <c:pt idx="184">
                  <c:v>2</c:v>
                </c:pt>
                <c:pt idx="185">
                  <c:v>1.5</c:v>
                </c:pt>
                <c:pt idx="186">
                  <c:v>1.25</c:v>
                </c:pt>
                <c:pt idx="187">
                  <c:v>1.4</c:v>
                </c:pt>
                <c:pt idx="188">
                  <c:v>1.8</c:v>
                </c:pt>
                <c:pt idx="189">
                  <c:v>2.2999999999999998</c:v>
                </c:pt>
                <c:pt idx="190">
                  <c:v>2.8</c:v>
                </c:pt>
                <c:pt idx="191">
                  <c:v>3.45</c:v>
                </c:pt>
                <c:pt idx="192">
                  <c:v>4.2</c:v>
                </c:pt>
                <c:pt idx="193">
                  <c:v>4.8</c:v>
                </c:pt>
                <c:pt idx="194">
                  <c:v>5.5</c:v>
                </c:pt>
                <c:pt idx="195">
                  <c:v>6.5</c:v>
                </c:pt>
                <c:pt idx="196">
                  <c:v>7.4</c:v>
                </c:pt>
                <c:pt idx="197">
                  <c:v>8.1</c:v>
                </c:pt>
              </c:numCache>
            </c:numRef>
          </c:xVal>
          <c:yVal>
            <c:numRef>
              <c:f>calc!$BT$3:$BT$300</c:f>
              <c:numCache>
                <c:formatCode>General</c:formatCode>
                <c:ptCount val="298"/>
                <c:pt idx="0">
                  <c:v>6.1</c:v>
                </c:pt>
                <c:pt idx="1">
                  <c:v>5.8</c:v>
                </c:pt>
                <c:pt idx="2">
                  <c:v>5.55</c:v>
                </c:pt>
                <c:pt idx="3">
                  <c:v>5.4</c:v>
                </c:pt>
                <c:pt idx="4">
                  <c:v>5.45</c:v>
                </c:pt>
                <c:pt idx="5">
                  <c:v>6</c:v>
                </c:pt>
                <c:pt idx="6">
                  <c:v>7</c:v>
                </c:pt>
                <c:pt idx="7">
                  <c:v>7.8</c:v>
                </c:pt>
                <c:pt idx="8">
                  <c:v>8.9</c:v>
                </c:pt>
                <c:pt idx="9">
                  <c:v>10</c:v>
                </c:pt>
                <c:pt idx="10">
                  <c:v>4.25</c:v>
                </c:pt>
                <c:pt idx="11">
                  <c:v>4.0999999999999996</c:v>
                </c:pt>
                <c:pt idx="12">
                  <c:v>3.9</c:v>
                </c:pt>
                <c:pt idx="13">
                  <c:v>3.7</c:v>
                </c:pt>
                <c:pt idx="14">
                  <c:v>3.55</c:v>
                </c:pt>
                <c:pt idx="15">
                  <c:v>3.5</c:v>
                </c:pt>
                <c:pt idx="16">
                  <c:v>3.5</c:v>
                </c:pt>
                <c:pt idx="17">
                  <c:v>3.8</c:v>
                </c:pt>
                <c:pt idx="18">
                  <c:v>4.4000000000000004</c:v>
                </c:pt>
                <c:pt idx="19">
                  <c:v>5.2</c:v>
                </c:pt>
                <c:pt idx="20">
                  <c:v>5.9</c:v>
                </c:pt>
                <c:pt idx="21">
                  <c:v>7</c:v>
                </c:pt>
                <c:pt idx="22">
                  <c:v>8.1</c:v>
                </c:pt>
                <c:pt idx="23">
                  <c:v>9.1999999999999993</c:v>
                </c:pt>
                <c:pt idx="24">
                  <c:v>10</c:v>
                </c:pt>
                <c:pt idx="25">
                  <c:v>3.3</c:v>
                </c:pt>
                <c:pt idx="26">
                  <c:v>3.15</c:v>
                </c:pt>
                <c:pt idx="27">
                  <c:v>3</c:v>
                </c:pt>
                <c:pt idx="28">
                  <c:v>2.85</c:v>
                </c:pt>
                <c:pt idx="29">
                  <c:v>2.77</c:v>
                </c:pt>
                <c:pt idx="30">
                  <c:v>2.71</c:v>
                </c:pt>
                <c:pt idx="31">
                  <c:v>2.7</c:v>
                </c:pt>
                <c:pt idx="32">
                  <c:v>2.9</c:v>
                </c:pt>
                <c:pt idx="33">
                  <c:v>3.6</c:v>
                </c:pt>
                <c:pt idx="34">
                  <c:v>4.2</c:v>
                </c:pt>
                <c:pt idx="35">
                  <c:v>4.8</c:v>
                </c:pt>
                <c:pt idx="36">
                  <c:v>5.5</c:v>
                </c:pt>
                <c:pt idx="37">
                  <c:v>6.5</c:v>
                </c:pt>
                <c:pt idx="38">
                  <c:v>7.5</c:v>
                </c:pt>
                <c:pt idx="39">
                  <c:v>9</c:v>
                </c:pt>
                <c:pt idx="40">
                  <c:v>10</c:v>
                </c:pt>
                <c:pt idx="41">
                  <c:v>2.7</c:v>
                </c:pt>
                <c:pt idx="42">
                  <c:v>2.56</c:v>
                </c:pt>
                <c:pt idx="43">
                  <c:v>2.4300000000000002</c:v>
                </c:pt>
                <c:pt idx="44">
                  <c:v>2.35</c:v>
                </c:pt>
                <c:pt idx="45">
                  <c:v>2.2999999999999998</c:v>
                </c:pt>
                <c:pt idx="46">
                  <c:v>2.2999999999999998</c:v>
                </c:pt>
                <c:pt idx="47">
                  <c:v>2.35</c:v>
                </c:pt>
                <c:pt idx="48">
                  <c:v>2.6</c:v>
                </c:pt>
                <c:pt idx="49">
                  <c:v>2.95</c:v>
                </c:pt>
                <c:pt idx="50">
                  <c:v>3.5</c:v>
                </c:pt>
                <c:pt idx="51">
                  <c:v>4</c:v>
                </c:pt>
                <c:pt idx="52">
                  <c:v>4.5999999999999996</c:v>
                </c:pt>
                <c:pt idx="53">
                  <c:v>5.3</c:v>
                </c:pt>
                <c:pt idx="54">
                  <c:v>6</c:v>
                </c:pt>
                <c:pt idx="55">
                  <c:v>6.9</c:v>
                </c:pt>
                <c:pt idx="56">
                  <c:v>7.9</c:v>
                </c:pt>
                <c:pt idx="57">
                  <c:v>9</c:v>
                </c:pt>
                <c:pt idx="58">
                  <c:v>10</c:v>
                </c:pt>
                <c:pt idx="59">
                  <c:v>2.35</c:v>
                </c:pt>
                <c:pt idx="60">
                  <c:v>2.27</c:v>
                </c:pt>
                <c:pt idx="61">
                  <c:v>2.19</c:v>
                </c:pt>
                <c:pt idx="62">
                  <c:v>2.13</c:v>
                </c:pt>
                <c:pt idx="63">
                  <c:v>2.0699999999999998</c:v>
                </c:pt>
                <c:pt idx="64">
                  <c:v>2.0099999999999998</c:v>
                </c:pt>
                <c:pt idx="65">
                  <c:v>2</c:v>
                </c:pt>
                <c:pt idx="66">
                  <c:v>2.0099999999999998</c:v>
                </c:pt>
                <c:pt idx="67">
                  <c:v>2.2000000000000002</c:v>
                </c:pt>
                <c:pt idx="68">
                  <c:v>2.6</c:v>
                </c:pt>
                <c:pt idx="69">
                  <c:v>3</c:v>
                </c:pt>
                <c:pt idx="70">
                  <c:v>3.55</c:v>
                </c:pt>
                <c:pt idx="71">
                  <c:v>4</c:v>
                </c:pt>
                <c:pt idx="72">
                  <c:v>4.5</c:v>
                </c:pt>
                <c:pt idx="73">
                  <c:v>5</c:v>
                </c:pt>
                <c:pt idx="74">
                  <c:v>5.7</c:v>
                </c:pt>
                <c:pt idx="75">
                  <c:v>6.5</c:v>
                </c:pt>
                <c:pt idx="76">
                  <c:v>7.2</c:v>
                </c:pt>
                <c:pt idx="77">
                  <c:v>8</c:v>
                </c:pt>
                <c:pt idx="78">
                  <c:v>9</c:v>
                </c:pt>
                <c:pt idx="79">
                  <c:v>10</c:v>
                </c:pt>
                <c:pt idx="80">
                  <c:v>2.14</c:v>
                </c:pt>
                <c:pt idx="81">
                  <c:v>2.0699999999999998</c:v>
                </c:pt>
                <c:pt idx="82">
                  <c:v>1.97</c:v>
                </c:pt>
                <c:pt idx="83">
                  <c:v>1.92</c:v>
                </c:pt>
                <c:pt idx="84">
                  <c:v>1.87</c:v>
                </c:pt>
                <c:pt idx="85">
                  <c:v>1.82</c:v>
                </c:pt>
                <c:pt idx="86">
                  <c:v>1.77</c:v>
                </c:pt>
                <c:pt idx="87">
                  <c:v>1.76</c:v>
                </c:pt>
                <c:pt idx="88">
                  <c:v>1.76</c:v>
                </c:pt>
                <c:pt idx="89">
                  <c:v>1.9</c:v>
                </c:pt>
                <c:pt idx="90">
                  <c:v>2.2999999999999998</c:v>
                </c:pt>
                <c:pt idx="91">
                  <c:v>2.7</c:v>
                </c:pt>
                <c:pt idx="92">
                  <c:v>3.2</c:v>
                </c:pt>
                <c:pt idx="93">
                  <c:v>3.6</c:v>
                </c:pt>
                <c:pt idx="94">
                  <c:v>4.0999999999999996</c:v>
                </c:pt>
                <c:pt idx="95">
                  <c:v>4.7</c:v>
                </c:pt>
                <c:pt idx="96">
                  <c:v>5.5</c:v>
                </c:pt>
                <c:pt idx="97">
                  <c:v>6.4</c:v>
                </c:pt>
                <c:pt idx="98">
                  <c:v>7.4</c:v>
                </c:pt>
                <c:pt idx="99">
                  <c:v>8.3000000000000007</c:v>
                </c:pt>
                <c:pt idx="100">
                  <c:v>9.1</c:v>
                </c:pt>
                <c:pt idx="101">
                  <c:v>10</c:v>
                </c:pt>
                <c:pt idx="102">
                  <c:v>2.0499999999999998</c:v>
                </c:pt>
                <c:pt idx="103">
                  <c:v>1.95</c:v>
                </c:pt>
                <c:pt idx="104">
                  <c:v>1.87</c:v>
                </c:pt>
                <c:pt idx="105">
                  <c:v>1.8</c:v>
                </c:pt>
                <c:pt idx="106">
                  <c:v>1.72</c:v>
                </c:pt>
                <c:pt idx="107">
                  <c:v>1.67</c:v>
                </c:pt>
                <c:pt idx="108">
                  <c:v>1.62</c:v>
                </c:pt>
                <c:pt idx="109">
                  <c:v>1.6</c:v>
                </c:pt>
                <c:pt idx="110">
                  <c:v>1.58</c:v>
                </c:pt>
                <c:pt idx="111">
                  <c:v>1.57</c:v>
                </c:pt>
                <c:pt idx="112">
                  <c:v>1.63</c:v>
                </c:pt>
                <c:pt idx="113">
                  <c:v>2</c:v>
                </c:pt>
                <c:pt idx="114">
                  <c:v>2.4</c:v>
                </c:pt>
                <c:pt idx="115">
                  <c:v>2.9</c:v>
                </c:pt>
                <c:pt idx="116">
                  <c:v>3.5</c:v>
                </c:pt>
                <c:pt idx="117">
                  <c:v>4.0999999999999996</c:v>
                </c:pt>
                <c:pt idx="118">
                  <c:v>4.8</c:v>
                </c:pt>
                <c:pt idx="119">
                  <c:v>5.7</c:v>
                </c:pt>
                <c:pt idx="120">
                  <c:v>6.6</c:v>
                </c:pt>
                <c:pt idx="121">
                  <c:v>7.5</c:v>
                </c:pt>
                <c:pt idx="122">
                  <c:v>8.6</c:v>
                </c:pt>
                <c:pt idx="123">
                  <c:v>10</c:v>
                </c:pt>
                <c:pt idx="124">
                  <c:v>1.87</c:v>
                </c:pt>
                <c:pt idx="125">
                  <c:v>1.83</c:v>
                </c:pt>
                <c:pt idx="126">
                  <c:v>1.77</c:v>
                </c:pt>
                <c:pt idx="127">
                  <c:v>1.71</c:v>
                </c:pt>
                <c:pt idx="128">
                  <c:v>1.64</c:v>
                </c:pt>
                <c:pt idx="129">
                  <c:v>1.59</c:v>
                </c:pt>
                <c:pt idx="130">
                  <c:v>1.55</c:v>
                </c:pt>
                <c:pt idx="131">
                  <c:v>1.51</c:v>
                </c:pt>
                <c:pt idx="132">
                  <c:v>1.47</c:v>
                </c:pt>
                <c:pt idx="133">
                  <c:v>1.44</c:v>
                </c:pt>
                <c:pt idx="134">
                  <c:v>1.4</c:v>
                </c:pt>
                <c:pt idx="135">
                  <c:v>1.42</c:v>
                </c:pt>
                <c:pt idx="136">
                  <c:v>1.7</c:v>
                </c:pt>
                <c:pt idx="137">
                  <c:v>2</c:v>
                </c:pt>
                <c:pt idx="138">
                  <c:v>2.4</c:v>
                </c:pt>
                <c:pt idx="139">
                  <c:v>3</c:v>
                </c:pt>
                <c:pt idx="140">
                  <c:v>3.7</c:v>
                </c:pt>
                <c:pt idx="141">
                  <c:v>4.5</c:v>
                </c:pt>
                <c:pt idx="142">
                  <c:v>5.3</c:v>
                </c:pt>
                <c:pt idx="143">
                  <c:v>6.2</c:v>
                </c:pt>
                <c:pt idx="144">
                  <c:v>7.2</c:v>
                </c:pt>
                <c:pt idx="145">
                  <c:v>8.5</c:v>
                </c:pt>
                <c:pt idx="146">
                  <c:v>10</c:v>
                </c:pt>
                <c:pt idx="147">
                  <c:v>1.8</c:v>
                </c:pt>
                <c:pt idx="148">
                  <c:v>1.75</c:v>
                </c:pt>
                <c:pt idx="149">
                  <c:v>1.69</c:v>
                </c:pt>
                <c:pt idx="150">
                  <c:v>1.62</c:v>
                </c:pt>
                <c:pt idx="151">
                  <c:v>1.56</c:v>
                </c:pt>
                <c:pt idx="152">
                  <c:v>1.51</c:v>
                </c:pt>
                <c:pt idx="153">
                  <c:v>1.46</c:v>
                </c:pt>
                <c:pt idx="154">
                  <c:v>1.43</c:v>
                </c:pt>
                <c:pt idx="155">
                  <c:v>1.39</c:v>
                </c:pt>
                <c:pt idx="156">
                  <c:v>1.36</c:v>
                </c:pt>
                <c:pt idx="157">
                  <c:v>1.33</c:v>
                </c:pt>
                <c:pt idx="158">
                  <c:v>1.31</c:v>
                </c:pt>
                <c:pt idx="159">
                  <c:v>1.3</c:v>
                </c:pt>
                <c:pt idx="160">
                  <c:v>1.4</c:v>
                </c:pt>
                <c:pt idx="161">
                  <c:v>1.75</c:v>
                </c:pt>
                <c:pt idx="162">
                  <c:v>2.0499999999999998</c:v>
                </c:pt>
                <c:pt idx="163">
                  <c:v>2.4</c:v>
                </c:pt>
                <c:pt idx="164">
                  <c:v>3</c:v>
                </c:pt>
                <c:pt idx="165">
                  <c:v>3.6</c:v>
                </c:pt>
                <c:pt idx="166">
                  <c:v>4.4000000000000004</c:v>
                </c:pt>
                <c:pt idx="167">
                  <c:v>5.3</c:v>
                </c:pt>
                <c:pt idx="168">
                  <c:v>6.3</c:v>
                </c:pt>
                <c:pt idx="169">
                  <c:v>7.5</c:v>
                </c:pt>
                <c:pt idx="170">
                  <c:v>8.8000000000000007</c:v>
                </c:pt>
                <c:pt idx="171">
                  <c:v>10</c:v>
                </c:pt>
                <c:pt idx="172">
                  <c:v>1.7</c:v>
                </c:pt>
                <c:pt idx="173">
                  <c:v>1.66</c:v>
                </c:pt>
                <c:pt idx="174">
                  <c:v>1.6</c:v>
                </c:pt>
                <c:pt idx="175">
                  <c:v>1.55</c:v>
                </c:pt>
                <c:pt idx="176">
                  <c:v>1.5</c:v>
                </c:pt>
                <c:pt idx="177">
                  <c:v>1.45</c:v>
                </c:pt>
                <c:pt idx="178">
                  <c:v>1.4</c:v>
                </c:pt>
                <c:pt idx="179">
                  <c:v>1.37</c:v>
                </c:pt>
                <c:pt idx="180">
                  <c:v>1.33</c:v>
                </c:pt>
                <c:pt idx="181">
                  <c:v>1.3</c:v>
                </c:pt>
                <c:pt idx="182">
                  <c:v>1.28</c:v>
                </c:pt>
                <c:pt idx="183">
                  <c:v>1.26</c:v>
                </c:pt>
                <c:pt idx="184">
                  <c:v>1.24</c:v>
                </c:pt>
                <c:pt idx="185">
                  <c:v>1.25</c:v>
                </c:pt>
                <c:pt idx="186">
                  <c:v>1.4</c:v>
                </c:pt>
                <c:pt idx="187">
                  <c:v>1.7</c:v>
                </c:pt>
                <c:pt idx="188">
                  <c:v>2.0699999999999998</c:v>
                </c:pt>
                <c:pt idx="189">
                  <c:v>2.5499999999999998</c:v>
                </c:pt>
                <c:pt idx="190">
                  <c:v>3.05</c:v>
                </c:pt>
                <c:pt idx="191">
                  <c:v>3.7</c:v>
                </c:pt>
                <c:pt idx="192">
                  <c:v>4.5999999999999996</c:v>
                </c:pt>
                <c:pt idx="193">
                  <c:v>5.3</c:v>
                </c:pt>
                <c:pt idx="194">
                  <c:v>6.2</c:v>
                </c:pt>
                <c:pt idx="195">
                  <c:v>7.5</c:v>
                </c:pt>
                <c:pt idx="196">
                  <c:v>8.8000000000000007</c:v>
                </c:pt>
                <c:pt idx="197">
                  <c:v>10</c:v>
                </c:pt>
              </c:numCache>
            </c:numRef>
          </c:yVal>
          <c:smooth val="0"/>
          <c:extLst>
            <c:ext xmlns:c16="http://schemas.microsoft.com/office/drawing/2014/chart" uri="{C3380CC4-5D6E-409C-BE32-E72D297353CC}">
              <c16:uniqueId val="{00000001-9707-4BC4-A296-2A974FA598FF}"/>
            </c:ext>
          </c:extLst>
        </c:ser>
        <c:ser>
          <c:idx val="5"/>
          <c:order val="2"/>
          <c:spPr>
            <a:ln w="25400" cap="rnd">
              <a:noFill/>
              <a:round/>
            </a:ln>
            <a:effectLst/>
          </c:spPr>
          <c:marker>
            <c:symbol val="circle"/>
            <c:size val="5"/>
            <c:spPr>
              <a:solidFill>
                <a:schemeClr val="accent6"/>
              </a:solidFill>
              <a:ln w="9525">
                <a:solidFill>
                  <a:schemeClr val="accent6"/>
                </a:solidFill>
              </a:ln>
              <a:effectLst/>
            </c:spPr>
          </c:marker>
          <c:xVal>
            <c:numRef>
              <c:f>calc!$BF$25:$BF$30</c:f>
              <c:numCache>
                <c:formatCode>General</c:formatCode>
                <c:ptCount val="6"/>
                <c:pt idx="4">
                  <c:v>10</c:v>
                </c:pt>
                <c:pt idx="5">
                  <c:v>8.1999999999999993</c:v>
                </c:pt>
              </c:numCache>
            </c:numRef>
          </c:xVal>
          <c:yVal>
            <c:numRef>
              <c:f>calc!$BG$25:$BG$30</c:f>
              <c:numCache>
                <c:formatCode>General</c:formatCode>
                <c:ptCount val="6"/>
              </c:numCache>
            </c:numRef>
          </c:yVal>
          <c:smooth val="0"/>
          <c:extLst>
            <c:ext xmlns:c16="http://schemas.microsoft.com/office/drawing/2014/chart" uri="{C3380CC4-5D6E-409C-BE32-E72D297353CC}">
              <c16:uniqueId val="{00000002-9707-4BC4-A296-2A974FA598FF}"/>
            </c:ext>
          </c:extLst>
        </c:ser>
        <c:ser>
          <c:idx val="2"/>
          <c:order val="3"/>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calc!$BY$16</c:f>
              <c:numCache>
                <c:formatCode>0</c:formatCode>
                <c:ptCount val="1"/>
                <c:pt idx="0">
                  <c:v>19.660924333721933</c:v>
                </c:pt>
              </c:numCache>
            </c:numRef>
          </c:xVal>
          <c:yVal>
            <c:numRef>
              <c:f>calc!$BY$17</c:f>
              <c:numCache>
                <c:formatCode>General</c:formatCode>
                <c:ptCount val="1"/>
                <c:pt idx="0">
                  <c:v>9.6370291160860209</c:v>
                </c:pt>
              </c:numCache>
            </c:numRef>
          </c:yVal>
          <c:smooth val="0"/>
          <c:extLst>
            <c:ext xmlns:c16="http://schemas.microsoft.com/office/drawing/2014/chart" uri="{C3380CC4-5D6E-409C-BE32-E72D297353CC}">
              <c16:uniqueId val="{00000003-9707-4BC4-A296-2A974FA598FF}"/>
            </c:ext>
          </c:extLst>
        </c:ser>
        <c:ser>
          <c:idx val="3"/>
          <c:order val="4"/>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calc!$AY$8:$AY$21</c:f>
              <c:numCache>
                <c:formatCode>General</c:formatCode>
                <c:ptCount val="14"/>
                <c:pt idx="0">
                  <c:v>1.3</c:v>
                </c:pt>
                <c:pt idx="1">
                  <c:v>2</c:v>
                </c:pt>
                <c:pt idx="2">
                  <c:v>3</c:v>
                </c:pt>
                <c:pt idx="3">
                  <c:v>4</c:v>
                </c:pt>
                <c:pt idx="4">
                  <c:v>5</c:v>
                </c:pt>
                <c:pt idx="5">
                  <c:v>6</c:v>
                </c:pt>
                <c:pt idx="6">
                  <c:v>7</c:v>
                </c:pt>
                <c:pt idx="7">
                  <c:v>8</c:v>
                </c:pt>
                <c:pt idx="8">
                  <c:v>9</c:v>
                </c:pt>
                <c:pt idx="9">
                  <c:v>10</c:v>
                </c:pt>
                <c:pt idx="10">
                  <c:v>20</c:v>
                </c:pt>
                <c:pt idx="11">
                  <c:v>30</c:v>
                </c:pt>
                <c:pt idx="12">
                  <c:v>40</c:v>
                </c:pt>
              </c:numCache>
            </c:numRef>
          </c:xVal>
          <c:yVal>
            <c:numRef>
              <c:f>calc!$BY$16</c:f>
              <c:numCache>
                <c:formatCode>0</c:formatCode>
                <c:ptCount val="1"/>
                <c:pt idx="0">
                  <c:v>19.660924333721933</c:v>
                </c:pt>
              </c:numCache>
            </c:numRef>
          </c:yVal>
          <c:smooth val="0"/>
          <c:extLst>
            <c:ext xmlns:c16="http://schemas.microsoft.com/office/drawing/2014/chart" uri="{C3380CC4-5D6E-409C-BE32-E72D297353CC}">
              <c16:uniqueId val="{00000004-9707-4BC4-A296-2A974FA598FF}"/>
            </c:ext>
          </c:extLst>
        </c:ser>
        <c:ser>
          <c:idx val="4"/>
          <c:order val="5"/>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calc!$AY$8:$AY$21</c:f>
              <c:numCache>
                <c:formatCode>General</c:formatCode>
                <c:ptCount val="14"/>
                <c:pt idx="0">
                  <c:v>1.3</c:v>
                </c:pt>
                <c:pt idx="1">
                  <c:v>2</c:v>
                </c:pt>
                <c:pt idx="2">
                  <c:v>3</c:v>
                </c:pt>
                <c:pt idx="3">
                  <c:v>4</c:v>
                </c:pt>
                <c:pt idx="4">
                  <c:v>5</c:v>
                </c:pt>
                <c:pt idx="5">
                  <c:v>6</c:v>
                </c:pt>
                <c:pt idx="6">
                  <c:v>7</c:v>
                </c:pt>
                <c:pt idx="7">
                  <c:v>8</c:v>
                </c:pt>
                <c:pt idx="8">
                  <c:v>9</c:v>
                </c:pt>
                <c:pt idx="9">
                  <c:v>10</c:v>
                </c:pt>
                <c:pt idx="10">
                  <c:v>20</c:v>
                </c:pt>
                <c:pt idx="11">
                  <c:v>30</c:v>
                </c:pt>
                <c:pt idx="12">
                  <c:v>40</c:v>
                </c:pt>
              </c:numCache>
            </c:numRef>
          </c:xVal>
          <c:yVal>
            <c:numRef>
              <c:f>calc!$BY$17</c:f>
              <c:numCache>
                <c:formatCode>General</c:formatCode>
                <c:ptCount val="1"/>
                <c:pt idx="0">
                  <c:v>9.6370291160860209</c:v>
                </c:pt>
              </c:numCache>
            </c:numRef>
          </c:yVal>
          <c:smooth val="0"/>
          <c:extLst>
            <c:ext xmlns:c16="http://schemas.microsoft.com/office/drawing/2014/chart" uri="{C3380CC4-5D6E-409C-BE32-E72D297353CC}">
              <c16:uniqueId val="{00000005-9707-4BC4-A296-2A974FA598FF}"/>
            </c:ext>
          </c:extLst>
        </c:ser>
        <c:dLbls>
          <c:showLegendKey val="0"/>
          <c:showVal val="0"/>
          <c:showCatName val="0"/>
          <c:showSerName val="0"/>
          <c:showPercent val="0"/>
          <c:showBubbleSize val="0"/>
        </c:dLbls>
        <c:axId val="284464463"/>
        <c:axId val="205000991"/>
      </c:scatterChart>
      <c:valAx>
        <c:axId val="284464463"/>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5000991"/>
        <c:crosses val="autoZero"/>
        <c:crossBetween val="midCat"/>
      </c:valAx>
      <c:valAx>
        <c:axId val="205000991"/>
        <c:scaling>
          <c:logBase val="10"/>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844644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emf"/><Relationship Id="rId7"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7</xdr:col>
      <xdr:colOff>209550</xdr:colOff>
      <xdr:row>1</xdr:row>
      <xdr:rowOff>114300</xdr:rowOff>
    </xdr:from>
    <xdr:to>
      <xdr:col>19</xdr:col>
      <xdr:colOff>95250</xdr:colOff>
      <xdr:row>4</xdr:row>
      <xdr:rowOff>145782</xdr:rowOff>
    </xdr:to>
    <xdr:pic>
      <xdr:nvPicPr>
        <xdr:cNvPr id="2" name="Picture 2" descr="trillium 2">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43075" y="304800"/>
          <a:ext cx="2514600" cy="602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189698</xdr:colOff>
      <xdr:row>0</xdr:row>
      <xdr:rowOff>42423</xdr:rowOff>
    </xdr:from>
    <xdr:to>
      <xdr:col>4</xdr:col>
      <xdr:colOff>294189</xdr:colOff>
      <xdr:row>2</xdr:row>
      <xdr:rowOff>210417</xdr:rowOff>
    </xdr:to>
    <xdr:pic>
      <xdr:nvPicPr>
        <xdr:cNvPr id="4" name="Immagin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9698" y="42423"/>
          <a:ext cx="2316175" cy="6578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652095</xdr:colOff>
      <xdr:row>22</xdr:row>
      <xdr:rowOff>7327</xdr:rowOff>
    </xdr:from>
    <xdr:to>
      <xdr:col>10</xdr:col>
      <xdr:colOff>373672</xdr:colOff>
      <xdr:row>31</xdr:row>
      <xdr:rowOff>256442</xdr:rowOff>
    </xdr:to>
    <xdr:graphicFrame macro="">
      <xdr:nvGraphicFramePr>
        <xdr:cNvPr id="3" name="Grafico 2">
          <a:extLst>
            <a:ext uri="{FF2B5EF4-FFF2-40B4-BE49-F238E27FC236}">
              <a16:creationId xmlns:a16="http://schemas.microsoft.com/office/drawing/2014/main" id="{B09865A7-8E59-4CBF-97E2-35BA7A9239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21980</xdr:colOff>
      <xdr:row>22</xdr:row>
      <xdr:rowOff>0</xdr:rowOff>
    </xdr:from>
    <xdr:to>
      <xdr:col>5</xdr:col>
      <xdr:colOff>139211</xdr:colOff>
      <xdr:row>31</xdr:row>
      <xdr:rowOff>256441</xdr:rowOff>
    </xdr:to>
    <xdr:graphicFrame macro="">
      <xdr:nvGraphicFramePr>
        <xdr:cNvPr id="5" name="Grafico 4">
          <a:extLst>
            <a:ext uri="{FF2B5EF4-FFF2-40B4-BE49-F238E27FC236}">
              <a16:creationId xmlns:a16="http://schemas.microsoft.com/office/drawing/2014/main" id="{DF4D36DE-96AA-44F9-A8F8-E7E89E29F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189698</xdr:colOff>
      <xdr:row>0</xdr:row>
      <xdr:rowOff>42423</xdr:rowOff>
    </xdr:from>
    <xdr:to>
      <xdr:col>4</xdr:col>
      <xdr:colOff>344811</xdr:colOff>
      <xdr:row>2</xdr:row>
      <xdr:rowOff>210417</xdr:rowOff>
    </xdr:to>
    <xdr:pic>
      <xdr:nvPicPr>
        <xdr:cNvPr id="2" name="Immagin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9698" y="42423"/>
          <a:ext cx="2312093" cy="6442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17</xdr:col>
      <xdr:colOff>19049</xdr:colOff>
      <xdr:row>30</xdr:row>
      <xdr:rowOff>57150</xdr:rowOff>
    </xdr:from>
    <xdr:to>
      <xdr:col>23</xdr:col>
      <xdr:colOff>504824</xdr:colOff>
      <xdr:row>52</xdr:row>
      <xdr:rowOff>147637</xdr:rowOff>
    </xdr:to>
    <xdr:graphicFrame macro="">
      <xdr:nvGraphicFramePr>
        <xdr:cNvPr id="2" name="Grafico 1">
          <a:extLst>
            <a:ext uri="{FF2B5EF4-FFF2-40B4-BE49-F238E27FC236}">
              <a16:creationId xmlns:a16="http://schemas.microsoft.com/office/drawing/2014/main" id="{A9F685ED-053A-4C0D-ADF4-A7BF17C3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431556</xdr:colOff>
      <xdr:row>27</xdr:row>
      <xdr:rowOff>0</xdr:rowOff>
    </xdr:from>
    <xdr:to>
      <xdr:col>16</xdr:col>
      <xdr:colOff>306265</xdr:colOff>
      <xdr:row>49</xdr:row>
      <xdr:rowOff>91220</xdr:rowOff>
    </xdr:to>
    <xdr:graphicFrame macro="">
      <xdr:nvGraphicFramePr>
        <xdr:cNvPr id="3" name="Grafico 2">
          <a:extLst>
            <a:ext uri="{FF2B5EF4-FFF2-40B4-BE49-F238E27FC236}">
              <a16:creationId xmlns:a16="http://schemas.microsoft.com/office/drawing/2014/main" id="{7772C352-A5E1-488B-9B46-57AC15D776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26</xdr:col>
      <xdr:colOff>57150</xdr:colOff>
      <xdr:row>1</xdr:row>
      <xdr:rowOff>38100</xdr:rowOff>
    </xdr:from>
    <xdr:to>
      <xdr:col>34</xdr:col>
      <xdr:colOff>85724</xdr:colOff>
      <xdr:row>46</xdr:row>
      <xdr:rowOff>133350</xdr:rowOff>
    </xdr:to>
    <xdr:pic>
      <xdr:nvPicPr>
        <xdr:cNvPr id="4" name="Immagine 3">
          <a:extLst>
            <a:ext uri="{FF2B5EF4-FFF2-40B4-BE49-F238E27FC236}">
              <a16:creationId xmlns:a16="http://schemas.microsoft.com/office/drawing/2014/main" id="{7F2C49A9-ADEB-831C-2896-4E9E6155830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963900" y="200025"/>
          <a:ext cx="4905375" cy="7381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302558</xdr:colOff>
      <xdr:row>46</xdr:row>
      <xdr:rowOff>112059</xdr:rowOff>
    </xdr:from>
    <xdr:to>
      <xdr:col>38</xdr:col>
      <xdr:colOff>183216</xdr:colOff>
      <xdr:row>51</xdr:row>
      <xdr:rowOff>12326</xdr:rowOff>
    </xdr:to>
    <xdr:pic>
      <xdr:nvPicPr>
        <xdr:cNvPr id="5" name="Immagine 4">
          <a:extLst>
            <a:ext uri="{FF2B5EF4-FFF2-40B4-BE49-F238E27FC236}">
              <a16:creationId xmlns:a16="http://schemas.microsoft.com/office/drawing/2014/main" id="{F1B5D1E9-AB53-45A8-9010-38E9362D1F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548911" y="7328647"/>
          <a:ext cx="1696011" cy="684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0</xdr:colOff>
      <xdr:row>4</xdr:row>
      <xdr:rowOff>0</xdr:rowOff>
    </xdr:from>
    <xdr:to>
      <xdr:col>48</xdr:col>
      <xdr:colOff>142874</xdr:colOff>
      <xdr:row>41</xdr:row>
      <xdr:rowOff>133350</xdr:rowOff>
    </xdr:to>
    <xdr:pic>
      <xdr:nvPicPr>
        <xdr:cNvPr id="6" name="Immagine 5">
          <a:extLst>
            <a:ext uri="{FF2B5EF4-FFF2-40B4-BE49-F238E27FC236}">
              <a16:creationId xmlns:a16="http://schemas.microsoft.com/office/drawing/2014/main" id="{4DB68B71-1BFE-0A3D-77D5-A28DC7609FB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393150" y="647700"/>
          <a:ext cx="8067675" cy="6124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39</xdr:col>
      <xdr:colOff>41413</xdr:colOff>
      <xdr:row>47</xdr:row>
      <xdr:rowOff>24848</xdr:rowOff>
    </xdr:from>
    <xdr:to>
      <xdr:col>51</xdr:col>
      <xdr:colOff>335559</xdr:colOff>
      <xdr:row>76</xdr:row>
      <xdr:rowOff>67055</xdr:rowOff>
    </xdr:to>
    <xdr:pic>
      <xdr:nvPicPr>
        <xdr:cNvPr id="7" name="Picture 2">
          <a:extLst>
            <a:ext uri="{FF2B5EF4-FFF2-40B4-BE49-F238E27FC236}">
              <a16:creationId xmlns:a16="http://schemas.microsoft.com/office/drawing/2014/main" id="{10D65377-9E0C-4277-BD40-0F9F5AEE602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4003000" y="7810500"/>
          <a:ext cx="7649103" cy="484612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39</xdr:col>
      <xdr:colOff>559075</xdr:colOff>
      <xdr:row>46</xdr:row>
      <xdr:rowOff>61292</xdr:rowOff>
    </xdr:from>
    <xdr:to>
      <xdr:col>51</xdr:col>
      <xdr:colOff>149086</xdr:colOff>
      <xdr:row>75</xdr:row>
      <xdr:rowOff>124239</xdr:rowOff>
    </xdr:to>
    <xdr:graphicFrame macro="">
      <xdr:nvGraphicFramePr>
        <xdr:cNvPr id="8" name="Grafico 7">
          <a:extLst>
            <a:ext uri="{FF2B5EF4-FFF2-40B4-BE49-F238E27FC236}">
              <a16:creationId xmlns:a16="http://schemas.microsoft.com/office/drawing/2014/main" id="{91950D65-EED4-4B0F-AD87-A2989C949C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493059</xdr:colOff>
      <xdr:row>2</xdr:row>
      <xdr:rowOff>96370</xdr:rowOff>
    </xdr:from>
    <xdr:to>
      <xdr:col>47</xdr:col>
      <xdr:colOff>414617</xdr:colOff>
      <xdr:row>35</xdr:row>
      <xdr:rowOff>145676</xdr:rowOff>
    </xdr:to>
    <xdr:graphicFrame macro="">
      <xdr:nvGraphicFramePr>
        <xdr:cNvPr id="9" name="Grafico 8">
          <a:extLst>
            <a:ext uri="{FF2B5EF4-FFF2-40B4-BE49-F238E27FC236}">
              <a16:creationId xmlns:a16="http://schemas.microsoft.com/office/drawing/2014/main" id="{2D77DFBD-856C-216B-FA8E-B86727F87D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57</xdr:col>
      <xdr:colOff>294410</xdr:colOff>
      <xdr:row>8</xdr:row>
      <xdr:rowOff>2445</xdr:rowOff>
    </xdr:from>
    <xdr:to>
      <xdr:col>70</xdr:col>
      <xdr:colOff>266139</xdr:colOff>
      <xdr:row>45</xdr:row>
      <xdr:rowOff>134776</xdr:rowOff>
    </xdr:to>
    <xdr:pic>
      <xdr:nvPicPr>
        <xdr:cNvPr id="16" name="Immagine 15">
          <a:extLst>
            <a:ext uri="{FF2B5EF4-FFF2-40B4-BE49-F238E27FC236}">
              <a16:creationId xmlns:a16="http://schemas.microsoft.com/office/drawing/2014/main" id="{90C53A8A-44C2-4414-AC31-5C237ED468F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913455" y="1249354"/>
          <a:ext cx="8024684" cy="58992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58</xdr:col>
      <xdr:colOff>192538</xdr:colOff>
      <xdr:row>6</xdr:row>
      <xdr:rowOff>86590</xdr:rowOff>
    </xdr:from>
    <xdr:to>
      <xdr:col>70</xdr:col>
      <xdr:colOff>10187</xdr:colOff>
      <xdr:row>39</xdr:row>
      <xdr:rowOff>135896</xdr:rowOff>
    </xdr:to>
    <xdr:graphicFrame macro="">
      <xdr:nvGraphicFramePr>
        <xdr:cNvPr id="17" name="Grafico 16">
          <a:extLst>
            <a:ext uri="{FF2B5EF4-FFF2-40B4-BE49-F238E27FC236}">
              <a16:creationId xmlns:a16="http://schemas.microsoft.com/office/drawing/2014/main" id="{2F443A7D-7390-4A50-867C-317190C49F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97</xdr:row>
      <xdr:rowOff>28575</xdr:rowOff>
    </xdr:from>
    <xdr:to>
      <xdr:col>4</xdr:col>
      <xdr:colOff>1544026</xdr:colOff>
      <xdr:row>140</xdr:row>
      <xdr:rowOff>47625</xdr:rowOff>
    </xdr:to>
    <xdr:pic>
      <xdr:nvPicPr>
        <xdr:cNvPr id="13" name="Immagine 12">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77525" y="16144875"/>
          <a:ext cx="6124575" cy="6981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Areas\FWENVI\WWT%20Area\1-BH-0267A%20-%20prolungamento%20studio%20di%20fattibilit&#224;%20KRC\09%20Design%20calculations\calcoli%20finali\pfd%20nuovo%20impianto%20-%20falda%20+%20processo%20con%20biologic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AN-SRVFILE\TMP-SpA\TM_P\OH2\5%20Design\8%20Calculation\Bearing%20Lif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tmilfs002\b1h00\PROJECTS\1-BH-0389A%20KJO-RWTF2\09%20Design%20calculations\Linee\Linee%2010_12_16%20sketch%20Bottazzi\Design%20flowrate\line%2012%20pollici.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20"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fwfsc003/1cd1213a/ZoneExchange/Equipment%20list/front%20page.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erver\c\Backup%2029-09-06\Seam%201-025%20Politecnico%20Merone\09.0%20-%20Design%20Calculation\Linea%20fanghi\Progettazione%20impianto%20civile\progetto%20impianto%20di%20depurazione%20civil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AREAS\DIP110\APPLICAT\pumps\PUMP.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AN-SRVFILE\TMP-SpA\Rete\Svp\Borghetti\11%20API\01%20OH2\3%20Pump%20selector\Data%20base\REV\XLS\1%20Curve\Nq15%20f=0,935%20test13%203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c medie inquinanti "/>
      <sheetName val="Schema a blocchi"/>
      <sheetName val="calcolo servizi"/>
      <sheetName val="API"/>
      <sheetName val="DAF"/>
      <sheetName val="Caldensitàmiscela"/>
      <sheetName val="Basi di progetto biologico"/>
      <sheetName val="Biologico tradizionale"/>
      <sheetName val="Calcolo ossigeno"/>
      <sheetName val="Sedimentazione Secondaria"/>
      <sheetName val="Valutazione fanghi prodotti"/>
      <sheetName val="Ispessitore"/>
      <sheetName val="Ricalcolo acqua in ingresso API"/>
      <sheetName val="Calcolo apparecchiature"/>
      <sheetName val="Compressori"/>
      <sheetName val="CPI"/>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aring Life"/>
      <sheetName val="Bearings"/>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m RPI"/>
      <sheetName val="From Surge Tank"/>
      <sheetName val="From CPI"/>
    </sheetNames>
    <sheetDataSet>
      <sheetData sheetId="0"/>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rev1"/>
      <sheetName val="listes"/>
    </sheetNames>
    <sheetDataSet>
      <sheetData sheetId="0" refreshError="1"/>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 di progetto"/>
      <sheetName val="Canaletta in ingresso"/>
      <sheetName val="Griglia grossolana"/>
      <sheetName val="Dissabbiatore"/>
      <sheetName val="Vasca di compenso"/>
      <sheetName val="Sedimentazione Primaria"/>
      <sheetName val="Biologico tradizionale"/>
      <sheetName val="Nitro"/>
      <sheetName val="Denitro"/>
      <sheetName val=" nitro denitro (T perm) e dim."/>
      <sheetName val="Sedimentazione Secondaria"/>
      <sheetName val="ossigeno in nitro"/>
      <sheetName val="Filtrazione"/>
      <sheetName val="Disinfezione"/>
      <sheetName val="Valutazione fanghi prodotti"/>
      <sheetName val="vasca di miscelazione fanghi"/>
      <sheetName val="Ispessitore"/>
      <sheetName val="Digestione Anaerobica"/>
      <sheetName val="Dimensionamento dig. anaer."/>
      <sheetName val="Filtropressatura"/>
      <sheetName val="Gasometro"/>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MP CALCULATION"/>
    </sheetNames>
    <sheetDataSet>
      <sheetData sheetId="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ulo2"/>
      <sheetName val="Utility"/>
      <sheetName val="Foglio1"/>
      <sheetName val="Modulo_Dati_1"/>
      <sheetName val="Modulo_Dati"/>
    </sheetNames>
    <sheetDataSet>
      <sheetData sheetId="0" refreshError="1"/>
      <sheetData sheetId="1"/>
      <sheetData sheetId="2" refreshError="1"/>
      <sheetData sheetId="3" refreshError="1"/>
      <sheetData sheetId="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151D-5899-4A99-BDD0-9FBFC2863881}">
  <sheetPr>
    <tabColor rgb="FF92D050"/>
  </sheetPr>
  <dimension ref="A1:AD48"/>
  <sheetViews>
    <sheetView tabSelected="1" zoomScale="85" zoomScaleNormal="85" zoomScaleSheetLayoutView="100" workbookViewId="0">
      <selection activeCell="A8" sqref="A8:AD39"/>
    </sheetView>
  </sheetViews>
  <sheetFormatPr defaultRowHeight="12" x14ac:dyDescent="0.2"/>
  <cols>
    <col min="1" max="30" width="3.28515625" style="28" customWidth="1"/>
    <col min="31" max="256" width="9.140625" style="28"/>
    <col min="257" max="286" width="3.28515625" style="28" customWidth="1"/>
    <col min="287" max="512" width="9.140625" style="28"/>
    <col min="513" max="542" width="3.28515625" style="28" customWidth="1"/>
    <col min="543" max="768" width="9.140625" style="28"/>
    <col min="769" max="798" width="3.28515625" style="28" customWidth="1"/>
    <col min="799" max="1024" width="9.140625" style="28"/>
    <col min="1025" max="1054" width="3.28515625" style="28" customWidth="1"/>
    <col min="1055" max="1280" width="9.140625" style="28"/>
    <col min="1281" max="1310" width="3.28515625" style="28" customWidth="1"/>
    <col min="1311" max="1536" width="9.140625" style="28"/>
    <col min="1537" max="1566" width="3.28515625" style="28" customWidth="1"/>
    <col min="1567" max="1792" width="9.140625" style="28"/>
    <col min="1793" max="1822" width="3.28515625" style="28" customWidth="1"/>
    <col min="1823" max="2048" width="9.140625" style="28"/>
    <col min="2049" max="2078" width="3.28515625" style="28" customWidth="1"/>
    <col min="2079" max="2304" width="9.140625" style="28"/>
    <col min="2305" max="2334" width="3.28515625" style="28" customWidth="1"/>
    <col min="2335" max="2560" width="9.140625" style="28"/>
    <col min="2561" max="2590" width="3.28515625" style="28" customWidth="1"/>
    <col min="2591" max="2816" width="9.140625" style="28"/>
    <col min="2817" max="2846" width="3.28515625" style="28" customWidth="1"/>
    <col min="2847" max="3072" width="9.140625" style="28"/>
    <col min="3073" max="3102" width="3.28515625" style="28" customWidth="1"/>
    <col min="3103" max="3328" width="9.140625" style="28"/>
    <col min="3329" max="3358" width="3.28515625" style="28" customWidth="1"/>
    <col min="3359" max="3584" width="9.140625" style="28"/>
    <col min="3585" max="3614" width="3.28515625" style="28" customWidth="1"/>
    <col min="3615" max="3840" width="9.140625" style="28"/>
    <col min="3841" max="3870" width="3.28515625" style="28" customWidth="1"/>
    <col min="3871" max="4096" width="9.140625" style="28"/>
    <col min="4097" max="4126" width="3.28515625" style="28" customWidth="1"/>
    <col min="4127" max="4352" width="9.140625" style="28"/>
    <col min="4353" max="4382" width="3.28515625" style="28" customWidth="1"/>
    <col min="4383" max="4608" width="9.140625" style="28"/>
    <col min="4609" max="4638" width="3.28515625" style="28" customWidth="1"/>
    <col min="4639" max="4864" width="9.140625" style="28"/>
    <col min="4865" max="4894" width="3.28515625" style="28" customWidth="1"/>
    <col min="4895" max="5120" width="9.140625" style="28"/>
    <col min="5121" max="5150" width="3.28515625" style="28" customWidth="1"/>
    <col min="5151" max="5376" width="9.140625" style="28"/>
    <col min="5377" max="5406" width="3.28515625" style="28" customWidth="1"/>
    <col min="5407" max="5632" width="9.140625" style="28"/>
    <col min="5633" max="5662" width="3.28515625" style="28" customWidth="1"/>
    <col min="5663" max="5888" width="9.140625" style="28"/>
    <col min="5889" max="5918" width="3.28515625" style="28" customWidth="1"/>
    <col min="5919" max="6144" width="9.140625" style="28"/>
    <col min="6145" max="6174" width="3.28515625" style="28" customWidth="1"/>
    <col min="6175" max="6400" width="9.140625" style="28"/>
    <col min="6401" max="6430" width="3.28515625" style="28" customWidth="1"/>
    <col min="6431" max="6656" width="9.140625" style="28"/>
    <col min="6657" max="6686" width="3.28515625" style="28" customWidth="1"/>
    <col min="6687" max="6912" width="9.140625" style="28"/>
    <col min="6913" max="6942" width="3.28515625" style="28" customWidth="1"/>
    <col min="6943" max="7168" width="9.140625" style="28"/>
    <col min="7169" max="7198" width="3.28515625" style="28" customWidth="1"/>
    <col min="7199" max="7424" width="9.140625" style="28"/>
    <col min="7425" max="7454" width="3.28515625" style="28" customWidth="1"/>
    <col min="7455" max="7680" width="9.140625" style="28"/>
    <col min="7681" max="7710" width="3.28515625" style="28" customWidth="1"/>
    <col min="7711" max="7936" width="9.140625" style="28"/>
    <col min="7937" max="7966" width="3.28515625" style="28" customWidth="1"/>
    <col min="7967" max="8192" width="9.140625" style="28"/>
    <col min="8193" max="8222" width="3.28515625" style="28" customWidth="1"/>
    <col min="8223" max="8448" width="9.140625" style="28"/>
    <col min="8449" max="8478" width="3.28515625" style="28" customWidth="1"/>
    <col min="8479" max="8704" width="9.140625" style="28"/>
    <col min="8705" max="8734" width="3.28515625" style="28" customWidth="1"/>
    <col min="8735" max="8960" width="9.140625" style="28"/>
    <col min="8961" max="8990" width="3.28515625" style="28" customWidth="1"/>
    <col min="8991" max="9216" width="9.140625" style="28"/>
    <col min="9217" max="9246" width="3.28515625" style="28" customWidth="1"/>
    <col min="9247" max="9472" width="9.140625" style="28"/>
    <col min="9473" max="9502" width="3.28515625" style="28" customWidth="1"/>
    <col min="9503" max="9728" width="9.140625" style="28"/>
    <col min="9729" max="9758" width="3.28515625" style="28" customWidth="1"/>
    <col min="9759" max="9984" width="9.140625" style="28"/>
    <col min="9985" max="10014" width="3.28515625" style="28" customWidth="1"/>
    <col min="10015" max="10240" width="9.140625" style="28"/>
    <col min="10241" max="10270" width="3.28515625" style="28" customWidth="1"/>
    <col min="10271" max="10496" width="9.140625" style="28"/>
    <col min="10497" max="10526" width="3.28515625" style="28" customWidth="1"/>
    <col min="10527" max="10752" width="9.140625" style="28"/>
    <col min="10753" max="10782" width="3.28515625" style="28" customWidth="1"/>
    <col min="10783" max="11008" width="9.140625" style="28"/>
    <col min="11009" max="11038" width="3.28515625" style="28" customWidth="1"/>
    <col min="11039" max="11264" width="9.140625" style="28"/>
    <col min="11265" max="11294" width="3.28515625" style="28" customWidth="1"/>
    <col min="11295" max="11520" width="9.140625" style="28"/>
    <col min="11521" max="11550" width="3.28515625" style="28" customWidth="1"/>
    <col min="11551" max="11776" width="9.140625" style="28"/>
    <col min="11777" max="11806" width="3.28515625" style="28" customWidth="1"/>
    <col min="11807" max="12032" width="9.140625" style="28"/>
    <col min="12033" max="12062" width="3.28515625" style="28" customWidth="1"/>
    <col min="12063" max="12288" width="9.140625" style="28"/>
    <col min="12289" max="12318" width="3.28515625" style="28" customWidth="1"/>
    <col min="12319" max="12544" width="9.140625" style="28"/>
    <col min="12545" max="12574" width="3.28515625" style="28" customWidth="1"/>
    <col min="12575" max="12800" width="9.140625" style="28"/>
    <col min="12801" max="12830" width="3.28515625" style="28" customWidth="1"/>
    <col min="12831" max="13056" width="9.140625" style="28"/>
    <col min="13057" max="13086" width="3.28515625" style="28" customWidth="1"/>
    <col min="13087" max="13312" width="9.140625" style="28"/>
    <col min="13313" max="13342" width="3.28515625" style="28" customWidth="1"/>
    <col min="13343" max="13568" width="9.140625" style="28"/>
    <col min="13569" max="13598" width="3.28515625" style="28" customWidth="1"/>
    <col min="13599" max="13824" width="9.140625" style="28"/>
    <col min="13825" max="13854" width="3.28515625" style="28" customWidth="1"/>
    <col min="13855" max="14080" width="9.140625" style="28"/>
    <col min="14081" max="14110" width="3.28515625" style="28" customWidth="1"/>
    <col min="14111" max="14336" width="9.140625" style="28"/>
    <col min="14337" max="14366" width="3.28515625" style="28" customWidth="1"/>
    <col min="14367" max="14592" width="9.140625" style="28"/>
    <col min="14593" max="14622" width="3.28515625" style="28" customWidth="1"/>
    <col min="14623" max="14848" width="9.140625" style="28"/>
    <col min="14849" max="14878" width="3.28515625" style="28" customWidth="1"/>
    <col min="14879" max="15104" width="9.140625" style="28"/>
    <col min="15105" max="15134" width="3.28515625" style="28" customWidth="1"/>
    <col min="15135" max="15360" width="9.140625" style="28"/>
    <col min="15361" max="15390" width="3.28515625" style="28" customWidth="1"/>
    <col min="15391" max="15616" width="9.140625" style="28"/>
    <col min="15617" max="15646" width="3.28515625" style="28" customWidth="1"/>
    <col min="15647" max="15872" width="9.140625" style="28"/>
    <col min="15873" max="15902" width="3.28515625" style="28" customWidth="1"/>
    <col min="15903" max="16128" width="9.140625" style="28"/>
    <col min="16129" max="16158" width="3.28515625" style="28" customWidth="1"/>
    <col min="16159" max="16384" width="9.140625" style="28"/>
  </cols>
  <sheetData>
    <row r="1" spans="1:30" ht="15" customHeight="1" x14ac:dyDescent="0.2">
      <c r="A1" s="25"/>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7"/>
    </row>
    <row r="2" spans="1:30" ht="15" customHeight="1" x14ac:dyDescent="0.2">
      <c r="A2" s="29"/>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1"/>
    </row>
    <row r="3" spans="1:30" ht="15" customHeight="1" x14ac:dyDescent="0.2">
      <c r="A3" s="29"/>
      <c r="B3" s="30"/>
      <c r="C3" s="30"/>
      <c r="D3" s="30"/>
      <c r="E3" s="30"/>
      <c r="F3" s="30"/>
      <c r="G3" s="30"/>
      <c r="H3" s="32"/>
      <c r="I3" s="32"/>
      <c r="J3" s="32"/>
      <c r="K3" s="33"/>
      <c r="L3" s="33"/>
      <c r="M3" s="33"/>
      <c r="N3" s="33"/>
      <c r="O3" s="33"/>
      <c r="P3" s="33"/>
      <c r="Q3" s="33"/>
      <c r="R3" s="33"/>
      <c r="S3" s="33"/>
      <c r="T3" s="33"/>
      <c r="U3" s="33"/>
      <c r="V3" s="33"/>
      <c r="W3" s="34"/>
      <c r="X3" s="34"/>
      <c r="Y3" s="34"/>
      <c r="Z3" s="34"/>
      <c r="AA3" s="34"/>
      <c r="AB3" s="34"/>
      <c r="AC3" s="34"/>
      <c r="AD3" s="35"/>
    </row>
    <row r="4" spans="1:30" ht="15" customHeight="1" x14ac:dyDescent="0.2">
      <c r="A4" s="29"/>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1"/>
    </row>
    <row r="5" spans="1:30" ht="15" customHeight="1" x14ac:dyDescent="0.2">
      <c r="A5" s="29"/>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1"/>
    </row>
    <row r="6" spans="1:30" ht="15" customHeight="1" x14ac:dyDescent="0.2">
      <c r="A6" s="29"/>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1"/>
    </row>
    <row r="7" spans="1:30" ht="15" customHeight="1" thickBot="1" x14ac:dyDescent="0.25">
      <c r="A7" s="36"/>
      <c r="B7" s="37"/>
      <c r="C7" s="37"/>
      <c r="D7" s="37"/>
      <c r="E7" s="37"/>
      <c r="F7" s="38"/>
      <c r="G7" s="30"/>
      <c r="H7" s="30"/>
      <c r="I7" s="30"/>
      <c r="J7" s="30"/>
      <c r="K7" s="30"/>
      <c r="L7" s="30"/>
      <c r="M7" s="30"/>
      <c r="N7" s="30"/>
      <c r="O7" s="30"/>
      <c r="P7" s="30"/>
      <c r="Q7" s="30"/>
      <c r="R7" s="30"/>
      <c r="S7" s="30"/>
      <c r="T7" s="30"/>
      <c r="U7" s="30"/>
      <c r="V7" s="30"/>
      <c r="W7" s="30"/>
      <c r="X7" s="30"/>
      <c r="Y7" s="30"/>
      <c r="Z7" s="30"/>
      <c r="AA7" s="37"/>
      <c r="AB7" s="37"/>
      <c r="AC7" s="37"/>
      <c r="AD7" s="39"/>
    </row>
    <row r="8" spans="1:30" ht="15" customHeight="1" x14ac:dyDescent="0.2">
      <c r="A8" s="87" t="s">
        <v>112</v>
      </c>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9"/>
    </row>
    <row r="9" spans="1:30" ht="15" customHeight="1" x14ac:dyDescent="0.2">
      <c r="A9" s="90"/>
      <c r="B9" s="91"/>
      <c r="C9" s="91"/>
      <c r="D9" s="91"/>
      <c r="E9" s="91"/>
      <c r="F9" s="91"/>
      <c r="G9" s="91"/>
      <c r="H9" s="91"/>
      <c r="I9" s="91"/>
      <c r="J9" s="91"/>
      <c r="K9" s="91"/>
      <c r="L9" s="91"/>
      <c r="M9" s="91"/>
      <c r="N9" s="91"/>
      <c r="O9" s="91"/>
      <c r="P9" s="91"/>
      <c r="Q9" s="91"/>
      <c r="R9" s="91"/>
      <c r="S9" s="91"/>
      <c r="T9" s="91"/>
      <c r="U9" s="91"/>
      <c r="V9" s="91"/>
      <c r="W9" s="91"/>
      <c r="X9" s="91"/>
      <c r="Y9" s="91"/>
      <c r="Z9" s="91"/>
      <c r="AA9" s="91"/>
      <c r="AB9" s="91"/>
      <c r="AC9" s="91"/>
      <c r="AD9" s="92"/>
    </row>
    <row r="10" spans="1:30" ht="15" customHeight="1" x14ac:dyDescent="0.2">
      <c r="A10" s="90"/>
      <c r="B10" s="91"/>
      <c r="C10" s="91"/>
      <c r="D10" s="91"/>
      <c r="E10" s="91"/>
      <c r="F10" s="91"/>
      <c r="G10" s="91"/>
      <c r="H10" s="91"/>
      <c r="I10" s="91"/>
      <c r="J10" s="91"/>
      <c r="K10" s="91"/>
      <c r="L10" s="91"/>
      <c r="M10" s="91"/>
      <c r="N10" s="91"/>
      <c r="O10" s="91"/>
      <c r="P10" s="91"/>
      <c r="Q10" s="91"/>
      <c r="R10" s="91"/>
      <c r="S10" s="91"/>
      <c r="T10" s="91"/>
      <c r="U10" s="91"/>
      <c r="V10" s="91"/>
      <c r="W10" s="91"/>
      <c r="X10" s="91"/>
      <c r="Y10" s="91"/>
      <c r="Z10" s="91"/>
      <c r="AA10" s="91"/>
      <c r="AB10" s="91"/>
      <c r="AC10" s="91"/>
      <c r="AD10" s="92"/>
    </row>
    <row r="11" spans="1:30" ht="15" customHeight="1" x14ac:dyDescent="0.2">
      <c r="A11" s="90"/>
      <c r="B11" s="91"/>
      <c r="C11" s="91"/>
      <c r="D11" s="91"/>
      <c r="E11" s="91"/>
      <c r="F11" s="91"/>
      <c r="G11" s="91"/>
      <c r="H11" s="91"/>
      <c r="I11" s="91"/>
      <c r="J11" s="91"/>
      <c r="K11" s="91"/>
      <c r="L11" s="91"/>
      <c r="M11" s="91"/>
      <c r="N11" s="91"/>
      <c r="O11" s="91"/>
      <c r="P11" s="91"/>
      <c r="Q11" s="91"/>
      <c r="R11" s="91"/>
      <c r="S11" s="91"/>
      <c r="T11" s="91"/>
      <c r="U11" s="91"/>
      <c r="V11" s="91"/>
      <c r="W11" s="91"/>
      <c r="X11" s="91"/>
      <c r="Y11" s="91"/>
      <c r="Z11" s="91"/>
      <c r="AA11" s="91"/>
      <c r="AB11" s="91"/>
      <c r="AC11" s="91"/>
      <c r="AD11" s="92"/>
    </row>
    <row r="12" spans="1:30" ht="15" customHeight="1" x14ac:dyDescent="0.2">
      <c r="A12" s="90"/>
      <c r="B12" s="91"/>
      <c r="C12" s="91"/>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2"/>
    </row>
    <row r="13" spans="1:30" ht="15" customHeight="1" x14ac:dyDescent="0.2">
      <c r="A13" s="90"/>
      <c r="B13" s="91"/>
      <c r="C13" s="91"/>
      <c r="D13" s="91"/>
      <c r="E13" s="91"/>
      <c r="F13" s="91"/>
      <c r="G13" s="91"/>
      <c r="H13" s="91"/>
      <c r="I13" s="91"/>
      <c r="J13" s="91"/>
      <c r="K13" s="91"/>
      <c r="L13" s="91"/>
      <c r="M13" s="91"/>
      <c r="N13" s="91"/>
      <c r="O13" s="91"/>
      <c r="P13" s="91"/>
      <c r="Q13" s="91"/>
      <c r="R13" s="91"/>
      <c r="S13" s="91"/>
      <c r="T13" s="91"/>
      <c r="U13" s="91"/>
      <c r="V13" s="91"/>
      <c r="W13" s="91"/>
      <c r="X13" s="91"/>
      <c r="Y13" s="91"/>
      <c r="Z13" s="91"/>
      <c r="AA13" s="91"/>
      <c r="AB13" s="91"/>
      <c r="AC13" s="91"/>
      <c r="AD13" s="92"/>
    </row>
    <row r="14" spans="1:30" ht="15" customHeight="1" x14ac:dyDescent="0.2">
      <c r="A14" s="90"/>
      <c r="B14" s="91"/>
      <c r="C14" s="91"/>
      <c r="D14" s="91"/>
      <c r="E14" s="91"/>
      <c r="F14" s="91"/>
      <c r="G14" s="91"/>
      <c r="H14" s="91"/>
      <c r="I14" s="91"/>
      <c r="J14" s="91"/>
      <c r="K14" s="91"/>
      <c r="L14" s="91"/>
      <c r="M14" s="91"/>
      <c r="N14" s="91"/>
      <c r="O14" s="91"/>
      <c r="P14" s="91"/>
      <c r="Q14" s="91"/>
      <c r="R14" s="91"/>
      <c r="S14" s="91"/>
      <c r="T14" s="91"/>
      <c r="U14" s="91"/>
      <c r="V14" s="91"/>
      <c r="W14" s="91"/>
      <c r="X14" s="91"/>
      <c r="Y14" s="91"/>
      <c r="Z14" s="91"/>
      <c r="AA14" s="91"/>
      <c r="AB14" s="91"/>
      <c r="AC14" s="91"/>
      <c r="AD14" s="92"/>
    </row>
    <row r="15" spans="1:30" ht="15" customHeight="1" x14ac:dyDescent="0.2">
      <c r="A15" s="90"/>
      <c r="B15" s="91"/>
      <c r="C15" s="91"/>
      <c r="D15" s="91"/>
      <c r="E15" s="91"/>
      <c r="F15" s="91"/>
      <c r="G15" s="91"/>
      <c r="H15" s="91"/>
      <c r="I15" s="91"/>
      <c r="J15" s="91"/>
      <c r="K15" s="91"/>
      <c r="L15" s="91"/>
      <c r="M15" s="91"/>
      <c r="N15" s="91"/>
      <c r="O15" s="91"/>
      <c r="P15" s="91"/>
      <c r="Q15" s="91"/>
      <c r="R15" s="91"/>
      <c r="S15" s="91"/>
      <c r="T15" s="91"/>
      <c r="U15" s="91"/>
      <c r="V15" s="91"/>
      <c r="W15" s="91"/>
      <c r="X15" s="91"/>
      <c r="Y15" s="91"/>
      <c r="Z15" s="91"/>
      <c r="AA15" s="91"/>
      <c r="AB15" s="91"/>
      <c r="AC15" s="91"/>
      <c r="AD15" s="92"/>
    </row>
    <row r="16" spans="1:30" ht="15" customHeight="1" x14ac:dyDescent="0.2">
      <c r="A16" s="90"/>
      <c r="B16" s="91"/>
      <c r="C16" s="91"/>
      <c r="D16" s="91"/>
      <c r="E16" s="91"/>
      <c r="F16" s="91"/>
      <c r="G16" s="91"/>
      <c r="H16" s="91"/>
      <c r="I16" s="91"/>
      <c r="J16" s="91"/>
      <c r="K16" s="91"/>
      <c r="L16" s="91"/>
      <c r="M16" s="91"/>
      <c r="N16" s="91"/>
      <c r="O16" s="91"/>
      <c r="P16" s="91"/>
      <c r="Q16" s="91"/>
      <c r="R16" s="91"/>
      <c r="S16" s="91"/>
      <c r="T16" s="91"/>
      <c r="U16" s="91"/>
      <c r="V16" s="91"/>
      <c r="W16" s="91"/>
      <c r="X16" s="91"/>
      <c r="Y16" s="91"/>
      <c r="Z16" s="91"/>
      <c r="AA16" s="91"/>
      <c r="AB16" s="91"/>
      <c r="AC16" s="91"/>
      <c r="AD16" s="92"/>
    </row>
    <row r="17" spans="1:30" ht="15" customHeight="1" x14ac:dyDescent="0.2">
      <c r="A17" s="90"/>
      <c r="B17" s="91"/>
      <c r="C17" s="91"/>
      <c r="D17" s="91"/>
      <c r="E17" s="91"/>
      <c r="F17" s="91"/>
      <c r="G17" s="91"/>
      <c r="H17" s="91"/>
      <c r="I17" s="91"/>
      <c r="J17" s="91"/>
      <c r="K17" s="91"/>
      <c r="L17" s="91"/>
      <c r="M17" s="91"/>
      <c r="N17" s="91"/>
      <c r="O17" s="91"/>
      <c r="P17" s="91"/>
      <c r="Q17" s="91"/>
      <c r="R17" s="91"/>
      <c r="S17" s="91"/>
      <c r="T17" s="91"/>
      <c r="U17" s="91"/>
      <c r="V17" s="91"/>
      <c r="W17" s="91"/>
      <c r="X17" s="91"/>
      <c r="Y17" s="91"/>
      <c r="Z17" s="91"/>
      <c r="AA17" s="91"/>
      <c r="AB17" s="91"/>
      <c r="AC17" s="91"/>
      <c r="AD17" s="92"/>
    </row>
    <row r="18" spans="1:30" ht="15" customHeight="1" x14ac:dyDescent="0.2">
      <c r="A18" s="90"/>
      <c r="B18" s="91"/>
      <c r="C18" s="91"/>
      <c r="D18" s="91"/>
      <c r="E18" s="91"/>
      <c r="F18" s="91"/>
      <c r="G18" s="91"/>
      <c r="H18" s="91"/>
      <c r="I18" s="91"/>
      <c r="J18" s="91"/>
      <c r="K18" s="91"/>
      <c r="L18" s="91"/>
      <c r="M18" s="91"/>
      <c r="N18" s="91"/>
      <c r="O18" s="91"/>
      <c r="P18" s="91"/>
      <c r="Q18" s="91"/>
      <c r="R18" s="91"/>
      <c r="S18" s="91"/>
      <c r="T18" s="91"/>
      <c r="U18" s="91"/>
      <c r="V18" s="91"/>
      <c r="W18" s="91"/>
      <c r="X18" s="91"/>
      <c r="Y18" s="91"/>
      <c r="Z18" s="91"/>
      <c r="AA18" s="91"/>
      <c r="AB18" s="91"/>
      <c r="AC18" s="91"/>
      <c r="AD18" s="92"/>
    </row>
    <row r="19" spans="1:30" ht="15" customHeight="1" x14ac:dyDescent="0.2">
      <c r="A19" s="90"/>
      <c r="B19" s="91"/>
      <c r="C19" s="91"/>
      <c r="D19" s="91"/>
      <c r="E19" s="91"/>
      <c r="F19" s="91"/>
      <c r="G19" s="91"/>
      <c r="H19" s="91"/>
      <c r="I19" s="91"/>
      <c r="J19" s="91"/>
      <c r="K19" s="91"/>
      <c r="L19" s="91"/>
      <c r="M19" s="91"/>
      <c r="N19" s="91"/>
      <c r="O19" s="91"/>
      <c r="P19" s="91"/>
      <c r="Q19" s="91"/>
      <c r="R19" s="91"/>
      <c r="S19" s="91"/>
      <c r="T19" s="91"/>
      <c r="U19" s="91"/>
      <c r="V19" s="91"/>
      <c r="W19" s="91"/>
      <c r="X19" s="91"/>
      <c r="Y19" s="91"/>
      <c r="Z19" s="91"/>
      <c r="AA19" s="91"/>
      <c r="AB19" s="91"/>
      <c r="AC19" s="91"/>
      <c r="AD19" s="92"/>
    </row>
    <row r="20" spans="1:30" ht="15" customHeight="1" x14ac:dyDescent="0.2">
      <c r="A20" s="90"/>
      <c r="B20" s="91"/>
      <c r="C20" s="91"/>
      <c r="D20" s="91"/>
      <c r="E20" s="91"/>
      <c r="F20" s="91"/>
      <c r="G20" s="91"/>
      <c r="H20" s="91"/>
      <c r="I20" s="91"/>
      <c r="J20" s="91"/>
      <c r="K20" s="91"/>
      <c r="L20" s="91"/>
      <c r="M20" s="91"/>
      <c r="N20" s="91"/>
      <c r="O20" s="91"/>
      <c r="P20" s="91"/>
      <c r="Q20" s="91"/>
      <c r="R20" s="91"/>
      <c r="S20" s="91"/>
      <c r="T20" s="91"/>
      <c r="U20" s="91"/>
      <c r="V20" s="91"/>
      <c r="W20" s="91"/>
      <c r="X20" s="91"/>
      <c r="Y20" s="91"/>
      <c r="Z20" s="91"/>
      <c r="AA20" s="91"/>
      <c r="AB20" s="91"/>
      <c r="AC20" s="91"/>
      <c r="AD20" s="92"/>
    </row>
    <row r="21" spans="1:30" ht="15" customHeight="1" x14ac:dyDescent="0.2">
      <c r="A21" s="90"/>
      <c r="B21" s="91"/>
      <c r="C21" s="91"/>
      <c r="D21" s="91"/>
      <c r="E21" s="91"/>
      <c r="F21" s="91"/>
      <c r="G21" s="91"/>
      <c r="H21" s="91"/>
      <c r="I21" s="91"/>
      <c r="J21" s="91"/>
      <c r="K21" s="91"/>
      <c r="L21" s="91"/>
      <c r="M21" s="91"/>
      <c r="N21" s="91"/>
      <c r="O21" s="91"/>
      <c r="P21" s="91"/>
      <c r="Q21" s="91"/>
      <c r="R21" s="91"/>
      <c r="S21" s="91"/>
      <c r="T21" s="91"/>
      <c r="U21" s="91"/>
      <c r="V21" s="91"/>
      <c r="W21" s="91"/>
      <c r="X21" s="91"/>
      <c r="Y21" s="91"/>
      <c r="Z21" s="91"/>
      <c r="AA21" s="91"/>
      <c r="AB21" s="91"/>
      <c r="AC21" s="91"/>
      <c r="AD21" s="92"/>
    </row>
    <row r="22" spans="1:30" ht="15" customHeight="1" x14ac:dyDescent="0.2">
      <c r="A22" s="90"/>
      <c r="B22" s="91"/>
      <c r="C22" s="91"/>
      <c r="D22" s="91"/>
      <c r="E22" s="91"/>
      <c r="F22" s="91"/>
      <c r="G22" s="91"/>
      <c r="H22" s="91"/>
      <c r="I22" s="91"/>
      <c r="J22" s="91"/>
      <c r="K22" s="91"/>
      <c r="L22" s="91"/>
      <c r="M22" s="91"/>
      <c r="N22" s="91"/>
      <c r="O22" s="91"/>
      <c r="P22" s="91"/>
      <c r="Q22" s="91"/>
      <c r="R22" s="91"/>
      <c r="S22" s="91"/>
      <c r="T22" s="91"/>
      <c r="U22" s="91"/>
      <c r="V22" s="91"/>
      <c r="W22" s="91"/>
      <c r="X22" s="91"/>
      <c r="Y22" s="91"/>
      <c r="Z22" s="91"/>
      <c r="AA22" s="91"/>
      <c r="AB22" s="91"/>
      <c r="AC22" s="91"/>
      <c r="AD22" s="92"/>
    </row>
    <row r="23" spans="1:30" ht="15" customHeight="1" x14ac:dyDescent="0.2">
      <c r="A23" s="90"/>
      <c r="B23" s="91"/>
      <c r="C23" s="91"/>
      <c r="D23" s="91"/>
      <c r="E23" s="91"/>
      <c r="F23" s="91"/>
      <c r="G23" s="91"/>
      <c r="H23" s="91"/>
      <c r="I23" s="91"/>
      <c r="J23" s="91"/>
      <c r="K23" s="91"/>
      <c r="L23" s="91"/>
      <c r="M23" s="91"/>
      <c r="N23" s="91"/>
      <c r="O23" s="91"/>
      <c r="P23" s="91"/>
      <c r="Q23" s="91"/>
      <c r="R23" s="91"/>
      <c r="S23" s="91"/>
      <c r="T23" s="91"/>
      <c r="U23" s="91"/>
      <c r="V23" s="91"/>
      <c r="W23" s="91"/>
      <c r="X23" s="91"/>
      <c r="Y23" s="91"/>
      <c r="Z23" s="91"/>
      <c r="AA23" s="91"/>
      <c r="AB23" s="91"/>
      <c r="AC23" s="91"/>
      <c r="AD23" s="92"/>
    </row>
    <row r="24" spans="1:30" ht="15" customHeight="1" x14ac:dyDescent="0.2">
      <c r="A24" s="90"/>
      <c r="B24" s="91"/>
      <c r="C24" s="91"/>
      <c r="D24" s="91"/>
      <c r="E24" s="91"/>
      <c r="F24" s="91"/>
      <c r="G24" s="91"/>
      <c r="H24" s="91"/>
      <c r="I24" s="91"/>
      <c r="J24" s="91"/>
      <c r="K24" s="91"/>
      <c r="L24" s="91"/>
      <c r="M24" s="91"/>
      <c r="N24" s="91"/>
      <c r="O24" s="91"/>
      <c r="P24" s="91"/>
      <c r="Q24" s="91"/>
      <c r="R24" s="91"/>
      <c r="S24" s="91"/>
      <c r="T24" s="91"/>
      <c r="U24" s="91"/>
      <c r="V24" s="91"/>
      <c r="W24" s="91"/>
      <c r="X24" s="91"/>
      <c r="Y24" s="91"/>
      <c r="Z24" s="91"/>
      <c r="AA24" s="91"/>
      <c r="AB24" s="91"/>
      <c r="AC24" s="91"/>
      <c r="AD24" s="92"/>
    </row>
    <row r="25" spans="1:30" ht="15" customHeight="1" x14ac:dyDescent="0.2">
      <c r="A25" s="90"/>
      <c r="B25" s="91"/>
      <c r="C25" s="91"/>
      <c r="D25" s="91"/>
      <c r="E25" s="91"/>
      <c r="F25" s="91"/>
      <c r="G25" s="91"/>
      <c r="H25" s="91"/>
      <c r="I25" s="91"/>
      <c r="J25" s="91"/>
      <c r="K25" s="91"/>
      <c r="L25" s="91"/>
      <c r="M25" s="91"/>
      <c r="N25" s="91"/>
      <c r="O25" s="91"/>
      <c r="P25" s="91"/>
      <c r="Q25" s="91"/>
      <c r="R25" s="91"/>
      <c r="S25" s="91"/>
      <c r="T25" s="91"/>
      <c r="U25" s="91"/>
      <c r="V25" s="91"/>
      <c r="W25" s="91"/>
      <c r="X25" s="91"/>
      <c r="Y25" s="91"/>
      <c r="Z25" s="91"/>
      <c r="AA25" s="91"/>
      <c r="AB25" s="91"/>
      <c r="AC25" s="91"/>
      <c r="AD25" s="92"/>
    </row>
    <row r="26" spans="1:30" ht="15" customHeight="1" x14ac:dyDescent="0.2">
      <c r="A26" s="90"/>
      <c r="B26" s="91"/>
      <c r="C26" s="91"/>
      <c r="D26" s="91"/>
      <c r="E26" s="91"/>
      <c r="F26" s="91"/>
      <c r="G26" s="91"/>
      <c r="H26" s="91"/>
      <c r="I26" s="91"/>
      <c r="J26" s="91"/>
      <c r="K26" s="91"/>
      <c r="L26" s="91"/>
      <c r="M26" s="91"/>
      <c r="N26" s="91"/>
      <c r="O26" s="91"/>
      <c r="P26" s="91"/>
      <c r="Q26" s="91"/>
      <c r="R26" s="91"/>
      <c r="S26" s="91"/>
      <c r="T26" s="91"/>
      <c r="U26" s="91"/>
      <c r="V26" s="91"/>
      <c r="W26" s="91"/>
      <c r="X26" s="91"/>
      <c r="Y26" s="91"/>
      <c r="Z26" s="91"/>
      <c r="AA26" s="91"/>
      <c r="AB26" s="91"/>
      <c r="AC26" s="91"/>
      <c r="AD26" s="92"/>
    </row>
    <row r="27" spans="1:30" ht="15" customHeight="1" x14ac:dyDescent="0.2">
      <c r="A27" s="90"/>
      <c r="B27" s="91"/>
      <c r="C27" s="91"/>
      <c r="D27" s="91"/>
      <c r="E27" s="91"/>
      <c r="F27" s="91"/>
      <c r="G27" s="91"/>
      <c r="H27" s="91"/>
      <c r="I27" s="91"/>
      <c r="J27" s="91"/>
      <c r="K27" s="91"/>
      <c r="L27" s="91"/>
      <c r="M27" s="91"/>
      <c r="N27" s="91"/>
      <c r="O27" s="91"/>
      <c r="P27" s="91"/>
      <c r="Q27" s="91"/>
      <c r="R27" s="91"/>
      <c r="S27" s="91"/>
      <c r="T27" s="91"/>
      <c r="U27" s="91"/>
      <c r="V27" s="91"/>
      <c r="W27" s="91"/>
      <c r="X27" s="91"/>
      <c r="Y27" s="91"/>
      <c r="Z27" s="91"/>
      <c r="AA27" s="91"/>
      <c r="AB27" s="91"/>
      <c r="AC27" s="91"/>
      <c r="AD27" s="92"/>
    </row>
    <row r="28" spans="1:30" ht="15" customHeight="1" x14ac:dyDescent="0.2">
      <c r="A28" s="90"/>
      <c r="B28" s="91"/>
      <c r="C28" s="91"/>
      <c r="D28" s="91"/>
      <c r="E28" s="91"/>
      <c r="F28" s="91"/>
      <c r="G28" s="91"/>
      <c r="H28" s="91"/>
      <c r="I28" s="91"/>
      <c r="J28" s="91"/>
      <c r="K28" s="91"/>
      <c r="L28" s="91"/>
      <c r="M28" s="91"/>
      <c r="N28" s="91"/>
      <c r="O28" s="91"/>
      <c r="P28" s="91"/>
      <c r="Q28" s="91"/>
      <c r="R28" s="91"/>
      <c r="S28" s="91"/>
      <c r="T28" s="91"/>
      <c r="U28" s="91"/>
      <c r="V28" s="91"/>
      <c r="W28" s="91"/>
      <c r="X28" s="91"/>
      <c r="Y28" s="91"/>
      <c r="Z28" s="91"/>
      <c r="AA28" s="91"/>
      <c r="AB28" s="91"/>
      <c r="AC28" s="91"/>
      <c r="AD28" s="92"/>
    </row>
    <row r="29" spans="1:30" ht="15" customHeight="1" x14ac:dyDescent="0.2">
      <c r="A29" s="90"/>
      <c r="B29" s="91"/>
      <c r="C29" s="91"/>
      <c r="D29" s="91"/>
      <c r="E29" s="91"/>
      <c r="F29" s="91"/>
      <c r="G29" s="91"/>
      <c r="H29" s="91"/>
      <c r="I29" s="91"/>
      <c r="J29" s="91"/>
      <c r="K29" s="91"/>
      <c r="L29" s="91"/>
      <c r="M29" s="91"/>
      <c r="N29" s="91"/>
      <c r="O29" s="91"/>
      <c r="P29" s="91"/>
      <c r="Q29" s="91"/>
      <c r="R29" s="91"/>
      <c r="S29" s="91"/>
      <c r="T29" s="91"/>
      <c r="U29" s="91"/>
      <c r="V29" s="91"/>
      <c r="W29" s="91"/>
      <c r="X29" s="91"/>
      <c r="Y29" s="91"/>
      <c r="Z29" s="91"/>
      <c r="AA29" s="91"/>
      <c r="AB29" s="91"/>
      <c r="AC29" s="91"/>
      <c r="AD29" s="92"/>
    </row>
    <row r="30" spans="1:30" ht="15" customHeight="1" x14ac:dyDescent="0.2">
      <c r="A30" s="90"/>
      <c r="B30" s="91"/>
      <c r="C30" s="91"/>
      <c r="D30" s="91"/>
      <c r="E30" s="91"/>
      <c r="F30" s="91"/>
      <c r="G30" s="91"/>
      <c r="H30" s="91"/>
      <c r="I30" s="91"/>
      <c r="J30" s="91"/>
      <c r="K30" s="91"/>
      <c r="L30" s="91"/>
      <c r="M30" s="91"/>
      <c r="N30" s="91"/>
      <c r="O30" s="91"/>
      <c r="P30" s="91"/>
      <c r="Q30" s="91"/>
      <c r="R30" s="91"/>
      <c r="S30" s="91"/>
      <c r="T30" s="91"/>
      <c r="U30" s="91"/>
      <c r="V30" s="91"/>
      <c r="W30" s="91"/>
      <c r="X30" s="91"/>
      <c r="Y30" s="91"/>
      <c r="Z30" s="91"/>
      <c r="AA30" s="91"/>
      <c r="AB30" s="91"/>
      <c r="AC30" s="91"/>
      <c r="AD30" s="92"/>
    </row>
    <row r="31" spans="1:30" ht="15" customHeight="1" x14ac:dyDescent="0.2">
      <c r="A31" s="90"/>
      <c r="B31" s="91"/>
      <c r="C31" s="91"/>
      <c r="D31" s="91"/>
      <c r="E31" s="91"/>
      <c r="F31" s="91"/>
      <c r="G31" s="91"/>
      <c r="H31" s="91"/>
      <c r="I31" s="91"/>
      <c r="J31" s="91"/>
      <c r="K31" s="91"/>
      <c r="L31" s="91"/>
      <c r="M31" s="91"/>
      <c r="N31" s="91"/>
      <c r="O31" s="91"/>
      <c r="P31" s="91"/>
      <c r="Q31" s="91"/>
      <c r="R31" s="91"/>
      <c r="S31" s="91"/>
      <c r="T31" s="91"/>
      <c r="U31" s="91"/>
      <c r="V31" s="91"/>
      <c r="W31" s="91"/>
      <c r="X31" s="91"/>
      <c r="Y31" s="91"/>
      <c r="Z31" s="91"/>
      <c r="AA31" s="91"/>
      <c r="AB31" s="91"/>
      <c r="AC31" s="91"/>
      <c r="AD31" s="92"/>
    </row>
    <row r="32" spans="1:30" ht="15" customHeight="1" x14ac:dyDescent="0.2">
      <c r="A32" s="90"/>
      <c r="B32" s="91"/>
      <c r="C32" s="91"/>
      <c r="D32" s="91"/>
      <c r="E32" s="91"/>
      <c r="F32" s="91"/>
      <c r="G32" s="91"/>
      <c r="H32" s="91"/>
      <c r="I32" s="91"/>
      <c r="J32" s="91"/>
      <c r="K32" s="91"/>
      <c r="L32" s="91"/>
      <c r="M32" s="91"/>
      <c r="N32" s="91"/>
      <c r="O32" s="91"/>
      <c r="P32" s="91"/>
      <c r="Q32" s="91"/>
      <c r="R32" s="91"/>
      <c r="S32" s="91"/>
      <c r="T32" s="91"/>
      <c r="U32" s="91"/>
      <c r="V32" s="91"/>
      <c r="W32" s="91"/>
      <c r="X32" s="91"/>
      <c r="Y32" s="91"/>
      <c r="Z32" s="91"/>
      <c r="AA32" s="91"/>
      <c r="AB32" s="91"/>
      <c r="AC32" s="91"/>
      <c r="AD32" s="92"/>
    </row>
    <row r="33" spans="1:30" ht="15" customHeight="1" x14ac:dyDescent="0.2">
      <c r="A33" s="90"/>
      <c r="B33" s="91"/>
      <c r="C33" s="91"/>
      <c r="D33" s="91"/>
      <c r="E33" s="91"/>
      <c r="F33" s="91"/>
      <c r="G33" s="91"/>
      <c r="H33" s="91"/>
      <c r="I33" s="91"/>
      <c r="J33" s="91"/>
      <c r="K33" s="91"/>
      <c r="L33" s="91"/>
      <c r="M33" s="91"/>
      <c r="N33" s="91"/>
      <c r="O33" s="91"/>
      <c r="P33" s="91"/>
      <c r="Q33" s="91"/>
      <c r="R33" s="91"/>
      <c r="S33" s="91"/>
      <c r="T33" s="91"/>
      <c r="U33" s="91"/>
      <c r="V33" s="91"/>
      <c r="W33" s="91"/>
      <c r="X33" s="91"/>
      <c r="Y33" s="91"/>
      <c r="Z33" s="91"/>
      <c r="AA33" s="91"/>
      <c r="AB33" s="91"/>
      <c r="AC33" s="91"/>
      <c r="AD33" s="92"/>
    </row>
    <row r="34" spans="1:30" ht="15" customHeight="1" x14ac:dyDescent="0.2">
      <c r="A34" s="90"/>
      <c r="B34" s="91"/>
      <c r="C34" s="91"/>
      <c r="D34" s="91"/>
      <c r="E34" s="91"/>
      <c r="F34" s="91"/>
      <c r="G34" s="91"/>
      <c r="H34" s="91"/>
      <c r="I34" s="91"/>
      <c r="J34" s="91"/>
      <c r="K34" s="91"/>
      <c r="L34" s="91"/>
      <c r="M34" s="91"/>
      <c r="N34" s="91"/>
      <c r="O34" s="91"/>
      <c r="P34" s="91"/>
      <c r="Q34" s="91"/>
      <c r="R34" s="91"/>
      <c r="S34" s="91"/>
      <c r="T34" s="91"/>
      <c r="U34" s="91"/>
      <c r="V34" s="91"/>
      <c r="W34" s="91"/>
      <c r="X34" s="91"/>
      <c r="Y34" s="91"/>
      <c r="Z34" s="91"/>
      <c r="AA34" s="91"/>
      <c r="AB34" s="91"/>
      <c r="AC34" s="91"/>
      <c r="AD34" s="92"/>
    </row>
    <row r="35" spans="1:30" ht="15" customHeight="1" x14ac:dyDescent="0.2">
      <c r="A35" s="90"/>
      <c r="B35" s="91"/>
      <c r="C35" s="91"/>
      <c r="D35" s="91"/>
      <c r="E35" s="91"/>
      <c r="F35" s="91"/>
      <c r="G35" s="91"/>
      <c r="H35" s="91"/>
      <c r="I35" s="91"/>
      <c r="J35" s="91"/>
      <c r="K35" s="91"/>
      <c r="L35" s="91"/>
      <c r="M35" s="91"/>
      <c r="N35" s="91"/>
      <c r="O35" s="91"/>
      <c r="P35" s="91"/>
      <c r="Q35" s="91"/>
      <c r="R35" s="91"/>
      <c r="S35" s="91"/>
      <c r="T35" s="91"/>
      <c r="U35" s="91"/>
      <c r="V35" s="91"/>
      <c r="W35" s="91"/>
      <c r="X35" s="91"/>
      <c r="Y35" s="91"/>
      <c r="Z35" s="91"/>
      <c r="AA35" s="91"/>
      <c r="AB35" s="91"/>
      <c r="AC35" s="91"/>
      <c r="AD35" s="92"/>
    </row>
    <row r="36" spans="1:30" ht="15" customHeight="1" x14ac:dyDescent="0.2">
      <c r="A36" s="90"/>
      <c r="B36" s="91"/>
      <c r="C36" s="91"/>
      <c r="D36" s="91"/>
      <c r="E36" s="91"/>
      <c r="F36" s="91"/>
      <c r="G36" s="91"/>
      <c r="H36" s="91"/>
      <c r="I36" s="91"/>
      <c r="J36" s="91"/>
      <c r="K36" s="91"/>
      <c r="L36" s="91"/>
      <c r="M36" s="91"/>
      <c r="N36" s="91"/>
      <c r="O36" s="91"/>
      <c r="P36" s="91"/>
      <c r="Q36" s="91"/>
      <c r="R36" s="91"/>
      <c r="S36" s="91"/>
      <c r="T36" s="91"/>
      <c r="U36" s="91"/>
      <c r="V36" s="91"/>
      <c r="W36" s="91"/>
      <c r="X36" s="91"/>
      <c r="Y36" s="91"/>
      <c r="Z36" s="91"/>
      <c r="AA36" s="91"/>
      <c r="AB36" s="91"/>
      <c r="AC36" s="91"/>
      <c r="AD36" s="92"/>
    </row>
    <row r="37" spans="1:30" ht="15" customHeight="1" x14ac:dyDescent="0.2">
      <c r="A37" s="90"/>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c r="AD37" s="92"/>
    </row>
    <row r="38" spans="1:30" ht="15" customHeight="1" x14ac:dyDescent="0.2">
      <c r="A38" s="90"/>
      <c r="B38" s="91"/>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c r="AD38" s="92"/>
    </row>
    <row r="39" spans="1:30" ht="15" customHeight="1" thickBot="1" x14ac:dyDescent="0.25">
      <c r="A39" s="93"/>
      <c r="B39" s="94"/>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5"/>
    </row>
    <row r="40" spans="1:30" ht="30" customHeight="1" x14ac:dyDescent="0.2">
      <c r="A40" s="96"/>
      <c r="B40" s="97"/>
      <c r="C40" s="98"/>
      <c r="D40" s="99"/>
      <c r="E40" s="99"/>
      <c r="F40" s="97"/>
      <c r="G40" s="98"/>
      <c r="H40" s="99"/>
      <c r="I40" s="99"/>
      <c r="J40" s="99"/>
      <c r="K40" s="99"/>
      <c r="L40" s="99"/>
      <c r="M40" s="99"/>
      <c r="N40" s="99"/>
      <c r="O40" s="99"/>
      <c r="P40" s="98"/>
      <c r="Q40" s="99"/>
      <c r="R40" s="99"/>
      <c r="S40" s="99"/>
      <c r="T40" s="97"/>
      <c r="U40" s="98"/>
      <c r="V40" s="99"/>
      <c r="W40" s="99"/>
      <c r="X40" s="99"/>
      <c r="Y40" s="97"/>
      <c r="Z40" s="98"/>
      <c r="AA40" s="99"/>
      <c r="AB40" s="99"/>
      <c r="AC40" s="99"/>
      <c r="AD40" s="100"/>
    </row>
    <row r="41" spans="1:30" ht="30" customHeight="1" x14ac:dyDescent="0.2">
      <c r="A41" s="104"/>
      <c r="B41" s="105"/>
      <c r="C41" s="101"/>
      <c r="D41" s="102"/>
      <c r="E41" s="102"/>
      <c r="F41" s="105"/>
      <c r="G41" s="101"/>
      <c r="H41" s="102"/>
      <c r="I41" s="102"/>
      <c r="J41" s="102"/>
      <c r="K41" s="102"/>
      <c r="L41" s="102"/>
      <c r="M41" s="102"/>
      <c r="N41" s="102"/>
      <c r="O41" s="102"/>
      <c r="P41" s="101"/>
      <c r="Q41" s="102"/>
      <c r="R41" s="102"/>
      <c r="S41" s="102"/>
      <c r="T41" s="105"/>
      <c r="U41" s="101"/>
      <c r="V41" s="102"/>
      <c r="W41" s="102"/>
      <c r="X41" s="102"/>
      <c r="Y41" s="105"/>
      <c r="Z41" s="101"/>
      <c r="AA41" s="102"/>
      <c r="AB41" s="102"/>
      <c r="AC41" s="102"/>
      <c r="AD41" s="103"/>
    </row>
    <row r="42" spans="1:30" ht="30" customHeight="1" x14ac:dyDescent="0.2">
      <c r="A42" s="104"/>
      <c r="B42" s="105"/>
      <c r="C42" s="101"/>
      <c r="D42" s="102"/>
      <c r="E42" s="102"/>
      <c r="F42" s="105"/>
      <c r="G42" s="101"/>
      <c r="H42" s="102"/>
      <c r="I42" s="102"/>
      <c r="J42" s="102"/>
      <c r="K42" s="102"/>
      <c r="L42" s="102"/>
      <c r="M42" s="102"/>
      <c r="N42" s="102"/>
      <c r="O42" s="102"/>
      <c r="P42" s="101"/>
      <c r="Q42" s="102"/>
      <c r="R42" s="102"/>
      <c r="S42" s="102"/>
      <c r="T42" s="105"/>
      <c r="U42" s="101"/>
      <c r="V42" s="102"/>
      <c r="W42" s="102"/>
      <c r="X42" s="102"/>
      <c r="Y42" s="105"/>
      <c r="Z42" s="101"/>
      <c r="AA42" s="102"/>
      <c r="AB42" s="102"/>
      <c r="AC42" s="102"/>
      <c r="AD42" s="103"/>
    </row>
    <row r="43" spans="1:30" ht="30" customHeight="1" x14ac:dyDescent="0.2">
      <c r="A43" s="104"/>
      <c r="B43" s="105"/>
      <c r="C43" s="101"/>
      <c r="D43" s="102"/>
      <c r="E43" s="102"/>
      <c r="F43" s="105"/>
      <c r="G43" s="101"/>
      <c r="H43" s="102"/>
      <c r="I43" s="102"/>
      <c r="J43" s="102"/>
      <c r="K43" s="102"/>
      <c r="L43" s="102"/>
      <c r="M43" s="102"/>
      <c r="N43" s="102"/>
      <c r="O43" s="102"/>
      <c r="P43" s="101"/>
      <c r="Q43" s="102"/>
      <c r="R43" s="102"/>
      <c r="S43" s="102"/>
      <c r="T43" s="105"/>
      <c r="U43" s="101"/>
      <c r="V43" s="102"/>
      <c r="W43" s="102"/>
      <c r="X43" s="102"/>
      <c r="Y43" s="105"/>
      <c r="Z43" s="101"/>
      <c r="AA43" s="102"/>
      <c r="AB43" s="102"/>
      <c r="AC43" s="102"/>
      <c r="AD43" s="103"/>
    </row>
    <row r="44" spans="1:30" ht="30" customHeight="1" x14ac:dyDescent="0.2">
      <c r="A44" s="104"/>
      <c r="B44" s="105"/>
      <c r="C44" s="101"/>
      <c r="D44" s="102"/>
      <c r="E44" s="102"/>
      <c r="F44" s="105"/>
      <c r="G44" s="101"/>
      <c r="H44" s="102"/>
      <c r="I44" s="102"/>
      <c r="J44" s="102"/>
      <c r="K44" s="102"/>
      <c r="L44" s="102"/>
      <c r="M44" s="102"/>
      <c r="N44" s="102"/>
      <c r="O44" s="102"/>
      <c r="P44" s="101"/>
      <c r="Q44" s="102"/>
      <c r="R44" s="102"/>
      <c r="S44" s="102"/>
      <c r="T44" s="105"/>
      <c r="U44" s="101"/>
      <c r="V44" s="102"/>
      <c r="W44" s="102"/>
      <c r="X44" s="102"/>
      <c r="Y44" s="105"/>
      <c r="Z44" s="101"/>
      <c r="AA44" s="102"/>
      <c r="AB44" s="102"/>
      <c r="AC44" s="102"/>
      <c r="AD44" s="103"/>
    </row>
    <row r="45" spans="1:30" ht="30" customHeight="1" x14ac:dyDescent="0.2">
      <c r="A45" s="104"/>
      <c r="B45" s="105"/>
      <c r="C45" s="101"/>
      <c r="D45" s="102"/>
      <c r="E45" s="102"/>
      <c r="F45" s="105"/>
      <c r="G45" s="101"/>
      <c r="H45" s="102"/>
      <c r="I45" s="102"/>
      <c r="J45" s="102"/>
      <c r="K45" s="102"/>
      <c r="L45" s="102"/>
      <c r="M45" s="102"/>
      <c r="N45" s="102"/>
      <c r="O45" s="102"/>
      <c r="P45" s="101"/>
      <c r="Q45" s="102"/>
      <c r="R45" s="102"/>
      <c r="S45" s="102"/>
      <c r="T45" s="105"/>
      <c r="U45" s="101"/>
      <c r="V45" s="102"/>
      <c r="W45" s="102"/>
      <c r="X45" s="102"/>
      <c r="Y45" s="105"/>
      <c r="Z45" s="101"/>
      <c r="AA45" s="102"/>
      <c r="AB45" s="102"/>
      <c r="AC45" s="102"/>
      <c r="AD45" s="103"/>
    </row>
    <row r="46" spans="1:30" ht="30" customHeight="1" x14ac:dyDescent="0.2">
      <c r="A46" s="109">
        <v>0</v>
      </c>
      <c r="B46" s="110"/>
      <c r="C46" s="111"/>
      <c r="D46" s="112"/>
      <c r="E46" s="112"/>
      <c r="F46" s="113"/>
      <c r="G46" s="114" t="s">
        <v>0</v>
      </c>
      <c r="H46" s="115"/>
      <c r="I46" s="115"/>
      <c r="J46" s="115"/>
      <c r="K46" s="115"/>
      <c r="L46" s="115"/>
      <c r="M46" s="115"/>
      <c r="N46" s="115"/>
      <c r="O46" s="115"/>
      <c r="P46" s="106" t="s">
        <v>1</v>
      </c>
      <c r="Q46" s="107"/>
      <c r="R46" s="107"/>
      <c r="S46" s="107"/>
      <c r="T46" s="116"/>
      <c r="U46" s="106" t="s">
        <v>2</v>
      </c>
      <c r="V46" s="107"/>
      <c r="W46" s="107"/>
      <c r="X46" s="107"/>
      <c r="Y46" s="116"/>
      <c r="Z46" s="106" t="s">
        <v>3</v>
      </c>
      <c r="AA46" s="107"/>
      <c r="AB46" s="107"/>
      <c r="AC46" s="107"/>
      <c r="AD46" s="108"/>
    </row>
    <row r="47" spans="1:30" ht="15" customHeight="1" thickBot="1" x14ac:dyDescent="0.25">
      <c r="A47" s="120" t="s">
        <v>4</v>
      </c>
      <c r="B47" s="121"/>
      <c r="C47" s="122" t="s">
        <v>5</v>
      </c>
      <c r="D47" s="123"/>
      <c r="E47" s="123"/>
      <c r="F47" s="124"/>
      <c r="G47" s="122" t="s">
        <v>6</v>
      </c>
      <c r="H47" s="123"/>
      <c r="I47" s="123"/>
      <c r="J47" s="123"/>
      <c r="K47" s="123"/>
      <c r="L47" s="123"/>
      <c r="M47" s="123"/>
      <c r="N47" s="123"/>
      <c r="O47" s="123"/>
      <c r="P47" s="122" t="s">
        <v>7</v>
      </c>
      <c r="Q47" s="123"/>
      <c r="R47" s="123"/>
      <c r="S47" s="123"/>
      <c r="T47" s="124"/>
      <c r="U47" s="122" t="s">
        <v>8</v>
      </c>
      <c r="V47" s="123"/>
      <c r="W47" s="123"/>
      <c r="X47" s="123"/>
      <c r="Y47" s="123"/>
      <c r="Z47" s="122" t="s">
        <v>9</v>
      </c>
      <c r="AA47" s="123"/>
      <c r="AB47" s="123"/>
      <c r="AC47" s="123"/>
      <c r="AD47" s="125"/>
    </row>
    <row r="48" spans="1:30" ht="15" customHeight="1" thickBot="1" x14ac:dyDescent="0.25">
      <c r="A48" s="117" t="s">
        <v>10</v>
      </c>
      <c r="B48" s="118"/>
      <c r="C48" s="118"/>
      <c r="D48" s="118"/>
      <c r="E48" s="118"/>
      <c r="F48" s="118"/>
      <c r="G48" s="118"/>
      <c r="H48" s="118"/>
      <c r="I48" s="118"/>
      <c r="J48" s="118"/>
      <c r="K48" s="118"/>
      <c r="L48" s="118"/>
      <c r="M48" s="118"/>
      <c r="N48" s="118"/>
      <c r="O48" s="118"/>
      <c r="P48" s="118"/>
      <c r="Q48" s="118"/>
      <c r="R48" s="118"/>
      <c r="S48" s="118"/>
      <c r="T48" s="118"/>
      <c r="U48" s="118"/>
      <c r="V48" s="118"/>
      <c r="W48" s="118"/>
      <c r="X48" s="118"/>
      <c r="Y48" s="118"/>
      <c r="Z48" s="118"/>
      <c r="AA48" s="118"/>
      <c r="AB48" s="118"/>
      <c r="AC48" s="118"/>
      <c r="AD48" s="119"/>
    </row>
  </sheetData>
  <mergeCells count="50">
    <mergeCell ref="A48:AD48"/>
    <mergeCell ref="A47:B47"/>
    <mergeCell ref="C47:F47"/>
    <mergeCell ref="G47:O47"/>
    <mergeCell ref="P47:T47"/>
    <mergeCell ref="U47:Y47"/>
    <mergeCell ref="Z47:AD47"/>
    <mergeCell ref="Z46:AD46"/>
    <mergeCell ref="A45:B45"/>
    <mergeCell ref="C45:F45"/>
    <mergeCell ref="G45:O45"/>
    <mergeCell ref="P45:T45"/>
    <mergeCell ref="U45:Y45"/>
    <mergeCell ref="Z45:AD45"/>
    <mergeCell ref="A46:B46"/>
    <mergeCell ref="C46:F46"/>
    <mergeCell ref="G46:O46"/>
    <mergeCell ref="P46:T46"/>
    <mergeCell ref="U46:Y46"/>
    <mergeCell ref="Z44:AD44"/>
    <mergeCell ref="A43:B43"/>
    <mergeCell ref="C43:F43"/>
    <mergeCell ref="G43:O43"/>
    <mergeCell ref="P43:T43"/>
    <mergeCell ref="U43:Y43"/>
    <mergeCell ref="Z43:AD43"/>
    <mergeCell ref="A44:B44"/>
    <mergeCell ref="C44:F44"/>
    <mergeCell ref="G44:O44"/>
    <mergeCell ref="P44:T44"/>
    <mergeCell ref="U44:Y44"/>
    <mergeCell ref="Z42:AD42"/>
    <mergeCell ref="A41:B41"/>
    <mergeCell ref="C41:F41"/>
    <mergeCell ref="G41:O41"/>
    <mergeCell ref="P41:T41"/>
    <mergeCell ref="U41:Y41"/>
    <mergeCell ref="Z41:AD41"/>
    <mergeCell ref="A42:B42"/>
    <mergeCell ref="C42:F42"/>
    <mergeCell ref="G42:O42"/>
    <mergeCell ref="P42:T42"/>
    <mergeCell ref="U42:Y42"/>
    <mergeCell ref="A8:AD39"/>
    <mergeCell ref="A40:B40"/>
    <mergeCell ref="C40:F40"/>
    <mergeCell ref="G40:O40"/>
    <mergeCell ref="P40:T40"/>
    <mergeCell ref="U40:Y40"/>
    <mergeCell ref="Z40:AD40"/>
  </mergeCells>
  <printOptions horizontalCentered="1" verticalCentered="1"/>
  <pageMargins left="0.70866141732283472" right="0.70866141732283472" top="0.74803149606299213" bottom="0.74803149606299213" header="0.31496062992125984" footer="0.31496062992125984"/>
  <pageSetup paperSize="9" scale="90" fitToWidth="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8C33B-5666-4079-AE91-3B340AA3BC9D}">
  <sheetPr codeName="Sheet2">
    <tabColor rgb="FF92D050"/>
    <pageSetUpPr fitToPage="1"/>
  </sheetPr>
  <dimension ref="A1:AI50"/>
  <sheetViews>
    <sheetView topLeftCell="I6" zoomScale="85" zoomScaleNormal="85" workbookViewId="0">
      <selection activeCell="V26" sqref="V26"/>
    </sheetView>
  </sheetViews>
  <sheetFormatPr defaultColWidth="9.140625" defaultRowHeight="12.75" x14ac:dyDescent="0.2"/>
  <cols>
    <col min="1" max="1" width="7.5703125" style="3" customWidth="1"/>
    <col min="2" max="2" width="7.7109375" style="3" customWidth="1"/>
    <col min="3" max="3" width="6.28515625" style="3" customWidth="1"/>
    <col min="4" max="4" width="11.5703125" style="3" customWidth="1"/>
    <col min="5" max="5" width="9.85546875" style="3" customWidth="1"/>
    <col min="6" max="6" width="9.5703125" style="3" customWidth="1"/>
    <col min="7" max="7" width="12.5703125" style="3" customWidth="1"/>
    <col min="8" max="8" width="17.42578125" style="3" customWidth="1"/>
    <col min="9" max="10" width="9.42578125" style="3" customWidth="1"/>
    <col min="11" max="11" width="5.85546875" style="3" customWidth="1"/>
    <col min="12" max="12" width="9.140625" style="3" customWidth="1"/>
    <col min="13" max="16384" width="9.140625" style="3"/>
  </cols>
  <sheetData>
    <row r="1" spans="1:35" ht="18.75" customHeight="1" x14ac:dyDescent="0.2">
      <c r="A1" s="135"/>
      <c r="B1" s="135"/>
      <c r="C1" s="135"/>
      <c r="D1" s="135"/>
      <c r="E1" s="136"/>
      <c r="F1" s="126" t="s">
        <v>11</v>
      </c>
      <c r="G1" s="127"/>
      <c r="H1" s="127"/>
      <c r="I1" s="127"/>
      <c r="J1" s="127"/>
      <c r="K1" s="128"/>
    </row>
    <row r="2" spans="1:35" ht="18.75" customHeight="1" x14ac:dyDescent="0.2">
      <c r="A2" s="135"/>
      <c r="B2" s="135"/>
      <c r="C2" s="135"/>
      <c r="D2" s="135"/>
      <c r="E2" s="136"/>
      <c r="F2" s="129"/>
      <c r="G2" s="130"/>
      <c r="H2" s="130"/>
      <c r="I2" s="130"/>
      <c r="J2" s="130"/>
      <c r="K2" s="131"/>
    </row>
    <row r="3" spans="1:35" ht="18.75" customHeight="1" x14ac:dyDescent="0.2">
      <c r="A3" s="135"/>
      <c r="B3" s="135"/>
      <c r="C3" s="135"/>
      <c r="D3" s="135"/>
      <c r="E3" s="136"/>
      <c r="F3" s="132"/>
      <c r="G3" s="133"/>
      <c r="H3" s="133"/>
      <c r="I3" s="133"/>
      <c r="J3" s="133"/>
      <c r="K3" s="134"/>
    </row>
    <row r="4" spans="1:35" x14ac:dyDescent="0.2">
      <c r="A4" s="12"/>
      <c r="B4" s="12"/>
      <c r="C4" s="12"/>
      <c r="D4" s="12"/>
      <c r="E4" s="12"/>
      <c r="F4" s="12"/>
      <c r="G4" s="12"/>
      <c r="H4" s="12"/>
      <c r="I4" s="12"/>
      <c r="J4" s="12"/>
      <c r="K4" s="9"/>
    </row>
    <row r="5" spans="1:35" x14ac:dyDescent="0.2">
      <c r="A5" s="12"/>
      <c r="B5" s="17" t="s">
        <v>12</v>
      </c>
      <c r="C5" s="18"/>
      <c r="D5" s="19"/>
      <c r="E5" s="45"/>
      <c r="F5" s="46"/>
      <c r="G5" s="46"/>
      <c r="H5" s="15"/>
      <c r="I5" s="15"/>
      <c r="J5" s="15"/>
      <c r="K5" s="16"/>
    </row>
    <row r="6" spans="1:35" x14ac:dyDescent="0.2">
      <c r="A6" s="12"/>
      <c r="B6" s="17" t="s">
        <v>13</v>
      </c>
      <c r="C6" s="18"/>
      <c r="D6" s="19"/>
      <c r="E6" s="45"/>
      <c r="F6" s="46"/>
      <c r="G6" s="46"/>
      <c r="H6" s="15"/>
      <c r="I6" s="15"/>
      <c r="J6" s="15"/>
      <c r="K6" s="16"/>
    </row>
    <row r="7" spans="1:35" x14ac:dyDescent="0.2">
      <c r="A7" s="12"/>
      <c r="B7" s="17" t="s">
        <v>14</v>
      </c>
      <c r="C7" s="18"/>
      <c r="D7" s="19"/>
      <c r="E7" s="47"/>
      <c r="F7" s="48"/>
      <c r="G7" s="48"/>
      <c r="H7" s="15"/>
      <c r="I7" s="15"/>
      <c r="J7" s="15"/>
      <c r="K7" s="16"/>
      <c r="M7" s="3" t="s">
        <v>15</v>
      </c>
      <c r="Y7" s="3" t="s">
        <v>16</v>
      </c>
    </row>
    <row r="8" spans="1:35" ht="15.75" x14ac:dyDescent="0.25">
      <c r="A8" s="12"/>
      <c r="B8" s="15"/>
      <c r="C8" s="20"/>
      <c r="D8" s="20"/>
      <c r="E8" s="15"/>
      <c r="F8" s="15"/>
      <c r="G8" s="15"/>
      <c r="H8" s="15"/>
      <c r="I8" s="15"/>
      <c r="J8" s="15"/>
      <c r="K8" s="16"/>
      <c r="M8" s="12"/>
      <c r="N8" s="15"/>
      <c r="O8" s="20"/>
      <c r="P8" s="20"/>
      <c r="Q8" s="15"/>
      <c r="R8" s="15"/>
      <c r="S8" s="15"/>
      <c r="T8" s="15"/>
      <c r="U8" s="15"/>
      <c r="V8" s="15"/>
      <c r="W8" s="16"/>
      <c r="Y8" s="12"/>
      <c r="Z8" s="15"/>
      <c r="AA8" s="20"/>
      <c r="AB8" s="20"/>
      <c r="AC8" s="15"/>
      <c r="AD8" s="15"/>
      <c r="AE8" s="15"/>
      <c r="AF8" s="15"/>
      <c r="AG8" s="15"/>
      <c r="AH8" s="15"/>
      <c r="AI8" s="16"/>
    </row>
    <row r="9" spans="1:35" ht="18.75" x14ac:dyDescent="0.3">
      <c r="A9" s="12"/>
      <c r="B9" s="42" t="s">
        <v>17</v>
      </c>
      <c r="C9" s="43"/>
      <c r="D9" s="43"/>
      <c r="E9" s="44"/>
      <c r="F9" s="15"/>
      <c r="G9" s="15"/>
      <c r="H9" s="15"/>
      <c r="I9" s="15"/>
      <c r="J9" s="15"/>
      <c r="K9" s="16"/>
      <c r="M9" s="12"/>
      <c r="N9" s="42" t="s">
        <v>17</v>
      </c>
      <c r="O9" s="43"/>
      <c r="P9" s="43"/>
      <c r="Q9" s="44"/>
      <c r="R9" s="15"/>
      <c r="S9" s="15"/>
      <c r="T9" s="15"/>
      <c r="U9" s="15"/>
      <c r="V9" s="15"/>
      <c r="W9" s="16"/>
      <c r="Y9" s="12"/>
      <c r="Z9" s="42" t="s">
        <v>17</v>
      </c>
      <c r="AA9" s="43"/>
      <c r="AB9" s="43"/>
      <c r="AC9" s="44"/>
      <c r="AD9" s="15"/>
      <c r="AE9" s="15"/>
      <c r="AF9" s="15"/>
      <c r="AG9" s="15"/>
      <c r="AH9" s="15"/>
      <c r="AI9" s="16"/>
    </row>
    <row r="10" spans="1:35" x14ac:dyDescent="0.2">
      <c r="A10" s="12"/>
      <c r="B10" s="17" t="s">
        <v>18</v>
      </c>
      <c r="C10" s="18"/>
      <c r="D10" s="19"/>
      <c r="E10" s="49" t="s">
        <v>16</v>
      </c>
      <c r="F10" s="15"/>
      <c r="G10" s="15"/>
      <c r="H10" s="15" t="s">
        <v>19</v>
      </c>
      <c r="I10" s="15"/>
      <c r="J10" s="15"/>
      <c r="K10" s="15"/>
      <c r="M10" s="12"/>
      <c r="N10" s="17" t="s">
        <v>18</v>
      </c>
      <c r="O10" s="18"/>
      <c r="P10" s="19"/>
      <c r="Q10" s="49" t="s">
        <v>15</v>
      </c>
      <c r="R10" s="15"/>
      <c r="S10" s="15"/>
      <c r="T10" s="15" t="s">
        <v>19</v>
      </c>
      <c r="U10" s="15"/>
      <c r="V10" s="15"/>
      <c r="W10" s="15"/>
      <c r="Y10" s="12"/>
      <c r="Z10" s="17" t="s">
        <v>18</v>
      </c>
      <c r="AA10" s="18"/>
      <c r="AB10" s="19"/>
      <c r="AC10" s="49" t="s">
        <v>16</v>
      </c>
      <c r="AD10" s="15"/>
      <c r="AE10" s="15"/>
      <c r="AF10" s="15" t="s">
        <v>19</v>
      </c>
      <c r="AG10" s="15"/>
      <c r="AH10" s="15"/>
      <c r="AI10" s="15"/>
    </row>
    <row r="11" spans="1:35" x14ac:dyDescent="0.2">
      <c r="A11" s="12"/>
      <c r="B11" s="17" t="s">
        <v>20</v>
      </c>
      <c r="C11" s="18"/>
      <c r="D11" s="19"/>
      <c r="E11" s="50">
        <v>1800</v>
      </c>
      <c r="F11" s="15" t="s">
        <v>21</v>
      </c>
      <c r="G11" s="15"/>
      <c r="H11" s="19" t="s">
        <v>22</v>
      </c>
      <c r="I11" s="50">
        <v>600</v>
      </c>
      <c r="J11" s="15" t="str">
        <f>+IF($E$10=setup!$B$6,"mm","in")</f>
        <v>mm</v>
      </c>
      <c r="K11" s="16"/>
      <c r="M11" s="12"/>
      <c r="N11" s="17" t="s">
        <v>20</v>
      </c>
      <c r="O11" s="18"/>
      <c r="P11" s="19"/>
      <c r="Q11" s="50">
        <v>1800</v>
      </c>
      <c r="R11" s="15" t="s">
        <v>21</v>
      </c>
      <c r="S11" s="15"/>
      <c r="T11" s="19" t="s">
        <v>22</v>
      </c>
      <c r="U11" s="50">
        <f>+IF($E$10="SI",I11/25.4,I11)</f>
        <v>23.622047244094489</v>
      </c>
      <c r="V11" s="15" t="s">
        <v>23</v>
      </c>
      <c r="W11" s="16"/>
      <c r="Y11" s="12"/>
      <c r="Z11" s="17" t="s">
        <v>20</v>
      </c>
      <c r="AA11" s="18"/>
      <c r="AB11" s="19"/>
      <c r="AC11" s="50">
        <v>1800</v>
      </c>
      <c r="AD11" s="15" t="s">
        <v>21</v>
      </c>
      <c r="AE11" s="15"/>
      <c r="AF11" s="19" t="s">
        <v>22</v>
      </c>
      <c r="AG11" s="50">
        <f t="shared" ref="AG11:AG12" si="0">+IF($E$10="US",I11*25.4,I11)</f>
        <v>600</v>
      </c>
      <c r="AH11" s="15" t="s">
        <v>24</v>
      </c>
      <c r="AI11" s="16"/>
    </row>
    <row r="12" spans="1:35" x14ac:dyDescent="0.2">
      <c r="A12" s="12"/>
      <c r="B12" s="17" t="s">
        <v>25</v>
      </c>
      <c r="C12" s="18"/>
      <c r="D12" s="19"/>
      <c r="E12" s="50">
        <v>4000</v>
      </c>
      <c r="F12" s="15" t="str">
        <f>+IF($E$10=setup!$B$6,"m3/h","GPM")</f>
        <v>m3/h</v>
      </c>
      <c r="G12" s="15"/>
      <c r="H12" s="19" t="s">
        <v>26</v>
      </c>
      <c r="I12" s="50">
        <v>600</v>
      </c>
      <c r="J12" s="15" t="str">
        <f>+IF($E$10=setup!$B$6,"mm","in")</f>
        <v>mm</v>
      </c>
      <c r="K12" s="16"/>
      <c r="M12" s="12"/>
      <c r="N12" s="17" t="s">
        <v>25</v>
      </c>
      <c r="O12" s="18"/>
      <c r="P12" s="19"/>
      <c r="Q12" s="50">
        <f>+IF($E$10="SI",E12/0.227,E12)</f>
        <v>17621.145374449337</v>
      </c>
      <c r="R12" s="15" t="s">
        <v>27</v>
      </c>
      <c r="S12" s="15"/>
      <c r="T12" s="19" t="s">
        <v>26</v>
      </c>
      <c r="U12" s="50">
        <f>+IF($E$10="SI",I12/25.4,I12)</f>
        <v>23.622047244094489</v>
      </c>
      <c r="V12" s="15" t="s">
        <v>23</v>
      </c>
      <c r="W12" s="16"/>
      <c r="Y12" s="12"/>
      <c r="Z12" s="17" t="s">
        <v>25</v>
      </c>
      <c r="AA12" s="18"/>
      <c r="AB12" s="19"/>
      <c r="AC12" s="50">
        <f>+IF($E$10="US",E12*0.227,E12)</f>
        <v>4000</v>
      </c>
      <c r="AD12" s="15" t="s">
        <v>28</v>
      </c>
      <c r="AE12" s="15"/>
      <c r="AF12" s="19" t="s">
        <v>26</v>
      </c>
      <c r="AG12" s="50">
        <f t="shared" si="0"/>
        <v>600</v>
      </c>
      <c r="AH12" s="15" t="s">
        <v>24</v>
      </c>
      <c r="AI12" s="16"/>
    </row>
    <row r="13" spans="1:35" x14ac:dyDescent="0.2">
      <c r="A13" s="12"/>
      <c r="B13" s="17" t="s">
        <v>29</v>
      </c>
      <c r="C13" s="18"/>
      <c r="D13" s="19"/>
      <c r="E13" s="50">
        <v>400</v>
      </c>
      <c r="F13" s="15" t="str">
        <f>+IF(E10=setup!B6,"m","ft")</f>
        <v>m</v>
      </c>
      <c r="G13" s="15"/>
      <c r="H13" s="15"/>
      <c r="I13" s="15"/>
      <c r="J13" s="15"/>
      <c r="K13" s="16"/>
      <c r="M13" s="12"/>
      <c r="N13" s="17" t="s">
        <v>29</v>
      </c>
      <c r="O13" s="18"/>
      <c r="P13" s="19"/>
      <c r="Q13" s="50">
        <f>+IF($E$10="SI",E13/0.3048,E13)</f>
        <v>1312.3359580052493</v>
      </c>
      <c r="R13" s="15" t="str">
        <f>+IF(Q10=setup!S6,"m","ft")</f>
        <v>ft</v>
      </c>
      <c r="S13" s="15"/>
      <c r="T13" s="15"/>
      <c r="U13" s="15"/>
      <c r="V13" s="15"/>
      <c r="W13" s="16"/>
      <c r="Y13" s="12"/>
      <c r="Z13" s="17" t="s">
        <v>29</v>
      </c>
      <c r="AA13" s="18"/>
      <c r="AB13" s="19"/>
      <c r="AC13" s="50">
        <f>+IF($E$10="US",E13*0.3048,E13)</f>
        <v>400</v>
      </c>
      <c r="AD13" s="15" t="s">
        <v>30</v>
      </c>
      <c r="AE13" s="15"/>
      <c r="AF13" s="15"/>
      <c r="AG13" s="15"/>
      <c r="AH13" s="15"/>
      <c r="AI13" s="16"/>
    </row>
    <row r="14" spans="1:35" x14ac:dyDescent="0.2">
      <c r="A14" s="12"/>
      <c r="B14" s="17" t="s">
        <v>31</v>
      </c>
      <c r="C14" s="18"/>
      <c r="D14" s="19"/>
      <c r="E14" s="50">
        <v>1</v>
      </c>
      <c r="F14" s="15"/>
      <c r="G14" s="15"/>
      <c r="H14" s="15"/>
      <c r="I14" s="15"/>
      <c r="J14" s="15"/>
      <c r="K14" s="16"/>
      <c r="M14" s="12"/>
      <c r="N14" s="17" t="s">
        <v>31</v>
      </c>
      <c r="O14" s="18"/>
      <c r="P14" s="19"/>
      <c r="Q14" s="50">
        <v>1</v>
      </c>
      <c r="R14" s="15"/>
      <c r="S14" s="15"/>
      <c r="T14" s="15"/>
      <c r="U14" s="15"/>
      <c r="V14" s="15"/>
      <c r="W14" s="16"/>
      <c r="Y14" s="12"/>
      <c r="Z14" s="17" t="s">
        <v>31</v>
      </c>
      <c r="AA14" s="18"/>
      <c r="AB14" s="19"/>
      <c r="AC14" s="50">
        <v>1</v>
      </c>
      <c r="AD14" s="15"/>
      <c r="AE14" s="15"/>
      <c r="AF14" s="15"/>
      <c r="AG14" s="15"/>
      <c r="AH14" s="15"/>
      <c r="AI14" s="16"/>
    </row>
    <row r="15" spans="1:35" x14ac:dyDescent="0.2">
      <c r="A15" s="12"/>
      <c r="B15" s="17" t="s">
        <v>32</v>
      </c>
      <c r="C15" s="18"/>
      <c r="D15" s="19"/>
      <c r="E15" s="51">
        <v>700</v>
      </c>
      <c r="F15" s="15" t="str">
        <f>+IF($E$10=setup!$B$6,"mm","in")</f>
        <v>mm</v>
      </c>
      <c r="G15" s="15"/>
      <c r="H15" s="15"/>
      <c r="I15" s="15"/>
      <c r="J15" s="15"/>
      <c r="K15" s="16"/>
      <c r="M15" s="12"/>
      <c r="N15" s="17" t="s">
        <v>32</v>
      </c>
      <c r="O15" s="18"/>
      <c r="P15" s="19"/>
      <c r="Q15" s="50">
        <f>+IF($E$10="SI",E15/25.4,E15)</f>
        <v>27.559055118110237</v>
      </c>
      <c r="R15" s="15" t="s">
        <v>23</v>
      </c>
      <c r="S15" s="15"/>
      <c r="T15" s="86" t="s">
        <v>33</v>
      </c>
      <c r="U15" s="15"/>
      <c r="V15" s="15"/>
      <c r="W15" s="16"/>
      <c r="Y15" s="12"/>
      <c r="Z15" s="17" t="s">
        <v>32</v>
      </c>
      <c r="AA15" s="18"/>
      <c r="AB15" s="19"/>
      <c r="AC15" s="50">
        <f>+IF($E$10="US",E15*25.4,E15)</f>
        <v>700</v>
      </c>
      <c r="AD15" s="15" t="s">
        <v>24</v>
      </c>
      <c r="AE15" s="15"/>
      <c r="AF15" s="86" t="s">
        <v>34</v>
      </c>
      <c r="AG15" s="15"/>
      <c r="AH15" s="15"/>
      <c r="AI15" s="16"/>
    </row>
    <row r="16" spans="1:35" x14ac:dyDescent="0.2">
      <c r="A16" s="12"/>
      <c r="B16" s="17" t="s">
        <v>35</v>
      </c>
      <c r="C16" s="18"/>
      <c r="D16" s="19"/>
      <c r="E16" s="52">
        <v>1900</v>
      </c>
      <c r="F16" s="15" t="str">
        <f>+IF($E$10=setup!$B$6,"mm","in")</f>
        <v>mm</v>
      </c>
      <c r="G16" s="15"/>
      <c r="H16" s="15"/>
      <c r="I16" s="15"/>
      <c r="J16" s="15"/>
      <c r="K16" s="16"/>
      <c r="M16" s="12"/>
      <c r="N16" s="17" t="s">
        <v>35</v>
      </c>
      <c r="O16" s="18"/>
      <c r="P16" s="19"/>
      <c r="Q16" s="50">
        <f>+IF($E$10="SI",E16/25.4,E16)</f>
        <v>74.803149606299215</v>
      </c>
      <c r="R16" s="15" t="s">
        <v>23</v>
      </c>
      <c r="S16" s="15"/>
      <c r="T16" s="86">
        <f>+calc!A13/25</f>
        <v>1</v>
      </c>
      <c r="U16" s="15"/>
      <c r="V16" s="15"/>
      <c r="W16" s="16"/>
      <c r="Y16" s="12"/>
      <c r="Z16" s="17" t="s">
        <v>35</v>
      </c>
      <c r="AA16" s="18"/>
      <c r="AB16" s="19"/>
      <c r="AC16" s="50">
        <f>+IF($E$10="US",E16*25.4,E16)</f>
        <v>1900</v>
      </c>
      <c r="AD16" s="15" t="s">
        <v>24</v>
      </c>
      <c r="AE16" s="15"/>
      <c r="AF16" s="86">
        <f>+T16*25</f>
        <v>25</v>
      </c>
      <c r="AG16" s="15"/>
      <c r="AH16" s="15"/>
      <c r="AI16" s="16"/>
    </row>
    <row r="17" spans="1:35" x14ac:dyDescent="0.2">
      <c r="A17" s="12"/>
      <c r="B17" s="17" t="s">
        <v>36</v>
      </c>
      <c r="C17" s="18"/>
      <c r="D17" s="19"/>
      <c r="E17" s="52">
        <v>0</v>
      </c>
      <c r="F17" s="15" t="str">
        <f>+IF($E$10=setup!$B$6,"m3/h","GPM")</f>
        <v>m3/h</v>
      </c>
      <c r="G17" s="15"/>
      <c r="H17" s="15"/>
      <c r="I17" s="15"/>
      <c r="J17" s="15"/>
      <c r="K17" s="16"/>
      <c r="M17" s="12"/>
      <c r="N17" s="17" t="s">
        <v>36</v>
      </c>
      <c r="O17" s="18"/>
      <c r="P17" s="19"/>
      <c r="Q17" s="50">
        <f>+IF($E$10="SI",E17/0.227,E17)</f>
        <v>0</v>
      </c>
      <c r="R17" s="15" t="s">
        <v>27</v>
      </c>
      <c r="S17" s="15"/>
      <c r="T17" s="86">
        <f>+calc!A14/25</f>
        <v>2</v>
      </c>
      <c r="U17" s="15"/>
      <c r="V17" s="15"/>
      <c r="W17" s="16"/>
      <c r="Y17" s="12"/>
      <c r="Z17" s="17" t="s">
        <v>36</v>
      </c>
      <c r="AA17" s="18"/>
      <c r="AB17" s="19"/>
      <c r="AC17" s="50">
        <f>+IF($E$10="US",E17*0.227,E17)</f>
        <v>0</v>
      </c>
      <c r="AD17" s="15" t="s">
        <v>28</v>
      </c>
      <c r="AE17" s="15"/>
      <c r="AF17" s="86">
        <f t="shared" ref="AF17:AF48" si="1">+T17*25</f>
        <v>50</v>
      </c>
      <c r="AG17" s="15"/>
      <c r="AH17" s="15"/>
      <c r="AI17" s="16"/>
    </row>
    <row r="18" spans="1:35" x14ac:dyDescent="0.2">
      <c r="A18" s="12"/>
      <c r="B18" s="17" t="s">
        <v>37</v>
      </c>
      <c r="C18" s="18"/>
      <c r="D18" s="19"/>
      <c r="E18" s="51" t="s">
        <v>38</v>
      </c>
      <c r="F18" s="15"/>
      <c r="G18" s="15"/>
      <c r="H18" s="15"/>
      <c r="I18" s="15"/>
      <c r="J18" s="15"/>
      <c r="K18" s="15"/>
      <c r="M18" s="12"/>
      <c r="N18" s="17"/>
      <c r="O18" s="18"/>
      <c r="P18" s="19"/>
      <c r="Q18" s="51"/>
      <c r="R18" s="15"/>
      <c r="S18" s="15"/>
      <c r="T18" s="86">
        <f>+calc!A15/25</f>
        <v>3</v>
      </c>
      <c r="U18" s="15"/>
      <c r="V18" s="15"/>
      <c r="W18" s="15"/>
      <c r="Y18" s="12"/>
      <c r="Z18" s="17"/>
      <c r="AA18" s="18"/>
      <c r="AB18" s="19"/>
      <c r="AC18" s="51"/>
      <c r="AD18" s="15"/>
      <c r="AE18" s="15"/>
      <c r="AF18" s="86">
        <f t="shared" si="1"/>
        <v>75</v>
      </c>
      <c r="AG18" s="15"/>
      <c r="AH18" s="15"/>
      <c r="AI18" s="15"/>
    </row>
    <row r="19" spans="1:35" x14ac:dyDescent="0.2">
      <c r="A19" s="12"/>
      <c r="B19" s="17" t="s">
        <v>39</v>
      </c>
      <c r="C19" s="18"/>
      <c r="D19" s="19"/>
      <c r="E19" s="51">
        <v>350</v>
      </c>
      <c r="F19" s="15" t="str">
        <f>+IF($E$10=setup!$B$6,"mm","in")</f>
        <v>mm</v>
      </c>
      <c r="G19" s="15"/>
      <c r="H19" s="15"/>
      <c r="I19" s="15"/>
      <c r="J19" s="15"/>
      <c r="K19" s="16"/>
      <c r="M19" s="12"/>
      <c r="N19" s="17" t="s">
        <v>39</v>
      </c>
      <c r="O19" s="18"/>
      <c r="P19" s="19"/>
      <c r="Q19" s="50">
        <f>+IF($E$10="SI",E19/25.4,E19)</f>
        <v>13.779527559055119</v>
      </c>
      <c r="R19" s="15" t="s">
        <v>23</v>
      </c>
      <c r="S19" s="15"/>
      <c r="T19" s="86">
        <f>+calc!A16/25</f>
        <v>4</v>
      </c>
      <c r="U19" s="15"/>
      <c r="V19" s="15"/>
      <c r="W19" s="16"/>
      <c r="Y19" s="12"/>
      <c r="Z19" s="17" t="s">
        <v>39</v>
      </c>
      <c r="AA19" s="18"/>
      <c r="AB19" s="19"/>
      <c r="AC19" s="50">
        <f t="shared" ref="AC19:AC20" si="2">+IF($E$10="US",E19*25.4,E19)</f>
        <v>350</v>
      </c>
      <c r="AD19" s="15" t="s">
        <v>24</v>
      </c>
      <c r="AE19" s="15"/>
      <c r="AF19" s="86">
        <f t="shared" si="1"/>
        <v>100</v>
      </c>
      <c r="AG19" s="15"/>
      <c r="AH19" s="15"/>
      <c r="AI19" s="16"/>
    </row>
    <row r="20" spans="1:35" x14ac:dyDescent="0.2">
      <c r="A20" s="12"/>
      <c r="B20" s="17" t="s">
        <v>40</v>
      </c>
      <c r="C20" s="18"/>
      <c r="D20" s="19"/>
      <c r="E20" s="51">
        <v>150</v>
      </c>
      <c r="F20" s="15" t="str">
        <f>+IF($E$10=setup!$B$6,"mm","in")</f>
        <v>mm</v>
      </c>
      <c r="G20" s="13"/>
      <c r="H20" s="13"/>
      <c r="I20" s="13"/>
      <c r="J20" s="13"/>
      <c r="K20" s="14"/>
      <c r="M20" s="12"/>
      <c r="N20" s="17" t="s">
        <v>40</v>
      </c>
      <c r="O20" s="18"/>
      <c r="P20" s="19"/>
      <c r="Q20" s="50">
        <f>+IF($E$10="SI",E20/25.4,E20)</f>
        <v>5.9055118110236222</v>
      </c>
      <c r="R20" s="15" t="s">
        <v>23</v>
      </c>
      <c r="S20" s="13"/>
      <c r="T20" s="86">
        <f>+calc!A17/25</f>
        <v>5</v>
      </c>
      <c r="U20" s="13"/>
      <c r="V20" s="13"/>
      <c r="W20" s="14"/>
      <c r="Y20" s="12"/>
      <c r="Z20" s="17" t="s">
        <v>40</v>
      </c>
      <c r="AA20" s="18"/>
      <c r="AB20" s="19"/>
      <c r="AC20" s="50">
        <f t="shared" si="2"/>
        <v>150</v>
      </c>
      <c r="AD20" s="15" t="s">
        <v>24</v>
      </c>
      <c r="AE20" s="13"/>
      <c r="AF20" s="86">
        <f t="shared" si="1"/>
        <v>125</v>
      </c>
      <c r="AG20" s="13"/>
      <c r="AH20" s="13"/>
      <c r="AI20" s="14"/>
    </row>
    <row r="21" spans="1:35" x14ac:dyDescent="0.2">
      <c r="A21" s="12"/>
      <c r="B21" s="12"/>
      <c r="C21" s="12"/>
      <c r="D21" s="12"/>
      <c r="E21" s="12"/>
      <c r="F21" s="12"/>
      <c r="G21" s="13"/>
      <c r="H21" s="13"/>
      <c r="I21" s="13"/>
      <c r="J21" s="13"/>
      <c r="K21" s="14"/>
      <c r="M21" s="12"/>
      <c r="N21" s="12"/>
      <c r="O21" s="12"/>
      <c r="P21" s="12"/>
      <c r="Q21" s="12"/>
      <c r="R21" s="12"/>
      <c r="S21" s="13"/>
      <c r="T21" s="86">
        <f>+calc!A18/25</f>
        <v>6</v>
      </c>
      <c r="U21" s="13"/>
      <c r="V21" s="13"/>
      <c r="W21" s="14"/>
      <c r="Y21" s="12"/>
      <c r="Z21" s="12"/>
      <c r="AA21" s="12"/>
      <c r="AB21" s="12"/>
      <c r="AC21" s="12"/>
      <c r="AD21" s="12"/>
      <c r="AE21" s="13"/>
      <c r="AF21" s="86">
        <f t="shared" si="1"/>
        <v>150</v>
      </c>
      <c r="AG21" s="13"/>
      <c r="AH21" s="13"/>
      <c r="AI21" s="14"/>
    </row>
    <row r="22" spans="1:35" ht="22.5" customHeight="1" x14ac:dyDescent="0.3">
      <c r="A22" s="141" t="s">
        <v>41</v>
      </c>
      <c r="B22" s="141"/>
      <c r="C22" s="141"/>
      <c r="D22" s="141"/>
      <c r="E22" s="141"/>
      <c r="F22" s="141"/>
      <c r="G22" s="141"/>
      <c r="H22" s="141"/>
      <c r="I22" s="141"/>
      <c r="J22" s="141"/>
      <c r="K22" s="142"/>
      <c r="M22" s="12"/>
      <c r="N22" s="12"/>
      <c r="O22" s="12"/>
      <c r="P22" s="12"/>
      <c r="Q22" s="12"/>
      <c r="R22" s="12"/>
      <c r="S22" s="13"/>
      <c r="T22" s="86">
        <f>+calc!A19/25</f>
        <v>8</v>
      </c>
      <c r="U22" s="13"/>
      <c r="V22" s="13"/>
      <c r="W22" s="14"/>
      <c r="Y22" s="12"/>
      <c r="Z22" s="12"/>
      <c r="AA22" s="12"/>
      <c r="AB22" s="12"/>
      <c r="AC22" s="12"/>
      <c r="AD22" s="12"/>
      <c r="AE22" s="13"/>
      <c r="AF22" s="86">
        <f t="shared" si="1"/>
        <v>200</v>
      </c>
      <c r="AG22" s="13"/>
      <c r="AH22" s="13"/>
      <c r="AI22" s="14"/>
    </row>
    <row r="23" spans="1:35" ht="22.5" customHeight="1" x14ac:dyDescent="0.2">
      <c r="A23" s="12"/>
      <c r="B23" s="12"/>
      <c r="C23" s="12"/>
      <c r="D23" s="12"/>
      <c r="E23" s="12"/>
      <c r="F23" s="12"/>
      <c r="G23" s="13"/>
      <c r="H23" s="13"/>
      <c r="I23" s="13"/>
      <c r="J23" s="13"/>
      <c r="K23" s="14"/>
      <c r="M23" s="12"/>
      <c r="N23" s="12"/>
      <c r="O23" s="12"/>
      <c r="P23" s="12"/>
      <c r="Q23" s="12"/>
      <c r="R23" s="12"/>
      <c r="S23" s="13"/>
      <c r="T23" s="86">
        <f>+calc!A20/25</f>
        <v>10</v>
      </c>
      <c r="U23" s="13"/>
      <c r="V23" s="13"/>
      <c r="W23" s="14"/>
      <c r="Y23" s="12"/>
      <c r="Z23" s="12"/>
      <c r="AA23" s="12"/>
      <c r="AB23" s="12"/>
      <c r="AC23" s="12"/>
      <c r="AD23" s="12"/>
      <c r="AE23" s="13"/>
      <c r="AF23" s="86">
        <f t="shared" si="1"/>
        <v>250</v>
      </c>
      <c r="AG23" s="13"/>
      <c r="AH23" s="13"/>
      <c r="AI23" s="14"/>
    </row>
    <row r="24" spans="1:35" ht="22.5" customHeight="1" x14ac:dyDescent="0.2">
      <c r="A24" s="12"/>
      <c r="B24" s="12"/>
      <c r="C24" s="12"/>
      <c r="D24" s="12"/>
      <c r="E24" s="12"/>
      <c r="F24" s="12"/>
      <c r="G24" s="13"/>
      <c r="H24" s="13"/>
      <c r="I24" s="13"/>
      <c r="J24" s="13"/>
      <c r="K24" s="14"/>
      <c r="M24" s="12"/>
      <c r="N24" s="12"/>
      <c r="O24" s="12"/>
      <c r="P24" s="12"/>
      <c r="Q24" s="12"/>
      <c r="R24" s="12"/>
      <c r="S24" s="13"/>
      <c r="T24" s="86">
        <f>+calc!A21/25</f>
        <v>12</v>
      </c>
      <c r="U24" s="13"/>
      <c r="V24" s="13"/>
      <c r="W24" s="14"/>
      <c r="Y24" s="12"/>
      <c r="Z24" s="12"/>
      <c r="AA24" s="12"/>
      <c r="AB24" s="12"/>
      <c r="AC24" s="12"/>
      <c r="AD24" s="12"/>
      <c r="AE24" s="13"/>
      <c r="AF24" s="86">
        <f t="shared" si="1"/>
        <v>300</v>
      </c>
      <c r="AG24" s="13"/>
      <c r="AH24" s="13"/>
      <c r="AI24" s="14"/>
    </row>
    <row r="25" spans="1:35" ht="22.5" customHeight="1" x14ac:dyDescent="0.2">
      <c r="A25" s="12"/>
      <c r="B25" s="12"/>
      <c r="C25" s="12"/>
      <c r="D25" s="12"/>
      <c r="E25" s="12"/>
      <c r="F25" s="12"/>
      <c r="G25" s="13"/>
      <c r="H25" s="13"/>
      <c r="I25" s="13"/>
      <c r="J25" s="13"/>
      <c r="K25" s="14"/>
      <c r="M25" s="12"/>
      <c r="N25" s="12"/>
      <c r="O25" s="12"/>
      <c r="P25" s="12"/>
      <c r="Q25" s="12"/>
      <c r="R25" s="12"/>
      <c r="S25" s="13"/>
      <c r="T25" s="86">
        <f>+calc!A22/25</f>
        <v>14</v>
      </c>
      <c r="U25" s="13"/>
      <c r="V25" s="13"/>
      <c r="W25" s="14"/>
      <c r="Y25" s="12"/>
      <c r="Z25" s="12"/>
      <c r="AA25" s="12"/>
      <c r="AB25" s="12"/>
      <c r="AC25" s="12"/>
      <c r="AD25" s="12"/>
      <c r="AE25" s="13"/>
      <c r="AF25" s="86">
        <f t="shared" si="1"/>
        <v>350</v>
      </c>
      <c r="AG25" s="13"/>
      <c r="AH25" s="13"/>
      <c r="AI25" s="14"/>
    </row>
    <row r="26" spans="1:35" ht="22.5" customHeight="1" x14ac:dyDescent="0.2">
      <c r="A26" s="12"/>
      <c r="B26" s="12"/>
      <c r="C26" s="12"/>
      <c r="D26" s="12"/>
      <c r="E26" s="12"/>
      <c r="F26" s="12"/>
      <c r="G26" s="13"/>
      <c r="H26" s="13"/>
      <c r="I26" s="13"/>
      <c r="J26" s="13"/>
      <c r="K26" s="14"/>
      <c r="M26" s="12"/>
      <c r="N26" s="12"/>
      <c r="O26" s="12"/>
      <c r="P26" s="12"/>
      <c r="Q26" s="12"/>
      <c r="R26" s="12"/>
      <c r="S26" s="13"/>
      <c r="T26" s="86">
        <f>+calc!A23/25</f>
        <v>16</v>
      </c>
      <c r="U26" s="13"/>
      <c r="V26" s="13"/>
      <c r="W26" s="14"/>
      <c r="Y26" s="12"/>
      <c r="Z26" s="12"/>
      <c r="AA26" s="12"/>
      <c r="AB26" s="12"/>
      <c r="AC26" s="12"/>
      <c r="AD26" s="12"/>
      <c r="AE26" s="13"/>
      <c r="AF26" s="86">
        <f t="shared" si="1"/>
        <v>400</v>
      </c>
      <c r="AG26" s="13"/>
      <c r="AH26" s="13"/>
      <c r="AI26" s="14"/>
    </row>
    <row r="27" spans="1:35" ht="22.5" customHeight="1" x14ac:dyDescent="0.2">
      <c r="A27" s="12"/>
      <c r="B27" s="12"/>
      <c r="C27" s="12"/>
      <c r="D27" s="12"/>
      <c r="E27" s="12"/>
      <c r="F27" s="12"/>
      <c r="G27" s="13"/>
      <c r="H27" s="13"/>
      <c r="I27" s="13"/>
      <c r="J27" s="13"/>
      <c r="K27" s="14"/>
      <c r="M27" s="12"/>
      <c r="N27" s="12"/>
      <c r="O27" s="12"/>
      <c r="P27" s="12"/>
      <c r="Q27" s="12"/>
      <c r="R27" s="12"/>
      <c r="S27" s="13"/>
      <c r="T27" s="86">
        <f>+calc!A24/25</f>
        <v>18</v>
      </c>
      <c r="U27" s="13"/>
      <c r="V27" s="13"/>
      <c r="W27" s="14"/>
      <c r="Y27" s="12"/>
      <c r="Z27" s="12"/>
      <c r="AA27" s="12"/>
      <c r="AB27" s="12"/>
      <c r="AC27" s="12"/>
      <c r="AD27" s="12"/>
      <c r="AE27" s="13"/>
      <c r="AF27" s="86">
        <f t="shared" si="1"/>
        <v>450</v>
      </c>
      <c r="AG27" s="13"/>
      <c r="AH27" s="13"/>
      <c r="AI27" s="14"/>
    </row>
    <row r="28" spans="1:35" ht="22.5" customHeight="1" x14ac:dyDescent="0.2">
      <c r="A28" s="12"/>
      <c r="B28" s="12"/>
      <c r="C28" s="12"/>
      <c r="D28" s="12"/>
      <c r="E28" s="12"/>
      <c r="F28" s="12"/>
      <c r="G28" s="13"/>
      <c r="H28" s="13"/>
      <c r="I28" s="13"/>
      <c r="J28" s="13"/>
      <c r="K28" s="14"/>
      <c r="M28" s="12"/>
      <c r="N28" s="12"/>
      <c r="O28" s="12"/>
      <c r="P28" s="12"/>
      <c r="Q28" s="12"/>
      <c r="R28" s="12"/>
      <c r="S28" s="13"/>
      <c r="T28" s="86">
        <f>+calc!A25/25</f>
        <v>20</v>
      </c>
      <c r="U28" s="13"/>
      <c r="V28" s="13"/>
      <c r="W28" s="14"/>
      <c r="Y28" s="12"/>
      <c r="Z28" s="12"/>
      <c r="AA28" s="12"/>
      <c r="AB28" s="12"/>
      <c r="AC28" s="12"/>
      <c r="AD28" s="12"/>
      <c r="AE28" s="13"/>
      <c r="AF28" s="86">
        <f t="shared" si="1"/>
        <v>500</v>
      </c>
      <c r="AG28" s="13"/>
      <c r="AH28" s="13"/>
      <c r="AI28" s="14"/>
    </row>
    <row r="29" spans="1:35" ht="22.5" customHeight="1" x14ac:dyDescent="0.2">
      <c r="A29" s="12"/>
      <c r="B29" s="12"/>
      <c r="C29" s="12"/>
      <c r="D29" s="12"/>
      <c r="E29" s="12"/>
      <c r="F29" s="12"/>
      <c r="G29" s="13"/>
      <c r="H29" s="13"/>
      <c r="I29" s="13"/>
      <c r="J29" s="13"/>
      <c r="K29" s="14"/>
      <c r="M29" s="12"/>
      <c r="N29" s="12"/>
      <c r="O29" s="12"/>
      <c r="P29" s="12"/>
      <c r="Q29" s="12"/>
      <c r="R29" s="12"/>
      <c r="S29" s="13"/>
      <c r="T29" s="86">
        <f>+calc!A26/25</f>
        <v>24</v>
      </c>
      <c r="U29" s="13"/>
      <c r="V29" s="13"/>
      <c r="W29" s="14"/>
      <c r="Y29" s="12"/>
      <c r="Z29" s="12"/>
      <c r="AA29" s="12"/>
      <c r="AB29" s="12"/>
      <c r="AC29" s="12"/>
      <c r="AD29" s="12"/>
      <c r="AE29" s="13"/>
      <c r="AF29" s="86">
        <f t="shared" si="1"/>
        <v>600</v>
      </c>
      <c r="AG29" s="13"/>
      <c r="AH29" s="13"/>
      <c r="AI29" s="14"/>
    </row>
    <row r="30" spans="1:35" ht="22.5" customHeight="1" x14ac:dyDescent="0.2">
      <c r="A30" s="12"/>
      <c r="B30" s="12"/>
      <c r="C30" s="12"/>
      <c r="D30" s="12"/>
      <c r="E30" s="12"/>
      <c r="F30" s="12"/>
      <c r="G30" s="13"/>
      <c r="H30" s="13"/>
      <c r="I30" s="13"/>
      <c r="J30" s="13"/>
      <c r="K30" s="14"/>
      <c r="M30" s="12"/>
      <c r="N30" s="12"/>
      <c r="O30" s="12"/>
      <c r="P30" s="12"/>
      <c r="Q30" s="12"/>
      <c r="R30" s="12"/>
      <c r="S30" s="13"/>
      <c r="T30" s="86">
        <f>+calc!A27/25</f>
        <v>28</v>
      </c>
      <c r="U30" s="13"/>
      <c r="V30" s="13"/>
      <c r="W30" s="14"/>
      <c r="Y30" s="12"/>
      <c r="Z30" s="12"/>
      <c r="AA30" s="12"/>
      <c r="AB30" s="12"/>
      <c r="AC30" s="12"/>
      <c r="AD30" s="12"/>
      <c r="AE30" s="13"/>
      <c r="AF30" s="86">
        <f t="shared" si="1"/>
        <v>700</v>
      </c>
      <c r="AG30" s="13"/>
      <c r="AH30" s="13"/>
      <c r="AI30" s="14"/>
    </row>
    <row r="31" spans="1:35" ht="22.5" customHeight="1" x14ac:dyDescent="0.2">
      <c r="A31" s="12"/>
      <c r="B31" s="12"/>
      <c r="C31" s="12"/>
      <c r="D31" s="12"/>
      <c r="E31" s="12"/>
      <c r="F31" s="12"/>
      <c r="G31" s="13"/>
      <c r="H31" s="13"/>
      <c r="I31" s="13"/>
      <c r="J31" s="13"/>
      <c r="K31" s="14"/>
      <c r="M31" s="12"/>
      <c r="N31" s="12"/>
      <c r="O31" s="12"/>
      <c r="P31" s="12"/>
      <c r="Q31" s="12"/>
      <c r="R31" s="12"/>
      <c r="S31" s="13"/>
      <c r="T31" s="86">
        <f>+calc!A28/25</f>
        <v>32</v>
      </c>
      <c r="U31" s="13"/>
      <c r="V31" s="13"/>
      <c r="W31" s="14"/>
      <c r="Y31" s="12"/>
      <c r="Z31" s="12"/>
      <c r="AA31" s="12"/>
      <c r="AB31" s="12"/>
      <c r="AC31" s="12"/>
      <c r="AD31" s="12"/>
      <c r="AE31" s="13"/>
      <c r="AF31" s="86">
        <f t="shared" si="1"/>
        <v>800</v>
      </c>
      <c r="AG31" s="13"/>
      <c r="AH31" s="13"/>
      <c r="AI31" s="14"/>
    </row>
    <row r="32" spans="1:35" ht="22.5" customHeight="1" x14ac:dyDescent="0.2">
      <c r="A32" s="12"/>
      <c r="B32" s="8"/>
      <c r="C32" s="8"/>
      <c r="D32" s="8"/>
      <c r="E32" s="8"/>
      <c r="F32" s="8"/>
      <c r="G32" s="10"/>
      <c r="H32" s="10"/>
      <c r="I32" s="10"/>
      <c r="J32" s="10"/>
      <c r="K32" s="11"/>
      <c r="M32" s="12"/>
      <c r="N32" s="12"/>
      <c r="O32" s="12"/>
      <c r="P32" s="12"/>
      <c r="Q32" s="12"/>
      <c r="R32" s="12"/>
      <c r="S32" s="13"/>
      <c r="T32" s="86">
        <f>+calc!A29/25</f>
        <v>36</v>
      </c>
      <c r="U32" s="13"/>
      <c r="V32" s="13"/>
      <c r="W32" s="14"/>
      <c r="Y32" s="12"/>
      <c r="Z32" s="12"/>
      <c r="AA32" s="12"/>
      <c r="AB32" s="12"/>
      <c r="AC32" s="12"/>
      <c r="AD32" s="12"/>
      <c r="AE32" s="13"/>
      <c r="AF32" s="86">
        <f t="shared" si="1"/>
        <v>900</v>
      </c>
      <c r="AG32" s="13"/>
      <c r="AH32" s="13"/>
      <c r="AI32" s="14"/>
    </row>
    <row r="33" spans="1:35" ht="18.75" x14ac:dyDescent="0.3">
      <c r="A33" s="141" t="s">
        <v>41</v>
      </c>
      <c r="B33" s="141"/>
      <c r="C33" s="141"/>
      <c r="D33" s="141"/>
      <c r="E33" s="141"/>
      <c r="F33" s="141"/>
      <c r="G33" s="141"/>
      <c r="H33" s="141"/>
      <c r="I33" s="141"/>
      <c r="J33" s="141"/>
      <c r="K33" s="142"/>
      <c r="M33" s="12"/>
      <c r="N33" s="12"/>
      <c r="O33" s="12"/>
      <c r="P33" s="12"/>
      <c r="Q33" s="12"/>
      <c r="R33" s="12"/>
      <c r="S33" s="13"/>
      <c r="T33" s="86">
        <f>+calc!A30/25</f>
        <v>40</v>
      </c>
      <c r="U33" s="13"/>
      <c r="V33" s="13"/>
      <c r="W33" s="14"/>
      <c r="Y33" s="12"/>
      <c r="Z33" s="12"/>
      <c r="AA33" s="12"/>
      <c r="AB33" s="12"/>
      <c r="AC33" s="12"/>
      <c r="AD33" s="12"/>
      <c r="AE33" s="13"/>
      <c r="AF33" s="86">
        <f t="shared" si="1"/>
        <v>1000</v>
      </c>
      <c r="AG33" s="13"/>
      <c r="AH33" s="13"/>
      <c r="AI33" s="14"/>
    </row>
    <row r="34" spans="1:35" x14ac:dyDescent="0.2">
      <c r="A34" s="12"/>
      <c r="B34" s="12"/>
      <c r="C34" s="12"/>
      <c r="D34" s="12"/>
      <c r="E34" s="12"/>
      <c r="F34" s="12"/>
      <c r="G34" s="12"/>
      <c r="H34" s="12"/>
      <c r="I34" s="12"/>
      <c r="J34" s="12"/>
      <c r="K34" s="12"/>
      <c r="M34" s="12"/>
      <c r="N34" s="12"/>
      <c r="O34" s="12"/>
      <c r="P34" s="12"/>
      <c r="Q34" s="12"/>
      <c r="R34" s="12"/>
      <c r="S34" s="13"/>
      <c r="T34" s="86">
        <f>+calc!A31/25</f>
        <v>44</v>
      </c>
      <c r="U34" s="13"/>
      <c r="V34" s="13"/>
      <c r="W34" s="14"/>
      <c r="Y34" s="12"/>
      <c r="Z34" s="12"/>
      <c r="AA34" s="12"/>
      <c r="AB34" s="12"/>
      <c r="AC34" s="12"/>
      <c r="AD34" s="12"/>
      <c r="AE34" s="13"/>
      <c r="AF34" s="86">
        <f t="shared" si="1"/>
        <v>1100</v>
      </c>
      <c r="AG34" s="13"/>
      <c r="AH34" s="13"/>
      <c r="AI34" s="14"/>
    </row>
    <row r="35" spans="1:35" x14ac:dyDescent="0.2">
      <c r="A35" s="12"/>
      <c r="B35" s="17" t="s">
        <v>42</v>
      </c>
      <c r="C35" s="18"/>
      <c r="D35" s="18"/>
      <c r="E35" s="18"/>
      <c r="F35" s="15"/>
      <c r="G35" s="15"/>
      <c r="H35" s="15"/>
      <c r="I35" s="12"/>
      <c r="J35" s="12"/>
      <c r="K35" s="12"/>
      <c r="M35" s="12"/>
      <c r="N35" s="12"/>
      <c r="O35" s="12"/>
      <c r="P35" s="12"/>
      <c r="Q35" s="12"/>
      <c r="R35" s="12"/>
      <c r="S35" s="13"/>
      <c r="T35" s="86">
        <v>48</v>
      </c>
      <c r="U35" s="13"/>
      <c r="V35" s="13"/>
      <c r="W35" s="14"/>
      <c r="Y35" s="12"/>
      <c r="Z35" s="12"/>
      <c r="AA35" s="12"/>
      <c r="AB35" s="12"/>
      <c r="AC35" s="12"/>
      <c r="AD35" s="12"/>
      <c r="AE35" s="13"/>
      <c r="AF35" s="86">
        <f t="shared" si="1"/>
        <v>1200</v>
      </c>
      <c r="AG35" s="13"/>
      <c r="AH35" s="13"/>
      <c r="AI35" s="14"/>
    </row>
    <row r="36" spans="1:35" ht="25.5" x14ac:dyDescent="0.2">
      <c r="A36" s="12"/>
      <c r="B36" s="74"/>
      <c r="C36" s="74" t="s">
        <v>43</v>
      </c>
      <c r="D36" s="74" t="s">
        <v>44</v>
      </c>
      <c r="E36" s="74" t="s">
        <v>45</v>
      </c>
      <c r="F36" s="74" t="s">
        <v>46</v>
      </c>
      <c r="G36" s="15"/>
      <c r="H36" s="67" t="s">
        <v>47</v>
      </c>
      <c r="I36" s="67" t="s">
        <v>48</v>
      </c>
      <c r="J36" s="12"/>
      <c r="K36" s="12"/>
      <c r="M36" s="12"/>
      <c r="N36" s="12"/>
      <c r="O36" s="12"/>
      <c r="P36" s="12"/>
      <c r="Q36" s="12"/>
      <c r="R36" s="12"/>
      <c r="S36" s="13"/>
      <c r="T36" s="86">
        <f>+T35+4</f>
        <v>52</v>
      </c>
      <c r="U36" s="13"/>
      <c r="V36" s="13"/>
      <c r="W36" s="14"/>
      <c r="Y36" s="12"/>
      <c r="Z36" s="12"/>
      <c r="AA36" s="12"/>
      <c r="AB36" s="12"/>
      <c r="AC36" s="12"/>
      <c r="AD36" s="12"/>
      <c r="AE36" s="13"/>
      <c r="AF36" s="86">
        <f t="shared" si="1"/>
        <v>1300</v>
      </c>
      <c r="AG36" s="13"/>
      <c r="AH36" s="13"/>
      <c r="AI36" s="14"/>
    </row>
    <row r="37" spans="1:35" x14ac:dyDescent="0.2">
      <c r="A37" s="12"/>
      <c r="B37" s="75" t="s">
        <v>49</v>
      </c>
      <c r="C37" s="76">
        <f>+IF($E$10="SI",Metric_Conversion!C37,Metric_Conversion!C37/25)</f>
        <v>416.67968595148011</v>
      </c>
      <c r="D37" s="75">
        <f>+IF($E$10="SI",Metric_Conversion!D37,Metric_Conversion!D37/25)</f>
        <v>600</v>
      </c>
      <c r="E37" s="75">
        <f>+IF($E$10="SI",Metric_Conversion!E37,Metric_Conversion!E37/25)</f>
        <v>700</v>
      </c>
      <c r="F37" s="78">
        <f>+I12</f>
        <v>600</v>
      </c>
      <c r="G37" s="15" t="str">
        <f>+IF($E$10=setup!$B$6,"mm","in")</f>
        <v>mm</v>
      </c>
      <c r="H37" s="79">
        <f>+calc!BD46</f>
        <v>21.213203435596427</v>
      </c>
      <c r="I37" s="80">
        <f>+H37*51.6</f>
        <v>1094.6012972767755</v>
      </c>
      <c r="J37" s="12"/>
      <c r="K37" s="12"/>
      <c r="M37" s="12"/>
      <c r="N37" s="12"/>
      <c r="O37" s="12"/>
      <c r="P37" s="12"/>
      <c r="Q37" s="12"/>
      <c r="R37" s="12"/>
      <c r="S37" s="13"/>
      <c r="T37" s="86">
        <f t="shared" ref="T37:T48" si="3">+T36+4</f>
        <v>56</v>
      </c>
      <c r="U37" s="13"/>
      <c r="V37" s="13"/>
      <c r="W37" s="14"/>
      <c r="Y37" s="12"/>
      <c r="Z37" s="12"/>
      <c r="AA37" s="12"/>
      <c r="AB37" s="12"/>
      <c r="AC37" s="12"/>
      <c r="AD37" s="12"/>
      <c r="AE37" s="13"/>
      <c r="AF37" s="86">
        <f t="shared" si="1"/>
        <v>1400</v>
      </c>
      <c r="AG37" s="13"/>
      <c r="AH37" s="13"/>
      <c r="AI37" s="14"/>
    </row>
    <row r="38" spans="1:35" x14ac:dyDescent="0.2">
      <c r="A38" s="12"/>
      <c r="B38" s="75" t="s">
        <v>50</v>
      </c>
      <c r="C38" s="76">
        <f>+IF($E$10="SI",Metric_Conversion!C38,Metric_Conversion!C38/0.3048)</f>
        <v>8.1482238749223992</v>
      </c>
      <c r="D38" s="76">
        <f>+IF($E$10="SI",Metric_Conversion!D38,Metric_Conversion!D38/0.3048)</f>
        <v>3.9297516812813664</v>
      </c>
      <c r="E38" s="76">
        <f>+IF($E$10="SI",Metric_Conversion!E38,Metric_Conversion!E38/0.3048)</f>
        <v>2.8871645005332494</v>
      </c>
      <c r="F38" s="76">
        <f>+IF($E$10="SI",Metric_Conversion!F38,Metric_Conversion!F38/0.3048)</f>
        <v>3.9297516812813664</v>
      </c>
      <c r="G38" s="15" t="str">
        <f>+IF($E$10=setup!$B$6,"m/s","ft/s")</f>
        <v>m/s</v>
      </c>
      <c r="H38" s="15"/>
      <c r="I38" s="12"/>
      <c r="J38" s="12"/>
      <c r="K38" s="12"/>
      <c r="M38" s="12"/>
      <c r="N38" s="12"/>
      <c r="O38" s="12"/>
      <c r="P38" s="12"/>
      <c r="Q38" s="12"/>
      <c r="R38" s="12"/>
      <c r="S38" s="13"/>
      <c r="T38" s="86">
        <f t="shared" si="3"/>
        <v>60</v>
      </c>
      <c r="U38" s="13"/>
      <c r="V38" s="13"/>
      <c r="W38" s="14"/>
      <c r="Y38" s="12"/>
      <c r="Z38" s="12"/>
      <c r="AA38" s="12"/>
      <c r="AB38" s="12"/>
      <c r="AC38" s="12"/>
      <c r="AD38" s="12"/>
      <c r="AE38" s="13"/>
      <c r="AF38" s="86">
        <f t="shared" si="1"/>
        <v>1500</v>
      </c>
      <c r="AG38" s="13"/>
      <c r="AH38" s="13"/>
      <c r="AI38" s="14"/>
    </row>
    <row r="39" spans="1:35" x14ac:dyDescent="0.2">
      <c r="A39" s="12"/>
      <c r="B39" s="75" t="s">
        <v>51</v>
      </c>
      <c r="C39" s="77">
        <f>+Metric_Conversion!C39</f>
        <v>3.6469822460414185E-2</v>
      </c>
      <c r="D39" s="77">
        <f>+Metric_Conversion!D39</f>
        <v>5.2857266708793406E-2</v>
      </c>
      <c r="E39" s="77">
        <f>+Metric_Conversion!E39</f>
        <v>6.2900380749472767E-2</v>
      </c>
      <c r="F39" s="77">
        <f>+Metric_Conversion!F39</f>
        <v>5.2857266708793406E-2</v>
      </c>
      <c r="G39" s="15"/>
      <c r="H39" s="15"/>
      <c r="I39" s="12"/>
      <c r="J39" s="12"/>
      <c r="K39" s="12"/>
      <c r="M39" s="12"/>
      <c r="N39" s="12"/>
      <c r="O39" s="12"/>
      <c r="P39" s="12"/>
      <c r="Q39" s="12"/>
      <c r="R39" s="12"/>
      <c r="S39" s="13"/>
      <c r="T39" s="86">
        <f t="shared" si="3"/>
        <v>64</v>
      </c>
      <c r="U39" s="13"/>
      <c r="V39" s="13"/>
      <c r="W39" s="14"/>
      <c r="Y39" s="12"/>
      <c r="Z39" s="12"/>
      <c r="AA39" s="12"/>
      <c r="AB39" s="12"/>
      <c r="AC39" s="12"/>
      <c r="AD39" s="12"/>
      <c r="AE39" s="13"/>
      <c r="AF39" s="86">
        <f t="shared" si="1"/>
        <v>1600</v>
      </c>
      <c r="AG39" s="13"/>
      <c r="AH39" s="13"/>
      <c r="AI39" s="14"/>
    </row>
    <row r="40" spans="1:35" x14ac:dyDescent="0.2">
      <c r="A40" s="12"/>
      <c r="B40" s="75" t="s">
        <v>52</v>
      </c>
      <c r="C40" s="77">
        <f>+Metric_Conversion!C40</f>
        <v>8.4599327619591484E-3</v>
      </c>
      <c r="D40" s="77">
        <f>+Metric_Conversion!D40</f>
        <v>1.967755896602157E-3</v>
      </c>
      <c r="E40" s="77">
        <f>+Metric_Conversion!E40</f>
        <v>1.0621456234887116E-3</v>
      </c>
      <c r="F40" s="77">
        <f>+Metric_Conversion!F40</f>
        <v>1.967755896602157E-3</v>
      </c>
      <c r="G40" s="83" t="str">
        <f>+Metric_Conversion!G40</f>
        <v/>
      </c>
      <c r="H40" s="15"/>
      <c r="I40" s="12"/>
      <c r="J40" s="12"/>
      <c r="K40" s="12"/>
      <c r="M40" s="12"/>
      <c r="N40" s="12"/>
      <c r="O40" s="12"/>
      <c r="P40" s="12"/>
      <c r="Q40" s="12"/>
      <c r="R40" s="12"/>
      <c r="S40" s="13"/>
      <c r="T40" s="86">
        <f t="shared" si="3"/>
        <v>68</v>
      </c>
      <c r="U40" s="13"/>
      <c r="V40" s="13"/>
      <c r="W40" s="14"/>
      <c r="Y40" s="12"/>
      <c r="Z40" s="12"/>
      <c r="AA40" s="12"/>
      <c r="AB40" s="12"/>
      <c r="AC40" s="12"/>
      <c r="AD40" s="12"/>
      <c r="AE40" s="13"/>
      <c r="AF40" s="86">
        <f t="shared" si="1"/>
        <v>1700</v>
      </c>
      <c r="AG40" s="13"/>
      <c r="AH40" s="13"/>
      <c r="AI40" s="14"/>
    </row>
    <row r="41" spans="1:35" x14ac:dyDescent="0.2">
      <c r="A41" s="12"/>
      <c r="B41" s="12"/>
      <c r="C41" s="12"/>
      <c r="D41" s="12"/>
      <c r="E41" s="12"/>
      <c r="F41" s="12"/>
      <c r="G41" s="12"/>
      <c r="H41" s="15"/>
      <c r="I41" s="12"/>
      <c r="J41" s="12"/>
      <c r="K41" s="12"/>
      <c r="M41" s="12"/>
      <c r="N41" s="12"/>
      <c r="O41" s="12"/>
      <c r="P41" s="12"/>
      <c r="Q41" s="12"/>
      <c r="R41" s="12"/>
      <c r="S41" s="13"/>
      <c r="T41" s="86">
        <f t="shared" si="3"/>
        <v>72</v>
      </c>
      <c r="U41" s="13"/>
      <c r="V41" s="13"/>
      <c r="W41" s="14"/>
      <c r="Y41" s="12"/>
      <c r="Z41" s="12"/>
      <c r="AA41" s="12"/>
      <c r="AB41" s="12"/>
      <c r="AC41" s="12"/>
      <c r="AD41" s="12"/>
      <c r="AE41" s="13"/>
      <c r="AF41" s="86">
        <f t="shared" si="1"/>
        <v>1800</v>
      </c>
      <c r="AG41" s="13"/>
      <c r="AH41" s="13"/>
      <c r="AI41" s="14"/>
    </row>
    <row r="42" spans="1:35" x14ac:dyDescent="0.2">
      <c r="A42" s="12"/>
      <c r="B42" s="17" t="s">
        <v>53</v>
      </c>
      <c r="C42" s="18"/>
      <c r="D42" s="18"/>
      <c r="E42" s="18"/>
      <c r="F42" s="15"/>
      <c r="G42" s="15"/>
      <c r="H42" s="15"/>
      <c r="I42" s="12"/>
      <c r="J42" s="12"/>
      <c r="K42" s="12"/>
      <c r="M42" s="12"/>
      <c r="N42" s="12"/>
      <c r="O42" s="12"/>
      <c r="P42" s="12"/>
      <c r="Q42" s="12"/>
      <c r="R42" s="12"/>
      <c r="S42" s="13"/>
      <c r="T42" s="86">
        <f t="shared" si="3"/>
        <v>76</v>
      </c>
      <c r="U42" s="13"/>
      <c r="V42" s="13"/>
      <c r="W42" s="14"/>
      <c r="Y42" s="12"/>
      <c r="Z42" s="12"/>
      <c r="AA42" s="12"/>
      <c r="AB42" s="12"/>
      <c r="AC42" s="12"/>
      <c r="AD42" s="12"/>
      <c r="AE42" s="13"/>
      <c r="AF42" s="86">
        <f t="shared" si="1"/>
        <v>1900</v>
      </c>
      <c r="AG42" s="13"/>
      <c r="AH42" s="13"/>
      <c r="AI42" s="14"/>
    </row>
    <row r="43" spans="1:35" x14ac:dyDescent="0.2">
      <c r="A43" s="12"/>
      <c r="B43" s="74"/>
      <c r="C43" s="74"/>
      <c r="D43" s="74" t="s">
        <v>44</v>
      </c>
      <c r="E43" s="74" t="s">
        <v>45</v>
      </c>
      <c r="F43" s="74" t="s">
        <v>46</v>
      </c>
      <c r="G43" s="15"/>
      <c r="H43" s="15"/>
      <c r="I43" s="12"/>
      <c r="J43" s="12"/>
      <c r="K43" s="12"/>
      <c r="M43" s="12"/>
      <c r="N43" s="12"/>
      <c r="O43" s="12"/>
      <c r="P43" s="12"/>
      <c r="Q43" s="12"/>
      <c r="R43" s="12"/>
      <c r="S43" s="13"/>
      <c r="T43" s="86">
        <f t="shared" si="3"/>
        <v>80</v>
      </c>
      <c r="U43" s="13"/>
      <c r="V43" s="13"/>
      <c r="W43" s="14"/>
      <c r="Y43" s="12"/>
      <c r="Z43" s="12"/>
      <c r="AA43" s="12"/>
      <c r="AB43" s="12"/>
      <c r="AC43" s="12"/>
      <c r="AD43" s="12"/>
      <c r="AE43" s="13"/>
      <c r="AF43" s="86">
        <f t="shared" si="1"/>
        <v>2000</v>
      </c>
      <c r="AG43" s="13"/>
      <c r="AH43" s="13"/>
      <c r="AI43" s="14"/>
    </row>
    <row r="44" spans="1:35" s="4" customFormat="1" x14ac:dyDescent="0.2">
      <c r="A44" s="13"/>
      <c r="B44" s="75" t="s">
        <v>49</v>
      </c>
      <c r="C44" s="75"/>
      <c r="D44" s="75">
        <f>+IF($E$10="SI",Metric_Conversion!D44,Metric_Conversion!D44/25)</f>
        <v>600</v>
      </c>
      <c r="E44" s="75">
        <f>+IF($E$10="SI",Metric_Conversion!E44,Metric_Conversion!E44/25)</f>
        <v>600</v>
      </c>
      <c r="F44" s="78">
        <f>+I11</f>
        <v>600</v>
      </c>
      <c r="G44" s="15" t="str">
        <f>+IF($E$10=setup!$B$6,"mm","in")</f>
        <v>mm</v>
      </c>
      <c r="H44" s="15"/>
      <c r="I44" s="13"/>
      <c r="J44" s="13"/>
      <c r="K44" s="13"/>
      <c r="M44" s="12"/>
      <c r="N44" s="12"/>
      <c r="O44" s="12"/>
      <c r="P44" s="12"/>
      <c r="Q44" s="12"/>
      <c r="R44" s="12"/>
      <c r="S44" s="13"/>
      <c r="T44" s="86">
        <f t="shared" si="3"/>
        <v>84</v>
      </c>
      <c r="U44" s="13"/>
      <c r="V44" s="13"/>
      <c r="W44" s="14"/>
      <c r="Y44" s="12"/>
      <c r="Z44" s="12"/>
      <c r="AA44" s="12"/>
      <c r="AB44" s="12"/>
      <c r="AC44" s="12"/>
      <c r="AD44" s="12"/>
      <c r="AE44" s="13"/>
      <c r="AF44" s="86">
        <f t="shared" si="1"/>
        <v>2100</v>
      </c>
      <c r="AG44" s="13"/>
      <c r="AH44" s="13"/>
      <c r="AI44" s="14"/>
    </row>
    <row r="45" spans="1:35" x14ac:dyDescent="0.2">
      <c r="A45" s="12"/>
      <c r="B45" s="75" t="s">
        <v>50</v>
      </c>
      <c r="C45" s="75"/>
      <c r="D45" s="76">
        <f>+IF($E$10="SI",Metric_Conversion!D45,Metric_Conversion!D45/0.3048)</f>
        <v>3.9297516812813664</v>
      </c>
      <c r="E45" s="76">
        <f>+IF($E$10="SI",Metric_Conversion!E45,Metric_Conversion!E45/0.3048)</f>
        <v>3.9297516812813664</v>
      </c>
      <c r="F45" s="76">
        <f>+IF($E$10="SI",Metric_Conversion!F45,Metric_Conversion!F45/0.3048)</f>
        <v>3.9297516812813664</v>
      </c>
      <c r="G45" s="15" t="str">
        <f>+IF($E$10=setup!$B$6,"m/s","ft/s")</f>
        <v>m/s</v>
      </c>
      <c r="H45" s="15"/>
      <c r="I45" s="12"/>
      <c r="J45" s="12"/>
      <c r="K45" s="12"/>
      <c r="M45" s="12"/>
      <c r="N45" s="12"/>
      <c r="O45" s="12"/>
      <c r="P45" s="12"/>
      <c r="Q45" s="12"/>
      <c r="R45" s="12"/>
      <c r="S45" s="13"/>
      <c r="T45" s="86">
        <f t="shared" si="3"/>
        <v>88</v>
      </c>
      <c r="U45" s="13"/>
      <c r="V45" s="13"/>
      <c r="W45" s="14"/>
      <c r="Y45" s="12"/>
      <c r="Z45" s="12"/>
      <c r="AA45" s="12"/>
      <c r="AB45" s="12"/>
      <c r="AC45" s="12"/>
      <c r="AD45" s="12"/>
      <c r="AE45" s="13"/>
      <c r="AF45" s="86">
        <f t="shared" si="1"/>
        <v>2200</v>
      </c>
      <c r="AG45" s="13"/>
      <c r="AH45" s="13"/>
      <c r="AI45" s="14"/>
    </row>
    <row r="46" spans="1:35" x14ac:dyDescent="0.2">
      <c r="A46" s="12"/>
      <c r="B46" s="75" t="s">
        <v>52</v>
      </c>
      <c r="C46" s="75"/>
      <c r="D46" s="82">
        <f>+Metric_Conversion!D46</f>
        <v>1.967755896602157E-3</v>
      </c>
      <c r="E46" s="82">
        <f>+Metric_Conversion!E46</f>
        <v>1.967755896602157E-3</v>
      </c>
      <c r="F46" s="82">
        <f>+Metric_Conversion!F46</f>
        <v>1.967755896602157E-3</v>
      </c>
      <c r="G46" s="84" t="str">
        <f>+Metric_Conversion!G46</f>
        <v/>
      </c>
      <c r="H46" s="12"/>
      <c r="I46" s="12"/>
      <c r="J46" s="12"/>
      <c r="K46" s="12"/>
      <c r="L46" s="6"/>
      <c r="M46" s="12"/>
      <c r="N46" s="12"/>
      <c r="O46" s="12"/>
      <c r="P46" s="12"/>
      <c r="Q46" s="12"/>
      <c r="R46" s="12"/>
      <c r="S46" s="13"/>
      <c r="T46" s="86">
        <f t="shared" si="3"/>
        <v>92</v>
      </c>
      <c r="U46" s="13"/>
      <c r="V46" s="13"/>
      <c r="W46" s="14"/>
      <c r="Y46" s="12"/>
      <c r="Z46" s="12"/>
      <c r="AA46" s="12"/>
      <c r="AB46" s="12"/>
      <c r="AC46" s="12"/>
      <c r="AD46" s="12"/>
      <c r="AE46" s="13"/>
      <c r="AF46" s="86">
        <f t="shared" si="1"/>
        <v>2300</v>
      </c>
      <c r="AG46" s="13"/>
      <c r="AH46" s="13"/>
      <c r="AI46" s="14"/>
    </row>
    <row r="47" spans="1:35" x14ac:dyDescent="0.2">
      <c r="A47" s="12"/>
      <c r="B47" s="12"/>
      <c r="C47" s="12"/>
      <c r="D47" s="12"/>
      <c r="E47" s="12"/>
      <c r="F47" s="12"/>
      <c r="G47" s="12"/>
      <c r="H47" s="12"/>
      <c r="I47" s="12"/>
      <c r="J47" s="12"/>
      <c r="K47" s="12"/>
      <c r="M47" s="12"/>
      <c r="N47" s="12"/>
      <c r="O47" s="12"/>
      <c r="P47" s="12"/>
      <c r="Q47" s="12"/>
      <c r="R47" s="12"/>
      <c r="S47" s="13"/>
      <c r="T47" s="86">
        <f t="shared" si="3"/>
        <v>96</v>
      </c>
      <c r="U47" s="13"/>
      <c r="V47" s="13"/>
      <c r="W47" s="14"/>
      <c r="Y47" s="12"/>
      <c r="Z47" s="12"/>
      <c r="AA47" s="12"/>
      <c r="AB47" s="12"/>
      <c r="AC47" s="12"/>
      <c r="AD47" s="12"/>
      <c r="AE47" s="13"/>
      <c r="AF47" s="86">
        <f t="shared" si="1"/>
        <v>2400</v>
      </c>
      <c r="AG47" s="13"/>
      <c r="AH47" s="13"/>
      <c r="AI47" s="14"/>
    </row>
    <row r="48" spans="1:35" x14ac:dyDescent="0.2">
      <c r="A48" s="137" t="s">
        <v>54</v>
      </c>
      <c r="B48" s="137"/>
      <c r="C48" s="137"/>
      <c r="D48" s="137"/>
      <c r="E48" s="137"/>
      <c r="F48" s="137"/>
      <c r="G48" s="137"/>
      <c r="H48" s="137"/>
      <c r="I48" s="137"/>
      <c r="J48" s="137"/>
      <c r="K48" s="138"/>
      <c r="M48" s="12"/>
      <c r="N48" s="12"/>
      <c r="O48" s="12"/>
      <c r="P48" s="12"/>
      <c r="Q48" s="12"/>
      <c r="R48" s="12"/>
      <c r="S48" s="13"/>
      <c r="T48" s="86">
        <f t="shared" si="3"/>
        <v>100</v>
      </c>
      <c r="U48" s="13"/>
      <c r="V48" s="13"/>
      <c r="W48" s="14"/>
      <c r="Y48" s="12"/>
      <c r="Z48" s="12"/>
      <c r="AA48" s="12"/>
      <c r="AB48" s="12"/>
      <c r="AC48" s="12"/>
      <c r="AD48" s="12"/>
      <c r="AE48" s="13"/>
      <c r="AF48" s="86">
        <f t="shared" si="1"/>
        <v>2500</v>
      </c>
      <c r="AG48" s="13"/>
      <c r="AH48" s="13"/>
      <c r="AI48" s="14"/>
    </row>
    <row r="49" spans="1:35" ht="66" customHeight="1" x14ac:dyDescent="0.2">
      <c r="A49" s="139" t="s">
        <v>55</v>
      </c>
      <c r="B49" s="139"/>
      <c r="C49" s="139"/>
      <c r="D49" s="139"/>
      <c r="E49" s="139"/>
      <c r="F49" s="139"/>
      <c r="G49" s="139"/>
      <c r="H49" s="139"/>
      <c r="I49" s="139"/>
      <c r="J49" s="139"/>
      <c r="K49" s="140"/>
      <c r="M49" s="12"/>
      <c r="N49" s="12"/>
      <c r="O49" s="12"/>
      <c r="P49" s="12"/>
      <c r="Q49" s="12"/>
      <c r="R49" s="12"/>
      <c r="S49" s="12"/>
      <c r="T49" s="12"/>
      <c r="U49" s="12"/>
      <c r="V49" s="12"/>
      <c r="W49" s="12"/>
      <c r="Y49" s="12"/>
      <c r="Z49" s="12"/>
      <c r="AA49" s="12"/>
      <c r="AB49" s="12"/>
      <c r="AC49" s="12"/>
      <c r="AD49" s="12"/>
      <c r="AE49" s="12"/>
      <c r="AF49" s="12"/>
      <c r="AG49" s="12"/>
      <c r="AH49" s="12"/>
      <c r="AI49" s="12"/>
    </row>
    <row r="50" spans="1:35" ht="13.5" customHeight="1" x14ac:dyDescent="0.2">
      <c r="B50" s="4"/>
      <c r="C50" s="4"/>
      <c r="D50" s="4"/>
      <c r="E50" s="4"/>
      <c r="F50" s="4"/>
      <c r="G50" s="4"/>
      <c r="H50" s="4"/>
      <c r="I50" s="4"/>
      <c r="J50" s="4"/>
      <c r="K50" s="4"/>
    </row>
  </sheetData>
  <mergeCells count="6">
    <mergeCell ref="F1:K3"/>
    <mergeCell ref="A1:E3"/>
    <mergeCell ref="A48:K48"/>
    <mergeCell ref="A49:K49"/>
    <mergeCell ref="A33:K33"/>
    <mergeCell ref="A22:K22"/>
  </mergeCells>
  <phoneticPr fontId="13" type="noConversion"/>
  <pageMargins left="0.7" right="0.7" top="0.75" bottom="0.75" header="0.3" footer="0.3"/>
  <pageSetup scale="69" orientation="portrait" r:id="rId1"/>
  <headerFooter alignWithMargins="0">
    <oddFooter>&amp;L&amp;F&amp;R&amp;D</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A2B8D3C-CC52-4653-9A83-BC14AC1202F9}">
          <x14:formula1>
            <xm:f>setup!$B$5:$B$6</xm:f>
          </x14:formula1>
          <xm:sqref>E10 Q10 AC10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92C8-E364-4B96-A0CF-42317912DF10}">
  <sheetPr codeName="Sheet3">
    <pageSetUpPr fitToPage="1"/>
  </sheetPr>
  <dimension ref="A1:S49"/>
  <sheetViews>
    <sheetView zoomScale="110" zoomScaleNormal="110" workbookViewId="0">
      <selection activeCell="J11" sqref="J11:J12"/>
    </sheetView>
  </sheetViews>
  <sheetFormatPr defaultColWidth="9.140625" defaultRowHeight="12.75" x14ac:dyDescent="0.2"/>
  <cols>
    <col min="1" max="1" width="7.5703125" style="3" customWidth="1"/>
    <col min="2" max="2" width="7.7109375" style="3" customWidth="1"/>
    <col min="3" max="3" width="6.28515625" style="3" customWidth="1"/>
    <col min="4" max="4" width="10.7109375" style="3" customWidth="1"/>
    <col min="5" max="5" width="9.85546875" style="3" customWidth="1"/>
    <col min="6" max="6" width="9.5703125" style="3" customWidth="1"/>
    <col min="7" max="7" width="12.5703125" style="3" customWidth="1"/>
    <col min="8" max="8" width="19" style="3" customWidth="1"/>
    <col min="9" max="10" width="9.42578125" style="3" customWidth="1"/>
    <col min="11" max="11" width="5.85546875" style="3" customWidth="1"/>
    <col min="12" max="12" width="10.28515625" style="3" customWidth="1"/>
    <col min="13" max="17" width="0" style="3" hidden="1" customWidth="1"/>
    <col min="18" max="16384" width="9.140625" style="3"/>
  </cols>
  <sheetData>
    <row r="1" spans="1:11" ht="18.75" customHeight="1" x14ac:dyDescent="0.2">
      <c r="A1" s="135"/>
      <c r="B1" s="135"/>
      <c r="C1" s="135"/>
      <c r="D1" s="135"/>
      <c r="E1" s="136"/>
      <c r="F1" s="126"/>
      <c r="G1" s="127"/>
      <c r="H1" s="127"/>
      <c r="I1" s="127"/>
      <c r="J1" s="127"/>
      <c r="K1" s="128"/>
    </row>
    <row r="2" spans="1:11" ht="18.75" customHeight="1" x14ac:dyDescent="0.2">
      <c r="A2" s="135"/>
      <c r="B2" s="135"/>
      <c r="C2" s="135"/>
      <c r="D2" s="135"/>
      <c r="E2" s="136"/>
      <c r="F2" s="129"/>
      <c r="G2" s="130"/>
      <c r="H2" s="130"/>
      <c r="I2" s="130"/>
      <c r="J2" s="130"/>
      <c r="K2" s="131"/>
    </row>
    <row r="3" spans="1:11" ht="18.75" customHeight="1" x14ac:dyDescent="0.2">
      <c r="A3" s="135"/>
      <c r="B3" s="135"/>
      <c r="C3" s="135"/>
      <c r="D3" s="135"/>
      <c r="E3" s="136"/>
      <c r="F3" s="132"/>
      <c r="G3" s="133"/>
      <c r="H3" s="133"/>
      <c r="I3" s="133"/>
      <c r="J3" s="133"/>
      <c r="K3" s="134"/>
    </row>
    <row r="4" spans="1:11" x14ac:dyDescent="0.2">
      <c r="A4" s="12"/>
      <c r="B4" s="12"/>
      <c r="C4" s="12"/>
      <c r="D4" s="12"/>
      <c r="E4" s="12"/>
      <c r="F4" s="12"/>
      <c r="G4" s="12"/>
      <c r="H4" s="12"/>
      <c r="I4" s="12"/>
      <c r="J4" s="12"/>
      <c r="K4" s="9"/>
    </row>
    <row r="5" spans="1:11" x14ac:dyDescent="0.2">
      <c r="A5" s="12"/>
      <c r="B5" s="12"/>
      <c r="C5" s="12"/>
      <c r="D5" s="12"/>
      <c r="E5" s="12"/>
      <c r="F5" s="12"/>
      <c r="G5" s="12"/>
      <c r="H5" s="15"/>
      <c r="I5" s="15"/>
      <c r="J5" s="15"/>
      <c r="K5" s="16"/>
    </row>
    <row r="6" spans="1:11" x14ac:dyDescent="0.2">
      <c r="A6" s="12"/>
      <c r="B6" s="12"/>
      <c r="C6" s="12"/>
      <c r="D6" s="12"/>
      <c r="E6" s="12"/>
      <c r="F6" s="12"/>
      <c r="G6" s="12"/>
      <c r="H6" s="15"/>
      <c r="I6" s="15"/>
      <c r="J6" s="15"/>
      <c r="K6" s="16"/>
    </row>
    <row r="7" spans="1:11" x14ac:dyDescent="0.2">
      <c r="A7" s="12"/>
      <c r="B7" s="12"/>
      <c r="C7" s="12"/>
      <c r="D7" s="12"/>
      <c r="E7" s="12"/>
      <c r="F7" s="12"/>
      <c r="G7" s="12"/>
      <c r="H7" s="15"/>
      <c r="I7" s="15"/>
      <c r="J7" s="15"/>
      <c r="K7" s="16"/>
    </row>
    <row r="8" spans="1:11" ht="15.75" x14ac:dyDescent="0.25">
      <c r="A8" s="12"/>
      <c r="B8" s="15"/>
      <c r="C8" s="20"/>
      <c r="D8" s="20"/>
      <c r="E8" s="15"/>
      <c r="F8" s="15"/>
      <c r="G8" s="15"/>
      <c r="H8" s="15"/>
      <c r="I8" s="15"/>
      <c r="J8" s="15"/>
      <c r="K8" s="16"/>
    </row>
    <row r="9" spans="1:11" ht="18.75" x14ac:dyDescent="0.3">
      <c r="A9" s="12"/>
      <c r="B9" s="40" t="s">
        <v>17</v>
      </c>
      <c r="C9" s="41"/>
      <c r="D9" s="41"/>
      <c r="E9" s="21"/>
      <c r="F9" s="15"/>
      <c r="G9" s="15"/>
      <c r="H9" s="15"/>
      <c r="I9" s="15"/>
      <c r="J9" s="15"/>
      <c r="K9" s="16"/>
    </row>
    <row r="10" spans="1:11" x14ac:dyDescent="0.2">
      <c r="A10" s="12"/>
      <c r="B10" s="17" t="s">
        <v>18</v>
      </c>
      <c r="C10" s="18"/>
      <c r="D10" s="19"/>
      <c r="E10" s="24" t="s">
        <v>16</v>
      </c>
      <c r="F10" s="15"/>
      <c r="G10" s="15"/>
      <c r="H10" s="15" t="s">
        <v>56</v>
      </c>
      <c r="I10" s="15"/>
      <c r="J10" s="15"/>
      <c r="K10" s="15"/>
    </row>
    <row r="11" spans="1:11" x14ac:dyDescent="0.2">
      <c r="A11" s="12"/>
      <c r="B11" s="17" t="str">
        <f>+Input_Output!B11</f>
        <v>Pump speed</v>
      </c>
      <c r="C11" s="18"/>
      <c r="D11" s="19"/>
      <c r="E11" s="24">
        <f>+Input_Output!E11</f>
        <v>1800</v>
      </c>
      <c r="F11" s="15" t="s">
        <v>21</v>
      </c>
      <c r="G11" s="15"/>
      <c r="H11" s="19" t="s">
        <v>22</v>
      </c>
      <c r="I11" s="50">
        <f>+IF(Input_Output!$E$10=setup!$B$6,Input_Output!I11,Input_Output!I11*25)</f>
        <v>600</v>
      </c>
      <c r="J11" s="15" t="str">
        <f>+IF($E$10=setup!$B$6,"mm","in")</f>
        <v>mm</v>
      </c>
      <c r="K11" s="16"/>
    </row>
    <row r="12" spans="1:11" x14ac:dyDescent="0.2">
      <c r="A12" s="12"/>
      <c r="B12" s="17" t="str">
        <f>+Input_Output!B12</f>
        <v>Qbep</v>
      </c>
      <c r="C12" s="18"/>
      <c r="D12" s="19"/>
      <c r="E12" s="24">
        <f>+IF(Input_Output!$E$10=setup!$B$6,Input_Output!E12,Input_Output!E12*0.22712)</f>
        <v>4000</v>
      </c>
      <c r="F12" s="15" t="s">
        <v>28</v>
      </c>
      <c r="G12" s="15"/>
      <c r="H12" s="19" t="s">
        <v>26</v>
      </c>
      <c r="I12" s="50">
        <f>+IF(Input_Output!$E$10=setup!$B$6,Input_Output!I12,Input_Output!I12*25)</f>
        <v>600</v>
      </c>
      <c r="J12" s="15" t="str">
        <f>+IF($E$10=setup!$B$6,"mm","in")</f>
        <v>mm</v>
      </c>
      <c r="K12" s="16"/>
    </row>
    <row r="13" spans="1:11" x14ac:dyDescent="0.2">
      <c r="A13" s="12"/>
      <c r="B13" s="17" t="str">
        <f>+Input_Output!B13</f>
        <v>Hpeb/stage</v>
      </c>
      <c r="C13" s="18"/>
      <c r="D13" s="19"/>
      <c r="E13" s="24">
        <f>+IF(Input_Output!$E$10=setup!$B$6,Input_Output!E13,Input_Output!E13*0.3048)</f>
        <v>400</v>
      </c>
      <c r="F13" s="15" t="s">
        <v>30</v>
      </c>
      <c r="G13" s="15"/>
      <c r="H13" s="15"/>
      <c r="I13" s="15"/>
      <c r="J13" s="15"/>
      <c r="K13" s="16"/>
    </row>
    <row r="14" spans="1:11" x14ac:dyDescent="0.2">
      <c r="A14" s="12"/>
      <c r="B14" s="17" t="str">
        <f>+Input_Output!B14</f>
        <v>number of suctions</v>
      </c>
      <c r="C14" s="18"/>
      <c r="D14" s="19"/>
      <c r="E14" s="24">
        <f>+Input_Output!E14</f>
        <v>1</v>
      </c>
      <c r="F14" s="15" t="s">
        <v>30</v>
      </c>
      <c r="G14" s="15"/>
      <c r="H14" s="15"/>
      <c r="I14" s="15"/>
      <c r="J14" s="15"/>
      <c r="K14" s="16"/>
    </row>
    <row r="15" spans="1:11" x14ac:dyDescent="0.2">
      <c r="A15" s="12"/>
      <c r="B15" s="17" t="str">
        <f>+Input_Output!B15</f>
        <v>D2</v>
      </c>
      <c r="C15" s="18"/>
      <c r="D15" s="19"/>
      <c r="E15" s="24">
        <f>+IF(Input_Output!$E$10=setup!$B$6,Input_Output!E15,Input_Output!E15*25.4)</f>
        <v>700</v>
      </c>
      <c r="F15" s="15" t="s">
        <v>24</v>
      </c>
      <c r="G15" s="15"/>
      <c r="H15" s="15"/>
      <c r="I15" s="15"/>
      <c r="J15" s="15"/>
      <c r="K15" s="16"/>
    </row>
    <row r="16" spans="1:11" x14ac:dyDescent="0.2">
      <c r="A16" s="12"/>
      <c r="B16" s="17" t="str">
        <f>+Input_Output!B16</f>
        <v xml:space="preserve">Ld - Length of diffusive duct (approx.) </v>
      </c>
      <c r="C16" s="18"/>
      <c r="D16" s="19"/>
      <c r="E16" s="24">
        <f>+IF(Input_Output!$E$10=setup!$B$6,Input_Output!E16,Input_Output!E16*25.4)</f>
        <v>1900</v>
      </c>
      <c r="F16" s="15" t="s">
        <v>24</v>
      </c>
      <c r="G16" s="15"/>
      <c r="H16" s="15"/>
      <c r="I16" s="15"/>
      <c r="J16" s="15"/>
      <c r="K16" s="16"/>
    </row>
    <row r="17" spans="1:19" x14ac:dyDescent="0.2">
      <c r="A17" s="12"/>
      <c r="B17" s="17" t="str">
        <f>+Input_Output!B17</f>
        <v>Qbleed off</v>
      </c>
      <c r="C17" s="18"/>
      <c r="D17" s="19"/>
      <c r="E17" s="24">
        <f>+IF(Input_Output!$E$10=setup!$B$6,Input_Output!E17,Input_Output!E17*0.22712)</f>
        <v>0</v>
      </c>
      <c r="F17" s="15" t="s">
        <v>28</v>
      </c>
      <c r="G17" s="15"/>
      <c r="H17" s="15"/>
      <c r="I17" s="15"/>
      <c r="J17" s="15"/>
      <c r="K17" s="16"/>
    </row>
    <row r="18" spans="1:19" x14ac:dyDescent="0.2">
      <c r="A18" s="12"/>
      <c r="B18" s="17" t="str">
        <f>+Input_Output!B18</f>
        <v>VS pump?</v>
      </c>
      <c r="C18" s="18"/>
      <c r="D18" s="19"/>
      <c r="E18" s="24" t="s">
        <v>38</v>
      </c>
      <c r="F18" s="15"/>
      <c r="G18" s="15"/>
      <c r="H18" s="15"/>
      <c r="I18" s="15"/>
      <c r="J18" s="15"/>
      <c r="K18" s="15"/>
    </row>
    <row r="19" spans="1:19" x14ac:dyDescent="0.2">
      <c r="A19" s="12"/>
      <c r="B19" s="17" t="str">
        <f>+Input_Output!B19</f>
        <v>D1</v>
      </c>
      <c r="C19" s="18"/>
      <c r="D19" s="19"/>
      <c r="E19" s="24">
        <f>+IF(Input_Output!$E$10=setup!$B$6,Input_Output!E19,Input_Output!E19*25.4)</f>
        <v>350</v>
      </c>
      <c r="F19" s="15" t="s">
        <v>24</v>
      </c>
      <c r="G19" s="12"/>
      <c r="H19" s="15"/>
      <c r="I19" s="15"/>
      <c r="J19" s="15"/>
      <c r="K19" s="16"/>
    </row>
    <row r="20" spans="1:19" x14ac:dyDescent="0.2">
      <c r="A20" s="12"/>
      <c r="B20" s="17" t="str">
        <f>+Input_Output!B20</f>
        <v>Dh</v>
      </c>
      <c r="C20" s="18"/>
      <c r="D20" s="19"/>
      <c r="E20" s="24">
        <f>+IF(Input_Output!$E$10=setup!$B$6,Input_Output!E20,Input_Output!E20*25.4)</f>
        <v>150</v>
      </c>
      <c r="F20" s="15" t="s">
        <v>24</v>
      </c>
      <c r="G20" s="12"/>
      <c r="H20" s="15"/>
      <c r="I20" s="15"/>
      <c r="J20" s="15"/>
      <c r="K20" s="16"/>
    </row>
    <row r="21" spans="1:19" x14ac:dyDescent="0.2">
      <c r="A21" s="12"/>
      <c r="B21" s="12"/>
      <c r="C21" s="12"/>
      <c r="D21" s="12"/>
      <c r="E21" s="12"/>
      <c r="F21" s="12"/>
      <c r="G21" s="12"/>
      <c r="H21" s="15"/>
      <c r="I21" s="15"/>
      <c r="J21" s="15"/>
      <c r="K21" s="16"/>
    </row>
    <row r="22" spans="1:19" ht="22.5" customHeight="1" x14ac:dyDescent="0.3">
      <c r="A22" s="143"/>
      <c r="B22" s="143"/>
      <c r="C22" s="143"/>
      <c r="D22" s="143"/>
      <c r="E22" s="143"/>
      <c r="F22" s="143"/>
      <c r="G22" s="143"/>
      <c r="H22" s="143"/>
      <c r="I22" s="143"/>
      <c r="J22" s="143"/>
      <c r="K22" s="144"/>
    </row>
    <row r="23" spans="1:19" ht="22.5" customHeight="1" x14ac:dyDescent="0.2">
      <c r="A23" s="12"/>
      <c r="B23" s="12"/>
      <c r="C23" s="12"/>
      <c r="D23" s="12"/>
      <c r="E23" s="12"/>
      <c r="F23" s="12"/>
      <c r="G23" s="13"/>
      <c r="H23" s="13"/>
      <c r="I23" s="13"/>
      <c r="J23" s="13"/>
      <c r="K23" s="14"/>
    </row>
    <row r="24" spans="1:19" ht="22.5" customHeight="1" x14ac:dyDescent="0.2">
      <c r="A24" s="12"/>
      <c r="B24" s="12"/>
      <c r="C24" s="12"/>
      <c r="D24" s="12"/>
      <c r="E24" s="12"/>
      <c r="F24" s="12"/>
      <c r="G24" s="13"/>
      <c r="H24" s="13"/>
      <c r="I24" s="13"/>
      <c r="J24" s="13"/>
      <c r="K24" s="14"/>
    </row>
    <row r="25" spans="1:19" ht="22.5" customHeight="1" x14ac:dyDescent="0.2">
      <c r="A25" s="12"/>
      <c r="B25" s="12"/>
      <c r="C25" s="12"/>
      <c r="D25" s="12"/>
      <c r="E25" s="12"/>
      <c r="F25" s="12"/>
      <c r="G25" s="13"/>
      <c r="H25" s="13"/>
      <c r="I25" s="13"/>
      <c r="J25" s="13"/>
      <c r="K25" s="14"/>
    </row>
    <row r="26" spans="1:19" ht="22.5" customHeight="1" x14ac:dyDescent="0.2">
      <c r="A26" s="12"/>
      <c r="B26" s="12"/>
      <c r="C26" s="12"/>
      <c r="D26" s="12"/>
      <c r="E26" s="12"/>
      <c r="F26" s="12"/>
      <c r="G26" s="13"/>
      <c r="H26" s="13"/>
      <c r="I26" s="13"/>
      <c r="J26" s="13"/>
      <c r="K26" s="14"/>
    </row>
    <row r="27" spans="1:19" ht="22.5" customHeight="1" x14ac:dyDescent="0.2">
      <c r="A27" s="12"/>
      <c r="B27" s="12"/>
      <c r="C27" s="12"/>
      <c r="D27" s="12"/>
      <c r="E27" s="12"/>
      <c r="F27" s="12"/>
      <c r="G27" s="13"/>
      <c r="H27" s="13"/>
      <c r="I27" s="13"/>
      <c r="J27" s="13"/>
      <c r="K27" s="14"/>
    </row>
    <row r="28" spans="1:19" ht="22.5" customHeight="1" x14ac:dyDescent="0.2">
      <c r="A28" s="12"/>
      <c r="B28" s="12"/>
      <c r="C28" s="12"/>
      <c r="D28" s="12"/>
      <c r="E28" s="12"/>
      <c r="F28" s="12"/>
      <c r="G28" s="13"/>
      <c r="H28" s="13"/>
      <c r="I28" s="13"/>
      <c r="J28" s="13"/>
      <c r="K28" s="14"/>
      <c r="S28" s="23"/>
    </row>
    <row r="29" spans="1:19" ht="22.5" customHeight="1" x14ac:dyDescent="0.2">
      <c r="A29" s="12"/>
      <c r="B29" s="12"/>
      <c r="C29" s="12"/>
      <c r="D29" s="12"/>
      <c r="E29" s="12"/>
      <c r="F29" s="12"/>
      <c r="G29" s="13"/>
      <c r="H29" s="13"/>
      <c r="I29" s="13"/>
      <c r="J29" s="13"/>
      <c r="K29" s="14"/>
    </row>
    <row r="30" spans="1:19" ht="22.5" customHeight="1" x14ac:dyDescent="0.2">
      <c r="A30" s="12"/>
      <c r="B30" s="12"/>
      <c r="C30" s="12"/>
      <c r="D30" s="12"/>
      <c r="E30" s="12"/>
      <c r="F30" s="12"/>
      <c r="G30" s="13"/>
      <c r="H30" s="13"/>
      <c r="I30" s="13"/>
      <c r="J30" s="13"/>
      <c r="K30" s="14"/>
    </row>
    <row r="31" spans="1:19" ht="22.5" customHeight="1" x14ac:dyDescent="0.2">
      <c r="A31" s="12"/>
      <c r="B31" s="12"/>
      <c r="C31" s="12"/>
      <c r="D31" s="12"/>
      <c r="E31" s="12"/>
      <c r="F31" s="12"/>
      <c r="G31" s="13"/>
      <c r="H31" s="13"/>
      <c r="I31" s="13"/>
      <c r="J31" s="13"/>
      <c r="K31" s="14"/>
    </row>
    <row r="32" spans="1:19" ht="22.5" customHeight="1" x14ac:dyDescent="0.2">
      <c r="A32" s="12"/>
      <c r="B32" s="8"/>
      <c r="C32" s="8"/>
      <c r="D32" s="8"/>
      <c r="E32" s="8"/>
      <c r="F32" s="8"/>
      <c r="G32" s="10"/>
      <c r="H32" s="10"/>
      <c r="I32" s="10"/>
      <c r="J32" s="10"/>
      <c r="K32" s="11"/>
    </row>
    <row r="33" spans="1:17" ht="18.75" x14ac:dyDescent="0.3">
      <c r="A33" s="143" t="s">
        <v>41</v>
      </c>
      <c r="B33" s="143"/>
      <c r="C33" s="143"/>
      <c r="D33" s="143"/>
      <c r="E33" s="143"/>
      <c r="F33" s="143"/>
      <c r="G33" s="143"/>
      <c r="H33" s="143"/>
      <c r="I33" s="143"/>
      <c r="J33" s="143"/>
      <c r="K33" s="144"/>
    </row>
    <row r="34" spans="1:17" x14ac:dyDescent="0.2">
      <c r="A34" s="12"/>
      <c r="B34" s="12"/>
      <c r="C34" s="12"/>
      <c r="D34" s="12"/>
      <c r="E34" s="12"/>
      <c r="F34" s="12"/>
      <c r="G34" s="12"/>
      <c r="H34" s="12"/>
      <c r="I34" s="12"/>
      <c r="J34" s="12"/>
      <c r="K34" s="12"/>
    </row>
    <row r="35" spans="1:17" x14ac:dyDescent="0.2">
      <c r="A35" s="12"/>
      <c r="B35" s="66" t="s">
        <v>57</v>
      </c>
      <c r="C35" s="66"/>
      <c r="D35" s="66"/>
      <c r="E35" s="66"/>
      <c r="F35" s="12"/>
      <c r="G35" s="12"/>
      <c r="H35" s="12"/>
      <c r="I35" s="12"/>
      <c r="J35" s="12"/>
      <c r="K35" s="12"/>
      <c r="L35" s="22"/>
    </row>
    <row r="36" spans="1:17" ht="25.5" x14ac:dyDescent="0.2">
      <c r="A36" s="12"/>
      <c r="B36" s="66"/>
      <c r="C36" s="69" t="s">
        <v>58</v>
      </c>
      <c r="D36" s="69" t="s">
        <v>59</v>
      </c>
      <c r="E36" s="69" t="s">
        <v>60</v>
      </c>
      <c r="F36" s="66" t="s">
        <v>46</v>
      </c>
      <c r="G36" s="12"/>
      <c r="H36" s="12" t="s">
        <v>47</v>
      </c>
      <c r="I36" s="12" t="s">
        <v>48</v>
      </c>
      <c r="J36" s="12"/>
      <c r="K36" s="12"/>
    </row>
    <row r="37" spans="1:17" ht="13.5" thickBot="1" x14ac:dyDescent="0.25">
      <c r="A37" s="12"/>
      <c r="B37" s="66" t="s">
        <v>26</v>
      </c>
      <c r="C37" s="66">
        <f>+calc!BC7</f>
        <v>416.67968595148011</v>
      </c>
      <c r="D37" s="66">
        <f>+calc!N4</f>
        <v>600</v>
      </c>
      <c r="E37" s="66">
        <f>+calc!N5</f>
        <v>700</v>
      </c>
      <c r="F37" s="66">
        <f>+I12</f>
        <v>600</v>
      </c>
      <c r="G37" s="12" t="s">
        <v>24</v>
      </c>
      <c r="H37" s="71">
        <f>+calc!BD46</f>
        <v>21.213203435596427</v>
      </c>
      <c r="I37" s="12">
        <f>+H37*51.6</f>
        <v>1094.6012972767755</v>
      </c>
      <c r="J37" s="12"/>
      <c r="K37" s="12"/>
    </row>
    <row r="38" spans="1:17" ht="13.5" thickBot="1" x14ac:dyDescent="0.25">
      <c r="A38" s="12"/>
      <c r="B38" s="66" t="s">
        <v>61</v>
      </c>
      <c r="C38" s="72">
        <f>+$E$12/3600/(PI()/4*(C37/1000)^2)</f>
        <v>8.1482238749223992</v>
      </c>
      <c r="D38" s="72">
        <f t="shared" ref="D38:F38" si="0">+$E$12/3600/(PI()/4*(D37/1000)^2)</f>
        <v>3.9297516812813664</v>
      </c>
      <c r="E38" s="72">
        <f t="shared" si="0"/>
        <v>2.8871645005332494</v>
      </c>
      <c r="F38" s="72">
        <f t="shared" si="0"/>
        <v>3.9297516812813664</v>
      </c>
      <c r="G38" s="12" t="s">
        <v>62</v>
      </c>
      <c r="H38" s="12"/>
      <c r="I38" s="12"/>
      <c r="J38" s="12"/>
      <c r="K38" s="12"/>
      <c r="M38" s="5"/>
      <c r="P38" s="5"/>
    </row>
    <row r="39" spans="1:17" x14ac:dyDescent="0.2">
      <c r="A39" s="12"/>
      <c r="B39" s="66" t="s">
        <v>63</v>
      </c>
      <c r="C39" s="73">
        <f>+calc!AI50</f>
        <v>3.6469822460414185E-2</v>
      </c>
      <c r="D39" s="73">
        <f>+calc!AI51</f>
        <v>5.2857266708793406E-2</v>
      </c>
      <c r="E39" s="73">
        <f>+calc!AI52</f>
        <v>6.2900380749472767E-2</v>
      </c>
      <c r="F39" s="73">
        <f>+calc!AI54</f>
        <v>5.2857266708793406E-2</v>
      </c>
      <c r="G39" s="12"/>
      <c r="H39" s="12"/>
      <c r="I39" s="12"/>
      <c r="J39" s="12"/>
      <c r="K39" s="12"/>
    </row>
    <row r="40" spans="1:17" x14ac:dyDescent="0.2">
      <c r="A40" s="12"/>
      <c r="B40" s="12" t="s">
        <v>64</v>
      </c>
      <c r="C40" s="81">
        <f>+(C38^2)/2/9.81/$E$13</f>
        <v>8.4599327619591484E-3</v>
      </c>
      <c r="D40" s="81">
        <f t="shared" ref="D40:F40" si="1">+(D38^2)/2/9.81/$E$13</f>
        <v>1.967755896602157E-3</v>
      </c>
      <c r="E40" s="81">
        <f t="shared" si="1"/>
        <v>1.0621456234887116E-3</v>
      </c>
      <c r="F40" s="81">
        <f t="shared" si="1"/>
        <v>1.967755896602157E-3</v>
      </c>
      <c r="G40" s="12" t="str">
        <f>+IF(F40&gt;3%,"kinetik energy too high, enlarge diameter!","")</f>
        <v/>
      </c>
      <c r="H40" s="12"/>
      <c r="I40" s="12"/>
      <c r="J40" s="12"/>
      <c r="K40" s="12"/>
    </row>
    <row r="41" spans="1:17" x14ac:dyDescent="0.2">
      <c r="A41" s="12"/>
      <c r="B41" s="12"/>
      <c r="C41" s="12"/>
      <c r="D41" s="12"/>
      <c r="E41" s="12"/>
      <c r="F41" s="12"/>
      <c r="G41" s="12"/>
      <c r="H41" s="12"/>
      <c r="I41" s="12"/>
      <c r="J41" s="12"/>
      <c r="K41" s="12"/>
    </row>
    <row r="42" spans="1:17" x14ac:dyDescent="0.2">
      <c r="A42" s="12"/>
      <c r="B42" s="66" t="s">
        <v>53</v>
      </c>
      <c r="C42" s="66"/>
      <c r="D42" s="66"/>
      <c r="E42" s="66"/>
      <c r="F42" s="12"/>
      <c r="G42" s="12"/>
      <c r="H42" s="12"/>
      <c r="I42" s="12"/>
      <c r="J42" s="12"/>
      <c r="K42" s="12"/>
    </row>
    <row r="43" spans="1:17" x14ac:dyDescent="0.2">
      <c r="A43" s="12"/>
      <c r="B43" s="66"/>
      <c r="C43" s="69"/>
      <c r="D43" s="69" t="s">
        <v>59</v>
      </c>
      <c r="E43" s="69" t="s">
        <v>60</v>
      </c>
      <c r="F43" s="66" t="s">
        <v>46</v>
      </c>
      <c r="G43" s="12"/>
      <c r="H43" s="12"/>
      <c r="I43" s="12"/>
      <c r="J43" s="12"/>
      <c r="K43" s="12"/>
    </row>
    <row r="44" spans="1:17" x14ac:dyDescent="0.2">
      <c r="A44" s="12"/>
      <c r="B44" s="66" t="s">
        <v>22</v>
      </c>
      <c r="C44" s="66"/>
      <c r="D44" s="66">
        <f>+calc!L3</f>
        <v>600</v>
      </c>
      <c r="E44" s="66">
        <f>+calc!L5</f>
        <v>600</v>
      </c>
      <c r="F44" s="66">
        <f>+I11</f>
        <v>600</v>
      </c>
      <c r="G44" s="12" t="s">
        <v>24</v>
      </c>
      <c r="H44" s="12"/>
      <c r="I44" s="12"/>
      <c r="J44" s="12"/>
      <c r="K44" s="12"/>
    </row>
    <row r="45" spans="1:17" x14ac:dyDescent="0.2">
      <c r="A45" s="12"/>
      <c r="B45" s="12" t="s">
        <v>65</v>
      </c>
      <c r="C45" s="72"/>
      <c r="D45" s="72">
        <f>+$E$12/3600/(PI()/4*(D44/1000)^2)</f>
        <v>3.9297516812813664</v>
      </c>
      <c r="E45" s="72">
        <f t="shared" ref="E45:F45" si="2">+$E$12/3600/(PI()/4*(E44/1000)^2)</f>
        <v>3.9297516812813664</v>
      </c>
      <c r="F45" s="72">
        <f t="shared" si="2"/>
        <v>3.9297516812813664</v>
      </c>
      <c r="G45" s="12" t="s">
        <v>62</v>
      </c>
      <c r="H45" s="12"/>
      <c r="I45" s="12"/>
      <c r="J45" s="12"/>
      <c r="K45" s="12"/>
      <c r="M45" s="1"/>
      <c r="N45" s="6"/>
      <c r="P45" s="1"/>
      <c r="Q45" s="6"/>
    </row>
    <row r="46" spans="1:17" x14ac:dyDescent="0.2">
      <c r="A46" s="12"/>
      <c r="B46" s="12" t="s">
        <v>64</v>
      </c>
      <c r="C46" s="81">
        <f>+(C44^2)/2/9.81/$E$13</f>
        <v>0</v>
      </c>
      <c r="D46" s="81">
        <f>+(D45^2)/2/9.81/$E$13</f>
        <v>1.967755896602157E-3</v>
      </c>
      <c r="E46" s="81">
        <f t="shared" ref="E46:F46" si="3">+(E45^2)/2/9.81/$E$13</f>
        <v>1.967755896602157E-3</v>
      </c>
      <c r="F46" s="81">
        <f t="shared" si="3"/>
        <v>1.967755896602157E-3</v>
      </c>
      <c r="G46" s="12" t="str">
        <f>+IF(F46&gt;3%,"kinetik energy too high, enlarge diameter!","")</f>
        <v/>
      </c>
      <c r="H46" s="12"/>
      <c r="I46" s="12"/>
      <c r="J46" s="12"/>
      <c r="K46" s="12"/>
      <c r="M46" s="2"/>
    </row>
    <row r="47" spans="1:17" x14ac:dyDescent="0.2">
      <c r="A47" s="137" t="s">
        <v>54</v>
      </c>
      <c r="B47" s="137"/>
      <c r="C47" s="137"/>
      <c r="D47" s="137"/>
      <c r="E47" s="137"/>
      <c r="F47" s="137"/>
      <c r="G47" s="137"/>
      <c r="H47" s="137"/>
      <c r="I47" s="137"/>
      <c r="J47" s="137"/>
      <c r="K47" s="138"/>
    </row>
    <row r="48" spans="1:17" ht="41.25" customHeight="1" x14ac:dyDescent="0.2">
      <c r="A48" s="145"/>
      <c r="B48" s="145"/>
      <c r="C48" s="145"/>
      <c r="D48" s="145"/>
      <c r="E48" s="145"/>
      <c r="F48" s="145"/>
      <c r="G48" s="145"/>
      <c r="H48" s="145"/>
      <c r="I48" s="145"/>
      <c r="J48" s="145"/>
      <c r="K48" s="146"/>
    </row>
    <row r="49" spans="2:11" ht="13.5" customHeight="1" x14ac:dyDescent="0.2">
      <c r="B49" s="4"/>
      <c r="C49" s="4"/>
      <c r="D49" s="4"/>
      <c r="E49" s="4"/>
      <c r="F49" s="4"/>
      <c r="G49" s="4"/>
      <c r="H49" s="4"/>
      <c r="I49" s="4"/>
      <c r="J49" s="4"/>
      <c r="K49" s="4"/>
    </row>
  </sheetData>
  <mergeCells count="6">
    <mergeCell ref="A33:K33"/>
    <mergeCell ref="A47:K47"/>
    <mergeCell ref="A48:K48"/>
    <mergeCell ref="A1:E3"/>
    <mergeCell ref="F1:K3"/>
    <mergeCell ref="A22:K22"/>
  </mergeCells>
  <conditionalFormatting sqref="C40:F40">
    <cfRule type="cellIs" dxfId="1" priority="2" operator="greaterThan">
      <formula>"3&amp;"</formula>
    </cfRule>
  </conditionalFormatting>
  <conditionalFormatting sqref="C46:F46">
    <cfRule type="cellIs" dxfId="0" priority="1" operator="greaterThan">
      <formula>0.03</formula>
    </cfRule>
  </conditionalFormatting>
  <pageMargins left="0.7" right="0.7" top="0.75" bottom="0.75" header="0.3" footer="0.3"/>
  <pageSetup scale="78" orientation="portrait" r:id="rId1"/>
  <headerFooter alignWithMargins="0">
    <oddFooter>&amp;L&amp;F&amp;R&amp;D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2021B-B90A-42B9-9B33-CB1ABA66B038}">
  <sheetPr codeName="Foglio6"/>
  <dimension ref="A1:CI200"/>
  <sheetViews>
    <sheetView zoomScaleNormal="100" workbookViewId="0">
      <selection activeCell="B43" sqref="B43"/>
    </sheetView>
  </sheetViews>
  <sheetFormatPr defaultRowHeight="12.75" x14ac:dyDescent="0.2"/>
  <cols>
    <col min="1" max="3" width="9.140625" style="3"/>
    <col min="4" max="4" width="10" style="3" bestFit="1" customWidth="1"/>
    <col min="5" max="8" width="9.140625" style="3"/>
    <col min="9" max="9" width="10" style="3" bestFit="1" customWidth="1"/>
    <col min="10" max="68" width="9.140625" style="3"/>
    <col min="69" max="69" width="10.28515625" style="3" bestFit="1" customWidth="1"/>
    <col min="70" max="70" width="10.28515625" style="3" customWidth="1"/>
    <col min="71" max="75" width="10.140625" style="3" bestFit="1" customWidth="1"/>
    <col min="76" max="76" width="13.140625" style="3" bestFit="1" customWidth="1"/>
    <col min="77" max="78" width="9.140625" style="3"/>
    <col min="79" max="80" width="10.140625" style="3" bestFit="1" customWidth="1"/>
    <col min="81" max="81" width="13.140625" style="3" bestFit="1" customWidth="1"/>
    <col min="82" max="83" width="9.140625" style="3"/>
    <col min="84" max="85" width="10.140625" style="3" bestFit="1" customWidth="1"/>
    <col min="86" max="86" width="13.140625" style="3" bestFit="1" customWidth="1"/>
    <col min="87" max="16384" width="9.140625" style="3"/>
  </cols>
  <sheetData>
    <row r="1" spans="1:87" x14ac:dyDescent="0.2">
      <c r="A1" s="53"/>
      <c r="B1" s="54"/>
      <c r="C1" s="53"/>
      <c r="D1" s="54" t="s">
        <v>66</v>
      </c>
      <c r="E1" s="55" t="s">
        <v>67</v>
      </c>
      <c r="F1" s="54" t="s">
        <v>68</v>
      </c>
      <c r="G1" s="54"/>
      <c r="H1" s="85" t="s">
        <v>69</v>
      </c>
      <c r="I1" s="85"/>
      <c r="K1" s="53"/>
      <c r="L1" s="54" t="s">
        <v>22</v>
      </c>
      <c r="M1" s="54" t="s">
        <v>66</v>
      </c>
      <c r="N1" s="54" t="s">
        <v>26</v>
      </c>
      <c r="O1" s="55" t="s">
        <v>67</v>
      </c>
      <c r="P1" s="54"/>
      <c r="Q1" s="53" t="s">
        <v>70</v>
      </c>
      <c r="R1" s="54"/>
      <c r="S1" s="54"/>
      <c r="T1" s="54"/>
      <c r="U1" s="55"/>
      <c r="V1" s="54"/>
      <c r="W1" s="54"/>
      <c r="X1" s="55"/>
      <c r="BW1" s="3" t="s">
        <v>71</v>
      </c>
      <c r="CB1" s="3" t="s">
        <v>72</v>
      </c>
      <c r="CG1" s="3" t="s">
        <v>72</v>
      </c>
    </row>
    <row r="2" spans="1:87" x14ac:dyDescent="0.2">
      <c r="A2" s="56"/>
      <c r="C2" s="56"/>
      <c r="D2" s="3" t="s">
        <v>62</v>
      </c>
      <c r="E2" s="57" t="s">
        <v>62</v>
      </c>
      <c r="F2" s="54" t="s">
        <v>66</v>
      </c>
      <c r="G2" s="55" t="s">
        <v>67</v>
      </c>
      <c r="H2" s="3" t="s">
        <v>66</v>
      </c>
      <c r="I2" s="3" t="s">
        <v>67</v>
      </c>
      <c r="K2" s="56"/>
      <c r="L2" s="3" t="s">
        <v>24</v>
      </c>
      <c r="M2" s="3" t="s">
        <v>62</v>
      </c>
      <c r="N2" s="3" t="s">
        <v>24</v>
      </c>
      <c r="O2" s="57" t="s">
        <v>62</v>
      </c>
      <c r="Q2" s="56" t="s">
        <v>73</v>
      </c>
      <c r="R2" s="3" t="s">
        <v>74</v>
      </c>
      <c r="S2" s="3" t="s">
        <v>75</v>
      </c>
      <c r="T2" s="3" t="s">
        <v>76</v>
      </c>
      <c r="U2" s="57" t="s">
        <v>77</v>
      </c>
      <c r="V2" s="3" t="s">
        <v>78</v>
      </c>
      <c r="X2" s="57"/>
      <c r="BS2" s="3" t="s">
        <v>79</v>
      </c>
      <c r="BT2" s="3" t="s">
        <v>80</v>
      </c>
      <c r="BU2" s="3" t="s">
        <v>81</v>
      </c>
      <c r="BV2" s="3" t="s">
        <v>82</v>
      </c>
      <c r="CA2" s="3" t="s">
        <v>82</v>
      </c>
      <c r="CF2" s="3" t="s">
        <v>82</v>
      </c>
    </row>
    <row r="3" spans="1:87" x14ac:dyDescent="0.2">
      <c r="A3" s="56"/>
      <c r="C3" s="56" t="s">
        <v>83</v>
      </c>
      <c r="D3" s="3">
        <f>+IF($H$3&lt;3.5,$H$3,3.5)</f>
        <v>3.5</v>
      </c>
      <c r="E3" s="3">
        <f>+IF($I$3&lt;6.6,$I$3,6.6)</f>
        <v>6.6</v>
      </c>
      <c r="F3" s="3">
        <f>+IF($H$3&lt;3.3,$H$3,3.3)</f>
        <v>3.3</v>
      </c>
      <c r="G3" s="3">
        <f>+IF($I$3&lt;3.3,$I$3,3.3)</f>
        <v>3.3</v>
      </c>
      <c r="H3" s="65">
        <f>+(Metric_Conversion!E13*0.03*2*9.81)^0.5</f>
        <v>15.344054223053305</v>
      </c>
      <c r="I3" s="65">
        <f>+(Metric_Conversion!E13*0.03*2*9.81)^0.5</f>
        <v>15.344054223053305</v>
      </c>
      <c r="K3" s="56" t="s">
        <v>83</v>
      </c>
      <c r="L3" s="3">
        <f>+IF(Input_Output!E18="y",_xlfn.XLOOKUP(F4,D13:D40,B13:B40,,-1),_xlfn.XLOOKUP(D5,D13:D40,B13:B40,,-1))</f>
        <v>600</v>
      </c>
      <c r="M3" s="65">
        <f>+_xlfn.XLOOKUP(L3,B13:B39,D13:D39)</f>
        <v>3.9317449083903435</v>
      </c>
      <c r="N3" s="3">
        <f>+IF(Input_Output!E18="y",_xlfn.XLOOKUP(G4,E13:E40,B13:B40,,-1),_xlfn.XLOOKUP(E5,E13:E40,B13:B40,,-1))</f>
        <v>600</v>
      </c>
      <c r="O3" s="58">
        <f>+_xlfn.XLOOKUP(N3,$B$13:$B$39,$E$13:$E$39)</f>
        <v>3.9317449083903435</v>
      </c>
      <c r="Q3" s="59">
        <f>+MIN(G13:G39)</f>
        <v>25</v>
      </c>
      <c r="R3" s="3">
        <f>+IF(Input_Output!E18="y",IF(Input_Output!$E$10="SI",calc!F3,calc!F3/0.3048),IF(Input_Output!$E$10="SI",calc!D3,calc!D3/0.3048))</f>
        <v>3.3</v>
      </c>
      <c r="S3" s="3">
        <f>+IF(Input_Output!E18="y",IF(Input_Output!$E$10="SI",calc!F4,calc!F4/0.3048),IF(Input_Output!$E$10="SI",calc!D5,calc!D5/0.3048))</f>
        <v>4.5999999999999996</v>
      </c>
      <c r="T3" s="3">
        <f>+IF(Input_Output!E18="y",IF(Input_Output!$E$10="SI",calc!G3,calc!G3/0.3048),IF(Input_Output!$E$10="SI",calc!E3,calc!E3/0.3048))</f>
        <v>3.3</v>
      </c>
      <c r="U3" s="57">
        <f>+IF(Input_Output!E18="y",IF(Input_Output!$E$10="SI",calc!G4,calc!G4/0.3048),IF(Input_Output!$E$10="SI",calc!E5,calc!E5/0.3048))</f>
        <v>4.5999999999999996</v>
      </c>
      <c r="V3" s="3">
        <f>+Input_Output!C38</f>
        <v>8.1482238749223992</v>
      </c>
      <c r="X3" s="57"/>
      <c r="BR3" s="3">
        <v>1</v>
      </c>
      <c r="BS3" s="3">
        <v>50</v>
      </c>
      <c r="BT3" s="3">
        <v>6.1</v>
      </c>
      <c r="BU3" s="3">
        <v>0.8</v>
      </c>
      <c r="BV3" s="3">
        <f t="shared" ref="BV3:BV34" si="0">+((BS3-$BY$16)^2+(BT3-$BY$17)^2)*0.5</f>
        <v>466.4850436260931</v>
      </c>
      <c r="BW3" s="3" t="s">
        <v>84</v>
      </c>
      <c r="BX3" s="3">
        <f>+MIN(BV3:BV12)</f>
        <v>41.384081879584222</v>
      </c>
      <c r="BY3" s="3">
        <f>+BU3</f>
        <v>0.8</v>
      </c>
      <c r="CA3" s="3">
        <f>+((BS3-$CD$16)^2+(BT3-$CD$17)^2)*0.5</f>
        <v>466.4850436260931</v>
      </c>
      <c r="CB3" s="3" t="s">
        <v>84</v>
      </c>
      <c r="CC3" s="3">
        <f>+MIN(CA3:CA12)</f>
        <v>41.384081879584222</v>
      </c>
      <c r="CF3" s="3">
        <f>+((BS3-$CI$16)^2+(BT3-$CI$17)^2)*0.5</f>
        <v>484.84937364632282</v>
      </c>
      <c r="CG3" s="3" t="s">
        <v>84</v>
      </c>
      <c r="CH3" s="3">
        <f>+MIN(CF3:CF12)</f>
        <v>57.773886154138964</v>
      </c>
    </row>
    <row r="4" spans="1:87" x14ac:dyDescent="0.2">
      <c r="A4" s="56"/>
      <c r="C4" s="56" t="s">
        <v>85</v>
      </c>
      <c r="D4" s="3">
        <f>+IF($H$3&lt;4.6,$H$3,4.6)</f>
        <v>4.5999999999999996</v>
      </c>
      <c r="E4" s="3">
        <f>+IF($I$3&lt;7.6,$I$3,7.6)</f>
        <v>7.6</v>
      </c>
      <c r="F4" s="3">
        <f>+IF($H$3&lt;4.6,$H$3,4.6)</f>
        <v>4.5999999999999996</v>
      </c>
      <c r="G4" s="3">
        <f>+IF($I$3&lt;4.6,$I$3,4.6)</f>
        <v>4.5999999999999996</v>
      </c>
      <c r="K4" s="56" t="s">
        <v>85</v>
      </c>
      <c r="L4" s="3">
        <f>+_xlfn.XLOOKUP(D4,D13:D39,B13:B39,,-1)</f>
        <v>600</v>
      </c>
      <c r="M4" s="65">
        <f>+_xlfn.XLOOKUP(L4,B13:B39,D13:D39)</f>
        <v>3.9317449083903435</v>
      </c>
      <c r="N4" s="3">
        <f>+IF(Input_Output!E18="y",_xlfn.XLOOKUP(G4,E13:E40,B13:B40,,-1),_xlfn.XLOOKUP(E4,E13:E40,B13:B40,,-1))</f>
        <v>600</v>
      </c>
      <c r="O4" s="58">
        <f>+_xlfn.XLOOKUP(N4,$B$13:$B$39,$E$13:$E$39)</f>
        <v>3.9317449083903435</v>
      </c>
      <c r="Q4" s="60">
        <f>+MAX(G13:G39)</f>
        <v>1100</v>
      </c>
      <c r="R4" s="61">
        <f>+R3</f>
        <v>3.3</v>
      </c>
      <c r="S4" s="61">
        <f t="shared" ref="S4:U4" si="1">+S3</f>
        <v>4.5999999999999996</v>
      </c>
      <c r="T4" s="61">
        <f t="shared" si="1"/>
        <v>3.3</v>
      </c>
      <c r="U4" s="62">
        <f t="shared" si="1"/>
        <v>4.5999999999999996</v>
      </c>
      <c r="V4" s="3">
        <f>+V3</f>
        <v>8.1482238749223992</v>
      </c>
      <c r="X4" s="57"/>
      <c r="BS4" s="3">
        <v>45</v>
      </c>
      <c r="BT4" s="3">
        <v>5.8</v>
      </c>
      <c r="BU4" s="3">
        <v>0.8</v>
      </c>
      <c r="BV4" s="3">
        <f t="shared" si="0"/>
        <v>328.39577402952852</v>
      </c>
      <c r="BW4" s="3" t="s">
        <v>84</v>
      </c>
      <c r="BX4" s="3">
        <f>+MIN(BV13:BV27)</f>
        <v>3.5344474332736673</v>
      </c>
      <c r="BY4" s="3">
        <f>+BU13</f>
        <v>0.75</v>
      </c>
      <c r="CA4" s="3">
        <f t="shared" ref="CA4:CA67" si="2">+((BS4-$CD$16)^2+(BT4-$CD$17)^2)*0.5</f>
        <v>328.39577402952852</v>
      </c>
      <c r="CB4" s="3" t="s">
        <v>84</v>
      </c>
      <c r="CC4" s="3">
        <f>+MIN(CA13:CA27)</f>
        <v>3.5344474332736673</v>
      </c>
      <c r="CF4" s="3">
        <f t="shared" ref="CF4:CF67" si="3">+((BS4-$CI$16)^2+(BT4-$CI$17)^2)*0.5</f>
        <v>347.80411553733421</v>
      </c>
      <c r="CG4" s="3" t="s">
        <v>84</v>
      </c>
      <c r="CH4" s="3">
        <f>+MIN(CF13:CF27)</f>
        <v>15.321120174524967</v>
      </c>
    </row>
    <row r="5" spans="1:87" x14ac:dyDescent="0.2">
      <c r="A5" s="56"/>
      <c r="C5" s="63" t="s">
        <v>86</v>
      </c>
      <c r="D5" s="61">
        <f>+D4</f>
        <v>4.5999999999999996</v>
      </c>
      <c r="E5" s="62">
        <f>+E4</f>
        <v>7.6</v>
      </c>
      <c r="F5" s="65"/>
      <c r="G5" s="65"/>
      <c r="K5" s="56" t="s">
        <v>86</v>
      </c>
      <c r="L5" s="3">
        <f>+_xlfn.XLOOKUP(D3,D13:D39,B13:B39,,1)</f>
        <v>600</v>
      </c>
      <c r="M5" s="65">
        <f>+_xlfn.XLOOKUP(L5,B13:B39,D13:D39)</f>
        <v>3.9317449083903435</v>
      </c>
      <c r="N5" s="3">
        <f>+IF(Input_Output!E18="y",_xlfn.XLOOKUP(G3,E13:E40,B13:B40,,-1),_xlfn.XLOOKUP(E3,E13:E40,B13:B40,,-1))</f>
        <v>700</v>
      </c>
      <c r="O5" s="58">
        <f>+_xlfn.XLOOKUP(N5,$B$13:$B$39,$E$13:$E$39)</f>
        <v>2.8886289122867832</v>
      </c>
      <c r="S5" s="65"/>
      <c r="X5" s="57"/>
      <c r="BC5" s="3" t="s">
        <v>87</v>
      </c>
      <c r="BS5" s="3">
        <v>40</v>
      </c>
      <c r="BT5" s="3">
        <v>5.55</v>
      </c>
      <c r="BU5" s="3">
        <v>0.8</v>
      </c>
      <c r="BV5" s="3">
        <f t="shared" si="0"/>
        <v>215.19090297715974</v>
      </c>
      <c r="BW5" s="3" t="s">
        <v>84</v>
      </c>
      <c r="BX5" s="3">
        <f>+MIN(BV28:BV43)</f>
        <v>0.26038920110162594</v>
      </c>
      <c r="BY5" s="3">
        <f>+BU28</f>
        <v>0.7</v>
      </c>
      <c r="CA5" s="3">
        <f t="shared" si="2"/>
        <v>215.19090297715974</v>
      </c>
      <c r="CB5" s="3" t="s">
        <v>84</v>
      </c>
      <c r="CC5" s="3">
        <f>+MIN(CA28:CA43)</f>
        <v>0.26038920110162594</v>
      </c>
      <c r="CF5" s="3">
        <f t="shared" si="3"/>
        <v>235.46925405794539</v>
      </c>
      <c r="CG5" s="3" t="s">
        <v>84</v>
      </c>
      <c r="CH5" s="3">
        <f>+MIN(CF28:CF43)</f>
        <v>6.2013391329189762</v>
      </c>
    </row>
    <row r="6" spans="1:87" x14ac:dyDescent="0.2">
      <c r="A6" s="56"/>
      <c r="F6" s="65"/>
      <c r="G6" s="65"/>
      <c r="K6" s="63" t="s">
        <v>46</v>
      </c>
      <c r="L6" s="68">
        <f>Metric_Conversion!I11</f>
        <v>600</v>
      </c>
      <c r="M6" s="65">
        <f>+_xlfn.XLOOKUP(L6,B13:B39,D13:D39)</f>
        <v>3.9317449083903435</v>
      </c>
      <c r="N6" s="68">
        <f>+Metric_Conversion!I12</f>
        <v>600</v>
      </c>
      <c r="O6" s="58">
        <f>+_xlfn.XLOOKUP(N6,$B$13:$B$40,$E$13:$E$40)</f>
        <v>3.9317449083903435</v>
      </c>
      <c r="X6" s="57"/>
      <c r="BS6" s="3">
        <v>35</v>
      </c>
      <c r="BT6" s="3">
        <v>5.4</v>
      </c>
      <c r="BU6" s="3">
        <v>0.8</v>
      </c>
      <c r="BV6" s="3">
        <f t="shared" si="0"/>
        <v>126.6198290131823</v>
      </c>
      <c r="BW6" s="3" t="s">
        <v>84</v>
      </c>
      <c r="BX6" s="3">
        <f>+MIN(BV44:BV62)</f>
        <v>0.73974658559850504</v>
      </c>
      <c r="BY6" s="3">
        <f>+BU44</f>
        <v>0.65</v>
      </c>
      <c r="CA6" s="3">
        <f t="shared" si="2"/>
        <v>126.6198290131823</v>
      </c>
      <c r="CB6" s="3" t="s">
        <v>84</v>
      </c>
      <c r="CC6" s="3">
        <f>+MIN(CA44:CA62)</f>
        <v>0.73974658559850504</v>
      </c>
      <c r="CF6" s="3">
        <f t="shared" si="3"/>
        <v>147.42018583775595</v>
      </c>
      <c r="CG6" s="3" t="s">
        <v>84</v>
      </c>
      <c r="CH6" s="3">
        <f>+MIN(CF44:CF62)</f>
        <v>5.5319272673403885</v>
      </c>
    </row>
    <row r="7" spans="1:87" x14ac:dyDescent="0.2">
      <c r="A7" s="56"/>
      <c r="X7" s="57"/>
      <c r="AY7" s="3" t="s">
        <v>88</v>
      </c>
      <c r="AZ7" s="3" t="s">
        <v>89</v>
      </c>
      <c r="BA7" s="3" t="s">
        <v>81</v>
      </c>
      <c r="BC7" s="3">
        <f>+(4*AZ22*AD50/PI())^0.5</f>
        <v>416.67968595148011</v>
      </c>
      <c r="BS7" s="3">
        <v>30</v>
      </c>
      <c r="BT7" s="3">
        <v>5.45</v>
      </c>
      <c r="BU7" s="3">
        <v>0.8</v>
      </c>
      <c r="BV7" s="3">
        <f t="shared" si="0"/>
        <v>62.213849225987666</v>
      </c>
      <c r="BW7" s="3" t="s">
        <v>84</v>
      </c>
      <c r="BX7" s="3">
        <f>+MIN(BV62:BV82)</f>
        <v>3.8772255195536021</v>
      </c>
      <c r="BY7" s="3">
        <v>0.6</v>
      </c>
      <c r="CA7" s="3">
        <f t="shared" si="2"/>
        <v>62.213849225987666</v>
      </c>
      <c r="CB7" s="3" t="s">
        <v>84</v>
      </c>
      <c r="CC7" s="3">
        <f>+MIN(CA62:CA82)</f>
        <v>3.8772255195536021</v>
      </c>
      <c r="CF7" s="3">
        <f t="shared" si="3"/>
        <v>82.840204135965323</v>
      </c>
      <c r="CG7" s="3" t="s">
        <v>84</v>
      </c>
      <c r="CH7" s="3">
        <f>+MIN(CF62:CF82)</f>
        <v>8.6694062012954856</v>
      </c>
    </row>
    <row r="8" spans="1:87" x14ac:dyDescent="0.2">
      <c r="A8" s="56"/>
      <c r="G8" s="53" t="s">
        <v>90</v>
      </c>
      <c r="H8" s="54"/>
      <c r="I8" s="54"/>
      <c r="J8" s="55"/>
      <c r="X8" s="57"/>
      <c r="AY8" s="3">
        <v>1.3</v>
      </c>
      <c r="AZ8" s="3">
        <v>1.45</v>
      </c>
      <c r="BA8" s="3">
        <v>0.35</v>
      </c>
      <c r="BS8" s="3">
        <v>28</v>
      </c>
      <c r="BT8" s="3">
        <v>6</v>
      </c>
      <c r="BU8" s="3">
        <v>0.8</v>
      </c>
      <c r="BV8" s="3">
        <f t="shared" si="0"/>
        <v>41.384081879584222</v>
      </c>
      <c r="BW8" s="3" t="s">
        <v>84</v>
      </c>
      <c r="BX8" s="3">
        <f>+MIN(BV83:BV104)</f>
        <v>11.880166620369655</v>
      </c>
      <c r="BY8" s="3">
        <v>0.55000000000000004</v>
      </c>
      <c r="CA8" s="3">
        <f t="shared" si="2"/>
        <v>41.384081879584222</v>
      </c>
      <c r="CB8" s="3" t="s">
        <v>84</v>
      </c>
      <c r="CC8" s="3">
        <f>+MIN(CA83:CA104)</f>
        <v>11.880166620369655</v>
      </c>
      <c r="CF8" s="3">
        <f t="shared" si="3"/>
        <v>60.096415729005905</v>
      </c>
      <c r="CG8" s="3" t="s">
        <v>84</v>
      </c>
      <c r="CH8" s="3">
        <f>+MIN(CF83:CF104)</f>
        <v>16.67234730211154</v>
      </c>
    </row>
    <row r="9" spans="1:87" x14ac:dyDescent="0.2">
      <c r="A9" s="56"/>
      <c r="G9" s="53" t="s">
        <v>22</v>
      </c>
      <c r="H9" s="54" t="s">
        <v>66</v>
      </c>
      <c r="I9" s="54" t="s">
        <v>26</v>
      </c>
      <c r="J9" s="55" t="s">
        <v>67</v>
      </c>
      <c r="X9" s="57"/>
      <c r="AY9" s="3">
        <v>2</v>
      </c>
      <c r="AZ9" s="3">
        <v>1.5</v>
      </c>
      <c r="BA9" s="3">
        <v>0.37</v>
      </c>
      <c r="BS9" s="3">
        <v>28.5</v>
      </c>
      <c r="BT9" s="3">
        <v>7</v>
      </c>
      <c r="BU9" s="3">
        <v>0.8</v>
      </c>
      <c r="BV9" s="3">
        <f t="shared" si="0"/>
        <v>42.541590596637235</v>
      </c>
      <c r="BW9" s="3" t="s">
        <v>84</v>
      </c>
      <c r="BX9" s="3">
        <f>+MIN(BV105:BV126)</f>
        <v>24.994200154557916</v>
      </c>
      <c r="BY9" s="3">
        <v>0.5</v>
      </c>
      <c r="CA9" s="3">
        <f t="shared" si="2"/>
        <v>42.541590596637235</v>
      </c>
      <c r="CB9" s="3" t="s">
        <v>84</v>
      </c>
      <c r="CC9" s="3">
        <f>+MIN(CA105:CA126)</f>
        <v>24.994200154557916</v>
      </c>
      <c r="CF9" s="3">
        <f t="shared" si="3"/>
        <v>57.773886154138964</v>
      </c>
      <c r="CG9" s="3" t="s">
        <v>84</v>
      </c>
      <c r="CH9" s="3">
        <f>+MIN(CF105:CF126)</f>
        <v>29.786380836299799</v>
      </c>
    </row>
    <row r="10" spans="1:87" x14ac:dyDescent="0.2">
      <c r="A10" s="56"/>
      <c r="G10" s="63">
        <f>+IF(Input_Output!$E$10="SI",calc!L6,calc!L6/25)</f>
        <v>600</v>
      </c>
      <c r="H10" s="61">
        <f>+IF(Input_Output!$E$10="SI",calc!M6,calc!M6/0.3048)</f>
        <v>3.9317449083903435</v>
      </c>
      <c r="I10" s="61">
        <f>+IF(Input_Output!$E$10="SI",calc!N6,calc!N6/25)</f>
        <v>600</v>
      </c>
      <c r="J10" s="62">
        <f>+IF(Input_Output!$E$10="SI",calc!O6,calc!O6/0.3048)</f>
        <v>3.9317449083903435</v>
      </c>
      <c r="X10" s="57"/>
      <c r="AY10" s="3">
        <v>3</v>
      </c>
      <c r="AZ10" s="3">
        <v>1.6</v>
      </c>
      <c r="BA10" s="3">
        <v>0.48</v>
      </c>
      <c r="BS10" s="3">
        <v>30</v>
      </c>
      <c r="BT10" s="3">
        <v>7.8</v>
      </c>
      <c r="BU10" s="3">
        <v>0.8</v>
      </c>
      <c r="BV10" s="3">
        <f t="shared" si="0"/>
        <v>55.135580803185519</v>
      </c>
      <c r="BW10" s="3" t="s">
        <v>84</v>
      </c>
      <c r="BX10" s="3">
        <f>+MIN(BV127:BV149)</f>
        <v>32.194647829216677</v>
      </c>
      <c r="BY10" s="3">
        <v>0.45</v>
      </c>
      <c r="CA10" s="3">
        <f t="shared" si="2"/>
        <v>55.135580803185519</v>
      </c>
      <c r="CB10" s="3" t="s">
        <v>84</v>
      </c>
      <c r="CC10" s="3">
        <f>+MIN(CA127:CA149)</f>
        <v>32.194647829216677</v>
      </c>
      <c r="CF10" s="3">
        <f t="shared" si="3"/>
        <v>67.583845727151285</v>
      </c>
      <c r="CG10" s="3" t="s">
        <v>84</v>
      </c>
      <c r="CH10" s="3">
        <f>+MIN(CF127:CF149)</f>
        <v>42.363859770254891</v>
      </c>
    </row>
    <row r="11" spans="1:87" x14ac:dyDescent="0.2">
      <c r="A11" s="53"/>
      <c r="B11" s="54" t="s">
        <v>91</v>
      </c>
      <c r="C11" s="54"/>
      <c r="D11" s="54" t="s">
        <v>66</v>
      </c>
      <c r="E11" s="55" t="s">
        <v>67</v>
      </c>
      <c r="G11" s="56"/>
      <c r="J11" s="57"/>
      <c r="N11" s="3">
        <f>+F3/0.3048</f>
        <v>10.826771653543306</v>
      </c>
      <c r="X11" s="57"/>
      <c r="AY11" s="3">
        <v>4</v>
      </c>
      <c r="AZ11" s="3">
        <v>1.75</v>
      </c>
      <c r="BA11" s="3">
        <v>0.52</v>
      </c>
      <c r="BS11" s="3">
        <v>32</v>
      </c>
      <c r="BT11" s="3">
        <v>8.9</v>
      </c>
      <c r="BU11" s="3">
        <v>0.8</v>
      </c>
      <c r="BV11" s="3">
        <f t="shared" si="0"/>
        <v>76.398000108047029</v>
      </c>
      <c r="BW11" s="3" t="s">
        <v>84</v>
      </c>
      <c r="BX11" s="3">
        <f>+MIN(BV150:BV174)</f>
        <v>32.837610158503551</v>
      </c>
      <c r="BY11" s="3">
        <v>0.4</v>
      </c>
      <c r="CA11" s="3">
        <f t="shared" si="2"/>
        <v>76.398000108047029</v>
      </c>
      <c r="CB11" s="3" t="s">
        <v>84</v>
      </c>
      <c r="CC11" s="3">
        <f>+MIN(CA150:CA174)</f>
        <v>32.837610158503551</v>
      </c>
      <c r="CF11" s="3">
        <f t="shared" si="3"/>
        <v>85.01822291090086</v>
      </c>
      <c r="CG11" s="3" t="s">
        <v>84</v>
      </c>
      <c r="CH11" s="3">
        <f>+MIN(CF150:CF174)</f>
        <v>56.480246270837789</v>
      </c>
    </row>
    <row r="12" spans="1:87" x14ac:dyDescent="0.2">
      <c r="A12" s="56"/>
      <c r="B12" s="3" t="s">
        <v>24</v>
      </c>
      <c r="D12" s="3" t="s">
        <v>62</v>
      </c>
      <c r="E12" s="57" t="s">
        <v>62</v>
      </c>
      <c r="G12" s="56" t="s">
        <v>92</v>
      </c>
      <c r="H12" s="3" t="s">
        <v>66</v>
      </c>
      <c r="I12" s="3" t="s">
        <v>67</v>
      </c>
      <c r="J12" s="57"/>
      <c r="X12" s="57"/>
      <c r="AY12" s="3">
        <v>5</v>
      </c>
      <c r="AZ12" s="3">
        <v>1.9</v>
      </c>
      <c r="BA12" s="3">
        <v>0.55000000000000004</v>
      </c>
      <c r="BS12" s="3">
        <v>34</v>
      </c>
      <c r="BT12" s="3">
        <v>10</v>
      </c>
      <c r="BU12" s="3">
        <v>0.8</v>
      </c>
      <c r="BV12" s="3">
        <f t="shared" si="0"/>
        <v>102.87041941290853</v>
      </c>
      <c r="BW12" s="3" t="s">
        <v>84</v>
      </c>
      <c r="BX12" s="3">
        <f>+MIN(BV175:BV200)</f>
        <v>33.324031905468715</v>
      </c>
      <c r="BY12" s="3">
        <v>0.35</v>
      </c>
      <c r="CA12" s="3">
        <f t="shared" si="2"/>
        <v>102.87041941290853</v>
      </c>
      <c r="CB12" s="3" t="s">
        <v>84</v>
      </c>
      <c r="CC12" s="3">
        <f>+MIN(CA175:CA200)</f>
        <v>33.324031905468715</v>
      </c>
      <c r="CF12" s="3">
        <f t="shared" si="3"/>
        <v>107.66260009465041</v>
      </c>
      <c r="CG12" s="3" t="s">
        <v>84</v>
      </c>
      <c r="CH12" s="3">
        <f>+MIN(CF175:CF200)</f>
        <v>67.696538068530174</v>
      </c>
    </row>
    <row r="13" spans="1:87" x14ac:dyDescent="0.2">
      <c r="A13" s="56">
        <f>+IF(D13&lt;1,"",B13)</f>
        <v>25</v>
      </c>
      <c r="B13" s="3">
        <v>25</v>
      </c>
      <c r="D13" s="3">
        <f>+(Metric_Conversion!$E$12+Metric_Conversion!$E$17)/3600/(3.14/4*calc!B13^2/1000000)</f>
        <v>2264.6850672328383</v>
      </c>
      <c r="E13" s="57">
        <f>+(Metric_Conversion!$E$12)/3600/(3.14/4*calc!B13^2/1000000)</f>
        <v>2264.6850672328383</v>
      </c>
      <c r="G13" s="56">
        <f>+IF(Input_Output!$E$10="SI",calc!A13,calc!A13/25)</f>
        <v>25</v>
      </c>
      <c r="H13" s="3">
        <f>+IF(Input_Output!$E$10="SI",calc!D13,calc!D13/0.3048)*(IF(G13="",,1))</f>
        <v>2264.6850672328383</v>
      </c>
      <c r="I13" s="3">
        <f>+IF(Input_Output!$E$10="SI",calc!E13,calc!E13/0.3048)*(IF(H13="",,1))</f>
        <v>2264.6850672328383</v>
      </c>
      <c r="J13" s="57"/>
      <c r="X13" s="57"/>
      <c r="AY13" s="3">
        <v>6</v>
      </c>
      <c r="AZ13" s="3">
        <v>2.1</v>
      </c>
      <c r="BA13" s="3">
        <v>0.56999999999999995</v>
      </c>
      <c r="BS13" s="3">
        <v>50</v>
      </c>
      <c r="BT13" s="3">
        <v>4.25</v>
      </c>
      <c r="BU13" s="3">
        <v>0.75</v>
      </c>
      <c r="BV13" s="3">
        <f t="shared" si="0"/>
        <v>474.73979749085225</v>
      </c>
      <c r="CA13" s="3">
        <f t="shared" si="2"/>
        <v>474.73979749085225</v>
      </c>
      <c r="CF13" s="3">
        <f t="shared" si="3"/>
        <v>499.54219835113383</v>
      </c>
    </row>
    <row r="14" spans="1:87" x14ac:dyDescent="0.2">
      <c r="A14" s="56">
        <f t="shared" ref="A14:A28" si="4">+IF(D14&lt;1,A13,B14)</f>
        <v>50</v>
      </c>
      <c r="B14" s="3">
        <v>50</v>
      </c>
      <c r="D14" s="3">
        <f>+(Metric_Conversion!$E$12+Metric_Conversion!$E$17)/3600/(3.14/4*calc!B14^2/1000000)</f>
        <v>566.17126680820957</v>
      </c>
      <c r="E14" s="57">
        <f>+(Metric_Conversion!$E$12)/3600/(3.14/4*calc!B14^2/1000000)</f>
        <v>566.17126680820957</v>
      </c>
      <c r="G14" s="56">
        <f>+IF(Input_Output!$E$10="SI",calc!A14,calc!A14/25)</f>
        <v>50</v>
      </c>
      <c r="H14" s="3">
        <f>+IF(Input_Output!$E$10="SI",calc!D14,calc!D14/0.3048)*(IF(G14="",,1))</f>
        <v>566.17126680820957</v>
      </c>
      <c r="I14" s="3">
        <f>+IF(Input_Output!$E$10="SI",calc!E14,calc!E14/0.3048)*(IF(H14="",,1))</f>
        <v>566.17126680820957</v>
      </c>
      <c r="J14" s="57"/>
      <c r="X14" s="57"/>
      <c r="AY14" s="3">
        <v>7</v>
      </c>
      <c r="AZ14" s="3">
        <v>2.25</v>
      </c>
      <c r="BA14" s="3">
        <v>0.6</v>
      </c>
      <c r="BS14" s="3">
        <v>45</v>
      </c>
      <c r="BT14" s="3">
        <v>4.0999999999999996</v>
      </c>
      <c r="BU14" s="3">
        <v>0.75</v>
      </c>
      <c r="BV14" s="3">
        <f t="shared" si="0"/>
        <v>336.36372352687476</v>
      </c>
      <c r="CA14" s="3">
        <f t="shared" si="2"/>
        <v>336.36372352687476</v>
      </c>
      <c r="CF14" s="3">
        <f t="shared" si="3"/>
        <v>361.68813013094439</v>
      </c>
    </row>
    <row r="15" spans="1:87" x14ac:dyDescent="0.2">
      <c r="A15" s="56">
        <f t="shared" si="4"/>
        <v>75</v>
      </c>
      <c r="B15" s="3">
        <v>75</v>
      </c>
      <c r="D15" s="3">
        <f>+(Metric_Conversion!$E$12+Metric_Conversion!$E$17)/3600/(3.14/4*calc!B15^2/1000000)</f>
        <v>251.63167413698199</v>
      </c>
      <c r="E15" s="57">
        <f>+(Metric_Conversion!$E$12)/3600/(3.14/4*calc!B15^2/1000000)</f>
        <v>251.63167413698199</v>
      </c>
      <c r="G15" s="56">
        <f>+IF(Input_Output!$E$10="SI",calc!A15,calc!A15/25)</f>
        <v>75</v>
      </c>
      <c r="H15" s="3">
        <f>+IF(Input_Output!$E$10="SI",calc!D15,calc!D15/0.3048)*(IF(G15="",,1))</f>
        <v>251.63167413698199</v>
      </c>
      <c r="I15" s="3">
        <f>+IF(Input_Output!$E$10="SI",calc!E15,calc!E15/0.3048)*(IF(H15="",,1))</f>
        <v>251.63167413698199</v>
      </c>
      <c r="J15" s="57"/>
      <c r="X15" s="57"/>
      <c r="AY15" s="3">
        <v>8</v>
      </c>
      <c r="AZ15" s="3">
        <v>2.44</v>
      </c>
      <c r="BA15" s="3">
        <v>0.62</v>
      </c>
      <c r="BS15" s="3">
        <v>40</v>
      </c>
      <c r="BT15" s="3">
        <v>3.9</v>
      </c>
      <c r="BU15" s="3">
        <v>0.75</v>
      </c>
      <c r="BV15" s="3">
        <f t="shared" si="0"/>
        <v>223.29575101870165</v>
      </c>
      <c r="BX15" s="3" t="s">
        <v>26</v>
      </c>
      <c r="BY15" s="3">
        <f>+N3</f>
        <v>600</v>
      </c>
      <c r="CA15" s="3">
        <f t="shared" si="2"/>
        <v>223.29575101870165</v>
      </c>
      <c r="CC15" s="3" t="s">
        <v>26</v>
      </c>
      <c r="CD15" s="3">
        <f>+Z51</f>
        <v>600</v>
      </c>
      <c r="CF15" s="3">
        <f t="shared" si="3"/>
        <v>249.31616528115524</v>
      </c>
      <c r="CH15" s="3" t="s">
        <v>26</v>
      </c>
      <c r="CI15" s="3">
        <f>+Z52</f>
        <v>700</v>
      </c>
    </row>
    <row r="16" spans="1:87" x14ac:dyDescent="0.2">
      <c r="A16" s="56">
        <f t="shared" si="4"/>
        <v>100</v>
      </c>
      <c r="B16" s="3">
        <v>100</v>
      </c>
      <c r="D16" s="3">
        <f>+(Metric_Conversion!$E$12+Metric_Conversion!$E$17)/3600/(3.14/4*calc!B16^2/1000000)</f>
        <v>141.54281670205239</v>
      </c>
      <c r="E16" s="57">
        <f>+(Metric_Conversion!$E$12)/3600/(3.14/4*calc!B16^2/1000000)</f>
        <v>141.54281670205239</v>
      </c>
      <c r="G16" s="56">
        <f>+IF(Input_Output!$E$10="SI",calc!A16,calc!A16/25)</f>
        <v>100</v>
      </c>
      <c r="H16" s="3">
        <f>+IF(Input_Output!$E$10="SI",calc!D16,calc!D16/0.3048)*(IF(G16="",,1))</f>
        <v>141.54281670205239</v>
      </c>
      <c r="I16" s="3">
        <f>+IF(Input_Output!$E$10="SI",calc!E16,calc!E16/0.3048)*(IF(H16="",,1))</f>
        <v>141.54281670205239</v>
      </c>
      <c r="J16" s="57"/>
      <c r="X16" s="57"/>
      <c r="AY16" s="3">
        <v>9</v>
      </c>
      <c r="AZ16" s="3">
        <v>2.6</v>
      </c>
      <c r="BA16" s="3">
        <v>0.65</v>
      </c>
      <c r="BS16" s="3">
        <v>35</v>
      </c>
      <c r="BT16" s="3">
        <v>3.7</v>
      </c>
      <c r="BU16" s="3">
        <v>0.75</v>
      </c>
      <c r="BV16" s="3">
        <f t="shared" si="0"/>
        <v>135.26777851052853</v>
      </c>
      <c r="BX16" s="3" t="s">
        <v>79</v>
      </c>
      <c r="BY16" s="64">
        <f>+Metric_Conversion!$E$16/$AF$50</f>
        <v>19.660924333721933</v>
      </c>
      <c r="CA16" s="3">
        <f t="shared" si="2"/>
        <v>135.26777851052853</v>
      </c>
      <c r="CC16" s="3" t="s">
        <v>79</v>
      </c>
      <c r="CD16" s="64">
        <f>+Metric_Conversion!$E$16/$AF$50</f>
        <v>19.660924333721933</v>
      </c>
      <c r="CF16" s="3">
        <f t="shared" si="3"/>
        <v>161.98420043136611</v>
      </c>
      <c r="CH16" s="3" t="s">
        <v>79</v>
      </c>
      <c r="CI16" s="64">
        <f>+Metric_Conversion!$E$16/$AF$50</f>
        <v>19.660924333721933</v>
      </c>
    </row>
    <row r="17" spans="1:87" x14ac:dyDescent="0.2">
      <c r="A17" s="56">
        <f t="shared" si="4"/>
        <v>125</v>
      </c>
      <c r="B17" s="3">
        <v>125</v>
      </c>
      <c r="D17" s="3">
        <f>+(Metric_Conversion!$E$12+Metric_Conversion!$E$17)/3600/(3.14/4*calc!B17^2/1000000)</f>
        <v>90.587402689313521</v>
      </c>
      <c r="E17" s="57">
        <f>+(Metric_Conversion!$E$12)/3600/(3.14/4*calc!B17^2/1000000)</f>
        <v>90.587402689313521</v>
      </c>
      <c r="G17" s="56">
        <f>+IF(Input_Output!$E$10="SI",calc!A17,calc!A17/25)</f>
        <v>125</v>
      </c>
      <c r="H17" s="3">
        <f>+IF(Input_Output!$E$10="SI",calc!D17,calc!D17/0.3048)*(IF(G17="",,1))</f>
        <v>90.587402689313521</v>
      </c>
      <c r="I17" s="3">
        <f>+IF(Input_Output!$E$10="SI",calc!E17,calc!E17/0.3048)*(IF(H17="",,1))</f>
        <v>90.587402689313521</v>
      </c>
      <c r="J17" s="57"/>
      <c r="X17" s="57"/>
      <c r="AY17" s="3">
        <v>10</v>
      </c>
      <c r="AZ17" s="3">
        <v>2.8</v>
      </c>
      <c r="BA17" s="3">
        <v>0.66</v>
      </c>
      <c r="BS17" s="3">
        <v>30</v>
      </c>
      <c r="BT17" s="3">
        <v>3.55</v>
      </c>
      <c r="BU17" s="3">
        <v>0.75</v>
      </c>
      <c r="BV17" s="3">
        <f t="shared" si="0"/>
        <v>71.974204546551107</v>
      </c>
      <c r="BX17" s="3" t="s">
        <v>80</v>
      </c>
      <c r="BY17" s="3">
        <f>+AE54</f>
        <v>9.6370291160860209</v>
      </c>
      <c r="CA17" s="3">
        <f t="shared" si="2"/>
        <v>71.974204546551107</v>
      </c>
      <c r="CC17" s="3" t="s">
        <v>80</v>
      </c>
      <c r="CD17" s="3">
        <f>+AE51</f>
        <v>9.6370291160860209</v>
      </c>
      <c r="CF17" s="3">
        <f t="shared" si="3"/>
        <v>99.212632211176668</v>
      </c>
      <c r="CH17" s="3" t="s">
        <v>80</v>
      </c>
      <c r="CI17" s="3">
        <f>+AE52</f>
        <v>13.117067408005971</v>
      </c>
    </row>
    <row r="18" spans="1:87" x14ac:dyDescent="0.2">
      <c r="A18" s="56">
        <f t="shared" si="4"/>
        <v>150</v>
      </c>
      <c r="B18" s="3">
        <v>150</v>
      </c>
      <c r="D18" s="3">
        <f>+(Metric_Conversion!$E$12+Metric_Conversion!$E$17)/3600/(3.14/4*calc!B18^2/1000000)</f>
        <v>62.907918534245496</v>
      </c>
      <c r="E18" s="57">
        <f>+(Metric_Conversion!$E$12)/3600/(3.14/4*calc!B18^2/1000000)</f>
        <v>62.907918534245496</v>
      </c>
      <c r="G18" s="56">
        <f>+IF(Input_Output!$E$10="SI",calc!A18,calc!A18/25)</f>
        <v>150</v>
      </c>
      <c r="H18" s="3">
        <f>+IF(Input_Output!$E$10="SI",calc!D18,calc!D18/0.3048)*(IF(G18="",,1))</f>
        <v>62.907918534245496</v>
      </c>
      <c r="I18" s="3">
        <f>+IF(Input_Output!$E$10="SI",calc!E18,calc!E18/0.3048)*(IF(H18="",,1))</f>
        <v>62.907918534245496</v>
      </c>
      <c r="J18" s="57"/>
      <c r="X18" s="57"/>
      <c r="AY18" s="3">
        <v>20</v>
      </c>
      <c r="AZ18" s="3">
        <v>4.7</v>
      </c>
      <c r="BA18" s="3">
        <v>0.77</v>
      </c>
      <c r="BS18" s="3">
        <v>25</v>
      </c>
      <c r="BT18" s="3">
        <v>3.5</v>
      </c>
      <c r="BU18" s="3">
        <v>0.75</v>
      </c>
      <c r="BV18" s="3">
        <f t="shared" si="0"/>
        <v>33.084427670965077</v>
      </c>
      <c r="BY18" s="22">
        <f>+MIN(BX3:BX12)</f>
        <v>0.26038920110162594</v>
      </c>
      <c r="CA18" s="3">
        <f t="shared" si="2"/>
        <v>33.084427670965077</v>
      </c>
      <c r="CD18" s="22">
        <f>+MIN(CC3:CC12)</f>
        <v>0.26038920110162594</v>
      </c>
      <c r="CF18" s="3">
        <f t="shared" si="3"/>
        <v>60.496857250186636</v>
      </c>
      <c r="CI18" s="22">
        <f>+MIN(CH3:CH12)</f>
        <v>5.5319272673403885</v>
      </c>
    </row>
    <row r="19" spans="1:87" x14ac:dyDescent="0.2">
      <c r="A19" s="56">
        <f t="shared" si="4"/>
        <v>200</v>
      </c>
      <c r="B19" s="3">
        <v>200</v>
      </c>
      <c r="D19" s="3">
        <f>+(Metric_Conversion!$E$12+Metric_Conversion!$E$17)/3600/(3.14/4*calc!B19^2/1000000)</f>
        <v>35.385704175513098</v>
      </c>
      <c r="E19" s="57">
        <f>+(Metric_Conversion!$E$12)/3600/(3.14/4*calc!B19^2/1000000)</f>
        <v>35.385704175513098</v>
      </c>
      <c r="G19" s="56">
        <f>+IF(Input_Output!$E$10="SI",calc!A19,calc!A19/25)</f>
        <v>200</v>
      </c>
      <c r="H19" s="3">
        <f>+IF(Input_Output!$E$10="SI",calc!D19,calc!D19/0.3048)*(IF(G19="",,1))</f>
        <v>35.385704175513098</v>
      </c>
      <c r="I19" s="3">
        <f>+IF(Input_Output!$E$10="SI",calc!E19,calc!E19/0.3048)*(IF(H19="",,1))</f>
        <v>35.385704175513098</v>
      </c>
      <c r="J19" s="57"/>
      <c r="X19" s="57"/>
      <c r="AY19" s="3">
        <v>30</v>
      </c>
      <c r="AZ19" s="3">
        <v>6.5</v>
      </c>
      <c r="BA19" s="3">
        <v>0.81</v>
      </c>
      <c r="BS19" s="3">
        <v>20</v>
      </c>
      <c r="BT19" s="3">
        <v>3.5</v>
      </c>
      <c r="BU19" s="3">
        <v>0.75</v>
      </c>
      <c r="BV19" s="3">
        <f t="shared" si="0"/>
        <v>18.88904933957474</v>
      </c>
      <c r="BX19" s="3" t="s">
        <v>81</v>
      </c>
      <c r="BY19" s="3" cm="1">
        <f t="array" ref="BY19">+_xlfn.XLOOKUP(BY18,$BX$3:$BX$12,BY3:$BY$12)</f>
        <v>0.7</v>
      </c>
      <c r="CA19" s="3">
        <f t="shared" si="2"/>
        <v>18.88904933957474</v>
      </c>
      <c r="CC19" s="3" t="s">
        <v>81</v>
      </c>
      <c r="CD19" s="3" cm="1">
        <f t="array" ref="CD19">+_xlfn.XLOOKUP(CD18,$CC$3:$CC$12,$BY3:BY$12)</f>
        <v>0.7</v>
      </c>
      <c r="CF19" s="3">
        <f t="shared" si="3"/>
        <v>46.301478918796299</v>
      </c>
      <c r="CH19" s="3" t="s">
        <v>81</v>
      </c>
      <c r="CI19" s="3" cm="1">
        <f t="array" ref="CI19">+_xlfn.XLOOKUP(CI18,$CH$3:$CH$12,$BY3:BY$12)</f>
        <v>0.65</v>
      </c>
    </row>
    <row r="20" spans="1:87" x14ac:dyDescent="0.2">
      <c r="A20" s="56">
        <f t="shared" si="4"/>
        <v>250</v>
      </c>
      <c r="B20" s="3">
        <v>250</v>
      </c>
      <c r="D20" s="3">
        <f>+(Metric_Conversion!$E$12+Metric_Conversion!$E$17)/3600/(3.14/4*calc!B20^2/1000000)</f>
        <v>22.64685067232838</v>
      </c>
      <c r="E20" s="57">
        <f>+(Metric_Conversion!$E$12)/3600/(3.14/4*calc!B20^2/1000000)</f>
        <v>22.64685067232838</v>
      </c>
      <c r="G20" s="56">
        <f>+IF(Input_Output!$E$10="SI",calc!A20,calc!A20/25)</f>
        <v>250</v>
      </c>
      <c r="H20" s="3">
        <f>+IF(Input_Output!$E$10="SI",calc!D20,calc!D20/0.3048)*(IF(G20="",,1))</f>
        <v>22.64685067232838</v>
      </c>
      <c r="I20" s="3">
        <f>+IF(Input_Output!$E$10="SI",calc!E20,calc!E20/0.3048)*(IF(H20="",,1))</f>
        <v>22.64685067232838</v>
      </c>
      <c r="J20" s="57"/>
      <c r="X20" s="57"/>
      <c r="AY20" s="3">
        <v>40</v>
      </c>
      <c r="AZ20" s="3">
        <v>8.5</v>
      </c>
      <c r="BA20" s="3">
        <v>0.85</v>
      </c>
      <c r="BS20" s="3">
        <v>17</v>
      </c>
      <c r="BT20" s="3">
        <v>3.8</v>
      </c>
      <c r="BU20" s="3">
        <v>0.75</v>
      </c>
      <c r="BV20" s="3">
        <f t="shared" si="0"/>
        <v>20.575713605914732</v>
      </c>
      <c r="CA20" s="3">
        <f t="shared" si="2"/>
        <v>20.575713605914732</v>
      </c>
      <c r="CF20" s="3">
        <f t="shared" si="3"/>
        <v>46.944131697560316</v>
      </c>
    </row>
    <row r="21" spans="1:87" x14ac:dyDescent="0.2">
      <c r="A21" s="56">
        <f t="shared" si="4"/>
        <v>300</v>
      </c>
      <c r="B21" s="3">
        <v>300</v>
      </c>
      <c r="D21" s="3">
        <f>+(Metric_Conversion!$E$12+Metric_Conversion!$E$17)/3600/(3.14/4*calc!B21^2/1000000)</f>
        <v>15.726979633561374</v>
      </c>
      <c r="E21" s="57">
        <f>+(Metric_Conversion!$E$12)/3600/(3.14/4*calc!B21^2/1000000)</f>
        <v>15.726979633561374</v>
      </c>
      <c r="G21" s="56">
        <f>+IF(Input_Output!$E$10="SI",calc!A21,calc!A21/25)</f>
        <v>300</v>
      </c>
      <c r="H21" s="3">
        <f>+IF(Input_Output!$E$10="SI",calc!D21,calc!D21/0.3048)*(IF(G21="",,1))</f>
        <v>15.726979633561374</v>
      </c>
      <c r="I21" s="3">
        <f>+IF(Input_Output!$E$10="SI",calc!E21,calc!E21/0.3048)*(IF(H21="",,1))</f>
        <v>15.726979633561374</v>
      </c>
      <c r="J21" s="57"/>
      <c r="X21" s="57"/>
      <c r="BS21" s="3">
        <v>16.2</v>
      </c>
      <c r="BT21" s="3">
        <v>4.4000000000000004</v>
      </c>
      <c r="BU21" s="3">
        <v>0.75</v>
      </c>
      <c r="BV21" s="3">
        <f t="shared" si="0"/>
        <v>19.70223560324067</v>
      </c>
      <c r="CA21" s="3">
        <f t="shared" si="2"/>
        <v>19.70223560324067</v>
      </c>
      <c r="CF21" s="3">
        <f t="shared" si="3"/>
        <v>43.982630719734274</v>
      </c>
    </row>
    <row r="22" spans="1:87" x14ac:dyDescent="0.2">
      <c r="A22" s="56">
        <f t="shared" si="4"/>
        <v>350</v>
      </c>
      <c r="B22" s="3">
        <v>350</v>
      </c>
      <c r="D22" s="3">
        <f>+(Metric_Conversion!$E$12+Metric_Conversion!$E$17)/3600/(3.14/4*calc!B22^2/1000000)</f>
        <v>11.554515649147133</v>
      </c>
      <c r="E22" s="57">
        <f>+(Metric_Conversion!$E$12)/3600/(3.14/4*calc!B22^2/1000000)</f>
        <v>11.554515649147133</v>
      </c>
      <c r="G22" s="56">
        <f>+IF(Input_Output!$E$10="SI",calc!A22,calc!A22/25)</f>
        <v>350</v>
      </c>
      <c r="H22" s="3">
        <f>+IF(Input_Output!$E$10="SI",calc!D22,calc!D22/0.3048)*(IF(G22="",,1))</f>
        <v>11.554515649147133</v>
      </c>
      <c r="I22" s="3">
        <f>+IF(Input_Output!$E$10="SI",calc!E22,calc!E22/0.3048)*(IF(H22="",,1))</f>
        <v>11.554515649147133</v>
      </c>
      <c r="J22" s="57"/>
      <c r="X22" s="57"/>
      <c r="AY22" s="3">
        <f>+Metric_Conversion!E16/calc!AF50</f>
        <v>19.660924333721933</v>
      </c>
      <c r="AZ22" s="3" cm="1">
        <f t="array" ref="AZ22">TREND(AZ8:AZ20,AY8:AY20^{1,2,3,4},AY22^{1,2,3,4})</f>
        <v>4.6477774730824013</v>
      </c>
      <c r="BA22" s="3" cm="1">
        <f t="array" ref="BA22">TREND(BA8:BA20,AZ8:AZ20^{1,2,3,4},AZ22^{1,2,3,4})</f>
        <v>0.75414644762252259</v>
      </c>
      <c r="BS22" s="3">
        <v>16.899999999999999</v>
      </c>
      <c r="BT22" s="3">
        <v>5.2</v>
      </c>
      <c r="BU22" s="3">
        <v>0.75</v>
      </c>
      <c r="BV22" s="3">
        <f t="shared" si="0"/>
        <v>13.6549652767665</v>
      </c>
      <c r="CA22" s="3">
        <f t="shared" si="2"/>
        <v>13.6549652767665</v>
      </c>
      <c r="CF22" s="3">
        <f t="shared" si="3"/>
        <v>35.151329759724142</v>
      </c>
    </row>
    <row r="23" spans="1:87" x14ac:dyDescent="0.2">
      <c r="A23" s="56">
        <f t="shared" si="4"/>
        <v>400</v>
      </c>
      <c r="B23" s="3">
        <v>400</v>
      </c>
      <c r="D23" s="3">
        <f>+(Metric_Conversion!$E$12+Metric_Conversion!$E$17)/3600/(3.14/4*calc!B23^2/1000000)</f>
        <v>8.8464260438782745</v>
      </c>
      <c r="E23" s="57">
        <f>+(Metric_Conversion!$E$12)/3600/(3.14/4*calc!B23^2/1000000)</f>
        <v>8.8464260438782745</v>
      </c>
      <c r="G23" s="56">
        <f>+IF(Input_Output!$E$10="SI",calc!A23,calc!A23/25)</f>
        <v>400</v>
      </c>
      <c r="H23" s="3">
        <f>+IF(Input_Output!$E$10="SI",calc!D23,calc!D23/0.3048)*(IF(G23="",,1))</f>
        <v>8.8464260438782745</v>
      </c>
      <c r="I23" s="3">
        <f>+IF(Input_Output!$E$10="SI",calc!E23,calc!E23/0.3048)*(IF(H23="",,1))</f>
        <v>8.8464260438782745</v>
      </c>
      <c r="J23" s="57"/>
      <c r="X23" s="57"/>
      <c r="BS23" s="3">
        <v>18</v>
      </c>
      <c r="BT23" s="3">
        <v>5.9</v>
      </c>
      <c r="BU23" s="3">
        <v>0.75</v>
      </c>
      <c r="BV23" s="3">
        <f t="shared" si="0"/>
        <v>8.362028128412156</v>
      </c>
      <c r="CA23" s="3">
        <f t="shared" si="2"/>
        <v>8.362028128412156</v>
      </c>
      <c r="CF23" s="3">
        <f t="shared" si="3"/>
        <v>27.42236580702583</v>
      </c>
    </row>
    <row r="24" spans="1:87" x14ac:dyDescent="0.2">
      <c r="A24" s="56">
        <f t="shared" si="4"/>
        <v>450</v>
      </c>
      <c r="B24" s="3">
        <v>450</v>
      </c>
      <c r="D24" s="3">
        <f>+(Metric_Conversion!$E$12+Metric_Conversion!$E$17)/3600/(3.14/4*calc!B24^2/1000000)</f>
        <v>6.9897687260272772</v>
      </c>
      <c r="E24" s="57">
        <f>+(Metric_Conversion!$E$12)/3600/(3.14/4*calc!B24^2/1000000)</f>
        <v>6.9897687260272772</v>
      </c>
      <c r="G24" s="56">
        <f>+IF(Input_Output!$E$10="SI",calc!A24,calc!A24/25)</f>
        <v>450</v>
      </c>
      <c r="H24" s="3">
        <f>+IF(Input_Output!$E$10="SI",calc!D24,calc!D24/0.3048)*(IF(G24="",,1))</f>
        <v>6.9897687260272772</v>
      </c>
      <c r="I24" s="3">
        <f>+IF(Input_Output!$E$10="SI",calc!E24,calc!E24/0.3048)*(IF(H24="",,1))</f>
        <v>6.9897687260272772</v>
      </c>
      <c r="J24" s="57"/>
      <c r="X24" s="57"/>
      <c r="AX24" s="3" t="s">
        <v>79</v>
      </c>
      <c r="AY24" s="3" t="s">
        <v>89</v>
      </c>
      <c r="BH24" s="3" t="s">
        <v>93</v>
      </c>
      <c r="BS24" s="3">
        <v>20</v>
      </c>
      <c r="BT24" s="3">
        <v>7</v>
      </c>
      <c r="BU24" s="3">
        <v>0.75</v>
      </c>
      <c r="BV24" s="3">
        <f t="shared" si="0"/>
        <v>3.5344474332736673</v>
      </c>
      <c r="CA24" s="3">
        <f t="shared" si="2"/>
        <v>3.5344474332736673</v>
      </c>
      <c r="CF24" s="3">
        <f t="shared" si="3"/>
        <v>18.766742990775398</v>
      </c>
    </row>
    <row r="25" spans="1:87" x14ac:dyDescent="0.2">
      <c r="A25" s="56">
        <f t="shared" si="4"/>
        <v>500</v>
      </c>
      <c r="B25" s="3">
        <v>500</v>
      </c>
      <c r="D25" s="3">
        <f>+(Metric_Conversion!$E$12+Metric_Conversion!$E$17)/3600/(3.14/4*calc!B25^2/1000000)</f>
        <v>5.6617126680820951</v>
      </c>
      <c r="E25" s="57">
        <f>+(Metric_Conversion!$E$12)/3600/(3.14/4*calc!B25^2/1000000)</f>
        <v>5.6617126680820951</v>
      </c>
      <c r="G25" s="56">
        <f>+IF(Input_Output!$E$10="SI",calc!A25,calc!A25/25)</f>
        <v>500</v>
      </c>
      <c r="H25" s="3">
        <f>+IF(Input_Output!$E$10="SI",calc!D25,calc!D25/0.3048)*(IF(G25="",,1))</f>
        <v>5.6617126680820951</v>
      </c>
      <c r="I25" s="3">
        <f>+IF(Input_Output!$E$10="SI",calc!E25,calc!E25/0.3048)*(IF(H25="",,1))</f>
        <v>5.6617126680820951</v>
      </c>
      <c r="J25" s="57"/>
      <c r="X25" s="57"/>
      <c r="AW25" s="3">
        <v>2</v>
      </c>
      <c r="AX25" s="3">
        <v>50</v>
      </c>
      <c r="AY25" s="3">
        <v>1.8</v>
      </c>
      <c r="AZ25" s="3">
        <v>2</v>
      </c>
      <c r="BA25" s="3">
        <v>2.2999999999999998</v>
      </c>
      <c r="BB25" s="3">
        <v>3.4</v>
      </c>
      <c r="BC25" s="3">
        <v>6</v>
      </c>
      <c r="BH25" s="3">
        <v>0.4</v>
      </c>
      <c r="BI25" s="3">
        <v>0.5</v>
      </c>
      <c r="BJ25" s="3">
        <v>0.6</v>
      </c>
      <c r="BK25" s="3">
        <v>0.7</v>
      </c>
      <c r="BL25" s="3">
        <v>0.8</v>
      </c>
      <c r="BQ25" s="22"/>
      <c r="BS25" s="3">
        <v>22</v>
      </c>
      <c r="BT25" s="3">
        <v>8.1</v>
      </c>
      <c r="BU25" s="3">
        <v>0.75</v>
      </c>
      <c r="BV25" s="3">
        <f t="shared" si="0"/>
        <v>3.9168667381351785</v>
      </c>
      <c r="BW25" s="22"/>
      <c r="CA25" s="3">
        <f t="shared" si="2"/>
        <v>3.9168667381351785</v>
      </c>
      <c r="CB25" s="22"/>
      <c r="CF25" s="3">
        <f t="shared" si="3"/>
        <v>15.321120174524967</v>
      </c>
      <c r="CG25" s="22"/>
    </row>
    <row r="26" spans="1:87" x14ac:dyDescent="0.2">
      <c r="A26" s="56">
        <f t="shared" si="4"/>
        <v>600</v>
      </c>
      <c r="B26" s="3">
        <v>600</v>
      </c>
      <c r="D26" s="3">
        <f>+(Metric_Conversion!$E$12+Metric_Conversion!$E$17)/3600/(3.14/4*calc!B26^2/1000000)</f>
        <v>3.9317449083903435</v>
      </c>
      <c r="E26" s="57">
        <f>+(Metric_Conversion!$E$12)/3600/(3.14/4*calc!B26^2/1000000)</f>
        <v>3.9317449083903435</v>
      </c>
      <c r="G26" s="56">
        <f>+IF(Input_Output!$E$10="SI",calc!A26,calc!A26/25)</f>
        <v>600</v>
      </c>
      <c r="H26" s="3">
        <f>+IF(Input_Output!$E$10="SI",calc!D26,calc!D26/0.3048)*(IF(G26="",,1))</f>
        <v>3.9317449083903435</v>
      </c>
      <c r="I26" s="3">
        <f>+IF(Input_Output!$E$10="SI",calc!E26,calc!E26/0.3048)*(IF(H26="",,1))</f>
        <v>3.9317449083903435</v>
      </c>
      <c r="J26" s="57"/>
      <c r="X26" s="57"/>
      <c r="AW26" s="3">
        <f>+AW25</f>
        <v>2</v>
      </c>
      <c r="AX26" s="3">
        <v>40</v>
      </c>
      <c r="AY26" s="3">
        <v>1.75</v>
      </c>
      <c r="AZ26" s="3">
        <v>1.95</v>
      </c>
      <c r="BA26" s="3">
        <v>2.25</v>
      </c>
      <c r="BB26" s="3">
        <v>3.1</v>
      </c>
      <c r="BC26" s="3">
        <v>5.5</v>
      </c>
      <c r="BH26" s="3">
        <v>0.4</v>
      </c>
      <c r="BI26" s="3">
        <v>0.5</v>
      </c>
      <c r="BJ26" s="3">
        <v>0.6</v>
      </c>
      <c r="BK26" s="3">
        <v>0.7</v>
      </c>
      <c r="BL26" s="3">
        <v>0.8</v>
      </c>
      <c r="BQ26" s="22"/>
      <c r="BS26" s="3">
        <v>24</v>
      </c>
      <c r="BT26" s="3">
        <v>9.1999999999999993</v>
      </c>
      <c r="BU26" s="3">
        <v>0.75</v>
      </c>
      <c r="BV26" s="3">
        <f t="shared" si="0"/>
        <v>9.5092860429966901</v>
      </c>
      <c r="BW26" s="22"/>
      <c r="CA26" s="3">
        <f t="shared" si="2"/>
        <v>9.5092860429966901</v>
      </c>
      <c r="CB26" s="22"/>
      <c r="CF26" s="3">
        <f t="shared" si="3"/>
        <v>17.085497358274534</v>
      </c>
      <c r="CG26" s="22"/>
    </row>
    <row r="27" spans="1:87" x14ac:dyDescent="0.2">
      <c r="A27" s="56">
        <f t="shared" si="4"/>
        <v>700</v>
      </c>
      <c r="B27" s="3">
        <f>+B26+100</f>
        <v>700</v>
      </c>
      <c r="D27" s="3">
        <f>+(Metric_Conversion!$E$12+Metric_Conversion!$E$17)/3600/(3.14/4*calc!B27^2/1000000)</f>
        <v>2.8886289122867832</v>
      </c>
      <c r="E27" s="57">
        <f>+(Metric_Conversion!$E$12)/3600/(3.14/4*calc!B27^2/1000000)</f>
        <v>2.8886289122867832</v>
      </c>
      <c r="G27" s="56">
        <f>+IF(Input_Output!$E$10="SI",calc!A27,calc!A27/25)</f>
        <v>700</v>
      </c>
      <c r="H27" s="3">
        <f>+IF(Input_Output!$E$10="SI",calc!D27,calc!D27/0.3048)*(IF(G27="",,1))</f>
        <v>2.8886289122867832</v>
      </c>
      <c r="I27" s="3">
        <f>+IF(Input_Output!$E$10="SI",calc!E27,calc!E27/0.3048)*(IF(H27="",,1))</f>
        <v>2.8886289122867832</v>
      </c>
      <c r="J27" s="57"/>
      <c r="X27" s="57"/>
      <c r="AW27" s="3">
        <f t="shared" ref="AW27:AW32" si="5">+AW26</f>
        <v>2</v>
      </c>
      <c r="AX27" s="3">
        <v>30</v>
      </c>
      <c r="AY27" s="3">
        <v>1.66</v>
      </c>
      <c r="AZ27" s="3">
        <v>1.85</v>
      </c>
      <c r="BA27" s="3">
        <v>2.15</v>
      </c>
      <c r="BB27" s="3">
        <v>2.85</v>
      </c>
      <c r="BC27" s="3">
        <v>5.5</v>
      </c>
      <c r="BD27" s="3">
        <v>7.7</v>
      </c>
      <c r="BH27" s="3">
        <v>0.4</v>
      </c>
      <c r="BI27" s="3">
        <v>0.5</v>
      </c>
      <c r="BJ27" s="3">
        <v>0.6</v>
      </c>
      <c r="BK27" s="3">
        <v>0.7</v>
      </c>
      <c r="BL27" s="3">
        <v>0.8</v>
      </c>
      <c r="BM27" s="3">
        <v>0.8</v>
      </c>
      <c r="BQ27" s="22"/>
      <c r="BS27" s="3">
        <v>25</v>
      </c>
      <c r="BT27" s="3">
        <v>10</v>
      </c>
      <c r="BU27" s="3">
        <v>0.75</v>
      </c>
      <c r="BV27" s="3">
        <f t="shared" si="0"/>
        <v>14.318738416405939</v>
      </c>
      <c r="CA27" s="3">
        <f t="shared" si="2"/>
        <v>14.318738416405939</v>
      </c>
      <c r="CF27" s="3">
        <f t="shared" si="3"/>
        <v>19.110919098147821</v>
      </c>
    </row>
    <row r="28" spans="1:87" x14ac:dyDescent="0.2">
      <c r="A28" s="56">
        <f t="shared" si="4"/>
        <v>800</v>
      </c>
      <c r="B28" s="3">
        <f t="shared" ref="B28:B40" si="6">+B27+100</f>
        <v>800</v>
      </c>
      <c r="D28" s="3">
        <f>+(Metric_Conversion!$E$12+Metric_Conversion!$E$17)/3600/(3.14/4*calc!B28^2/1000000)</f>
        <v>2.2116065109695686</v>
      </c>
      <c r="E28" s="57">
        <f>+(Metric_Conversion!$E$12)/3600/(3.14/4*calc!B28^2/1000000)</f>
        <v>2.2116065109695686</v>
      </c>
      <c r="G28" s="56">
        <f>+IF(Input_Output!$E$10="SI",calc!A28,calc!A28/25)</f>
        <v>800</v>
      </c>
      <c r="H28" s="3">
        <f>+IF(Input_Output!$E$10="SI",calc!D28,calc!D28/0.3048)*(IF(G28="",,1))</f>
        <v>2.2116065109695686</v>
      </c>
      <c r="I28" s="3">
        <f>+IF(Input_Output!$E$10="SI",calc!E28,calc!E28/0.3048)*(IF(H28="",,1))</f>
        <v>2.2116065109695686</v>
      </c>
      <c r="J28" s="57"/>
      <c r="X28" s="57"/>
      <c r="AW28" s="3">
        <f t="shared" si="5"/>
        <v>2</v>
      </c>
      <c r="AX28" s="3">
        <v>20</v>
      </c>
      <c r="AY28" s="3">
        <v>1.6</v>
      </c>
      <c r="AZ28" s="3">
        <v>1.73</v>
      </c>
      <c r="BA28" s="3">
        <v>2.1</v>
      </c>
      <c r="BB28" s="3">
        <v>2.7</v>
      </c>
      <c r="BC28" s="3">
        <v>3.5</v>
      </c>
      <c r="BD28" s="3">
        <v>7</v>
      </c>
      <c r="BE28" s="3">
        <v>9</v>
      </c>
      <c r="BH28" s="3">
        <v>0.4</v>
      </c>
      <c r="BI28" s="3">
        <v>0.5</v>
      </c>
      <c r="BJ28" s="3">
        <v>0.6</v>
      </c>
      <c r="BK28" s="3">
        <v>0.7</v>
      </c>
      <c r="BL28" s="3">
        <v>0.75</v>
      </c>
      <c r="BM28" s="3">
        <v>0.75</v>
      </c>
      <c r="BN28" s="3">
        <v>0.7</v>
      </c>
      <c r="BQ28" s="22"/>
      <c r="BS28" s="3">
        <v>50</v>
      </c>
      <c r="BT28" s="3">
        <v>3.3</v>
      </c>
      <c r="BU28" s="3">
        <v>0.7</v>
      </c>
      <c r="BV28" s="3">
        <f t="shared" si="0"/>
        <v>480.30872515113396</v>
      </c>
      <c r="CA28" s="3">
        <f t="shared" si="2"/>
        <v>480.30872515113396</v>
      </c>
      <c r="CF28" s="3">
        <f t="shared" si="3"/>
        <v>508.41716238873954</v>
      </c>
    </row>
    <row r="29" spans="1:87" x14ac:dyDescent="0.2">
      <c r="A29" s="56">
        <f>+IF(D29&lt;1,A28,B29)</f>
        <v>900</v>
      </c>
      <c r="B29" s="3">
        <f t="shared" si="6"/>
        <v>900</v>
      </c>
      <c r="D29" s="3">
        <f>+(Metric_Conversion!$E$12+Metric_Conversion!$E$17)/3600/(3.14/4*calc!B29^2/1000000)</f>
        <v>1.7474421815068193</v>
      </c>
      <c r="E29" s="57">
        <f>+(Metric_Conversion!$E$12)/3600/(3.14/4*calc!B29^2/1000000)</f>
        <v>1.7474421815068193</v>
      </c>
      <c r="G29" s="56">
        <f>+IF(Input_Output!$E$10="SI",calc!A29,calc!A29/25)</f>
        <v>900</v>
      </c>
      <c r="H29" s="3">
        <f>+IF(Input_Output!$E$10="SI",calc!D29,calc!D29/0.3048)*(IF(G29="",,1))</f>
        <v>1.7474421815068193</v>
      </c>
      <c r="I29" s="3">
        <f>+IF(Input_Output!$E$10="SI",calc!E29,calc!E29/0.3048)*(IF(H29="",,1))</f>
        <v>1.7474421815068193</v>
      </c>
      <c r="J29" s="57"/>
      <c r="X29" s="57"/>
      <c r="AW29" s="3">
        <f t="shared" si="5"/>
        <v>2</v>
      </c>
      <c r="AX29" s="3">
        <v>10</v>
      </c>
      <c r="AY29" s="3">
        <v>1.46</v>
      </c>
      <c r="AZ29" s="3">
        <v>1.61</v>
      </c>
      <c r="BA29" s="3">
        <v>2</v>
      </c>
      <c r="BB29" s="3">
        <v>2.4</v>
      </c>
      <c r="BC29" s="3">
        <v>3.2</v>
      </c>
      <c r="BD29" s="3">
        <v>4.2</v>
      </c>
      <c r="BE29" s="3">
        <v>7</v>
      </c>
      <c r="BF29" s="3">
        <v>10</v>
      </c>
      <c r="BH29" s="3">
        <v>0.4</v>
      </c>
      <c r="BI29" s="3">
        <v>0.5</v>
      </c>
      <c r="BJ29" s="3">
        <v>0.6</v>
      </c>
      <c r="BK29" s="3">
        <v>0.65</v>
      </c>
      <c r="BL29" s="3">
        <v>0.65</v>
      </c>
      <c r="BM29" s="3">
        <v>0.6</v>
      </c>
      <c r="BN29" s="3">
        <v>0.5</v>
      </c>
      <c r="BO29" s="3">
        <v>0.4</v>
      </c>
      <c r="BQ29" s="22"/>
      <c r="BS29" s="3">
        <v>43</v>
      </c>
      <c r="BT29" s="3">
        <v>3.15</v>
      </c>
      <c r="BU29" s="3">
        <v>0.7</v>
      </c>
      <c r="BV29" s="3">
        <f t="shared" si="0"/>
        <v>293.39699985460038</v>
      </c>
      <c r="BW29" s="22"/>
      <c r="CA29" s="3">
        <f t="shared" si="2"/>
        <v>293.39699985460038</v>
      </c>
      <c r="CB29" s="22"/>
      <c r="CF29" s="3">
        <f t="shared" si="3"/>
        <v>322.0274428359939</v>
      </c>
      <c r="CG29" s="22"/>
    </row>
    <row r="30" spans="1:87" x14ac:dyDescent="0.2">
      <c r="A30" s="56">
        <f t="shared" ref="A30:A40" si="7">+IF(D30&lt;1,A29,B30)</f>
        <v>1000</v>
      </c>
      <c r="B30" s="3">
        <f t="shared" si="6"/>
        <v>1000</v>
      </c>
      <c r="D30" s="3">
        <f>+(Metric_Conversion!$E$12+Metric_Conversion!$E$17)/3600/(3.14/4*calc!B30^2/1000000)</f>
        <v>1.4154281670205238</v>
      </c>
      <c r="E30" s="57">
        <f>+(Metric_Conversion!$E$12)/3600/(3.14/4*calc!B30^2/1000000)</f>
        <v>1.4154281670205238</v>
      </c>
      <c r="G30" s="56">
        <f>+IF(Input_Output!$E$10="SI",calc!A30,calc!A30/25)</f>
        <v>1000</v>
      </c>
      <c r="H30" s="3">
        <f>+IF(Input_Output!$E$10="SI",calc!D30,calc!D30/0.3048)*(IF(G30="",,1))</f>
        <v>1.4154281670205238</v>
      </c>
      <c r="I30" s="3">
        <f>+IF(Input_Output!$E$10="SI",calc!E30,calc!E30/0.3048)*(IF(H30="",,1))</f>
        <v>1.4154281670205238</v>
      </c>
      <c r="J30" s="57"/>
      <c r="X30" s="57"/>
      <c r="AW30" s="3">
        <f t="shared" si="5"/>
        <v>2</v>
      </c>
      <c r="AX30" s="3">
        <v>7</v>
      </c>
      <c r="AY30" s="3">
        <v>1.4</v>
      </c>
      <c r="AZ30" s="3">
        <v>1.6</v>
      </c>
      <c r="BA30" s="3">
        <v>1.75</v>
      </c>
      <c r="BB30" s="3">
        <v>2.25</v>
      </c>
      <c r="BC30" s="3">
        <v>3.2</v>
      </c>
      <c r="BD30" s="3">
        <v>4.3</v>
      </c>
      <c r="BE30" s="3">
        <v>6.7</v>
      </c>
      <c r="BF30" s="3">
        <v>8.1999999999999993</v>
      </c>
      <c r="BH30" s="3">
        <v>0.4</v>
      </c>
      <c r="BI30" s="3">
        <v>0.5</v>
      </c>
      <c r="BJ30" s="3">
        <v>0.55000000000000004</v>
      </c>
      <c r="BK30" s="3">
        <v>0.6</v>
      </c>
      <c r="BL30" s="3">
        <v>0.55000000000000004</v>
      </c>
      <c r="BM30" s="3">
        <v>0.5</v>
      </c>
      <c r="BN30" s="3">
        <v>0.4</v>
      </c>
      <c r="BO30" s="3">
        <v>0.35</v>
      </c>
      <c r="BS30" s="3">
        <v>37</v>
      </c>
      <c r="BT30" s="3">
        <v>3</v>
      </c>
      <c r="BU30" s="3">
        <v>0.7</v>
      </c>
      <c r="BV30" s="3">
        <f t="shared" si="0"/>
        <v>172.34685022434488</v>
      </c>
      <c r="CA30" s="3">
        <f t="shared" si="2"/>
        <v>172.34685022434488</v>
      </c>
      <c r="CF30" s="3">
        <f t="shared" si="3"/>
        <v>201.49929894952641</v>
      </c>
    </row>
    <row r="31" spans="1:87" x14ac:dyDescent="0.2">
      <c r="A31" s="56">
        <f t="shared" si="7"/>
        <v>1100</v>
      </c>
      <c r="B31" s="3">
        <f t="shared" si="6"/>
        <v>1100</v>
      </c>
      <c r="D31" s="3">
        <f>+(Metric_Conversion!$E$12+Metric_Conversion!$E$17)/3600/(3.14/4*calc!B31^2/1000000)</f>
        <v>1.1697753446450609</v>
      </c>
      <c r="E31" s="57">
        <f>+(Metric_Conversion!$E$12)/3600/(3.14/4*calc!B31^2/1000000)</f>
        <v>1.1697753446450609</v>
      </c>
      <c r="G31" s="56">
        <f>+IF(Input_Output!$E$10="SI",calc!A31,calc!A31/25)</f>
        <v>1100</v>
      </c>
      <c r="H31" s="3">
        <f>+IF(Input_Output!$E$10="SI",calc!D31,calc!D31/0.3048)*(IF(G31="",,1))</f>
        <v>1.1697753446450609</v>
      </c>
      <c r="I31" s="3">
        <f>+IF(Input_Output!$E$10="SI",calc!E31,calc!E31/0.3048)*(IF(H31="",,1))</f>
        <v>1.1697753446450609</v>
      </c>
      <c r="J31" s="57"/>
      <c r="X31" s="57"/>
      <c r="AW31" s="3">
        <f t="shared" si="5"/>
        <v>2</v>
      </c>
      <c r="AX31" s="3">
        <v>4</v>
      </c>
      <c r="AY31" s="3">
        <v>1.3</v>
      </c>
      <c r="AZ31" s="3">
        <v>1.35</v>
      </c>
      <c r="BA31" s="3">
        <v>1.45</v>
      </c>
      <c r="BB31" s="3">
        <v>1.55</v>
      </c>
      <c r="BC31" s="3">
        <v>2.15</v>
      </c>
      <c r="BD31" s="3">
        <v>2.8</v>
      </c>
      <c r="BE31" s="3">
        <v>3.6</v>
      </c>
      <c r="BF31" s="3">
        <v>4.3</v>
      </c>
      <c r="BH31" s="3">
        <v>0.35</v>
      </c>
      <c r="BI31" s="3">
        <v>0.4</v>
      </c>
      <c r="BJ31" s="3">
        <v>0.45</v>
      </c>
      <c r="BK31" s="3">
        <v>0.5</v>
      </c>
      <c r="BL31" s="3">
        <v>0.5</v>
      </c>
      <c r="BM31" s="3">
        <v>0.45</v>
      </c>
      <c r="BN31" s="3">
        <v>0.4</v>
      </c>
      <c r="BO31" s="3">
        <v>0.35</v>
      </c>
      <c r="BS31" s="3">
        <v>30</v>
      </c>
      <c r="BT31" s="3">
        <v>2.85</v>
      </c>
      <c r="BU31" s="3">
        <v>0.7</v>
      </c>
      <c r="BV31" s="3">
        <f t="shared" si="0"/>
        <v>76.480124927811318</v>
      </c>
      <c r="CA31" s="3">
        <f t="shared" si="2"/>
        <v>76.480124927811318</v>
      </c>
      <c r="CF31" s="3">
        <f t="shared" si="3"/>
        <v>106.15457939678085</v>
      </c>
    </row>
    <row r="32" spans="1:87" x14ac:dyDescent="0.2">
      <c r="A32" s="56">
        <f t="shared" si="7"/>
        <v>1100</v>
      </c>
      <c r="B32" s="3">
        <f t="shared" si="6"/>
        <v>1200</v>
      </c>
      <c r="D32" s="3">
        <f>+(Metric_Conversion!$E$12+Metric_Conversion!$E$17)/3600/(3.14/4*calc!B32^2/1000000)</f>
        <v>0.98293622709758588</v>
      </c>
      <c r="E32" s="57">
        <f>+(Metric_Conversion!$E$12)/3600/(3.14/4*calc!B32^2/1000000)</f>
        <v>0.98293622709758588</v>
      </c>
      <c r="G32" s="56">
        <f>+IF(Input_Output!$E$10="SI",calc!A32,calc!A32/25)</f>
        <v>1100</v>
      </c>
      <c r="H32" s="3">
        <f>+IF(Input_Output!$E$10="SI",calc!D32,calc!D32/0.3048)*(IF(G32="",,1))</f>
        <v>0.98293622709758588</v>
      </c>
      <c r="I32" s="3">
        <f>+IF(Input_Output!$E$10="SI",calc!E32,calc!E32/0.3048)*(IF(H32="",,1))</f>
        <v>0.98293622709758588</v>
      </c>
      <c r="J32" s="57"/>
      <c r="X32" s="57"/>
      <c r="AW32" s="3">
        <f t="shared" si="5"/>
        <v>2</v>
      </c>
      <c r="AX32" s="3">
        <v>2</v>
      </c>
      <c r="AY32" s="3">
        <v>1.25</v>
      </c>
      <c r="AZ32" s="3">
        <v>1.32</v>
      </c>
      <c r="BA32" s="3">
        <v>1.8</v>
      </c>
      <c r="BB32" s="3">
        <v>2.2000000000000002</v>
      </c>
      <c r="BH32" s="3">
        <v>0.35</v>
      </c>
      <c r="BI32" s="3">
        <v>0.4</v>
      </c>
      <c r="BJ32" s="3">
        <v>0.4</v>
      </c>
      <c r="BK32" s="3">
        <v>0.35</v>
      </c>
      <c r="BS32" s="3">
        <v>25</v>
      </c>
      <c r="BT32" s="3">
        <v>2.77</v>
      </c>
      <c r="BU32" s="3">
        <v>0.7</v>
      </c>
      <c r="BV32" s="3">
        <f t="shared" si="0"/>
        <v>37.830908925707874</v>
      </c>
      <c r="CA32" s="3">
        <f t="shared" si="2"/>
        <v>37.830908925707874</v>
      </c>
      <c r="CF32" s="3">
        <f t="shared" si="3"/>
        <v>67.783766458030996</v>
      </c>
    </row>
    <row r="33" spans="1:84" x14ac:dyDescent="0.2">
      <c r="A33" s="56">
        <f t="shared" si="7"/>
        <v>1100</v>
      </c>
      <c r="B33" s="3">
        <f t="shared" si="6"/>
        <v>1300</v>
      </c>
      <c r="D33" s="3">
        <f>+(Metric_Conversion!$E$12+Metric_Conversion!$E$17)/3600/(3.14/4*calc!B33^2/1000000)</f>
        <v>0.83753145977545773</v>
      </c>
      <c r="E33" s="57">
        <f>+(Metric_Conversion!$E$12)/3600/(3.14/4*calc!B33^2/1000000)</f>
        <v>0.83753145977545773</v>
      </c>
      <c r="G33" s="56">
        <f>+IF(Input_Output!$E$10="SI",calc!A33,calc!A33/25)</f>
        <v>1100</v>
      </c>
      <c r="H33" s="3">
        <f>+IF(Input_Output!$E$10="SI",calc!D33,calc!D33/0.3048)*(IF(G33="",,1))</f>
        <v>0.83753145977545773</v>
      </c>
      <c r="I33" s="3">
        <f>+IF(Input_Output!$E$10="SI",calc!E33,calc!E33/0.3048)*(IF(H33="",,1))</f>
        <v>0.83753145977545773</v>
      </c>
      <c r="J33" s="57"/>
      <c r="X33" s="57"/>
      <c r="BS33" s="3">
        <v>20</v>
      </c>
      <c r="BT33" s="3">
        <v>2.71</v>
      </c>
      <c r="BU33" s="3">
        <v>0.7</v>
      </c>
      <c r="BV33" s="3">
        <f t="shared" si="0"/>
        <v>24.049352341282695</v>
      </c>
      <c r="CA33" s="3">
        <f t="shared" si="2"/>
        <v>24.049352341282695</v>
      </c>
      <c r="CF33" s="3">
        <f t="shared" si="3"/>
        <v>54.211012171121027</v>
      </c>
    </row>
    <row r="34" spans="1:84" x14ac:dyDescent="0.2">
      <c r="A34" s="56">
        <f t="shared" si="7"/>
        <v>1100</v>
      </c>
      <c r="B34" s="3">
        <f t="shared" si="6"/>
        <v>1400</v>
      </c>
      <c r="D34" s="3">
        <f>+(Metric_Conversion!$E$12+Metric_Conversion!$E$17)/3600/(3.14/4*calc!B34^2/1000000)</f>
        <v>0.7221572280716958</v>
      </c>
      <c r="E34" s="57">
        <f>+(Metric_Conversion!$E$12)/3600/(3.14/4*calc!B34^2/1000000)</f>
        <v>0.7221572280716958</v>
      </c>
      <c r="G34" s="56">
        <f>+IF(Input_Output!$E$10="SI",calc!A34,calc!A34/25)</f>
        <v>1100</v>
      </c>
      <c r="H34" s="3">
        <f>+IF(Input_Output!$E$10="SI",calc!D34,calc!D34/0.3048)*(IF(G34="",,1))</f>
        <v>0.7221572280716958</v>
      </c>
      <c r="I34" s="3">
        <f>+IF(Input_Output!$E$10="SI",calc!E34,calc!E34/0.3048)*(IF(H34="",,1))</f>
        <v>0.7221572280716958</v>
      </c>
      <c r="J34" s="57"/>
      <c r="X34" s="57"/>
      <c r="BS34" s="3">
        <v>15</v>
      </c>
      <c r="BT34" s="3">
        <v>2.7</v>
      </c>
      <c r="BU34" s="3">
        <v>0.7</v>
      </c>
      <c r="BV34" s="3">
        <f t="shared" si="0"/>
        <v>34.923294301053225</v>
      </c>
      <c r="CA34" s="3">
        <f t="shared" si="2"/>
        <v>34.923294301053225</v>
      </c>
      <c r="CF34" s="3">
        <f t="shared" si="3"/>
        <v>65.119754513810733</v>
      </c>
    </row>
    <row r="35" spans="1:84" x14ac:dyDescent="0.2">
      <c r="A35" s="56">
        <f t="shared" si="7"/>
        <v>1100</v>
      </c>
      <c r="B35" s="3">
        <f t="shared" si="6"/>
        <v>1500</v>
      </c>
      <c r="D35" s="3">
        <f>+(Metric_Conversion!$E$12+Metric_Conversion!$E$17)/3600/(3.14/4*calc!B35^2/1000000)</f>
        <v>0.62907918534245499</v>
      </c>
      <c r="E35" s="57">
        <f>+(Metric_Conversion!$E$12)/3600/(3.14/4*calc!B35^2/1000000)</f>
        <v>0.62907918534245499</v>
      </c>
      <c r="G35" s="56">
        <f>+IF(Input_Output!$E$10="SI",calc!A35,calc!A35/25)</f>
        <v>1100</v>
      </c>
      <c r="H35" s="3">
        <f>+IF(Input_Output!$E$10="SI",calc!D35,calc!D35/0.3048)*(IF(G35="",,1))</f>
        <v>0.62907918534245499</v>
      </c>
      <c r="I35" s="3">
        <f>+IF(Input_Output!$E$10="SI",calc!E35,calc!E35/0.3048)*(IF(H35="",,1))</f>
        <v>0.62907918534245499</v>
      </c>
      <c r="J35" s="57"/>
      <c r="X35" s="57"/>
      <c r="BS35" s="3">
        <v>12</v>
      </c>
      <c r="BT35" s="3">
        <v>2.9</v>
      </c>
      <c r="BU35" s="3">
        <v>0.7</v>
      </c>
      <c r="BV35" s="3">
        <f t="shared" ref="BV35:BV66" si="8">+((BS35-$BY$16)^2+(BT35-$BY$17)^2)*0.5</f>
        <v>52.038661479001817</v>
      </c>
      <c r="CA35" s="3">
        <f t="shared" si="2"/>
        <v>52.038661479001817</v>
      </c>
      <c r="CF35" s="3">
        <f t="shared" si="3"/>
        <v>81.539114033375341</v>
      </c>
    </row>
    <row r="36" spans="1:84" x14ac:dyDescent="0.2">
      <c r="A36" s="56">
        <f t="shared" si="7"/>
        <v>1100</v>
      </c>
      <c r="B36" s="3">
        <f t="shared" si="6"/>
        <v>1600</v>
      </c>
      <c r="D36" s="3">
        <f>+(Metric_Conversion!$E$12+Metric_Conversion!$E$17)/3600/(3.14/4*calc!B36^2/1000000)</f>
        <v>0.55290162774239215</v>
      </c>
      <c r="E36" s="57">
        <f>+(Metric_Conversion!$E$12)/3600/(3.14/4*calc!B36^2/1000000)</f>
        <v>0.55290162774239215</v>
      </c>
      <c r="G36" s="56">
        <f>+IF(Input_Output!$E$10="SI",calc!A36,calc!A36/25)</f>
        <v>1100</v>
      </c>
      <c r="H36" s="3">
        <f>+IF(Input_Output!$E$10="SI",calc!D36,calc!D36/0.3048)*(IF(G36="",,1))</f>
        <v>0.55290162774239215</v>
      </c>
      <c r="I36" s="3">
        <f>+IF(Input_Output!$E$10="SI",calc!E36,calc!E36/0.3048)*(IF(H36="",,1))</f>
        <v>0.55290162774239215</v>
      </c>
      <c r="J36" s="57"/>
      <c r="X36" s="57"/>
      <c r="BS36" s="3">
        <v>12.2</v>
      </c>
      <c r="BT36" s="3">
        <v>3.6</v>
      </c>
      <c r="BU36" s="3">
        <v>0.7</v>
      </c>
      <c r="BV36" s="3">
        <f t="shared" si="8"/>
        <v>46.055556230997226</v>
      </c>
      <c r="CA36" s="3">
        <f t="shared" si="2"/>
        <v>46.055556230997226</v>
      </c>
      <c r="CF36" s="3">
        <f t="shared" si="3"/>
        <v>73.119981981026783</v>
      </c>
    </row>
    <row r="37" spans="1:84" x14ac:dyDescent="0.2">
      <c r="A37" s="56">
        <f t="shared" si="7"/>
        <v>1100</v>
      </c>
      <c r="B37" s="3">
        <f t="shared" si="6"/>
        <v>1700</v>
      </c>
      <c r="D37" s="3">
        <f>+(Metric_Conversion!$E$12+Metric_Conversion!$E$17)/3600/(3.14/4*calc!B37^2/1000000)</f>
        <v>0.48976753184101168</v>
      </c>
      <c r="E37" s="57">
        <f>+(Metric_Conversion!$E$12)/3600/(3.14/4*calc!B37^2/1000000)</f>
        <v>0.48976753184101168</v>
      </c>
      <c r="G37" s="56">
        <f>+IF(Input_Output!$E$10="SI",calc!A37,calc!A37/25)</f>
        <v>1100</v>
      </c>
      <c r="H37" s="3">
        <f>+IF(Input_Output!$E$10="SI",calc!D37,calc!D37/0.3048)*(IF(G37="",,1))</f>
        <v>0.48976753184101168</v>
      </c>
      <c r="I37" s="3">
        <f>+IF(Input_Output!$E$10="SI",calc!E37,calc!E37/0.3048)*(IF(H37="",,1))</f>
        <v>0.48976753184101168</v>
      </c>
      <c r="J37" s="57"/>
      <c r="X37" s="57"/>
      <c r="BS37" s="3">
        <v>13</v>
      </c>
      <c r="BT37" s="3">
        <v>4.2</v>
      </c>
      <c r="BU37" s="3">
        <v>0.7</v>
      </c>
      <c r="BV37" s="3">
        <f t="shared" si="8"/>
        <v>36.964599294368057</v>
      </c>
      <c r="CA37" s="3">
        <f t="shared" si="2"/>
        <v>36.964599294368057</v>
      </c>
      <c r="CF37" s="3">
        <f t="shared" si="3"/>
        <v>61.941002069245641</v>
      </c>
    </row>
    <row r="38" spans="1:84" x14ac:dyDescent="0.2">
      <c r="A38" s="56">
        <f t="shared" si="7"/>
        <v>1100</v>
      </c>
      <c r="B38" s="3">
        <f t="shared" si="6"/>
        <v>1800</v>
      </c>
      <c r="D38" s="3">
        <f>+(Metric_Conversion!$E$12+Metric_Conversion!$E$17)/3600/(3.14/4*calc!B38^2/1000000)</f>
        <v>0.43686054537670482</v>
      </c>
      <c r="E38" s="57">
        <f>+(Metric_Conversion!$E$12)/3600/(3.14/4*calc!B38^2/1000000)</f>
        <v>0.43686054537670482</v>
      </c>
      <c r="G38" s="56">
        <f>+IF(Input_Output!$E$10="SI",calc!A38,calc!A38/25)</f>
        <v>1100</v>
      </c>
      <c r="H38" s="3">
        <f>+IF(Input_Output!$E$10="SI",calc!D38,calc!D38/0.3048)*(IF(G38="",,1))</f>
        <v>0.43686054537670482</v>
      </c>
      <c r="I38" s="3">
        <f>+IF(Input_Output!$E$10="SI",calc!E38,calc!E38/0.3048)*(IF(H38="",,1))</f>
        <v>0.43686054537670482</v>
      </c>
      <c r="J38" s="57"/>
      <c r="X38" s="57"/>
      <c r="BS38" s="3">
        <v>14</v>
      </c>
      <c r="BT38" s="3">
        <v>4.8</v>
      </c>
      <c r="BU38" s="3">
        <v>0.7</v>
      </c>
      <c r="BV38" s="3">
        <f t="shared" si="8"/>
        <v>27.72145749099451</v>
      </c>
      <c r="CA38" s="3">
        <f t="shared" si="2"/>
        <v>27.72145749099451</v>
      </c>
      <c r="CF38" s="3">
        <f t="shared" si="3"/>
        <v>50.609837290720144</v>
      </c>
    </row>
    <row r="39" spans="1:84" x14ac:dyDescent="0.2">
      <c r="A39" s="63">
        <f t="shared" si="7"/>
        <v>1100</v>
      </c>
      <c r="B39" s="3">
        <f t="shared" si="6"/>
        <v>1900</v>
      </c>
      <c r="C39" s="61"/>
      <c r="D39" s="3">
        <f>+(Metric_Conversion!$E$12+Metric_Conversion!$E$17)/3600/(3.14/4*calc!B39^2/1000000)</f>
        <v>0.39208536482562983</v>
      </c>
      <c r="E39" s="57">
        <f>+(Metric_Conversion!$E$12)/3600/(3.14/4*calc!B39^2/1000000)</f>
        <v>0.39208536482562983</v>
      </c>
      <c r="G39" s="56">
        <f>+IF(Input_Output!$E$10="SI",calc!A39,calc!A39/25)</f>
        <v>1100</v>
      </c>
      <c r="H39" s="3">
        <f>+IF(Input_Output!$E$10="SI",calc!D39,calc!D39/0.3048)*(IF(G39="",,1))</f>
        <v>0.39208536482562983</v>
      </c>
      <c r="I39" s="3">
        <f>+IF(Input_Output!$E$10="SI",calc!E39,calc!E39/0.3048)*(IF(H39="",,1))</f>
        <v>0.39208536482562983</v>
      </c>
      <c r="J39" s="62"/>
      <c r="X39" s="57"/>
      <c r="BS39" s="3">
        <v>15</v>
      </c>
      <c r="BT39" s="3">
        <v>5.5</v>
      </c>
      <c r="BU39" s="3">
        <v>0.7</v>
      </c>
      <c r="BV39" s="3">
        <f t="shared" si="8"/>
        <v>19.419612776012364</v>
      </c>
      <c r="CA39" s="3">
        <f t="shared" si="2"/>
        <v>19.419612776012364</v>
      </c>
      <c r="CF39" s="3">
        <f t="shared" si="3"/>
        <v>39.871965771394024</v>
      </c>
    </row>
    <row r="40" spans="1:84" x14ac:dyDescent="0.2">
      <c r="A40" s="63">
        <f t="shared" si="7"/>
        <v>1100</v>
      </c>
      <c r="B40" s="3">
        <f t="shared" si="6"/>
        <v>2000</v>
      </c>
      <c r="D40" s="3">
        <f>+(Metric_Conversion!$E$12+Metric_Conversion!$E$17)/3600/(3.14/4*calc!B40^2/1000000)</f>
        <v>0.35385704175513094</v>
      </c>
      <c r="E40" s="57">
        <f>+(Metric_Conversion!$E$12)/3600/(3.14/4*calc!B40^2/1000000)</f>
        <v>0.35385704175513094</v>
      </c>
      <c r="G40" s="56">
        <f>+IF(Input_Output!$E$10="SI",calc!A40,calc!A40/25)</f>
        <v>1100</v>
      </c>
      <c r="H40" s="3">
        <f>+IF(Input_Output!$E$10="SI",calc!D40,calc!D40/0.3048)*(IF(G40="",,1))</f>
        <v>0.35385704175513094</v>
      </c>
      <c r="I40" s="3">
        <f>+IF(Input_Output!$E$10="SI",calc!E40,calc!E40/0.3048)*(IF(H40="",,1))</f>
        <v>0.35385704175513094</v>
      </c>
      <c r="J40" s="62"/>
      <c r="X40" s="57"/>
      <c r="BS40" s="3">
        <v>16.5</v>
      </c>
      <c r="BT40" s="3">
        <v>6.5</v>
      </c>
      <c r="BU40" s="3">
        <v>0.7</v>
      </c>
      <c r="BV40" s="3">
        <f t="shared" si="8"/>
        <v>9.9161971593434437</v>
      </c>
      <c r="CA40" s="3">
        <f t="shared" si="2"/>
        <v>9.9161971593434437</v>
      </c>
      <c r="CF40" s="3">
        <f t="shared" si="3"/>
        <v>26.888511862805153</v>
      </c>
    </row>
    <row r="41" spans="1:84" x14ac:dyDescent="0.2">
      <c r="A41" s="56"/>
      <c r="X41" s="57"/>
      <c r="BS41" s="3">
        <v>18</v>
      </c>
      <c r="BT41" s="3">
        <v>7.5</v>
      </c>
      <c r="BU41" s="3">
        <v>0.7</v>
      </c>
      <c r="BV41" s="3">
        <f t="shared" si="8"/>
        <v>3.6627815426745238</v>
      </c>
      <c r="CA41" s="3">
        <f t="shared" si="2"/>
        <v>3.6627815426745238</v>
      </c>
      <c r="CF41" s="3">
        <f t="shared" si="3"/>
        <v>17.155057954216282</v>
      </c>
    </row>
    <row r="42" spans="1:84" x14ac:dyDescent="0.2">
      <c r="A42" s="56"/>
      <c r="X42" s="57"/>
      <c r="BS42" s="3">
        <v>20</v>
      </c>
      <c r="BT42" s="3">
        <v>9</v>
      </c>
      <c r="BU42" s="3">
        <v>0.7</v>
      </c>
      <c r="BV42" s="3">
        <f t="shared" si="8"/>
        <v>0.26038920110162594</v>
      </c>
      <c r="CA42" s="3">
        <f t="shared" si="2"/>
        <v>0.26038920110162594</v>
      </c>
      <c r="CF42" s="3">
        <f t="shared" si="3"/>
        <v>8.5326081747634586</v>
      </c>
    </row>
    <row r="43" spans="1:84" x14ac:dyDescent="0.2">
      <c r="A43" s="56"/>
      <c r="X43" s="57"/>
      <c r="BS43" s="3">
        <v>21.3</v>
      </c>
      <c r="BT43" s="3">
        <v>10</v>
      </c>
      <c r="BU43" s="3">
        <v>0.7</v>
      </c>
      <c r="BV43" s="3">
        <f t="shared" si="8"/>
        <v>1.4091584511770932</v>
      </c>
      <c r="CA43" s="3">
        <f t="shared" si="2"/>
        <v>1.4091584511770932</v>
      </c>
      <c r="CF43" s="3">
        <f t="shared" si="3"/>
        <v>6.2013391329189762</v>
      </c>
    </row>
    <row r="44" spans="1:84" x14ac:dyDescent="0.2">
      <c r="A44" s="56"/>
      <c r="X44" s="57"/>
      <c r="BS44" s="3">
        <v>50</v>
      </c>
      <c r="BT44" s="3">
        <v>2.7</v>
      </c>
      <c r="BU44" s="3">
        <v>0.65</v>
      </c>
      <c r="BV44" s="3">
        <f t="shared" si="8"/>
        <v>484.29094262078559</v>
      </c>
      <c r="CA44" s="3">
        <f t="shared" si="2"/>
        <v>484.29094262078559</v>
      </c>
      <c r="CF44" s="3">
        <f t="shared" si="3"/>
        <v>514.48740283354311</v>
      </c>
    </row>
    <row r="45" spans="1:84" x14ac:dyDescent="0.2">
      <c r="A45" s="56"/>
      <c r="X45" s="57"/>
      <c r="BJ45" s="22" t="s">
        <v>94</v>
      </c>
      <c r="BS45" s="3">
        <v>40</v>
      </c>
      <c r="BT45" s="3">
        <v>2.56</v>
      </c>
      <c r="BU45" s="3">
        <v>0.65</v>
      </c>
      <c r="BV45" s="3">
        <f t="shared" si="8"/>
        <v>231.88117003425691</v>
      </c>
      <c r="CA45" s="3">
        <f t="shared" si="2"/>
        <v>231.88117003425691</v>
      </c>
      <c r="CF45" s="3">
        <f t="shared" si="3"/>
        <v>262.56483560788325</v>
      </c>
    </row>
    <row r="46" spans="1:84" x14ac:dyDescent="0.2">
      <c r="A46" s="56"/>
      <c r="X46" s="57"/>
      <c r="BC46" s="3" t="s">
        <v>47</v>
      </c>
      <c r="BD46" s="3">
        <f>+Metric_Conversion!E11/60*(Metric_Conversion!E12/Metric_Conversion!E14)^0.5/Metric_Conversion!E13^0.75</f>
        <v>21.213203435596427</v>
      </c>
      <c r="BS46" s="3">
        <v>32</v>
      </c>
      <c r="BT46" s="3">
        <v>2.4300000000000002</v>
      </c>
      <c r="BU46" s="3">
        <v>0.65</v>
      </c>
      <c r="BV46" s="3">
        <f t="shared" si="8"/>
        <v>102.09702848912359</v>
      </c>
      <c r="CA46" s="3">
        <f t="shared" si="2"/>
        <v>102.09702848912359</v>
      </c>
      <c r="CF46" s="3">
        <f t="shared" si="3"/>
        <v>133.2330990406995</v>
      </c>
    </row>
    <row r="47" spans="1:84" x14ac:dyDescent="0.2">
      <c r="A47" s="56"/>
      <c r="X47" s="57"/>
      <c r="AN47" s="3" t="s">
        <v>95</v>
      </c>
      <c r="BC47" s="3" t="s">
        <v>96</v>
      </c>
      <c r="BD47" s="64">
        <f>+Metric_Conversion!E13</f>
        <v>400</v>
      </c>
      <c r="BS47" s="3">
        <v>25</v>
      </c>
      <c r="BT47" s="3">
        <v>2.35</v>
      </c>
      <c r="BU47" s="3">
        <v>0.65</v>
      </c>
      <c r="BV47" s="3">
        <f t="shared" si="8"/>
        <v>40.803261154464003</v>
      </c>
      <c r="CA47" s="3">
        <f t="shared" si="2"/>
        <v>40.803261154464003</v>
      </c>
      <c r="CF47" s="3">
        <f t="shared" si="3"/>
        <v>72.217734769393502</v>
      </c>
    </row>
    <row r="48" spans="1:84" x14ac:dyDescent="0.2">
      <c r="A48" s="56"/>
      <c r="X48" s="57"/>
      <c r="BS48" s="3">
        <v>19</v>
      </c>
      <c r="BT48" s="3">
        <v>2.2999999999999998</v>
      </c>
      <c r="BU48" s="3">
        <v>0.65</v>
      </c>
      <c r="BV48" s="3">
        <f t="shared" si="8"/>
        <v>27.134408612599898</v>
      </c>
      <c r="CA48" s="3">
        <f t="shared" si="2"/>
        <v>27.134408612599898</v>
      </c>
      <c r="CF48" s="3">
        <f t="shared" si="3"/>
        <v>58.722884142125409</v>
      </c>
    </row>
    <row r="49" spans="1:84" x14ac:dyDescent="0.2">
      <c r="A49" s="56"/>
      <c r="X49" s="57"/>
      <c r="Z49" s="3" t="s">
        <v>26</v>
      </c>
      <c r="AA49" s="3" t="s">
        <v>97</v>
      </c>
      <c r="AB49" s="3" t="s">
        <v>98</v>
      </c>
      <c r="AC49" s="3" t="s">
        <v>99</v>
      </c>
      <c r="AD49" s="3" t="s">
        <v>100</v>
      </c>
      <c r="AE49" s="3" t="s">
        <v>89</v>
      </c>
      <c r="AF49" s="3" t="s">
        <v>101</v>
      </c>
      <c r="AG49" s="3" t="s">
        <v>93</v>
      </c>
      <c r="AH49" s="3" t="s">
        <v>102</v>
      </c>
      <c r="AI49" s="3" t="s">
        <v>103</v>
      </c>
      <c r="BB49" s="3" t="s">
        <v>47</v>
      </c>
      <c r="BC49" s="3" t="s">
        <v>104</v>
      </c>
      <c r="BD49" s="3" t="s">
        <v>97</v>
      </c>
      <c r="BE49" s="3" t="s">
        <v>105</v>
      </c>
      <c r="BS49" s="3">
        <v>13.5</v>
      </c>
      <c r="BT49" s="3">
        <v>2.2999999999999998</v>
      </c>
      <c r="BU49" s="3">
        <v>0.65</v>
      </c>
      <c r="BV49" s="3">
        <f t="shared" si="8"/>
        <v>45.894492448070537</v>
      </c>
      <c r="CA49" s="3">
        <f t="shared" si="2"/>
        <v>45.894492448070537</v>
      </c>
      <c r="CF49" s="3">
        <f t="shared" si="3"/>
        <v>77.482967977596047</v>
      </c>
    </row>
    <row r="50" spans="1:84" x14ac:dyDescent="0.2">
      <c r="A50" s="56"/>
      <c r="X50" s="57"/>
      <c r="Y50" s="3" t="s">
        <v>106</v>
      </c>
      <c r="Z50" s="64">
        <f>+BC7</f>
        <v>416.67968595148011</v>
      </c>
      <c r="AA50" s="3">
        <f>+BD67</f>
        <v>37.871131371496517</v>
      </c>
      <c r="AB50" s="3">
        <f>+Metric_Conversion!E15/2000*Metric_Conversion!E11/60*2*PI()</f>
        <v>65.973445725385659</v>
      </c>
      <c r="AC50" s="3">
        <f>+PI()/4*(Z50)^2</f>
        <v>136362.36904716774</v>
      </c>
      <c r="AD50" s="3">
        <f>+BE67</f>
        <v>29339.263731301737</v>
      </c>
      <c r="AE50" s="3">
        <f>+AC50/AD50</f>
        <v>4.6477774730824013</v>
      </c>
      <c r="AF50" s="3">
        <f>+(AD50/PI())^0.5</f>
        <v>96.638386260465225</v>
      </c>
      <c r="AG50" s="3">
        <f>+BA22</f>
        <v>0.75414644762252259</v>
      </c>
      <c r="AH50" s="3">
        <f>+AA50^2/AB50^2*(1-AG50-1/AE50^2)</f>
        <v>6.5758864996203065E-2</v>
      </c>
      <c r="AI50" s="70">
        <f>+AH50/(Metric_Conversion!$E$13*2*9.81/calc!$AB$50^2)</f>
        <v>3.6469822460414185E-2</v>
      </c>
      <c r="BB50" s="3">
        <v>5</v>
      </c>
      <c r="BC50" s="3">
        <v>0.57999999999999996</v>
      </c>
      <c r="BD50" s="3">
        <f>BC50*(2*9.81*$BD$47)^0.5</f>
        <v>51.381584249612231</v>
      </c>
      <c r="BE50" s="3">
        <f>+Metric_Conversion!$E$12/3600/calc!BD50*1000000</f>
        <v>21624.695449508188</v>
      </c>
      <c r="BS50" s="3">
        <v>10</v>
      </c>
      <c r="BT50" s="3">
        <v>2.35</v>
      </c>
      <c r="BU50" s="3">
        <v>0.65</v>
      </c>
      <c r="BV50" s="3">
        <f t="shared" si="8"/>
        <v>73.217126160292992</v>
      </c>
      <c r="CA50" s="3">
        <f t="shared" si="2"/>
        <v>73.217126160292992</v>
      </c>
      <c r="CF50" s="3">
        <f t="shared" si="3"/>
        <v>104.6315997752225</v>
      </c>
    </row>
    <row r="51" spans="1:84" x14ac:dyDescent="0.2">
      <c r="A51" s="56"/>
      <c r="X51" s="57"/>
      <c r="Y51" s="3" t="s">
        <v>107</v>
      </c>
      <c r="Z51" s="3">
        <f>+N3</f>
        <v>600</v>
      </c>
      <c r="AA51" s="3">
        <f>+AA50</f>
        <v>37.871131371496517</v>
      </c>
      <c r="AB51" s="3">
        <f>+AB50</f>
        <v>65.973445725385659</v>
      </c>
      <c r="AC51" s="3">
        <f>+PI()/4*(Z51)^2</f>
        <v>282743.3388230814</v>
      </c>
      <c r="AD51" s="3">
        <f>+AD50</f>
        <v>29339.263731301737</v>
      </c>
      <c r="AE51" s="3">
        <f>+AC51/AD51</f>
        <v>9.6370291160860209</v>
      </c>
      <c r="AF51" s="3">
        <f>+(AD51/PI())^0.5</f>
        <v>96.638386260465225</v>
      </c>
      <c r="AG51" s="3">
        <f>+CD19</f>
        <v>0.7</v>
      </c>
      <c r="AH51" s="3">
        <f>+AA51^2/AB51^2*(1-AG51-1/AE51^2)</f>
        <v>9.5307123289252491E-2</v>
      </c>
      <c r="AI51" s="70">
        <f>+AH51/(Metric_Conversion!$E$13*2*9.81/calc!$AB$50^2)</f>
        <v>5.2857266708793406E-2</v>
      </c>
      <c r="BB51" s="3">
        <v>10</v>
      </c>
      <c r="BC51" s="3">
        <v>0.52</v>
      </c>
      <c r="BD51" s="3">
        <f t="shared" ref="BD51:BD67" si="9">BC51*(2*9.81*$BD$47)^0.5</f>
        <v>46.066247947928211</v>
      </c>
      <c r="BE51" s="3">
        <f>+Metric_Conversion!$E$12/3600/calc!BD51*1000000</f>
        <v>24119.85261675913</v>
      </c>
      <c r="BS51" s="3">
        <v>9.1999999999999993</v>
      </c>
      <c r="BT51" s="3">
        <v>2.6</v>
      </c>
      <c r="BU51" s="3">
        <v>0.65</v>
      </c>
      <c r="BV51" s="3">
        <f t="shared" si="8"/>
        <v>79.475358348249046</v>
      </c>
      <c r="CA51" s="3">
        <f t="shared" si="2"/>
        <v>79.475358348249046</v>
      </c>
      <c r="CF51" s="3">
        <f t="shared" si="3"/>
        <v>110.01982239019856</v>
      </c>
    </row>
    <row r="52" spans="1:84" x14ac:dyDescent="0.2">
      <c r="A52" s="56"/>
      <c r="X52" s="57"/>
      <c r="Y52" s="3" t="s">
        <v>108</v>
      </c>
      <c r="Z52" s="3">
        <f>+Metric_Conversion!E37</f>
        <v>700</v>
      </c>
      <c r="AA52" s="3">
        <f>+AA51</f>
        <v>37.871131371496517</v>
      </c>
      <c r="AB52" s="3">
        <f>+AB51</f>
        <v>65.973445725385659</v>
      </c>
      <c r="AC52" s="3">
        <f>+PI()/4*(Z52)^2</f>
        <v>384845.10006474965</v>
      </c>
      <c r="AD52" s="3">
        <f>+AD51</f>
        <v>29339.263731301737</v>
      </c>
      <c r="AE52" s="3">
        <f>+AC52/AD52</f>
        <v>13.117067408005971</v>
      </c>
      <c r="AF52" s="3">
        <f>+(AD52/PI())^0.5</f>
        <v>96.638386260465225</v>
      </c>
      <c r="AG52" s="3">
        <f>+CI19</f>
        <v>0.65</v>
      </c>
      <c r="AH52" s="3">
        <f>+AA52^2/AB52^2*(1-AG52-1/AE52^2)</f>
        <v>0.1134158974972804</v>
      </c>
      <c r="AI52" s="70">
        <f>+AH52/(Metric_Conversion!$E$13*2*9.81/calc!$AB$50^2)</f>
        <v>6.2900380749472767E-2</v>
      </c>
      <c r="BB52" s="3">
        <v>15</v>
      </c>
      <c r="BC52" s="3">
        <v>0.48</v>
      </c>
      <c r="BD52" s="3">
        <f t="shared" si="9"/>
        <v>42.522690413472198</v>
      </c>
      <c r="BE52" s="3">
        <f>+Metric_Conversion!$E$12/3600/calc!BD52*1000000</f>
        <v>26129.840334822391</v>
      </c>
      <c r="BS52" s="3">
        <v>9.5</v>
      </c>
      <c r="BT52" s="3">
        <v>2.95</v>
      </c>
      <c r="BU52" s="3">
        <v>0.65</v>
      </c>
      <c r="BV52" s="3">
        <f t="shared" si="8"/>
        <v>73.980370857502351</v>
      </c>
      <c r="CA52" s="3">
        <f t="shared" si="2"/>
        <v>73.980370857502351</v>
      </c>
      <c r="CF52" s="3">
        <f t="shared" si="3"/>
        <v>103.30682149727987</v>
      </c>
    </row>
    <row r="53" spans="1:84" x14ac:dyDescent="0.2">
      <c r="A53" s="56"/>
      <c r="X53" s="57"/>
      <c r="AI53" s="70"/>
      <c r="BB53" s="3">
        <v>20</v>
      </c>
      <c r="BC53" s="3">
        <v>0.44</v>
      </c>
      <c r="BD53" s="3">
        <f t="shared" si="9"/>
        <v>38.979132879016177</v>
      </c>
      <c r="BE53" s="3">
        <f>+Metric_Conversion!$E$12/3600/calc!BD53*1000000</f>
        <v>28505.280365260791</v>
      </c>
      <c r="BS53" s="3">
        <v>10.5</v>
      </c>
      <c r="BT53" s="3">
        <v>3.5</v>
      </c>
      <c r="BU53" s="3">
        <v>0.65</v>
      </c>
      <c r="BV53" s="3">
        <f t="shared" si="8"/>
        <v>60.792830509933104</v>
      </c>
      <c r="CA53" s="3">
        <f t="shared" si="2"/>
        <v>60.792830509933104</v>
      </c>
      <c r="CF53" s="3">
        <f t="shared" si="3"/>
        <v>88.205260089154663</v>
      </c>
    </row>
    <row r="54" spans="1:84" x14ac:dyDescent="0.2">
      <c r="A54" s="63"/>
      <c r="B54" s="61"/>
      <c r="C54" s="61"/>
      <c r="D54" s="61"/>
      <c r="E54" s="61"/>
      <c r="F54" s="61"/>
      <c r="G54" s="61"/>
      <c r="H54" s="61"/>
      <c r="I54" s="61"/>
      <c r="J54" s="61"/>
      <c r="K54" s="61"/>
      <c r="L54" s="61"/>
      <c r="M54" s="61"/>
      <c r="N54" s="61"/>
      <c r="O54" s="61"/>
      <c r="P54" s="61"/>
      <c r="Q54" s="61"/>
      <c r="R54" s="61"/>
      <c r="S54" s="61"/>
      <c r="T54" s="61"/>
      <c r="U54" s="61"/>
      <c r="V54" s="61"/>
      <c r="W54" s="61"/>
      <c r="X54" s="62"/>
      <c r="Y54" s="3" t="s">
        <v>71</v>
      </c>
      <c r="Z54" s="64">
        <f>+Metric_Conversion!I12</f>
        <v>600</v>
      </c>
      <c r="AA54" s="3">
        <f>+AA50</f>
        <v>37.871131371496517</v>
      </c>
      <c r="AB54" s="3">
        <f>+AB50</f>
        <v>65.973445725385659</v>
      </c>
      <c r="AC54" s="3">
        <f>+PI()/4*(Z54)^2</f>
        <v>282743.3388230814</v>
      </c>
      <c r="AD54" s="3">
        <f>+AD50</f>
        <v>29339.263731301737</v>
      </c>
      <c r="AE54" s="3">
        <f>+AC54/AD54</f>
        <v>9.6370291160860209</v>
      </c>
      <c r="AF54" s="3">
        <f>+(AD54/PI())^0.5</f>
        <v>96.638386260465225</v>
      </c>
      <c r="AG54" s="3">
        <f>++BY19</f>
        <v>0.7</v>
      </c>
      <c r="AH54" s="3">
        <f>+AA54^2/AB54^2*(1-AG54-1/AE54^2)</f>
        <v>9.5307123289252491E-2</v>
      </c>
      <c r="AI54" s="70">
        <f>+AH54/(Metric_Conversion!$E$13*2*9.81/calc!$AB$50^2)</f>
        <v>5.2857266708793406E-2</v>
      </c>
      <c r="BB54" s="3">
        <v>25</v>
      </c>
      <c r="BC54" s="3">
        <v>0.41</v>
      </c>
      <c r="BD54" s="3">
        <f t="shared" si="9"/>
        <v>36.321464728174163</v>
      </c>
      <c r="BE54" s="3">
        <f>+Metric_Conversion!$E$12/3600/calc!BD54*1000000</f>
        <v>30591.032587109145</v>
      </c>
      <c r="BS54" s="3">
        <v>11.3</v>
      </c>
      <c r="BT54" s="3">
        <v>4</v>
      </c>
      <c r="BU54" s="3">
        <v>0.65</v>
      </c>
      <c r="BV54" s="3">
        <f t="shared" si="8"/>
        <v>50.840576484912539</v>
      </c>
      <c r="CA54" s="3">
        <f t="shared" si="2"/>
        <v>50.840576484912539</v>
      </c>
      <c r="CF54" s="3">
        <f t="shared" si="3"/>
        <v>76.512986918174121</v>
      </c>
    </row>
    <row r="55" spans="1:84" x14ac:dyDescent="0.2">
      <c r="Y55" s="56"/>
      <c r="BB55" s="3">
        <v>30</v>
      </c>
      <c r="BC55" s="3">
        <v>0.38</v>
      </c>
      <c r="BD55" s="3">
        <f t="shared" si="9"/>
        <v>33.663796577332157</v>
      </c>
      <c r="BE55" s="3">
        <f>+Metric_Conversion!$E$12/3600/calc!BD55*1000000</f>
        <v>33006.114107144065</v>
      </c>
      <c r="BS55" s="3">
        <v>12</v>
      </c>
      <c r="BT55" s="3">
        <v>4.5999999999999996</v>
      </c>
      <c r="BU55" s="3">
        <v>0.65</v>
      </c>
      <c r="BV55" s="3">
        <f t="shared" si="8"/>
        <v>42.030711981655585</v>
      </c>
      <c r="CA55" s="3">
        <f t="shared" si="2"/>
        <v>42.030711981655585</v>
      </c>
      <c r="CF55" s="3">
        <f t="shared" si="3"/>
        <v>65.615099439765203</v>
      </c>
    </row>
    <row r="56" spans="1:84" x14ac:dyDescent="0.2">
      <c r="Z56" s="3" t="s">
        <v>22</v>
      </c>
      <c r="AA56" s="3" t="s">
        <v>39</v>
      </c>
      <c r="AB56" s="3" t="s">
        <v>109</v>
      </c>
      <c r="AC56" s="3" t="s">
        <v>110</v>
      </c>
      <c r="BB56" s="3">
        <v>35</v>
      </c>
      <c r="BC56" s="3">
        <v>0.36</v>
      </c>
      <c r="BD56" s="3">
        <f t="shared" si="9"/>
        <v>31.892017810104146</v>
      </c>
      <c r="BE56" s="3">
        <f>+Metric_Conversion!$E$12/3600/calc!BD56*1000000</f>
        <v>34839.787113096521</v>
      </c>
      <c r="BS56" s="3">
        <v>13</v>
      </c>
      <c r="BT56" s="3">
        <v>5.3</v>
      </c>
      <c r="BU56" s="3">
        <v>0.65</v>
      </c>
      <c r="BV56" s="3">
        <f t="shared" si="8"/>
        <v>31.588867266673436</v>
      </c>
      <c r="CA56" s="3">
        <f t="shared" si="2"/>
        <v>31.588867266673436</v>
      </c>
      <c r="CF56" s="3">
        <f t="shared" si="3"/>
        <v>52.737227920439082</v>
      </c>
    </row>
    <row r="57" spans="1:84" x14ac:dyDescent="0.2">
      <c r="Y57" s="3" t="s">
        <v>107</v>
      </c>
      <c r="Z57" s="3">
        <f>+Metric_Conversion!D44</f>
        <v>600</v>
      </c>
      <c r="AA57" s="64">
        <f>+Metric_Conversion!$E$19</f>
        <v>350</v>
      </c>
      <c r="AB57" s="64">
        <f>+Metric_Conversion!$E$20</f>
        <v>150</v>
      </c>
      <c r="AC57" s="3">
        <f>0.75*(AA57^2-AB57^2)/Z57^2</f>
        <v>0.20833333333333334</v>
      </c>
      <c r="AD57" s="70">
        <f>+AC57/(Metric_Conversion!$E$13*2*9.81/calc!$AB$50^2)</f>
        <v>0.11554152705785994</v>
      </c>
      <c r="BB57" s="3">
        <v>40</v>
      </c>
      <c r="BC57" s="3">
        <v>0.34</v>
      </c>
      <c r="BD57" s="3">
        <f t="shared" si="9"/>
        <v>30.12023904287614</v>
      </c>
      <c r="BE57" s="3">
        <f>+Metric_Conversion!$E$12/3600/calc!BD57*1000000</f>
        <v>36889.186355043377</v>
      </c>
      <c r="BS57" s="3">
        <v>14</v>
      </c>
      <c r="BT57" s="3">
        <v>6</v>
      </c>
      <c r="BU57" s="3">
        <v>0.65</v>
      </c>
      <c r="BV57" s="3">
        <f t="shared" si="8"/>
        <v>22.637022551691288</v>
      </c>
      <c r="CA57" s="3">
        <f t="shared" si="2"/>
        <v>22.637022551691288</v>
      </c>
      <c r="CF57" s="3">
        <f t="shared" si="3"/>
        <v>41.349356401112971</v>
      </c>
    </row>
    <row r="58" spans="1:84" x14ac:dyDescent="0.2">
      <c r="Y58" s="3" t="s">
        <v>108</v>
      </c>
      <c r="Z58" s="3">
        <f>+Metric_Conversion!E44</f>
        <v>600</v>
      </c>
      <c r="BB58" s="3">
        <v>50</v>
      </c>
      <c r="BC58" s="3">
        <v>0.31</v>
      </c>
      <c r="BD58" s="3">
        <f t="shared" si="9"/>
        <v>27.462570892034126</v>
      </c>
      <c r="BE58" s="3">
        <f>+Metric_Conversion!$E$12/3600/calc!BD58*1000000</f>
        <v>40459.107615208864</v>
      </c>
      <c r="BS58" s="3">
        <v>15</v>
      </c>
      <c r="BT58" s="3">
        <v>6.9</v>
      </c>
      <c r="BU58" s="3">
        <v>0.65</v>
      </c>
      <c r="BV58" s="3">
        <f t="shared" si="8"/>
        <v>14.607772013491935</v>
      </c>
      <c r="CA58" s="3">
        <f t="shared" si="2"/>
        <v>14.607772013491935</v>
      </c>
      <c r="CF58" s="3">
        <f t="shared" si="3"/>
        <v>30.188071400185663</v>
      </c>
    </row>
    <row r="59" spans="1:84" x14ac:dyDescent="0.2">
      <c r="BB59" s="3">
        <v>60</v>
      </c>
      <c r="BC59" s="3">
        <v>0.28999999999999998</v>
      </c>
      <c r="BD59" s="3">
        <f t="shared" si="9"/>
        <v>25.690792124806116</v>
      </c>
      <c r="BE59" s="3">
        <f>+Metric_Conversion!$E$12/3600/calc!BD59*1000000</f>
        <v>43249.390899016376</v>
      </c>
      <c r="BS59" s="3">
        <v>16.2</v>
      </c>
      <c r="BT59" s="3">
        <v>7.9</v>
      </c>
      <c r="BU59" s="3">
        <v>0.65</v>
      </c>
      <c r="BV59" s="3">
        <f t="shared" si="8"/>
        <v>7.4976336969395971</v>
      </c>
      <c r="CA59" s="3">
        <f t="shared" si="2"/>
        <v>7.4976336969395971</v>
      </c>
      <c r="CF59" s="3">
        <f t="shared" si="3"/>
        <v>19.597894791713372</v>
      </c>
    </row>
    <row r="60" spans="1:84" x14ac:dyDescent="0.2">
      <c r="Y60" s="3" t="s">
        <v>71</v>
      </c>
      <c r="Z60" s="64">
        <f>+Metric_Conversion!I19</f>
        <v>0</v>
      </c>
      <c r="BB60" s="3">
        <v>70</v>
      </c>
      <c r="BC60" s="3">
        <v>0.27500000000000002</v>
      </c>
      <c r="BD60" s="3">
        <f t="shared" si="9"/>
        <v>24.361958049385116</v>
      </c>
      <c r="BE60" s="3">
        <f>+Metric_Conversion!$E$12/3600/calc!BD60*1000000</f>
        <v>45608.448584417252</v>
      </c>
      <c r="BS60" s="3">
        <v>17.5</v>
      </c>
      <c r="BT60" s="3">
        <v>9</v>
      </c>
      <c r="BU60" s="3">
        <v>0.65</v>
      </c>
      <c r="BV60" s="3">
        <f t="shared" si="8"/>
        <v>2.5377000354064587</v>
      </c>
      <c r="CA60" s="3">
        <f t="shared" si="2"/>
        <v>2.5377000354064587</v>
      </c>
      <c r="CF60" s="3">
        <f t="shared" si="3"/>
        <v>10.809919009068292</v>
      </c>
    </row>
    <row r="61" spans="1:84" x14ac:dyDescent="0.2">
      <c r="BB61" s="3">
        <v>80</v>
      </c>
      <c r="BC61" s="3">
        <v>0.26500000000000001</v>
      </c>
      <c r="BD61" s="3">
        <f t="shared" si="9"/>
        <v>23.476068665771109</v>
      </c>
      <c r="BE61" s="3">
        <f>+Metric_Conversion!$E$12/3600/calc!BD61*1000000</f>
        <v>47329.5221159047</v>
      </c>
      <c r="BS61" s="3">
        <v>18.5</v>
      </c>
      <c r="BT61" s="3">
        <v>10</v>
      </c>
      <c r="BU61" s="3">
        <v>0.65</v>
      </c>
      <c r="BV61" s="3">
        <f t="shared" si="8"/>
        <v>0.73974658559850504</v>
      </c>
      <c r="CA61" s="3">
        <f t="shared" si="2"/>
        <v>0.73974658559850504</v>
      </c>
      <c r="CF61" s="3">
        <f t="shared" si="3"/>
        <v>5.5319272673403885</v>
      </c>
    </row>
    <row r="62" spans="1:84" x14ac:dyDescent="0.2">
      <c r="Y62" s="56"/>
      <c r="BB62" s="3">
        <v>90</v>
      </c>
      <c r="BC62" s="3">
        <v>0.26</v>
      </c>
      <c r="BD62" s="3">
        <f t="shared" si="9"/>
        <v>23.033123973964106</v>
      </c>
      <c r="BE62" s="3">
        <f>+Metric_Conversion!$E$12/3600/calc!BD62*1000000</f>
        <v>48239.70523351826</v>
      </c>
      <c r="BS62" s="3">
        <v>50</v>
      </c>
      <c r="BT62" s="3">
        <v>2.35</v>
      </c>
      <c r="BU62" s="3">
        <v>0.6</v>
      </c>
      <c r="BV62" s="3">
        <f t="shared" si="8"/>
        <v>486.78015281141569</v>
      </c>
      <c r="CA62" s="3">
        <f t="shared" si="2"/>
        <v>486.78015281141569</v>
      </c>
      <c r="CF62" s="3">
        <f t="shared" si="3"/>
        <v>518.19462642634517</v>
      </c>
    </row>
    <row r="63" spans="1:84" x14ac:dyDescent="0.2">
      <c r="Y63" s="56"/>
      <c r="BB63" s="3">
        <v>100</v>
      </c>
      <c r="BC63" s="3">
        <v>0.253</v>
      </c>
      <c r="BD63" s="3">
        <f t="shared" si="9"/>
        <v>22.413001405434304</v>
      </c>
      <c r="BE63" s="3">
        <f>+Metric_Conversion!$E$12/3600/calc!BD63*1000000</f>
        <v>49574.400635236154</v>
      </c>
      <c r="BS63" s="3">
        <v>40</v>
      </c>
      <c r="BT63" s="3">
        <v>2.27</v>
      </c>
      <c r="BU63" s="3">
        <v>0.6</v>
      </c>
      <c r="BV63" s="3">
        <f t="shared" si="8"/>
        <v>233.97555847792188</v>
      </c>
      <c r="CA63" s="3">
        <f t="shared" si="2"/>
        <v>233.97555847792188</v>
      </c>
      <c r="CF63" s="3">
        <f t="shared" si="3"/>
        <v>265.66843515620496</v>
      </c>
    </row>
    <row r="64" spans="1:84" x14ac:dyDescent="0.2">
      <c r="Y64" s="56"/>
      <c r="BB64" s="3">
        <v>110</v>
      </c>
      <c r="BC64" s="3">
        <v>0.248</v>
      </c>
      <c r="BD64" s="3">
        <f t="shared" si="9"/>
        <v>21.970056713627301</v>
      </c>
      <c r="BE64" s="3">
        <f>+Metric_Conversion!$E$12/3600/calc!BD64*1000000</f>
        <v>50573.884519011073</v>
      </c>
      <c r="BS64" s="3">
        <v>32</v>
      </c>
      <c r="BT64" s="3">
        <v>2.19</v>
      </c>
      <c r="BU64" s="3">
        <v>0.6</v>
      </c>
      <c r="BV64" s="3">
        <f t="shared" si="8"/>
        <v>103.85551547698424</v>
      </c>
      <c r="CA64" s="3">
        <f t="shared" si="2"/>
        <v>103.85551547698424</v>
      </c>
      <c r="CF64" s="3">
        <f t="shared" si="3"/>
        <v>135.82679521862093</v>
      </c>
    </row>
    <row r="65" spans="25:84" x14ac:dyDescent="0.2">
      <c r="Y65" s="56"/>
      <c r="BB65" s="3">
        <v>120</v>
      </c>
      <c r="BC65" s="3">
        <v>0.245</v>
      </c>
      <c r="BD65" s="3">
        <f t="shared" si="9"/>
        <v>21.704289898543099</v>
      </c>
      <c r="BE65" s="3">
        <f>+Metric_Conversion!$E$12/3600/calc!BD65*1000000</f>
        <v>51193.156574345907</v>
      </c>
      <c r="BS65" s="3">
        <v>25</v>
      </c>
      <c r="BT65" s="3">
        <v>2.13</v>
      </c>
      <c r="BU65" s="3">
        <v>0.6</v>
      </c>
      <c r="BV65" s="3">
        <f t="shared" si="8"/>
        <v>42.430607560002926</v>
      </c>
      <c r="CA65" s="3">
        <f t="shared" si="2"/>
        <v>42.430607560002926</v>
      </c>
      <c r="CF65" s="3">
        <f t="shared" si="3"/>
        <v>74.610689599154796</v>
      </c>
    </row>
    <row r="66" spans="25:84" x14ac:dyDescent="0.2">
      <c r="Y66" s="56"/>
      <c r="BS66" s="3">
        <v>19</v>
      </c>
      <c r="BT66" s="3">
        <v>2.0699999999999998</v>
      </c>
      <c r="BU66" s="3">
        <v>0.6</v>
      </c>
      <c r="BV66" s="3">
        <f t="shared" si="8"/>
        <v>28.84837530929968</v>
      </c>
      <c r="CA66" s="3">
        <f t="shared" si="2"/>
        <v>28.84837530929968</v>
      </c>
      <c r="CF66" s="3">
        <f t="shared" si="3"/>
        <v>61.237259645966766</v>
      </c>
    </row>
    <row r="67" spans="25:84" x14ac:dyDescent="0.2">
      <c r="Y67" s="56"/>
      <c r="BB67" s="3">
        <v>22</v>
      </c>
      <c r="BC67" s="3" cm="1">
        <f t="array" ref="BC67">TREND(BC50:BC65,BB50:BB65^{1,2,3,4},BB67^{1,2,3,4})</f>
        <v>0.42749277812767611</v>
      </c>
      <c r="BD67" s="3">
        <f t="shared" si="9"/>
        <v>37.871131371496517</v>
      </c>
      <c r="BE67" s="3">
        <f>+Metric_Conversion!$E$12/3600/calc!BD67*1000000</f>
        <v>29339.263731301737</v>
      </c>
      <c r="BS67" s="3">
        <v>14</v>
      </c>
      <c r="BT67" s="3">
        <v>2.0099999999999998</v>
      </c>
      <c r="BU67" s="3">
        <v>0.6</v>
      </c>
      <c r="BV67" s="3">
        <f t="shared" ref="BV67:BV98" si="10">+((BS67-$BY$16)^2+(BT67-$BY$17)^2)*0.5</f>
        <v>45.10881872487451</v>
      </c>
      <c r="CA67" s="3">
        <f t="shared" si="2"/>
        <v>45.10881872487451</v>
      </c>
      <c r="CF67" s="3">
        <f t="shared" si="3"/>
        <v>77.706505359056791</v>
      </c>
    </row>
    <row r="68" spans="25:84" x14ac:dyDescent="0.2">
      <c r="Y68" s="56"/>
      <c r="BS68" s="3">
        <v>10</v>
      </c>
      <c r="BT68" s="3">
        <v>2</v>
      </c>
      <c r="BU68" s="3">
        <v>0.6</v>
      </c>
      <c r="BV68" s="3">
        <f t="shared" si="10"/>
        <v>75.828836350923098</v>
      </c>
      <c r="CA68" s="3">
        <f t="shared" ref="CA68:CA131" si="11">+((BS68-$CD$16)^2+(BT68-$CD$17)^2)*0.5</f>
        <v>75.828836350923098</v>
      </c>
      <c r="CF68" s="3">
        <f t="shared" ref="CF68:CF131" si="12">+((BS68-$CI$16)^2+(BT68-$CI$17)^2)*0.5</f>
        <v>108.46132336802458</v>
      </c>
    </row>
    <row r="69" spans="25:84" x14ac:dyDescent="0.2">
      <c r="Y69" s="56"/>
      <c r="BS69" s="3">
        <v>8</v>
      </c>
      <c r="BT69" s="3">
        <v>2.0099999999999998</v>
      </c>
      <c r="BU69" s="3">
        <v>0.6</v>
      </c>
      <c r="BV69" s="3">
        <f t="shared" si="10"/>
        <v>97.074364727206117</v>
      </c>
      <c r="CA69" s="3">
        <f t="shared" si="11"/>
        <v>97.074364727206117</v>
      </c>
      <c r="CF69" s="3">
        <f t="shared" si="12"/>
        <v>129.67205136138841</v>
      </c>
    </row>
    <row r="70" spans="25:84" x14ac:dyDescent="0.2">
      <c r="Y70" s="56"/>
      <c r="BS70" s="3">
        <v>7.1</v>
      </c>
      <c r="BT70" s="3">
        <v>2.2000000000000002</v>
      </c>
      <c r="BU70" s="3">
        <v>0.6</v>
      </c>
      <c r="BV70" s="3">
        <f t="shared" si="10"/>
        <v>106.54311109549951</v>
      </c>
      <c r="CA70" s="3">
        <f t="shared" si="11"/>
        <v>106.54311109549951</v>
      </c>
      <c r="CF70" s="3">
        <f t="shared" si="12"/>
        <v>138.47959045421698</v>
      </c>
    </row>
    <row r="71" spans="25:84" x14ac:dyDescent="0.2">
      <c r="Y71" s="56"/>
      <c r="BS71" s="3">
        <v>7.5</v>
      </c>
      <c r="BT71" s="3">
        <v>2.6</v>
      </c>
      <c r="BU71" s="3">
        <v>0.6</v>
      </c>
      <c r="BV71" s="3">
        <f t="shared" si="10"/>
        <v>98.703929715576322</v>
      </c>
      <c r="CA71" s="3">
        <f t="shared" si="11"/>
        <v>98.703929715576322</v>
      </c>
      <c r="CF71" s="3">
        <f t="shared" si="12"/>
        <v>129.24839375752583</v>
      </c>
    </row>
    <row r="72" spans="25:84" x14ac:dyDescent="0.2">
      <c r="Y72" s="56"/>
      <c r="BS72" s="3">
        <v>8.1</v>
      </c>
      <c r="BT72" s="3">
        <v>3</v>
      </c>
      <c r="BU72" s="3">
        <v>0.6</v>
      </c>
      <c r="BV72" s="3">
        <f t="shared" si="10"/>
        <v>88.85256346890877</v>
      </c>
      <c r="CA72" s="3">
        <f t="shared" si="11"/>
        <v>88.85256346890877</v>
      </c>
      <c r="CF72" s="3">
        <f t="shared" si="12"/>
        <v>118.0050121940903</v>
      </c>
    </row>
    <row r="73" spans="25:84" x14ac:dyDescent="0.2">
      <c r="Y73" s="56"/>
      <c r="BS73" s="3">
        <v>9</v>
      </c>
      <c r="BT73" s="3">
        <v>3.55</v>
      </c>
      <c r="BU73" s="3">
        <v>0.6</v>
      </c>
      <c r="BV73" s="3">
        <f t="shared" si="10"/>
        <v>75.353615554711709</v>
      </c>
      <c r="CA73" s="3">
        <f t="shared" si="11"/>
        <v>75.353615554711709</v>
      </c>
      <c r="CF73" s="3">
        <f t="shared" si="12"/>
        <v>102.59204321933728</v>
      </c>
    </row>
    <row r="74" spans="25:84" x14ac:dyDescent="0.2">
      <c r="Y74" s="56"/>
      <c r="BS74" s="3">
        <v>9.6999999999999993</v>
      </c>
      <c r="BT74" s="3">
        <v>4</v>
      </c>
      <c r="BU74" s="3">
        <v>0.6</v>
      </c>
      <c r="BV74" s="3">
        <f t="shared" si="10"/>
        <v>65.498055418867651</v>
      </c>
      <c r="CA74" s="3">
        <f t="shared" si="11"/>
        <v>65.498055418867651</v>
      </c>
      <c r="CF74" s="3">
        <f t="shared" si="12"/>
        <v>91.17046585212924</v>
      </c>
    </row>
    <row r="75" spans="25:84" x14ac:dyDescent="0.2">
      <c r="Y75" s="56"/>
      <c r="BS75" s="3">
        <v>10.5</v>
      </c>
      <c r="BT75" s="3">
        <v>4.5</v>
      </c>
      <c r="BU75" s="3">
        <v>0.6</v>
      </c>
      <c r="BV75" s="3">
        <f t="shared" si="10"/>
        <v>55.155801393847085</v>
      </c>
      <c r="CA75" s="3">
        <f t="shared" si="11"/>
        <v>55.155801393847085</v>
      </c>
      <c r="CF75" s="3">
        <f t="shared" si="12"/>
        <v>79.088192681148684</v>
      </c>
    </row>
    <row r="76" spans="25:84" x14ac:dyDescent="0.2">
      <c r="Y76" s="56"/>
      <c r="BS76" s="3">
        <v>11.1</v>
      </c>
      <c r="BT76" s="3">
        <v>5</v>
      </c>
      <c r="BU76" s="3">
        <v>0.6</v>
      </c>
      <c r="BV76" s="3">
        <f t="shared" si="10"/>
        <v>47.395732235570918</v>
      </c>
      <c r="CA76" s="3">
        <f t="shared" si="11"/>
        <v>47.395732235570918</v>
      </c>
      <c r="CF76" s="3">
        <f t="shared" si="12"/>
        <v>69.588104376912554</v>
      </c>
    </row>
    <row r="77" spans="25:84" x14ac:dyDescent="0.2">
      <c r="Y77" s="56"/>
      <c r="BS77" s="3">
        <v>12</v>
      </c>
      <c r="BT77" s="3">
        <v>5.7</v>
      </c>
      <c r="BU77" s="3">
        <v>0.6</v>
      </c>
      <c r="BV77" s="3">
        <f t="shared" si="10"/>
        <v>37.094979953960959</v>
      </c>
      <c r="CA77" s="3">
        <f t="shared" si="11"/>
        <v>37.094979953960959</v>
      </c>
      <c r="CF77" s="3">
        <f t="shared" si="12"/>
        <v>56.851325290958627</v>
      </c>
    </row>
    <row r="78" spans="25:84" x14ac:dyDescent="0.2">
      <c r="Y78" s="56"/>
      <c r="BS78" s="3">
        <v>13</v>
      </c>
      <c r="BT78" s="3">
        <v>6.5</v>
      </c>
      <c r="BU78" s="3">
        <v>0.6</v>
      </c>
      <c r="BV78" s="3">
        <f t="shared" si="10"/>
        <v>27.104432327370208</v>
      </c>
      <c r="CA78" s="3">
        <f t="shared" si="11"/>
        <v>27.104432327370208</v>
      </c>
      <c r="CF78" s="3">
        <f t="shared" si="12"/>
        <v>44.076747030831918</v>
      </c>
    </row>
    <row r="79" spans="25:84" x14ac:dyDescent="0.2">
      <c r="Y79" s="63"/>
      <c r="BS79" s="3">
        <v>14</v>
      </c>
      <c r="BT79" s="3">
        <v>7.2</v>
      </c>
      <c r="BU79" s="3">
        <v>0.6</v>
      </c>
      <c r="BV79" s="3">
        <f t="shared" si="10"/>
        <v>18.992587612388061</v>
      </c>
      <c r="CA79" s="3">
        <f t="shared" si="11"/>
        <v>18.992587612388061</v>
      </c>
      <c r="CF79" s="3">
        <f t="shared" si="12"/>
        <v>33.528875511505802</v>
      </c>
    </row>
    <row r="80" spans="25:84" x14ac:dyDescent="0.2">
      <c r="Y80" s="63"/>
      <c r="BS80" s="3">
        <v>14.9</v>
      </c>
      <c r="BT80" s="3">
        <v>8</v>
      </c>
      <c r="BU80" s="3">
        <v>0.6</v>
      </c>
      <c r="BV80" s="3">
        <f t="shared" si="10"/>
        <v>12.673132419169505</v>
      </c>
      <c r="CA80" s="3">
        <f t="shared" si="11"/>
        <v>12.673132419169505</v>
      </c>
      <c r="CF80" s="3">
        <f t="shared" si="12"/>
        <v>24.425389684751288</v>
      </c>
    </row>
    <row r="81" spans="71:84" x14ac:dyDescent="0.2">
      <c r="BS81" s="3">
        <v>16</v>
      </c>
      <c r="BT81" s="3">
        <v>9</v>
      </c>
      <c r="BU81" s="3">
        <v>0.6</v>
      </c>
      <c r="BV81" s="3">
        <f t="shared" si="10"/>
        <v>6.9040865359893591</v>
      </c>
      <c r="CA81" s="3">
        <f t="shared" si="11"/>
        <v>6.9040865359893591</v>
      </c>
      <c r="CF81" s="3">
        <f t="shared" si="12"/>
        <v>15.176305509651192</v>
      </c>
    </row>
    <row r="82" spans="71:84" x14ac:dyDescent="0.2">
      <c r="BS82" s="3">
        <v>16.899999999999999</v>
      </c>
      <c r="BT82" s="3">
        <v>10</v>
      </c>
      <c r="BU82" s="3">
        <v>0.6</v>
      </c>
      <c r="BV82" s="3">
        <f t="shared" si="10"/>
        <v>3.8772255195536021</v>
      </c>
      <c r="CA82" s="3">
        <f t="shared" si="11"/>
        <v>3.8772255195536021</v>
      </c>
      <c r="CF82" s="3">
        <f t="shared" si="12"/>
        <v>8.6694062012954856</v>
      </c>
    </row>
    <row r="83" spans="71:84" x14ac:dyDescent="0.2">
      <c r="BS83" s="3">
        <v>50</v>
      </c>
      <c r="BT83" s="3">
        <v>2.14</v>
      </c>
      <c r="BU83" s="3">
        <v>0.55000000000000004</v>
      </c>
      <c r="BV83" s="3">
        <f t="shared" si="10"/>
        <v>488.33247892579374</v>
      </c>
      <c r="CA83" s="3">
        <f t="shared" si="11"/>
        <v>488.33247892579374</v>
      </c>
      <c r="CF83" s="3">
        <f t="shared" si="12"/>
        <v>520.47776058202646</v>
      </c>
    </row>
    <row r="84" spans="71:84" x14ac:dyDescent="0.2">
      <c r="BS84" s="3">
        <v>40</v>
      </c>
      <c r="BT84" s="3">
        <v>2.0699999999999998</v>
      </c>
      <c r="BU84" s="3">
        <v>0.55000000000000004</v>
      </c>
      <c r="BV84" s="3">
        <f t="shared" si="10"/>
        <v>235.46896430113907</v>
      </c>
      <c r="CA84" s="3">
        <f t="shared" si="11"/>
        <v>235.46896430113907</v>
      </c>
      <c r="CF84" s="3">
        <f t="shared" si="12"/>
        <v>267.85784863780617</v>
      </c>
    </row>
    <row r="85" spans="71:84" x14ac:dyDescent="0.2">
      <c r="BS85" s="3">
        <v>32</v>
      </c>
      <c r="BT85" s="3">
        <v>1.97</v>
      </c>
      <c r="BU85" s="3">
        <v>0.55000000000000004</v>
      </c>
      <c r="BV85" s="3">
        <f t="shared" si="10"/>
        <v>105.51806188252316</v>
      </c>
      <c r="CA85" s="3">
        <f t="shared" si="11"/>
        <v>105.51806188252316</v>
      </c>
      <c r="CF85" s="3">
        <f t="shared" si="12"/>
        <v>138.25495004838223</v>
      </c>
    </row>
    <row r="86" spans="71:84" x14ac:dyDescent="0.2">
      <c r="BS86" s="3">
        <v>25</v>
      </c>
      <c r="BT86" s="3">
        <v>1.92</v>
      </c>
      <c r="BU86" s="3">
        <v>0.55000000000000004</v>
      </c>
      <c r="BV86" s="3">
        <f t="shared" si="10"/>
        <v>44.029133674380986</v>
      </c>
      <c r="CA86" s="3">
        <f t="shared" si="11"/>
        <v>44.029133674380986</v>
      </c>
      <c r="CF86" s="3">
        <f t="shared" si="12"/>
        <v>76.940023754836062</v>
      </c>
    </row>
    <row r="87" spans="71:84" x14ac:dyDescent="0.2">
      <c r="BS87" s="3">
        <v>19</v>
      </c>
      <c r="BT87" s="3">
        <v>1.87</v>
      </c>
      <c r="BU87" s="3">
        <v>0.55000000000000004</v>
      </c>
      <c r="BV87" s="3">
        <f t="shared" si="10"/>
        <v>30.381781132516885</v>
      </c>
      <c r="CA87" s="3">
        <f t="shared" si="11"/>
        <v>30.381781132516885</v>
      </c>
      <c r="CF87" s="3">
        <f t="shared" si="12"/>
        <v>63.466673127567972</v>
      </c>
    </row>
    <row r="88" spans="71:84" x14ac:dyDescent="0.2">
      <c r="BS88" s="3">
        <v>14</v>
      </c>
      <c r="BT88" s="3">
        <v>1.82</v>
      </c>
      <c r="BU88" s="3">
        <v>0.55000000000000004</v>
      </c>
      <c r="BV88" s="3">
        <f t="shared" si="10"/>
        <v>46.576004256930851</v>
      </c>
      <c r="CA88" s="3">
        <f t="shared" si="11"/>
        <v>46.576004256930851</v>
      </c>
      <c r="CF88" s="3">
        <f t="shared" si="12"/>
        <v>79.834898166577915</v>
      </c>
    </row>
    <row r="89" spans="71:84" x14ac:dyDescent="0.2">
      <c r="BS89" s="3">
        <v>10</v>
      </c>
      <c r="BT89" s="3">
        <v>1.77</v>
      </c>
      <c r="BU89" s="3">
        <v>0.55000000000000004</v>
      </c>
      <c r="BV89" s="3">
        <f t="shared" si="10"/>
        <v>77.611803047622885</v>
      </c>
      <c r="CA89" s="3">
        <f t="shared" si="11"/>
        <v>77.611803047622885</v>
      </c>
      <c r="CF89" s="3">
        <f t="shared" si="12"/>
        <v>111.04469887186596</v>
      </c>
    </row>
    <row r="90" spans="71:84" x14ac:dyDescent="0.2">
      <c r="BS90" s="3">
        <v>8</v>
      </c>
      <c r="BT90" s="3">
        <v>1.76</v>
      </c>
      <c r="BU90" s="3">
        <v>0.55000000000000004</v>
      </c>
      <c r="BV90" s="3">
        <f t="shared" si="10"/>
        <v>99.012372006227622</v>
      </c>
      <c r="CA90" s="3">
        <f t="shared" si="11"/>
        <v>99.012372006227622</v>
      </c>
      <c r="CF90" s="3">
        <f t="shared" si="12"/>
        <v>132.4800682133899</v>
      </c>
    </row>
    <row r="91" spans="71:84" x14ac:dyDescent="0.2">
      <c r="BS91" s="3">
        <v>6</v>
      </c>
      <c r="BT91" s="3">
        <v>1.76</v>
      </c>
      <c r="BU91" s="3">
        <v>0.55000000000000004</v>
      </c>
      <c r="BV91" s="3">
        <f t="shared" si="10"/>
        <v>124.33422067367148</v>
      </c>
      <c r="CA91" s="3">
        <f t="shared" si="11"/>
        <v>124.33422067367148</v>
      </c>
      <c r="CF91" s="3">
        <f t="shared" si="12"/>
        <v>157.80191688083374</v>
      </c>
    </row>
    <row r="92" spans="71:84" x14ac:dyDescent="0.2">
      <c r="BS92" s="3">
        <v>5.0999999999999996</v>
      </c>
      <c r="BT92" s="3">
        <v>1.9</v>
      </c>
      <c r="BU92" s="3">
        <v>0.55000000000000004</v>
      </c>
      <c r="BV92" s="3">
        <f t="shared" si="10"/>
        <v>135.94106849776918</v>
      </c>
      <c r="CA92" s="3">
        <f t="shared" si="11"/>
        <v>135.94106849776918</v>
      </c>
      <c r="CF92" s="3">
        <f t="shared" si="12"/>
        <v>168.92155934406267</v>
      </c>
    </row>
    <row r="93" spans="71:84" x14ac:dyDescent="0.2">
      <c r="BS93" s="3">
        <v>5.5</v>
      </c>
      <c r="BT93" s="3">
        <v>2.2999999999999998</v>
      </c>
      <c r="BU93" s="3">
        <v>0.55000000000000004</v>
      </c>
      <c r="BV93" s="3">
        <f t="shared" si="10"/>
        <v>127.181887117846</v>
      </c>
      <c r="CA93" s="3">
        <f t="shared" si="11"/>
        <v>127.181887117846</v>
      </c>
      <c r="CF93" s="3">
        <f t="shared" si="12"/>
        <v>158.77036264737151</v>
      </c>
    </row>
    <row r="94" spans="71:84" x14ac:dyDescent="0.2">
      <c r="BS94" s="3">
        <v>6.2</v>
      </c>
      <c r="BT94" s="3">
        <v>2.7</v>
      </c>
      <c r="BU94" s="3">
        <v>0.55000000000000004</v>
      </c>
      <c r="BV94" s="3">
        <f t="shared" si="10"/>
        <v>114.65942843780624</v>
      </c>
      <c r="CA94" s="3">
        <f t="shared" si="11"/>
        <v>114.65942843780624</v>
      </c>
      <c r="CF94" s="3">
        <f t="shared" si="12"/>
        <v>144.85588865056374</v>
      </c>
    </row>
    <row r="95" spans="71:84" x14ac:dyDescent="0.2">
      <c r="BS95" s="3">
        <v>7</v>
      </c>
      <c r="BT95" s="3">
        <v>3.2</v>
      </c>
      <c r="BU95" s="3">
        <v>0.55000000000000004</v>
      </c>
      <c r="BV95" s="3">
        <f t="shared" si="10"/>
        <v>100.86717441278567</v>
      </c>
      <c r="CA95" s="3">
        <f t="shared" si="11"/>
        <v>100.86717441278567</v>
      </c>
      <c r="CF95" s="3">
        <f t="shared" si="12"/>
        <v>129.3236154795832</v>
      </c>
    </row>
    <row r="96" spans="71:84" x14ac:dyDescent="0.2">
      <c r="BS96" s="3">
        <v>7.5</v>
      </c>
      <c r="BT96" s="3">
        <v>3.6</v>
      </c>
      <c r="BU96" s="3">
        <v>0.55000000000000004</v>
      </c>
      <c r="BV96" s="3">
        <f t="shared" si="10"/>
        <v>92.166900599490305</v>
      </c>
      <c r="CA96" s="3">
        <f t="shared" si="11"/>
        <v>92.166900599490305</v>
      </c>
      <c r="CF96" s="3">
        <f t="shared" si="12"/>
        <v>119.23132634951986</v>
      </c>
    </row>
    <row r="97" spans="71:84" x14ac:dyDescent="0.2">
      <c r="BS97" s="3">
        <v>8.1999999999999993</v>
      </c>
      <c r="BT97" s="3">
        <v>4.0999999999999996</v>
      </c>
      <c r="BU97" s="3">
        <v>0.55000000000000004</v>
      </c>
      <c r="BV97" s="3">
        <f t="shared" si="10"/>
        <v>81.005739007841953</v>
      </c>
      <c r="CA97" s="3">
        <f t="shared" si="11"/>
        <v>81.005739007841953</v>
      </c>
      <c r="CF97" s="3">
        <f t="shared" si="12"/>
        <v>106.33014561191153</v>
      </c>
    </row>
    <row r="98" spans="71:84" x14ac:dyDescent="0.2">
      <c r="BS98" s="3">
        <v>9</v>
      </c>
      <c r="BT98" s="3">
        <v>4.7</v>
      </c>
      <c r="BU98" s="3">
        <v>0.55000000000000004</v>
      </c>
      <c r="BV98" s="3">
        <f t="shared" si="10"/>
        <v>69.014782071212778</v>
      </c>
      <c r="CA98" s="3">
        <f t="shared" si="11"/>
        <v>69.014782071212778</v>
      </c>
      <c r="CF98" s="3">
        <f t="shared" si="12"/>
        <v>92.2511657001304</v>
      </c>
    </row>
    <row r="99" spans="71:84" x14ac:dyDescent="0.2">
      <c r="BS99" s="3">
        <v>10</v>
      </c>
      <c r="BT99" s="3">
        <v>5.5</v>
      </c>
      <c r="BU99" s="3">
        <v>0.55000000000000004</v>
      </c>
      <c r="BV99" s="3">
        <f t="shared" ref="BV99:BV130" si="13">+((BS99-$BY$16)^2+(BT99-$BY$17)^2)*0.5</f>
        <v>55.224234444622027</v>
      </c>
      <c r="CA99" s="3">
        <f t="shared" si="11"/>
        <v>55.224234444622027</v>
      </c>
      <c r="CF99" s="3">
        <f t="shared" si="12"/>
        <v>75.676587440003686</v>
      </c>
    </row>
    <row r="100" spans="71:84" x14ac:dyDescent="0.2">
      <c r="BS100" s="3">
        <v>11</v>
      </c>
      <c r="BT100" s="3">
        <v>6.4</v>
      </c>
      <c r="BU100" s="3">
        <v>0.55000000000000004</v>
      </c>
      <c r="BV100" s="3">
        <f t="shared" si="13"/>
        <v>42.744983906422682</v>
      </c>
      <c r="CA100" s="3">
        <f t="shared" si="11"/>
        <v>42.744983906422682</v>
      </c>
      <c r="CF100" s="3">
        <f t="shared" si="12"/>
        <v>60.065302439076383</v>
      </c>
    </row>
    <row r="101" spans="71:84" x14ac:dyDescent="0.2">
      <c r="BS101" s="3">
        <v>12</v>
      </c>
      <c r="BT101" s="3">
        <v>7.4</v>
      </c>
      <c r="BU101" s="3">
        <v>0.55000000000000004</v>
      </c>
      <c r="BV101" s="3">
        <f t="shared" si="13"/>
        <v>31.847030456614725</v>
      </c>
      <c r="CA101" s="3">
        <f t="shared" si="11"/>
        <v>31.847030456614725</v>
      </c>
      <c r="CF101" s="3">
        <f t="shared" si="12"/>
        <v>45.687310697348479</v>
      </c>
    </row>
    <row r="102" spans="71:84" x14ac:dyDescent="0.2">
      <c r="BS102" s="3">
        <v>13</v>
      </c>
      <c r="BT102" s="3">
        <v>8.3000000000000007</v>
      </c>
      <c r="BU102" s="3">
        <v>0.55000000000000004</v>
      </c>
      <c r="BV102" s="3">
        <f t="shared" si="13"/>
        <v>23.07777991841537</v>
      </c>
      <c r="CA102" s="3">
        <f t="shared" si="11"/>
        <v>23.07777991841537</v>
      </c>
      <c r="CF102" s="3">
        <f t="shared" si="12"/>
        <v>33.786025696421163</v>
      </c>
    </row>
    <row r="103" spans="71:84" x14ac:dyDescent="0.2">
      <c r="BS103" s="3">
        <v>14</v>
      </c>
      <c r="BT103" s="3">
        <v>9.1</v>
      </c>
      <c r="BU103" s="3">
        <v>0.55000000000000004</v>
      </c>
      <c r="BV103" s="3">
        <f t="shared" si="13"/>
        <v>16.167232291824622</v>
      </c>
      <c r="CA103" s="3">
        <f t="shared" si="11"/>
        <v>16.167232291824622</v>
      </c>
      <c r="CF103" s="3">
        <f t="shared" si="12"/>
        <v>24.091447436294459</v>
      </c>
    </row>
    <row r="104" spans="71:84" x14ac:dyDescent="0.2">
      <c r="BS104" s="3">
        <v>14.8</v>
      </c>
      <c r="BT104" s="3">
        <v>10</v>
      </c>
      <c r="BU104" s="3">
        <v>0.55000000000000004</v>
      </c>
      <c r="BV104" s="3">
        <f t="shared" si="13"/>
        <v>11.880166620369655</v>
      </c>
      <c r="CA104" s="3">
        <f t="shared" si="11"/>
        <v>11.880166620369655</v>
      </c>
      <c r="CF104" s="3">
        <f t="shared" si="12"/>
        <v>16.67234730211154</v>
      </c>
    </row>
    <row r="105" spans="71:84" x14ac:dyDescent="0.2">
      <c r="BS105" s="3">
        <v>50</v>
      </c>
      <c r="BT105" s="3">
        <v>2.0499999999999998</v>
      </c>
      <c r="BU105" s="3">
        <v>0.5</v>
      </c>
      <c r="BV105" s="3">
        <f t="shared" si="13"/>
        <v>489.01126154624149</v>
      </c>
      <c r="CA105" s="3">
        <f t="shared" si="11"/>
        <v>489.01126154624149</v>
      </c>
      <c r="CF105" s="3">
        <f t="shared" si="12"/>
        <v>521.46974664874699</v>
      </c>
    </row>
    <row r="106" spans="71:84" x14ac:dyDescent="0.2">
      <c r="BS106" s="3">
        <v>40</v>
      </c>
      <c r="BT106" s="3">
        <v>1.95</v>
      </c>
      <c r="BU106" s="3">
        <v>0.5</v>
      </c>
      <c r="BV106" s="3">
        <f t="shared" si="13"/>
        <v>236.38420779506939</v>
      </c>
      <c r="CA106" s="3">
        <f t="shared" si="11"/>
        <v>236.38420779506939</v>
      </c>
      <c r="CF106" s="3">
        <f t="shared" si="12"/>
        <v>269.19069672676687</v>
      </c>
    </row>
    <row r="107" spans="71:84" x14ac:dyDescent="0.2">
      <c r="BS107" s="3">
        <v>32</v>
      </c>
      <c r="BT107" s="3">
        <v>1.87</v>
      </c>
      <c r="BU107" s="3">
        <v>0.5</v>
      </c>
      <c r="BV107" s="3">
        <f t="shared" si="13"/>
        <v>106.28976479413176</v>
      </c>
      <c r="CA107" s="3">
        <f t="shared" si="11"/>
        <v>106.28976479413176</v>
      </c>
      <c r="CF107" s="3">
        <f t="shared" si="12"/>
        <v>139.37465678918284</v>
      </c>
    </row>
    <row r="108" spans="71:84" x14ac:dyDescent="0.2">
      <c r="BS108" s="3">
        <v>25</v>
      </c>
      <c r="BT108" s="3">
        <v>1.8</v>
      </c>
      <c r="BU108" s="3">
        <v>0.5</v>
      </c>
      <c r="BV108" s="3">
        <f t="shared" si="13"/>
        <v>44.962377168311313</v>
      </c>
      <c r="CA108" s="3">
        <f t="shared" si="11"/>
        <v>44.962377168311313</v>
      </c>
      <c r="CF108" s="3">
        <f t="shared" si="12"/>
        <v>78.290871843796779</v>
      </c>
    </row>
    <row r="109" spans="71:84" x14ac:dyDescent="0.2">
      <c r="BS109" s="3">
        <v>19</v>
      </c>
      <c r="BT109" s="3">
        <v>1.72</v>
      </c>
      <c r="BU109" s="3">
        <v>0.5</v>
      </c>
      <c r="BV109" s="3">
        <f t="shared" si="13"/>
        <v>31.558085499929792</v>
      </c>
      <c r="CA109" s="3">
        <f t="shared" si="11"/>
        <v>31.558085499929792</v>
      </c>
      <c r="CF109" s="3">
        <f t="shared" si="12"/>
        <v>65.164983238768841</v>
      </c>
    </row>
    <row r="110" spans="71:84" x14ac:dyDescent="0.2">
      <c r="BS110" s="3">
        <v>14</v>
      </c>
      <c r="BT110" s="3">
        <v>1.67</v>
      </c>
      <c r="BU110" s="3">
        <v>0.5</v>
      </c>
      <c r="BV110" s="3">
        <f t="shared" si="13"/>
        <v>47.759808624343762</v>
      </c>
      <c r="CA110" s="3">
        <f t="shared" si="11"/>
        <v>47.759808624343762</v>
      </c>
      <c r="CF110" s="3">
        <f t="shared" si="12"/>
        <v>81.540708277778819</v>
      </c>
    </row>
    <row r="111" spans="71:84" x14ac:dyDescent="0.2">
      <c r="BS111" s="3">
        <v>10</v>
      </c>
      <c r="BT111" s="3">
        <v>1.62</v>
      </c>
      <c r="BU111" s="3">
        <v>0.5</v>
      </c>
      <c r="BV111" s="3">
        <f t="shared" si="13"/>
        <v>78.803107415035797</v>
      </c>
      <c r="CA111" s="3">
        <f t="shared" si="11"/>
        <v>78.803107415035797</v>
      </c>
      <c r="CF111" s="3">
        <f t="shared" si="12"/>
        <v>112.75800898306686</v>
      </c>
    </row>
    <row r="112" spans="71:84" x14ac:dyDescent="0.2">
      <c r="BS112" s="3">
        <v>8</v>
      </c>
      <c r="BT112" s="3">
        <v>1.6</v>
      </c>
      <c r="BU112" s="3">
        <v>0.5</v>
      </c>
      <c r="BV112" s="3">
        <f t="shared" si="13"/>
        <v>100.28549666480139</v>
      </c>
      <c r="CA112" s="3">
        <f t="shared" si="11"/>
        <v>100.28549666480139</v>
      </c>
      <c r="CF112" s="3">
        <f t="shared" si="12"/>
        <v>134.30999899867084</v>
      </c>
    </row>
    <row r="113" spans="71:84" x14ac:dyDescent="0.2">
      <c r="BS113" s="3">
        <v>6</v>
      </c>
      <c r="BT113" s="3">
        <v>1.58</v>
      </c>
      <c r="BU113" s="3">
        <v>0.5</v>
      </c>
      <c r="BV113" s="3">
        <f t="shared" si="13"/>
        <v>125.76828591456697</v>
      </c>
      <c r="CA113" s="3">
        <f t="shared" si="11"/>
        <v>125.76828591456697</v>
      </c>
      <c r="CF113" s="3">
        <f t="shared" si="12"/>
        <v>159.86238901427481</v>
      </c>
    </row>
    <row r="114" spans="71:84" x14ac:dyDescent="0.2">
      <c r="BS114" s="3">
        <v>4.5</v>
      </c>
      <c r="BT114" s="3">
        <v>1.57</v>
      </c>
      <c r="BU114" s="3">
        <v>0.5</v>
      </c>
      <c r="BV114" s="3">
        <f t="shared" si="13"/>
        <v>147.46529270631072</v>
      </c>
      <c r="CA114" s="3">
        <f t="shared" si="11"/>
        <v>147.46529270631072</v>
      </c>
      <c r="CF114" s="3">
        <f t="shared" si="12"/>
        <v>181.59419618893779</v>
      </c>
    </row>
    <row r="115" spans="71:84" x14ac:dyDescent="0.2">
      <c r="BS115" s="3">
        <v>3.4</v>
      </c>
      <c r="BT115" s="3">
        <v>1.63</v>
      </c>
      <c r="BU115" s="3">
        <v>0.5</v>
      </c>
      <c r="BV115" s="3">
        <f t="shared" si="13"/>
        <v>164.2650877264397</v>
      </c>
      <c r="CA115" s="3">
        <f t="shared" si="11"/>
        <v>164.2650877264397</v>
      </c>
      <c r="CF115" s="3">
        <f t="shared" si="12"/>
        <v>198.18518891155156</v>
      </c>
    </row>
    <row r="116" spans="71:84" x14ac:dyDescent="0.2">
      <c r="BS116" s="3">
        <v>3.7</v>
      </c>
      <c r="BT116" s="3">
        <v>2</v>
      </c>
      <c r="BU116" s="3">
        <v>0.5</v>
      </c>
      <c r="BV116" s="3">
        <f t="shared" si="13"/>
        <v>156.53765965337129</v>
      </c>
      <c r="CA116" s="3">
        <f t="shared" si="11"/>
        <v>156.53765965337129</v>
      </c>
      <c r="CF116" s="3">
        <f t="shared" si="12"/>
        <v>189.17014667047277</v>
      </c>
    </row>
    <row r="117" spans="71:84" x14ac:dyDescent="0.2">
      <c r="BS117" s="3">
        <v>4.5</v>
      </c>
      <c r="BT117" s="3">
        <v>2.4</v>
      </c>
      <c r="BU117" s="3">
        <v>0.5</v>
      </c>
      <c r="BV117" s="3">
        <f t="shared" si="13"/>
        <v>141.11410853995932</v>
      </c>
      <c r="CA117" s="3">
        <f t="shared" si="11"/>
        <v>141.11410853995932</v>
      </c>
      <c r="CF117" s="3">
        <f t="shared" si="12"/>
        <v>172.35458024029282</v>
      </c>
    </row>
    <row r="118" spans="71:84" x14ac:dyDescent="0.2">
      <c r="BS118" s="3">
        <v>5.2</v>
      </c>
      <c r="BT118" s="3">
        <v>2.9</v>
      </c>
      <c r="BU118" s="3">
        <v>0.5</v>
      </c>
      <c r="BV118" s="3">
        <f t="shared" si="13"/>
        <v>127.25294694831098</v>
      </c>
      <c r="CA118" s="3">
        <f t="shared" si="11"/>
        <v>127.25294694831098</v>
      </c>
      <c r="CF118" s="3">
        <f t="shared" si="12"/>
        <v>156.75339950268449</v>
      </c>
    </row>
    <row r="119" spans="71:84" x14ac:dyDescent="0.2">
      <c r="BS119" s="3">
        <v>6</v>
      </c>
      <c r="BT119" s="3">
        <v>3.5</v>
      </c>
      <c r="BU119" s="3">
        <v>0.5</v>
      </c>
      <c r="BV119" s="3">
        <f t="shared" si="13"/>
        <v>112.1419900116818</v>
      </c>
      <c r="CA119" s="3">
        <f t="shared" si="11"/>
        <v>112.1419900116818</v>
      </c>
      <c r="CF119" s="3">
        <f t="shared" si="12"/>
        <v>139.55441959090336</v>
      </c>
    </row>
    <row r="120" spans="71:84" x14ac:dyDescent="0.2">
      <c r="BS120" s="3">
        <v>6.7</v>
      </c>
      <c r="BT120" s="3">
        <v>4.0999999999999996</v>
      </c>
      <c r="BU120" s="3">
        <v>0.5</v>
      </c>
      <c r="BV120" s="3">
        <f t="shared" si="13"/>
        <v>99.322125508424847</v>
      </c>
      <c r="CA120" s="3">
        <f t="shared" si="11"/>
        <v>99.322125508424847</v>
      </c>
      <c r="CF120" s="3">
        <f t="shared" si="12"/>
        <v>124.64653211249444</v>
      </c>
    </row>
    <row r="121" spans="71:84" x14ac:dyDescent="0.2">
      <c r="BS121" s="3">
        <v>7.5</v>
      </c>
      <c r="BT121" s="3">
        <v>4.8</v>
      </c>
      <c r="BU121" s="3">
        <v>0.5</v>
      </c>
      <c r="BV121" s="3">
        <f t="shared" si="13"/>
        <v>85.642465660187071</v>
      </c>
      <c r="CA121" s="3">
        <f t="shared" si="11"/>
        <v>85.642465660187071</v>
      </c>
      <c r="CF121" s="3">
        <f t="shared" si="12"/>
        <v>108.53084545991271</v>
      </c>
    </row>
    <row r="122" spans="71:84" x14ac:dyDescent="0.2">
      <c r="BS122" s="3">
        <v>8.5</v>
      </c>
      <c r="BT122" s="3">
        <v>5.7</v>
      </c>
      <c r="BU122" s="3">
        <v>0.5</v>
      </c>
      <c r="BV122" s="3">
        <f t="shared" si="13"/>
        <v>70.033215121987723</v>
      </c>
      <c r="CA122" s="3">
        <f t="shared" si="11"/>
        <v>70.033215121987723</v>
      </c>
      <c r="CF122" s="3">
        <f t="shared" si="12"/>
        <v>89.789560458985392</v>
      </c>
    </row>
    <row r="123" spans="71:84" x14ac:dyDescent="0.2">
      <c r="BS123" s="3">
        <v>9.5</v>
      </c>
      <c r="BT123" s="3">
        <v>6.6</v>
      </c>
      <c r="BU123" s="3">
        <v>0.5</v>
      </c>
      <c r="BV123" s="3">
        <f t="shared" si="13"/>
        <v>56.233964583788378</v>
      </c>
      <c r="CA123" s="3">
        <f t="shared" si="11"/>
        <v>56.233964583788378</v>
      </c>
      <c r="CF123" s="3">
        <f t="shared" si="12"/>
        <v>72.858275458058088</v>
      </c>
    </row>
    <row r="124" spans="71:84" x14ac:dyDescent="0.2">
      <c r="BS124" s="3">
        <v>10.4</v>
      </c>
      <c r="BT124" s="3">
        <v>7.5</v>
      </c>
      <c r="BU124" s="3">
        <v>0.5</v>
      </c>
      <c r="BV124" s="3">
        <f t="shared" si="13"/>
        <v>45.165806478961215</v>
      </c>
      <c r="CA124" s="3">
        <f t="shared" si="11"/>
        <v>45.165806478961215</v>
      </c>
      <c r="CF124" s="3">
        <f t="shared" si="12"/>
        <v>58.658082890502975</v>
      </c>
    </row>
    <row r="125" spans="71:84" x14ac:dyDescent="0.2">
      <c r="BS125" s="3">
        <v>11.3</v>
      </c>
      <c r="BT125" s="3">
        <v>8.6</v>
      </c>
      <c r="BU125" s="3">
        <v>0.5</v>
      </c>
      <c r="BV125" s="3">
        <f t="shared" si="13"/>
        <v>35.490242550916847</v>
      </c>
      <c r="CA125" s="3">
        <f t="shared" si="11"/>
        <v>35.490242550916847</v>
      </c>
      <c r="CF125" s="3">
        <f t="shared" si="12"/>
        <v>45.154476841346657</v>
      </c>
    </row>
    <row r="126" spans="71:84" x14ac:dyDescent="0.2">
      <c r="BS126" s="3">
        <v>12.6</v>
      </c>
      <c r="BT126" s="3">
        <v>10</v>
      </c>
      <c r="BU126" s="3">
        <v>0.5</v>
      </c>
      <c r="BV126" s="3">
        <f t="shared" si="13"/>
        <v>24.994200154557916</v>
      </c>
      <c r="CA126" s="3">
        <f t="shared" si="11"/>
        <v>24.994200154557916</v>
      </c>
      <c r="CF126" s="3">
        <f t="shared" si="12"/>
        <v>29.786380836299799</v>
      </c>
    </row>
    <row r="127" spans="71:84" x14ac:dyDescent="0.2">
      <c r="BS127" s="3">
        <v>50</v>
      </c>
      <c r="BT127" s="3">
        <v>1.87</v>
      </c>
      <c r="BU127" s="3">
        <v>0.45</v>
      </c>
      <c r="BV127" s="3">
        <f t="shared" si="13"/>
        <v>490.39312678713696</v>
      </c>
      <c r="CA127" s="3">
        <f t="shared" si="11"/>
        <v>490.39312678713696</v>
      </c>
      <c r="CF127" s="3">
        <f t="shared" si="12"/>
        <v>523.47801878218809</v>
      </c>
    </row>
    <row r="128" spans="71:84" x14ac:dyDescent="0.2">
      <c r="BS128" s="3">
        <v>41</v>
      </c>
      <c r="BT128" s="3">
        <v>1.83</v>
      </c>
      <c r="BU128" s="3">
        <v>0.45</v>
      </c>
      <c r="BV128" s="3">
        <f t="shared" si="13"/>
        <v>258.15292695527779</v>
      </c>
      <c r="CA128" s="3">
        <f t="shared" si="11"/>
        <v>258.15292695527779</v>
      </c>
      <c r="CF128" s="3">
        <f t="shared" si="12"/>
        <v>291.37702048200566</v>
      </c>
    </row>
    <row r="129" spans="71:84" x14ac:dyDescent="0.2">
      <c r="BS129" s="3">
        <v>32</v>
      </c>
      <c r="BT129" s="3">
        <v>1.77</v>
      </c>
      <c r="BU129" s="3">
        <v>0.45</v>
      </c>
      <c r="BV129" s="3">
        <f t="shared" si="13"/>
        <v>107.07146770574036</v>
      </c>
      <c r="CA129" s="3">
        <f t="shared" si="11"/>
        <v>107.07146770574036</v>
      </c>
      <c r="CF129" s="3">
        <f t="shared" si="12"/>
        <v>140.50436352998344</v>
      </c>
    </row>
    <row r="130" spans="71:84" x14ac:dyDescent="0.2">
      <c r="BS130" s="3">
        <v>25</v>
      </c>
      <c r="BT130" s="3">
        <v>1.71</v>
      </c>
      <c r="BU130" s="3">
        <v>0.45</v>
      </c>
      <c r="BV130" s="3">
        <f t="shared" si="13"/>
        <v>45.671759788759054</v>
      </c>
      <c r="CA130" s="3">
        <f t="shared" si="11"/>
        <v>45.671759788759054</v>
      </c>
      <c r="CF130" s="3">
        <f t="shared" si="12"/>
        <v>79.313457910517329</v>
      </c>
    </row>
    <row r="131" spans="71:84" x14ac:dyDescent="0.2">
      <c r="BS131" s="3">
        <v>19</v>
      </c>
      <c r="BT131" s="3">
        <v>1.64</v>
      </c>
      <c r="BU131" s="3">
        <v>0.45</v>
      </c>
      <c r="BV131" s="3">
        <f t="shared" ref="BV131:BV162" si="14">+((BS131-$BY$16)^2+(BT131-$BY$17)^2)*0.5</f>
        <v>32.194647829216677</v>
      </c>
      <c r="CA131" s="3">
        <f t="shared" si="11"/>
        <v>32.194647829216677</v>
      </c>
      <c r="CF131" s="3">
        <f t="shared" si="12"/>
        <v>66.079948631409323</v>
      </c>
    </row>
    <row r="132" spans="71:84" x14ac:dyDescent="0.2">
      <c r="BS132" s="3">
        <v>14</v>
      </c>
      <c r="BT132" s="3">
        <v>1.59</v>
      </c>
      <c r="BU132" s="3">
        <v>0.45</v>
      </c>
      <c r="BV132" s="3">
        <f t="shared" si="14"/>
        <v>48.400370953630642</v>
      </c>
      <c r="CA132" s="3">
        <f t="shared" ref="CA132:CA195" si="15">+((BS132-$CD$16)^2+(BT132-$CD$17)^2)*0.5</f>
        <v>48.400370953630642</v>
      </c>
      <c r="CF132" s="3">
        <f t="shared" ref="CF132:CF195" si="16">+((BS132-$CI$16)^2+(BT132-$CI$17)^2)*0.5</f>
        <v>82.459673670419306</v>
      </c>
    </row>
    <row r="133" spans="71:84" x14ac:dyDescent="0.2">
      <c r="BS133" s="3">
        <v>10</v>
      </c>
      <c r="BT133" s="3">
        <v>1.55</v>
      </c>
      <c r="BU133" s="3">
        <v>0.45</v>
      </c>
      <c r="BV133" s="3">
        <f t="shared" si="14"/>
        <v>79.366749453161816</v>
      </c>
      <c r="CA133" s="3">
        <f t="shared" si="15"/>
        <v>79.366749453161816</v>
      </c>
      <c r="CF133" s="3">
        <f t="shared" si="16"/>
        <v>113.56525370162727</v>
      </c>
    </row>
    <row r="134" spans="71:84" x14ac:dyDescent="0.2">
      <c r="BS134" s="3">
        <v>8</v>
      </c>
      <c r="BT134" s="3">
        <v>1.51</v>
      </c>
      <c r="BU134" s="3">
        <v>0.45</v>
      </c>
      <c r="BV134" s="3">
        <f t="shared" si="14"/>
        <v>101.01287928524913</v>
      </c>
      <c r="CA134" s="3">
        <f t="shared" si="15"/>
        <v>101.01287928524913</v>
      </c>
      <c r="CF134" s="3">
        <f t="shared" si="16"/>
        <v>135.35058506539139</v>
      </c>
    </row>
    <row r="135" spans="71:84" x14ac:dyDescent="0.2">
      <c r="BS135" s="3">
        <v>6</v>
      </c>
      <c r="BT135" s="3">
        <v>1.47</v>
      </c>
      <c r="BU135" s="3">
        <v>0.45</v>
      </c>
      <c r="BV135" s="3">
        <f t="shared" si="14"/>
        <v>126.66060911733642</v>
      </c>
      <c r="CA135" s="3">
        <f t="shared" si="15"/>
        <v>126.66060911733642</v>
      </c>
      <c r="CF135" s="3">
        <f t="shared" si="16"/>
        <v>161.13751642915548</v>
      </c>
    </row>
    <row r="136" spans="71:84" x14ac:dyDescent="0.2">
      <c r="BS136" s="3">
        <v>4.5</v>
      </c>
      <c r="BT136" s="3">
        <v>1.44</v>
      </c>
      <c r="BU136" s="3">
        <v>0.45</v>
      </c>
      <c r="BV136" s="3">
        <f t="shared" si="14"/>
        <v>148.52245649140193</v>
      </c>
      <c r="CA136" s="3">
        <f t="shared" si="15"/>
        <v>148.52245649140193</v>
      </c>
      <c r="CF136" s="3">
        <f t="shared" si="16"/>
        <v>183.10376495197858</v>
      </c>
    </row>
    <row r="137" spans="71:84" x14ac:dyDescent="0.2">
      <c r="BS137" s="3">
        <v>3.4</v>
      </c>
      <c r="BT137" s="3">
        <v>1.4</v>
      </c>
      <c r="BU137" s="3">
        <v>0.45</v>
      </c>
      <c r="BV137" s="3">
        <f t="shared" si="14"/>
        <v>166.1331544231395</v>
      </c>
      <c r="CA137" s="3">
        <f t="shared" si="15"/>
        <v>166.1331544231395</v>
      </c>
      <c r="CF137" s="3">
        <f t="shared" si="16"/>
        <v>200.85366441539296</v>
      </c>
    </row>
    <row r="138" spans="71:84" x14ac:dyDescent="0.2">
      <c r="BS138" s="3">
        <v>2.4</v>
      </c>
      <c r="BT138" s="3">
        <v>1.42</v>
      </c>
      <c r="BU138" s="3">
        <v>0.45</v>
      </c>
      <c r="BV138" s="3">
        <f t="shared" si="14"/>
        <v>182.7295381745397</v>
      </c>
      <c r="CA138" s="3">
        <f t="shared" si="15"/>
        <v>182.7295381745397</v>
      </c>
      <c r="CF138" s="3">
        <f t="shared" si="16"/>
        <v>217.38044740095478</v>
      </c>
    </row>
    <row r="139" spans="71:84" x14ac:dyDescent="0.2">
      <c r="BS139" s="3">
        <v>2.5</v>
      </c>
      <c r="BT139" s="3">
        <v>1.7</v>
      </c>
      <c r="BU139" s="3">
        <v>0.45</v>
      </c>
      <c r="BV139" s="3">
        <f t="shared" si="14"/>
        <v>178.74687758866341</v>
      </c>
      <c r="CA139" s="3">
        <f t="shared" si="15"/>
        <v>178.74687758866341</v>
      </c>
      <c r="CF139" s="3">
        <f t="shared" si="16"/>
        <v>212.42337609334089</v>
      </c>
    </row>
    <row r="140" spans="71:84" x14ac:dyDescent="0.2">
      <c r="BS140" s="3">
        <v>2.9</v>
      </c>
      <c r="BT140" s="3">
        <v>2</v>
      </c>
      <c r="BU140" s="3">
        <v>0.45</v>
      </c>
      <c r="BV140" s="3">
        <f t="shared" si="14"/>
        <v>169.62639912034885</v>
      </c>
      <c r="CA140" s="3">
        <f t="shared" si="15"/>
        <v>169.62639912034885</v>
      </c>
      <c r="CF140" s="3">
        <f t="shared" si="16"/>
        <v>202.25888613745033</v>
      </c>
    </row>
    <row r="141" spans="71:84" x14ac:dyDescent="0.2">
      <c r="BS141" s="3">
        <v>3.5</v>
      </c>
      <c r="BT141" s="3">
        <v>2.4</v>
      </c>
      <c r="BU141" s="3">
        <v>0.45</v>
      </c>
      <c r="BV141" s="3">
        <f t="shared" si="14"/>
        <v>156.77503287368125</v>
      </c>
      <c r="CA141" s="3">
        <f t="shared" si="15"/>
        <v>156.77503287368125</v>
      </c>
      <c r="CF141" s="3">
        <f t="shared" si="16"/>
        <v>188.01550457401476</v>
      </c>
    </row>
    <row r="142" spans="71:84" x14ac:dyDescent="0.2">
      <c r="BS142" s="3">
        <v>4.2</v>
      </c>
      <c r="BT142" s="3">
        <v>3</v>
      </c>
      <c r="BU142" s="3">
        <v>0.45</v>
      </c>
      <c r="BV142" s="3">
        <f t="shared" si="14"/>
        <v>141.54516837042431</v>
      </c>
      <c r="CA142" s="3">
        <f t="shared" si="15"/>
        <v>141.54516837042431</v>
      </c>
      <c r="CF142" s="3">
        <f t="shared" si="16"/>
        <v>170.69761709560584</v>
      </c>
    </row>
    <row r="143" spans="71:84" x14ac:dyDescent="0.2">
      <c r="BS143" s="3">
        <v>5</v>
      </c>
      <c r="BT143" s="3">
        <v>3.7</v>
      </c>
      <c r="BU143" s="3">
        <v>0.45</v>
      </c>
      <c r="BV143" s="3">
        <f t="shared" si="14"/>
        <v>125.09550852218653</v>
      </c>
      <c r="CA143" s="3">
        <f t="shared" si="15"/>
        <v>125.09550852218653</v>
      </c>
      <c r="CF143" s="3">
        <f t="shared" si="16"/>
        <v>151.8119304430241</v>
      </c>
    </row>
    <row r="144" spans="71:84" x14ac:dyDescent="0.2">
      <c r="BS144" s="3">
        <v>5.9</v>
      </c>
      <c r="BT144" s="3">
        <v>4.5</v>
      </c>
      <c r="BU144" s="3">
        <v>0.45</v>
      </c>
      <c r="BV144" s="3">
        <f t="shared" si="14"/>
        <v>107.87605332896797</v>
      </c>
      <c r="CA144" s="3">
        <f t="shared" si="15"/>
        <v>107.87605332896797</v>
      </c>
      <c r="CF144" s="3">
        <f t="shared" si="16"/>
        <v>131.80844461626958</v>
      </c>
    </row>
    <row r="145" spans="71:84" x14ac:dyDescent="0.2">
      <c r="BS145" s="3">
        <v>6.8</v>
      </c>
      <c r="BT145" s="3">
        <v>5.3</v>
      </c>
      <c r="BU145" s="3">
        <v>0.45</v>
      </c>
      <c r="BV145" s="3">
        <f t="shared" si="14"/>
        <v>92.106598135749408</v>
      </c>
      <c r="CA145" s="3">
        <f t="shared" si="15"/>
        <v>92.106598135749408</v>
      </c>
      <c r="CF145" s="3">
        <f t="shared" si="16"/>
        <v>113.25495878951506</v>
      </c>
    </row>
    <row r="146" spans="71:84" x14ac:dyDescent="0.2">
      <c r="BS146" s="3">
        <v>7.7</v>
      </c>
      <c r="BT146" s="3">
        <v>6.2</v>
      </c>
      <c r="BU146" s="3">
        <v>0.45</v>
      </c>
      <c r="BV146" s="3">
        <f t="shared" si="14"/>
        <v>77.43844003092228</v>
      </c>
      <c r="CA146" s="3">
        <f t="shared" si="15"/>
        <v>77.43844003092228</v>
      </c>
      <c r="CF146" s="3">
        <f t="shared" si="16"/>
        <v>95.454766221959972</v>
      </c>
    </row>
    <row r="147" spans="71:84" x14ac:dyDescent="0.2">
      <c r="BS147" s="3">
        <v>8.6</v>
      </c>
      <c r="BT147" s="3">
        <v>7.2</v>
      </c>
      <c r="BU147" s="3">
        <v>0.45</v>
      </c>
      <c r="BV147" s="3">
        <f t="shared" si="14"/>
        <v>64.14157901448651</v>
      </c>
      <c r="CA147" s="3">
        <f t="shared" si="15"/>
        <v>64.14157901448651</v>
      </c>
      <c r="CF147" s="3">
        <f t="shared" si="16"/>
        <v>78.677866913604248</v>
      </c>
    </row>
    <row r="148" spans="71:84" x14ac:dyDescent="0.2">
      <c r="BS148" s="3">
        <v>9.8000000000000007</v>
      </c>
      <c r="BT148" s="3">
        <v>8.5</v>
      </c>
      <c r="BU148" s="3">
        <v>0.45</v>
      </c>
      <c r="BV148" s="3">
        <f t="shared" si="14"/>
        <v>49.265331963108352</v>
      </c>
      <c r="CA148" s="3">
        <f t="shared" si="15"/>
        <v>49.265331963108352</v>
      </c>
      <c r="CF148" s="3">
        <f t="shared" si="16"/>
        <v>59.277570082730158</v>
      </c>
    </row>
    <row r="149" spans="71:84" x14ac:dyDescent="0.2">
      <c r="BS149" s="3">
        <v>11</v>
      </c>
      <c r="BT149" s="3">
        <v>10</v>
      </c>
      <c r="BU149" s="3">
        <v>0.45</v>
      </c>
      <c r="BV149" s="3">
        <f t="shared" si="14"/>
        <v>37.571679088513008</v>
      </c>
      <c r="CA149" s="3">
        <f t="shared" si="15"/>
        <v>37.571679088513008</v>
      </c>
      <c r="CF149" s="3">
        <f t="shared" si="16"/>
        <v>42.363859770254891</v>
      </c>
    </row>
    <row r="150" spans="71:84" x14ac:dyDescent="0.2">
      <c r="BS150" s="3">
        <v>50</v>
      </c>
      <c r="BT150" s="3">
        <v>1.8</v>
      </c>
      <c r="BU150" s="3">
        <v>0.4</v>
      </c>
      <c r="BV150" s="3">
        <f t="shared" si="14"/>
        <v>490.93926882526301</v>
      </c>
      <c r="CA150" s="3">
        <f t="shared" si="15"/>
        <v>490.93926882526301</v>
      </c>
      <c r="CF150" s="3">
        <f t="shared" si="16"/>
        <v>524.26776350074852</v>
      </c>
    </row>
    <row r="151" spans="71:84" x14ac:dyDescent="0.2">
      <c r="BS151" s="3">
        <v>41</v>
      </c>
      <c r="BT151" s="3">
        <v>1.75</v>
      </c>
      <c r="BU151" s="3">
        <v>0.4</v>
      </c>
      <c r="BV151" s="3">
        <f t="shared" si="14"/>
        <v>258.78068928456469</v>
      </c>
      <c r="CA151" s="3">
        <f t="shared" si="15"/>
        <v>258.78068928456469</v>
      </c>
      <c r="CF151" s="3">
        <f t="shared" si="16"/>
        <v>292.28318587464616</v>
      </c>
    </row>
    <row r="152" spans="71:84" x14ac:dyDescent="0.2">
      <c r="BS152" s="3">
        <v>32</v>
      </c>
      <c r="BT152" s="3">
        <v>1.69</v>
      </c>
      <c r="BU152" s="3">
        <v>0.4</v>
      </c>
      <c r="BV152" s="3">
        <f t="shared" si="14"/>
        <v>107.70403003502724</v>
      </c>
      <c r="CA152" s="3">
        <f t="shared" si="15"/>
        <v>107.70403003502724</v>
      </c>
      <c r="CF152" s="3">
        <f t="shared" si="16"/>
        <v>141.41532892262393</v>
      </c>
    </row>
    <row r="153" spans="71:84" x14ac:dyDescent="0.2">
      <c r="BS153" s="3">
        <v>25</v>
      </c>
      <c r="BT153" s="3">
        <v>1.62</v>
      </c>
      <c r="BU153" s="3">
        <v>0.4</v>
      </c>
      <c r="BV153" s="3">
        <f t="shared" si="14"/>
        <v>46.389242409206801</v>
      </c>
      <c r="CA153" s="3">
        <f t="shared" si="15"/>
        <v>46.389242409206801</v>
      </c>
      <c r="CF153" s="3">
        <f t="shared" si="16"/>
        <v>80.344143977237863</v>
      </c>
    </row>
    <row r="154" spans="71:84" x14ac:dyDescent="0.2">
      <c r="BS154" s="3">
        <v>19</v>
      </c>
      <c r="BT154" s="3">
        <v>1.56</v>
      </c>
      <c r="BU154" s="3">
        <v>0.4</v>
      </c>
      <c r="BV154" s="3">
        <f t="shared" si="14"/>
        <v>32.837610158503551</v>
      </c>
      <c r="CA154" s="3">
        <f t="shared" si="15"/>
        <v>32.837610158503551</v>
      </c>
      <c r="CF154" s="3">
        <f t="shared" si="16"/>
        <v>67.001314024049805</v>
      </c>
    </row>
    <row r="155" spans="71:84" x14ac:dyDescent="0.2">
      <c r="BS155" s="3">
        <v>14</v>
      </c>
      <c r="BT155" s="3">
        <v>1.51</v>
      </c>
      <c r="BU155" s="3">
        <v>0.4</v>
      </c>
      <c r="BV155" s="3">
        <f t="shared" si="14"/>
        <v>49.047333282917521</v>
      </c>
      <c r="CA155" s="3">
        <f t="shared" si="15"/>
        <v>49.047333282917521</v>
      </c>
      <c r="CF155" s="3">
        <f t="shared" si="16"/>
        <v>83.385039063059779</v>
      </c>
    </row>
    <row r="156" spans="71:84" x14ac:dyDescent="0.2">
      <c r="BS156" s="3">
        <v>10</v>
      </c>
      <c r="BT156" s="3">
        <v>1.46</v>
      </c>
      <c r="BU156" s="3">
        <v>0.4</v>
      </c>
      <c r="BV156" s="3">
        <f t="shared" si="14"/>
        <v>80.098632073609565</v>
      </c>
      <c r="CA156" s="3">
        <f t="shared" si="15"/>
        <v>80.098632073609565</v>
      </c>
      <c r="CF156" s="3">
        <f t="shared" si="16"/>
        <v>114.61033976834783</v>
      </c>
    </row>
    <row r="157" spans="71:84" x14ac:dyDescent="0.2">
      <c r="BS157" s="3">
        <v>8</v>
      </c>
      <c r="BT157" s="3">
        <v>1.43</v>
      </c>
      <c r="BU157" s="3">
        <v>0.4</v>
      </c>
      <c r="BV157" s="3">
        <f t="shared" si="14"/>
        <v>101.66624161453601</v>
      </c>
      <c r="CA157" s="3">
        <f t="shared" si="15"/>
        <v>101.66624161453601</v>
      </c>
      <c r="CF157" s="3">
        <f t="shared" si="16"/>
        <v>136.28235045803189</v>
      </c>
    </row>
    <row r="158" spans="71:84" x14ac:dyDescent="0.2">
      <c r="BS158" s="3">
        <v>6</v>
      </c>
      <c r="BT158" s="3">
        <v>1.39</v>
      </c>
      <c r="BU158" s="3">
        <v>0.4</v>
      </c>
      <c r="BV158" s="3">
        <f t="shared" si="14"/>
        <v>127.31717144662331</v>
      </c>
      <c r="CA158" s="3">
        <f t="shared" si="15"/>
        <v>127.31717144662331</v>
      </c>
      <c r="CF158" s="3">
        <f t="shared" si="16"/>
        <v>162.07248182179598</v>
      </c>
    </row>
    <row r="159" spans="71:84" x14ac:dyDescent="0.2">
      <c r="BS159" s="3">
        <v>4.5</v>
      </c>
      <c r="BT159" s="3">
        <v>1.36</v>
      </c>
      <c r="BU159" s="3">
        <v>0.4</v>
      </c>
      <c r="BV159" s="3">
        <f t="shared" si="14"/>
        <v>149.1814188206888</v>
      </c>
      <c r="CA159" s="3">
        <f t="shared" si="15"/>
        <v>149.1814188206888</v>
      </c>
      <c r="CF159" s="3">
        <f t="shared" si="16"/>
        <v>184.04113034461903</v>
      </c>
    </row>
    <row r="160" spans="71:84" x14ac:dyDescent="0.2">
      <c r="BS160" s="3">
        <v>3.4</v>
      </c>
      <c r="BT160" s="3">
        <v>1.33</v>
      </c>
      <c r="BU160" s="3">
        <v>0.4</v>
      </c>
      <c r="BV160" s="3">
        <f t="shared" si="14"/>
        <v>166.71219646126553</v>
      </c>
      <c r="CA160" s="3">
        <f t="shared" si="15"/>
        <v>166.71219646126553</v>
      </c>
      <c r="CF160" s="3">
        <f t="shared" si="16"/>
        <v>201.67630913395337</v>
      </c>
    </row>
    <row r="161" spans="71:84" x14ac:dyDescent="0.2">
      <c r="BS161" s="3">
        <v>2.4</v>
      </c>
      <c r="BT161" s="3">
        <v>1.31</v>
      </c>
      <c r="BU161" s="3">
        <v>0.4</v>
      </c>
      <c r="BV161" s="3">
        <f t="shared" si="14"/>
        <v>183.63946137730917</v>
      </c>
      <c r="CA161" s="3">
        <f t="shared" si="15"/>
        <v>183.63946137730917</v>
      </c>
      <c r="CF161" s="3">
        <f t="shared" si="16"/>
        <v>218.67317481583541</v>
      </c>
    </row>
    <row r="162" spans="71:84" x14ac:dyDescent="0.2">
      <c r="BS162" s="3">
        <v>2</v>
      </c>
      <c r="BT162" s="3">
        <v>1.3</v>
      </c>
      <c r="BU162" s="3">
        <v>0.4</v>
      </c>
      <c r="BV162" s="3">
        <f t="shared" si="14"/>
        <v>190.70715140195878</v>
      </c>
      <c r="CA162" s="3">
        <f t="shared" si="15"/>
        <v>190.70715140195878</v>
      </c>
      <c r="CF162" s="3">
        <f t="shared" si="16"/>
        <v>225.77566522340425</v>
      </c>
    </row>
    <row r="163" spans="71:84" x14ac:dyDescent="0.2">
      <c r="BS163" s="3">
        <v>1.7</v>
      </c>
      <c r="BT163" s="3">
        <v>1.4</v>
      </c>
      <c r="BU163" s="3">
        <v>0.4</v>
      </c>
      <c r="BV163" s="3">
        <f t="shared" ref="BV163:BV194" si="17">+((BS163-$BY$16)^2+(BT163-$BY$17)^2)*0.5</f>
        <v>195.22172579046676</v>
      </c>
      <c r="CA163" s="3">
        <f t="shared" si="15"/>
        <v>195.22172579046676</v>
      </c>
      <c r="CF163" s="3">
        <f t="shared" si="16"/>
        <v>229.94223578272022</v>
      </c>
    </row>
    <row r="164" spans="71:84" x14ac:dyDescent="0.2">
      <c r="BS164" s="3">
        <v>1.9</v>
      </c>
      <c r="BT164" s="3">
        <v>1.75</v>
      </c>
      <c r="BU164" s="3">
        <v>0.4</v>
      </c>
      <c r="BV164" s="3">
        <f t="shared" si="17"/>
        <v>188.8278307330923</v>
      </c>
      <c r="CA164" s="3">
        <f t="shared" si="15"/>
        <v>188.8278307330923</v>
      </c>
      <c r="CF164" s="3">
        <f t="shared" si="16"/>
        <v>222.33032732317378</v>
      </c>
    </row>
    <row r="165" spans="71:84" x14ac:dyDescent="0.2">
      <c r="BS165" s="3">
        <v>2.2999999999999998</v>
      </c>
      <c r="BT165" s="3">
        <v>2.0499999999999998</v>
      </c>
      <c r="BU165" s="3">
        <v>0.4</v>
      </c>
      <c r="BV165" s="3">
        <f t="shared" si="17"/>
        <v>179.48235226477769</v>
      </c>
      <c r="CA165" s="3">
        <f t="shared" si="15"/>
        <v>179.48235226477769</v>
      </c>
      <c r="CF165" s="3">
        <f t="shared" si="16"/>
        <v>211.94083736728319</v>
      </c>
    </row>
    <row r="166" spans="71:84" x14ac:dyDescent="0.2">
      <c r="BS166" s="3">
        <v>2.7</v>
      </c>
      <c r="BT166" s="3">
        <v>2.4</v>
      </c>
      <c r="BU166" s="3">
        <v>0.4</v>
      </c>
      <c r="BV166" s="3">
        <f t="shared" si="17"/>
        <v>170.02377234065881</v>
      </c>
      <c r="CA166" s="3">
        <f t="shared" si="15"/>
        <v>170.02377234065881</v>
      </c>
      <c r="CF166" s="3">
        <f t="shared" si="16"/>
        <v>201.26424404099231</v>
      </c>
    </row>
    <row r="167" spans="71:84" x14ac:dyDescent="0.2">
      <c r="BS167" s="3">
        <v>3.4</v>
      </c>
      <c r="BT167" s="3">
        <v>3</v>
      </c>
      <c r="BU167" s="3">
        <v>0.4</v>
      </c>
      <c r="BV167" s="3">
        <f t="shared" si="17"/>
        <v>154.23390783740186</v>
      </c>
      <c r="CA167" s="3">
        <f t="shared" si="15"/>
        <v>154.23390783740186</v>
      </c>
      <c r="CF167" s="3">
        <f t="shared" si="16"/>
        <v>183.38635656258339</v>
      </c>
    </row>
    <row r="168" spans="71:84" x14ac:dyDescent="0.2">
      <c r="BS168" s="3">
        <v>4</v>
      </c>
      <c r="BT168" s="3">
        <v>3.6</v>
      </c>
      <c r="BU168" s="3">
        <v>0.4</v>
      </c>
      <c r="BV168" s="3">
        <f t="shared" si="17"/>
        <v>140.85513576751708</v>
      </c>
      <c r="CA168" s="3">
        <f t="shared" si="15"/>
        <v>140.85513576751708</v>
      </c>
      <c r="CF168" s="3">
        <f t="shared" si="16"/>
        <v>167.91956151754664</v>
      </c>
    </row>
    <row r="169" spans="71:84" x14ac:dyDescent="0.2">
      <c r="BS169" s="3">
        <v>4.8</v>
      </c>
      <c r="BT169" s="3">
        <v>4.4000000000000004</v>
      </c>
      <c r="BU169" s="3">
        <v>0.4</v>
      </c>
      <c r="BV169" s="3">
        <f t="shared" si="17"/>
        <v>124.1367730076707</v>
      </c>
      <c r="CA169" s="3">
        <f t="shared" si="15"/>
        <v>124.1367730076707</v>
      </c>
      <c r="CF169" s="3">
        <f t="shared" si="16"/>
        <v>148.41716812416431</v>
      </c>
    </row>
    <row r="170" spans="71:84" x14ac:dyDescent="0.2">
      <c r="BS170" s="3">
        <v>5.6</v>
      </c>
      <c r="BT170" s="3">
        <v>5.3</v>
      </c>
      <c r="BU170" s="3">
        <v>0.4</v>
      </c>
      <c r="BV170" s="3">
        <f t="shared" si="17"/>
        <v>108.25970733621574</v>
      </c>
      <c r="CA170" s="3">
        <f t="shared" si="15"/>
        <v>108.25970733621574</v>
      </c>
      <c r="CF170" s="3">
        <f t="shared" si="16"/>
        <v>129.40806798998139</v>
      </c>
    </row>
    <row r="171" spans="71:84" x14ac:dyDescent="0.2">
      <c r="BS171" s="3">
        <v>6.5</v>
      </c>
      <c r="BT171" s="3">
        <v>6.3</v>
      </c>
      <c r="BU171" s="3">
        <v>0.4</v>
      </c>
      <c r="BV171" s="3">
        <f t="shared" si="17"/>
        <v>92.172846319779978</v>
      </c>
      <c r="CA171" s="3">
        <f t="shared" si="15"/>
        <v>92.172846319779978</v>
      </c>
      <c r="CF171" s="3">
        <f t="shared" si="16"/>
        <v>109.84116868162567</v>
      </c>
    </row>
    <row r="172" spans="71:84" x14ac:dyDescent="0.2">
      <c r="BS172" s="3">
        <v>7.5</v>
      </c>
      <c r="BT172" s="3">
        <v>7.5</v>
      </c>
      <c r="BU172" s="3">
        <v>0.4</v>
      </c>
      <c r="BV172" s="3">
        <f t="shared" si="17"/>
        <v>76.227487046754817</v>
      </c>
      <c r="CA172" s="3">
        <f t="shared" si="15"/>
        <v>76.227487046754817</v>
      </c>
      <c r="CF172" s="3">
        <f t="shared" si="16"/>
        <v>89.719763458296569</v>
      </c>
    </row>
    <row r="173" spans="71:84" x14ac:dyDescent="0.2">
      <c r="BS173" s="3">
        <v>8.5</v>
      </c>
      <c r="BT173" s="3">
        <v>8.8000000000000007</v>
      </c>
      <c r="BU173" s="3">
        <v>0.4</v>
      </c>
      <c r="BV173" s="3">
        <f t="shared" si="17"/>
        <v>62.633424862121061</v>
      </c>
      <c r="CA173" s="3">
        <f t="shared" si="15"/>
        <v>62.633424862121061</v>
      </c>
      <c r="CF173" s="3">
        <f t="shared" si="16"/>
        <v>71.601651494166873</v>
      </c>
    </row>
    <row r="174" spans="71:84" x14ac:dyDescent="0.2">
      <c r="BS174" s="3">
        <v>9.5</v>
      </c>
      <c r="BT174" s="3">
        <v>10</v>
      </c>
      <c r="BU174" s="3">
        <v>0.4</v>
      </c>
      <c r="BV174" s="3">
        <f t="shared" si="17"/>
        <v>51.688065589095906</v>
      </c>
      <c r="CA174" s="3">
        <f t="shared" si="15"/>
        <v>51.688065589095906</v>
      </c>
      <c r="CF174" s="3">
        <f t="shared" si="16"/>
        <v>56.480246270837789</v>
      </c>
    </row>
    <row r="175" spans="71:84" x14ac:dyDescent="0.2">
      <c r="BS175" s="3">
        <v>50</v>
      </c>
      <c r="BT175" s="3">
        <v>1.7</v>
      </c>
      <c r="BU175" s="3">
        <v>0.35</v>
      </c>
      <c r="BV175" s="3">
        <f t="shared" si="17"/>
        <v>491.72797173687161</v>
      </c>
      <c r="CA175" s="3">
        <f t="shared" si="15"/>
        <v>491.72797173687161</v>
      </c>
      <c r="CF175" s="3">
        <f t="shared" si="16"/>
        <v>525.40447024154901</v>
      </c>
    </row>
    <row r="176" spans="71:84" x14ac:dyDescent="0.2">
      <c r="BS176" s="3">
        <v>41</v>
      </c>
      <c r="BT176" s="3">
        <v>1.66</v>
      </c>
      <c r="BU176" s="3">
        <v>0.35</v>
      </c>
      <c r="BV176" s="3">
        <f t="shared" si="17"/>
        <v>259.49457190501244</v>
      </c>
      <c r="CA176" s="3">
        <f t="shared" si="15"/>
        <v>259.49457190501244</v>
      </c>
      <c r="CF176" s="3">
        <f t="shared" si="16"/>
        <v>293.31027194136669</v>
      </c>
    </row>
    <row r="177" spans="71:84" x14ac:dyDescent="0.2">
      <c r="BS177" s="3">
        <v>32</v>
      </c>
      <c r="BT177" s="3">
        <v>1.6</v>
      </c>
      <c r="BU177" s="3">
        <v>0.35</v>
      </c>
      <c r="BV177" s="3">
        <f t="shared" si="17"/>
        <v>108.42331265547499</v>
      </c>
      <c r="CA177" s="3">
        <f t="shared" si="15"/>
        <v>108.42331265547499</v>
      </c>
      <c r="CF177" s="3">
        <f t="shared" si="16"/>
        <v>142.44781498934447</v>
      </c>
    </row>
    <row r="178" spans="71:84" x14ac:dyDescent="0.2">
      <c r="BS178" s="3">
        <v>25</v>
      </c>
      <c r="BT178" s="3">
        <v>1.55</v>
      </c>
      <c r="BU178" s="3">
        <v>0.35</v>
      </c>
      <c r="BV178" s="3">
        <f t="shared" si="17"/>
        <v>46.952884447332814</v>
      </c>
      <c r="CA178" s="3">
        <f t="shared" si="15"/>
        <v>46.952884447332814</v>
      </c>
      <c r="CF178" s="3">
        <f t="shared" si="16"/>
        <v>81.151388695798275</v>
      </c>
    </row>
    <row r="179" spans="71:84" x14ac:dyDescent="0.2">
      <c r="BS179" s="3">
        <v>19</v>
      </c>
      <c r="BT179" s="3">
        <v>1.5</v>
      </c>
      <c r="BU179" s="3">
        <v>0.35</v>
      </c>
      <c r="BV179" s="3">
        <f t="shared" si="17"/>
        <v>33.324031905468715</v>
      </c>
      <c r="CA179" s="3">
        <f t="shared" si="15"/>
        <v>33.324031905468715</v>
      </c>
      <c r="CF179" s="3">
        <f t="shared" si="16"/>
        <v>67.696538068530174</v>
      </c>
    </row>
    <row r="180" spans="71:84" x14ac:dyDescent="0.2">
      <c r="BS180" s="3">
        <v>14</v>
      </c>
      <c r="BT180" s="3">
        <v>1.45</v>
      </c>
      <c r="BU180" s="3">
        <v>0.35</v>
      </c>
      <c r="BV180" s="3">
        <f t="shared" si="17"/>
        <v>49.536755029882684</v>
      </c>
      <c r="CA180" s="3">
        <f t="shared" si="15"/>
        <v>49.536755029882684</v>
      </c>
      <c r="CF180" s="3">
        <f t="shared" si="16"/>
        <v>84.083263107540148</v>
      </c>
    </row>
    <row r="181" spans="71:84" x14ac:dyDescent="0.2">
      <c r="BS181" s="3">
        <v>10</v>
      </c>
      <c r="BT181" s="3">
        <v>1.4</v>
      </c>
      <c r="BU181" s="3">
        <v>0.35</v>
      </c>
      <c r="BV181" s="3">
        <f t="shared" si="17"/>
        <v>80.591053820574714</v>
      </c>
      <c r="CA181" s="3">
        <f t="shared" si="15"/>
        <v>80.591053820574714</v>
      </c>
      <c r="CF181" s="3">
        <f t="shared" si="16"/>
        <v>115.31156381282817</v>
      </c>
    </row>
    <row r="182" spans="71:84" x14ac:dyDescent="0.2">
      <c r="BS182" s="3">
        <v>8</v>
      </c>
      <c r="BT182" s="3">
        <v>1.37</v>
      </c>
      <c r="BU182" s="3">
        <v>0.35</v>
      </c>
      <c r="BV182" s="3">
        <f t="shared" si="17"/>
        <v>102.16046336150117</v>
      </c>
      <c r="CA182" s="3">
        <f t="shared" si="15"/>
        <v>102.16046336150117</v>
      </c>
      <c r="CF182" s="3">
        <f t="shared" si="16"/>
        <v>136.98537450251223</v>
      </c>
    </row>
    <row r="183" spans="71:84" x14ac:dyDescent="0.2">
      <c r="BS183" s="3">
        <v>6</v>
      </c>
      <c r="BT183" s="3">
        <v>1.33</v>
      </c>
      <c r="BU183" s="3">
        <v>0.35</v>
      </c>
      <c r="BV183" s="3">
        <f t="shared" si="17"/>
        <v>127.81379319358847</v>
      </c>
      <c r="CA183" s="3">
        <f t="shared" si="15"/>
        <v>127.81379319358847</v>
      </c>
      <c r="CF183" s="3">
        <f t="shared" si="16"/>
        <v>162.77790586627631</v>
      </c>
    </row>
    <row r="184" spans="71:84" x14ac:dyDescent="0.2">
      <c r="BS184" s="3">
        <v>4.5</v>
      </c>
      <c r="BT184" s="3">
        <v>1.3</v>
      </c>
      <c r="BU184" s="3">
        <v>0.35</v>
      </c>
      <c r="BV184" s="3">
        <f t="shared" si="17"/>
        <v>149.67984056765394</v>
      </c>
      <c r="CA184" s="3">
        <f t="shared" si="15"/>
        <v>149.67984056765394</v>
      </c>
      <c r="CF184" s="3">
        <f t="shared" si="16"/>
        <v>184.7483543890994</v>
      </c>
    </row>
    <row r="185" spans="71:84" x14ac:dyDescent="0.2">
      <c r="BS185" s="3">
        <v>3.4</v>
      </c>
      <c r="BT185" s="3">
        <v>1.28</v>
      </c>
      <c r="BU185" s="3">
        <v>0.35</v>
      </c>
      <c r="BV185" s="3">
        <f t="shared" si="17"/>
        <v>167.12879791706985</v>
      </c>
      <c r="CA185" s="3">
        <f t="shared" si="15"/>
        <v>167.12879791706985</v>
      </c>
      <c r="CF185" s="3">
        <f t="shared" si="16"/>
        <v>202.26691250435368</v>
      </c>
    </row>
    <row r="186" spans="71:84" x14ac:dyDescent="0.2">
      <c r="BS186" s="3">
        <v>2.4</v>
      </c>
      <c r="BT186" s="3">
        <v>1.26</v>
      </c>
      <c r="BU186" s="3">
        <v>0.35</v>
      </c>
      <c r="BV186" s="3">
        <f t="shared" si="17"/>
        <v>184.05706283311349</v>
      </c>
      <c r="CA186" s="3">
        <f t="shared" si="15"/>
        <v>184.05706283311349</v>
      </c>
      <c r="CF186" s="3">
        <f t="shared" si="16"/>
        <v>219.26477818623573</v>
      </c>
    </row>
    <row r="187" spans="71:84" x14ac:dyDescent="0.2">
      <c r="BS187" s="3">
        <v>2</v>
      </c>
      <c r="BT187" s="3">
        <v>1.24</v>
      </c>
      <c r="BU187" s="3">
        <v>0.35</v>
      </c>
      <c r="BV187" s="3">
        <f t="shared" si="17"/>
        <v>191.20917314892395</v>
      </c>
      <c r="CA187" s="3">
        <f t="shared" si="15"/>
        <v>191.20917314892395</v>
      </c>
      <c r="CF187" s="3">
        <f t="shared" si="16"/>
        <v>226.48648926788462</v>
      </c>
    </row>
    <row r="188" spans="71:84" x14ac:dyDescent="0.2">
      <c r="BS188" s="3">
        <v>1.5</v>
      </c>
      <c r="BT188" s="3">
        <v>1.25</v>
      </c>
      <c r="BU188" s="3">
        <v>0.35</v>
      </c>
      <c r="BV188" s="3">
        <f t="shared" si="17"/>
        <v>200.08071502462406</v>
      </c>
      <c r="CA188" s="3">
        <f t="shared" si="15"/>
        <v>200.08071502462406</v>
      </c>
      <c r="CF188" s="3">
        <f t="shared" si="16"/>
        <v>235.32323076066547</v>
      </c>
    </row>
    <row r="189" spans="71:84" x14ac:dyDescent="0.2">
      <c r="BS189" s="3">
        <v>1.25</v>
      </c>
      <c r="BT189" s="3">
        <v>1.4</v>
      </c>
      <c r="BU189" s="3">
        <v>0.35</v>
      </c>
      <c r="BV189" s="3">
        <f t="shared" si="17"/>
        <v>203.40539174064162</v>
      </c>
      <c r="CA189" s="3">
        <f t="shared" si="15"/>
        <v>203.40539174064162</v>
      </c>
      <c r="CF189" s="3">
        <f t="shared" si="16"/>
        <v>238.12590173289507</v>
      </c>
    </row>
    <row r="190" spans="71:84" x14ac:dyDescent="0.2">
      <c r="BS190" s="3">
        <v>1.4</v>
      </c>
      <c r="BT190" s="3">
        <v>1.7</v>
      </c>
      <c r="BU190" s="3">
        <v>0.35</v>
      </c>
      <c r="BV190" s="3">
        <f t="shared" si="17"/>
        <v>198.22889435575755</v>
      </c>
      <c r="CA190" s="3">
        <f t="shared" si="15"/>
        <v>198.22889435575755</v>
      </c>
      <c r="CF190" s="3">
        <f t="shared" si="16"/>
        <v>231.90539286043503</v>
      </c>
    </row>
    <row r="191" spans="71:84" x14ac:dyDescent="0.2">
      <c r="BS191" s="3">
        <v>1.8</v>
      </c>
      <c r="BT191" s="3">
        <v>2.0699999999999998</v>
      </c>
      <c r="BU191" s="3">
        <v>0.35</v>
      </c>
      <c r="BV191" s="3">
        <f t="shared" si="17"/>
        <v>188.13627384931692</v>
      </c>
      <c r="CA191" s="3">
        <f t="shared" si="15"/>
        <v>188.13627384931692</v>
      </c>
      <c r="CF191" s="3">
        <f t="shared" si="16"/>
        <v>220.52515818598403</v>
      </c>
    </row>
    <row r="192" spans="71:84" x14ac:dyDescent="0.2">
      <c r="BS192" s="3">
        <v>2.2999999999999998</v>
      </c>
      <c r="BT192" s="3">
        <v>2.5499999999999998</v>
      </c>
      <c r="BU192" s="3">
        <v>0.35</v>
      </c>
      <c r="BV192" s="3">
        <f t="shared" si="17"/>
        <v>175.81383770673469</v>
      </c>
      <c r="CA192" s="3">
        <f t="shared" si="15"/>
        <v>175.81383770673469</v>
      </c>
      <c r="CF192" s="3">
        <f t="shared" si="16"/>
        <v>206.5323036632802</v>
      </c>
    </row>
    <row r="193" spans="71:84" x14ac:dyDescent="0.2">
      <c r="BS193" s="3">
        <v>2.8</v>
      </c>
      <c r="BT193" s="3">
        <v>3.05</v>
      </c>
      <c r="BU193" s="3">
        <v>0.35</v>
      </c>
      <c r="BV193" s="3">
        <f t="shared" si="17"/>
        <v>163.83986098183067</v>
      </c>
      <c r="CA193" s="3">
        <f t="shared" si="15"/>
        <v>163.83986098183067</v>
      </c>
      <c r="CF193" s="3">
        <f t="shared" si="16"/>
        <v>192.81830779241622</v>
      </c>
    </row>
    <row r="194" spans="71:84" x14ac:dyDescent="0.2">
      <c r="BS194" s="3">
        <v>3.45</v>
      </c>
      <c r="BT194" s="3">
        <v>3.7</v>
      </c>
      <c r="BU194" s="3">
        <v>0.35</v>
      </c>
      <c r="BV194" s="3">
        <f t="shared" si="17"/>
        <v>149.02119123945556</v>
      </c>
      <c r="CA194" s="3">
        <f t="shared" si="15"/>
        <v>149.02119123945556</v>
      </c>
      <c r="CF194" s="3">
        <f t="shared" si="16"/>
        <v>175.73761316029311</v>
      </c>
    </row>
    <row r="195" spans="71:84" x14ac:dyDescent="0.2">
      <c r="BS195" s="3">
        <v>4.2</v>
      </c>
      <c r="BT195" s="3">
        <v>4.5999999999999996</v>
      </c>
      <c r="BU195" s="3">
        <v>0.35</v>
      </c>
      <c r="BV195" s="3">
        <f t="shared" ref="BV195:BV200" si="18">+((BS195-$BY$16)^2+(BT195-$BY$17)^2)*0.5</f>
        <v>132.20592178468667</v>
      </c>
      <c r="CA195" s="3">
        <f t="shared" si="15"/>
        <v>132.20592178468667</v>
      </c>
      <c r="CF195" s="3">
        <f t="shared" si="16"/>
        <v>155.7903092427963</v>
      </c>
    </row>
    <row r="196" spans="71:84" x14ac:dyDescent="0.2">
      <c r="BS196" s="3">
        <v>4.8</v>
      </c>
      <c r="BT196" s="3">
        <v>5.3</v>
      </c>
      <c r="BU196" s="3">
        <v>0.35</v>
      </c>
      <c r="BV196" s="3">
        <f t="shared" si="18"/>
        <v>119.82844680319329</v>
      </c>
      <c r="CA196" s="3">
        <f t="shared" ref="CA196:CA200" si="19">+((BS196-$CD$16)^2+(BT196-$CD$17)^2)*0.5</f>
        <v>119.82844680319329</v>
      </c>
      <c r="CF196" s="3">
        <f t="shared" ref="CF196:CF200" si="20">+((BS196-$CI$16)^2+(BT196-$CI$17)^2)*0.5</f>
        <v>140.97680745695894</v>
      </c>
    </row>
    <row r="197" spans="71:84" x14ac:dyDescent="0.2">
      <c r="BS197" s="3">
        <v>5.5</v>
      </c>
      <c r="BT197" s="3">
        <v>6.2</v>
      </c>
      <c r="BU197" s="3">
        <v>0.35</v>
      </c>
      <c r="BV197" s="3">
        <f t="shared" si="18"/>
        <v>106.17247356511052</v>
      </c>
      <c r="CA197" s="3">
        <f t="shared" si="19"/>
        <v>106.17247356511052</v>
      </c>
      <c r="CF197" s="3">
        <f t="shared" si="20"/>
        <v>124.18879975614821</v>
      </c>
    </row>
    <row r="198" spans="71:84" x14ac:dyDescent="0.2">
      <c r="BS198" s="3">
        <v>6.5</v>
      </c>
      <c r="BT198" s="3">
        <v>7.5</v>
      </c>
      <c r="BU198" s="3">
        <v>0.35</v>
      </c>
      <c r="BV198" s="3">
        <f t="shared" si="18"/>
        <v>88.888411380476754</v>
      </c>
      <c r="CA198" s="3">
        <f t="shared" si="19"/>
        <v>88.888411380476754</v>
      </c>
      <c r="CF198" s="3">
        <f t="shared" si="20"/>
        <v>102.38068779201851</v>
      </c>
    </row>
    <row r="199" spans="71:84" x14ac:dyDescent="0.2">
      <c r="BS199" s="3">
        <v>7.4</v>
      </c>
      <c r="BT199" s="3">
        <v>8.8000000000000007</v>
      </c>
      <c r="BU199" s="3">
        <v>0.35</v>
      </c>
      <c r="BV199" s="3">
        <f t="shared" si="18"/>
        <v>75.515441629215175</v>
      </c>
      <c r="CA199" s="3">
        <f t="shared" si="19"/>
        <v>75.515441629215175</v>
      </c>
      <c r="CF199" s="3">
        <f t="shared" si="20"/>
        <v>84.483668261261002</v>
      </c>
    </row>
    <row r="200" spans="71:84" x14ac:dyDescent="0.2">
      <c r="BS200" s="3">
        <v>8.1</v>
      </c>
      <c r="BT200" s="3">
        <v>10</v>
      </c>
      <c r="BU200" s="3">
        <v>0.35</v>
      </c>
      <c r="BV200" s="3">
        <f t="shared" si="18"/>
        <v>66.893359656306615</v>
      </c>
      <c r="CA200" s="3">
        <f t="shared" si="19"/>
        <v>66.893359656306615</v>
      </c>
      <c r="CF200" s="3">
        <f t="shared" si="20"/>
        <v>71.685540338048497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2DFE-242D-4FCC-84C2-9137FCE22458}">
  <sheetPr codeName="Sheet4"/>
  <dimension ref="B2:E12"/>
  <sheetViews>
    <sheetView zoomScale="145" zoomScaleNormal="145" workbookViewId="0">
      <selection activeCell="C21" sqref="C21"/>
    </sheetView>
  </sheetViews>
  <sheetFormatPr defaultRowHeight="12.75" x14ac:dyDescent="0.2"/>
  <cols>
    <col min="2" max="2" width="17.28515625" customWidth="1"/>
    <col min="3" max="3" width="21.140625" bestFit="1" customWidth="1"/>
    <col min="4" max="4" width="20.28515625" customWidth="1"/>
    <col min="5" max="5" width="23.5703125" bestFit="1" customWidth="1"/>
    <col min="6" max="6" width="18.28515625" customWidth="1"/>
    <col min="7" max="7" width="18.85546875" customWidth="1"/>
    <col min="9" max="9" width="12.42578125" customWidth="1"/>
    <col min="10" max="10" width="16.85546875" customWidth="1"/>
  </cols>
  <sheetData>
    <row r="2" spans="2:5" x14ac:dyDescent="0.2">
      <c r="B2" t="s">
        <v>111</v>
      </c>
    </row>
    <row r="4" spans="2:5" x14ac:dyDescent="0.2">
      <c r="B4" t="s">
        <v>18</v>
      </c>
      <c r="C4" s="7"/>
    </row>
    <row r="5" spans="2:5" x14ac:dyDescent="0.2">
      <c r="B5" t="s">
        <v>15</v>
      </c>
    </row>
    <row r="6" spans="2:5" x14ac:dyDescent="0.2">
      <c r="B6" t="s">
        <v>16</v>
      </c>
    </row>
    <row r="7" spans="2:5" x14ac:dyDescent="0.2">
      <c r="E7" s="7"/>
    </row>
    <row r="10" spans="2:5" x14ac:dyDescent="0.2">
      <c r="C10" s="7"/>
    </row>
    <row r="11" spans="2:5" x14ac:dyDescent="0.2">
      <c r="C11" s="7"/>
    </row>
    <row r="12" spans="2:5" x14ac:dyDescent="0.2">
      <c r="C12" s="7"/>
    </row>
  </sheetData>
  <pageMargins left="0.75" right="0.75" top="1" bottom="1" header="0.5" footer="0.5"/>
  <pageSetup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3FF5BB9810E8454BA2B38D00B6D18848" ma:contentTypeVersion="3" ma:contentTypeDescription="Creare un nuovo documento." ma:contentTypeScope="" ma:versionID="85968c8a5930af966cb491cc87274750">
  <xsd:schema xmlns:xsd="http://www.w3.org/2001/XMLSchema" xmlns:xs="http://www.w3.org/2001/XMLSchema" xmlns:p="http://schemas.microsoft.com/office/2006/metadata/properties" xmlns:ns2="427a1db5-2437-44f3-a84b-464aead4a71a" targetNamespace="http://schemas.microsoft.com/office/2006/metadata/properties" ma:root="true" ma:fieldsID="d822db9e2d05bc620d08fbffa4bfffa8" ns2:_="">
    <xsd:import namespace="427a1db5-2437-44f3-a84b-464aead4a7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7a1db5-2437-44f3-a84b-464aead4a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0098DE5-6FF4-4227-B3D4-609AB9ECB213}">
  <ds:schemaRefs>
    <ds:schemaRef ds:uri="http://schemas.microsoft.com/office/2006/metadata/properties"/>
    <ds:schemaRef ds:uri="http://schemas.microsoft.com/office/infopath/2007/PartnerControls"/>
    <ds:schemaRef ds:uri="2710bc8b-17c9-4e36-a567-5a8748d28b44"/>
    <ds:schemaRef ds:uri="f16ae08e-32aa-43c4-955b-813e13c9303e"/>
  </ds:schemaRefs>
</ds:datastoreItem>
</file>

<file path=customXml/itemProps2.xml><?xml version="1.0" encoding="utf-8"?>
<ds:datastoreItem xmlns:ds="http://schemas.openxmlformats.org/officeDocument/2006/customXml" ds:itemID="{538C65AC-3B22-428A-8782-54C85D6EF4B8}">
  <ds:schemaRefs>
    <ds:schemaRef ds:uri="http://schemas.microsoft.com/sharepoint/v3/contenttype/forms"/>
  </ds:schemaRefs>
</ds:datastoreItem>
</file>

<file path=customXml/itemProps3.xml><?xml version="1.0" encoding="utf-8"?>
<ds:datastoreItem xmlns:ds="http://schemas.openxmlformats.org/officeDocument/2006/customXml" ds:itemID="{918BA93D-6E8A-49B9-AC7B-3121DCD48F7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4</vt:i4>
      </vt:variant>
    </vt:vector>
  </HeadingPairs>
  <TitlesOfParts>
    <vt:vector size="9" baseType="lpstr">
      <vt:lpstr>Cover</vt:lpstr>
      <vt:lpstr>Input_Output</vt:lpstr>
      <vt:lpstr>Metric_Conversion</vt:lpstr>
      <vt:lpstr>calc</vt:lpstr>
      <vt:lpstr>setup</vt:lpstr>
      <vt:lpstr>Cover!Area_stampa</vt:lpstr>
      <vt:lpstr>Input_Output!Area_stampa</vt:lpstr>
      <vt:lpstr>Metric_Conversion!Area_stampa</vt:lpstr>
      <vt:lpstr>Metric_Conversion!Suction_Diameter</vt:lpstr>
    </vt:vector>
  </TitlesOfParts>
  <Manager/>
  <Company>Sulzer Pumps (US)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Luigi DeFranco</dc:creator>
  <cp:keywords/>
  <dc:description/>
  <cp:lastModifiedBy>Carmine Delli Quadri</cp:lastModifiedBy>
  <cp:revision/>
  <dcterms:created xsi:type="dcterms:W3CDTF">2005-04-18T17:50:19Z</dcterms:created>
  <dcterms:modified xsi:type="dcterms:W3CDTF">2024-04-16T09:43:21Z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0x0101003FF5BB9810E8454BA2B38D00B6D18848</vt:lpwstr>
  </property>
  <property fmtid="{D5CDD505-2E9C-101B-9397-08002B2CF9AE}" pid="3" name="MediaServiceImageTags">
    <vt:lpwstr/>
  </property>
</Properties>
</file>