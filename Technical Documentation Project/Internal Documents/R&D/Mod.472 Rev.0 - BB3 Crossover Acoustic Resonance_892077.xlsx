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110453\Downloads\"/>
    </mc:Choice>
  </mc:AlternateContent>
  <xr:revisionPtr revIDLastSave="0" documentId="13_ncr:1_{10AD52A1-051E-4EF8-B3DF-361C1E60EA39}" xr6:coauthVersionLast="47" xr6:coauthVersionMax="47" xr10:uidLastSave="{00000000-0000-0000-0000-000000000000}"/>
  <bookViews>
    <workbookView xWindow="-19320" yWindow="-120" windowWidth="19440" windowHeight="15000" xr2:uid="{285EAA8E-3244-4CD3-BEDC-2688EE519719}"/>
  </bookViews>
  <sheets>
    <sheet name="Cover" sheetId="3" r:id="rId1"/>
    <sheet name="Input_Output" sheetId="1" r:id="rId2"/>
    <sheet name="Support_calcs" sheetId="2" r:id="rId3"/>
  </sheets>
  <externalReferences>
    <externalReference r:id="rId4"/>
    <externalReference r:id="rId5"/>
    <externalReference r:id="rId6"/>
    <externalReference r:id="rId7"/>
    <externalReference r:id="rId8"/>
    <externalReference r:id="rId9"/>
    <externalReference r:id="rId10"/>
    <externalReference r:id="rId11"/>
  </externalReferences>
  <definedNames>
    <definedName name="_bga2">#REF!</definedName>
    <definedName name="_Col1">#REF!</definedName>
    <definedName name="_Col2">#REF!</definedName>
    <definedName name="_Col3">#REF!</definedName>
    <definedName name="_Col4">#REF!</definedName>
    <definedName name="a">#REF!</definedName>
    <definedName name="Ac">#REF!</definedName>
    <definedName name="adsv">#REF!</definedName>
    <definedName name="_xlnm.Print_Area" localSheetId="0">Cover!$A$1:$AD$48</definedName>
    <definedName name="asdfg">[1]DAF!$F$17:$F$20</definedName>
    <definedName name="bga">#REF!</definedName>
    <definedName name="bp">#REF!</definedName>
    <definedName name="CARATTERISTICHE">#REF!</definedName>
    <definedName name="CK">#REF!</definedName>
    <definedName name="CURVA_RIFERIMENTO">#REF!</definedName>
    <definedName name="d">#REF!</definedName>
    <definedName name="das">#REF!</definedName>
    <definedName name="DATA">[2]Bearings!$B$6:$Z$14</definedName>
    <definedName name="ddd">'[3]From RPI'!$AB$90</definedName>
    <definedName name="DEN">'[4] '!$C$5:$C$37</definedName>
    <definedName name="Doc_type">#REF!</definedName>
    <definedName name="DOCID">[5]listes!$C$2:$C$150</definedName>
    <definedName name="dpt_code">#REF!</definedName>
    <definedName name="EQPT_LIST_UNIT_31">#REF!</definedName>
    <definedName name="FACTORS">#REF!</definedName>
    <definedName name="fm">#REF!</definedName>
    <definedName name="Impeller_Eye_Area" localSheetId="0">#REF!</definedName>
    <definedName name="Impeller_Eye_Area">#REF!</definedName>
    <definedName name="Impeller_Eye_Diameter" localSheetId="0">#REF!</definedName>
    <definedName name="Impeller_Eye_Diameter">#REF!</definedName>
    <definedName name="Impeller_Hub_Diameter" localSheetId="0">#REF!</definedName>
    <definedName name="Impeller_Hub_Diameter">#REF!</definedName>
    <definedName name="Impeller_Inlet_Diameter" localSheetId="0">#REF!</definedName>
    <definedName name="Impeller_Inlet_Diameter">#REF!</definedName>
    <definedName name="indx">#REF!</definedName>
    <definedName name="INT_DIAM">#REF!</definedName>
    <definedName name="Items">#REF!</definedName>
    <definedName name="kl">#REF!</definedName>
    <definedName name="KR">#REF!</definedName>
    <definedName name="LAG">#REF!</definedName>
    <definedName name="Language">#REF!</definedName>
    <definedName name="Larghezza">#REF!</definedName>
    <definedName name="LENGHTS">#REF!</definedName>
    <definedName name="LINE_LIST_UNIT_31">#REF!</definedName>
    <definedName name="ListIndex">#REF!</definedName>
    <definedName name="MAT">#REF!</definedName>
    <definedName name="Number">#REF!</definedName>
    <definedName name="pipesize">#REF!</definedName>
    <definedName name="Portata">#REF!</definedName>
    <definedName name="portatacalcolo">'[6]Basi di progetto'!$D$16</definedName>
    <definedName name="portataminima">'[6]Basi di progetto'!$D$10</definedName>
    <definedName name="portatanera">'[6]Basi di progetto'!$D$14</definedName>
    <definedName name="portcalcolo">#REF!</definedName>
    <definedName name="portnera">#REF!</definedName>
    <definedName name="Print_Area_MI">#REF!</definedName>
    <definedName name="prtpioggia">'[6]Basi di progetto'!$D$12</definedName>
    <definedName name="pump">#REF!</definedName>
    <definedName name="PUMPCALC">'[7]PUMP CALCULATION'!$J$4</definedName>
    <definedName name="PUMPDATA">'[7]PUMP CALCULATION'!$J$12</definedName>
    <definedName name="q">#REF!</definedName>
    <definedName name="references">#REF!</definedName>
    <definedName name="rev">#REF!</definedName>
    <definedName name="RevTable">#REF!</definedName>
    <definedName name="Rgas">#REF!</definedName>
    <definedName name="rhokl">#REF!</definedName>
    <definedName name="ROUGHNESS">#REF!</definedName>
    <definedName name="RPM">#REF!</definedName>
    <definedName name="s">'[3]From RPI'!$AB$88</definedName>
    <definedName name="solub">#REF!</definedName>
    <definedName name="Speed">[8]Utility!$A$3</definedName>
    <definedName name="Suction_Diameter" localSheetId="0">#REF!</definedName>
    <definedName name="Suction_Diameter">#REF!</definedName>
    <definedName name="Sup">#REF!</definedName>
    <definedName name="title">#REF!</definedName>
    <definedName name="TRASPORTA">#REF!</definedName>
    <definedName name="uh">#REF!</definedName>
    <definedName name="UNIT">[5]listes!$D$2:$D$150</definedName>
    <definedName name="Unit_number">#REF!</definedName>
    <definedName name="units">#REF!</definedName>
    <definedName name="Values">#REF!</definedName>
    <definedName name="velocita_di_progetto">#REF!</definedName>
    <definedName name="velocità_di_progetto">#REF!</definedName>
    <definedName name="velocitamassima">#REF!</definedName>
    <definedName name="velocitaminima">#REF!</definedName>
    <definedName name="VH">#REF!</definedName>
    <definedName name="vt">#REF!</definedName>
    <definedName name="WC">[5]listes!$A$2:$A$25</definedName>
    <definedName name="work_cent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1" l="1"/>
  <c r="A33" i="1"/>
  <c r="A32" i="1"/>
  <c r="A31" i="1"/>
  <c r="A37" i="1"/>
  <c r="A36" i="1"/>
  <c r="R5" i="2"/>
  <c r="K29" i="2" s="1"/>
  <c r="R4" i="2"/>
  <c r="K28" i="2" s="1"/>
  <c r="R3" i="2"/>
  <c r="K33" i="2" s="1"/>
  <c r="R2" i="2"/>
  <c r="K32" i="2" s="1"/>
  <c r="M11" i="2"/>
  <c r="R24" i="2" s="1"/>
  <c r="M8" i="2"/>
  <c r="K34" i="2" s="1"/>
  <c r="M4" i="2"/>
  <c r="A29" i="1"/>
  <c r="A28" i="1"/>
  <c r="H17" i="2"/>
  <c r="A40" i="2"/>
  <c r="B38" i="2"/>
  <c r="I16" i="2"/>
  <c r="I15" i="2"/>
  <c r="I14" i="2"/>
  <c r="H16" i="2"/>
  <c r="H15" i="2"/>
  <c r="H14" i="2"/>
  <c r="I12" i="1" l="1"/>
  <c r="R7" i="2" s="1"/>
  <c r="Q19" i="2" s="1"/>
  <c r="R20" i="2"/>
  <c r="R19" i="2"/>
  <c r="R23" i="2"/>
  <c r="R21" i="2"/>
  <c r="R17" i="2"/>
  <c r="R18" i="2"/>
  <c r="R22" i="2"/>
  <c r="R29" i="2"/>
  <c r="R27" i="2"/>
  <c r="R26" i="2"/>
  <c r="R25" i="2"/>
  <c r="R28" i="2"/>
  <c r="C12" i="1"/>
  <c r="M7" i="2" s="1"/>
  <c r="L22" i="2" s="1"/>
  <c r="B40" i="2"/>
  <c r="Q29" i="2" l="1"/>
  <c r="Q24" i="2"/>
  <c r="Q17" i="2"/>
  <c r="Q28" i="2"/>
  <c r="Q25" i="2"/>
  <c r="Q23" i="2"/>
  <c r="Q21" i="2"/>
  <c r="Q20" i="2"/>
  <c r="Q27" i="2"/>
  <c r="Q26" i="2"/>
  <c r="Q18" i="2"/>
  <c r="Q22" i="2"/>
  <c r="L26" i="2"/>
  <c r="L20" i="2"/>
  <c r="L21" i="2"/>
  <c r="L17" i="2"/>
  <c r="L28" i="2"/>
  <c r="L18" i="2"/>
  <c r="L29" i="2"/>
  <c r="L27" i="2"/>
  <c r="L25" i="2"/>
  <c r="L24" i="2"/>
  <c r="L19" i="2"/>
  <c r="L23" i="2"/>
  <c r="C16" i="1"/>
  <c r="O25" i="2"/>
  <c r="N24" i="2"/>
  <c r="M23" i="2"/>
  <c r="O26" i="2"/>
  <c r="M24" i="2"/>
  <c r="O28" i="2"/>
  <c r="G28" i="1" s="1"/>
  <c r="O27" i="2"/>
  <c r="N26" i="2"/>
  <c r="M25" i="2"/>
  <c r="M26" i="2"/>
  <c r="O29" i="2"/>
  <c r="G29" i="1" s="1"/>
  <c r="N28" i="2"/>
  <c r="F28" i="1" s="1"/>
  <c r="M27" i="2"/>
  <c r="O17" i="2"/>
  <c r="M28" i="2"/>
  <c r="E28" i="1" s="1"/>
  <c r="O21" i="2"/>
  <c r="M19" i="2"/>
  <c r="M20" i="2"/>
  <c r="O18" i="2"/>
  <c r="N29" i="2"/>
  <c r="F29" i="1" s="1"/>
  <c r="O19" i="2"/>
  <c r="N18" i="2"/>
  <c r="N17" i="2"/>
  <c r="M29" i="2"/>
  <c r="E29" i="1" s="1"/>
  <c r="N20" i="2"/>
  <c r="N21" i="2"/>
  <c r="N23" i="2"/>
  <c r="M22" i="2"/>
  <c r="N25" i="2"/>
  <c r="O20" i="2"/>
  <c r="N19" i="2"/>
  <c r="M18" i="2"/>
  <c r="M17" i="2"/>
  <c r="N27" i="2"/>
  <c r="O22" i="2"/>
  <c r="O23" i="2"/>
  <c r="N22" i="2"/>
  <c r="M21" i="2"/>
  <c r="O24" i="2"/>
  <c r="C22" i="1" l="1"/>
  <c r="C23" i="1" s="1"/>
  <c r="C24" i="1" s="1"/>
  <c r="E24" i="1" s="1"/>
  <c r="G34" i="1"/>
  <c r="G32" i="1"/>
  <c r="G37" i="1"/>
  <c r="G36" i="1"/>
  <c r="G31" i="1"/>
  <c r="G33" i="1"/>
  <c r="F37" i="1"/>
  <c r="F34" i="1"/>
  <c r="F32" i="1"/>
  <c r="E33" i="1"/>
  <c r="H33" i="1" s="1"/>
  <c r="E36" i="1"/>
  <c r="H36" i="1" s="1"/>
  <c r="E31" i="1"/>
  <c r="H31" i="1" s="1"/>
  <c r="E34" i="1"/>
  <c r="E37" i="1"/>
  <c r="E32" i="1"/>
  <c r="F31" i="1"/>
  <c r="F36" i="1"/>
  <c r="F33" i="1"/>
  <c r="H32" i="1" l="1"/>
  <c r="H37" i="1"/>
  <c r="H34" i="1"/>
</calcChain>
</file>

<file path=xl/sharedStrings.xml><?xml version="1.0" encoding="utf-8"?>
<sst xmlns="http://schemas.openxmlformats.org/spreadsheetml/2006/main" count="138" uniqueCount="121">
  <si>
    <t>First issue</t>
  </si>
  <si>
    <t>R&amp;D - M.Biolo</t>
  </si>
  <si>
    <t>QA/HSEM C.Delli Quadri - M.Tremolada</t>
  </si>
  <si>
    <t>R&amp;D Manager / M.Borghetti</t>
  </si>
  <si>
    <t>Rev.</t>
  </si>
  <si>
    <t>Date</t>
  </si>
  <si>
    <t>Description</t>
  </si>
  <si>
    <t>Prepared</t>
  </si>
  <si>
    <t>Checked</t>
  </si>
  <si>
    <t>Approved</t>
  </si>
  <si>
    <t>Acoustic Resonance in BB3 Long Crossovers</t>
  </si>
  <si>
    <t>JOB</t>
  </si>
  <si>
    <t>24I003</t>
  </si>
  <si>
    <t>Service &amp; Fluid Type</t>
  </si>
  <si>
    <t>Butane</t>
  </si>
  <si>
    <t>I.O. Number</t>
  </si>
  <si>
    <t>Pump Size</t>
  </si>
  <si>
    <t>TF-AX3-D 3x6x10</t>
  </si>
  <si>
    <t>Customer</t>
  </si>
  <si>
    <t>Rangeland</t>
  </si>
  <si>
    <t>Date/Name</t>
  </si>
  <si>
    <t>15-05-2024 / M. Biolo</t>
  </si>
  <si>
    <t>Input Data</t>
  </si>
  <si>
    <t>Stage length (1 stage)</t>
  </si>
  <si>
    <t>mm</t>
  </si>
  <si>
    <t>Minimum number of stages</t>
  </si>
  <si>
    <t>Vane # of impeller @ crossover entry</t>
  </si>
  <si>
    <t>Maximum number of stages</t>
  </si>
  <si>
    <t>Required number of stages for pump</t>
  </si>
  <si>
    <t>Minimum pump speed</t>
  </si>
  <si>
    <t>rpm</t>
  </si>
  <si>
    <t>Pump rated speed</t>
  </si>
  <si>
    <t>Maximum pump speed</t>
  </si>
  <si>
    <r>
      <t>Crossover passage length @
required number of stages (L</t>
    </r>
    <r>
      <rPr>
        <b/>
        <vertAlign val="subscript"/>
        <sz val="11"/>
        <color theme="0"/>
        <rFont val="Calibri"/>
        <family val="2"/>
        <scheme val="minor"/>
      </rPr>
      <t>A-B-C-D</t>
    </r>
    <r>
      <rPr>
        <b/>
        <sz val="11"/>
        <color theme="0"/>
        <rFont val="Calibri"/>
        <family val="2"/>
        <scheme val="minor"/>
      </rPr>
      <t>)</t>
    </r>
  </si>
  <si>
    <t>[1]</t>
  </si>
  <si>
    <t>Crossover passage length @
maximum number of stages</t>
  </si>
  <si>
    <t>Crossover passage length @
minimum number of stages</t>
  </si>
  <si>
    <t>Fluid</t>
  </si>
  <si>
    <t>Manual Input of Sound Velocity</t>
  </si>
  <si>
    <t>Pump configuration</t>
  </si>
  <si>
    <t>Double suction</t>
  </si>
  <si>
    <t>Speed of sound in fluid (user input)</t>
  </si>
  <si>
    <t>m/s</t>
  </si>
  <si>
    <t>[2]</t>
  </si>
  <si>
    <t>Separation margin shall be &gt;= 20%</t>
  </si>
  <si>
    <t>Selected speed of sound in fluid</t>
  </si>
  <si>
    <t>Output Data in Terms of Frequency</t>
  </si>
  <si>
    <t>Half-wave resonance f = N a/(2L), N=1,2,3…harmonic
where speed of sound a = λ f</t>
  </si>
  <si>
    <t>Critical frequency f</t>
  </si>
  <si>
    <t>Hz</t>
  </si>
  <si>
    <t>Critical pump speed</t>
  </si>
  <si>
    <t>Separation margin @ rated speed</t>
  </si>
  <si>
    <t>%</t>
  </si>
  <si>
    <t>Output Data in Terms of Wave Length</t>
  </si>
  <si>
    <t>λ 1/2</t>
  </si>
  <si>
    <t>λ</t>
  </si>
  <si>
    <t>λ 3/2</t>
  </si>
  <si>
    <t>REFERENCES</t>
  </si>
  <si>
    <t>[1] Randal E. Schwartz and Richard M. Nelson, Acoustic Resonance Phenomena in High Energy Variable Speed Centrifugal Pumps, Proceeding of the First International Pump Symposium</t>
  </si>
  <si>
    <t>[2] NIST Chemistry WebBook, SRD 69, https://webbook.nist.gov/chemistry/fluid/</t>
  </si>
  <si>
    <t>Liquid</t>
  </si>
  <si>
    <t>Sound Velocity (m/s)</t>
  </si>
  <si>
    <t>STG</t>
  </si>
  <si>
    <t>SS</t>
  </si>
  <si>
    <t>DS</t>
  </si>
  <si>
    <t>Acetic acid 25˚C</t>
  </si>
  <si>
    <t>Acetone</t>
  </si>
  <si>
    <t>Single suction</t>
  </si>
  <si>
    <t xml:space="preserve"> </t>
  </si>
  <si>
    <t>Alcohol,ethyl (ethanol)</t>
  </si>
  <si>
    <t>Vane Count of impeller @ crossover</t>
  </si>
  <si>
    <t>Min speed (RPM)</t>
  </si>
  <si>
    <t>Alcohol, propyl</t>
  </si>
  <si>
    <t>Max. Speed (RPM)</t>
  </si>
  <si>
    <t>Benzene</t>
  </si>
  <si>
    <t>Carbon disulide</t>
  </si>
  <si>
    <t>Crossover max length</t>
  </si>
  <si>
    <t>Crossover min length</t>
  </si>
  <si>
    <t>Carbon tetachloride</t>
  </si>
  <si>
    <t>Caster oil</t>
  </si>
  <si>
    <t>Chloroform</t>
  </si>
  <si>
    <t>Ether</t>
  </si>
  <si>
    <t>Crossover actual length</t>
  </si>
  <si>
    <t>Ethylene glycol</t>
  </si>
  <si>
    <t>Glycerol (glycerine)</t>
  </si>
  <si>
    <t>Heptane</t>
  </si>
  <si>
    <t>Max</t>
  </si>
  <si>
    <t>Hexane</t>
  </si>
  <si>
    <t>Min</t>
  </si>
  <si>
    <t xml:space="preserve">     Hyd.Pass. Max</t>
  </si>
  <si>
    <r>
      <t xml:space="preserve"> </t>
    </r>
    <r>
      <rPr>
        <b/>
        <sz val="10"/>
        <rFont val="GreekC"/>
      </rPr>
      <t>l1/2</t>
    </r>
  </si>
  <si>
    <r>
      <t xml:space="preserve"> </t>
    </r>
    <r>
      <rPr>
        <b/>
        <sz val="10"/>
        <rFont val="GreekC"/>
      </rPr>
      <t>l</t>
    </r>
  </si>
  <si>
    <r>
      <t xml:space="preserve"> </t>
    </r>
    <r>
      <rPr>
        <b/>
        <sz val="10"/>
        <rFont val="GreekC"/>
      </rPr>
      <t>l3/2</t>
    </r>
  </si>
  <si>
    <t xml:space="preserve">    Hyd. Pass. Min.</t>
  </si>
  <si>
    <t>Executed Stages</t>
  </si>
  <si>
    <t>Kerosene</t>
  </si>
  <si>
    <t>Exectuted</t>
  </si>
  <si>
    <t>Mercury</t>
  </si>
  <si>
    <t>Methyl alcohol (methanol)</t>
  </si>
  <si>
    <t>Methyl alcohol, 0˚C (methanol)</t>
  </si>
  <si>
    <t>Octane</t>
  </si>
  <si>
    <t>Phenol</t>
  </si>
  <si>
    <t>Toluene</t>
  </si>
  <si>
    <t>Turpentine</t>
  </si>
  <si>
    <t>Water, 0˚C</t>
  </si>
  <si>
    <t>Water, 5˚C</t>
  </si>
  <si>
    <t>Water, 10˚C</t>
  </si>
  <si>
    <t>Water, 20˚C</t>
  </si>
  <si>
    <t>Water, 30˚C</t>
  </si>
  <si>
    <t>Water, 40˚C</t>
  </si>
  <si>
    <t>Water, 50˚C</t>
  </si>
  <si>
    <t>Water, 60˚C</t>
  </si>
  <si>
    <t>Water, 70˚C</t>
  </si>
  <si>
    <t>FLAG 1</t>
  </si>
  <si>
    <t>Water, 80˚C</t>
  </si>
  <si>
    <t>Water, 90˚C</t>
  </si>
  <si>
    <t>Water, 100˚C</t>
  </si>
  <si>
    <t>Seawater with 3.5% salinity, 25˚C</t>
  </si>
  <si>
    <t>Seawater with 3.5% salinity, 20˚C</t>
  </si>
  <si>
    <t>Mod.472-0</t>
  </si>
  <si>
    <t xml:space="preserve">Acoustic Resonance in BB3 Long Crossovers
(linked to SOP-491)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</si>
</sst>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General_)"/>
    <numFmt numFmtId="167" formatCode="&quot;$&quot;#,##0.00;[Red]\-&quot;$&quot;#,##0.00"/>
  </numFmts>
  <fonts count="18">
    <font>
      <sz val="11"/>
      <color theme="1"/>
      <name val="Calibri"/>
      <family val="2"/>
      <scheme val="minor"/>
    </font>
    <font>
      <sz val="8"/>
      <name val="Arial"/>
      <family val="2"/>
    </font>
    <font>
      <sz val="10"/>
      <name val="Arial"/>
      <family val="2"/>
    </font>
    <font>
      <b/>
      <sz val="10"/>
      <name val="Arial"/>
      <family val="2"/>
    </font>
    <font>
      <b/>
      <sz val="10"/>
      <name val="GreekC"/>
    </font>
    <font>
      <b/>
      <sz val="11"/>
      <color rgb="FFFF0000"/>
      <name val="Calibri"/>
      <family val="2"/>
      <scheme val="minor"/>
    </font>
    <font>
      <b/>
      <sz val="11"/>
      <color theme="0"/>
      <name val="Calibri"/>
      <family val="2"/>
      <scheme val="minor"/>
    </font>
    <font>
      <i/>
      <sz val="11"/>
      <color theme="1"/>
      <name val="Calibri"/>
      <family val="2"/>
      <scheme val="minor"/>
    </font>
    <font>
      <b/>
      <u/>
      <sz val="11"/>
      <color theme="1"/>
      <name val="Calibri"/>
      <family val="2"/>
      <scheme val="minor"/>
    </font>
    <font>
      <b/>
      <vertAlign val="subscript"/>
      <sz val="11"/>
      <color theme="0"/>
      <name val="Calibri"/>
      <family val="2"/>
      <scheme val="minor"/>
    </font>
    <font>
      <b/>
      <sz val="11"/>
      <color theme="0"/>
      <name val="Calibri"/>
      <family val="2"/>
    </font>
    <font>
      <sz val="9"/>
      <name val="Arial"/>
      <family val="2"/>
    </font>
    <font>
      <b/>
      <sz val="14"/>
      <name val="Arial"/>
      <family val="2"/>
    </font>
    <font>
      <b/>
      <sz val="12"/>
      <name val="Arial"/>
      <family val="2"/>
    </font>
    <font>
      <b/>
      <sz val="12"/>
      <color indexed="9"/>
      <name val="Arial"/>
      <family val="2"/>
    </font>
    <font>
      <sz val="26"/>
      <name val="Arial"/>
      <family val="2"/>
    </font>
    <font>
      <b/>
      <sz val="26"/>
      <name val="Arial"/>
      <family val="2"/>
    </font>
    <font>
      <i/>
      <sz val="10"/>
      <name val="Arial"/>
      <family val="2"/>
    </font>
  </fonts>
  <fills count="11">
    <fill>
      <patternFill patternType="none"/>
    </fill>
    <fill>
      <patternFill patternType="gray125"/>
    </fill>
    <fill>
      <patternFill patternType="solid">
        <fgColor indexed="43"/>
        <bgColor indexed="64"/>
      </patternFill>
    </fill>
    <fill>
      <patternFill patternType="solid">
        <fgColor indexed="41"/>
        <bgColor indexed="64"/>
      </patternFill>
    </fill>
    <fill>
      <patternFill patternType="solid">
        <fgColor indexed="44"/>
        <bgColor indexed="64"/>
      </patternFill>
    </fill>
    <fill>
      <patternFill patternType="solid">
        <fgColor indexed="42"/>
        <bgColor indexed="64"/>
      </patternFill>
    </fill>
    <fill>
      <patternFill patternType="solid">
        <fgColor indexed="47"/>
        <bgColor indexed="64"/>
      </patternFill>
    </fill>
    <fill>
      <patternFill patternType="solid">
        <fgColor indexed="4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4">
    <xf numFmtId="0" fontId="0" fillId="0" borderId="0"/>
    <xf numFmtId="0" fontId="2" fillId="0" borderId="0"/>
    <xf numFmtId="166" fontId="11" fillId="0" borderId="0"/>
    <xf numFmtId="167" fontId="1" fillId="0" borderId="0" applyFont="0" applyFill="0" applyBorder="0" applyAlignment="0" applyProtection="0"/>
  </cellStyleXfs>
  <cellXfs count="16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1" fillId="0" borderId="1" xfId="0" applyFont="1" applyBorder="1"/>
    <xf numFmtId="0" fontId="0" fillId="0" borderId="1" xfId="0" applyBorder="1" applyAlignment="1">
      <alignment horizontal="center"/>
    </xf>
    <xf numFmtId="1" fontId="0" fillId="0" borderId="0" xfId="0" applyNumberFormat="1"/>
    <xf numFmtId="0" fontId="2" fillId="0" borderId="0" xfId="0" applyFont="1"/>
    <xf numFmtId="0" fontId="0" fillId="0" borderId="5" xfId="0" applyBorder="1"/>
    <xf numFmtId="0" fontId="0" fillId="0" borderId="6" xfId="0" applyBorder="1"/>
    <xf numFmtId="0" fontId="2" fillId="0" borderId="1" xfId="0" applyFont="1" applyBorder="1"/>
    <xf numFmtId="0" fontId="0" fillId="0" borderId="7" xfId="0" applyBorder="1"/>
    <xf numFmtId="0" fontId="0" fillId="0" borderId="8" xfId="0" applyBorder="1"/>
    <xf numFmtId="0" fontId="0" fillId="0" borderId="9" xfId="0" applyBorder="1"/>
    <xf numFmtId="0" fontId="0" fillId="0" borderId="0" xfId="0" applyProtection="1">
      <protection locked="0"/>
    </xf>
    <xf numFmtId="1" fontId="0" fillId="0" borderId="1" xfId="0" applyNumberFormat="1" applyBorder="1" applyAlignment="1">
      <alignment horizontal="center"/>
    </xf>
    <xf numFmtId="1" fontId="0" fillId="0" borderId="10" xfId="0" applyNumberFormat="1" applyBorder="1" applyAlignment="1">
      <alignment horizontal="center"/>
    </xf>
    <xf numFmtId="0" fontId="0" fillId="0" borderId="16" xfId="0" applyBorder="1"/>
    <xf numFmtId="0" fontId="0" fillId="0" borderId="17" xfId="0" applyBorder="1"/>
    <xf numFmtId="0" fontId="0" fillId="0" borderId="18" xfId="0" applyBorder="1"/>
    <xf numFmtId="0" fontId="0" fillId="0" borderId="19" xfId="0" applyBorder="1"/>
    <xf numFmtId="0" fontId="3" fillId="3" borderId="16" xfId="0" applyFont="1" applyFill="1" applyBorder="1"/>
    <xf numFmtId="0" fontId="3" fillId="3" borderId="18" xfId="0" applyFont="1" applyFill="1" applyBorder="1"/>
    <xf numFmtId="16" fontId="3" fillId="3" borderId="18" xfId="0" applyNumberFormat="1" applyFont="1" applyFill="1" applyBorder="1" applyAlignment="1">
      <alignment horizontal="center"/>
    </xf>
    <xf numFmtId="16" fontId="3" fillId="3" borderId="20" xfId="0" applyNumberFormat="1" applyFont="1" applyFill="1" applyBorder="1" applyAlignment="1">
      <alignment horizontal="center"/>
    </xf>
    <xf numFmtId="0" fontId="3" fillId="3" borderId="20" xfId="0" applyFont="1" applyFill="1" applyBorder="1"/>
    <xf numFmtId="0" fontId="3" fillId="3" borderId="21" xfId="0" applyFont="1" applyFill="1" applyBorder="1"/>
    <xf numFmtId="0" fontId="3" fillId="3" borderId="22" xfId="0" applyFont="1" applyFill="1" applyBorder="1"/>
    <xf numFmtId="0" fontId="0" fillId="3" borderId="22" xfId="0" applyFill="1" applyBorder="1"/>
    <xf numFmtId="0" fontId="0" fillId="3" borderId="23" xfId="0" applyFill="1" applyBorder="1"/>
    <xf numFmtId="0" fontId="0" fillId="4" borderId="23" xfId="0" applyFill="1" applyBorder="1"/>
    <xf numFmtId="1" fontId="0" fillId="4" borderId="23" xfId="0" applyNumberFormat="1" applyFill="1" applyBorder="1"/>
    <xf numFmtId="1" fontId="0" fillId="5" borderId="1" xfId="0" applyNumberFormat="1" applyFill="1" applyBorder="1"/>
    <xf numFmtId="1" fontId="0" fillId="6" borderId="1" xfId="0" applyNumberFormat="1" applyFill="1" applyBorder="1"/>
    <xf numFmtId="1" fontId="0" fillId="2" borderId="1" xfId="0" applyNumberFormat="1" applyFill="1" applyBorder="1"/>
    <xf numFmtId="0" fontId="0" fillId="7" borderId="22" xfId="0" applyFill="1" applyBorder="1"/>
    <xf numFmtId="1" fontId="0" fillId="7" borderId="23" xfId="0" applyNumberFormat="1" applyFill="1" applyBorder="1"/>
    <xf numFmtId="0" fontId="0" fillId="4" borderId="1" xfId="0" applyFill="1" applyBorder="1"/>
    <xf numFmtId="0" fontId="0" fillId="7" borderId="11" xfId="0" applyFill="1" applyBorder="1"/>
    <xf numFmtId="0" fontId="0" fillId="0" borderId="21" xfId="0" applyBorder="1"/>
    <xf numFmtId="0" fontId="0" fillId="0" borderId="24" xfId="0" applyBorder="1"/>
    <xf numFmtId="0" fontId="0" fillId="0" borderId="22" xfId="0" applyBorder="1"/>
    <xf numFmtId="0" fontId="0" fillId="0" borderId="25" xfId="0" applyBorder="1"/>
    <xf numFmtId="0" fontId="0" fillId="0" borderId="12" xfId="0" applyBorder="1" applyAlignment="1" applyProtection="1">
      <alignment horizontal="center"/>
      <protection locked="0"/>
    </xf>
    <xf numFmtId="0" fontId="0" fillId="0" borderId="0" xfId="0" applyAlignment="1">
      <alignment horizontal="center"/>
    </xf>
    <xf numFmtId="1" fontId="0" fillId="0" borderId="0" xfId="0" applyNumberFormat="1" applyAlignment="1">
      <alignment horizontal="center" vertical="center"/>
    </xf>
    <xf numFmtId="1" fontId="0" fillId="0" borderId="0" xfId="0" applyNumberFormat="1" applyAlignment="1">
      <alignment horizontal="center"/>
    </xf>
    <xf numFmtId="0" fontId="0" fillId="0" borderId="0" xfId="0" applyAlignment="1">
      <alignment vertical="center"/>
    </xf>
    <xf numFmtId="0" fontId="5" fillId="0" borderId="0" xfId="0" applyFont="1"/>
    <xf numFmtId="0" fontId="0" fillId="8" borderId="23" xfId="0" applyFill="1" applyBorder="1"/>
    <xf numFmtId="0" fontId="0" fillId="8" borderId="1" xfId="0" applyFill="1" applyBorder="1"/>
    <xf numFmtId="0" fontId="0" fillId="8" borderId="1" xfId="0" applyFill="1" applyBorder="1" applyAlignment="1">
      <alignment vertical="center"/>
    </xf>
    <xf numFmtId="0" fontId="7" fillId="0" borderId="1" xfId="0" applyFont="1" applyBorder="1" applyAlignment="1">
      <alignment vertical="center"/>
    </xf>
    <xf numFmtId="1" fontId="7" fillId="0" borderId="1" xfId="0" applyNumberFormat="1" applyFont="1" applyBorder="1"/>
    <xf numFmtId="0" fontId="0" fillId="0" borderId="6" xfId="0" applyBorder="1" applyAlignment="1">
      <alignment vertical="center"/>
    </xf>
    <xf numFmtId="164" fontId="7" fillId="0" borderId="1" xfId="0" applyNumberFormat="1" applyFont="1" applyBorder="1"/>
    <xf numFmtId="1" fontId="7" fillId="0" borderId="23" xfId="0" applyNumberFormat="1" applyFont="1" applyBorder="1" applyAlignment="1">
      <alignment horizontal="center"/>
    </xf>
    <xf numFmtId="1" fontId="7" fillId="0" borderId="21" xfId="0" applyNumberFormat="1" applyFont="1" applyBorder="1" applyAlignment="1">
      <alignment horizontal="center"/>
    </xf>
    <xf numFmtId="1" fontId="7" fillId="0" borderId="1" xfId="0" applyNumberFormat="1" applyFont="1" applyBorder="1" applyAlignment="1">
      <alignment horizontal="center"/>
    </xf>
    <xf numFmtId="1" fontId="7" fillId="0" borderId="10" xfId="0" applyNumberFormat="1" applyFont="1" applyBorder="1" applyAlignment="1">
      <alignment horizontal="center"/>
    </xf>
    <xf numFmtId="165" fontId="7" fillId="0" borderId="1" xfId="0" applyNumberFormat="1" applyFont="1" applyBorder="1"/>
    <xf numFmtId="0" fontId="6" fillId="10" borderId="28" xfId="0" applyFont="1" applyFill="1" applyBorder="1"/>
    <xf numFmtId="0" fontId="6" fillId="10" borderId="29" xfId="0" applyFont="1" applyFill="1" applyBorder="1"/>
    <xf numFmtId="0" fontId="6" fillId="10" borderId="23" xfId="0" applyFont="1" applyFill="1" applyBorder="1"/>
    <xf numFmtId="0" fontId="6" fillId="10" borderId="1" xfId="0" applyFont="1" applyFill="1" applyBorder="1"/>
    <xf numFmtId="0" fontId="10" fillId="10" borderId="23" xfId="0" applyFont="1" applyFill="1" applyBorder="1" applyAlignment="1">
      <alignment horizontal="center"/>
    </xf>
    <xf numFmtId="0" fontId="2" fillId="0" borderId="2" xfId="1" applyBorder="1" applyAlignment="1">
      <alignment horizontal="center" vertical="center"/>
    </xf>
    <xf numFmtId="0" fontId="2" fillId="0" borderId="3" xfId="1" applyBorder="1" applyAlignment="1">
      <alignment horizontal="center" vertical="center"/>
    </xf>
    <xf numFmtId="0" fontId="2" fillId="0" borderId="4" xfId="1" applyBorder="1" applyAlignment="1">
      <alignment horizontal="center" vertical="center"/>
    </xf>
    <xf numFmtId="166" fontId="11" fillId="0" borderId="0" xfId="2"/>
    <xf numFmtId="0" fontId="2" fillId="0" borderId="5" xfId="1" applyBorder="1" applyAlignment="1">
      <alignment horizontal="center" vertical="center"/>
    </xf>
    <xf numFmtId="0" fontId="2" fillId="0" borderId="0" xfId="1" applyAlignment="1">
      <alignment horizontal="center" vertical="center"/>
    </xf>
    <xf numFmtId="0" fontId="2" fillId="0" borderId="6" xfId="1" applyBorder="1" applyAlignment="1">
      <alignment horizontal="center" vertical="center"/>
    </xf>
    <xf numFmtId="0" fontId="12" fillId="0" borderId="0" xfId="1" applyFont="1" applyAlignment="1">
      <alignment horizontal="center" vertical="top"/>
    </xf>
    <xf numFmtId="0" fontId="2" fillId="0" borderId="0" xfId="1" applyAlignment="1">
      <alignment horizontal="center"/>
    </xf>
    <xf numFmtId="0" fontId="13" fillId="0" borderId="0" xfId="1" applyFont="1" applyAlignment="1">
      <alignment horizontal="center" vertical="top"/>
    </xf>
    <xf numFmtId="0" fontId="14" fillId="0" borderId="6" xfId="1" applyFont="1" applyBorder="1" applyAlignment="1">
      <alignment horizontal="center" vertical="top"/>
    </xf>
    <xf numFmtId="0" fontId="15" fillId="0" borderId="5" xfId="1" applyFont="1" applyBorder="1" applyAlignment="1">
      <alignment horizontal="center" vertical="center"/>
    </xf>
    <xf numFmtId="0" fontId="15" fillId="0" borderId="0" xfId="1" applyFont="1" applyAlignment="1">
      <alignment horizontal="center" vertical="center"/>
    </xf>
    <xf numFmtId="0" fontId="16" fillId="0" borderId="0" xfId="1" applyFont="1" applyAlignment="1">
      <alignment horizontal="center" vertical="center"/>
    </xf>
    <xf numFmtId="0" fontId="15" fillId="0" borderId="6" xfId="1" applyFont="1" applyBorder="1" applyAlignment="1">
      <alignment horizontal="center" vertical="center"/>
    </xf>
    <xf numFmtId="167" fontId="2" fillId="0" borderId="7" xfId="3" applyFont="1" applyBorder="1" applyAlignment="1">
      <alignment horizontal="right" vertical="center"/>
    </xf>
    <xf numFmtId="167" fontId="11" fillId="0" borderId="8" xfId="3" applyFont="1" applyBorder="1" applyAlignment="1">
      <alignment horizontal="right" vertical="center"/>
    </xf>
    <xf numFmtId="167" fontId="11" fillId="0" borderId="9" xfId="3" applyFont="1" applyBorder="1" applyAlignment="1">
      <alignment horizontal="right" vertical="center"/>
    </xf>
    <xf numFmtId="167" fontId="2" fillId="0" borderId="42" xfId="3" applyFont="1" applyBorder="1" applyAlignment="1">
      <alignment horizontal="center" vertical="center"/>
    </xf>
    <xf numFmtId="167" fontId="2" fillId="0" borderId="43" xfId="3" applyFont="1" applyBorder="1" applyAlignment="1">
      <alignment horizontal="center" vertical="center"/>
    </xf>
    <xf numFmtId="0" fontId="17" fillId="0" borderId="44" xfId="1" applyFont="1" applyBorder="1" applyAlignment="1">
      <alignment horizontal="center" vertical="center"/>
    </xf>
    <xf numFmtId="0" fontId="17" fillId="0" borderId="45" xfId="1" applyFont="1" applyBorder="1" applyAlignment="1">
      <alignment horizontal="center" vertical="center"/>
    </xf>
    <xf numFmtId="0" fontId="17" fillId="0" borderId="43" xfId="1" applyFont="1" applyBorder="1" applyAlignment="1">
      <alignment horizontal="center" vertical="center"/>
    </xf>
    <xf numFmtId="0" fontId="17" fillId="0" borderId="46" xfId="1" applyFont="1" applyBorder="1" applyAlignment="1">
      <alignment horizontal="center" vertical="center"/>
    </xf>
    <xf numFmtId="0" fontId="1" fillId="0" borderId="10" xfId="1" applyFont="1" applyBorder="1" applyAlignment="1">
      <alignment horizontal="center" vertical="center" wrapText="1"/>
    </xf>
    <xf numFmtId="0" fontId="1" fillId="0" borderId="40" xfId="1" applyFont="1" applyBorder="1" applyAlignment="1">
      <alignment horizontal="center" vertical="center" wrapText="1"/>
    </xf>
    <xf numFmtId="0" fontId="1" fillId="0" borderId="41" xfId="1" applyFont="1" applyBorder="1" applyAlignment="1">
      <alignment horizontal="center" vertical="center" wrapText="1"/>
    </xf>
    <xf numFmtId="0" fontId="2" fillId="0" borderId="34" xfId="1" applyBorder="1" applyAlignment="1">
      <alignment horizontal="center" vertical="center"/>
    </xf>
    <xf numFmtId="0" fontId="2" fillId="0" borderId="11" xfId="1" applyBorder="1" applyAlignment="1">
      <alignment horizontal="center" vertical="center"/>
    </xf>
    <xf numFmtId="0" fontId="2" fillId="0" borderId="10" xfId="1" applyBorder="1" applyAlignment="1">
      <alignment horizontal="center" vertical="center"/>
    </xf>
    <xf numFmtId="0" fontId="2" fillId="0" borderId="40" xfId="1" applyBorder="1" applyAlignment="1">
      <alignment horizontal="center" vertical="center"/>
    </xf>
    <xf numFmtId="0" fontId="2" fillId="0" borderId="41" xfId="1" applyBorder="1" applyAlignment="1">
      <alignment horizontal="center" vertical="center"/>
    </xf>
    <xf numFmtId="0" fontId="1" fillId="0" borderId="34" xfId="1" applyFont="1" applyBorder="1" applyAlignment="1">
      <alignment horizontal="center" vertical="center"/>
    </xf>
    <xf numFmtId="0" fontId="1" fillId="0" borderId="11" xfId="1" applyFont="1" applyBorder="1" applyAlignment="1">
      <alignment horizontal="center" vertical="center"/>
    </xf>
    <xf numFmtId="14" fontId="1" fillId="0" borderId="10" xfId="1" applyNumberFormat="1" applyFont="1" applyBorder="1" applyAlignment="1">
      <alignment horizontal="center" vertical="center"/>
    </xf>
    <xf numFmtId="14" fontId="1" fillId="0" borderId="40" xfId="1" applyNumberFormat="1" applyFont="1" applyBorder="1" applyAlignment="1">
      <alignment horizontal="center" vertical="center"/>
    </xf>
    <xf numFmtId="14" fontId="1" fillId="0" borderId="11" xfId="1" applyNumberFormat="1" applyFont="1" applyBorder="1" applyAlignment="1">
      <alignment horizontal="center" vertical="center"/>
    </xf>
    <xf numFmtId="0" fontId="1" fillId="0" borderId="10" xfId="1" applyFont="1" applyBorder="1" applyAlignment="1">
      <alignment horizontal="center" vertical="center"/>
    </xf>
    <xf numFmtId="0" fontId="1" fillId="0" borderId="40" xfId="1" applyFont="1" applyBorder="1" applyAlignment="1">
      <alignment horizontal="center" vertical="center"/>
    </xf>
    <xf numFmtId="0" fontId="1" fillId="0" borderId="11" xfId="1" applyFont="1" applyBorder="1" applyAlignment="1">
      <alignment horizontal="center" vertical="center" wrapText="1"/>
    </xf>
    <xf numFmtId="0" fontId="15" fillId="0" borderId="2" xfId="1" applyFont="1" applyBorder="1" applyAlignment="1">
      <alignment horizontal="center" vertical="center" wrapText="1"/>
    </xf>
    <xf numFmtId="0" fontId="15" fillId="0" borderId="3" xfId="1" applyFont="1" applyBorder="1" applyAlignment="1">
      <alignment horizontal="center" vertical="center" wrapText="1"/>
    </xf>
    <xf numFmtId="0" fontId="15" fillId="0" borderId="4" xfId="1" applyFont="1" applyBorder="1" applyAlignment="1">
      <alignment horizontal="center" vertical="center" wrapText="1"/>
    </xf>
    <xf numFmtId="0" fontId="15" fillId="0" borderId="5" xfId="1" applyFont="1" applyBorder="1" applyAlignment="1">
      <alignment horizontal="center" vertical="center" wrapText="1"/>
    </xf>
    <xf numFmtId="0" fontId="15" fillId="0" borderId="0" xfId="1" applyFont="1" applyAlignment="1">
      <alignment horizontal="center" vertical="center" wrapText="1"/>
    </xf>
    <xf numFmtId="0" fontId="15" fillId="0" borderId="6" xfId="1" applyFont="1" applyBorder="1" applyAlignment="1">
      <alignment horizontal="center" vertical="center" wrapText="1"/>
    </xf>
    <xf numFmtId="0" fontId="15" fillId="0" borderId="7" xfId="1" applyFont="1" applyBorder="1" applyAlignment="1">
      <alignment horizontal="center" vertical="center" wrapText="1"/>
    </xf>
    <xf numFmtId="0" fontId="15" fillId="0" borderId="8" xfId="1" applyFont="1" applyBorder="1" applyAlignment="1">
      <alignment horizontal="center" vertical="center" wrapText="1"/>
    </xf>
    <xf numFmtId="0" fontId="15" fillId="0" borderId="9" xfId="1" applyFont="1" applyBorder="1" applyAlignment="1">
      <alignment horizontal="center" vertical="center" wrapText="1"/>
    </xf>
    <xf numFmtId="0" fontId="2" fillId="0" borderId="35" xfId="1" applyBorder="1" applyAlignment="1">
      <alignment horizontal="center" vertical="center"/>
    </xf>
    <xf numFmtId="0" fontId="2" fillId="0" borderId="36" xfId="1" applyBorder="1" applyAlignment="1">
      <alignment horizontal="center" vertical="center"/>
    </xf>
    <xf numFmtId="0" fontId="2" fillId="0" borderId="37" xfId="1" applyBorder="1" applyAlignment="1">
      <alignment horizontal="center" vertical="center"/>
    </xf>
    <xf numFmtId="0" fontId="2" fillId="0" borderId="38" xfId="1" applyBorder="1" applyAlignment="1">
      <alignment horizontal="center" vertical="center"/>
    </xf>
    <xf numFmtId="0" fontId="2" fillId="0" borderId="39" xfId="1" applyBorder="1" applyAlignment="1">
      <alignment horizontal="center" vertical="center"/>
    </xf>
    <xf numFmtId="0" fontId="8" fillId="9" borderId="13" xfId="0" applyFont="1" applyFill="1" applyBorder="1" applyAlignment="1">
      <alignment horizontal="center"/>
    </xf>
    <xf numFmtId="0" fontId="8" fillId="9" borderId="14" xfId="0" applyFont="1" applyFill="1" applyBorder="1" applyAlignment="1">
      <alignment horizontal="center"/>
    </xf>
    <xf numFmtId="0" fontId="8" fillId="9" borderId="15" xfId="0" applyFont="1" applyFill="1" applyBorder="1" applyAlignment="1">
      <alignment horizontal="center"/>
    </xf>
    <xf numFmtId="0" fontId="6" fillId="10" borderId="34" xfId="0" applyFont="1" applyFill="1" applyBorder="1" applyAlignment="1">
      <alignment horizontal="left"/>
    </xf>
    <xf numFmtId="0" fontId="6" fillId="10" borderId="11" xfId="0" applyFont="1" applyFill="1" applyBorder="1" applyAlignment="1">
      <alignment horizontal="left"/>
    </xf>
    <xf numFmtId="0" fontId="6" fillId="10" borderId="10" xfId="0" applyFont="1" applyFill="1" applyBorder="1" applyAlignment="1">
      <alignment horizontal="left"/>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23" xfId="0" applyBorder="1" applyAlignment="1">
      <alignment horizontal="center"/>
    </xf>
    <xf numFmtId="0" fontId="0" fillId="0" borderId="30" xfId="0" applyBorder="1" applyAlignment="1">
      <alignment horizontal="center"/>
    </xf>
    <xf numFmtId="0" fontId="0" fillId="0" borderId="1"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1" xfId="0" applyBorder="1" applyAlignment="1">
      <alignment horizontal="left" vertical="center" wrapText="1"/>
    </xf>
    <xf numFmtId="0" fontId="8" fillId="9" borderId="13" xfId="0" applyFont="1" applyFill="1" applyBorder="1" applyAlignment="1">
      <alignment horizontal="left"/>
    </xf>
    <xf numFmtId="0" fontId="8" fillId="9" borderId="14" xfId="0" applyFont="1" applyFill="1" applyBorder="1" applyAlignment="1">
      <alignment horizontal="left"/>
    </xf>
    <xf numFmtId="0" fontId="8" fillId="9" borderId="15" xfId="0" applyFont="1" applyFill="1" applyBorder="1" applyAlignment="1">
      <alignment horizontal="left"/>
    </xf>
    <xf numFmtId="0" fontId="0" fillId="0" borderId="31" xfId="0" applyBorder="1" applyAlignment="1">
      <alignment horizontal="center"/>
    </xf>
    <xf numFmtId="0" fontId="0" fillId="0" borderId="24"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17" xfId="0" applyBorder="1" applyAlignment="1">
      <alignment horizontal="center"/>
    </xf>
    <xf numFmtId="0" fontId="0" fillId="0" borderId="26" xfId="0" applyBorder="1" applyAlignment="1">
      <alignment horizontal="center"/>
    </xf>
    <xf numFmtId="0" fontId="6" fillId="10" borderId="29" xfId="0" applyFont="1" applyFill="1" applyBorder="1" applyAlignment="1">
      <alignment horizontal="right"/>
    </xf>
    <xf numFmtId="0" fontId="6" fillId="10" borderId="1" xfId="0" applyFont="1" applyFill="1" applyBorder="1" applyAlignment="1">
      <alignment horizontal="right"/>
    </xf>
    <xf numFmtId="0" fontId="5" fillId="0" borderId="1" xfId="0" applyFont="1" applyBorder="1" applyAlignment="1">
      <alignment horizontal="left"/>
    </xf>
    <xf numFmtId="0" fontId="5" fillId="0" borderId="27" xfId="0" applyFont="1" applyBorder="1" applyAlignment="1">
      <alignment horizontal="left"/>
    </xf>
    <xf numFmtId="0" fontId="6" fillId="10" borderId="28" xfId="0" applyFont="1" applyFill="1" applyBorder="1" applyAlignment="1">
      <alignment horizontal="right"/>
    </xf>
    <xf numFmtId="0" fontId="6" fillId="10" borderId="23" xfId="0" applyFont="1" applyFill="1" applyBorder="1" applyAlignment="1">
      <alignment horizontal="right"/>
    </xf>
    <xf numFmtId="0" fontId="0" fillId="8" borderId="1" xfId="0" applyFill="1" applyBorder="1" applyAlignment="1">
      <alignment horizontal="center"/>
    </xf>
    <xf numFmtId="0" fontId="0" fillId="0" borderId="1" xfId="0" applyBorder="1" applyAlignment="1">
      <alignment horizontal="center" vertical="center"/>
    </xf>
    <xf numFmtId="0" fontId="0" fillId="8" borderId="23" xfId="0" applyFill="1" applyBorder="1" applyAlignment="1">
      <alignment horizontal="left"/>
    </xf>
    <xf numFmtId="0" fontId="0" fillId="8" borderId="1" xfId="0" applyFill="1" applyBorder="1" applyAlignment="1">
      <alignment horizontal="left"/>
    </xf>
    <xf numFmtId="0" fontId="6" fillId="10" borderId="1" xfId="0" applyFont="1" applyFill="1" applyBorder="1" applyAlignment="1">
      <alignment horizontal="left" vertical="top" wrapText="1"/>
    </xf>
    <xf numFmtId="0" fontId="6" fillId="10" borderId="29" xfId="0" applyFont="1" applyFill="1" applyBorder="1" applyAlignment="1">
      <alignment horizontal="left" wrapText="1"/>
    </xf>
    <xf numFmtId="0" fontId="6" fillId="10" borderId="1" xfId="0" applyFont="1" applyFill="1" applyBorder="1" applyAlignment="1">
      <alignment horizontal="left" wrapText="1"/>
    </xf>
    <xf numFmtId="0" fontId="2" fillId="0" borderId="25" xfId="0" applyFont="1" applyBorder="1"/>
    <xf numFmtId="0" fontId="0" fillId="0" borderId="0" xfId="0"/>
    <xf numFmtId="0" fontId="2" fillId="0" borderId="25" xfId="0" applyFont="1" applyBorder="1" applyAlignment="1">
      <alignment horizontal="left"/>
    </xf>
    <xf numFmtId="0" fontId="0" fillId="0" borderId="0" xfId="0" applyAlignment="1">
      <alignment horizontal="left"/>
    </xf>
    <xf numFmtId="0" fontId="0" fillId="0" borderId="20" xfId="0" applyBorder="1" applyAlignment="1">
      <alignment wrapText="1"/>
    </xf>
    <xf numFmtId="0" fontId="0" fillId="0" borderId="23" xfId="0" applyBorder="1" applyAlignment="1">
      <alignment wrapText="1"/>
    </xf>
    <xf numFmtId="0" fontId="2" fillId="0" borderId="0" xfId="0" applyFont="1"/>
    <xf numFmtId="0" fontId="2" fillId="0" borderId="0" xfId="0" applyFont="1" applyAlignment="1">
      <alignment horizontal="left" wrapText="1"/>
    </xf>
    <xf numFmtId="0" fontId="0" fillId="0" borderId="0" xfId="0" applyAlignment="1">
      <alignment horizontal="left" wrapText="1"/>
    </xf>
  </cellXfs>
  <cellStyles count="4">
    <cellStyle name="Normale" xfId="0" builtinId="0"/>
    <cellStyle name="Normale 3" xfId="2" xr:uid="{A9645A70-12B6-4793-9B87-0C6580954630}"/>
    <cellStyle name="Normale 4" xfId="1" xr:uid="{54AC0FBF-B10F-4310-900A-ED1DC4991BD4}"/>
    <cellStyle name="Valuta 2" xfId="3" xr:uid="{162205F6-C1EB-4F02-A4BD-3FC93B375B9A}"/>
  </cellStyles>
  <dxfs count="1">
    <dxf>
      <font>
        <b/>
        <i val="0"/>
        <condense val="0"/>
        <extend val="0"/>
        <color indexed="10"/>
      </font>
    </dxf>
  </dxfs>
  <tableStyles count="0" defaultTableStyle="TableStyleMedium2" defaultPivotStyle="PivotStyleLight16"/>
  <colors>
    <mruColors>
      <color rgb="FFBAC6CC"/>
      <color rgb="FF7CCFDB"/>
      <color rgb="FF808284"/>
      <color rgb="FF00AEEF"/>
      <color rgb="FF8DC63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14286491550287"/>
          <c:y val="5.5319148936170209E-2"/>
          <c:w val="0.84142915836297316"/>
          <c:h val="0.78723404255319152"/>
        </c:manualLayout>
      </c:layout>
      <c:scatterChart>
        <c:scatterStyle val="smoothMarker"/>
        <c:varyColors val="0"/>
        <c:ser>
          <c:idx val="1"/>
          <c:order val="0"/>
          <c:tx>
            <c:v>0.5 wave critical length</c:v>
          </c:tx>
          <c:spPr>
            <a:ln>
              <a:solidFill>
                <a:srgbClr val="FF00FF"/>
              </a:solidFill>
            </a:ln>
          </c:spPr>
          <c:marker>
            <c:symbol val="none"/>
          </c:marker>
          <c:xVal>
            <c:numRef>
              <c:f>Support_calcs!$K$17:$K$27</c:f>
              <c:numCache>
                <c:formatCode>General</c:formatCode>
                <c:ptCount val="11"/>
                <c:pt idx="0">
                  <c:v>1000</c:v>
                </c:pt>
                <c:pt idx="1">
                  <c:v>1500</c:v>
                </c:pt>
                <c:pt idx="2">
                  <c:v>2000</c:v>
                </c:pt>
                <c:pt idx="3">
                  <c:v>2500</c:v>
                </c:pt>
                <c:pt idx="4">
                  <c:v>3000</c:v>
                </c:pt>
                <c:pt idx="5">
                  <c:v>3500</c:v>
                </c:pt>
                <c:pt idx="6">
                  <c:v>4000</c:v>
                </c:pt>
                <c:pt idx="7">
                  <c:v>4500</c:v>
                </c:pt>
                <c:pt idx="8">
                  <c:v>5000</c:v>
                </c:pt>
                <c:pt idx="9">
                  <c:v>5500</c:v>
                </c:pt>
                <c:pt idx="10">
                  <c:v>6000</c:v>
                </c:pt>
              </c:numCache>
            </c:numRef>
          </c:xVal>
          <c:yVal>
            <c:numRef>
              <c:f>Support_calcs!$M$17:$M$27</c:f>
              <c:numCache>
                <c:formatCode>0</c:formatCode>
                <c:ptCount val="11"/>
                <c:pt idx="0">
                  <c:v>5658</c:v>
                </c:pt>
                <c:pt idx="1">
                  <c:v>3772</c:v>
                </c:pt>
                <c:pt idx="2">
                  <c:v>2829</c:v>
                </c:pt>
                <c:pt idx="3">
                  <c:v>2263.1999999999998</c:v>
                </c:pt>
                <c:pt idx="4">
                  <c:v>1886</c:v>
                </c:pt>
                <c:pt idx="5">
                  <c:v>1616.5714285714284</c:v>
                </c:pt>
                <c:pt idx="6">
                  <c:v>1414.5</c:v>
                </c:pt>
                <c:pt idx="7">
                  <c:v>1257.3333333333335</c:v>
                </c:pt>
                <c:pt idx="8">
                  <c:v>1131.5999999999999</c:v>
                </c:pt>
                <c:pt idx="9">
                  <c:v>1028.7272727272727</c:v>
                </c:pt>
                <c:pt idx="10">
                  <c:v>943</c:v>
                </c:pt>
              </c:numCache>
            </c:numRef>
          </c:yVal>
          <c:smooth val="1"/>
          <c:extLst>
            <c:ext xmlns:c16="http://schemas.microsoft.com/office/drawing/2014/chart" uri="{C3380CC4-5D6E-409C-BE32-E72D297353CC}">
              <c16:uniqueId val="{00000000-61F9-4E18-AC89-9230C6985A92}"/>
            </c:ext>
          </c:extLst>
        </c:ser>
        <c:ser>
          <c:idx val="2"/>
          <c:order val="1"/>
          <c:tx>
            <c:v>1.0 wave critical length</c:v>
          </c:tx>
          <c:spPr>
            <a:ln>
              <a:solidFill>
                <a:schemeClr val="accent6"/>
              </a:solidFill>
            </a:ln>
          </c:spPr>
          <c:marker>
            <c:symbol val="none"/>
          </c:marker>
          <c:xVal>
            <c:numRef>
              <c:f>Support_calcs!$K$17:$K$27</c:f>
              <c:numCache>
                <c:formatCode>General</c:formatCode>
                <c:ptCount val="11"/>
                <c:pt idx="0">
                  <c:v>1000</c:v>
                </c:pt>
                <c:pt idx="1">
                  <c:v>1500</c:v>
                </c:pt>
                <c:pt idx="2">
                  <c:v>2000</c:v>
                </c:pt>
                <c:pt idx="3">
                  <c:v>2500</c:v>
                </c:pt>
                <c:pt idx="4">
                  <c:v>3000</c:v>
                </c:pt>
                <c:pt idx="5">
                  <c:v>3500</c:v>
                </c:pt>
                <c:pt idx="6">
                  <c:v>4000</c:v>
                </c:pt>
                <c:pt idx="7">
                  <c:v>4500</c:v>
                </c:pt>
                <c:pt idx="8">
                  <c:v>5000</c:v>
                </c:pt>
                <c:pt idx="9">
                  <c:v>5500</c:v>
                </c:pt>
                <c:pt idx="10">
                  <c:v>6000</c:v>
                </c:pt>
              </c:numCache>
            </c:numRef>
          </c:xVal>
          <c:yVal>
            <c:numRef>
              <c:f>Support_calcs!$N$17:$N$27</c:f>
              <c:numCache>
                <c:formatCode>0</c:formatCode>
                <c:ptCount val="11"/>
                <c:pt idx="0">
                  <c:v>11316</c:v>
                </c:pt>
                <c:pt idx="1">
                  <c:v>7544</c:v>
                </c:pt>
                <c:pt idx="2">
                  <c:v>5658</c:v>
                </c:pt>
                <c:pt idx="3">
                  <c:v>4526.3999999999996</c:v>
                </c:pt>
                <c:pt idx="4">
                  <c:v>3772</c:v>
                </c:pt>
                <c:pt idx="5">
                  <c:v>3233.1428571428569</c:v>
                </c:pt>
                <c:pt idx="6">
                  <c:v>2829</c:v>
                </c:pt>
                <c:pt idx="7">
                  <c:v>2514.666666666667</c:v>
                </c:pt>
                <c:pt idx="8">
                  <c:v>2263.1999999999998</c:v>
                </c:pt>
                <c:pt idx="9">
                  <c:v>2057.4545454545455</c:v>
                </c:pt>
                <c:pt idx="10">
                  <c:v>1886</c:v>
                </c:pt>
              </c:numCache>
            </c:numRef>
          </c:yVal>
          <c:smooth val="1"/>
          <c:extLst>
            <c:ext xmlns:c16="http://schemas.microsoft.com/office/drawing/2014/chart" uri="{C3380CC4-5D6E-409C-BE32-E72D297353CC}">
              <c16:uniqueId val="{00000001-61F9-4E18-AC89-9230C6985A92}"/>
            </c:ext>
          </c:extLst>
        </c:ser>
        <c:ser>
          <c:idx val="3"/>
          <c:order val="2"/>
          <c:tx>
            <c:v>1.5 wave critical length</c:v>
          </c:tx>
          <c:spPr>
            <a:ln>
              <a:solidFill>
                <a:schemeClr val="accent1"/>
              </a:solidFill>
            </a:ln>
          </c:spPr>
          <c:marker>
            <c:symbol val="none"/>
          </c:marker>
          <c:xVal>
            <c:numRef>
              <c:f>Support_calcs!$K$17:$K$27</c:f>
              <c:numCache>
                <c:formatCode>General</c:formatCode>
                <c:ptCount val="11"/>
                <c:pt idx="0">
                  <c:v>1000</c:v>
                </c:pt>
                <c:pt idx="1">
                  <c:v>1500</c:v>
                </c:pt>
                <c:pt idx="2">
                  <c:v>2000</c:v>
                </c:pt>
                <c:pt idx="3">
                  <c:v>2500</c:v>
                </c:pt>
                <c:pt idx="4">
                  <c:v>3000</c:v>
                </c:pt>
                <c:pt idx="5">
                  <c:v>3500</c:v>
                </c:pt>
                <c:pt idx="6">
                  <c:v>4000</c:v>
                </c:pt>
                <c:pt idx="7">
                  <c:v>4500</c:v>
                </c:pt>
                <c:pt idx="8">
                  <c:v>5000</c:v>
                </c:pt>
                <c:pt idx="9">
                  <c:v>5500</c:v>
                </c:pt>
                <c:pt idx="10">
                  <c:v>6000</c:v>
                </c:pt>
              </c:numCache>
            </c:numRef>
          </c:xVal>
          <c:yVal>
            <c:numRef>
              <c:f>Support_calcs!$O$17:$O$27</c:f>
              <c:numCache>
                <c:formatCode>0</c:formatCode>
                <c:ptCount val="11"/>
                <c:pt idx="0">
                  <c:v>16974</c:v>
                </c:pt>
                <c:pt idx="1">
                  <c:v>11315.999999999998</c:v>
                </c:pt>
                <c:pt idx="2">
                  <c:v>8487</c:v>
                </c:pt>
                <c:pt idx="3">
                  <c:v>6789.6</c:v>
                </c:pt>
                <c:pt idx="4">
                  <c:v>5657.9999999999991</c:v>
                </c:pt>
                <c:pt idx="5">
                  <c:v>4849.7142857142853</c:v>
                </c:pt>
                <c:pt idx="6">
                  <c:v>4243.5</c:v>
                </c:pt>
                <c:pt idx="7">
                  <c:v>3772.0000000000005</c:v>
                </c:pt>
                <c:pt idx="8">
                  <c:v>3394.8</c:v>
                </c:pt>
                <c:pt idx="9">
                  <c:v>3086.181818181818</c:v>
                </c:pt>
                <c:pt idx="10">
                  <c:v>2828.9999999999995</c:v>
                </c:pt>
              </c:numCache>
            </c:numRef>
          </c:yVal>
          <c:smooth val="1"/>
          <c:extLst>
            <c:ext xmlns:c16="http://schemas.microsoft.com/office/drawing/2014/chart" uri="{C3380CC4-5D6E-409C-BE32-E72D297353CC}">
              <c16:uniqueId val="{00000002-61F9-4E18-AC89-9230C6985A92}"/>
            </c:ext>
          </c:extLst>
        </c:ser>
        <c:ser>
          <c:idx val="0"/>
          <c:order val="3"/>
          <c:tx>
            <c:strRef>
              <c:f>Support_calcs!$K$32</c:f>
              <c:strCache>
                <c:ptCount val="1"/>
                <c:pt idx="0">
                  <c:v>5 stage pump passage length</c:v>
                </c:pt>
              </c:strCache>
            </c:strRef>
          </c:tx>
          <c:spPr>
            <a:ln>
              <a:solidFill>
                <a:srgbClr val="00B0F0"/>
              </a:solidFill>
              <a:prstDash val="sysDash"/>
            </a:ln>
          </c:spPr>
          <c:marker>
            <c:symbol val="none"/>
          </c:marker>
          <c:xVal>
            <c:numRef>
              <c:f>Support_calcs!$K$28:$K$29</c:f>
              <c:numCache>
                <c:formatCode>General</c:formatCode>
                <c:ptCount val="2"/>
                <c:pt idx="0">
                  <c:v>4710</c:v>
                </c:pt>
                <c:pt idx="1">
                  <c:v>5220</c:v>
                </c:pt>
              </c:numCache>
            </c:numRef>
          </c:xVal>
          <c:yVal>
            <c:numRef>
              <c:f>Support_calcs!$Q$28:$Q$29</c:f>
              <c:numCache>
                <c:formatCode>0</c:formatCode>
                <c:ptCount val="2"/>
                <c:pt idx="0">
                  <c:v>1188</c:v>
                </c:pt>
                <c:pt idx="1">
                  <c:v>1188</c:v>
                </c:pt>
              </c:numCache>
            </c:numRef>
          </c:yVal>
          <c:smooth val="1"/>
          <c:extLst>
            <c:ext xmlns:c16="http://schemas.microsoft.com/office/drawing/2014/chart" uri="{C3380CC4-5D6E-409C-BE32-E72D297353CC}">
              <c16:uniqueId val="{00000003-61F9-4E18-AC89-9230C6985A92}"/>
            </c:ext>
          </c:extLst>
        </c:ser>
        <c:ser>
          <c:idx val="4"/>
          <c:order val="4"/>
          <c:tx>
            <c:strRef>
              <c:f>Support_calcs!$K$34</c:f>
              <c:strCache>
                <c:ptCount val="1"/>
                <c:pt idx="0">
                  <c:v>10 stage pump passage length</c:v>
                </c:pt>
              </c:strCache>
            </c:strRef>
          </c:tx>
          <c:spPr>
            <a:ln>
              <a:solidFill>
                <a:srgbClr val="FF0000"/>
              </a:solidFill>
              <a:prstDash val="sysDash"/>
            </a:ln>
          </c:spPr>
          <c:marker>
            <c:symbol val="none"/>
          </c:marker>
          <c:xVal>
            <c:numRef>
              <c:f>Support_calcs!$K$28:$K$29</c:f>
              <c:numCache>
                <c:formatCode>General</c:formatCode>
                <c:ptCount val="2"/>
                <c:pt idx="0">
                  <c:v>4710</c:v>
                </c:pt>
                <c:pt idx="1">
                  <c:v>5220</c:v>
                </c:pt>
              </c:numCache>
            </c:numRef>
          </c:xVal>
          <c:yVal>
            <c:numRef>
              <c:f>Support_calcs!$R$28:$R$29</c:f>
              <c:numCache>
                <c:formatCode>0</c:formatCode>
                <c:ptCount val="2"/>
                <c:pt idx="0">
                  <c:v>1503</c:v>
                </c:pt>
                <c:pt idx="1">
                  <c:v>1503</c:v>
                </c:pt>
              </c:numCache>
            </c:numRef>
          </c:yVal>
          <c:smooth val="1"/>
          <c:extLst>
            <c:ext xmlns:c16="http://schemas.microsoft.com/office/drawing/2014/chart" uri="{C3380CC4-5D6E-409C-BE32-E72D297353CC}">
              <c16:uniqueId val="{00000004-61F9-4E18-AC89-9230C6985A92}"/>
            </c:ext>
          </c:extLst>
        </c:ser>
        <c:ser>
          <c:idx val="5"/>
          <c:order val="5"/>
          <c:tx>
            <c:strRef>
              <c:f>Support_calcs!$K$33</c:f>
              <c:strCache>
                <c:ptCount val="1"/>
                <c:pt idx="0">
                  <c:v>12 stage pump passage length</c:v>
                </c:pt>
              </c:strCache>
            </c:strRef>
          </c:tx>
          <c:spPr>
            <a:ln w="19050">
              <a:solidFill>
                <a:schemeClr val="accent2"/>
              </a:solidFill>
              <a:prstDash val="sysDash"/>
            </a:ln>
          </c:spPr>
          <c:marker>
            <c:symbol val="none"/>
          </c:marker>
          <c:xVal>
            <c:numRef>
              <c:f>Support_calcs!$K$28:$K$29</c:f>
              <c:numCache>
                <c:formatCode>General</c:formatCode>
                <c:ptCount val="2"/>
                <c:pt idx="0">
                  <c:v>4710</c:v>
                </c:pt>
                <c:pt idx="1">
                  <c:v>5220</c:v>
                </c:pt>
              </c:numCache>
            </c:numRef>
          </c:xVal>
          <c:yVal>
            <c:numRef>
              <c:f>Support_calcs!$L$28:$L$29</c:f>
              <c:numCache>
                <c:formatCode>0</c:formatCode>
                <c:ptCount val="2"/>
                <c:pt idx="0">
                  <c:v>1608</c:v>
                </c:pt>
                <c:pt idx="1">
                  <c:v>1608</c:v>
                </c:pt>
              </c:numCache>
            </c:numRef>
          </c:yVal>
          <c:smooth val="1"/>
          <c:extLst>
            <c:ext xmlns:c16="http://schemas.microsoft.com/office/drawing/2014/chart" uri="{C3380CC4-5D6E-409C-BE32-E72D297353CC}">
              <c16:uniqueId val="{00000005-61F9-4E18-AC89-9230C6985A92}"/>
            </c:ext>
          </c:extLst>
        </c:ser>
        <c:dLbls>
          <c:showLegendKey val="0"/>
          <c:showVal val="0"/>
          <c:showCatName val="0"/>
          <c:showSerName val="0"/>
          <c:showPercent val="0"/>
          <c:showBubbleSize val="0"/>
        </c:dLbls>
        <c:axId val="943278047"/>
        <c:axId val="1"/>
      </c:scatterChart>
      <c:valAx>
        <c:axId val="943278047"/>
        <c:scaling>
          <c:orientation val="minMax"/>
          <c:max val="6000"/>
          <c:min val="1000"/>
        </c:scaling>
        <c:delete val="0"/>
        <c:axPos val="b"/>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en-US"/>
                  <a:t>Operating Speed (rpm)</a:t>
                </a:r>
              </a:p>
            </c:rich>
          </c:tx>
          <c:layout>
            <c:manualLayout>
              <c:xMode val="edge"/>
              <c:yMode val="edge"/>
              <c:x val="0.40000027774305991"/>
              <c:y val="0.9085106084537887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it-IT"/>
          </a:p>
        </c:txPr>
        <c:crossAx val="1"/>
        <c:crosses val="autoZero"/>
        <c:crossBetween val="midCat"/>
        <c:majorUnit val="500"/>
        <c:minorUnit val="100"/>
      </c:valAx>
      <c:valAx>
        <c:axId val="1"/>
        <c:scaling>
          <c:orientation val="minMax"/>
          <c:max val="5000"/>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en-US"/>
                  <a:t>Crossover Passage Length (mm)</a:t>
                </a:r>
              </a:p>
            </c:rich>
          </c:tx>
          <c:layout>
            <c:manualLayout>
              <c:xMode val="edge"/>
              <c:yMode val="edge"/>
              <c:x val="1.710999487133074E-2"/>
              <c:y val="0.1914893715208675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it-IT"/>
          </a:p>
        </c:txPr>
        <c:crossAx val="943278047"/>
        <c:crosses val="autoZero"/>
        <c:crossBetween val="midCat"/>
      </c:valAx>
      <c:spPr>
        <a:noFill/>
        <a:ln w="12700">
          <a:solidFill>
            <a:srgbClr val="808080"/>
          </a:solidFill>
          <a:prstDash val="solid"/>
        </a:ln>
      </c:spPr>
    </c:plotArea>
    <c:legend>
      <c:legendPos val="r"/>
      <c:layout>
        <c:manualLayout>
          <c:xMode val="edge"/>
          <c:yMode val="edge"/>
          <c:x val="0.62341368241690842"/>
          <c:y val="6.3788000624533922E-2"/>
          <c:w val="0.32007708114510564"/>
          <c:h val="0.26070451382126236"/>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it-IT"/>
        </a:p>
      </c:txPr>
    </c:legend>
    <c:plotVisOnly val="1"/>
    <c:dispBlanksAs val="gap"/>
    <c:showDLblsOverMax val="0"/>
  </c:chart>
  <c:spPr>
    <a:solidFill>
      <a:srgbClr val="FFFFFF"/>
    </a:solidFill>
    <a:ln w="3175">
      <a:solidFill>
        <a:srgbClr val="000000"/>
      </a:solidFill>
      <a:prstDash val="solid"/>
    </a:ln>
  </c:spPr>
  <c:txPr>
    <a:bodyPr/>
    <a:lstStyle/>
    <a:p>
      <a:pPr>
        <a:defRPr sz="1425" b="0" i="0" u="none" strike="noStrike" baseline="0">
          <a:solidFill>
            <a:srgbClr val="000000"/>
          </a:solidFill>
          <a:latin typeface="Arial"/>
          <a:ea typeface="Arial"/>
          <a:cs typeface="Arial"/>
        </a:defRPr>
      </a:pPr>
      <a:endParaRPr lang="it-IT"/>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209550</xdr:colOff>
      <xdr:row>1</xdr:row>
      <xdr:rowOff>114300</xdr:rowOff>
    </xdr:from>
    <xdr:to>
      <xdr:col>19</xdr:col>
      <xdr:colOff>95250</xdr:colOff>
      <xdr:row>4</xdr:row>
      <xdr:rowOff>145782</xdr:rowOff>
    </xdr:to>
    <xdr:pic>
      <xdr:nvPicPr>
        <xdr:cNvPr id="2" name="Picture 2" descr="trillium 2">
          <a:extLst>
            <a:ext uri="{FF2B5EF4-FFF2-40B4-BE49-F238E27FC236}">
              <a16:creationId xmlns:a16="http://schemas.microsoft.com/office/drawing/2014/main" id="{99EFCE60-A042-481E-A935-961AB61FE0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5300" y="304800"/>
          <a:ext cx="2552700" cy="6061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78441</xdr:colOff>
      <xdr:row>27</xdr:row>
      <xdr:rowOff>171450</xdr:rowOff>
    </xdr:from>
    <xdr:to>
      <xdr:col>28</xdr:col>
      <xdr:colOff>80122</xdr:colOff>
      <xdr:row>38</xdr:row>
      <xdr:rowOff>46505</xdr:rowOff>
    </xdr:to>
    <xdr:sp macro="" textlink="">
      <xdr:nvSpPr>
        <xdr:cNvPr id="3" name="TextBox 2">
          <a:extLst>
            <a:ext uri="{FF2B5EF4-FFF2-40B4-BE49-F238E27FC236}">
              <a16:creationId xmlns:a16="http://schemas.microsoft.com/office/drawing/2014/main" id="{70CF22EB-545E-4B5F-A7C3-A01A7BEF3283}"/>
            </a:ext>
          </a:extLst>
        </xdr:cNvPr>
        <xdr:cNvSpPr txBox="1"/>
      </xdr:nvSpPr>
      <xdr:spPr>
        <a:xfrm>
          <a:off x="78441" y="5314950"/>
          <a:ext cx="6135781" cy="197055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INSTRUCTIONS</a:t>
          </a:r>
        </a:p>
        <a:p>
          <a:r>
            <a:rPr lang="it-IT" sz="1100" b="0" u="none"/>
            <a:t>-use</a:t>
          </a:r>
          <a:r>
            <a:rPr lang="it-IT" sz="1100" b="0" u="none" baseline="0"/>
            <a:t> the module to evaluate possible acoustic resonance in BB3 long crossovers</a:t>
          </a:r>
          <a:endParaRPr lang="it-IT" sz="1100" b="0" u="none"/>
        </a:p>
        <a:p>
          <a:r>
            <a:rPr lang="it-IT" sz="1100" b="0" u="none">
              <a:effectLst/>
            </a:rPr>
            <a:t>-fill only field of input data are in yellow</a:t>
          </a:r>
          <a:r>
            <a:rPr lang="it-IT" sz="1100" b="0" u="none" baseline="0">
              <a:effectLst/>
            </a:rPr>
            <a:t> cells</a:t>
          </a:r>
        </a:p>
        <a:p>
          <a:r>
            <a:rPr lang="it-IT" sz="1100" b="0" u="none" baseline="0">
              <a:effectLst/>
            </a:rPr>
            <a:t>-for "Fluid" cell it is possible to select the type of fluid and sound speed cell C16 is automatically filled in (value in cell C15 is not used) or select manual and insert wanted sound speed value in cell C16</a:t>
          </a:r>
          <a:endParaRPr lang="it-IT" sz="1100" b="0" u="none">
            <a:effectLst/>
          </a:endParaRPr>
        </a:p>
        <a:p>
          <a:r>
            <a:rPr lang="it-IT" sz="1100" b="0" u="none">
              <a:effectLst/>
            </a:rPr>
            <a:t>-calculated</a:t>
          </a:r>
          <a:r>
            <a:rPr lang="it-IT" sz="1100" b="0" u="none" baseline="0">
              <a:effectLst/>
            </a:rPr>
            <a:t> data are in white cells</a:t>
          </a:r>
        </a:p>
        <a:p>
          <a:r>
            <a:rPr lang="it-IT" sz="1100" b="0" u="none">
              <a:effectLst/>
            </a:rPr>
            <a:t>-if the separation margin is less than 20% one of the following countermeasures need</a:t>
          </a:r>
          <a:r>
            <a:rPr lang="it-IT" sz="1100" b="0" u="none" baseline="0">
              <a:effectLst/>
            </a:rPr>
            <a:t>s to be evaluated</a:t>
          </a:r>
          <a:r>
            <a:rPr lang="it-IT" sz="1100" b="0" u="none">
              <a:effectLst/>
            </a:rPr>
            <a:t>:</a:t>
          </a:r>
        </a:p>
        <a:p>
          <a:r>
            <a:rPr lang="it-IT" baseline="0">
              <a:effectLst/>
            </a:rPr>
            <a:t>     -&gt; change the number of impeller vanes for the impeller discharging into the crossover stage</a:t>
          </a:r>
        </a:p>
        <a:p>
          <a:r>
            <a:rPr lang="it-IT" baseline="0">
              <a:effectLst/>
            </a:rPr>
            <a:t>     -&gt; change the destaging arrangement (if used) to reduce the length of the crossover passage</a:t>
          </a:r>
        </a:p>
        <a:p>
          <a:r>
            <a:rPr lang="it-IT" baseline="0">
              <a:effectLst/>
            </a:rPr>
            <a:t>     -&gt; lockout certain speed ranges</a:t>
          </a:r>
        </a:p>
        <a:p>
          <a:r>
            <a:rPr lang="it-IT" baseline="0">
              <a:effectLst/>
            </a:rPr>
            <a:t>     -&gt; use an accumulator attached to the crossover passage to alter the effective speed of sound</a:t>
          </a:r>
          <a:endParaRPr lang="it-IT">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19</xdr:col>
      <xdr:colOff>47009</xdr:colOff>
      <xdr:row>28</xdr:row>
      <xdr:rowOff>18325</xdr:rowOff>
    </xdr:to>
    <xdr:pic>
      <xdr:nvPicPr>
        <xdr:cNvPr id="2" name="Immagine 1">
          <a:extLst>
            <a:ext uri="{FF2B5EF4-FFF2-40B4-BE49-F238E27FC236}">
              <a16:creationId xmlns:a16="http://schemas.microsoft.com/office/drawing/2014/main" id="{B329006D-337F-4569-8C79-CDDAD0B9E29B}"/>
            </a:ext>
          </a:extLst>
        </xdr:cNvPr>
        <xdr:cNvPicPr>
          <a:picLocks noChangeAspect="1"/>
        </xdr:cNvPicPr>
      </xdr:nvPicPr>
      <xdr:blipFill>
        <a:blip xmlns:r="http://schemas.openxmlformats.org/officeDocument/2006/relationships" r:embed="rId1"/>
        <a:stretch>
          <a:fillRect/>
        </a:stretch>
      </xdr:blipFill>
      <xdr:spPr>
        <a:xfrm>
          <a:off x="7248525" y="0"/>
          <a:ext cx="4923809" cy="5800000"/>
        </a:xfrm>
        <a:prstGeom prst="rect">
          <a:avLst/>
        </a:prstGeom>
      </xdr:spPr>
    </xdr:pic>
    <xdr:clientData/>
  </xdr:twoCellAnchor>
  <xdr:twoCellAnchor editAs="oneCell">
    <xdr:from>
      <xdr:col>18</xdr:col>
      <xdr:colOff>276225</xdr:colOff>
      <xdr:row>0</xdr:row>
      <xdr:rowOff>0</xdr:rowOff>
    </xdr:from>
    <xdr:to>
      <xdr:col>34</xdr:col>
      <xdr:colOff>332149</xdr:colOff>
      <xdr:row>24</xdr:row>
      <xdr:rowOff>104137</xdr:rowOff>
    </xdr:to>
    <xdr:pic>
      <xdr:nvPicPr>
        <xdr:cNvPr id="3" name="Immagine 2">
          <a:extLst>
            <a:ext uri="{FF2B5EF4-FFF2-40B4-BE49-F238E27FC236}">
              <a16:creationId xmlns:a16="http://schemas.microsoft.com/office/drawing/2014/main" id="{F64BE0C8-3CEA-42D6-B14F-8A7010B3DE84}"/>
            </a:ext>
          </a:extLst>
        </xdr:cNvPr>
        <xdr:cNvPicPr>
          <a:picLocks noChangeAspect="1"/>
        </xdr:cNvPicPr>
      </xdr:nvPicPr>
      <xdr:blipFill>
        <a:blip xmlns:r="http://schemas.openxmlformats.org/officeDocument/2006/relationships" r:embed="rId2"/>
        <a:stretch>
          <a:fillRect/>
        </a:stretch>
      </xdr:blipFill>
      <xdr:spPr>
        <a:xfrm>
          <a:off x="11791950" y="0"/>
          <a:ext cx="9809524" cy="5104762"/>
        </a:xfrm>
        <a:prstGeom prst="rect">
          <a:avLst/>
        </a:prstGeom>
      </xdr:spPr>
    </xdr:pic>
    <xdr:clientData/>
  </xdr:twoCellAnchor>
  <xdr:twoCellAnchor>
    <xdr:from>
      <xdr:col>0</xdr:col>
      <xdr:colOff>0</xdr:colOff>
      <xdr:row>38</xdr:row>
      <xdr:rowOff>0</xdr:rowOff>
    </xdr:from>
    <xdr:to>
      <xdr:col>9</xdr:col>
      <xdr:colOff>295275</xdr:colOff>
      <xdr:row>60</xdr:row>
      <xdr:rowOff>142875</xdr:rowOff>
    </xdr:to>
    <xdr:graphicFrame macro="">
      <xdr:nvGraphicFramePr>
        <xdr:cNvPr id="4" name="Chart 8">
          <a:extLst>
            <a:ext uri="{FF2B5EF4-FFF2-40B4-BE49-F238E27FC236}">
              <a16:creationId xmlns:a16="http://schemas.microsoft.com/office/drawing/2014/main" id="{EB1214B7-9E5C-4A52-83EB-3F46666D3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Areas\FWENVI\WWT%20Area\1-BH-0267A%20-%20prolungamento%20studio%20di%20fattibilit&#224;%20KRC\09%20Design%20calculations\calcoli%20finali\pfd%20nuovo%20impianto%20-%20falda%20+%20processo%20con%20biologic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AN-SRVFILE\TMP-SpA\TM_P\OH2\5%20Design\8%20Calculation\Bearing%20Lif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tmilfs002\b1h00\PROJECTS\1-BH-0389A%20KJO-RWTF2\09%20Design%20calculations\Linee\Linee%2010_12_16%20sketch%20Bottazzi\Design%20flowrate\line%2012%20pollici.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20"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fwfsc003/1cd1213a/ZoneExchange/Equipment%20list/front%20pag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erver\c\Backup%2029-09-06\Seam%201-025%20Politecnico%20Merone\09.0%20-%20Design%20Calculation\Linea%20fanghi\Progettazione%20impianto%20civile\progetto%20impianto%20di%20depurazione%20civil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AREAS\DIP110\APPLICAT\pumps\PUM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AN-SRVFILE\TMP-SpA\Rete\Svp\Borghetti\11%20API\01%20OH2\3%20Pump%20selector\Data%20base\REV\XLS\1%20Curve\Nq15%20f=0,935%20test13%203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 medie inquinanti "/>
      <sheetName val="Schema a blocchi"/>
      <sheetName val="calcolo servizi"/>
      <sheetName val="API"/>
      <sheetName val="DAF"/>
      <sheetName val="Caldensitàmiscela"/>
      <sheetName val="Basi di progetto biologico"/>
      <sheetName val="Biologico tradizionale"/>
      <sheetName val="Calcolo ossigeno"/>
      <sheetName val="Sedimentazione Secondaria"/>
      <sheetName val="Valutazione fanghi prodotti"/>
      <sheetName val="Ispessitore"/>
      <sheetName val="Ricalcolo acqua in ingresso API"/>
      <sheetName val="Calcolo apparecchiature"/>
      <sheetName val="Compressori"/>
      <sheetName val="CP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aring Life"/>
      <sheetName val="Bearings"/>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m RPI"/>
      <sheetName val="From Surge Tank"/>
      <sheetName val="From CPI"/>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Ra+losses_set1"/>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rev1"/>
      <sheetName val="listes"/>
    </sheetNames>
    <sheetDataSet>
      <sheetData sheetId="0" refreshError="1"/>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 di progetto"/>
      <sheetName val="Canaletta in ingresso"/>
      <sheetName val="Griglia grossolana"/>
      <sheetName val="Dissabbiatore"/>
      <sheetName val="Vasca di compenso"/>
      <sheetName val="Sedimentazione Primaria"/>
      <sheetName val="Biologico tradizionale"/>
      <sheetName val="Nitro"/>
      <sheetName val="Denitro"/>
      <sheetName val=" nitro denitro (T perm) e dim."/>
      <sheetName val="Sedimentazione Secondaria"/>
      <sheetName val="ossigeno in nitro"/>
      <sheetName val="Filtrazione"/>
      <sheetName val="Disinfezione"/>
      <sheetName val="Valutazione fanghi prodotti"/>
      <sheetName val="vasca di miscelazione fanghi"/>
      <sheetName val="Ispessitore"/>
      <sheetName val="Digestione Anaerobica"/>
      <sheetName val="Dimensionamento dig. anaer."/>
      <sheetName val="Filtropressatura"/>
      <sheetName val="Gasometro"/>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MP CALCULATION"/>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o2"/>
      <sheetName val="Utility"/>
      <sheetName val="Foglio1"/>
      <sheetName val="Modulo_Dati_1"/>
      <sheetName val="Modulo_Dati"/>
    </sheetNames>
    <sheetDataSet>
      <sheetData sheetId="0" refreshError="1"/>
      <sheetData sheetId="1"/>
      <sheetData sheetId="2" refreshError="1"/>
      <sheetData sheetId="3" refreshError="1"/>
      <sheetData sheetId="4" refreshError="1"/>
    </sheetDataSet>
  </externalBook>
</externalLink>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518A-CA0B-4A9D-90CC-7EE1C090BD42}">
  <sheetPr>
    <tabColor rgb="FF92D050"/>
  </sheetPr>
  <dimension ref="A1:AD48"/>
  <sheetViews>
    <sheetView tabSelected="1" topLeftCell="A22" zoomScaleNormal="100" zoomScaleSheetLayoutView="100" workbookViewId="0">
      <selection activeCell="C46" sqref="C46:F46"/>
    </sheetView>
  </sheetViews>
  <sheetFormatPr defaultRowHeight="12"/>
  <cols>
    <col min="1" max="30" width="3.28515625" style="70" customWidth="1"/>
    <col min="31" max="256" width="9.140625" style="70"/>
    <col min="257" max="286" width="3.28515625" style="70" customWidth="1"/>
    <col min="287" max="512" width="9.140625" style="70"/>
    <col min="513" max="542" width="3.28515625" style="70" customWidth="1"/>
    <col min="543" max="768" width="9.140625" style="70"/>
    <col min="769" max="798" width="3.28515625" style="70" customWidth="1"/>
    <col min="799" max="1024" width="9.140625" style="70"/>
    <col min="1025" max="1054" width="3.28515625" style="70" customWidth="1"/>
    <col min="1055" max="1280" width="9.140625" style="70"/>
    <col min="1281" max="1310" width="3.28515625" style="70" customWidth="1"/>
    <col min="1311" max="1536" width="9.140625" style="70"/>
    <col min="1537" max="1566" width="3.28515625" style="70" customWidth="1"/>
    <col min="1567" max="1792" width="9.140625" style="70"/>
    <col min="1793" max="1822" width="3.28515625" style="70" customWidth="1"/>
    <col min="1823" max="2048" width="9.140625" style="70"/>
    <col min="2049" max="2078" width="3.28515625" style="70" customWidth="1"/>
    <col min="2079" max="2304" width="9.140625" style="70"/>
    <col min="2305" max="2334" width="3.28515625" style="70" customWidth="1"/>
    <col min="2335" max="2560" width="9.140625" style="70"/>
    <col min="2561" max="2590" width="3.28515625" style="70" customWidth="1"/>
    <col min="2591" max="2816" width="9.140625" style="70"/>
    <col min="2817" max="2846" width="3.28515625" style="70" customWidth="1"/>
    <col min="2847" max="3072" width="9.140625" style="70"/>
    <col min="3073" max="3102" width="3.28515625" style="70" customWidth="1"/>
    <col min="3103" max="3328" width="9.140625" style="70"/>
    <col min="3329" max="3358" width="3.28515625" style="70" customWidth="1"/>
    <col min="3359" max="3584" width="9.140625" style="70"/>
    <col min="3585" max="3614" width="3.28515625" style="70" customWidth="1"/>
    <col min="3615" max="3840" width="9.140625" style="70"/>
    <col min="3841" max="3870" width="3.28515625" style="70" customWidth="1"/>
    <col min="3871" max="4096" width="9.140625" style="70"/>
    <col min="4097" max="4126" width="3.28515625" style="70" customWidth="1"/>
    <col min="4127" max="4352" width="9.140625" style="70"/>
    <col min="4353" max="4382" width="3.28515625" style="70" customWidth="1"/>
    <col min="4383" max="4608" width="9.140625" style="70"/>
    <col min="4609" max="4638" width="3.28515625" style="70" customWidth="1"/>
    <col min="4639" max="4864" width="9.140625" style="70"/>
    <col min="4865" max="4894" width="3.28515625" style="70" customWidth="1"/>
    <col min="4895" max="5120" width="9.140625" style="70"/>
    <col min="5121" max="5150" width="3.28515625" style="70" customWidth="1"/>
    <col min="5151" max="5376" width="9.140625" style="70"/>
    <col min="5377" max="5406" width="3.28515625" style="70" customWidth="1"/>
    <col min="5407" max="5632" width="9.140625" style="70"/>
    <col min="5633" max="5662" width="3.28515625" style="70" customWidth="1"/>
    <col min="5663" max="5888" width="9.140625" style="70"/>
    <col min="5889" max="5918" width="3.28515625" style="70" customWidth="1"/>
    <col min="5919" max="6144" width="9.140625" style="70"/>
    <col min="6145" max="6174" width="3.28515625" style="70" customWidth="1"/>
    <col min="6175" max="6400" width="9.140625" style="70"/>
    <col min="6401" max="6430" width="3.28515625" style="70" customWidth="1"/>
    <col min="6431" max="6656" width="9.140625" style="70"/>
    <col min="6657" max="6686" width="3.28515625" style="70" customWidth="1"/>
    <col min="6687" max="6912" width="9.140625" style="70"/>
    <col min="6913" max="6942" width="3.28515625" style="70" customWidth="1"/>
    <col min="6943" max="7168" width="9.140625" style="70"/>
    <col min="7169" max="7198" width="3.28515625" style="70" customWidth="1"/>
    <col min="7199" max="7424" width="9.140625" style="70"/>
    <col min="7425" max="7454" width="3.28515625" style="70" customWidth="1"/>
    <col min="7455" max="7680" width="9.140625" style="70"/>
    <col min="7681" max="7710" width="3.28515625" style="70" customWidth="1"/>
    <col min="7711" max="7936" width="9.140625" style="70"/>
    <col min="7937" max="7966" width="3.28515625" style="70" customWidth="1"/>
    <col min="7967" max="8192" width="9.140625" style="70"/>
    <col min="8193" max="8222" width="3.28515625" style="70" customWidth="1"/>
    <col min="8223" max="8448" width="9.140625" style="70"/>
    <col min="8449" max="8478" width="3.28515625" style="70" customWidth="1"/>
    <col min="8479" max="8704" width="9.140625" style="70"/>
    <col min="8705" max="8734" width="3.28515625" style="70" customWidth="1"/>
    <col min="8735" max="8960" width="9.140625" style="70"/>
    <col min="8961" max="8990" width="3.28515625" style="70" customWidth="1"/>
    <col min="8991" max="9216" width="9.140625" style="70"/>
    <col min="9217" max="9246" width="3.28515625" style="70" customWidth="1"/>
    <col min="9247" max="9472" width="9.140625" style="70"/>
    <col min="9473" max="9502" width="3.28515625" style="70" customWidth="1"/>
    <col min="9503" max="9728" width="9.140625" style="70"/>
    <col min="9729" max="9758" width="3.28515625" style="70" customWidth="1"/>
    <col min="9759" max="9984" width="9.140625" style="70"/>
    <col min="9985" max="10014" width="3.28515625" style="70" customWidth="1"/>
    <col min="10015" max="10240" width="9.140625" style="70"/>
    <col min="10241" max="10270" width="3.28515625" style="70" customWidth="1"/>
    <col min="10271" max="10496" width="9.140625" style="70"/>
    <col min="10497" max="10526" width="3.28515625" style="70" customWidth="1"/>
    <col min="10527" max="10752" width="9.140625" style="70"/>
    <col min="10753" max="10782" width="3.28515625" style="70" customWidth="1"/>
    <col min="10783" max="11008" width="9.140625" style="70"/>
    <col min="11009" max="11038" width="3.28515625" style="70" customWidth="1"/>
    <col min="11039" max="11264" width="9.140625" style="70"/>
    <col min="11265" max="11294" width="3.28515625" style="70" customWidth="1"/>
    <col min="11295" max="11520" width="9.140625" style="70"/>
    <col min="11521" max="11550" width="3.28515625" style="70" customWidth="1"/>
    <col min="11551" max="11776" width="9.140625" style="70"/>
    <col min="11777" max="11806" width="3.28515625" style="70" customWidth="1"/>
    <col min="11807" max="12032" width="9.140625" style="70"/>
    <col min="12033" max="12062" width="3.28515625" style="70" customWidth="1"/>
    <col min="12063" max="12288" width="9.140625" style="70"/>
    <col min="12289" max="12318" width="3.28515625" style="70" customWidth="1"/>
    <col min="12319" max="12544" width="9.140625" style="70"/>
    <col min="12545" max="12574" width="3.28515625" style="70" customWidth="1"/>
    <col min="12575" max="12800" width="9.140625" style="70"/>
    <col min="12801" max="12830" width="3.28515625" style="70" customWidth="1"/>
    <col min="12831" max="13056" width="9.140625" style="70"/>
    <col min="13057" max="13086" width="3.28515625" style="70" customWidth="1"/>
    <col min="13087" max="13312" width="9.140625" style="70"/>
    <col min="13313" max="13342" width="3.28515625" style="70" customWidth="1"/>
    <col min="13343" max="13568" width="9.140625" style="70"/>
    <col min="13569" max="13598" width="3.28515625" style="70" customWidth="1"/>
    <col min="13599" max="13824" width="9.140625" style="70"/>
    <col min="13825" max="13854" width="3.28515625" style="70" customWidth="1"/>
    <col min="13855" max="14080" width="9.140625" style="70"/>
    <col min="14081" max="14110" width="3.28515625" style="70" customWidth="1"/>
    <col min="14111" max="14336" width="9.140625" style="70"/>
    <col min="14337" max="14366" width="3.28515625" style="70" customWidth="1"/>
    <col min="14367" max="14592" width="9.140625" style="70"/>
    <col min="14593" max="14622" width="3.28515625" style="70" customWidth="1"/>
    <col min="14623" max="14848" width="9.140625" style="70"/>
    <col min="14849" max="14878" width="3.28515625" style="70" customWidth="1"/>
    <col min="14879" max="15104" width="9.140625" style="70"/>
    <col min="15105" max="15134" width="3.28515625" style="70" customWidth="1"/>
    <col min="15135" max="15360" width="9.140625" style="70"/>
    <col min="15361" max="15390" width="3.28515625" style="70" customWidth="1"/>
    <col min="15391" max="15616" width="9.140625" style="70"/>
    <col min="15617" max="15646" width="3.28515625" style="70" customWidth="1"/>
    <col min="15647" max="15872" width="9.140625" style="70"/>
    <col min="15873" max="15902" width="3.28515625" style="70" customWidth="1"/>
    <col min="15903" max="16128" width="9.140625" style="70"/>
    <col min="16129" max="16158" width="3.28515625" style="70" customWidth="1"/>
    <col min="16159" max="16384" width="9.140625" style="70"/>
  </cols>
  <sheetData>
    <row r="1" spans="1:30" ht="15" customHeight="1">
      <c r="A1" s="67"/>
      <c r="B1" s="68"/>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9"/>
    </row>
    <row r="2" spans="1:30" ht="15" customHeight="1">
      <c r="A2" s="71"/>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3"/>
    </row>
    <row r="3" spans="1:30" ht="15" customHeight="1">
      <c r="A3" s="71"/>
      <c r="B3" s="72"/>
      <c r="C3" s="72"/>
      <c r="D3" s="72"/>
      <c r="E3" s="72"/>
      <c r="F3" s="72"/>
      <c r="G3" s="72"/>
      <c r="H3" s="74"/>
      <c r="I3" s="74"/>
      <c r="J3" s="74"/>
      <c r="K3" s="75"/>
      <c r="L3" s="75"/>
      <c r="M3" s="75"/>
      <c r="N3" s="75"/>
      <c r="O3" s="75"/>
      <c r="P3" s="75"/>
      <c r="Q3" s="75"/>
      <c r="R3" s="75"/>
      <c r="S3" s="75"/>
      <c r="T3" s="75"/>
      <c r="U3" s="75"/>
      <c r="V3" s="75"/>
      <c r="W3" s="76"/>
      <c r="X3" s="76"/>
      <c r="Y3" s="76"/>
      <c r="Z3" s="76"/>
      <c r="AA3" s="76"/>
      <c r="AB3" s="76"/>
      <c r="AC3" s="76"/>
      <c r="AD3" s="77"/>
    </row>
    <row r="4" spans="1:30" ht="15" customHeight="1">
      <c r="A4" s="71"/>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3"/>
    </row>
    <row r="5" spans="1:30" ht="15" customHeight="1">
      <c r="A5" s="71"/>
      <c r="B5" s="72"/>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3"/>
    </row>
    <row r="6" spans="1:30" ht="15" customHeight="1">
      <c r="A6" s="71"/>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2"/>
      <c r="AD6" s="73"/>
    </row>
    <row r="7" spans="1:30" ht="15" customHeight="1" thickBot="1">
      <c r="A7" s="78"/>
      <c r="B7" s="79"/>
      <c r="C7" s="79"/>
      <c r="D7" s="79"/>
      <c r="E7" s="79"/>
      <c r="F7" s="80"/>
      <c r="G7" s="72"/>
      <c r="H7" s="72"/>
      <c r="I7" s="72"/>
      <c r="J7" s="72"/>
      <c r="K7" s="72"/>
      <c r="L7" s="72"/>
      <c r="M7" s="72"/>
      <c r="N7" s="72"/>
      <c r="O7" s="72"/>
      <c r="P7" s="72"/>
      <c r="Q7" s="72"/>
      <c r="R7" s="72"/>
      <c r="S7" s="72"/>
      <c r="T7" s="72"/>
      <c r="U7" s="72"/>
      <c r="V7" s="72"/>
      <c r="W7" s="72"/>
      <c r="X7" s="72"/>
      <c r="Y7" s="72"/>
      <c r="Z7" s="72"/>
      <c r="AA7" s="79"/>
      <c r="AB7" s="79"/>
      <c r="AC7" s="79"/>
      <c r="AD7" s="81"/>
    </row>
    <row r="8" spans="1:30" ht="15" customHeight="1">
      <c r="A8" s="107" t="s">
        <v>120</v>
      </c>
      <c r="B8" s="108"/>
      <c r="C8" s="108"/>
      <c r="D8" s="108"/>
      <c r="E8" s="108"/>
      <c r="F8" s="108"/>
      <c r="G8" s="108"/>
      <c r="H8" s="108"/>
      <c r="I8" s="108"/>
      <c r="J8" s="108"/>
      <c r="K8" s="108"/>
      <c r="L8" s="108"/>
      <c r="M8" s="108"/>
      <c r="N8" s="108"/>
      <c r="O8" s="108"/>
      <c r="P8" s="108"/>
      <c r="Q8" s="108"/>
      <c r="R8" s="108"/>
      <c r="S8" s="108"/>
      <c r="T8" s="108"/>
      <c r="U8" s="108"/>
      <c r="V8" s="108"/>
      <c r="W8" s="108"/>
      <c r="X8" s="108"/>
      <c r="Y8" s="108"/>
      <c r="Z8" s="108"/>
      <c r="AA8" s="108"/>
      <c r="AB8" s="108"/>
      <c r="AC8" s="108"/>
      <c r="AD8" s="109"/>
    </row>
    <row r="9" spans="1:30" ht="15" customHeight="1">
      <c r="A9" s="110"/>
      <c r="B9" s="111"/>
      <c r="C9" s="111"/>
      <c r="D9" s="111"/>
      <c r="E9" s="111"/>
      <c r="F9" s="111"/>
      <c r="G9" s="111"/>
      <c r="H9" s="111"/>
      <c r="I9" s="111"/>
      <c r="J9" s="111"/>
      <c r="K9" s="111"/>
      <c r="L9" s="111"/>
      <c r="M9" s="111"/>
      <c r="N9" s="111"/>
      <c r="O9" s="111"/>
      <c r="P9" s="111"/>
      <c r="Q9" s="111"/>
      <c r="R9" s="111"/>
      <c r="S9" s="111"/>
      <c r="T9" s="111"/>
      <c r="U9" s="111"/>
      <c r="V9" s="111"/>
      <c r="W9" s="111"/>
      <c r="X9" s="111"/>
      <c r="Y9" s="111"/>
      <c r="Z9" s="111"/>
      <c r="AA9" s="111"/>
      <c r="AB9" s="111"/>
      <c r="AC9" s="111"/>
      <c r="AD9" s="112"/>
    </row>
    <row r="10" spans="1:30" ht="15" customHeight="1">
      <c r="A10" s="110"/>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2"/>
    </row>
    <row r="11" spans="1:30" ht="15" customHeight="1">
      <c r="A11" s="110"/>
      <c r="B11" s="111"/>
      <c r="C11" s="111"/>
      <c r="D11" s="111"/>
      <c r="E11" s="111"/>
      <c r="F11" s="111"/>
      <c r="G11" s="111"/>
      <c r="H11" s="111"/>
      <c r="I11" s="111"/>
      <c r="J11" s="111"/>
      <c r="K11" s="111"/>
      <c r="L11" s="111"/>
      <c r="M11" s="111"/>
      <c r="N11" s="111"/>
      <c r="O11" s="111"/>
      <c r="P11" s="111"/>
      <c r="Q11" s="111"/>
      <c r="R11" s="111"/>
      <c r="S11" s="111"/>
      <c r="T11" s="111"/>
      <c r="U11" s="111"/>
      <c r="V11" s="111"/>
      <c r="W11" s="111"/>
      <c r="X11" s="111"/>
      <c r="Y11" s="111"/>
      <c r="Z11" s="111"/>
      <c r="AA11" s="111"/>
      <c r="AB11" s="111"/>
      <c r="AC11" s="111"/>
      <c r="AD11" s="112"/>
    </row>
    <row r="12" spans="1:30" ht="15" customHeight="1">
      <c r="A12" s="110"/>
      <c r="B12" s="111"/>
      <c r="C12" s="111"/>
      <c r="D12" s="111"/>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2"/>
    </row>
    <row r="13" spans="1:30" ht="15" customHeight="1">
      <c r="A13" s="110"/>
      <c r="B13" s="111"/>
      <c r="C13" s="111"/>
      <c r="D13" s="111"/>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2"/>
    </row>
    <row r="14" spans="1:30" ht="15" customHeight="1">
      <c r="A14" s="110"/>
      <c r="B14" s="111"/>
      <c r="C14" s="111"/>
      <c r="D14" s="111"/>
      <c r="E14" s="111"/>
      <c r="F14" s="111"/>
      <c r="G14" s="111"/>
      <c r="H14" s="111"/>
      <c r="I14" s="111"/>
      <c r="J14" s="111"/>
      <c r="K14" s="111"/>
      <c r="L14" s="111"/>
      <c r="M14" s="111"/>
      <c r="N14" s="111"/>
      <c r="O14" s="111"/>
      <c r="P14" s="111"/>
      <c r="Q14" s="111"/>
      <c r="R14" s="111"/>
      <c r="S14" s="111"/>
      <c r="T14" s="111"/>
      <c r="U14" s="111"/>
      <c r="V14" s="111"/>
      <c r="W14" s="111"/>
      <c r="X14" s="111"/>
      <c r="Y14" s="111"/>
      <c r="Z14" s="111"/>
      <c r="AA14" s="111"/>
      <c r="AB14" s="111"/>
      <c r="AC14" s="111"/>
      <c r="AD14" s="112"/>
    </row>
    <row r="15" spans="1:30" ht="15" customHeight="1">
      <c r="A15" s="110"/>
      <c r="B15" s="111"/>
      <c r="C15" s="111"/>
      <c r="D15" s="111"/>
      <c r="E15" s="111"/>
      <c r="F15" s="111"/>
      <c r="G15" s="111"/>
      <c r="H15" s="111"/>
      <c r="I15" s="111"/>
      <c r="J15" s="111"/>
      <c r="K15" s="111"/>
      <c r="L15" s="111"/>
      <c r="M15" s="111"/>
      <c r="N15" s="111"/>
      <c r="O15" s="111"/>
      <c r="P15" s="111"/>
      <c r="Q15" s="111"/>
      <c r="R15" s="111"/>
      <c r="S15" s="111"/>
      <c r="T15" s="111"/>
      <c r="U15" s="111"/>
      <c r="V15" s="111"/>
      <c r="W15" s="111"/>
      <c r="X15" s="111"/>
      <c r="Y15" s="111"/>
      <c r="Z15" s="111"/>
      <c r="AA15" s="111"/>
      <c r="AB15" s="111"/>
      <c r="AC15" s="111"/>
      <c r="AD15" s="112"/>
    </row>
    <row r="16" spans="1:30" ht="15" customHeight="1">
      <c r="A16" s="110"/>
      <c r="B16" s="111"/>
      <c r="C16" s="111"/>
      <c r="D16" s="111"/>
      <c r="E16" s="111"/>
      <c r="F16" s="111"/>
      <c r="G16" s="111"/>
      <c r="H16" s="111"/>
      <c r="I16" s="111"/>
      <c r="J16" s="111"/>
      <c r="K16" s="111"/>
      <c r="L16" s="111"/>
      <c r="M16" s="111"/>
      <c r="N16" s="111"/>
      <c r="O16" s="111"/>
      <c r="P16" s="111"/>
      <c r="Q16" s="111"/>
      <c r="R16" s="111"/>
      <c r="S16" s="111"/>
      <c r="T16" s="111"/>
      <c r="U16" s="111"/>
      <c r="V16" s="111"/>
      <c r="W16" s="111"/>
      <c r="X16" s="111"/>
      <c r="Y16" s="111"/>
      <c r="Z16" s="111"/>
      <c r="AA16" s="111"/>
      <c r="AB16" s="111"/>
      <c r="AC16" s="111"/>
      <c r="AD16" s="112"/>
    </row>
    <row r="17" spans="1:30" ht="15" customHeight="1">
      <c r="A17" s="110"/>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2"/>
    </row>
    <row r="18" spans="1:30" ht="15" customHeight="1">
      <c r="A18" s="110"/>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2"/>
    </row>
    <row r="19" spans="1:30" ht="15" customHeight="1">
      <c r="A19" s="110"/>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2"/>
    </row>
    <row r="20" spans="1:30" ht="15" customHeight="1">
      <c r="A20" s="110"/>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c r="AD20" s="112"/>
    </row>
    <row r="21" spans="1:30" ht="15" customHeight="1">
      <c r="A21" s="110"/>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1"/>
      <c r="AD21" s="112"/>
    </row>
    <row r="22" spans="1:30" ht="15" customHeight="1">
      <c r="A22" s="110"/>
      <c r="B22" s="11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2"/>
    </row>
    <row r="23" spans="1:30" ht="15" customHeight="1">
      <c r="A23" s="110"/>
      <c r="B23" s="111"/>
      <c r="C23" s="111"/>
      <c r="D23" s="111"/>
      <c r="E23" s="111"/>
      <c r="F23" s="111"/>
      <c r="G23" s="111"/>
      <c r="H23" s="111"/>
      <c r="I23" s="111"/>
      <c r="J23" s="111"/>
      <c r="K23" s="111"/>
      <c r="L23" s="111"/>
      <c r="M23" s="111"/>
      <c r="N23" s="111"/>
      <c r="O23" s="111"/>
      <c r="P23" s="111"/>
      <c r="Q23" s="111"/>
      <c r="R23" s="111"/>
      <c r="S23" s="111"/>
      <c r="T23" s="111"/>
      <c r="U23" s="111"/>
      <c r="V23" s="111"/>
      <c r="W23" s="111"/>
      <c r="X23" s="111"/>
      <c r="Y23" s="111"/>
      <c r="Z23" s="111"/>
      <c r="AA23" s="111"/>
      <c r="AB23" s="111"/>
      <c r="AC23" s="111"/>
      <c r="AD23" s="112"/>
    </row>
    <row r="24" spans="1:30" ht="15" customHeight="1">
      <c r="A24" s="110"/>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c r="AD24" s="112"/>
    </row>
    <row r="25" spans="1:30" ht="15" customHeight="1">
      <c r="A25" s="110"/>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c r="AA25" s="111"/>
      <c r="AB25" s="111"/>
      <c r="AC25" s="111"/>
      <c r="AD25" s="112"/>
    </row>
    <row r="26" spans="1:30" ht="15" customHeight="1">
      <c r="A26" s="110"/>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c r="AA26" s="111"/>
      <c r="AB26" s="111"/>
      <c r="AC26" s="111"/>
      <c r="AD26" s="112"/>
    </row>
    <row r="27" spans="1:30" ht="15" customHeight="1">
      <c r="A27" s="110"/>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c r="AD27" s="112"/>
    </row>
    <row r="28" spans="1:30" ht="15" customHeight="1">
      <c r="A28" s="110"/>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c r="AD28" s="112"/>
    </row>
    <row r="29" spans="1:30" ht="15" customHeight="1">
      <c r="A29" s="110"/>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c r="AA29" s="111"/>
      <c r="AB29" s="111"/>
      <c r="AC29" s="111"/>
      <c r="AD29" s="112"/>
    </row>
    <row r="30" spans="1:30" ht="15" customHeight="1">
      <c r="A30" s="110"/>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c r="AA30" s="111"/>
      <c r="AB30" s="111"/>
      <c r="AC30" s="111"/>
      <c r="AD30" s="112"/>
    </row>
    <row r="31" spans="1:30" ht="15" customHeight="1">
      <c r="A31" s="110"/>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c r="AA31" s="111"/>
      <c r="AB31" s="111"/>
      <c r="AC31" s="111"/>
      <c r="AD31" s="112"/>
    </row>
    <row r="32" spans="1:30" ht="15" customHeight="1">
      <c r="A32" s="110"/>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c r="AA32" s="111"/>
      <c r="AB32" s="111"/>
      <c r="AC32" s="111"/>
      <c r="AD32" s="112"/>
    </row>
    <row r="33" spans="1:30" ht="15" customHeight="1">
      <c r="A33" s="110"/>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c r="AA33" s="111"/>
      <c r="AB33" s="111"/>
      <c r="AC33" s="111"/>
      <c r="AD33" s="112"/>
    </row>
    <row r="34" spans="1:30" ht="15" customHeight="1">
      <c r="A34" s="110"/>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11"/>
      <c r="AD34" s="112"/>
    </row>
    <row r="35" spans="1:30" ht="15" customHeight="1">
      <c r="A35" s="110"/>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c r="AD35" s="112"/>
    </row>
    <row r="36" spans="1:30" ht="15" customHeight="1">
      <c r="A36" s="110"/>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2"/>
    </row>
    <row r="37" spans="1:30" ht="15" customHeight="1">
      <c r="A37" s="110"/>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c r="AD37" s="112"/>
    </row>
    <row r="38" spans="1:30" ht="15" customHeight="1">
      <c r="A38" s="110"/>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2"/>
    </row>
    <row r="39" spans="1:30" ht="15" customHeight="1" thickBot="1">
      <c r="A39" s="113"/>
      <c r="B39" s="114"/>
      <c r="C39" s="114"/>
      <c r="D39" s="114"/>
      <c r="E39" s="114"/>
      <c r="F39" s="114"/>
      <c r="G39" s="114"/>
      <c r="H39" s="114"/>
      <c r="I39" s="114"/>
      <c r="J39" s="114"/>
      <c r="K39" s="114"/>
      <c r="L39" s="114"/>
      <c r="M39" s="114"/>
      <c r="N39" s="114"/>
      <c r="O39" s="114"/>
      <c r="P39" s="114"/>
      <c r="Q39" s="114"/>
      <c r="R39" s="114"/>
      <c r="S39" s="114"/>
      <c r="T39" s="114"/>
      <c r="U39" s="114"/>
      <c r="V39" s="114"/>
      <c r="W39" s="114"/>
      <c r="X39" s="114"/>
      <c r="Y39" s="114"/>
      <c r="Z39" s="114"/>
      <c r="AA39" s="114"/>
      <c r="AB39" s="114"/>
      <c r="AC39" s="114"/>
      <c r="AD39" s="115"/>
    </row>
    <row r="40" spans="1:30" ht="30" customHeight="1">
      <c r="A40" s="116"/>
      <c r="B40" s="117"/>
      <c r="C40" s="118"/>
      <c r="D40" s="119"/>
      <c r="E40" s="119"/>
      <c r="F40" s="117"/>
      <c r="G40" s="118"/>
      <c r="H40" s="119"/>
      <c r="I40" s="119"/>
      <c r="J40" s="119"/>
      <c r="K40" s="119"/>
      <c r="L40" s="119"/>
      <c r="M40" s="119"/>
      <c r="N40" s="119"/>
      <c r="O40" s="119"/>
      <c r="P40" s="118"/>
      <c r="Q40" s="119"/>
      <c r="R40" s="119"/>
      <c r="S40" s="119"/>
      <c r="T40" s="117"/>
      <c r="U40" s="118"/>
      <c r="V40" s="119"/>
      <c r="W40" s="119"/>
      <c r="X40" s="119"/>
      <c r="Y40" s="117"/>
      <c r="Z40" s="118"/>
      <c r="AA40" s="119"/>
      <c r="AB40" s="119"/>
      <c r="AC40" s="119"/>
      <c r="AD40" s="120"/>
    </row>
    <row r="41" spans="1:30" ht="30" customHeight="1">
      <c r="A41" s="94"/>
      <c r="B41" s="95"/>
      <c r="C41" s="96"/>
      <c r="D41" s="97"/>
      <c r="E41" s="97"/>
      <c r="F41" s="95"/>
      <c r="G41" s="96"/>
      <c r="H41" s="97"/>
      <c r="I41" s="97"/>
      <c r="J41" s="97"/>
      <c r="K41" s="97"/>
      <c r="L41" s="97"/>
      <c r="M41" s="97"/>
      <c r="N41" s="97"/>
      <c r="O41" s="97"/>
      <c r="P41" s="96"/>
      <c r="Q41" s="97"/>
      <c r="R41" s="97"/>
      <c r="S41" s="97"/>
      <c r="T41" s="95"/>
      <c r="U41" s="96"/>
      <c r="V41" s="97"/>
      <c r="W41" s="97"/>
      <c r="X41" s="97"/>
      <c r="Y41" s="95"/>
      <c r="Z41" s="96"/>
      <c r="AA41" s="97"/>
      <c r="AB41" s="97"/>
      <c r="AC41" s="97"/>
      <c r="AD41" s="98"/>
    </row>
    <row r="42" spans="1:30" ht="30" customHeight="1">
      <c r="A42" s="94"/>
      <c r="B42" s="95"/>
      <c r="C42" s="96"/>
      <c r="D42" s="97"/>
      <c r="E42" s="97"/>
      <c r="F42" s="95"/>
      <c r="G42" s="96"/>
      <c r="H42" s="97"/>
      <c r="I42" s="97"/>
      <c r="J42" s="97"/>
      <c r="K42" s="97"/>
      <c r="L42" s="97"/>
      <c r="M42" s="97"/>
      <c r="N42" s="97"/>
      <c r="O42" s="97"/>
      <c r="P42" s="96"/>
      <c r="Q42" s="97"/>
      <c r="R42" s="97"/>
      <c r="S42" s="97"/>
      <c r="T42" s="95"/>
      <c r="U42" s="96"/>
      <c r="V42" s="97"/>
      <c r="W42" s="97"/>
      <c r="X42" s="97"/>
      <c r="Y42" s="95"/>
      <c r="Z42" s="96"/>
      <c r="AA42" s="97"/>
      <c r="AB42" s="97"/>
      <c r="AC42" s="97"/>
      <c r="AD42" s="98"/>
    </row>
    <row r="43" spans="1:30" ht="30" customHeight="1">
      <c r="A43" s="94"/>
      <c r="B43" s="95"/>
      <c r="C43" s="96"/>
      <c r="D43" s="97"/>
      <c r="E43" s="97"/>
      <c r="F43" s="95"/>
      <c r="G43" s="96"/>
      <c r="H43" s="97"/>
      <c r="I43" s="97"/>
      <c r="J43" s="97"/>
      <c r="K43" s="97"/>
      <c r="L43" s="97"/>
      <c r="M43" s="97"/>
      <c r="N43" s="97"/>
      <c r="O43" s="97"/>
      <c r="P43" s="96"/>
      <c r="Q43" s="97"/>
      <c r="R43" s="97"/>
      <c r="S43" s="97"/>
      <c r="T43" s="95"/>
      <c r="U43" s="96"/>
      <c r="V43" s="97"/>
      <c r="W43" s="97"/>
      <c r="X43" s="97"/>
      <c r="Y43" s="95"/>
      <c r="Z43" s="96"/>
      <c r="AA43" s="97"/>
      <c r="AB43" s="97"/>
      <c r="AC43" s="97"/>
      <c r="AD43" s="98"/>
    </row>
    <row r="44" spans="1:30" ht="30" customHeight="1">
      <c r="A44" s="94"/>
      <c r="B44" s="95"/>
      <c r="C44" s="96"/>
      <c r="D44" s="97"/>
      <c r="E44" s="97"/>
      <c r="F44" s="95"/>
      <c r="G44" s="96"/>
      <c r="H44" s="97"/>
      <c r="I44" s="97"/>
      <c r="J44" s="97"/>
      <c r="K44" s="97"/>
      <c r="L44" s="97"/>
      <c r="M44" s="97"/>
      <c r="N44" s="97"/>
      <c r="O44" s="97"/>
      <c r="P44" s="96"/>
      <c r="Q44" s="97"/>
      <c r="R44" s="97"/>
      <c r="S44" s="97"/>
      <c r="T44" s="95"/>
      <c r="U44" s="96"/>
      <c r="V44" s="97"/>
      <c r="W44" s="97"/>
      <c r="X44" s="97"/>
      <c r="Y44" s="95"/>
      <c r="Z44" s="96"/>
      <c r="AA44" s="97"/>
      <c r="AB44" s="97"/>
      <c r="AC44" s="97"/>
      <c r="AD44" s="98"/>
    </row>
    <row r="45" spans="1:30" ht="30" customHeight="1">
      <c r="A45" s="94"/>
      <c r="B45" s="95"/>
      <c r="C45" s="96"/>
      <c r="D45" s="97"/>
      <c r="E45" s="97"/>
      <c r="F45" s="95"/>
      <c r="G45" s="96"/>
      <c r="H45" s="97"/>
      <c r="I45" s="97"/>
      <c r="J45" s="97"/>
      <c r="K45" s="97"/>
      <c r="L45" s="97"/>
      <c r="M45" s="97"/>
      <c r="N45" s="97"/>
      <c r="O45" s="97"/>
      <c r="P45" s="96"/>
      <c r="Q45" s="97"/>
      <c r="R45" s="97"/>
      <c r="S45" s="97"/>
      <c r="T45" s="95"/>
      <c r="U45" s="96"/>
      <c r="V45" s="97"/>
      <c r="W45" s="97"/>
      <c r="X45" s="97"/>
      <c r="Y45" s="95"/>
      <c r="Z45" s="96"/>
      <c r="AA45" s="97"/>
      <c r="AB45" s="97"/>
      <c r="AC45" s="97"/>
      <c r="AD45" s="98"/>
    </row>
    <row r="46" spans="1:30" ht="30" customHeight="1">
      <c r="A46" s="99">
        <v>0</v>
      </c>
      <c r="B46" s="100"/>
      <c r="C46" s="101">
        <v>45428</v>
      </c>
      <c r="D46" s="102"/>
      <c r="E46" s="102"/>
      <c r="F46" s="103"/>
      <c r="G46" s="104" t="s">
        <v>0</v>
      </c>
      <c r="H46" s="105"/>
      <c r="I46" s="105"/>
      <c r="J46" s="105"/>
      <c r="K46" s="105"/>
      <c r="L46" s="105"/>
      <c r="M46" s="105"/>
      <c r="N46" s="105"/>
      <c r="O46" s="105"/>
      <c r="P46" s="91" t="s">
        <v>1</v>
      </c>
      <c r="Q46" s="92"/>
      <c r="R46" s="92"/>
      <c r="S46" s="92"/>
      <c r="T46" s="106"/>
      <c r="U46" s="91" t="s">
        <v>2</v>
      </c>
      <c r="V46" s="92"/>
      <c r="W46" s="92"/>
      <c r="X46" s="92"/>
      <c r="Y46" s="106"/>
      <c r="Z46" s="91" t="s">
        <v>3</v>
      </c>
      <c r="AA46" s="92"/>
      <c r="AB46" s="92"/>
      <c r="AC46" s="92"/>
      <c r="AD46" s="93"/>
    </row>
    <row r="47" spans="1:30" ht="15" customHeight="1" thickBot="1">
      <c r="A47" s="85" t="s">
        <v>4</v>
      </c>
      <c r="B47" s="86"/>
      <c r="C47" s="87" t="s">
        <v>5</v>
      </c>
      <c r="D47" s="88"/>
      <c r="E47" s="88"/>
      <c r="F47" s="89"/>
      <c r="G47" s="87" t="s">
        <v>6</v>
      </c>
      <c r="H47" s="88"/>
      <c r="I47" s="88"/>
      <c r="J47" s="88"/>
      <c r="K47" s="88"/>
      <c r="L47" s="88"/>
      <c r="M47" s="88"/>
      <c r="N47" s="88"/>
      <c r="O47" s="88"/>
      <c r="P47" s="87" t="s">
        <v>7</v>
      </c>
      <c r="Q47" s="88"/>
      <c r="R47" s="88"/>
      <c r="S47" s="88"/>
      <c r="T47" s="89"/>
      <c r="U47" s="87" t="s">
        <v>8</v>
      </c>
      <c r="V47" s="88"/>
      <c r="W47" s="88"/>
      <c r="X47" s="88"/>
      <c r="Y47" s="88"/>
      <c r="Z47" s="87" t="s">
        <v>9</v>
      </c>
      <c r="AA47" s="88"/>
      <c r="AB47" s="88"/>
      <c r="AC47" s="88"/>
      <c r="AD47" s="90"/>
    </row>
    <row r="48" spans="1:30" ht="15" customHeight="1" thickBot="1">
      <c r="A48" s="82" t="s">
        <v>119</v>
      </c>
      <c r="B48" s="83"/>
      <c r="C48" s="83"/>
      <c r="D48" s="83"/>
      <c r="E48" s="83"/>
      <c r="F48" s="83"/>
      <c r="G48" s="83"/>
      <c r="H48" s="83"/>
      <c r="I48" s="83"/>
      <c r="J48" s="83"/>
      <c r="K48" s="83"/>
      <c r="L48" s="83"/>
      <c r="M48" s="83"/>
      <c r="N48" s="83"/>
      <c r="O48" s="83"/>
      <c r="P48" s="83"/>
      <c r="Q48" s="83"/>
      <c r="R48" s="83"/>
      <c r="S48" s="83"/>
      <c r="T48" s="83"/>
      <c r="U48" s="83"/>
      <c r="V48" s="83"/>
      <c r="W48" s="83"/>
      <c r="X48" s="83"/>
      <c r="Y48" s="83"/>
      <c r="Z48" s="83"/>
      <c r="AA48" s="83"/>
      <c r="AB48" s="83"/>
      <c r="AC48" s="83"/>
      <c r="AD48" s="84"/>
    </row>
  </sheetData>
  <mergeCells count="50">
    <mergeCell ref="A8:AD39"/>
    <mergeCell ref="A40:B40"/>
    <mergeCell ref="C40:F40"/>
    <mergeCell ref="G40:O40"/>
    <mergeCell ref="P40:T40"/>
    <mergeCell ref="U40:Y40"/>
    <mergeCell ref="Z40:AD40"/>
    <mergeCell ref="Z42:AD42"/>
    <mergeCell ref="A41:B41"/>
    <mergeCell ref="C41:F41"/>
    <mergeCell ref="G41:O41"/>
    <mergeCell ref="P41:T41"/>
    <mergeCell ref="U41:Y41"/>
    <mergeCell ref="Z41:AD41"/>
    <mergeCell ref="A42:B42"/>
    <mergeCell ref="C42:F42"/>
    <mergeCell ref="G42:O42"/>
    <mergeCell ref="P42:T42"/>
    <mergeCell ref="U42:Y42"/>
    <mergeCell ref="Z44:AD44"/>
    <mergeCell ref="A43:B43"/>
    <mergeCell ref="C43:F43"/>
    <mergeCell ref="G43:O43"/>
    <mergeCell ref="P43:T43"/>
    <mergeCell ref="U43:Y43"/>
    <mergeCell ref="Z43:AD43"/>
    <mergeCell ref="A44:B44"/>
    <mergeCell ref="C44:F44"/>
    <mergeCell ref="G44:O44"/>
    <mergeCell ref="P44:T44"/>
    <mergeCell ref="U44:Y44"/>
    <mergeCell ref="Z46:AD46"/>
    <mergeCell ref="A45:B45"/>
    <mergeCell ref="C45:F45"/>
    <mergeCell ref="G45:O45"/>
    <mergeCell ref="P45:T45"/>
    <mergeCell ref="U45:Y45"/>
    <mergeCell ref="Z45:AD45"/>
    <mergeCell ref="A46:B46"/>
    <mergeCell ref="C46:F46"/>
    <mergeCell ref="G46:O46"/>
    <mergeCell ref="P46:T46"/>
    <mergeCell ref="U46:Y46"/>
    <mergeCell ref="A48:AD48"/>
    <mergeCell ref="A47:B47"/>
    <mergeCell ref="C47:F47"/>
    <mergeCell ref="G47:O47"/>
    <mergeCell ref="P47:T47"/>
    <mergeCell ref="U47:Y47"/>
    <mergeCell ref="Z47:AD47"/>
  </mergeCells>
  <printOptions horizontalCentered="1" verticalCentered="1"/>
  <pageMargins left="0.70866141732283472" right="0.70866141732283472" top="0.74803149606299213" bottom="0.74803149606299213" header="0.31496062992125984" footer="0.31496062992125984"/>
  <pageSetup paperSize="9" scale="90" fitToWidth="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EF297-5059-4C2B-90F8-F88F5715EA7A}">
  <dimension ref="A1:L61"/>
  <sheetViews>
    <sheetView workbookViewId="0">
      <selection sqref="A1:J1"/>
    </sheetView>
  </sheetViews>
  <sheetFormatPr defaultRowHeight="15"/>
  <cols>
    <col min="1" max="1" width="12.140625" customWidth="1"/>
    <col min="2" max="2" width="25" customWidth="1"/>
    <col min="4" max="4" width="4.42578125" bestFit="1" customWidth="1"/>
    <col min="6" max="6" width="9.7109375" customWidth="1"/>
    <col min="8" max="8" width="7.140625" customWidth="1"/>
    <col min="10" max="10" width="4.5703125" bestFit="1" customWidth="1"/>
  </cols>
  <sheetData>
    <row r="1" spans="1:10" ht="15.75" thickBot="1">
      <c r="A1" s="121" t="s">
        <v>10</v>
      </c>
      <c r="B1" s="122"/>
      <c r="C1" s="122"/>
      <c r="D1" s="122"/>
      <c r="E1" s="122"/>
      <c r="F1" s="122"/>
      <c r="G1" s="122"/>
      <c r="H1" s="122"/>
      <c r="I1" s="122"/>
      <c r="J1" s="123"/>
    </row>
    <row r="2" spans="1:10">
      <c r="A2" s="62" t="s">
        <v>11</v>
      </c>
      <c r="B2" s="153" t="s">
        <v>12</v>
      </c>
      <c r="C2" s="153"/>
      <c r="E2" s="64" t="s">
        <v>13</v>
      </c>
      <c r="F2" s="64"/>
      <c r="G2" s="153" t="s">
        <v>14</v>
      </c>
      <c r="H2" s="153"/>
      <c r="I2" s="153"/>
      <c r="J2" s="10"/>
    </row>
    <row r="3" spans="1:10">
      <c r="A3" s="63" t="s">
        <v>15</v>
      </c>
      <c r="B3" s="154">
        <v>86988</v>
      </c>
      <c r="C3" s="154"/>
      <c r="E3" s="65" t="s">
        <v>16</v>
      </c>
      <c r="F3" s="65"/>
      <c r="G3" s="154" t="s">
        <v>17</v>
      </c>
      <c r="H3" s="154"/>
      <c r="I3" s="154"/>
      <c r="J3" s="10"/>
    </row>
    <row r="4" spans="1:10">
      <c r="A4" s="63" t="s">
        <v>18</v>
      </c>
      <c r="B4" s="154" t="s">
        <v>19</v>
      </c>
      <c r="C4" s="154"/>
      <c r="E4" s="65" t="s">
        <v>20</v>
      </c>
      <c r="F4" s="65"/>
      <c r="G4" s="154" t="s">
        <v>21</v>
      </c>
      <c r="H4" s="154"/>
      <c r="I4" s="154"/>
      <c r="J4" s="10"/>
    </row>
    <row r="5" spans="1:10" ht="15.75" thickBot="1">
      <c r="A5" s="12"/>
      <c r="B5" s="13"/>
      <c r="C5" s="13"/>
      <c r="D5" s="13"/>
      <c r="E5" s="13"/>
      <c r="F5" s="13"/>
      <c r="G5" s="13"/>
      <c r="H5" s="13"/>
      <c r="I5" s="13"/>
      <c r="J5" s="14"/>
    </row>
    <row r="6" spans="1:10" ht="15.75" thickBot="1">
      <c r="A6" s="121" t="s">
        <v>22</v>
      </c>
      <c r="B6" s="122"/>
      <c r="C6" s="122"/>
      <c r="D6" s="122"/>
      <c r="E6" s="122"/>
      <c r="F6" s="122"/>
      <c r="G6" s="122"/>
      <c r="H6" s="122"/>
      <c r="I6" s="122"/>
      <c r="J6" s="123"/>
    </row>
    <row r="7" spans="1:10">
      <c r="A7" s="62" t="s">
        <v>23</v>
      </c>
      <c r="B7" s="64"/>
      <c r="C7" s="50">
        <v>105</v>
      </c>
      <c r="D7" t="s">
        <v>24</v>
      </c>
      <c r="F7" s="64" t="s">
        <v>25</v>
      </c>
      <c r="G7" s="64"/>
      <c r="H7" s="64"/>
      <c r="I7" s="50">
        <v>5</v>
      </c>
      <c r="J7" s="10"/>
    </row>
    <row r="8" spans="1:10">
      <c r="A8" s="63" t="s">
        <v>26</v>
      </c>
      <c r="B8" s="65"/>
      <c r="C8" s="51">
        <v>5</v>
      </c>
      <c r="F8" s="65" t="s">
        <v>27</v>
      </c>
      <c r="G8" s="65"/>
      <c r="H8" s="65"/>
      <c r="I8" s="51">
        <v>12</v>
      </c>
      <c r="J8" s="10"/>
    </row>
    <row r="9" spans="1:10">
      <c r="A9" s="63" t="s">
        <v>28</v>
      </c>
      <c r="B9" s="65"/>
      <c r="C9" s="51">
        <v>10</v>
      </c>
      <c r="F9" s="65" t="s">
        <v>29</v>
      </c>
      <c r="G9" s="65"/>
      <c r="H9" s="65"/>
      <c r="I9" s="51">
        <v>4710</v>
      </c>
      <c r="J9" s="10" t="s">
        <v>30</v>
      </c>
    </row>
    <row r="10" spans="1:10">
      <c r="A10" s="63" t="s">
        <v>31</v>
      </c>
      <c r="B10" s="65"/>
      <c r="C10" s="51">
        <v>5220</v>
      </c>
      <c r="D10" t="s">
        <v>30</v>
      </c>
      <c r="F10" s="65" t="s">
        <v>32</v>
      </c>
      <c r="G10" s="65"/>
      <c r="H10" s="65"/>
      <c r="I10" s="51">
        <v>5220</v>
      </c>
      <c r="J10" s="10" t="s">
        <v>30</v>
      </c>
    </row>
    <row r="11" spans="1:10" ht="30" customHeight="1">
      <c r="A11" s="156" t="s">
        <v>33</v>
      </c>
      <c r="B11" s="157"/>
      <c r="C11" s="52">
        <v>1503</v>
      </c>
      <c r="D11" s="48" t="s">
        <v>24</v>
      </c>
      <c r="E11" s="48" t="s">
        <v>34</v>
      </c>
      <c r="J11" s="10"/>
    </row>
    <row r="12" spans="1:10" ht="30" customHeight="1">
      <c r="A12" s="156" t="s">
        <v>35</v>
      </c>
      <c r="B12" s="157"/>
      <c r="C12" s="53">
        <f>IF(Support_calcs!H17,C11+C7*(Support_calcs!H14-Support_calcs!H16),C11+C7*(Support_calcs!I14-Support_calcs!I16))</f>
        <v>1608</v>
      </c>
      <c r="D12" s="48" t="s">
        <v>24</v>
      </c>
      <c r="F12" s="155" t="s">
        <v>36</v>
      </c>
      <c r="G12" s="155"/>
      <c r="H12" s="155"/>
      <c r="I12" s="53">
        <f>IF(Support_calcs!H17,C11+C7*(Support_calcs!H15-Support_calcs!H16),C11+C7*(Support_calcs!I15-Support_calcs!I16))</f>
        <v>1188</v>
      </c>
      <c r="J12" s="55" t="s">
        <v>24</v>
      </c>
    </row>
    <row r="13" spans="1:10">
      <c r="A13" s="9"/>
      <c r="J13" s="10"/>
    </row>
    <row r="14" spans="1:10">
      <c r="A14" s="63" t="s">
        <v>37</v>
      </c>
      <c r="B14" s="151" t="s">
        <v>38</v>
      </c>
      <c r="C14" s="151"/>
      <c r="F14" s="126" t="s">
        <v>39</v>
      </c>
      <c r="G14" s="125"/>
      <c r="H14" s="151" t="s">
        <v>40</v>
      </c>
      <c r="I14" s="151"/>
      <c r="J14" s="10"/>
    </row>
    <row r="15" spans="1:10">
      <c r="A15" s="124" t="s">
        <v>41</v>
      </c>
      <c r="B15" s="125"/>
      <c r="C15" s="51">
        <v>943</v>
      </c>
      <c r="D15" t="s">
        <v>42</v>
      </c>
      <c r="E15" t="s">
        <v>43</v>
      </c>
      <c r="F15" s="152" t="s">
        <v>44</v>
      </c>
      <c r="G15" s="152"/>
      <c r="H15" s="152"/>
      <c r="I15" s="152"/>
      <c r="J15" s="10"/>
    </row>
    <row r="16" spans="1:10">
      <c r="A16" s="124" t="s">
        <v>45</v>
      </c>
      <c r="B16" s="125"/>
      <c r="C16" s="54">
        <f>Support_calcs!B40</f>
        <v>943</v>
      </c>
      <c r="D16" t="s">
        <v>42</v>
      </c>
      <c r="F16" s="152"/>
      <c r="G16" s="152"/>
      <c r="H16" s="152"/>
      <c r="I16" s="152"/>
      <c r="J16" s="10"/>
    </row>
    <row r="17" spans="1:12" ht="15.75" thickBot="1">
      <c r="A17" s="9"/>
      <c r="J17" s="10"/>
    </row>
    <row r="18" spans="1:12" ht="15.75" thickBot="1">
      <c r="A18" s="121" t="s">
        <v>46</v>
      </c>
      <c r="B18" s="122"/>
      <c r="C18" s="122"/>
      <c r="D18" s="122"/>
      <c r="E18" s="122"/>
      <c r="F18" s="122"/>
      <c r="G18" s="122"/>
      <c r="H18" s="122"/>
      <c r="I18" s="122"/>
      <c r="J18" s="123"/>
    </row>
    <row r="19" spans="1:12">
      <c r="A19" s="135" t="s">
        <v>47</v>
      </c>
      <c r="B19" s="135"/>
      <c r="C19" s="135"/>
      <c r="D19" s="135"/>
      <c r="J19" s="10"/>
    </row>
    <row r="20" spans="1:12">
      <c r="A20" s="135"/>
      <c r="B20" s="135"/>
      <c r="C20" s="135"/>
      <c r="D20" s="135"/>
      <c r="J20" s="10"/>
    </row>
    <row r="21" spans="1:12">
      <c r="A21" s="9"/>
      <c r="J21" s="10"/>
    </row>
    <row r="22" spans="1:12">
      <c r="A22" s="63" t="s">
        <v>48</v>
      </c>
      <c r="B22" s="65"/>
      <c r="C22" s="54">
        <f>C16/(C11/1000)/2</f>
        <v>313.70592149035264</v>
      </c>
      <c r="D22" t="s">
        <v>49</v>
      </c>
      <c r="J22" s="10"/>
    </row>
    <row r="23" spans="1:12">
      <c r="A23" s="63" t="s">
        <v>50</v>
      </c>
      <c r="B23" s="65"/>
      <c r="C23" s="54">
        <f>C22/C8*60</f>
        <v>3764.4710578842319</v>
      </c>
      <c r="D23" t="s">
        <v>30</v>
      </c>
      <c r="J23" s="10"/>
    </row>
    <row r="24" spans="1:12">
      <c r="A24" s="63" t="s">
        <v>51</v>
      </c>
      <c r="B24" s="65"/>
      <c r="C24" s="56">
        <f>(C23/C10-1)*100</f>
        <v>-27.883696209114326</v>
      </c>
      <c r="D24" t="s">
        <v>52</v>
      </c>
      <c r="E24" s="49" t="str">
        <f>IF(ABS(C24)&lt;20,"Warning &lt;20%"," ")</f>
        <v xml:space="preserve"> </v>
      </c>
      <c r="F24" s="49"/>
      <c r="G24" s="49"/>
      <c r="J24" s="10"/>
    </row>
    <row r="25" spans="1:12" ht="15.75" thickBot="1">
      <c r="A25" s="9"/>
      <c r="J25" s="10"/>
    </row>
    <row r="26" spans="1:12" ht="15.75" thickBot="1">
      <c r="A26" s="136" t="s">
        <v>53</v>
      </c>
      <c r="B26" s="137"/>
      <c r="C26" s="137"/>
      <c r="D26" s="137"/>
      <c r="E26" s="137"/>
      <c r="F26" s="137"/>
      <c r="G26" s="137"/>
      <c r="H26" s="137"/>
      <c r="I26" s="137"/>
      <c r="J26" s="138"/>
    </row>
    <row r="27" spans="1:12">
      <c r="A27" s="134"/>
      <c r="B27" s="130"/>
      <c r="C27" s="130"/>
      <c r="D27" s="130"/>
      <c r="E27" s="66" t="s">
        <v>54</v>
      </c>
      <c r="F27" s="66" t="s">
        <v>55</v>
      </c>
      <c r="G27" s="66" t="s">
        <v>56</v>
      </c>
      <c r="H27" s="130"/>
      <c r="I27" s="130"/>
      <c r="J27" s="131"/>
    </row>
    <row r="28" spans="1:12">
      <c r="A28" s="149" t="str">
        <f>CONCATENATE("Critical passage length at ",I9," ",J9," [mm]:")</f>
        <v>Critical passage length at 4710 rpm [mm]:</v>
      </c>
      <c r="B28" s="150"/>
      <c r="C28" s="150"/>
      <c r="D28" s="150"/>
      <c r="E28" s="57">
        <f>Support_calcs!M28</f>
        <v>1201.2738853503183</v>
      </c>
      <c r="F28" s="57">
        <f>Support_calcs!N28</f>
        <v>2402.5477707006366</v>
      </c>
      <c r="G28" s="58">
        <f>Support_calcs!O28</f>
        <v>3603.8216560509554</v>
      </c>
      <c r="H28" s="132"/>
      <c r="I28" s="132"/>
      <c r="J28" s="133"/>
    </row>
    <row r="29" spans="1:12">
      <c r="A29" s="145" t="str">
        <f>CONCATENATE("Critical passage length at ",I10," ",J10," [mm]:")</f>
        <v>Critical passage length at 5220 rpm [mm]:</v>
      </c>
      <c r="B29" s="146"/>
      <c r="C29" s="146"/>
      <c r="D29" s="146"/>
      <c r="E29" s="59">
        <f>Support_calcs!M29</f>
        <v>1083.9080459770114</v>
      </c>
      <c r="F29" s="59">
        <f>Support_calcs!N29</f>
        <v>2167.8160919540228</v>
      </c>
      <c r="G29" s="60">
        <f>Support_calcs!O29</f>
        <v>3251.724137931034</v>
      </c>
      <c r="H29" s="132"/>
      <c r="I29" s="132"/>
      <c r="J29" s="133"/>
    </row>
    <row r="30" spans="1:12">
      <c r="A30" s="139"/>
      <c r="B30" s="140"/>
      <c r="C30" s="140"/>
      <c r="D30" s="140"/>
      <c r="E30" s="140"/>
      <c r="F30" s="140"/>
      <c r="G30" s="140"/>
      <c r="H30" s="140"/>
      <c r="I30" s="140"/>
      <c r="J30" s="141"/>
      <c r="L30" t="s">
        <v>57</v>
      </c>
    </row>
    <row r="31" spans="1:12" ht="15" customHeight="1">
      <c r="A31" s="145" t="str">
        <f>CONCATENATE("Separation margin for a ",I7," stage pump at ",I9," [rpm]:")</f>
        <v>Separation margin for a 5 stage pump at 4710 [rpm]:</v>
      </c>
      <c r="B31" s="146"/>
      <c r="C31" s="146"/>
      <c r="D31" s="146"/>
      <c r="E31" s="61">
        <f t="shared" ref="E31:G32" si="0">+(E28/$I$12)-1</f>
        <v>1.1173304166934628E-2</v>
      </c>
      <c r="F31" s="61">
        <f t="shared" si="0"/>
        <v>1.0223466083338693</v>
      </c>
      <c r="G31" s="61">
        <f t="shared" si="0"/>
        <v>2.0335199125008043</v>
      </c>
      <c r="H31" s="147" t="str">
        <f t="shared" ref="H31:H33" si="1">IF(ABS(SMALL(E31:G31,1))&lt;0.2,"Warning &lt;20%"," ")</f>
        <v>Warning &lt;20%</v>
      </c>
      <c r="I31" s="147"/>
      <c r="J31" s="148"/>
      <c r="L31" t="s">
        <v>58</v>
      </c>
    </row>
    <row r="32" spans="1:12" ht="15" customHeight="1">
      <c r="A32" s="145" t="str">
        <f>CONCATENATE("Separation margin for a ",I7," stage pump at ",I10," [rpm]:")</f>
        <v>Separation margin for a 5 stage pump at 5220 [rpm]:</v>
      </c>
      <c r="B32" s="146"/>
      <c r="C32" s="146"/>
      <c r="D32" s="146"/>
      <c r="E32" s="61">
        <f t="shared" si="0"/>
        <v>-8.7619489918340565E-2</v>
      </c>
      <c r="F32" s="61">
        <f t="shared" si="0"/>
        <v>0.82476102016331887</v>
      </c>
      <c r="G32" s="61">
        <f t="shared" si="0"/>
        <v>1.737141530244978</v>
      </c>
      <c r="H32" s="147" t="str">
        <f t="shared" si="1"/>
        <v>Warning &lt;20%</v>
      </c>
      <c r="I32" s="147"/>
      <c r="J32" s="148"/>
      <c r="L32" t="s">
        <v>59</v>
      </c>
    </row>
    <row r="33" spans="1:10">
      <c r="A33" s="145" t="str">
        <f>CONCATENATE("Separation margin for a ",I8," stage pump at ",I9," [rpm]:")</f>
        <v>Separation margin for a 12 stage pump at 4710 [rpm]:</v>
      </c>
      <c r="B33" s="146"/>
      <c r="C33" s="146"/>
      <c r="D33" s="146"/>
      <c r="E33" s="61">
        <f t="shared" ref="E33:G34" si="2">+(E28/$C$12)-1</f>
        <v>-0.25293912602592139</v>
      </c>
      <c r="F33" s="61">
        <f t="shared" si="2"/>
        <v>0.49412174794815722</v>
      </c>
      <c r="G33" s="61">
        <f t="shared" si="2"/>
        <v>1.2411826219222362</v>
      </c>
      <c r="H33" s="147" t="str">
        <f t="shared" si="1"/>
        <v xml:space="preserve"> </v>
      </c>
      <c r="I33" s="147"/>
      <c r="J33" s="148"/>
    </row>
    <row r="34" spans="1:10">
      <c r="A34" s="145" t="str">
        <f>CONCATENATE("Separation margin for a ",I8," stage pump at ",I10," [rpm]:")</f>
        <v>Separation margin for a 12 stage pump at 5220 [rpm]:</v>
      </c>
      <c r="B34" s="146"/>
      <c r="C34" s="146"/>
      <c r="D34" s="146"/>
      <c r="E34" s="61">
        <f t="shared" si="2"/>
        <v>-0.32592783210384868</v>
      </c>
      <c r="F34" s="61">
        <f t="shared" si="2"/>
        <v>0.34814433579230264</v>
      </c>
      <c r="G34" s="61">
        <f t="shared" si="2"/>
        <v>1.0222165036884538</v>
      </c>
      <c r="H34" s="147" t="str">
        <f>IF(ABS(SMALL(E34:G34,1))&lt;0.2,"Warning &lt;20%"," ")</f>
        <v xml:space="preserve"> </v>
      </c>
      <c r="I34" s="147"/>
      <c r="J34" s="148"/>
    </row>
    <row r="35" spans="1:10">
      <c r="A35" s="142"/>
      <c r="B35" s="143"/>
      <c r="C35" s="143"/>
      <c r="D35" s="143"/>
      <c r="E35" s="143"/>
      <c r="F35" s="143"/>
      <c r="G35" s="143"/>
      <c r="H35" s="143"/>
      <c r="I35" s="143"/>
      <c r="J35" s="144"/>
    </row>
    <row r="36" spans="1:10">
      <c r="A36" s="145" t="str">
        <f>CONCATENATE("Separation margin for a ",C9," stage pump at ",I9," rpm:")</f>
        <v>Separation margin for a 10 stage pump at 4710 rpm:</v>
      </c>
      <c r="B36" s="146"/>
      <c r="C36" s="146"/>
      <c r="D36" s="146"/>
      <c r="E36" s="61">
        <f t="shared" ref="E36:G37" si="3">+(E28/$C$11)-1</f>
        <v>-0.20074924461056665</v>
      </c>
      <c r="F36" s="61">
        <f t="shared" si="3"/>
        <v>0.59850151077886671</v>
      </c>
      <c r="G36" s="61">
        <f t="shared" si="3"/>
        <v>1.3977522661683004</v>
      </c>
      <c r="H36" s="147" t="str">
        <f t="shared" ref="H36:H37" si="4">IF(ABS(SMALL(E36:G36,1))&lt;0.2,"Warning &lt;20%"," ")</f>
        <v xml:space="preserve"> </v>
      </c>
      <c r="I36" s="147"/>
      <c r="J36" s="148"/>
    </row>
    <row r="37" spans="1:10">
      <c r="A37" s="145" t="str">
        <f>CONCATENATE("Separation margin for a ",C9," stage pump at ",I10," rpm:")</f>
        <v>Separation margin for a 10 stage pump at 5220 rpm:</v>
      </c>
      <c r="B37" s="146"/>
      <c r="C37" s="146"/>
      <c r="D37" s="146"/>
      <c r="E37" s="61">
        <f t="shared" si="3"/>
        <v>-0.2788369620911435</v>
      </c>
      <c r="F37" s="61">
        <f t="shared" si="3"/>
        <v>0.44232607581771299</v>
      </c>
      <c r="G37" s="61">
        <f t="shared" si="3"/>
        <v>1.1634891137265697</v>
      </c>
      <c r="H37" s="147" t="str">
        <f t="shared" si="4"/>
        <v xml:space="preserve"> </v>
      </c>
      <c r="I37" s="147"/>
      <c r="J37" s="148"/>
    </row>
    <row r="38" spans="1:10">
      <c r="A38" s="127"/>
      <c r="B38" s="128"/>
      <c r="C38" s="128"/>
      <c r="D38" s="128"/>
      <c r="E38" s="128"/>
      <c r="F38" s="128"/>
      <c r="G38" s="128"/>
      <c r="H38" s="128"/>
      <c r="I38" s="128"/>
      <c r="J38" s="129"/>
    </row>
    <row r="39" spans="1:10">
      <c r="A39" s="9"/>
      <c r="J39" s="10"/>
    </row>
    <row r="40" spans="1:10">
      <c r="A40" s="9"/>
      <c r="J40" s="10"/>
    </row>
    <row r="41" spans="1:10">
      <c r="A41" s="9"/>
      <c r="J41" s="10"/>
    </row>
    <row r="42" spans="1:10">
      <c r="A42" s="9"/>
      <c r="J42" s="10"/>
    </row>
    <row r="43" spans="1:10">
      <c r="A43" s="9"/>
      <c r="J43" s="10"/>
    </row>
    <row r="44" spans="1:10">
      <c r="A44" s="9"/>
      <c r="J44" s="10"/>
    </row>
    <row r="45" spans="1:10">
      <c r="A45" s="9"/>
      <c r="J45" s="10"/>
    </row>
    <row r="46" spans="1:10">
      <c r="A46" s="9"/>
      <c r="J46" s="10"/>
    </row>
    <row r="47" spans="1:10">
      <c r="A47" s="9"/>
      <c r="J47" s="10"/>
    </row>
    <row r="48" spans="1:10">
      <c r="A48" s="9"/>
      <c r="J48" s="10"/>
    </row>
    <row r="49" spans="1:10">
      <c r="A49" s="9"/>
      <c r="J49" s="10"/>
    </row>
    <row r="50" spans="1:10">
      <c r="A50" s="9"/>
      <c r="J50" s="10"/>
    </row>
    <row r="51" spans="1:10">
      <c r="A51" s="9"/>
      <c r="J51" s="10"/>
    </row>
    <row r="52" spans="1:10">
      <c r="A52" s="9"/>
      <c r="J52" s="10"/>
    </row>
    <row r="53" spans="1:10">
      <c r="A53" s="9"/>
      <c r="J53" s="10"/>
    </row>
    <row r="54" spans="1:10">
      <c r="A54" s="9"/>
      <c r="J54" s="10"/>
    </row>
    <row r="55" spans="1:10">
      <c r="A55" s="9"/>
      <c r="J55" s="10"/>
    </row>
    <row r="56" spans="1:10">
      <c r="A56" s="9"/>
      <c r="J56" s="10"/>
    </row>
    <row r="57" spans="1:10">
      <c r="A57" s="9"/>
      <c r="J57" s="10"/>
    </row>
    <row r="58" spans="1:10">
      <c r="A58" s="9"/>
      <c r="J58" s="10"/>
    </row>
    <row r="59" spans="1:10">
      <c r="A59" s="9"/>
      <c r="J59" s="10"/>
    </row>
    <row r="60" spans="1:10">
      <c r="A60" s="9"/>
      <c r="J60" s="10"/>
    </row>
    <row r="61" spans="1:10" ht="15.75" thickBot="1">
      <c r="A61" s="12"/>
      <c r="B61" s="13"/>
      <c r="C61" s="13"/>
      <c r="D61" s="13"/>
      <c r="E61" s="13"/>
      <c r="F61" s="13"/>
      <c r="G61" s="13"/>
      <c r="H61" s="13"/>
      <c r="I61" s="13"/>
      <c r="J61" s="14"/>
    </row>
  </sheetData>
  <mergeCells count="41">
    <mergeCell ref="B14:C14"/>
    <mergeCell ref="H14:I14"/>
    <mergeCell ref="F15:I16"/>
    <mergeCell ref="B2:C2"/>
    <mergeCell ref="B3:C3"/>
    <mergeCell ref="B4:C4"/>
    <mergeCell ref="G2:I2"/>
    <mergeCell ref="G3:I3"/>
    <mergeCell ref="G4:I4"/>
    <mergeCell ref="F12:H12"/>
    <mergeCell ref="A11:B11"/>
    <mergeCell ref="A12:B12"/>
    <mergeCell ref="A6:J6"/>
    <mergeCell ref="A33:D33"/>
    <mergeCell ref="A34:D34"/>
    <mergeCell ref="A36:D36"/>
    <mergeCell ref="A28:D28"/>
    <mergeCell ref="A29:D29"/>
    <mergeCell ref="A31:D31"/>
    <mergeCell ref="A32:D32"/>
    <mergeCell ref="H32:J32"/>
    <mergeCell ref="H33:J33"/>
    <mergeCell ref="H34:J34"/>
    <mergeCell ref="H36:J36"/>
    <mergeCell ref="H37:J37"/>
    <mergeCell ref="A1:J1"/>
    <mergeCell ref="A15:B15"/>
    <mergeCell ref="A16:B16"/>
    <mergeCell ref="F14:G14"/>
    <mergeCell ref="A38:J38"/>
    <mergeCell ref="H27:J27"/>
    <mergeCell ref="H28:J28"/>
    <mergeCell ref="H29:J29"/>
    <mergeCell ref="A27:D27"/>
    <mergeCell ref="A19:D20"/>
    <mergeCell ref="A18:J18"/>
    <mergeCell ref="A26:J26"/>
    <mergeCell ref="A30:J30"/>
    <mergeCell ref="A35:J35"/>
    <mergeCell ref="A37:D37"/>
    <mergeCell ref="H31:J31"/>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3F7BDD7-10D3-4AA0-B378-44D60B2561C0}">
          <x14:formula1>
            <xm:f>Support_calcs!$A$2:$A$38</xm:f>
          </x14:formula1>
          <xm:sqref>B14:C14</xm:sqref>
        </x14:dataValidation>
        <x14:dataValidation type="list" allowBlank="1" showInputMessage="1" showErrorMessage="1" xr:uid="{D5589D22-1342-491C-BF26-8A3AE581AC6D}">
          <x14:formula1>
            <xm:f>Support_calcs!$D$3:$D$4</xm:f>
          </x14:formula1>
          <xm:sqref>H14:I14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C27B7-71F1-4BE1-B9E5-94EADE96D5BE}">
  <dimension ref="A1:S40"/>
  <sheetViews>
    <sheetView workbookViewId="0">
      <selection activeCell="H30" sqref="H30"/>
    </sheetView>
  </sheetViews>
  <sheetFormatPr defaultRowHeight="15"/>
  <sheetData>
    <row r="1" spans="1:19">
      <c r="A1" s="1" t="s">
        <v>60</v>
      </c>
      <c r="B1" t="s">
        <v>61</v>
      </c>
      <c r="G1" s="2" t="s">
        <v>62</v>
      </c>
      <c r="H1" s="3" t="s">
        <v>63</v>
      </c>
      <c r="I1" s="4" t="s">
        <v>64</v>
      </c>
      <c r="K1" s="18"/>
      <c r="L1" s="19"/>
      <c r="M1" s="19"/>
      <c r="N1" s="19"/>
      <c r="O1" s="19"/>
      <c r="P1" s="19"/>
      <c r="Q1" s="19"/>
      <c r="R1" s="19"/>
      <c r="S1" s="20"/>
    </row>
    <row r="2" spans="1:19">
      <c r="A2" s="5" t="s">
        <v>65</v>
      </c>
      <c r="B2" s="6">
        <v>1584</v>
      </c>
      <c r="C2" s="7"/>
      <c r="E2" s="8"/>
      <c r="G2" s="9">
        <v>3</v>
      </c>
      <c r="H2">
        <v>2</v>
      </c>
      <c r="I2" s="10">
        <v>1</v>
      </c>
      <c r="K2" s="43"/>
      <c r="P2" s="164" t="s">
        <v>25</v>
      </c>
      <c r="Q2" s="159"/>
      <c r="R2" s="45">
        <f>Input_Output!I7</f>
        <v>5</v>
      </c>
      <c r="S2" s="21"/>
    </row>
    <row r="3" spans="1:19">
      <c r="A3" s="5" t="s">
        <v>66</v>
      </c>
      <c r="B3" s="6">
        <v>1174</v>
      </c>
      <c r="C3" s="7"/>
      <c r="D3" s="11" t="s">
        <v>67</v>
      </c>
      <c r="F3" t="s">
        <v>68</v>
      </c>
      <c r="G3" s="9">
        <v>4</v>
      </c>
      <c r="H3">
        <v>2</v>
      </c>
      <c r="I3" s="10">
        <v>2</v>
      </c>
      <c r="K3" s="43"/>
      <c r="P3" s="164" t="s">
        <v>27</v>
      </c>
      <c r="Q3" s="159"/>
      <c r="R3" s="45">
        <f>Input_Output!I8</f>
        <v>12</v>
      </c>
      <c r="S3" s="21"/>
    </row>
    <row r="4" spans="1:19">
      <c r="A4" s="5" t="s">
        <v>69</v>
      </c>
      <c r="B4" s="6">
        <v>1144</v>
      </c>
      <c r="C4" s="7"/>
      <c r="D4" s="11" t="s">
        <v>40</v>
      </c>
      <c r="G4" s="9">
        <v>5</v>
      </c>
      <c r="H4">
        <v>3</v>
      </c>
      <c r="I4" s="10">
        <v>2</v>
      </c>
      <c r="K4" s="158" t="s">
        <v>70</v>
      </c>
      <c r="L4" s="159"/>
      <c r="M4" s="45">
        <f>Input_Output!C8</f>
        <v>5</v>
      </c>
      <c r="P4" s="164" t="s">
        <v>71</v>
      </c>
      <c r="Q4" s="159"/>
      <c r="R4" s="45">
        <f>Input_Output!I9</f>
        <v>4710</v>
      </c>
      <c r="S4" s="21"/>
    </row>
    <row r="5" spans="1:19">
      <c r="A5" s="5" t="s">
        <v>72</v>
      </c>
      <c r="B5" s="6">
        <v>1205</v>
      </c>
      <c r="C5" s="7"/>
      <c r="G5" s="9">
        <v>6</v>
      </c>
      <c r="H5">
        <v>3</v>
      </c>
      <c r="I5" s="10">
        <v>3</v>
      </c>
      <c r="K5" s="43"/>
      <c r="P5" s="164" t="s">
        <v>73</v>
      </c>
      <c r="Q5" s="159"/>
      <c r="R5" s="45">
        <f>Input_Output!I10</f>
        <v>5220</v>
      </c>
      <c r="S5" s="21"/>
    </row>
    <row r="6" spans="1:19">
      <c r="A6" s="5" t="s">
        <v>74</v>
      </c>
      <c r="B6" s="6">
        <v>1298</v>
      </c>
      <c r="C6" s="7"/>
      <c r="G6" s="9">
        <v>7</v>
      </c>
      <c r="H6">
        <v>4</v>
      </c>
      <c r="I6" s="10">
        <v>3</v>
      </c>
      <c r="K6" s="43"/>
      <c r="S6" s="21"/>
    </row>
    <row r="7" spans="1:19" ht="15.75">
      <c r="A7" s="5" t="s">
        <v>75</v>
      </c>
      <c r="B7" s="6">
        <v>1149</v>
      </c>
      <c r="C7" s="7"/>
      <c r="G7" s="9">
        <v>8</v>
      </c>
      <c r="H7">
        <v>4</v>
      </c>
      <c r="I7" s="10">
        <v>4</v>
      </c>
      <c r="K7" s="158" t="s">
        <v>76</v>
      </c>
      <c r="L7" s="159"/>
      <c r="M7" s="46">
        <f>Input_Output!C12</f>
        <v>1608</v>
      </c>
      <c r="P7" s="165" t="s">
        <v>77</v>
      </c>
      <c r="Q7" s="166"/>
      <c r="R7" s="46">
        <f>Input_Output!I12</f>
        <v>1188</v>
      </c>
      <c r="S7" s="21"/>
    </row>
    <row r="8" spans="1:19">
      <c r="A8" s="5" t="s">
        <v>78</v>
      </c>
      <c r="B8" s="6">
        <v>926</v>
      </c>
      <c r="C8" s="7"/>
      <c r="G8" s="9">
        <v>9</v>
      </c>
      <c r="H8">
        <v>5</v>
      </c>
      <c r="I8" s="10">
        <v>4</v>
      </c>
      <c r="K8" s="158" t="s">
        <v>28</v>
      </c>
      <c r="L8" s="159"/>
      <c r="M8" s="47">
        <f>Input_Output!C9</f>
        <v>10</v>
      </c>
      <c r="S8" s="21"/>
    </row>
    <row r="9" spans="1:19">
      <c r="A9" s="5" t="s">
        <v>79</v>
      </c>
      <c r="B9" s="6">
        <v>1474</v>
      </c>
      <c r="C9" s="7"/>
      <c r="G9" s="9">
        <v>10</v>
      </c>
      <c r="H9">
        <v>5</v>
      </c>
      <c r="I9" s="10">
        <v>5</v>
      </c>
      <c r="K9" s="158"/>
      <c r="L9" s="159"/>
      <c r="M9" s="47"/>
      <c r="S9" s="21"/>
    </row>
    <row r="10" spans="1:19">
      <c r="A10" s="5" t="s">
        <v>80</v>
      </c>
      <c r="B10" s="6">
        <v>995</v>
      </c>
      <c r="C10" s="7"/>
      <c r="G10" s="9">
        <v>11</v>
      </c>
      <c r="H10">
        <v>6</v>
      </c>
      <c r="I10" s="10">
        <v>5</v>
      </c>
      <c r="K10" s="43"/>
      <c r="S10" s="21"/>
    </row>
    <row r="11" spans="1:19">
      <c r="A11" s="5" t="s">
        <v>81</v>
      </c>
      <c r="B11" s="6">
        <v>985</v>
      </c>
      <c r="C11" s="7"/>
      <c r="G11" s="9">
        <v>12</v>
      </c>
      <c r="H11">
        <v>6</v>
      </c>
      <c r="I11" s="10">
        <v>6</v>
      </c>
      <c r="K11" s="160" t="s">
        <v>82</v>
      </c>
      <c r="L11" s="161"/>
      <c r="M11" s="46">
        <f>Input_Output!C11</f>
        <v>1503</v>
      </c>
      <c r="S11" s="21"/>
    </row>
    <row r="12" spans="1:19">
      <c r="A12" s="5" t="s">
        <v>83</v>
      </c>
      <c r="B12" s="6">
        <v>1644</v>
      </c>
      <c r="C12" s="7"/>
      <c r="G12" s="9">
        <v>13</v>
      </c>
      <c r="H12">
        <v>7</v>
      </c>
      <c r="I12" s="10">
        <v>6</v>
      </c>
      <c r="K12" s="43"/>
      <c r="S12" s="21"/>
    </row>
    <row r="13" spans="1:19" ht="15.75" thickBot="1">
      <c r="A13" s="5" t="s">
        <v>84</v>
      </c>
      <c r="B13" s="6">
        <v>1904</v>
      </c>
      <c r="C13" s="7"/>
      <c r="G13" s="12">
        <v>14</v>
      </c>
      <c r="H13" s="13">
        <v>7</v>
      </c>
      <c r="I13" s="14">
        <v>7</v>
      </c>
      <c r="K13" s="43"/>
      <c r="S13" s="21"/>
    </row>
    <row r="14" spans="1:19">
      <c r="A14" s="5" t="s">
        <v>85</v>
      </c>
      <c r="B14" s="6">
        <v>1138</v>
      </c>
      <c r="C14" s="7"/>
      <c r="G14" s="2" t="s">
        <v>86</v>
      </c>
      <c r="H14" s="3">
        <f>VLOOKUP(Input_Output!I8,G2:I13,2)</f>
        <v>6</v>
      </c>
      <c r="I14" s="4">
        <f>VLOOKUP(Input_Output!I8,G2:I13,3)</f>
        <v>6</v>
      </c>
      <c r="K14" s="18"/>
      <c r="L14" s="19"/>
      <c r="M14" s="19"/>
      <c r="N14" s="19"/>
      <c r="O14" s="19"/>
      <c r="P14" s="19"/>
      <c r="Q14" s="19"/>
      <c r="R14" s="20"/>
      <c r="S14" s="21"/>
    </row>
    <row r="15" spans="1:19">
      <c r="A15" s="5" t="s">
        <v>87</v>
      </c>
      <c r="B15" s="6">
        <v>1203</v>
      </c>
      <c r="C15" s="7"/>
      <c r="G15" s="9" t="s">
        <v>88</v>
      </c>
      <c r="H15">
        <f>VLOOKUP(Input_Output!I7,G2:I13,2)</f>
        <v>3</v>
      </c>
      <c r="I15" s="10">
        <f>VLOOKUP(Input_Output!I7,G2:I13,3)</f>
        <v>2</v>
      </c>
      <c r="K15" s="22" t="s">
        <v>89</v>
      </c>
      <c r="L15" s="23" t="s">
        <v>86</v>
      </c>
      <c r="M15" s="24" t="s">
        <v>90</v>
      </c>
      <c r="N15" s="25" t="s">
        <v>91</v>
      </c>
      <c r="O15" s="25" t="s">
        <v>92</v>
      </c>
      <c r="P15" s="26" t="s">
        <v>93</v>
      </c>
      <c r="Q15" s="23"/>
      <c r="R15" s="162" t="s">
        <v>94</v>
      </c>
      <c r="S15" s="21"/>
    </row>
    <row r="16" spans="1:19" ht="15.75" thickBot="1">
      <c r="A16" s="5" t="s">
        <v>95</v>
      </c>
      <c r="B16" s="6">
        <v>1324</v>
      </c>
      <c r="C16" s="7"/>
      <c r="G16" s="12" t="s">
        <v>96</v>
      </c>
      <c r="H16" s="13">
        <f>VLOOKUP(Input_Output!C9,G2:I13,2)</f>
        <v>5</v>
      </c>
      <c r="I16" s="14">
        <f>VLOOKUP(Input_Output!C9,G2:I13,3)</f>
        <v>5</v>
      </c>
      <c r="K16" s="27" t="s">
        <v>68</v>
      </c>
      <c r="L16" s="28" t="s">
        <v>68</v>
      </c>
      <c r="M16" s="29"/>
      <c r="N16" s="30"/>
      <c r="O16" s="30"/>
      <c r="P16" s="27" t="s">
        <v>68</v>
      </c>
      <c r="Q16" s="28"/>
      <c r="R16" s="163"/>
      <c r="S16" s="21"/>
    </row>
    <row r="17" spans="1:19">
      <c r="A17" s="5" t="s">
        <v>97</v>
      </c>
      <c r="B17" s="6">
        <v>1450</v>
      </c>
      <c r="C17" s="7"/>
      <c r="H17" s="15" t="b">
        <f>IF(Input_Output!H14=Support_calcs!D3,TRUE,FALSE)</f>
        <v>0</v>
      </c>
      <c r="I17" s="15"/>
      <c r="K17" s="31">
        <v>1000</v>
      </c>
      <c r="L17" s="32">
        <f>+$M$7</f>
        <v>1608</v>
      </c>
      <c r="M17" s="33">
        <f>+(($B$40/(K17*$M$4/60)/2))*1000</f>
        <v>5658</v>
      </c>
      <c r="N17" s="34">
        <f>+($B$40/((K17*$M$4/60)))*1000</f>
        <v>11316</v>
      </c>
      <c r="O17" s="35">
        <f>+($B$40/(K17*$M$4/60)*1.5)*1000</f>
        <v>16974</v>
      </c>
      <c r="P17" s="36">
        <v>1000</v>
      </c>
      <c r="Q17" s="37">
        <f>+$R$7</f>
        <v>1188</v>
      </c>
      <c r="R17" s="16">
        <f>$M$11</f>
        <v>1503</v>
      </c>
      <c r="S17" s="21"/>
    </row>
    <row r="18" spans="1:19">
      <c r="A18" s="5" t="s">
        <v>98</v>
      </c>
      <c r="B18" s="6">
        <v>1143</v>
      </c>
      <c r="C18" s="7"/>
      <c r="K18" s="38">
        <v>1500</v>
      </c>
      <c r="L18" s="32">
        <f t="shared" ref="L18:L29" si="0">+$M$7</f>
        <v>1608</v>
      </c>
      <c r="M18" s="33">
        <f t="shared" ref="M18:M29" si="1">+(($B$40/(K18*$M$4/60)/2))*1000</f>
        <v>3772</v>
      </c>
      <c r="N18" s="34">
        <f t="shared" ref="N18:N29" si="2">+($B$40/((K18*$M$4/60)))*1000</f>
        <v>7544</v>
      </c>
      <c r="O18" s="35">
        <f t="shared" ref="O18:O29" si="3">+($B$40/(K18*$M$4/60)*1.5)*1000</f>
        <v>11315.999999999998</v>
      </c>
      <c r="P18" s="39">
        <v>1500</v>
      </c>
      <c r="Q18" s="37">
        <f t="shared" ref="Q18:Q29" si="4">+$R$7</f>
        <v>1188</v>
      </c>
      <c r="R18" s="16">
        <f t="shared" ref="R18:R29" si="5">$M$11</f>
        <v>1503</v>
      </c>
      <c r="S18" s="21"/>
    </row>
    <row r="19" spans="1:19">
      <c r="A19" s="5" t="s">
        <v>99</v>
      </c>
      <c r="B19" s="6">
        <v>1130</v>
      </c>
      <c r="C19" s="7"/>
      <c r="K19" s="38">
        <v>2000</v>
      </c>
      <c r="L19" s="32">
        <f t="shared" si="0"/>
        <v>1608</v>
      </c>
      <c r="M19" s="33">
        <f t="shared" si="1"/>
        <v>2829</v>
      </c>
      <c r="N19" s="34">
        <f t="shared" si="2"/>
        <v>5658</v>
      </c>
      <c r="O19" s="35">
        <f t="shared" si="3"/>
        <v>8487</v>
      </c>
      <c r="P19" s="39">
        <v>2000</v>
      </c>
      <c r="Q19" s="37">
        <f t="shared" si="4"/>
        <v>1188</v>
      </c>
      <c r="R19" s="16">
        <f t="shared" si="5"/>
        <v>1503</v>
      </c>
      <c r="S19" s="21"/>
    </row>
    <row r="20" spans="1:19">
      <c r="A20" s="5" t="s">
        <v>100</v>
      </c>
      <c r="B20" s="6">
        <v>1171</v>
      </c>
      <c r="C20" s="7"/>
      <c r="K20" s="38">
        <v>2500</v>
      </c>
      <c r="L20" s="32">
        <f t="shared" si="0"/>
        <v>1608</v>
      </c>
      <c r="M20" s="33">
        <f t="shared" si="1"/>
        <v>2263.1999999999998</v>
      </c>
      <c r="N20" s="34">
        <f t="shared" si="2"/>
        <v>4526.3999999999996</v>
      </c>
      <c r="O20" s="35">
        <f t="shared" si="3"/>
        <v>6789.6</v>
      </c>
      <c r="P20" s="39">
        <v>2500</v>
      </c>
      <c r="Q20" s="37">
        <f t="shared" si="4"/>
        <v>1188</v>
      </c>
      <c r="R20" s="16">
        <f t="shared" si="5"/>
        <v>1503</v>
      </c>
      <c r="S20" s="21"/>
    </row>
    <row r="21" spans="1:19">
      <c r="A21" s="5" t="s">
        <v>101</v>
      </c>
      <c r="B21" s="6">
        <v>1274</v>
      </c>
      <c r="C21" s="7"/>
      <c r="K21" s="38">
        <v>3000</v>
      </c>
      <c r="L21" s="32">
        <f t="shared" si="0"/>
        <v>1608</v>
      </c>
      <c r="M21" s="33">
        <f t="shared" si="1"/>
        <v>1886</v>
      </c>
      <c r="N21" s="34">
        <f t="shared" si="2"/>
        <v>3772</v>
      </c>
      <c r="O21" s="35">
        <f t="shared" si="3"/>
        <v>5657.9999999999991</v>
      </c>
      <c r="P21" s="39">
        <v>3000</v>
      </c>
      <c r="Q21" s="37">
        <f t="shared" si="4"/>
        <v>1188</v>
      </c>
      <c r="R21" s="16">
        <f t="shared" si="5"/>
        <v>1503</v>
      </c>
      <c r="S21" s="21"/>
    </row>
    <row r="22" spans="1:19">
      <c r="A22" s="5" t="s">
        <v>102</v>
      </c>
      <c r="B22" s="6">
        <v>1275</v>
      </c>
      <c r="C22" s="7"/>
      <c r="K22" s="38">
        <v>3500</v>
      </c>
      <c r="L22" s="32">
        <f t="shared" si="0"/>
        <v>1608</v>
      </c>
      <c r="M22" s="33">
        <f t="shared" si="1"/>
        <v>1616.5714285714284</v>
      </c>
      <c r="N22" s="34">
        <f t="shared" si="2"/>
        <v>3233.1428571428569</v>
      </c>
      <c r="O22" s="35">
        <f t="shared" si="3"/>
        <v>4849.7142857142853</v>
      </c>
      <c r="P22" s="39">
        <v>3500</v>
      </c>
      <c r="Q22" s="37">
        <f t="shared" si="4"/>
        <v>1188</v>
      </c>
      <c r="R22" s="16">
        <f t="shared" si="5"/>
        <v>1503</v>
      </c>
      <c r="S22" s="21"/>
    </row>
    <row r="23" spans="1:19">
      <c r="A23" s="5" t="s">
        <v>103</v>
      </c>
      <c r="B23" s="6">
        <v>1240</v>
      </c>
      <c r="C23" s="7"/>
      <c r="K23" s="38">
        <v>4000</v>
      </c>
      <c r="L23" s="32">
        <f t="shared" si="0"/>
        <v>1608</v>
      </c>
      <c r="M23" s="33">
        <f t="shared" si="1"/>
        <v>1414.5</v>
      </c>
      <c r="N23" s="34">
        <f t="shared" si="2"/>
        <v>2829</v>
      </c>
      <c r="O23" s="35">
        <f t="shared" si="3"/>
        <v>4243.5</v>
      </c>
      <c r="P23" s="39">
        <v>4000</v>
      </c>
      <c r="Q23" s="37">
        <f t="shared" si="4"/>
        <v>1188</v>
      </c>
      <c r="R23" s="16">
        <f t="shared" si="5"/>
        <v>1503</v>
      </c>
      <c r="S23" s="21"/>
    </row>
    <row r="24" spans="1:19">
      <c r="A24" s="5" t="s">
        <v>104</v>
      </c>
      <c r="B24" s="6">
        <v>1403</v>
      </c>
      <c r="C24" s="7"/>
      <c r="K24" s="38">
        <v>4500</v>
      </c>
      <c r="L24" s="32">
        <f t="shared" si="0"/>
        <v>1608</v>
      </c>
      <c r="M24" s="33">
        <f t="shared" si="1"/>
        <v>1257.3333333333335</v>
      </c>
      <c r="N24" s="34">
        <f t="shared" si="2"/>
        <v>2514.666666666667</v>
      </c>
      <c r="O24" s="35">
        <f t="shared" si="3"/>
        <v>3772.0000000000005</v>
      </c>
      <c r="P24" s="39">
        <v>4500</v>
      </c>
      <c r="Q24" s="37">
        <f t="shared" si="4"/>
        <v>1188</v>
      </c>
      <c r="R24" s="16">
        <f t="shared" si="5"/>
        <v>1503</v>
      </c>
      <c r="S24" s="21"/>
    </row>
    <row r="25" spans="1:19">
      <c r="A25" s="5" t="s">
        <v>105</v>
      </c>
      <c r="B25" s="6">
        <v>1427</v>
      </c>
      <c r="C25" s="7"/>
      <c r="K25" s="38">
        <v>5000</v>
      </c>
      <c r="L25" s="32">
        <f t="shared" si="0"/>
        <v>1608</v>
      </c>
      <c r="M25" s="33">
        <f t="shared" si="1"/>
        <v>1131.5999999999999</v>
      </c>
      <c r="N25" s="34">
        <f t="shared" si="2"/>
        <v>2263.1999999999998</v>
      </c>
      <c r="O25" s="35">
        <f t="shared" si="3"/>
        <v>3394.8</v>
      </c>
      <c r="P25" s="39">
        <v>5000</v>
      </c>
      <c r="Q25" s="37">
        <f t="shared" si="4"/>
        <v>1188</v>
      </c>
      <c r="R25" s="16">
        <f t="shared" si="5"/>
        <v>1503</v>
      </c>
      <c r="S25" s="21"/>
    </row>
    <row r="26" spans="1:19">
      <c r="A26" s="5" t="s">
        <v>106</v>
      </c>
      <c r="B26" s="6">
        <v>1447</v>
      </c>
      <c r="C26" s="7"/>
      <c r="K26" s="38">
        <v>5500</v>
      </c>
      <c r="L26" s="32">
        <f t="shared" si="0"/>
        <v>1608</v>
      </c>
      <c r="M26" s="33">
        <f t="shared" si="1"/>
        <v>1028.7272727272727</v>
      </c>
      <c r="N26" s="34">
        <f t="shared" si="2"/>
        <v>2057.4545454545455</v>
      </c>
      <c r="O26" s="35">
        <f t="shared" si="3"/>
        <v>3086.181818181818</v>
      </c>
      <c r="P26" s="39">
        <v>5500</v>
      </c>
      <c r="Q26" s="37">
        <f t="shared" si="4"/>
        <v>1188</v>
      </c>
      <c r="R26" s="16">
        <f t="shared" si="5"/>
        <v>1503</v>
      </c>
      <c r="S26" s="21"/>
    </row>
    <row r="27" spans="1:19">
      <c r="A27" s="5" t="s">
        <v>107</v>
      </c>
      <c r="B27" s="6">
        <v>1482</v>
      </c>
      <c r="C27" s="7"/>
      <c r="K27" s="38">
        <v>6000</v>
      </c>
      <c r="L27" s="32">
        <f t="shared" si="0"/>
        <v>1608</v>
      </c>
      <c r="M27" s="33">
        <f t="shared" si="1"/>
        <v>943</v>
      </c>
      <c r="N27" s="34">
        <f t="shared" si="2"/>
        <v>1886</v>
      </c>
      <c r="O27" s="35">
        <f t="shared" si="3"/>
        <v>2828.9999999999995</v>
      </c>
      <c r="P27" s="39">
        <v>6000</v>
      </c>
      <c r="Q27" s="37">
        <f t="shared" si="4"/>
        <v>1188</v>
      </c>
      <c r="R27" s="16">
        <f t="shared" si="5"/>
        <v>1503</v>
      </c>
      <c r="S27" s="21"/>
    </row>
    <row r="28" spans="1:19">
      <c r="A28" s="5" t="s">
        <v>108</v>
      </c>
      <c r="B28" s="6">
        <v>1507</v>
      </c>
      <c r="C28" s="7"/>
      <c r="K28" s="38">
        <f>+R4</f>
        <v>4710</v>
      </c>
      <c r="L28" s="32">
        <f t="shared" si="0"/>
        <v>1608</v>
      </c>
      <c r="M28" s="33">
        <f t="shared" si="1"/>
        <v>1201.2738853503183</v>
      </c>
      <c r="N28" s="34">
        <f t="shared" si="2"/>
        <v>2402.5477707006366</v>
      </c>
      <c r="O28" s="35">
        <f t="shared" si="3"/>
        <v>3603.8216560509554</v>
      </c>
      <c r="Q28" s="37">
        <f t="shared" si="4"/>
        <v>1188</v>
      </c>
      <c r="R28" s="16">
        <f t="shared" si="5"/>
        <v>1503</v>
      </c>
      <c r="S28" s="21"/>
    </row>
    <row r="29" spans="1:19">
      <c r="A29" s="5" t="s">
        <v>109</v>
      </c>
      <c r="B29" s="6">
        <v>1526</v>
      </c>
      <c r="C29" s="7"/>
      <c r="K29" s="38">
        <f>+R5</f>
        <v>5220</v>
      </c>
      <c r="L29" s="32">
        <f t="shared" si="0"/>
        <v>1608</v>
      </c>
      <c r="M29" s="33">
        <f t="shared" si="1"/>
        <v>1083.9080459770114</v>
      </c>
      <c r="N29" s="34">
        <f t="shared" si="2"/>
        <v>2167.8160919540228</v>
      </c>
      <c r="O29" s="35">
        <f t="shared" si="3"/>
        <v>3251.724137931034</v>
      </c>
      <c r="Q29" s="37">
        <f t="shared" si="4"/>
        <v>1188</v>
      </c>
      <c r="R29" s="16">
        <f t="shared" si="5"/>
        <v>1503</v>
      </c>
      <c r="S29" s="21"/>
    </row>
    <row r="30" spans="1:19">
      <c r="A30" s="5" t="s">
        <v>110</v>
      </c>
      <c r="B30" s="6">
        <v>1541</v>
      </c>
      <c r="C30" s="7"/>
      <c r="K30" s="40"/>
      <c r="L30" s="41"/>
      <c r="M30" s="41"/>
      <c r="N30" s="41"/>
      <c r="O30" s="41"/>
      <c r="P30" s="41"/>
      <c r="Q30" s="41"/>
      <c r="R30" s="42"/>
      <c r="S30" s="21"/>
    </row>
    <row r="31" spans="1:19" ht="15.75" thickBot="1">
      <c r="A31" s="5" t="s">
        <v>111</v>
      </c>
      <c r="B31" s="6">
        <v>1552</v>
      </c>
      <c r="C31" s="7"/>
      <c r="K31" s="43"/>
      <c r="S31" s="21"/>
    </row>
    <row r="32" spans="1:19" ht="15.75" thickBot="1">
      <c r="A32" s="5" t="s">
        <v>112</v>
      </c>
      <c r="B32" s="6">
        <v>1555</v>
      </c>
      <c r="C32" s="7"/>
      <c r="K32" s="43" t="str">
        <f>CONCATENATE(R2," stage pump passage length")</f>
        <v>5 stage pump passage length</v>
      </c>
      <c r="M32" s="15" t="s">
        <v>113</v>
      </c>
      <c r="N32" s="44">
        <v>0</v>
      </c>
      <c r="S32" s="21"/>
    </row>
    <row r="33" spans="1:19">
      <c r="A33" s="5" t="s">
        <v>114</v>
      </c>
      <c r="B33" s="6">
        <v>1555</v>
      </c>
      <c r="C33" s="7"/>
      <c r="K33" s="43" t="str">
        <f>CONCATENATE(R3," stage pump passage length")</f>
        <v>12 stage pump passage length</v>
      </c>
      <c r="M33" s="15" t="s">
        <v>38</v>
      </c>
      <c r="N33" s="15"/>
      <c r="S33" s="21"/>
    </row>
    <row r="34" spans="1:19">
      <c r="A34" s="5" t="s">
        <v>115</v>
      </c>
      <c r="B34" s="6">
        <v>1550</v>
      </c>
      <c r="C34" s="7"/>
      <c r="K34" s="43" t="str">
        <f>CONCATENATE(M8," stage pump passage length")</f>
        <v>10 stage pump passage length</v>
      </c>
      <c r="S34" s="21"/>
    </row>
    <row r="35" spans="1:19">
      <c r="A35" s="5" t="s">
        <v>116</v>
      </c>
      <c r="B35" s="6">
        <v>1543</v>
      </c>
      <c r="C35" s="7"/>
      <c r="K35" s="40"/>
      <c r="L35" s="41"/>
      <c r="M35" s="41"/>
      <c r="N35" s="41"/>
      <c r="O35" s="41"/>
      <c r="P35" s="41"/>
      <c r="Q35" s="41"/>
      <c r="R35" s="41"/>
      <c r="S35" s="42"/>
    </row>
    <row r="36" spans="1:19">
      <c r="A36" s="5" t="s">
        <v>117</v>
      </c>
      <c r="B36" s="6">
        <v>1533</v>
      </c>
      <c r="C36" s="7"/>
    </row>
    <row r="37" spans="1:19">
      <c r="A37" s="5" t="s">
        <v>118</v>
      </c>
      <c r="B37" s="6">
        <v>1522</v>
      </c>
      <c r="C37" s="7"/>
    </row>
    <row r="38" spans="1:19">
      <c r="A38" s="5" t="s">
        <v>38</v>
      </c>
      <c r="B38" s="16">
        <f>Input_Output!C15</f>
        <v>943</v>
      </c>
      <c r="C38" s="7"/>
    </row>
    <row r="39" spans="1:19">
      <c r="A39" s="5"/>
      <c r="B39" s="17"/>
      <c r="C39" s="7"/>
    </row>
    <row r="40" spans="1:19">
      <c r="A40" s="1" t="str">
        <f>Input_Output!B14</f>
        <v>Manual Input of Sound Velocity</v>
      </c>
      <c r="B40" s="16">
        <f>_xlfn.XLOOKUP(A40,A2:A38,B2:B38)</f>
        <v>943</v>
      </c>
      <c r="C40" s="7"/>
    </row>
  </sheetData>
  <mergeCells count="11">
    <mergeCell ref="K8:L8"/>
    <mergeCell ref="K9:L9"/>
    <mergeCell ref="K11:L11"/>
    <mergeCell ref="R15:R16"/>
    <mergeCell ref="P2:Q2"/>
    <mergeCell ref="P3:Q3"/>
    <mergeCell ref="K4:L4"/>
    <mergeCell ref="P4:Q4"/>
    <mergeCell ref="P5:Q5"/>
    <mergeCell ref="K7:L7"/>
    <mergeCell ref="P7:Q7"/>
  </mergeCells>
  <conditionalFormatting sqref="R4">
    <cfRule type="cellIs" dxfId="0" priority="1" stopIfTrue="1" operator="lessThan">
      <formula>2000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FF5BB9810E8454BA2B38D00B6D18848" ma:contentTypeVersion="3" ma:contentTypeDescription="Creare un nuovo documento." ma:contentTypeScope="" ma:versionID="85968c8a5930af966cb491cc87274750">
  <xsd:schema xmlns:xsd="http://www.w3.org/2001/XMLSchema" xmlns:xs="http://www.w3.org/2001/XMLSchema" xmlns:p="http://schemas.microsoft.com/office/2006/metadata/properties" xmlns:ns2="427a1db5-2437-44f3-a84b-464aead4a71a" targetNamespace="http://schemas.microsoft.com/office/2006/metadata/properties" ma:root="true" ma:fieldsID="d822db9e2d05bc620d08fbffa4bfffa8" ns2:_="">
    <xsd:import namespace="427a1db5-2437-44f3-a84b-464aead4a71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a1db5-2437-44f3-a84b-464aead4a7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22E853-3E0D-47D2-B688-7CDA34FF8A38}">
  <ds:schemaRefs>
    <ds:schemaRef ds:uri="http://schemas.microsoft.com/office/2006/metadata/properties"/>
    <ds:schemaRef ds:uri="http://schemas.microsoft.com/office/infopath/2007/PartnerControls"/>
    <ds:schemaRef ds:uri="2710bc8b-17c9-4e36-a567-5a8748d28b44"/>
    <ds:schemaRef ds:uri="f16ae08e-32aa-43c4-955b-813e13c9303e"/>
  </ds:schemaRefs>
</ds:datastoreItem>
</file>

<file path=customXml/itemProps2.xml><?xml version="1.0" encoding="utf-8"?>
<ds:datastoreItem xmlns:ds="http://schemas.openxmlformats.org/officeDocument/2006/customXml" ds:itemID="{05AB709E-E952-4957-89B5-D1424ABC9E79}"/>
</file>

<file path=customXml/itemProps3.xml><?xml version="1.0" encoding="utf-8"?>
<ds:datastoreItem xmlns:ds="http://schemas.openxmlformats.org/officeDocument/2006/customXml" ds:itemID="{F942AF13-65C8-4A7C-9AD4-DF21301663CB}">
  <ds:schemaRefs>
    <ds:schemaRef ds:uri="http://schemas.microsoft.com/sharepoint/v3/contenttype/forms"/>
  </ds:schemaRefs>
</ds:datastoreItem>
</file>

<file path=docMetadata/LabelInfo.xml><?xml version="1.0" encoding="utf-8"?>
<clbl:labelList xmlns:clbl="http://schemas.microsoft.com/office/2020/mipLabelMetadata">
  <clbl:label id="{ac69433e-9fbc-4566-9c7b-2629ed8b780f}" enabled="0" method="" siteId="{ac69433e-9fbc-4566-9c7b-2629ed8b780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1</vt:i4>
      </vt:variant>
    </vt:vector>
  </HeadingPairs>
  <TitlesOfParts>
    <vt:vector size="4" baseType="lpstr">
      <vt:lpstr>Cover</vt:lpstr>
      <vt:lpstr>Input_Output</vt:lpstr>
      <vt:lpstr>Support_calcs</vt:lpstr>
      <vt:lpstr>Cover!Area_stampa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Mattia Biolo</dc:creator>
  <cp:keywords/>
  <dc:description/>
  <cp:lastModifiedBy>Carmine Delli Quadri</cp:lastModifiedBy>
  <cp:revision/>
  <dcterms:created xsi:type="dcterms:W3CDTF">2024-05-15T07:30:35Z</dcterms:created>
  <dcterms:modified xsi:type="dcterms:W3CDTF">2024-06-18T08:04:08Z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0x0101003FF5BB9810E8454BA2B38D00B6D18848</vt:lpwstr>
  </property>
  <property fmtid="{D5CDD505-2E9C-101B-9397-08002B2CF9AE}" pid="3" name="MediaServiceImageTags">
    <vt:lpwstr/>
  </property>
</Properties>
</file>