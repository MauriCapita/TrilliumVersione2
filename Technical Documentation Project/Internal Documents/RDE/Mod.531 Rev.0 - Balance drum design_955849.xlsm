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T:\IT005\Documentale\# Nuovo Documentale\Area di lavoro HSEQ\Da Gestire - Verificatore 1\2. Noemi\ENGINEERING\sei nuovi documenti in EDM (Cademartori)\Balance drum\"/>
    </mc:Choice>
  </mc:AlternateContent>
  <xr:revisionPtr revIDLastSave="0" documentId="13_ncr:1_{DFBAEBB2-756B-4DA0-8B5C-86B39FCCE858}" xr6:coauthVersionLast="47" xr6:coauthVersionMax="47" xr10:uidLastSave="{00000000-0000-0000-0000-000000000000}"/>
  <bookViews>
    <workbookView xWindow="-110" yWindow="-110" windowWidth="19420" windowHeight="11500" tabRatio="591" xr2:uid="{00000000-000D-0000-FFFF-FFFF00000000}"/>
  </bookViews>
  <sheets>
    <sheet name="content" sheetId="6" r:id="rId1"/>
    <sheet name="balance_drum-1" sheetId="3" r:id="rId2"/>
    <sheet name="balance_drum-2" sheetId="5" r:id="rId3"/>
  </sheets>
  <functionGroups builtInGroupCount="19"/>
  <externalReferences>
    <externalReference r:id="rId4"/>
  </externalReferences>
  <definedNames>
    <definedName name="myfig1">INDIRECT([1]impeller_type!$A$2)</definedName>
    <definedName name="myfig2">INDIRECT([1]impeller_type!$N$2)</definedName>
  </definedNames>
  <calcPr calcId="191028" iterateCount="1000" iterateDelta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6" i="3" l="1"/>
  <c r="H35" i="3"/>
  <c r="G35" i="3"/>
  <c r="F35" i="3"/>
  <c r="E35" i="3"/>
  <c r="D35" i="3"/>
  <c r="H34" i="3"/>
  <c r="D34" i="3"/>
  <c r="H33" i="3"/>
  <c r="G33" i="3"/>
  <c r="G34" i="3" s="1"/>
  <c r="D33" i="3"/>
  <c r="H32" i="3"/>
  <c r="G32" i="3"/>
  <c r="F32" i="3"/>
  <c r="F33" i="3" s="1"/>
  <c r="F34" i="3" s="1"/>
  <c r="D32" i="3"/>
  <c r="H31" i="3"/>
  <c r="H36" i="3" s="1"/>
  <c r="H37" i="3" s="1"/>
  <c r="G31" i="3"/>
  <c r="G36" i="3" s="1"/>
  <c r="G37" i="3" s="1"/>
  <c r="F31" i="3"/>
  <c r="E31" i="3"/>
  <c r="E32" i="3" s="1"/>
  <c r="E33" i="3" s="1"/>
  <c r="E34" i="3" s="1"/>
  <c r="D31" i="3"/>
  <c r="H30" i="3"/>
  <c r="G30" i="3"/>
  <c r="F30" i="3"/>
  <c r="E30" i="3"/>
  <c r="D30" i="3"/>
  <c r="D37" i="3" s="1"/>
  <c r="H47" i="3"/>
  <c r="G47" i="3"/>
  <c r="F47" i="3"/>
  <c r="E47" i="3"/>
  <c r="D47" i="3"/>
  <c r="G46" i="3"/>
  <c r="G48" i="3" s="1"/>
  <c r="G49" i="3" s="1"/>
  <c r="E46" i="3"/>
  <c r="H45" i="3"/>
  <c r="H46" i="3" s="1"/>
  <c r="G45" i="3"/>
  <c r="F45" i="3"/>
  <c r="F46" i="3" s="1"/>
  <c r="E45" i="3"/>
  <c r="D45" i="3"/>
  <c r="D46" i="3" s="1"/>
  <c r="F71" i="3"/>
  <c r="H70" i="3"/>
  <c r="H71" i="3" s="1"/>
  <c r="G70" i="3"/>
  <c r="F70" i="3"/>
  <c r="E70" i="3"/>
  <c r="E71" i="3" s="1"/>
  <c r="D70" i="3"/>
  <c r="D71" i="3" s="1"/>
  <c r="H69" i="3"/>
  <c r="G69" i="3"/>
  <c r="F69" i="3"/>
  <c r="E69" i="3"/>
  <c r="D69" i="3"/>
  <c r="H63" i="3"/>
  <c r="G63" i="3"/>
  <c r="G60" i="3" s="1"/>
  <c r="G65" i="3" s="1"/>
  <c r="F63" i="3"/>
  <c r="F60" i="3" s="1"/>
  <c r="F65" i="3" s="1"/>
  <c r="E63" i="3"/>
  <c r="D63" i="3"/>
  <c r="H62" i="3"/>
  <c r="G62" i="3"/>
  <c r="F62" i="3"/>
  <c r="F59" i="3" s="1"/>
  <c r="F64" i="3" s="1"/>
  <c r="E62" i="3"/>
  <c r="E59" i="3" s="1"/>
  <c r="E64" i="3" s="1"/>
  <c r="D62" i="3"/>
  <c r="H61" i="3"/>
  <c r="G61" i="3"/>
  <c r="F61" i="3"/>
  <c r="E61" i="3"/>
  <c r="D61" i="3"/>
  <c r="H60" i="3"/>
  <c r="H65" i="3" s="1"/>
  <c r="E60" i="3"/>
  <c r="E65" i="3" s="1"/>
  <c r="D60" i="3"/>
  <c r="D65" i="3" s="1"/>
  <c r="H59" i="3"/>
  <c r="H64" i="3" s="1"/>
  <c r="G59" i="3"/>
  <c r="G64" i="3" s="1"/>
  <c r="D59" i="3"/>
  <c r="D64" i="3" s="1"/>
  <c r="C45" i="3"/>
  <c r="H66" i="3" l="1"/>
  <c r="F36" i="3"/>
  <c r="F37" i="3" s="1"/>
  <c r="E36" i="3"/>
  <c r="E37" i="3" s="1"/>
  <c r="D50" i="3"/>
  <c r="D51" i="3" s="1"/>
  <c r="D52" i="3" s="1"/>
  <c r="D53" i="3" s="1"/>
  <c r="D54" i="3" s="1"/>
  <c r="D48" i="3"/>
  <c r="D49" i="3" s="1"/>
  <c r="F52" i="3"/>
  <c r="F53" i="3" s="1"/>
  <c r="F48" i="3"/>
  <c r="F49" i="3" s="1"/>
  <c r="F50" i="3"/>
  <c r="F51" i="3" s="1"/>
  <c r="H48" i="3"/>
  <c r="H49" i="3" s="1"/>
  <c r="H50" i="3"/>
  <c r="H51" i="3" s="1"/>
  <c r="H52" i="3"/>
  <c r="H53" i="3" s="1"/>
  <c r="H54" i="3" s="1"/>
  <c r="E50" i="3"/>
  <c r="E51" i="3" s="1"/>
  <c r="E52" i="3" s="1"/>
  <c r="E53" i="3" s="1"/>
  <c r="E48" i="3"/>
  <c r="E49" i="3" s="1"/>
  <c r="G50" i="3"/>
  <c r="G51" i="3" s="1"/>
  <c r="G52" i="3" s="1"/>
  <c r="G53" i="3" s="1"/>
  <c r="G54" i="3" s="1"/>
  <c r="E72" i="3"/>
  <c r="E73" i="3" s="1"/>
  <c r="D66" i="3"/>
  <c r="D72" i="3" s="1"/>
  <c r="D73" i="3" s="1"/>
  <c r="G71" i="3"/>
  <c r="H72" i="3"/>
  <c r="H73" i="3" s="1"/>
  <c r="E66" i="3"/>
  <c r="F66" i="3"/>
  <c r="F72" i="3" s="1"/>
  <c r="F73" i="3" s="1"/>
  <c r="G66" i="3"/>
  <c r="G72" i="3" s="1"/>
  <c r="G73" i="3" s="1"/>
  <c r="E54" i="3" l="1"/>
  <c r="F54" i="3"/>
  <c r="H74" i="3"/>
  <c r="D74" i="3"/>
  <c r="G74" i="3"/>
  <c r="F74" i="3"/>
  <c r="E74" i="3"/>
  <c r="E103" i="5" l="1"/>
  <c r="G44" i="3"/>
  <c r="E44" i="3"/>
  <c r="D44" i="3"/>
  <c r="C44" i="3"/>
  <c r="J77" i="3" l="1"/>
  <c r="J57" i="3"/>
  <c r="J30" i="3"/>
  <c r="J25" i="3"/>
  <c r="J20" i="3"/>
  <c r="J15" i="3"/>
  <c r="J14" i="3"/>
  <c r="J13" i="3"/>
  <c r="J12" i="3"/>
  <c r="J11" i="3"/>
  <c r="H78" i="3" l="1"/>
  <c r="G78" i="3"/>
  <c r="F78" i="3"/>
  <c r="E78" i="3"/>
  <c r="D78" i="3"/>
  <c r="C30" i="3"/>
  <c r="C78" i="3"/>
  <c r="C47" i="3"/>
  <c r="J37" i="3" l="1"/>
  <c r="J73" i="3"/>
  <c r="E22" i="5"/>
  <c r="E83" i="5"/>
  <c r="C60" i="5"/>
  <c r="C54" i="5"/>
  <c r="C53" i="5"/>
  <c r="C51" i="5"/>
  <c r="C52" i="5" s="1"/>
  <c r="E50" i="5"/>
  <c r="C104" i="5"/>
  <c r="C96" i="5"/>
  <c r="C95" i="5"/>
  <c r="C89" i="5"/>
  <c r="C86" i="5" s="1"/>
  <c r="C91" i="5" s="1"/>
  <c r="C88" i="5"/>
  <c r="C85" i="5" s="1"/>
  <c r="C90" i="5" s="1"/>
  <c r="C87" i="5"/>
  <c r="E97" i="5"/>
  <c r="C73" i="5"/>
  <c r="C71" i="5"/>
  <c r="C72" i="5" s="1"/>
  <c r="C74" i="5" s="1"/>
  <c r="C45" i="5"/>
  <c r="C43" i="5"/>
  <c r="C61" i="5" s="1"/>
  <c r="C42" i="5"/>
  <c r="E42" i="5" s="1"/>
  <c r="E31" i="5"/>
  <c r="E25" i="5"/>
  <c r="E14" i="5"/>
  <c r="E13" i="5"/>
  <c r="E12" i="5"/>
  <c r="E11" i="5"/>
  <c r="C63" i="3"/>
  <c r="C60" i="3" s="1"/>
  <c r="C65" i="3" s="1"/>
  <c r="C62" i="3"/>
  <c r="C59" i="3" s="1"/>
  <c r="C64" i="3" s="1"/>
  <c r="C46" i="3"/>
  <c r="J54" i="3" l="1"/>
  <c r="G80" i="3"/>
  <c r="G81" i="3" s="1"/>
  <c r="G82" i="3" s="1"/>
  <c r="G79" i="3"/>
  <c r="F79" i="3"/>
  <c r="C62" i="5"/>
  <c r="C57" i="5"/>
  <c r="C58" i="5" s="1"/>
  <c r="C55" i="5"/>
  <c r="C56" i="5" s="1"/>
  <c r="C75" i="5"/>
  <c r="C97" i="5"/>
  <c r="C92" i="5"/>
  <c r="C44" i="5"/>
  <c r="C76" i="5"/>
  <c r="C77" i="5" s="1"/>
  <c r="C50" i="3"/>
  <c r="C51" i="3" s="1"/>
  <c r="C48" i="3"/>
  <c r="C49" i="3" s="1"/>
  <c r="C63" i="5" a="1"/>
  <c r="C78" i="5" l="1"/>
  <c r="C79" i="5" s="1"/>
  <c r="C59" i="5"/>
  <c r="H80" i="3"/>
  <c r="H81" i="3" s="1"/>
  <c r="H82" i="3" s="1"/>
  <c r="F80" i="3"/>
  <c r="F81" i="3" s="1"/>
  <c r="F82" i="3" s="1"/>
  <c r="E80" i="3"/>
  <c r="E81" i="3" s="1"/>
  <c r="E82" i="3" s="1"/>
  <c r="E79" i="3"/>
  <c r="D80" i="3"/>
  <c r="D81" i="3" s="1"/>
  <c r="D82" i="3" s="1"/>
  <c r="D79" i="3"/>
  <c r="C63" i="5"/>
  <c r="C98" i="5"/>
  <c r="C99" i="5" s="1"/>
  <c r="E99" i="5" s="1"/>
  <c r="C52" i="3"/>
  <c r="C53" i="3" s="1"/>
  <c r="H79" i="3" l="1"/>
  <c r="J74" i="3"/>
  <c r="C80" i="5"/>
  <c r="C106" i="5" s="1"/>
  <c r="E63" i="5"/>
  <c r="C35" i="3"/>
  <c r="C31" i="3"/>
  <c r="C32" i="3" l="1"/>
  <c r="C33" i="3" s="1"/>
  <c r="C34" i="3" s="1"/>
  <c r="E94" i="5"/>
  <c r="C100" i="5"/>
  <c r="C107" i="5"/>
  <c r="C108" i="5" s="1"/>
  <c r="E80" i="5"/>
  <c r="C105" i="5" l="1"/>
  <c r="C36" i="3"/>
  <c r="C70" i="3"/>
  <c r="C69" i="3"/>
  <c r="C61" i="3"/>
  <c r="C37" i="3" l="1"/>
  <c r="C54" i="3" s="1"/>
  <c r="C80" i="3" s="1"/>
  <c r="C81" i="3" s="1"/>
  <c r="C82" i="3" s="1"/>
  <c r="C66" i="3"/>
  <c r="C71" i="3"/>
  <c r="C72" i="3" l="1"/>
  <c r="C73" i="3" l="1"/>
  <c r="C74" i="3" s="1"/>
  <c r="C7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<sst xmlns="http://schemas.openxmlformats.org/spreadsheetml/2006/main" count="331" uniqueCount="182">
  <si>
    <t>OPERATING DATA</t>
  </si>
  <si>
    <t>CALCULATED DATA</t>
  </si>
  <si>
    <t>Pump operating flowrate</t>
  </si>
  <si>
    <t>Leakage flow</t>
  </si>
  <si>
    <t>H [m]</t>
  </si>
  <si>
    <t>Pump head</t>
  </si>
  <si>
    <t xml:space="preserve">Volmetric loss </t>
  </si>
  <si>
    <t>Impeller diameter</t>
  </si>
  <si>
    <t>N [rpm]</t>
  </si>
  <si>
    <t>Operating speed</t>
  </si>
  <si>
    <t>Fluid density</t>
  </si>
  <si>
    <t>μ [Pa*s]</t>
  </si>
  <si>
    <t>Fluid dynamic viscosity</t>
  </si>
  <si>
    <t>Fluid kinematic viscosity</t>
  </si>
  <si>
    <t>Check for the calculation</t>
  </si>
  <si>
    <t>Total axial thrust</t>
  </si>
  <si>
    <t>Suction pressure</t>
  </si>
  <si>
    <t xml:space="preserve">Total axial thrust due to pressure distribution and to momentum variation on impellers </t>
  </si>
  <si>
    <t>Inlet and outlet loss coefficient (from 1 to 1.2)</t>
  </si>
  <si>
    <t>ε [mm]</t>
  </si>
  <si>
    <t>Surface roughness</t>
  </si>
  <si>
    <t>Eccentricity (typical 0)</t>
  </si>
  <si>
    <t>Fluid axial speed</t>
  </si>
  <si>
    <t>Re</t>
  </si>
  <si>
    <t>Reynolds number on axial speed</t>
  </si>
  <si>
    <t>Reynolds number on tangential speed</t>
  </si>
  <si>
    <t>A</t>
  </si>
  <si>
    <t>Seal surface coefficient</t>
  </si>
  <si>
    <t>Friction coefficient for laminar flow (Re&lt;2000), ref. J. F. Gulich's Centrifugal Pumps 3.7.11</t>
  </si>
  <si>
    <t>Friction coefficient for laminar flow (Re&lt;2000), ref. J. F. Gulich's Centrifugal Pumps 3.7.14</t>
  </si>
  <si>
    <t>Friction coefficient for turbulent flow (Re&gt;2000), ref. J. F. Gulich's Centrifugal Pumps 3.7.12</t>
  </si>
  <si>
    <t>Friction coefficient for turbulent flow (Re&gt;2000), ref. J. F. Gulich's Centrifugal Pumps 3.7.13</t>
  </si>
  <si>
    <t>λ</t>
  </si>
  <si>
    <t>Friction coefficient</t>
  </si>
  <si>
    <t>BALANCING LINE ORIFICE</t>
  </si>
  <si>
    <t>Orifice diameter</t>
  </si>
  <si>
    <t>Piping internal diameter</t>
  </si>
  <si>
    <t xml:space="preserve">Fluid speed in orifice </t>
  </si>
  <si>
    <t>Fluid speed in pipe</t>
  </si>
  <si>
    <t>β</t>
  </si>
  <si>
    <t>Orifice and pipe diameters ratio</t>
  </si>
  <si>
    <t>Orifice area</t>
  </si>
  <si>
    <t>Pipe area</t>
  </si>
  <si>
    <t>Reynolds number referred to orifice diameter</t>
  </si>
  <si>
    <t>Reynolds number referred to piping diameter</t>
  </si>
  <si>
    <t>Distance of the upstream tapping point from the upstream face of the orifice plate</t>
  </si>
  <si>
    <t>Distance of the downstream tapping point from the downstream face of the orifice plate</t>
  </si>
  <si>
    <t>M2</t>
  </si>
  <si>
    <t>C</t>
  </si>
  <si>
    <t>Discharge coefficient (ref. ISO 5167-2 sect. 5.3.2.1)</t>
  </si>
  <si>
    <t>Pressure drop across balancing orifice (ref. ISO 5167-2 sect. 4)</t>
  </si>
  <si>
    <t>Approved</t>
  </si>
  <si>
    <t>Date</t>
  </si>
  <si>
    <t>input data</t>
  </si>
  <si>
    <t>descriptor</t>
  </si>
  <si>
    <t>Legend</t>
  </si>
  <si>
    <r>
      <t>D</t>
    </r>
    <r>
      <rPr>
        <vertAlign val="subscript"/>
        <sz val="11"/>
        <color theme="0"/>
        <rFont val="Calibri"/>
        <family val="2"/>
        <scheme val="minor"/>
      </rPr>
      <t>2</t>
    </r>
    <r>
      <rPr>
        <sz val="11"/>
        <color theme="0"/>
        <rFont val="Calibri"/>
        <family val="2"/>
        <scheme val="minor"/>
      </rPr>
      <t xml:space="preserve"> [mm]</t>
    </r>
  </si>
  <si>
    <t xml:space="preserve"> accuracy [%]</t>
  </si>
  <si>
    <t>Required accuracy</t>
  </si>
  <si>
    <t>BALNCE DRUM</t>
  </si>
  <si>
    <r>
      <t>N</t>
    </r>
    <r>
      <rPr>
        <b/>
        <vertAlign val="subscript"/>
        <sz val="11"/>
        <color theme="0"/>
        <rFont val="Calibri"/>
        <family val="2"/>
        <scheme val="minor"/>
      </rPr>
      <t>stages</t>
    </r>
    <r>
      <rPr>
        <b/>
        <sz val="11"/>
        <color theme="0"/>
        <rFont val="Calibri"/>
        <family val="2"/>
        <scheme val="minor"/>
      </rPr>
      <t xml:space="preserve"> [-]</t>
    </r>
  </si>
  <si>
    <t>calculated</t>
  </si>
  <si>
    <t>annotation</t>
  </si>
  <si>
    <t>Reaction factor</t>
  </si>
  <si>
    <r>
      <t>R</t>
    </r>
    <r>
      <rPr>
        <b/>
        <vertAlign val="subscript"/>
        <sz val="11"/>
        <color theme="0"/>
        <rFont val="Calibri"/>
        <family val="2"/>
        <scheme val="minor"/>
      </rPr>
      <t>G</t>
    </r>
    <r>
      <rPr>
        <b/>
        <sz val="11"/>
        <color theme="0"/>
        <rFont val="Calibri"/>
        <family val="2"/>
        <scheme val="minor"/>
      </rPr>
      <t xml:space="preserve"> [-]</t>
    </r>
  </si>
  <si>
    <r>
      <t>u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[m/s]</t>
    </r>
  </si>
  <si>
    <r>
      <t>Impeller's rotational speed at D</t>
    </r>
    <r>
      <rPr>
        <vertAlign val="subscript"/>
        <sz val="11"/>
        <color theme="0" tint="-0.499984740745262"/>
        <rFont val="Calibri"/>
        <family val="2"/>
        <scheme val="minor"/>
      </rPr>
      <t>2</t>
    </r>
  </si>
  <si>
    <t>Reynolds number</t>
  </si>
  <si>
    <r>
      <t>y</t>
    </r>
    <r>
      <rPr>
        <b/>
        <vertAlign val="subscript"/>
        <sz val="11"/>
        <color theme="0"/>
        <rFont val="Calibri"/>
        <family val="2"/>
        <scheme val="minor"/>
      </rPr>
      <t>RS</t>
    </r>
  </si>
  <si>
    <r>
      <t>k</t>
    </r>
    <r>
      <rPr>
        <b/>
        <vertAlign val="subscript"/>
        <sz val="11"/>
        <color theme="0"/>
        <rFont val="Calibri"/>
        <family val="2"/>
        <scheme val="minor"/>
      </rPr>
      <t>RS</t>
    </r>
  </si>
  <si>
    <t>OPERATING INPUT DATA</t>
  </si>
  <si>
    <t>DESIGN INPUT DATA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</si>
  <si>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bd</t>
    </r>
    <r>
      <rPr>
        <b/>
        <sz val="11"/>
        <color theme="0"/>
        <rFont val="Calibri"/>
        <family val="2"/>
        <scheme val="minor"/>
      </rPr>
      <t xml:space="preserve"> [mm]</t>
    </r>
  </si>
  <si>
    <t>Balance drum's diameter</t>
  </si>
  <si>
    <t>Balance drum's radial clearance</t>
  </si>
  <si>
    <t>Balance drum's length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</si>
  <si>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bd</t>
    </r>
    <r>
      <rPr>
        <b/>
        <sz val="11"/>
        <color theme="0"/>
        <rFont val="Calibri"/>
        <family val="2"/>
        <scheme val="minor"/>
      </rPr>
      <t xml:space="preserve"> [mm]</t>
    </r>
  </si>
  <si>
    <r>
      <t>L</t>
    </r>
    <r>
      <rPr>
        <b/>
        <vertAlign val="subscript"/>
        <sz val="11"/>
        <color theme="0"/>
        <rFont val="Calibri"/>
        <family val="2"/>
        <scheme val="minor"/>
      </rPr>
      <t>bd</t>
    </r>
    <r>
      <rPr>
        <b/>
        <sz val="11"/>
        <color theme="0"/>
        <rFont val="Calibri"/>
        <family val="2"/>
        <scheme val="minor"/>
      </rPr>
      <t xml:space="preserve"> [mm]</t>
    </r>
  </si>
  <si>
    <r>
      <t>Re</t>
    </r>
    <r>
      <rPr>
        <b/>
        <vertAlign val="subscript"/>
        <sz val="11"/>
        <color theme="0"/>
        <rFont val="Calibri"/>
        <family val="2"/>
        <scheme val="minor"/>
      </rPr>
      <t>u2</t>
    </r>
    <r>
      <rPr>
        <b/>
        <sz val="11"/>
        <color theme="0"/>
        <rFont val="Calibri"/>
        <family val="2"/>
        <scheme val="minor"/>
      </rPr>
      <t xml:space="preserve"> [-]</t>
    </r>
  </si>
  <si>
    <t>Factor for impeller rear shroud (inward flow)</t>
  </si>
  <si>
    <t>Rotation factor for impeller rear shroud (inward flow)</t>
  </si>
  <si>
    <r>
      <t>x</t>
    </r>
    <r>
      <rPr>
        <b/>
        <vertAlign val="subscript"/>
        <sz val="11"/>
        <color theme="0"/>
        <rFont val="Calibri"/>
        <family val="2"/>
        <scheme val="minor"/>
      </rPr>
      <t>bd</t>
    </r>
  </si>
  <si>
    <t>Ratio between balance drum diameter and impeller diameter</t>
  </si>
  <si>
    <t>Number of stages</t>
  </si>
  <si>
    <t>Pressure at balance drum inlet</t>
  </si>
  <si>
    <t>Pressure downstream orifice</t>
  </si>
  <si>
    <r>
      <t>ζ</t>
    </r>
    <r>
      <rPr>
        <b/>
        <vertAlign val="subscript"/>
        <sz val="11"/>
        <color theme="0"/>
        <rFont val="Calibri"/>
        <family val="2"/>
        <scheme val="minor"/>
      </rPr>
      <t>EA</t>
    </r>
  </si>
  <si>
    <r>
      <t>e</t>
    </r>
    <r>
      <rPr>
        <b/>
        <vertAlign val="subscript"/>
        <sz val="11"/>
        <color theme="0"/>
        <rFont val="Calibri"/>
        <family val="2"/>
        <scheme val="minor"/>
      </rPr>
      <t>x</t>
    </r>
    <r>
      <rPr>
        <b/>
        <sz val="11"/>
        <color theme="0"/>
        <rFont val="Calibri"/>
        <family val="2"/>
        <scheme val="minor"/>
      </rPr>
      <t xml:space="preserve"> [mm]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</si>
  <si>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ax</t>
    </r>
    <r>
      <rPr>
        <b/>
        <sz val="11"/>
        <color theme="0"/>
        <rFont val="Calibri"/>
        <family val="2"/>
        <scheme val="minor"/>
      </rPr>
      <t xml:space="preserve"> [m/s]</t>
    </r>
  </si>
  <si>
    <r>
      <t>Re</t>
    </r>
    <r>
      <rPr>
        <b/>
        <vertAlign val="subscript"/>
        <sz val="11"/>
        <color theme="0"/>
        <rFont val="Calibri"/>
        <family val="2"/>
        <scheme val="minor"/>
      </rPr>
      <t>u</t>
    </r>
  </si>
  <si>
    <r>
      <t>λ</t>
    </r>
    <r>
      <rPr>
        <b/>
        <vertAlign val="subscript"/>
        <sz val="11"/>
        <color theme="0"/>
        <rFont val="Calibri"/>
        <family val="2"/>
      </rPr>
      <t>0</t>
    </r>
  </si>
  <si>
    <r>
      <t>λ</t>
    </r>
    <r>
      <rPr>
        <b/>
        <vertAlign val="subscript"/>
        <sz val="11"/>
        <color theme="0"/>
        <rFont val="Calibri"/>
        <family val="2"/>
        <scheme val="minor"/>
      </rPr>
      <t>laminar</t>
    </r>
  </si>
  <si>
    <r>
      <t>λ</t>
    </r>
    <r>
      <rPr>
        <b/>
        <vertAlign val="subscript"/>
        <sz val="11"/>
        <color theme="0"/>
        <rFont val="Calibri"/>
        <family val="2"/>
        <scheme val="minor"/>
      </rPr>
      <t>turbulent</t>
    </r>
  </si>
  <si>
    <r>
      <t>∆p</t>
    </r>
    <r>
      <rPr>
        <b/>
        <vertAlign val="subscript"/>
        <sz val="11"/>
        <color theme="0"/>
        <rFont val="Calibri"/>
        <family val="2"/>
        <scheme val="minor"/>
      </rPr>
      <t xml:space="preserve">bushing </t>
    </r>
    <r>
      <rPr>
        <b/>
        <sz val="11"/>
        <color theme="0"/>
        <rFont val="Calibri"/>
        <family val="2"/>
        <scheme val="minor"/>
      </rPr>
      <t>[bar]</t>
    </r>
  </si>
  <si>
    <r>
      <t>p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vertAlign val="superscript"/>
        <sz val="11"/>
        <color theme="0"/>
        <rFont val="Calibri"/>
        <family val="2"/>
        <scheme val="minor"/>
      </rPr>
      <t>*</t>
    </r>
    <r>
      <rPr>
        <b/>
        <sz val="11"/>
        <color theme="0"/>
        <rFont val="Calibri"/>
        <family val="2"/>
        <scheme val="minor"/>
      </rPr>
      <t xml:space="preserve"> [barg]</t>
    </r>
  </si>
  <si>
    <r>
      <t>Q [m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/h]</t>
    </r>
  </si>
  <si>
    <r>
      <t>ρ [kg/m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]</t>
    </r>
  </si>
  <si>
    <r>
      <rPr>
        <b/>
        <sz val="11"/>
        <color theme="0"/>
        <rFont val="Calibri"/>
        <family val="2"/>
      </rPr>
      <t xml:space="preserve">ν </t>
    </r>
    <r>
      <rPr>
        <b/>
        <sz val="11"/>
        <color theme="0"/>
        <rFont val="Calibri"/>
        <family val="2"/>
        <scheme val="minor"/>
      </rPr>
      <t>[m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/s]</t>
    </r>
  </si>
  <si>
    <r>
      <t>F</t>
    </r>
    <r>
      <rPr>
        <b/>
        <vertAlign val="subscript"/>
        <sz val="11"/>
        <color theme="0"/>
        <rFont val="Calibri"/>
        <family val="2"/>
        <scheme val="minor"/>
      </rPr>
      <t xml:space="preserve">axial </t>
    </r>
    <r>
      <rPr>
        <b/>
        <sz val="11"/>
        <color theme="0"/>
        <rFont val="Calibri"/>
        <family val="2"/>
        <scheme val="minor"/>
      </rPr>
      <t>[N]</t>
    </r>
  </si>
  <si>
    <r>
      <t>p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[barg]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</si>
  <si>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>orifice</t>
    </r>
    <r>
      <rPr>
        <b/>
        <sz val="11"/>
        <color theme="0"/>
        <rFont val="Calibri"/>
        <family val="2"/>
        <scheme val="minor"/>
      </rPr>
      <t xml:space="preserve"> [mm]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</si>
  <si>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>pipe</t>
    </r>
    <r>
      <rPr>
        <b/>
        <sz val="11"/>
        <color theme="0"/>
        <rFont val="Calibri"/>
        <family val="2"/>
        <scheme val="minor"/>
      </rPr>
      <t xml:space="preserve"> [mm]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</si>
  <si>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orifice</t>
    </r>
    <r>
      <rPr>
        <b/>
        <sz val="11"/>
        <color theme="0"/>
        <rFont val="Calibri"/>
        <family val="2"/>
        <scheme val="minor"/>
      </rPr>
      <t xml:space="preserve"> [m/s]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</si>
  <si>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pipe</t>
    </r>
    <r>
      <rPr>
        <b/>
        <sz val="11"/>
        <color theme="0"/>
        <rFont val="Calibri"/>
        <family val="2"/>
        <scheme val="minor"/>
      </rPr>
      <t xml:space="preserve"> [m/s]</t>
    </r>
  </si>
  <si>
    <r>
      <t>A</t>
    </r>
    <r>
      <rPr>
        <b/>
        <vertAlign val="subscript"/>
        <sz val="11"/>
        <color theme="0"/>
        <rFont val="Calibri"/>
        <family val="2"/>
        <scheme val="minor"/>
      </rPr>
      <t>orifice</t>
    </r>
    <r>
      <rPr>
        <b/>
        <sz val="11"/>
        <color theme="0"/>
        <rFont val="Calibri"/>
        <family val="2"/>
        <scheme val="minor"/>
      </rPr>
      <t xml:space="preserve"> [mm2]</t>
    </r>
  </si>
  <si>
    <r>
      <t>A</t>
    </r>
    <r>
      <rPr>
        <b/>
        <vertAlign val="subscript"/>
        <sz val="11"/>
        <color theme="0"/>
        <rFont val="Calibri"/>
        <family val="2"/>
        <scheme val="minor"/>
      </rPr>
      <t>pipe</t>
    </r>
    <r>
      <rPr>
        <b/>
        <sz val="11"/>
        <color theme="0"/>
        <rFont val="Calibri"/>
        <family val="2"/>
        <scheme val="minor"/>
      </rPr>
      <t xml:space="preserve"> [mm2]</t>
    </r>
  </si>
  <si>
    <r>
      <t>Re</t>
    </r>
    <r>
      <rPr>
        <b/>
        <vertAlign val="subscript"/>
        <sz val="11"/>
        <color theme="0"/>
        <rFont val="Calibri"/>
        <family val="2"/>
        <scheme val="minor"/>
      </rPr>
      <t>d</t>
    </r>
  </si>
  <si>
    <r>
      <t>Re</t>
    </r>
    <r>
      <rPr>
        <b/>
        <vertAlign val="subscript"/>
        <sz val="11"/>
        <color theme="0"/>
        <rFont val="Calibri"/>
        <family val="2"/>
        <scheme val="minor"/>
      </rPr>
      <t>D</t>
    </r>
  </si>
  <si>
    <r>
      <t>l</t>
    </r>
    <r>
      <rPr>
        <b/>
        <vertAlign val="subscript"/>
        <sz val="11"/>
        <color theme="0"/>
        <rFont val="Calibri"/>
        <family val="2"/>
        <scheme val="minor"/>
      </rPr>
      <t>1</t>
    </r>
    <r>
      <rPr>
        <b/>
        <sz val="11"/>
        <color theme="0"/>
        <rFont val="Calibri"/>
        <family val="2"/>
        <scheme val="minor"/>
      </rPr>
      <t xml:space="preserve"> [mm]</t>
    </r>
  </si>
  <si>
    <r>
      <t>l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[mm]</t>
    </r>
  </si>
  <si>
    <r>
      <t>L</t>
    </r>
    <r>
      <rPr>
        <b/>
        <vertAlign val="subscript"/>
        <sz val="11"/>
        <color theme="0"/>
        <rFont val="Calibri"/>
        <family val="2"/>
        <scheme val="minor"/>
      </rPr>
      <t>1</t>
    </r>
  </si>
  <si>
    <r>
      <t>L</t>
    </r>
    <r>
      <rPr>
        <b/>
        <vertAlign val="subscript"/>
        <sz val="11"/>
        <color theme="0"/>
        <rFont val="Calibri"/>
        <family val="2"/>
        <scheme val="minor"/>
      </rPr>
      <t>2</t>
    </r>
  </si>
  <si>
    <r>
      <t>∆p</t>
    </r>
    <r>
      <rPr>
        <b/>
        <vertAlign val="subscript"/>
        <sz val="11"/>
        <color theme="0"/>
        <rFont val="Calibri"/>
        <family val="2"/>
        <scheme val="minor"/>
      </rPr>
      <t>orifice</t>
    </r>
    <r>
      <rPr>
        <b/>
        <sz val="11"/>
        <color theme="0"/>
        <rFont val="Calibri"/>
        <family val="2"/>
        <scheme val="minor"/>
      </rPr>
      <t xml:space="preserve"> [bar]</t>
    </r>
  </si>
  <si>
    <r>
      <t>p</t>
    </r>
    <r>
      <rPr>
        <b/>
        <vertAlign val="subscript"/>
        <sz val="11"/>
        <color theme="0"/>
        <rFont val="Calibri"/>
        <family val="2"/>
        <scheme val="minor"/>
      </rPr>
      <t>suction</t>
    </r>
    <r>
      <rPr>
        <b/>
        <vertAlign val="superscript"/>
        <sz val="11"/>
        <color theme="0"/>
        <rFont val="Calibri"/>
        <family val="2"/>
        <scheme val="minor"/>
      </rPr>
      <t>*</t>
    </r>
    <r>
      <rPr>
        <b/>
        <sz val="11"/>
        <color theme="0"/>
        <rFont val="Calibri"/>
        <family val="2"/>
        <scheme val="minor"/>
      </rPr>
      <t xml:space="preserve"> [barg]</t>
    </r>
  </si>
  <si>
    <r>
      <t>Q</t>
    </r>
    <r>
      <rPr>
        <b/>
        <vertAlign val="subscript"/>
        <sz val="11"/>
        <color theme="0"/>
        <rFont val="Calibri"/>
        <family val="2"/>
        <scheme val="minor"/>
      </rPr>
      <t>leakage</t>
    </r>
    <r>
      <rPr>
        <b/>
        <sz val="11"/>
        <color theme="0"/>
        <rFont val="Calibri"/>
        <family val="2"/>
        <scheme val="minor"/>
      </rPr>
      <t xml:space="preserve"> [m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/h]</t>
    </r>
  </si>
  <si>
    <r>
      <t>Q</t>
    </r>
    <r>
      <rPr>
        <b/>
        <vertAlign val="subscript"/>
        <sz val="11"/>
        <color theme="0"/>
        <rFont val="Calibri"/>
        <family val="2"/>
        <scheme val="minor"/>
      </rPr>
      <t>leakage</t>
    </r>
    <r>
      <rPr>
        <b/>
        <sz val="11"/>
        <color theme="0"/>
        <rFont val="Calibri"/>
        <family val="2"/>
        <scheme val="minor"/>
      </rPr>
      <t xml:space="preserve"> [%]</t>
    </r>
  </si>
  <si>
    <r>
      <t>∆p</t>
    </r>
    <r>
      <rPr>
        <b/>
        <vertAlign val="subscript"/>
        <sz val="11"/>
        <color theme="0"/>
        <rFont val="Calibri"/>
        <family val="2"/>
        <scheme val="minor"/>
      </rPr>
      <t xml:space="preserve">check </t>
    </r>
    <r>
      <rPr>
        <b/>
        <sz val="11"/>
        <color theme="0"/>
        <rFont val="Calibri"/>
        <family val="2"/>
        <scheme val="minor"/>
      </rPr>
      <t>[bar]</t>
    </r>
  </si>
  <si>
    <r>
      <t>∆F</t>
    </r>
    <r>
      <rPr>
        <b/>
        <vertAlign val="subscript"/>
        <sz val="11"/>
        <color theme="0"/>
        <rFont val="Calibri"/>
        <family val="2"/>
        <scheme val="minor"/>
      </rPr>
      <t>tot</t>
    </r>
    <r>
      <rPr>
        <b/>
        <sz val="11"/>
        <color theme="0"/>
        <rFont val="Calibri"/>
        <family val="2"/>
        <scheme val="minor"/>
      </rPr>
      <t xml:space="preserve"> [N]</t>
    </r>
  </si>
  <si>
    <r>
      <t>∆F</t>
    </r>
    <r>
      <rPr>
        <b/>
        <vertAlign val="subscript"/>
        <sz val="11"/>
        <color theme="0"/>
        <rFont val="Calibri"/>
        <family val="2"/>
        <scheme val="minor"/>
      </rPr>
      <t>tot</t>
    </r>
    <r>
      <rPr>
        <b/>
        <sz val="11"/>
        <color theme="0"/>
        <rFont val="Calibri"/>
        <family val="2"/>
        <scheme val="minor"/>
      </rPr>
      <t xml:space="preserve"> [%]</t>
    </r>
  </si>
  <si>
    <r>
      <t>F</t>
    </r>
    <r>
      <rPr>
        <b/>
        <vertAlign val="subscript"/>
        <sz val="11"/>
        <color theme="0"/>
        <rFont val="Calibri"/>
        <family val="2"/>
        <scheme val="minor"/>
      </rPr>
      <t>bd</t>
    </r>
    <r>
      <rPr>
        <b/>
        <sz val="11"/>
        <color theme="0"/>
        <rFont val="Calibri"/>
        <family val="2"/>
        <scheme val="minor"/>
      </rPr>
      <t xml:space="preserve"> [N]</t>
    </r>
  </si>
  <si>
    <t>Balance drum's axial thrust (&gt; 0, if directed towards suction)</t>
  </si>
  <si>
    <r>
      <t>p</t>
    </r>
    <r>
      <rPr>
        <b/>
        <vertAlign val="subscript"/>
        <sz val="11"/>
        <color theme="0"/>
        <rFont val="Calibri"/>
        <family val="2"/>
        <scheme val="minor"/>
      </rPr>
      <t>bd</t>
    </r>
    <r>
      <rPr>
        <b/>
        <sz val="11"/>
        <color theme="0"/>
        <rFont val="Calibri"/>
        <family val="2"/>
        <scheme val="minor"/>
      </rPr>
      <t xml:space="preserve"> [barg]</t>
    </r>
  </si>
  <si>
    <r>
      <t>p</t>
    </r>
    <r>
      <rPr>
        <b/>
        <vertAlign val="subscript"/>
        <sz val="11"/>
        <color theme="0"/>
        <rFont val="Calibri"/>
        <family val="2"/>
        <scheme val="minor"/>
      </rPr>
      <t>suction</t>
    </r>
    <r>
      <rPr>
        <b/>
        <sz val="11"/>
        <color theme="0"/>
        <rFont val="Calibri"/>
        <family val="2"/>
        <scheme val="minor"/>
      </rPr>
      <t xml:space="preserve"> [barg]</t>
    </r>
  </si>
  <si>
    <t>Residual axial thrust (&gt; 0, if directed towards suction)</t>
  </si>
  <si>
    <t>Balance drum calculation</t>
  </si>
  <si>
    <t>Sidewall gap</t>
  </si>
  <si>
    <t>open</t>
  </si>
  <si>
    <t>Sidewall gap type</t>
  </si>
  <si>
    <r>
      <t>k</t>
    </r>
    <r>
      <rPr>
        <b/>
        <vertAlign val="subscript"/>
        <sz val="11"/>
        <color theme="0"/>
        <rFont val="Calibri"/>
        <family val="2"/>
        <scheme val="minor"/>
      </rPr>
      <t>o</t>
    </r>
    <r>
      <rPr>
        <b/>
        <sz val="11"/>
        <color theme="0"/>
        <rFont val="Calibri"/>
        <family val="2"/>
        <scheme val="minor"/>
      </rPr>
      <t xml:space="preserve"> </t>
    </r>
  </si>
  <si>
    <t>Rotation of fluid without flow through sidewall gap, ref. J. F. Gulich's Centrifugal Pumps 9.1.3</t>
  </si>
  <si>
    <r>
      <t>ϕ</t>
    </r>
    <r>
      <rPr>
        <b/>
        <vertAlign val="subscript"/>
        <sz val="11"/>
        <color theme="0"/>
        <rFont val="Calibri"/>
        <family val="2"/>
        <scheme val="minor"/>
      </rPr>
      <t>sp</t>
    </r>
    <r>
      <rPr>
        <b/>
        <sz val="11"/>
        <color theme="0"/>
        <rFont val="Calibri"/>
        <family val="2"/>
        <scheme val="minor"/>
      </rPr>
      <t xml:space="preserve"> </t>
    </r>
  </si>
  <si>
    <t>Flow coefficient of impeller sidewall gap, ref. J. F. Gulich's Centrifugal Pumps 9.1.1</t>
  </si>
  <si>
    <t>Reynolds number, ref. J. F. Gulich's Centrifugal Pumps 9.1.1</t>
  </si>
  <si>
    <t>LAST STAGE IMPELLER'S REAR SHROUD</t>
  </si>
  <si>
    <t>Rear shroud angle (casing)</t>
  </si>
  <si>
    <t>Rear shroud angle (impeller)</t>
  </si>
  <si>
    <r>
      <rPr>
        <b/>
        <sz val="11"/>
        <color theme="0"/>
        <rFont val="Aptos Narrow"/>
        <family val="2"/>
      </rPr>
      <t>t</t>
    </r>
    <r>
      <rPr>
        <b/>
        <vertAlign val="subscript"/>
        <sz val="11"/>
        <color theme="0"/>
        <rFont val="Calibri"/>
        <family val="2"/>
        <scheme val="minor"/>
      </rPr>
      <t>ax</t>
    </r>
    <r>
      <rPr>
        <b/>
        <sz val="11"/>
        <color theme="0"/>
        <rFont val="Calibri"/>
        <family val="2"/>
        <scheme val="minor"/>
      </rPr>
      <t xml:space="preserve">  [mm]</t>
    </r>
  </si>
  <si>
    <t>Axial casing part in impeller sidewall gap</t>
  </si>
  <si>
    <r>
      <rPr>
        <b/>
        <sz val="11"/>
        <color theme="0"/>
        <rFont val="Aptos Narrow"/>
        <family val="2"/>
      </rPr>
      <t>r</t>
    </r>
    <r>
      <rPr>
        <b/>
        <vertAlign val="subscript"/>
        <sz val="11"/>
        <color theme="0"/>
        <rFont val="Calibri"/>
        <family val="2"/>
        <scheme val="minor"/>
      </rPr>
      <t>w</t>
    </r>
    <r>
      <rPr>
        <b/>
        <sz val="11"/>
        <color theme="0"/>
        <rFont val="Calibri"/>
        <family val="2"/>
        <scheme val="minor"/>
      </rPr>
      <t xml:space="preserve">  [mm]</t>
    </r>
  </si>
  <si>
    <t>Radius of casing part in impeller sidewall gap</t>
  </si>
  <si>
    <r>
      <rPr>
        <b/>
        <sz val="11"/>
        <color theme="0"/>
        <rFont val="Aptos Narrow"/>
        <family val="2"/>
      </rPr>
      <t>δ</t>
    </r>
    <r>
      <rPr>
        <b/>
        <vertAlign val="subscript"/>
        <sz val="11"/>
        <color theme="0"/>
        <rFont val="Calibri"/>
        <family val="2"/>
        <scheme val="minor"/>
      </rPr>
      <t>R</t>
    </r>
    <r>
      <rPr>
        <b/>
        <sz val="11"/>
        <color theme="0"/>
        <rFont val="Calibri"/>
        <family val="2"/>
        <scheme val="minor"/>
      </rPr>
      <t xml:space="preserve"> [°]</t>
    </r>
  </si>
  <si>
    <r>
      <rPr>
        <b/>
        <sz val="11"/>
        <color theme="0"/>
        <rFont val="Aptos Narrow"/>
        <family val="2"/>
      </rPr>
      <t>δ</t>
    </r>
    <r>
      <rPr>
        <b/>
        <vertAlign val="subscript"/>
        <sz val="11"/>
        <color theme="0"/>
        <rFont val="Calibri"/>
        <family val="2"/>
        <scheme val="minor"/>
      </rPr>
      <t>W</t>
    </r>
    <r>
      <rPr>
        <b/>
        <sz val="11"/>
        <color theme="0"/>
        <rFont val="Calibri"/>
        <family val="2"/>
        <scheme val="minor"/>
      </rPr>
      <t xml:space="preserve"> [°]</t>
    </r>
  </si>
  <si>
    <r>
      <rPr>
        <b/>
        <sz val="11"/>
        <color theme="0"/>
        <rFont val="Aptos Narrow"/>
        <family val="2"/>
      </rPr>
      <t>c</t>
    </r>
    <r>
      <rPr>
        <b/>
        <vertAlign val="subscript"/>
        <sz val="11"/>
        <color theme="0"/>
        <rFont val="Calibri"/>
        <family val="2"/>
        <scheme val="minor"/>
      </rPr>
      <t>f,W</t>
    </r>
    <r>
      <rPr>
        <b/>
        <sz val="11"/>
        <color theme="0"/>
        <rFont val="Calibri"/>
        <family val="2"/>
        <scheme val="minor"/>
      </rPr>
      <t xml:space="preserve"> </t>
    </r>
  </si>
  <si>
    <t>Friction coefficient on shroud (casing)</t>
  </si>
  <si>
    <r>
      <rPr>
        <b/>
        <sz val="11"/>
        <color theme="0"/>
        <rFont val="Aptos Narrow"/>
        <family val="2"/>
      </rPr>
      <t>c</t>
    </r>
    <r>
      <rPr>
        <b/>
        <vertAlign val="subscript"/>
        <sz val="11"/>
        <color theme="0"/>
        <rFont val="Calibri"/>
        <family val="2"/>
        <scheme val="minor"/>
      </rPr>
      <t>f,R</t>
    </r>
    <r>
      <rPr>
        <b/>
        <sz val="11"/>
        <color theme="0"/>
        <rFont val="Calibri"/>
        <family val="2"/>
        <scheme val="minor"/>
      </rPr>
      <t xml:space="preserve"> </t>
    </r>
  </si>
  <si>
    <t>Friction coefficient on shroud (impeller)</t>
  </si>
  <si>
    <r>
      <t>n</t>
    </r>
    <r>
      <rPr>
        <b/>
        <vertAlign val="subscript"/>
        <sz val="11"/>
        <color theme="0"/>
        <rFont val="Calibri"/>
        <family val="2"/>
        <scheme val="minor"/>
      </rPr>
      <t>steps</t>
    </r>
  </si>
  <si>
    <t>Calculation steps (max 2000)</t>
  </si>
  <si>
    <t>CALCULATION INPUT DATA</t>
  </si>
  <si>
    <r>
      <t>α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[°]</t>
    </r>
  </si>
  <si>
    <t>Angle between u2 and c2</t>
  </si>
  <si>
    <r>
      <rPr>
        <b/>
        <sz val="11"/>
        <color theme="0"/>
        <rFont val="Aptos Narrow"/>
        <family val="2"/>
      </rPr>
      <t>β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[°]</t>
    </r>
  </si>
  <si>
    <t>Angle between u2 and w2</t>
  </si>
  <si>
    <t>Static pressure at last stage impeller's discharge</t>
  </si>
  <si>
    <t>First issue</t>
  </si>
  <si>
    <t>Rev.</t>
  </si>
  <si>
    <t>Description</t>
  </si>
  <si>
    <t>Prepared</t>
  </si>
  <si>
    <t>Checked</t>
  </si>
  <si>
    <t>BWR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</si>
  <si>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shaft</t>
    </r>
    <r>
      <rPr>
        <b/>
        <sz val="11"/>
        <color theme="0"/>
        <rFont val="Calibri"/>
        <family val="2"/>
        <scheme val="minor"/>
      </rPr>
      <t xml:space="preserve"> [mm]</t>
    </r>
  </si>
  <si>
    <t>Shaft diameter</t>
  </si>
  <si>
    <r>
      <t>Δp</t>
    </r>
    <r>
      <rPr>
        <b/>
        <vertAlign val="subscript"/>
        <sz val="11"/>
        <color theme="0"/>
        <rFont val="Calibri"/>
        <family val="2"/>
        <scheme val="minor"/>
      </rPr>
      <t>BD</t>
    </r>
    <r>
      <rPr>
        <b/>
        <sz val="11"/>
        <color theme="0"/>
        <rFont val="Calibri"/>
        <family val="2"/>
        <scheme val="minor"/>
      </rPr>
      <t xml:space="preserve"> [bar]</t>
    </r>
  </si>
  <si>
    <t>Pressure downstream balance drum</t>
  </si>
  <si>
    <t>Pressure drop along impeller's rear shroud</t>
  </si>
  <si>
    <r>
      <rPr>
        <b/>
        <sz val="11"/>
        <color theme="0"/>
        <rFont val="Calibri"/>
        <family val="2"/>
      </rPr>
      <t xml:space="preserve">ν </t>
    </r>
    <r>
      <rPr>
        <b/>
        <sz val="11"/>
        <color theme="0"/>
        <rFont val="Calibri"/>
        <family val="2"/>
        <scheme val="minor"/>
      </rPr>
      <t>[mm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/s]</t>
    </r>
  </si>
  <si>
    <t>Seal type</t>
  </si>
  <si>
    <t>rough</t>
  </si>
  <si>
    <t>Rotor axial thrust</t>
  </si>
  <si>
    <t>Case to be shown in figure</t>
  </si>
  <si>
    <t>Case</t>
  </si>
  <si>
    <t>serrated</t>
  </si>
  <si>
    <t>isotropic pattern</t>
  </si>
  <si>
    <t>N/A</t>
  </si>
  <si>
    <t>Seal surface coefficient between 0.01 and 0.03</t>
  </si>
  <si>
    <t>Balance drum's sealing surface type</t>
  </si>
  <si>
    <t>Pressure drop across balance drum, ref. J. F. Gulich's Centrifugal Pumps 3.7.6</t>
  </si>
  <si>
    <t xml:space="preserve">Balance drum design
(linked to SOP-548)
</t>
  </si>
  <si>
    <t>Advance Mechanical Eng/ M. Di Somma</t>
  </si>
  <si>
    <t>QA/HSE N.Legato/T.Morelli Stefani</t>
  </si>
  <si>
    <t>R&amp;D &amp; Prod.Eng. Manager/M.Borghetti</t>
  </si>
  <si>
    <t>Mod.531-0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</si>
</sst>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0"/>
    <numFmt numFmtId="166" formatCode="0.0000"/>
    <numFmt numFmtId="167" formatCode="0.0"/>
    <numFmt numFmtId="168" formatCode="General_)"/>
    <numFmt numFmtId="169" formatCode="&quot;$&quot;#,##0.00;[Red]\-&quot;$&quot;#,##0.00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u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u/>
      <sz val="11"/>
      <name val="Calibri"/>
      <family val="2"/>
      <scheme val="minor"/>
    </font>
    <font>
      <vertAlign val="subscript"/>
      <sz val="11"/>
      <color theme="0" tint="-0.499984740745262"/>
      <name val="Calibri"/>
      <family val="2"/>
      <scheme val="minor"/>
    </font>
    <font>
      <b/>
      <vertAlign val="subscript"/>
      <sz val="11"/>
      <color theme="0"/>
      <name val="Calibri"/>
      <family val="2"/>
    </font>
    <font>
      <b/>
      <vertAlign val="superscript"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b/>
      <sz val="11"/>
      <color theme="0"/>
      <name val="Aptos Narrow"/>
      <family val="2"/>
    </font>
    <font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0" fontId="20" fillId="0" borderId="0"/>
    <xf numFmtId="168" fontId="21" fillId="0" borderId="0"/>
    <xf numFmtId="169" fontId="27" fillId="0" borderId="0" applyFont="0" applyFill="0" applyBorder="0" applyAlignment="0" applyProtection="0"/>
  </cellStyleXfs>
  <cellXfs count="107">
    <xf numFmtId="0" fontId="0" fillId="0" borderId="0" xfId="0"/>
    <xf numFmtId="0" fontId="1" fillId="4" borderId="3" xfId="0" applyFont="1" applyFill="1" applyBorder="1" applyAlignment="1" applyProtection="1">
      <alignment horizontal="center" vertical="center"/>
      <protection locked="0"/>
    </xf>
    <xf numFmtId="164" fontId="1" fillId="4" borderId="3" xfId="0" applyNumberFormat="1" applyFont="1" applyFill="1" applyBorder="1" applyAlignment="1" applyProtection="1">
      <alignment horizontal="center" vertical="center"/>
      <protection locked="0"/>
    </xf>
    <xf numFmtId="167" fontId="1" fillId="4" borderId="3" xfId="0" applyNumberFormat="1" applyFont="1" applyFill="1" applyBorder="1" applyAlignment="1" applyProtection="1">
      <alignment horizontal="center" vertical="center"/>
      <protection locked="0"/>
    </xf>
    <xf numFmtId="1" fontId="1" fillId="4" borderId="3" xfId="0" applyNumberFormat="1" applyFont="1" applyFill="1" applyBorder="1" applyAlignment="1" applyProtection="1">
      <alignment horizontal="center" vertical="center"/>
      <protection locked="0"/>
    </xf>
    <xf numFmtId="2" fontId="1" fillId="4" borderId="3" xfId="0" applyNumberFormat="1" applyFont="1" applyFill="1" applyBorder="1" applyAlignment="1" applyProtection="1">
      <alignment horizontal="center" vertical="center"/>
      <protection locked="0"/>
    </xf>
    <xf numFmtId="0" fontId="7" fillId="0" borderId="0" xfId="1" applyFont="1" applyProtection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8" fillId="2" borderId="4" xfId="0" applyFont="1" applyFill="1" applyBorder="1" applyAlignment="1">
      <alignment horizontal="center" vertical="center"/>
    </xf>
    <xf numFmtId="2" fontId="1" fillId="4" borderId="4" xfId="0" applyNumberFormat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2" fontId="9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11" fontId="9" fillId="0" borderId="3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4" fillId="2" borderId="1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2" fontId="1" fillId="0" borderId="3" xfId="0" applyNumberFormat="1" applyFont="1" applyBorder="1" applyAlignment="1">
      <alignment horizontal="center" vertical="center"/>
    </xf>
    <xf numFmtId="2" fontId="9" fillId="0" borderId="3" xfId="0" applyNumberFormat="1" applyFont="1" applyBorder="1" applyAlignment="1">
      <alignment horizontal="center" vertical="center"/>
    </xf>
    <xf numFmtId="1" fontId="9" fillId="0" borderId="3" xfId="0" applyNumberFormat="1" applyFont="1" applyBorder="1" applyAlignment="1">
      <alignment horizontal="center" vertical="center"/>
    </xf>
    <xf numFmtId="164" fontId="9" fillId="0" borderId="3" xfId="0" applyNumberFormat="1" applyFont="1" applyBorder="1" applyAlignment="1">
      <alignment horizontal="center" vertical="center"/>
    </xf>
    <xf numFmtId="165" fontId="9" fillId="0" borderId="3" xfId="0" applyNumberFormat="1" applyFont="1" applyBorder="1" applyAlignment="1">
      <alignment horizontal="center" vertical="center"/>
    </xf>
    <xf numFmtId="166" fontId="9" fillId="0" borderId="3" xfId="0" applyNumberFormat="1" applyFont="1" applyBorder="1" applyAlignment="1">
      <alignment horizontal="center" vertical="center"/>
    </xf>
    <xf numFmtId="164" fontId="10" fillId="0" borderId="3" xfId="0" applyNumberFormat="1" applyFont="1" applyBorder="1" applyAlignment="1">
      <alignment horizontal="center" vertical="center"/>
    </xf>
    <xf numFmtId="0" fontId="8" fillId="2" borderId="1" xfId="0" applyFont="1" applyFill="1" applyBorder="1" applyAlignment="1">
      <alignment vertical="center"/>
    </xf>
    <xf numFmtId="0" fontId="8" fillId="2" borderId="2" xfId="0" applyFont="1" applyFill="1" applyBorder="1" applyAlignment="1">
      <alignment vertical="center"/>
    </xf>
    <xf numFmtId="0" fontId="8" fillId="2" borderId="5" xfId="0" applyFont="1" applyFill="1" applyBorder="1" applyAlignment="1">
      <alignment vertical="center"/>
    </xf>
    <xf numFmtId="1" fontId="10" fillId="0" borderId="3" xfId="0" applyNumberFormat="1" applyFont="1" applyBorder="1" applyAlignment="1">
      <alignment horizontal="center" vertical="center"/>
    </xf>
    <xf numFmtId="0" fontId="20" fillId="0" borderId="9" xfId="2" applyBorder="1" applyAlignment="1">
      <alignment horizontal="center" vertical="center"/>
    </xf>
    <xf numFmtId="0" fontId="20" fillId="0" borderId="10" xfId="2" applyBorder="1" applyAlignment="1">
      <alignment horizontal="center" vertical="center"/>
    </xf>
    <xf numFmtId="0" fontId="20" fillId="0" borderId="11" xfId="2" applyBorder="1" applyAlignment="1">
      <alignment horizontal="center" vertical="center"/>
    </xf>
    <xf numFmtId="168" fontId="21" fillId="0" borderId="0" xfId="3"/>
    <xf numFmtId="0" fontId="20" fillId="0" borderId="12" xfId="2" applyBorder="1" applyAlignment="1">
      <alignment horizontal="center" vertical="center"/>
    </xf>
    <xf numFmtId="0" fontId="20" fillId="0" borderId="0" xfId="2" applyAlignment="1">
      <alignment horizontal="center" vertical="center"/>
    </xf>
    <xf numFmtId="0" fontId="20" fillId="0" borderId="13" xfId="2" applyBorder="1" applyAlignment="1">
      <alignment horizontal="center" vertical="center"/>
    </xf>
    <xf numFmtId="0" fontId="22" fillId="0" borderId="0" xfId="2" applyFont="1" applyAlignment="1">
      <alignment horizontal="center" vertical="top"/>
    </xf>
    <xf numFmtId="0" fontId="20" fillId="0" borderId="0" xfId="2" applyAlignment="1">
      <alignment horizontal="center"/>
    </xf>
    <xf numFmtId="0" fontId="23" fillId="0" borderId="0" xfId="2" applyFont="1" applyAlignment="1">
      <alignment horizontal="center" vertical="top"/>
    </xf>
    <xf numFmtId="0" fontId="24" fillId="0" borderId="13" xfId="2" applyFont="1" applyBorder="1" applyAlignment="1">
      <alignment horizontal="center" vertical="top"/>
    </xf>
    <xf numFmtId="0" fontId="25" fillId="0" borderId="12" xfId="2" applyFont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5" fillId="0" borderId="13" xfId="2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3" fillId="0" borderId="8" xfId="0" applyFont="1" applyBorder="1" applyAlignment="1">
      <alignment horizontal="center" vertical="center"/>
    </xf>
    <xf numFmtId="164" fontId="1" fillId="0" borderId="3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5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 wrapText="1"/>
    </xf>
    <xf numFmtId="1" fontId="1" fillId="4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25" fillId="0" borderId="9" xfId="2" applyFont="1" applyBorder="1" applyAlignment="1">
      <alignment horizontal="center" vertical="center" wrapText="1"/>
    </xf>
    <xf numFmtId="0" fontId="25" fillId="0" borderId="10" xfId="2" applyFont="1" applyBorder="1" applyAlignment="1">
      <alignment horizontal="center" vertical="center" wrapText="1"/>
    </xf>
    <xf numFmtId="0" fontId="25" fillId="0" borderId="11" xfId="2" applyFont="1" applyBorder="1" applyAlignment="1">
      <alignment horizontal="center" vertical="center" wrapText="1"/>
    </xf>
    <xf numFmtId="0" fontId="25" fillId="0" borderId="12" xfId="2" applyFont="1" applyBorder="1" applyAlignment="1">
      <alignment horizontal="center" vertical="center" wrapText="1"/>
    </xf>
    <xf numFmtId="0" fontId="25" fillId="0" borderId="0" xfId="2" applyFont="1" applyAlignment="1">
      <alignment horizontal="center" vertical="center" wrapText="1"/>
    </xf>
    <xf numFmtId="0" fontId="25" fillId="0" borderId="13" xfId="2" applyFont="1" applyBorder="1" applyAlignment="1">
      <alignment horizontal="center" vertical="center" wrapText="1"/>
    </xf>
    <xf numFmtId="0" fontId="25" fillId="0" borderId="14" xfId="2" applyFont="1" applyBorder="1" applyAlignment="1">
      <alignment horizontal="center" vertical="center" wrapText="1"/>
    </xf>
    <xf numFmtId="0" fontId="25" fillId="0" borderId="15" xfId="2" applyFont="1" applyBorder="1" applyAlignment="1">
      <alignment horizontal="center" vertical="center" wrapText="1"/>
    </xf>
    <xf numFmtId="0" fontId="25" fillId="0" borderId="16" xfId="2" applyFont="1" applyBorder="1" applyAlignment="1">
      <alignment horizontal="center" vertical="center" wrapText="1"/>
    </xf>
    <xf numFmtId="0" fontId="20" fillId="0" borderId="17" xfId="2" applyBorder="1" applyAlignment="1">
      <alignment horizontal="center" vertical="center"/>
    </xf>
    <xf numFmtId="0" fontId="20" fillId="0" borderId="18" xfId="2" applyBorder="1" applyAlignment="1">
      <alignment horizontal="center" vertical="center"/>
    </xf>
    <xf numFmtId="0" fontId="20" fillId="0" borderId="19" xfId="2" applyBorder="1" applyAlignment="1">
      <alignment horizontal="center" vertical="center"/>
    </xf>
    <xf numFmtId="0" fontId="20" fillId="0" borderId="20" xfId="2" applyBorder="1" applyAlignment="1">
      <alignment horizontal="center" vertical="center"/>
    </xf>
    <xf numFmtId="0" fontId="20" fillId="0" borderId="21" xfId="2" applyBorder="1" applyAlignment="1">
      <alignment horizontal="center" vertical="center"/>
    </xf>
    <xf numFmtId="0" fontId="20" fillId="0" borderId="1" xfId="2" applyBorder="1" applyAlignment="1">
      <alignment horizontal="center" vertical="center"/>
    </xf>
    <xf numFmtId="0" fontId="20" fillId="0" borderId="2" xfId="2" applyBorder="1" applyAlignment="1">
      <alignment horizontal="center" vertical="center"/>
    </xf>
    <xf numFmtId="0" fontId="20" fillId="0" borderId="23" xfId="2" applyBorder="1" applyAlignment="1">
      <alignment horizontal="center" vertical="center"/>
    </xf>
    <xf numFmtId="0" fontId="20" fillId="0" borderId="22" xfId="2" applyBorder="1" applyAlignment="1">
      <alignment horizontal="center" vertical="center"/>
    </xf>
    <xf numFmtId="0" fontId="20" fillId="0" borderId="5" xfId="2" applyBorder="1" applyAlignment="1">
      <alignment horizontal="center" vertical="center"/>
    </xf>
    <xf numFmtId="0" fontId="27" fillId="0" borderId="1" xfId="2" applyFont="1" applyBorder="1" applyAlignment="1">
      <alignment horizontal="center" vertical="center" wrapText="1"/>
    </xf>
    <xf numFmtId="0" fontId="27" fillId="0" borderId="2" xfId="2" applyFont="1" applyBorder="1" applyAlignment="1">
      <alignment horizontal="center" vertical="center" wrapText="1"/>
    </xf>
    <xf numFmtId="0" fontId="27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5" xfId="2" applyFont="1" applyBorder="1" applyAlignment="1">
      <alignment horizontal="center" vertical="center"/>
    </xf>
    <xf numFmtId="14" fontId="27" fillId="0" borderId="1" xfId="2" applyNumberFormat="1" applyFont="1" applyBorder="1" applyAlignment="1">
      <alignment horizontal="center" vertical="center"/>
    </xf>
    <xf numFmtId="14" fontId="27" fillId="0" borderId="2" xfId="2" applyNumberFormat="1" applyFont="1" applyBorder="1" applyAlignment="1">
      <alignment horizontal="center" vertical="center"/>
    </xf>
    <xf numFmtId="14" fontId="27" fillId="0" borderId="5" xfId="2" applyNumberFormat="1" applyFont="1" applyBorder="1" applyAlignment="1">
      <alignment horizontal="center" vertical="center"/>
    </xf>
    <xf numFmtId="0" fontId="27" fillId="0" borderId="1" xfId="2" applyFont="1" applyBorder="1" applyAlignment="1">
      <alignment horizontal="center" vertical="center"/>
    </xf>
    <xf numFmtId="0" fontId="27" fillId="0" borderId="2" xfId="2" applyFont="1" applyBorder="1" applyAlignment="1">
      <alignment horizontal="center" vertical="center"/>
    </xf>
    <xf numFmtId="0" fontId="27" fillId="0" borderId="5" xfId="2" applyFont="1" applyBorder="1" applyAlignment="1">
      <alignment horizontal="center" vertical="center" wrapText="1"/>
    </xf>
    <xf numFmtId="169" fontId="20" fillId="0" borderId="14" xfId="4" applyFont="1" applyBorder="1" applyAlignment="1">
      <alignment horizontal="right" vertical="center"/>
    </xf>
    <xf numFmtId="169" fontId="21" fillId="0" borderId="15" xfId="4" applyFont="1" applyBorder="1" applyAlignment="1">
      <alignment horizontal="right" vertical="center"/>
    </xf>
    <xf numFmtId="169" fontId="21" fillId="0" borderId="16" xfId="4" applyFont="1" applyBorder="1" applyAlignment="1">
      <alignment horizontal="right" vertical="center"/>
    </xf>
    <xf numFmtId="169" fontId="20" fillId="0" borderId="24" xfId="4" applyFont="1" applyBorder="1" applyAlignment="1">
      <alignment horizontal="center" vertical="center"/>
    </xf>
    <xf numFmtId="169" fontId="20" fillId="0" borderId="25" xfId="4" applyFont="1" applyBorder="1" applyAlignment="1">
      <alignment horizontal="center" vertical="center"/>
    </xf>
    <xf numFmtId="0" fontId="28" fillId="0" borderId="26" xfId="2" applyFont="1" applyBorder="1" applyAlignment="1">
      <alignment horizontal="center" vertical="center"/>
    </xf>
    <xf numFmtId="0" fontId="28" fillId="0" borderId="27" xfId="2" applyFont="1" applyBorder="1" applyAlignment="1">
      <alignment horizontal="center" vertical="center"/>
    </xf>
    <xf numFmtId="0" fontId="28" fillId="0" borderId="25" xfId="2" applyFont="1" applyBorder="1" applyAlignment="1">
      <alignment horizontal="center" vertical="center"/>
    </xf>
    <xf numFmtId="0" fontId="28" fillId="0" borderId="28" xfId="2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4" fillId="2" borderId="1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</cellXfs>
  <cellStyles count="5">
    <cellStyle name="Normale" xfId="0" builtinId="0"/>
    <cellStyle name="Normale 3" xfId="3" xr:uid="{646E99ED-4882-44F9-B182-E2611A2FDB36}"/>
    <cellStyle name="Normale 4" xfId="2" xr:uid="{87C670D8-73D8-4933-92AC-1B1F8D5D7CBB}"/>
    <cellStyle name="Titolo" xfId="1" builtinId="15"/>
    <cellStyle name="Valuta 2" xfId="4" xr:uid="{B7B78FCF-A5B0-4D63-AA76-13988AC6197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Rear shroud pRS [barg]</c:v>
          </c:tx>
          <c:spPr>
            <a:ln w="127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'balance_drum-2'!$Y$3:$Y$2003</c:f>
              <c:numCache>
                <c:formatCode>General</c:formatCode>
                <c:ptCount val="2001"/>
                <c:pt idx="0">
                  <c:v>444.36666666666662</c:v>
                </c:pt>
                <c:pt idx="1">
                  <c:v>433.1</c:v>
                </c:pt>
                <c:pt idx="2">
                  <c:v>421.83333333333326</c:v>
                </c:pt>
                <c:pt idx="3">
                  <c:v>410.56666666666661</c:v>
                </c:pt>
                <c:pt idx="4">
                  <c:v>399.2999999999999</c:v>
                </c:pt>
                <c:pt idx="5">
                  <c:v>388.03333333333325</c:v>
                </c:pt>
                <c:pt idx="6">
                  <c:v>376.76666666666654</c:v>
                </c:pt>
                <c:pt idx="7">
                  <c:v>365.49999999999989</c:v>
                </c:pt>
                <c:pt idx="8">
                  <c:v>354.23333333333312</c:v>
                </c:pt>
                <c:pt idx="9">
                  <c:v>342.96666666666653</c:v>
                </c:pt>
                <c:pt idx="10">
                  <c:v>331.69999999999976</c:v>
                </c:pt>
                <c:pt idx="11">
                  <c:v>320.43333333333311</c:v>
                </c:pt>
                <c:pt idx="12">
                  <c:v>309.1666666666664</c:v>
                </c:pt>
                <c:pt idx="13">
                  <c:v>297.89999999999975</c:v>
                </c:pt>
                <c:pt idx="14">
                  <c:v>286.63333333333304</c:v>
                </c:pt>
              </c:numCache>
            </c:numRef>
          </c:xVal>
          <c:yVal>
            <c:numRef>
              <c:f>'balance_drum-2'!$Z$3:$Z$2003</c:f>
              <c:numCache>
                <c:formatCode>General</c:formatCode>
                <c:ptCount val="2001"/>
                <c:pt idx="0">
                  <c:v>36.639200533439528</c:v>
                </c:pt>
                <c:pt idx="1">
                  <c:v>36.485387363833333</c:v>
                </c:pt>
                <c:pt idx="2">
                  <c:v>36.335575491181409</c:v>
                </c:pt>
                <c:pt idx="3">
                  <c:v>36.189764915483757</c:v>
                </c:pt>
                <c:pt idx="4">
                  <c:v>36.047955636740383</c:v>
                </c:pt>
                <c:pt idx="5">
                  <c:v>35.910147654951288</c:v>
                </c:pt>
                <c:pt idx="6">
                  <c:v>35.776340970116458</c:v>
                </c:pt>
                <c:pt idx="7">
                  <c:v>35.646535582235913</c:v>
                </c:pt>
                <c:pt idx="8">
                  <c:v>35.52073149130964</c:v>
                </c:pt>
                <c:pt idx="9">
                  <c:v>35.398928697337638</c:v>
                </c:pt>
                <c:pt idx="10">
                  <c:v>35.281127200319915</c:v>
                </c:pt>
                <c:pt idx="11">
                  <c:v>35.167327000256471</c:v>
                </c:pt>
                <c:pt idx="12">
                  <c:v>35.057528097147298</c:v>
                </c:pt>
                <c:pt idx="13">
                  <c:v>34.951730490992396</c:v>
                </c:pt>
                <c:pt idx="14">
                  <c:v>34.849934181791774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16-492D-A56D-6DB77D5391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421392"/>
        <c:axId val="1491421872"/>
      </c:scatterChart>
      <c:valAx>
        <c:axId val="149142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Diameter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91421872"/>
        <c:crosses val="autoZero"/>
        <c:crossBetween val="midCat"/>
      </c:valAx>
      <c:valAx>
        <c:axId val="149142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Pressure [barg]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9142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A8F51A7D-4459-4FAB-A515-631B6C5B44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19</xdr:row>
      <xdr:rowOff>28575</xdr:rowOff>
    </xdr:from>
    <xdr:to>
      <xdr:col>29</xdr:col>
      <xdr:colOff>19050</xdr:colOff>
      <xdr:row>38</xdr:row>
      <xdr:rowOff>28574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D554BDE-E3B4-4C89-A008-A271A940A76B}"/>
            </a:ext>
          </a:extLst>
        </xdr:cNvPr>
        <xdr:cNvSpPr txBox="1"/>
      </xdr:nvSpPr>
      <xdr:spPr>
        <a:xfrm>
          <a:off x="95250" y="3648075"/>
          <a:ext cx="6276975" cy="3619499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worksheet provides the procedure to define and validate the balancing drum's design.</a:t>
          </a:r>
          <a:endParaRPr lang="it-IT">
            <a:effectLst/>
          </a:endParaRPr>
        </a:p>
        <a:p>
          <a:endParaRPr lang="en-US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balance_drum-1</a:t>
          </a:r>
          <a:endParaRPr lang="it-IT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 calculates the leakage flow and the balancing thrust from the balancing drum as per Gulich's simplified method. </a:t>
          </a:r>
          <a:endParaRPr lang="it-IT">
            <a:effectLst/>
          </a:endParaRPr>
        </a:p>
        <a:p>
          <a:endParaRPr lang="en-US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balance_drum-2</a:t>
          </a:r>
          <a:endParaRPr lang="it-IT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 calculates the leakage flow and the balancing thrust from the balancing drum as per Gulich's complete method. </a:t>
          </a:r>
          <a:endParaRPr lang="it-IT">
            <a:effectLst/>
          </a:endParaRPr>
        </a:p>
        <a:p>
          <a:pPr eaLnBrk="1" fontAlgn="auto" latinLnBrk="0" hangingPunct="1"/>
          <a:endParaRPr lang="it-IT">
            <a:effectLst/>
          </a:endParaRPr>
        </a:p>
        <a:p>
          <a:pPr eaLnBrk="1" fontAlgn="auto" latinLnBrk="0" hangingPunct="1"/>
          <a:endParaRPr lang="it-IT">
            <a:effectLst/>
          </a:endParaRPr>
        </a:p>
        <a:p>
          <a:endParaRPr lang="en-US" sz="1100" b="0" u="none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</xdr:colOff>
      <xdr:row>2</xdr:row>
      <xdr:rowOff>0</xdr:rowOff>
    </xdr:from>
    <xdr:to>
      <xdr:col>22</xdr:col>
      <xdr:colOff>1</xdr:colOff>
      <xdr:row>9</xdr:row>
      <xdr:rowOff>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8724901" y="485775"/>
          <a:ext cx="6705600" cy="13335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Follow the steps</a:t>
          </a:r>
          <a:r>
            <a:rPr lang="en-US" sz="1100" b="0" u="none" baseline="0"/>
            <a:t> to allow calculation to be initialized:</a:t>
          </a:r>
        </a:p>
        <a:p>
          <a:r>
            <a:rPr lang="en-US" sz="1100" b="0" u="none" baseline="0"/>
            <a:t>1)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Compile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input the input data.</a:t>
          </a: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As general note, the loss coefficients in all the sections have already been pre-compiled. It is not recommended to modify them, unless it is necessary for sensitivity analysis.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Run the calculation with the dedicated button.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Check the results in the "Calculated data" section.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34</xdr:col>
      <xdr:colOff>0</xdr:colOff>
      <xdr:row>45</xdr:row>
      <xdr:rowOff>0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976C15A6-C7E0-409A-BDCB-B05A3652CC01}"/>
            </a:ext>
          </a:extLst>
        </xdr:cNvPr>
        <xdr:cNvGrpSpPr/>
      </xdr:nvGrpSpPr>
      <xdr:grpSpPr>
        <a:xfrm>
          <a:off x="14642353" y="2495176"/>
          <a:ext cx="14776823" cy="6932706"/>
          <a:chOff x="8724900" y="2009776"/>
          <a:chExt cx="14034456" cy="7372349"/>
        </a:xfrm>
      </xdr:grpSpPr>
      <xdr:pic>
        <xdr:nvPicPr>
          <xdr:cNvPr id="9" name="Immagine 8">
            <a:extLst>
              <a:ext uri="{FF2B5EF4-FFF2-40B4-BE49-F238E27FC236}">
                <a16:creationId xmlns:a16="http://schemas.microsoft.com/office/drawing/2014/main" id="{BCBF17DD-B1D6-8132-861D-BDE710C739D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24900" y="2009776"/>
            <a:ext cx="14034456" cy="7372349"/>
          </a:xfrm>
          <a:prstGeom prst="rect">
            <a:avLst/>
          </a:prstGeom>
          <a:noFill/>
          <a:ln>
            <a:solidFill>
              <a:schemeClr val="tx2">
                <a:lumMod val="60000"/>
                <a:lumOff val="40000"/>
              </a:schemeClr>
            </a:solidFill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$J$15">
        <xdr:nvSpPr>
          <xdr:cNvPr id="12" name="CasellaDiTesto 11">
            <a:extLst>
              <a:ext uri="{FF2B5EF4-FFF2-40B4-BE49-F238E27FC236}">
                <a16:creationId xmlns:a16="http://schemas.microsoft.com/office/drawing/2014/main" id="{8B67405A-3077-9212-77AA-972C6FC83DAA}"/>
              </a:ext>
            </a:extLst>
          </xdr:cNvPr>
          <xdr:cNvSpPr txBox="1"/>
        </xdr:nvSpPr>
        <xdr:spPr>
          <a:xfrm>
            <a:off x="17666077" y="4470585"/>
            <a:ext cx="1044595" cy="196664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82C0D80-54C4-4E08-BA1A-3DFEA962262E}" type="TxLink">
              <a:rPr lang="en-US" sz="1100" b="0" i="0" u="none" strike="noStrike">
                <a:solidFill>
                  <a:schemeClr val="accent2"/>
                </a:solidFill>
                <a:latin typeface="Calibri"/>
                <a:cs typeface="Calibri"/>
              </a:rPr>
              <a:pPr algn="ctr"/>
              <a:t>Lbd [mm] = 24</a:t>
            </a:fld>
            <a:endParaRPr lang="it-IT" sz="800">
              <a:solidFill>
                <a:schemeClr val="accent2"/>
              </a:solidFill>
            </a:endParaRPr>
          </a:p>
        </xdr:txBody>
      </xdr:sp>
      <xdr:sp macro="" textlink="$J14">
        <xdr:nvSpPr>
          <xdr:cNvPr id="13" name="CasellaDiTesto 12">
            <a:extLst>
              <a:ext uri="{FF2B5EF4-FFF2-40B4-BE49-F238E27FC236}">
                <a16:creationId xmlns:a16="http://schemas.microsoft.com/office/drawing/2014/main" id="{49B60043-6873-B649-B98F-A45DAA1450B7}"/>
              </a:ext>
            </a:extLst>
          </xdr:cNvPr>
          <xdr:cNvSpPr txBox="1"/>
        </xdr:nvSpPr>
        <xdr:spPr>
          <a:xfrm rot="16200000">
            <a:off x="18303634" y="4188060"/>
            <a:ext cx="1336716" cy="195199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4DE0A5E3-05FA-4B1C-8E76-BE0FC3BDCF71}" type="TxLink">
              <a:rPr lang="en-US" sz="1100" b="0" i="0" u="none" strike="noStrike">
                <a:solidFill>
                  <a:schemeClr val="accent2"/>
                </a:solidFill>
                <a:latin typeface="Calibri"/>
                <a:cs typeface="Calibri"/>
              </a:rPr>
              <a:pPr algn="l"/>
              <a:t>sbd [mm] = 0,25</a:t>
            </a:fld>
            <a:endParaRPr lang="it-IT" sz="800">
              <a:solidFill>
                <a:schemeClr val="accent2"/>
              </a:solidFill>
            </a:endParaRPr>
          </a:p>
        </xdr:txBody>
      </xdr:sp>
      <xdr:sp macro="" textlink="$J12">
        <xdr:nvSpPr>
          <xdr:cNvPr id="14" name="CasellaDiTesto 13">
            <a:extLst>
              <a:ext uri="{FF2B5EF4-FFF2-40B4-BE49-F238E27FC236}">
                <a16:creationId xmlns:a16="http://schemas.microsoft.com/office/drawing/2014/main" id="{024638BB-9806-044E-7E2F-35DCCB7F6CE4}"/>
              </a:ext>
            </a:extLst>
          </xdr:cNvPr>
          <xdr:cNvSpPr txBox="1"/>
        </xdr:nvSpPr>
        <xdr:spPr>
          <a:xfrm rot="16200000">
            <a:off x="16294354" y="5605086"/>
            <a:ext cx="1228278" cy="195199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740525B-4503-46D8-AA74-A9B7160B6D41}" type="TxLink">
              <a:rPr lang="en-US" sz="1100" b="0" i="0" u="none" strike="noStrike">
                <a:solidFill>
                  <a:schemeClr val="accent2"/>
                </a:solidFill>
                <a:latin typeface="Calibri"/>
                <a:cs typeface="Calibri"/>
              </a:rPr>
              <a:pPr algn="ctr"/>
              <a:t>D2 [mm] = 450</a:t>
            </a:fld>
            <a:endParaRPr lang="it-IT" sz="800">
              <a:solidFill>
                <a:schemeClr val="accent2"/>
              </a:solidFill>
            </a:endParaRPr>
          </a:p>
        </xdr:txBody>
      </xdr:sp>
      <xdr:sp macro="" textlink="$J13">
        <xdr:nvSpPr>
          <xdr:cNvPr id="17" name="CasellaDiTesto 16">
            <a:extLst>
              <a:ext uri="{FF2B5EF4-FFF2-40B4-BE49-F238E27FC236}">
                <a16:creationId xmlns:a16="http://schemas.microsoft.com/office/drawing/2014/main" id="{A67382AB-6219-5735-7676-053B395A1247}"/>
              </a:ext>
            </a:extLst>
          </xdr:cNvPr>
          <xdr:cNvSpPr txBox="1"/>
        </xdr:nvSpPr>
        <xdr:spPr>
          <a:xfrm rot="16200000">
            <a:off x="18394394" y="5528743"/>
            <a:ext cx="1166447" cy="195199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9791D75-D842-4BEB-8012-46CB68C12351}" type="TxLink">
              <a:rPr lang="en-US" sz="1100" b="0" i="0" u="none" strike="noStrike">
                <a:solidFill>
                  <a:schemeClr val="accent2"/>
                </a:solidFill>
                <a:latin typeface="Calibri"/>
                <a:cs typeface="Calibri"/>
              </a:rPr>
              <a:pPr algn="ctr"/>
              <a:t>Dbd [mm] = 200</a:t>
            </a:fld>
            <a:endParaRPr lang="it-IT" sz="800">
              <a:solidFill>
                <a:schemeClr val="accent2"/>
              </a:solidFill>
            </a:endParaRPr>
          </a:p>
        </xdr:txBody>
      </xdr:sp>
      <xdr:sp macro="" textlink="$J57">
        <xdr:nvSpPr>
          <xdr:cNvPr id="18" name="CasellaDiTesto 17">
            <a:extLst>
              <a:ext uri="{FF2B5EF4-FFF2-40B4-BE49-F238E27FC236}">
                <a16:creationId xmlns:a16="http://schemas.microsoft.com/office/drawing/2014/main" id="{917ECF85-76AA-3683-A9A4-484DAC82F694}"/>
              </a:ext>
            </a:extLst>
          </xdr:cNvPr>
          <xdr:cNvSpPr txBox="1"/>
        </xdr:nvSpPr>
        <xdr:spPr>
          <a:xfrm>
            <a:off x="15239267" y="8722436"/>
            <a:ext cx="1604244" cy="195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0431878-C266-447A-8531-3E5EA6C89631}" type="TxLink">
              <a:rPr lang="en-US" sz="1100" b="0" i="0" u="none" strike="noStrike">
                <a:solidFill>
                  <a:schemeClr val="accent2"/>
                </a:solidFill>
                <a:latin typeface="Calibri"/>
                <a:cs typeface="Calibri"/>
              </a:rPr>
              <a:pPr algn="r"/>
              <a:t>dorifice [mm] = 16</a:t>
            </a:fld>
            <a:endParaRPr lang="it-IT" sz="800">
              <a:solidFill>
                <a:schemeClr val="accent2"/>
              </a:solidFill>
            </a:endParaRPr>
          </a:p>
        </xdr:txBody>
      </xdr:sp>
      <xdr:sp macro="" textlink="J77">
        <xdr:nvSpPr>
          <xdr:cNvPr id="19" name="CasellaDiTesto 18">
            <a:extLst>
              <a:ext uri="{FF2B5EF4-FFF2-40B4-BE49-F238E27FC236}">
                <a16:creationId xmlns:a16="http://schemas.microsoft.com/office/drawing/2014/main" id="{D45DE028-1232-ED6D-03D6-D48D5E54CDBF}"/>
              </a:ext>
            </a:extLst>
          </xdr:cNvPr>
          <xdr:cNvSpPr txBox="1"/>
        </xdr:nvSpPr>
        <xdr:spPr>
          <a:xfrm>
            <a:off x="17801493" y="8680207"/>
            <a:ext cx="1755973" cy="246746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A1E7B7E0-F9AB-4D4A-8C94-4413FFA54716}" type="TxLink">
              <a:rPr lang="en-US" sz="1100" b="0" i="0" u="none" strike="noStrike">
                <a:solidFill>
                  <a:schemeClr val="accent5">
                    <a:lumMod val="75000"/>
                  </a:schemeClr>
                </a:solidFill>
                <a:latin typeface="Calibri"/>
                <a:cs typeface="Calibri"/>
              </a:rPr>
              <a:pPr algn="r"/>
              <a:t>Qleakage [m3/h] = 10,4</a:t>
            </a:fld>
            <a:endParaRPr lang="it-IT" sz="1100">
              <a:solidFill>
                <a:schemeClr val="accent5">
                  <a:lumMod val="75000"/>
                </a:schemeClr>
              </a:solidFill>
            </a:endParaRPr>
          </a:p>
        </xdr:txBody>
      </xdr:sp>
      <xdr:sp macro="" textlink="J25">
        <xdr:nvSpPr>
          <xdr:cNvPr id="20" name="CasellaDiTesto 19">
            <a:extLst>
              <a:ext uri="{FF2B5EF4-FFF2-40B4-BE49-F238E27FC236}">
                <a16:creationId xmlns:a16="http://schemas.microsoft.com/office/drawing/2014/main" id="{4242DACB-5253-A3F8-C564-81F82D7F2FBF}"/>
              </a:ext>
            </a:extLst>
          </xdr:cNvPr>
          <xdr:cNvSpPr txBox="1"/>
        </xdr:nvSpPr>
        <xdr:spPr>
          <a:xfrm>
            <a:off x="12925425" y="8639175"/>
            <a:ext cx="1755973" cy="246746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A3603AC-95C6-4DA1-A21A-7EAD26AB1230}" type="TxLink">
              <a:rPr lang="en-US" sz="1100" b="0" i="0" u="none" strike="noStrike">
                <a:solidFill>
                  <a:schemeClr val="accent6">
                    <a:lumMod val="75000"/>
                  </a:schemeClr>
                </a:solidFill>
                <a:latin typeface="Calibri"/>
                <a:cs typeface="Calibri"/>
              </a:rPr>
              <a:pPr algn="ctr"/>
              <a:t>psuction [barg] = 1,5</a:t>
            </a:fld>
            <a:endParaRPr lang="it-IT" sz="1100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J54">
        <xdr:nvSpPr>
          <xdr:cNvPr id="22" name="CasellaDiTesto 21">
            <a:extLst>
              <a:ext uri="{FF2B5EF4-FFF2-40B4-BE49-F238E27FC236}">
                <a16:creationId xmlns:a16="http://schemas.microsoft.com/office/drawing/2014/main" id="{DCA41162-0F46-FEF4-12E7-5A5B9A23D4E1}"/>
              </a:ext>
            </a:extLst>
          </xdr:cNvPr>
          <xdr:cNvSpPr txBox="1"/>
        </xdr:nvSpPr>
        <xdr:spPr>
          <a:xfrm>
            <a:off x="19812000" y="8677275"/>
            <a:ext cx="1943100" cy="246746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2EBA670C-24C0-4EE7-BEE1-06CBA60588DB}" type="TxLink">
              <a:rPr lang="en-US" sz="1100" b="0" i="0" u="none" strike="noStrike">
                <a:solidFill>
                  <a:schemeClr val="accent6">
                    <a:lumMod val="75000"/>
                  </a:schemeClr>
                </a:solidFill>
                <a:latin typeface="Calibri"/>
                <a:cs typeface="Calibri"/>
              </a:rPr>
              <a:pPr algn="l"/>
              <a:t>pbd [barg] = 25,7</a:t>
            </a:fld>
            <a:endParaRPr lang="it-IT" sz="1100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J30">
        <xdr:nvSpPr>
          <xdr:cNvPr id="23" name="CasellaDiTesto 22">
            <a:extLst>
              <a:ext uri="{FF2B5EF4-FFF2-40B4-BE49-F238E27FC236}">
                <a16:creationId xmlns:a16="http://schemas.microsoft.com/office/drawing/2014/main" id="{456A2AC1-6B7F-9418-5FC4-3C4151E19D3D}"/>
              </a:ext>
            </a:extLst>
          </xdr:cNvPr>
          <xdr:cNvSpPr txBox="1"/>
        </xdr:nvSpPr>
        <xdr:spPr>
          <a:xfrm>
            <a:off x="13820775" y="3267075"/>
            <a:ext cx="1657350" cy="246746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CA2D2F-1FBB-42CF-B90D-563EBA08BDD4}" type="TxLink">
              <a:rPr lang="en-US" sz="1100" b="0" i="0" u="none" strike="noStrike">
                <a:solidFill>
                  <a:schemeClr val="accent6">
                    <a:lumMod val="75000"/>
                  </a:schemeClr>
                </a:solidFill>
                <a:latin typeface="Calibri"/>
                <a:cs typeface="Calibri"/>
              </a:rPr>
              <a:pPr algn="r"/>
              <a:t>p2 [barg] = 36,8</a:t>
            </a:fld>
            <a:endParaRPr lang="it-IT" sz="1100">
              <a:solidFill>
                <a:schemeClr val="accent6">
                  <a:lumMod val="75000"/>
                </a:schemeClr>
              </a:solidFill>
            </a:endParaRPr>
          </a:p>
        </xdr:txBody>
      </xdr:sp>
      <xdr:cxnSp macro="">
        <xdr:nvCxnSpPr>
          <xdr:cNvPr id="24" name="Connettore 2 23">
            <a:extLst>
              <a:ext uri="{FF2B5EF4-FFF2-40B4-BE49-F238E27FC236}">
                <a16:creationId xmlns:a16="http://schemas.microsoft.com/office/drawing/2014/main" id="{81128553-A5DA-CD82-715C-15D24EC0B5B1}"/>
              </a:ext>
            </a:extLst>
          </xdr:cNvPr>
          <xdr:cNvCxnSpPr>
            <a:stCxn id="23" idx="3"/>
          </xdr:cNvCxnSpPr>
        </xdr:nvCxnSpPr>
        <xdr:spPr>
          <a:xfrm>
            <a:off x="15478125" y="3390448"/>
            <a:ext cx="1866900" cy="1057727"/>
          </a:xfrm>
          <a:prstGeom prst="straightConnector1">
            <a:avLst/>
          </a:prstGeom>
          <a:ln>
            <a:solidFill>
              <a:schemeClr val="accent6">
                <a:lumMod val="7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J37">
        <xdr:nvSpPr>
          <xdr:cNvPr id="25" name="CasellaDiTesto 24">
            <a:extLst>
              <a:ext uri="{FF2B5EF4-FFF2-40B4-BE49-F238E27FC236}">
                <a16:creationId xmlns:a16="http://schemas.microsoft.com/office/drawing/2014/main" id="{C3AB659F-5E48-58B4-5C04-3EADF4854790}"/>
              </a:ext>
            </a:extLst>
          </xdr:cNvPr>
          <xdr:cNvSpPr txBox="1"/>
        </xdr:nvSpPr>
        <xdr:spPr>
          <a:xfrm>
            <a:off x="15173325" y="2647950"/>
            <a:ext cx="1524000" cy="246746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3ED5121-EF0B-45D3-BE7E-3608FBDC666A}" type="TxLink">
              <a:rPr lang="en-US" sz="1100" b="0" i="0" u="none" strike="noStrike">
                <a:solidFill>
                  <a:schemeClr val="accent6">
                    <a:lumMod val="75000"/>
                  </a:schemeClr>
                </a:solidFill>
                <a:latin typeface="Calibri"/>
                <a:cs typeface="Calibri"/>
              </a:rPr>
              <a:pPr algn="r"/>
              <a:t>p2* [barg] = 30,7</a:t>
            </a:fld>
            <a:endParaRPr lang="it-IT" sz="1100">
              <a:solidFill>
                <a:schemeClr val="accent6">
                  <a:lumMod val="75000"/>
                </a:schemeClr>
              </a:solidFill>
            </a:endParaRPr>
          </a:p>
        </xdr:txBody>
      </xdr:sp>
      <xdr:cxnSp macro="">
        <xdr:nvCxnSpPr>
          <xdr:cNvPr id="26" name="Connettore 2 25">
            <a:extLst>
              <a:ext uri="{FF2B5EF4-FFF2-40B4-BE49-F238E27FC236}">
                <a16:creationId xmlns:a16="http://schemas.microsoft.com/office/drawing/2014/main" id="{A5FA415C-2C1D-234F-58F5-FF53098F9AB7}"/>
              </a:ext>
            </a:extLst>
          </xdr:cNvPr>
          <xdr:cNvCxnSpPr>
            <a:stCxn id="25" idx="3"/>
          </xdr:cNvCxnSpPr>
        </xdr:nvCxnSpPr>
        <xdr:spPr>
          <a:xfrm>
            <a:off x="16697325" y="2771323"/>
            <a:ext cx="895350" cy="2172152"/>
          </a:xfrm>
          <a:prstGeom prst="straightConnector1">
            <a:avLst/>
          </a:prstGeom>
          <a:ln>
            <a:solidFill>
              <a:schemeClr val="accent6">
                <a:lumMod val="7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J73">
        <xdr:nvSpPr>
          <xdr:cNvPr id="27" name="CasellaDiTesto 26">
            <a:extLst>
              <a:ext uri="{FF2B5EF4-FFF2-40B4-BE49-F238E27FC236}">
                <a16:creationId xmlns:a16="http://schemas.microsoft.com/office/drawing/2014/main" id="{C912B986-D917-309B-87A1-B893AFAA4946}"/>
              </a:ext>
            </a:extLst>
          </xdr:cNvPr>
          <xdr:cNvSpPr txBox="1"/>
        </xdr:nvSpPr>
        <xdr:spPr>
          <a:xfrm>
            <a:off x="15906750" y="8458200"/>
            <a:ext cx="1943100" cy="246746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FC82AF9-5E77-4E36-9848-5F855960E797}" type="TxLink">
              <a:rPr lang="en-US" sz="1100" b="0" i="0" u="none" strike="noStrike">
                <a:solidFill>
                  <a:schemeClr val="accent6">
                    <a:lumMod val="75000"/>
                  </a:schemeClr>
                </a:solidFill>
                <a:latin typeface="Calibri"/>
                <a:cs typeface="Calibri"/>
              </a:rPr>
              <a:pPr algn="ctr"/>
              <a:t>∆porifice [bar] = 2,8</a:t>
            </a:fld>
            <a:endParaRPr lang="it-IT" sz="1100">
              <a:solidFill>
                <a:schemeClr val="accent6">
                  <a:lumMod val="75000"/>
                </a:schemeClr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1030" name="CommandButton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1031" name="CommandButton5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57151</xdr:colOff>
      <xdr:row>10</xdr:row>
      <xdr:rowOff>85725</xdr:rowOff>
    </xdr:from>
    <xdr:to>
      <xdr:col>12</xdr:col>
      <xdr:colOff>400051</xdr:colOff>
      <xdr:row>11</xdr:row>
      <xdr:rowOff>149303</xdr:rowOff>
    </xdr:to>
    <xdr:sp macro="" textlink="J11">
      <xdr:nvSpPr>
        <xdr:cNvPr id="2" name="CasellaDiTesto 1">
          <a:extLst>
            <a:ext uri="{FF2B5EF4-FFF2-40B4-BE49-F238E27FC236}">
              <a16:creationId xmlns:a16="http://schemas.microsoft.com/office/drawing/2014/main" id="{A4B22534-5E3B-4285-8F81-BA19B4966C99}"/>
            </a:ext>
          </a:extLst>
        </xdr:cNvPr>
        <xdr:cNvSpPr txBox="1"/>
      </xdr:nvSpPr>
      <xdr:spPr>
        <a:xfrm>
          <a:off x="15468601" y="2600325"/>
          <a:ext cx="952500" cy="254078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A5D3F9E5-764C-4055-9D98-1EAA54E19FE8}" type="TxLink">
            <a:rPr lang="en-US" sz="1400" b="1" i="0" u="sng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CASE 6</a:t>
          </a:fld>
          <a:endParaRPr lang="it-IT" sz="1400" b="1" u="sng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036" name="CommandButton6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</xdr:row>
          <xdr:rowOff>0</xdr:rowOff>
        </xdr:from>
        <xdr:to>
          <xdr:col>21</xdr:col>
          <xdr:colOff>527050</xdr:colOff>
          <xdr:row>6</xdr:row>
          <xdr:rowOff>38100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1</xdr:colOff>
      <xdr:row>2</xdr:row>
      <xdr:rowOff>0</xdr:rowOff>
    </xdr:from>
    <xdr:to>
      <xdr:col>17</xdr:col>
      <xdr:colOff>1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C703C64-7C84-42F7-A0F0-4C74676E7DF7}"/>
            </a:ext>
          </a:extLst>
        </xdr:cNvPr>
        <xdr:cNvSpPr txBox="1"/>
      </xdr:nvSpPr>
      <xdr:spPr>
        <a:xfrm>
          <a:off x="8724901" y="485775"/>
          <a:ext cx="6705600" cy="13335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Follow the steps</a:t>
          </a:r>
          <a:r>
            <a:rPr lang="en-US" sz="1100" b="0" u="none" baseline="0"/>
            <a:t> to allow calculation to be initialized:</a:t>
          </a:r>
        </a:p>
        <a:p>
          <a:r>
            <a:rPr lang="en-US" sz="1100" b="0" u="none" baseline="0"/>
            <a:t>1)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Compile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input the input data.</a:t>
          </a: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As general note, the loss coefficients in all the sections have already been pre-compiled. It is not recommended to modify them, unless it is necessary for sensitivity analysis.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Run the calculation with the dedicated button.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Check the results in the "Calculated data" section.</a:t>
          </a:r>
        </a:p>
      </xdr:txBody>
    </xdr:sp>
    <xdr:clientData/>
  </xdr:twoCellAnchor>
  <xdr:twoCellAnchor editAs="oneCell">
    <xdr:from>
      <xdr:col>6</xdr:col>
      <xdr:colOff>0</xdr:colOff>
      <xdr:row>44</xdr:row>
      <xdr:rowOff>1</xdr:rowOff>
    </xdr:from>
    <xdr:to>
      <xdr:col>20</xdr:col>
      <xdr:colOff>0</xdr:colOff>
      <xdr:row>104</xdr:row>
      <xdr:rowOff>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70CDE8BF-6AF8-4807-A426-CDB0D5440E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10</xdr:row>
      <xdr:rowOff>1</xdr:rowOff>
    </xdr:from>
    <xdr:to>
      <xdr:col>31</xdr:col>
      <xdr:colOff>13656</xdr:colOff>
      <xdr:row>44</xdr:row>
      <xdr:rowOff>0</xdr:rowOff>
    </xdr:to>
    <xdr:grpSp>
      <xdr:nvGrpSpPr>
        <xdr:cNvPr id="41" name="Gruppo 40">
          <a:extLst>
            <a:ext uri="{FF2B5EF4-FFF2-40B4-BE49-F238E27FC236}">
              <a16:creationId xmlns:a16="http://schemas.microsoft.com/office/drawing/2014/main" id="{33A97CDD-F972-73B0-CAAD-0E79831B16A4}"/>
            </a:ext>
          </a:extLst>
        </xdr:cNvPr>
        <xdr:cNvGrpSpPr/>
      </xdr:nvGrpSpPr>
      <xdr:grpSpPr>
        <a:xfrm>
          <a:off x="9151471" y="1979707"/>
          <a:ext cx="14790479" cy="6955117"/>
          <a:chOff x="8724900" y="2009776"/>
          <a:chExt cx="14034456" cy="7372349"/>
        </a:xfrm>
      </xdr:grpSpPr>
      <xdr:pic>
        <xdr:nvPicPr>
          <xdr:cNvPr id="17" name="Immagine 16">
            <a:extLst>
              <a:ext uri="{FF2B5EF4-FFF2-40B4-BE49-F238E27FC236}">
                <a16:creationId xmlns:a16="http://schemas.microsoft.com/office/drawing/2014/main" id="{86FA39C3-6FE8-12FC-A82F-76CBED6299B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24900" y="2009776"/>
            <a:ext cx="14034456" cy="7372349"/>
          </a:xfrm>
          <a:prstGeom prst="rect">
            <a:avLst/>
          </a:prstGeom>
          <a:noFill/>
          <a:ln>
            <a:solidFill>
              <a:schemeClr val="tx2">
                <a:lumMod val="60000"/>
                <a:lumOff val="40000"/>
              </a:schemeClr>
            </a:solidFill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$E$14">
        <xdr:nvSpPr>
          <xdr:cNvPr id="18" name="CasellaDiTesto 17">
            <a:extLst>
              <a:ext uri="{FF2B5EF4-FFF2-40B4-BE49-F238E27FC236}">
                <a16:creationId xmlns:a16="http://schemas.microsoft.com/office/drawing/2014/main" id="{C7E536A2-CF31-4883-B2BC-DCFA48E02448}"/>
              </a:ext>
            </a:extLst>
          </xdr:cNvPr>
          <xdr:cNvSpPr txBox="1"/>
        </xdr:nvSpPr>
        <xdr:spPr>
          <a:xfrm>
            <a:off x="17666077" y="4470585"/>
            <a:ext cx="1044595" cy="196664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9C0FE73-6C68-49D5-893F-21163C309A96}" type="TxLink">
              <a:rPr lang="en-US" sz="1050" b="0" i="0" u="none" strike="noStrike">
                <a:solidFill>
                  <a:schemeClr val="accent2"/>
                </a:solidFill>
                <a:latin typeface="Calibri"/>
                <a:cs typeface="Calibri"/>
              </a:rPr>
              <a:pPr algn="ctr"/>
              <a:t>Lbd [mm] = 24</a:t>
            </a:fld>
            <a:endParaRPr lang="it-IT" sz="800">
              <a:solidFill>
                <a:schemeClr val="accent2"/>
              </a:solidFill>
            </a:endParaRPr>
          </a:p>
        </xdr:txBody>
      </xdr:sp>
      <xdr:sp macro="" textlink="$E13">
        <xdr:nvSpPr>
          <xdr:cNvPr id="19" name="CasellaDiTesto 18">
            <a:extLst>
              <a:ext uri="{FF2B5EF4-FFF2-40B4-BE49-F238E27FC236}">
                <a16:creationId xmlns:a16="http://schemas.microsoft.com/office/drawing/2014/main" id="{E5512CC2-F11D-496D-B9C7-F937CF2CF7FF}"/>
              </a:ext>
            </a:extLst>
          </xdr:cNvPr>
          <xdr:cNvSpPr txBox="1"/>
        </xdr:nvSpPr>
        <xdr:spPr>
          <a:xfrm rot="16200000">
            <a:off x="18303634" y="4188060"/>
            <a:ext cx="1336716" cy="195199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C1EF25BB-1F46-44D4-98C1-CA982FC619D6}" type="TxLink">
              <a:rPr lang="en-US" sz="1050" b="0" i="0" u="none" strike="noStrike">
                <a:solidFill>
                  <a:schemeClr val="accent2"/>
                </a:solidFill>
                <a:latin typeface="Calibri"/>
                <a:cs typeface="Calibri"/>
              </a:rPr>
              <a:pPr algn="l"/>
              <a:t>sbd [mm] = 0.29</a:t>
            </a:fld>
            <a:endParaRPr lang="it-IT" sz="800">
              <a:solidFill>
                <a:schemeClr val="accent2"/>
              </a:solidFill>
            </a:endParaRPr>
          </a:p>
        </xdr:txBody>
      </xdr:sp>
      <xdr:sp macro="" textlink="$E11">
        <xdr:nvSpPr>
          <xdr:cNvPr id="20" name="CasellaDiTesto 19">
            <a:extLst>
              <a:ext uri="{FF2B5EF4-FFF2-40B4-BE49-F238E27FC236}">
                <a16:creationId xmlns:a16="http://schemas.microsoft.com/office/drawing/2014/main" id="{E8213EBC-B4C4-48AE-A699-93BB4097CACE}"/>
              </a:ext>
            </a:extLst>
          </xdr:cNvPr>
          <xdr:cNvSpPr txBox="1"/>
        </xdr:nvSpPr>
        <xdr:spPr>
          <a:xfrm rot="16200000">
            <a:off x="16294354" y="5605086"/>
            <a:ext cx="1228278" cy="195199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E3B59AE-552E-4287-BA40-4CD97A285CFF}" type="TxLink">
              <a:rPr lang="en-US" sz="1100" b="0" i="0" u="none" strike="noStrike">
                <a:solidFill>
                  <a:schemeClr val="accent2"/>
                </a:solidFill>
                <a:latin typeface="Calibri"/>
                <a:cs typeface="Calibri"/>
              </a:rPr>
              <a:pPr algn="ctr"/>
              <a:t>D2 [mm] = 450</a:t>
            </a:fld>
            <a:endParaRPr lang="it-IT" sz="800">
              <a:solidFill>
                <a:schemeClr val="accent2"/>
              </a:solidFill>
            </a:endParaRPr>
          </a:p>
        </xdr:txBody>
      </xdr:sp>
      <xdr:sp macro="" textlink="$E12">
        <xdr:nvSpPr>
          <xdr:cNvPr id="21" name="CasellaDiTesto 20">
            <a:extLst>
              <a:ext uri="{FF2B5EF4-FFF2-40B4-BE49-F238E27FC236}">
                <a16:creationId xmlns:a16="http://schemas.microsoft.com/office/drawing/2014/main" id="{F42C836A-EEE4-4B63-A85E-47960F9345A2}"/>
              </a:ext>
            </a:extLst>
          </xdr:cNvPr>
          <xdr:cNvSpPr txBox="1"/>
        </xdr:nvSpPr>
        <xdr:spPr>
          <a:xfrm rot="16200000">
            <a:off x="18394394" y="5528743"/>
            <a:ext cx="1166447" cy="195199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52A16C7-CE09-4E32-9DA8-349EE95811D8}" type="TxLink">
              <a:rPr lang="en-US" sz="1100" b="0" i="0" u="none" strike="noStrike">
                <a:solidFill>
                  <a:schemeClr val="accent2"/>
                </a:solidFill>
                <a:latin typeface="Calibri"/>
                <a:cs typeface="Calibri"/>
              </a:rPr>
              <a:pPr algn="ctr"/>
              <a:t>Dbd [mm] = 281</a:t>
            </a:fld>
            <a:endParaRPr lang="it-IT" sz="800">
              <a:solidFill>
                <a:schemeClr val="accent2"/>
              </a:solidFill>
            </a:endParaRPr>
          </a:p>
        </xdr:txBody>
      </xdr:sp>
      <xdr:sp macro="" textlink="$E83">
        <xdr:nvSpPr>
          <xdr:cNvPr id="22" name="CasellaDiTesto 21">
            <a:extLst>
              <a:ext uri="{FF2B5EF4-FFF2-40B4-BE49-F238E27FC236}">
                <a16:creationId xmlns:a16="http://schemas.microsoft.com/office/drawing/2014/main" id="{601FC719-DCC4-46BD-B4B4-807BCDFAF8D8}"/>
              </a:ext>
            </a:extLst>
          </xdr:cNvPr>
          <xdr:cNvSpPr txBox="1"/>
        </xdr:nvSpPr>
        <xdr:spPr>
          <a:xfrm>
            <a:off x="15239267" y="8722436"/>
            <a:ext cx="1604244" cy="195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03CE57A-D84D-48E9-AB91-8654DDD12C9B}" type="TxLink">
              <a:rPr lang="en-US" sz="1100" b="0" i="0" u="none" strike="noStrike">
                <a:solidFill>
                  <a:schemeClr val="accent2"/>
                </a:solidFill>
                <a:latin typeface="Calibri"/>
                <a:cs typeface="Calibri"/>
              </a:rPr>
              <a:pPr algn="r"/>
              <a:t>dorifice [mm] = 12</a:t>
            </a:fld>
            <a:endParaRPr lang="it-IT" sz="800">
              <a:solidFill>
                <a:schemeClr val="accent2"/>
              </a:solidFill>
            </a:endParaRPr>
          </a:p>
        </xdr:txBody>
      </xdr:sp>
      <xdr:sp macro="" textlink="E103">
        <xdr:nvSpPr>
          <xdr:cNvPr id="23" name="CasellaDiTesto 22">
            <a:extLst>
              <a:ext uri="{FF2B5EF4-FFF2-40B4-BE49-F238E27FC236}">
                <a16:creationId xmlns:a16="http://schemas.microsoft.com/office/drawing/2014/main" id="{8AA23298-CC1E-4AE6-AABD-6D8BC7FA9D0A}"/>
              </a:ext>
            </a:extLst>
          </xdr:cNvPr>
          <xdr:cNvSpPr txBox="1"/>
        </xdr:nvSpPr>
        <xdr:spPr>
          <a:xfrm>
            <a:off x="17801493" y="8680207"/>
            <a:ext cx="1755973" cy="246746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BBCBB654-943C-42EA-B58A-8C3197E46D40}" type="TxLink">
              <a:rPr lang="en-US" sz="1100" b="0" i="0" u="none" strike="noStrike">
                <a:solidFill>
                  <a:schemeClr val="accent5"/>
                </a:solidFill>
                <a:latin typeface="Calibri"/>
                <a:cs typeface="Calibri"/>
              </a:rPr>
              <a:pPr algn="r"/>
              <a:t>Qleakage [m3/h] = 17.8</a:t>
            </a:fld>
            <a:endParaRPr lang="it-IT" sz="1100">
              <a:solidFill>
                <a:schemeClr val="accent5"/>
              </a:solidFill>
            </a:endParaRPr>
          </a:p>
        </xdr:txBody>
      </xdr:sp>
      <xdr:sp macro="" textlink="E31">
        <xdr:nvSpPr>
          <xdr:cNvPr id="24" name="CasellaDiTesto 23">
            <a:extLst>
              <a:ext uri="{FF2B5EF4-FFF2-40B4-BE49-F238E27FC236}">
                <a16:creationId xmlns:a16="http://schemas.microsoft.com/office/drawing/2014/main" id="{EE2D7DFA-6286-41CE-97AF-02F29158DA1E}"/>
              </a:ext>
            </a:extLst>
          </xdr:cNvPr>
          <xdr:cNvSpPr txBox="1"/>
        </xdr:nvSpPr>
        <xdr:spPr>
          <a:xfrm>
            <a:off x="12925425" y="8639175"/>
            <a:ext cx="1755973" cy="246746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E1BD17A-D504-4445-A9DD-BA5C296D0CCF}" type="TxLink">
              <a:rPr lang="en-US" sz="1100" b="0" i="0" u="none" strike="noStrike">
                <a:solidFill>
                  <a:schemeClr val="accent6">
                    <a:lumMod val="75000"/>
                  </a:schemeClr>
                </a:solidFill>
                <a:latin typeface="Calibri"/>
                <a:cs typeface="Calibri"/>
              </a:rPr>
              <a:pPr algn="ctr"/>
              <a:t>psuction [barg] = 1.5</a:t>
            </a:fld>
            <a:endParaRPr lang="it-IT" sz="1100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E80">
        <xdr:nvSpPr>
          <xdr:cNvPr id="25" name="CasellaDiTesto 24">
            <a:extLst>
              <a:ext uri="{FF2B5EF4-FFF2-40B4-BE49-F238E27FC236}">
                <a16:creationId xmlns:a16="http://schemas.microsoft.com/office/drawing/2014/main" id="{7C1D13F4-71F8-4629-940F-1D3A4CB122C9}"/>
              </a:ext>
            </a:extLst>
          </xdr:cNvPr>
          <xdr:cNvSpPr txBox="1"/>
        </xdr:nvSpPr>
        <xdr:spPr>
          <a:xfrm>
            <a:off x="19812000" y="8677275"/>
            <a:ext cx="1943100" cy="246746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26071C29-507C-433A-8F22-2437902F4299}" type="TxLink">
              <a:rPr lang="en-US" sz="1100" b="0" i="0" u="none" strike="noStrike">
                <a:solidFill>
                  <a:schemeClr val="accent6">
                    <a:lumMod val="75000"/>
                  </a:schemeClr>
                </a:solidFill>
                <a:latin typeface="Calibri"/>
                <a:cs typeface="Calibri"/>
              </a:rPr>
              <a:pPr algn="l"/>
              <a:t>pbd [barg] = 23,1</a:t>
            </a:fld>
            <a:endParaRPr lang="it-IT" sz="1100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E42">
        <xdr:nvSpPr>
          <xdr:cNvPr id="26" name="CasellaDiTesto 25">
            <a:extLst>
              <a:ext uri="{FF2B5EF4-FFF2-40B4-BE49-F238E27FC236}">
                <a16:creationId xmlns:a16="http://schemas.microsoft.com/office/drawing/2014/main" id="{0AB8A2E7-B2FB-4BC3-8974-C0B7DA76930A}"/>
              </a:ext>
            </a:extLst>
          </xdr:cNvPr>
          <xdr:cNvSpPr txBox="1"/>
        </xdr:nvSpPr>
        <xdr:spPr>
          <a:xfrm>
            <a:off x="13820775" y="3267075"/>
            <a:ext cx="1657350" cy="246746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39B94B6-3A62-438E-996C-4300DF83038A}" type="TxLink">
              <a:rPr lang="en-US" sz="1100" b="0" i="0" u="none" strike="noStrike">
                <a:solidFill>
                  <a:schemeClr val="accent6">
                    <a:lumMod val="75000"/>
                  </a:schemeClr>
                </a:solidFill>
                <a:latin typeface="Calibri"/>
                <a:cs typeface="Calibri"/>
              </a:rPr>
              <a:pPr algn="r"/>
              <a:t>p2 [barg] = 36.8</a:t>
            </a:fld>
            <a:endParaRPr lang="it-IT" sz="1100">
              <a:solidFill>
                <a:schemeClr val="accent6">
                  <a:lumMod val="75000"/>
                </a:schemeClr>
              </a:solidFill>
            </a:endParaRPr>
          </a:p>
        </xdr:txBody>
      </xdr:sp>
      <xdr:cxnSp macro="">
        <xdr:nvCxnSpPr>
          <xdr:cNvPr id="28" name="Connettore 2 27">
            <a:extLst>
              <a:ext uri="{FF2B5EF4-FFF2-40B4-BE49-F238E27FC236}">
                <a16:creationId xmlns:a16="http://schemas.microsoft.com/office/drawing/2014/main" id="{DE2D032E-E385-3B2A-9718-59165EF2E158}"/>
              </a:ext>
            </a:extLst>
          </xdr:cNvPr>
          <xdr:cNvCxnSpPr>
            <a:stCxn id="26" idx="3"/>
          </xdr:cNvCxnSpPr>
        </xdr:nvCxnSpPr>
        <xdr:spPr>
          <a:xfrm>
            <a:off x="15478125" y="3390448"/>
            <a:ext cx="1866900" cy="1057727"/>
          </a:xfrm>
          <a:prstGeom prst="straightConnector1">
            <a:avLst/>
          </a:prstGeom>
          <a:ln>
            <a:solidFill>
              <a:schemeClr val="accent6">
                <a:lumMod val="7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E63">
        <xdr:nvSpPr>
          <xdr:cNvPr id="31" name="CasellaDiTesto 30">
            <a:extLst>
              <a:ext uri="{FF2B5EF4-FFF2-40B4-BE49-F238E27FC236}">
                <a16:creationId xmlns:a16="http://schemas.microsoft.com/office/drawing/2014/main" id="{268FF0B0-F393-43B6-92FA-61F1F5CFEAD1}"/>
              </a:ext>
            </a:extLst>
          </xdr:cNvPr>
          <xdr:cNvSpPr txBox="1"/>
        </xdr:nvSpPr>
        <xdr:spPr>
          <a:xfrm>
            <a:off x="15173325" y="2647950"/>
            <a:ext cx="1524000" cy="246746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662ECE7-421C-4013-926D-773D2AC1B8CE}" type="TxLink">
              <a:rPr lang="en-US" sz="1100" b="0" i="0" u="none" strike="noStrike">
                <a:solidFill>
                  <a:schemeClr val="accent6">
                    <a:lumMod val="75000"/>
                  </a:schemeClr>
                </a:solidFill>
                <a:latin typeface="Calibri"/>
                <a:cs typeface="Calibri"/>
              </a:rPr>
              <a:pPr algn="r"/>
              <a:t>p2* [barg] = 34,8</a:t>
            </a:fld>
            <a:endParaRPr lang="it-IT" sz="1100">
              <a:solidFill>
                <a:schemeClr val="accent6">
                  <a:lumMod val="75000"/>
                </a:schemeClr>
              </a:solidFill>
            </a:endParaRPr>
          </a:p>
        </xdr:txBody>
      </xdr:sp>
      <xdr:cxnSp macro="">
        <xdr:nvCxnSpPr>
          <xdr:cNvPr id="32" name="Connettore 2 31">
            <a:extLst>
              <a:ext uri="{FF2B5EF4-FFF2-40B4-BE49-F238E27FC236}">
                <a16:creationId xmlns:a16="http://schemas.microsoft.com/office/drawing/2014/main" id="{9344397E-067B-413E-861E-1902148F0186}"/>
              </a:ext>
            </a:extLst>
          </xdr:cNvPr>
          <xdr:cNvCxnSpPr>
            <a:stCxn id="31" idx="3"/>
          </xdr:cNvCxnSpPr>
        </xdr:nvCxnSpPr>
        <xdr:spPr>
          <a:xfrm>
            <a:off x="16697325" y="2771323"/>
            <a:ext cx="895350" cy="2172152"/>
          </a:xfrm>
          <a:prstGeom prst="straightConnector1">
            <a:avLst/>
          </a:prstGeom>
          <a:ln>
            <a:solidFill>
              <a:schemeClr val="accent6">
                <a:lumMod val="7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E99">
        <xdr:nvSpPr>
          <xdr:cNvPr id="36" name="CasellaDiTesto 35">
            <a:extLst>
              <a:ext uri="{FF2B5EF4-FFF2-40B4-BE49-F238E27FC236}">
                <a16:creationId xmlns:a16="http://schemas.microsoft.com/office/drawing/2014/main" id="{B8ABA042-2C1C-4545-B168-CD567C956F8C}"/>
              </a:ext>
            </a:extLst>
          </xdr:cNvPr>
          <xdr:cNvSpPr txBox="1"/>
        </xdr:nvSpPr>
        <xdr:spPr>
          <a:xfrm>
            <a:off x="15906750" y="8458200"/>
            <a:ext cx="1943100" cy="246746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537CC56-D2B1-4C27-9702-4D49B2830BBD}" type="TxLink">
              <a:rPr lang="en-US" sz="1100" b="0" i="0" u="none" strike="noStrike">
                <a:solidFill>
                  <a:schemeClr val="accent6">
                    <a:lumMod val="75000"/>
                  </a:schemeClr>
                </a:solidFill>
                <a:latin typeface="Calibri"/>
                <a:cs typeface="Calibri"/>
              </a:rPr>
              <a:pPr algn="ctr"/>
              <a:t>∆porifice [bar] = 21.6</a:t>
            </a:fld>
            <a:endParaRPr lang="it-IT" sz="1100">
              <a:solidFill>
                <a:schemeClr val="accent6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trilliumflow-my.sharepoint.com/personal/mattia_disomma_trilliumflow_com/Documents/R&amp;D/STANDARD%20WORK/Rotor%20thrust/Mod.XXX%20-%20Impeller's%20hydraulic%20axial%20thrust.xlsm" TargetMode="External"/><Relationship Id="rId1" Type="http://schemas.openxmlformats.org/officeDocument/2006/relationships/externalLinkPath" Target="https://trilliumflow-my.sharepoint.com/personal/mattia_disomma_trilliumflow_com/Documents/R&amp;D/STANDARD%20WORK/Rotor%20thrust/Mod.XXX%20-%20Impeller's%20hydraulic%20axial%20thru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ent"/>
      <sheetName val="single_suction-1"/>
      <sheetName val="double_suction-1"/>
      <sheetName val="back_to_back-1"/>
      <sheetName val="single_suction-2"/>
      <sheetName val="double_suction-2"/>
      <sheetName val="back_to_back-2"/>
      <sheetName val="impeller_typ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figure1</v>
          </cell>
          <cell r="N2" t="str">
            <v>figure6</v>
          </cell>
        </row>
      </sheetData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8E0DF-AA21-4DFE-AE32-21DB9FC14A98}">
  <sheetPr codeName="Foglio5"/>
  <dimension ref="A1:AD48"/>
  <sheetViews>
    <sheetView tabSelected="1" zoomScaleNormal="100" zoomScaleSheetLayoutView="100" workbookViewId="0">
      <selection activeCell="AG41" sqref="AG41"/>
    </sheetView>
  </sheetViews>
  <sheetFormatPr defaultRowHeight="11.5" x14ac:dyDescent="0.25"/>
  <cols>
    <col min="1" max="30" width="3.26953125" style="41" customWidth="1"/>
    <col min="31" max="256" width="9.1796875" style="41"/>
    <col min="257" max="286" width="3.26953125" style="41" customWidth="1"/>
    <col min="287" max="512" width="9.1796875" style="41"/>
    <col min="513" max="542" width="3.26953125" style="41" customWidth="1"/>
    <col min="543" max="768" width="9.1796875" style="41"/>
    <col min="769" max="798" width="3.26953125" style="41" customWidth="1"/>
    <col min="799" max="1024" width="9.1796875" style="41"/>
    <col min="1025" max="1054" width="3.26953125" style="41" customWidth="1"/>
    <col min="1055" max="1280" width="9.1796875" style="41"/>
    <col min="1281" max="1310" width="3.26953125" style="41" customWidth="1"/>
    <col min="1311" max="1536" width="9.1796875" style="41"/>
    <col min="1537" max="1566" width="3.26953125" style="41" customWidth="1"/>
    <col min="1567" max="1792" width="9.1796875" style="41"/>
    <col min="1793" max="1822" width="3.26953125" style="41" customWidth="1"/>
    <col min="1823" max="2048" width="9.1796875" style="41"/>
    <col min="2049" max="2078" width="3.26953125" style="41" customWidth="1"/>
    <col min="2079" max="2304" width="9.1796875" style="41"/>
    <col min="2305" max="2334" width="3.26953125" style="41" customWidth="1"/>
    <col min="2335" max="2560" width="9.1796875" style="41"/>
    <col min="2561" max="2590" width="3.26953125" style="41" customWidth="1"/>
    <col min="2591" max="2816" width="9.1796875" style="41"/>
    <col min="2817" max="2846" width="3.26953125" style="41" customWidth="1"/>
    <col min="2847" max="3072" width="9.1796875" style="41"/>
    <col min="3073" max="3102" width="3.26953125" style="41" customWidth="1"/>
    <col min="3103" max="3328" width="9.1796875" style="41"/>
    <col min="3329" max="3358" width="3.26953125" style="41" customWidth="1"/>
    <col min="3359" max="3584" width="9.1796875" style="41"/>
    <col min="3585" max="3614" width="3.26953125" style="41" customWidth="1"/>
    <col min="3615" max="3840" width="9.1796875" style="41"/>
    <col min="3841" max="3870" width="3.26953125" style="41" customWidth="1"/>
    <col min="3871" max="4096" width="9.1796875" style="41"/>
    <col min="4097" max="4126" width="3.26953125" style="41" customWidth="1"/>
    <col min="4127" max="4352" width="9.1796875" style="41"/>
    <col min="4353" max="4382" width="3.26953125" style="41" customWidth="1"/>
    <col min="4383" max="4608" width="9.1796875" style="41"/>
    <col min="4609" max="4638" width="3.26953125" style="41" customWidth="1"/>
    <col min="4639" max="4864" width="9.1796875" style="41"/>
    <col min="4865" max="4894" width="3.26953125" style="41" customWidth="1"/>
    <col min="4895" max="5120" width="9.1796875" style="41"/>
    <col min="5121" max="5150" width="3.26953125" style="41" customWidth="1"/>
    <col min="5151" max="5376" width="9.1796875" style="41"/>
    <col min="5377" max="5406" width="3.26953125" style="41" customWidth="1"/>
    <col min="5407" max="5632" width="9.1796875" style="41"/>
    <col min="5633" max="5662" width="3.26953125" style="41" customWidth="1"/>
    <col min="5663" max="5888" width="9.1796875" style="41"/>
    <col min="5889" max="5918" width="3.26953125" style="41" customWidth="1"/>
    <col min="5919" max="6144" width="9.1796875" style="41"/>
    <col min="6145" max="6174" width="3.26953125" style="41" customWidth="1"/>
    <col min="6175" max="6400" width="9.1796875" style="41"/>
    <col min="6401" max="6430" width="3.26953125" style="41" customWidth="1"/>
    <col min="6431" max="6656" width="9.1796875" style="41"/>
    <col min="6657" max="6686" width="3.26953125" style="41" customWidth="1"/>
    <col min="6687" max="6912" width="9.1796875" style="41"/>
    <col min="6913" max="6942" width="3.26953125" style="41" customWidth="1"/>
    <col min="6943" max="7168" width="9.1796875" style="41"/>
    <col min="7169" max="7198" width="3.26953125" style="41" customWidth="1"/>
    <col min="7199" max="7424" width="9.1796875" style="41"/>
    <col min="7425" max="7454" width="3.26953125" style="41" customWidth="1"/>
    <col min="7455" max="7680" width="9.1796875" style="41"/>
    <col min="7681" max="7710" width="3.26953125" style="41" customWidth="1"/>
    <col min="7711" max="7936" width="9.1796875" style="41"/>
    <col min="7937" max="7966" width="3.26953125" style="41" customWidth="1"/>
    <col min="7967" max="8192" width="9.1796875" style="41"/>
    <col min="8193" max="8222" width="3.26953125" style="41" customWidth="1"/>
    <col min="8223" max="8448" width="9.1796875" style="41"/>
    <col min="8449" max="8478" width="3.26953125" style="41" customWidth="1"/>
    <col min="8479" max="8704" width="9.1796875" style="41"/>
    <col min="8705" max="8734" width="3.26953125" style="41" customWidth="1"/>
    <col min="8735" max="8960" width="9.1796875" style="41"/>
    <col min="8961" max="8990" width="3.26953125" style="41" customWidth="1"/>
    <col min="8991" max="9216" width="9.1796875" style="41"/>
    <col min="9217" max="9246" width="3.26953125" style="41" customWidth="1"/>
    <col min="9247" max="9472" width="9.1796875" style="41"/>
    <col min="9473" max="9502" width="3.26953125" style="41" customWidth="1"/>
    <col min="9503" max="9728" width="9.1796875" style="41"/>
    <col min="9729" max="9758" width="3.26953125" style="41" customWidth="1"/>
    <col min="9759" max="9984" width="9.1796875" style="41"/>
    <col min="9985" max="10014" width="3.26953125" style="41" customWidth="1"/>
    <col min="10015" max="10240" width="9.1796875" style="41"/>
    <col min="10241" max="10270" width="3.26953125" style="41" customWidth="1"/>
    <col min="10271" max="10496" width="9.1796875" style="41"/>
    <col min="10497" max="10526" width="3.26953125" style="41" customWidth="1"/>
    <col min="10527" max="10752" width="9.1796875" style="41"/>
    <col min="10753" max="10782" width="3.26953125" style="41" customWidth="1"/>
    <col min="10783" max="11008" width="9.1796875" style="41"/>
    <col min="11009" max="11038" width="3.26953125" style="41" customWidth="1"/>
    <col min="11039" max="11264" width="9.1796875" style="41"/>
    <col min="11265" max="11294" width="3.26953125" style="41" customWidth="1"/>
    <col min="11295" max="11520" width="9.1796875" style="41"/>
    <col min="11521" max="11550" width="3.26953125" style="41" customWidth="1"/>
    <col min="11551" max="11776" width="9.1796875" style="41"/>
    <col min="11777" max="11806" width="3.26953125" style="41" customWidth="1"/>
    <col min="11807" max="12032" width="9.1796875" style="41"/>
    <col min="12033" max="12062" width="3.26953125" style="41" customWidth="1"/>
    <col min="12063" max="12288" width="9.1796875" style="41"/>
    <col min="12289" max="12318" width="3.26953125" style="41" customWidth="1"/>
    <col min="12319" max="12544" width="9.1796875" style="41"/>
    <col min="12545" max="12574" width="3.26953125" style="41" customWidth="1"/>
    <col min="12575" max="12800" width="9.1796875" style="41"/>
    <col min="12801" max="12830" width="3.26953125" style="41" customWidth="1"/>
    <col min="12831" max="13056" width="9.1796875" style="41"/>
    <col min="13057" max="13086" width="3.26953125" style="41" customWidth="1"/>
    <col min="13087" max="13312" width="9.1796875" style="41"/>
    <col min="13313" max="13342" width="3.26953125" style="41" customWidth="1"/>
    <col min="13343" max="13568" width="9.1796875" style="41"/>
    <col min="13569" max="13598" width="3.26953125" style="41" customWidth="1"/>
    <col min="13599" max="13824" width="9.1796875" style="41"/>
    <col min="13825" max="13854" width="3.26953125" style="41" customWidth="1"/>
    <col min="13855" max="14080" width="9.1796875" style="41"/>
    <col min="14081" max="14110" width="3.26953125" style="41" customWidth="1"/>
    <col min="14111" max="14336" width="9.1796875" style="41"/>
    <col min="14337" max="14366" width="3.26953125" style="41" customWidth="1"/>
    <col min="14367" max="14592" width="9.1796875" style="41"/>
    <col min="14593" max="14622" width="3.26953125" style="41" customWidth="1"/>
    <col min="14623" max="14848" width="9.1796875" style="41"/>
    <col min="14849" max="14878" width="3.26953125" style="41" customWidth="1"/>
    <col min="14879" max="15104" width="9.1796875" style="41"/>
    <col min="15105" max="15134" width="3.26953125" style="41" customWidth="1"/>
    <col min="15135" max="15360" width="9.1796875" style="41"/>
    <col min="15361" max="15390" width="3.26953125" style="41" customWidth="1"/>
    <col min="15391" max="15616" width="9.1796875" style="41"/>
    <col min="15617" max="15646" width="3.26953125" style="41" customWidth="1"/>
    <col min="15647" max="15872" width="9.1796875" style="41"/>
    <col min="15873" max="15902" width="3.26953125" style="41" customWidth="1"/>
    <col min="15903" max="16128" width="9.1796875" style="41"/>
    <col min="16129" max="16158" width="3.26953125" style="41" customWidth="1"/>
    <col min="16159" max="16384" width="9.1796875" style="41"/>
  </cols>
  <sheetData>
    <row r="1" spans="1:30" ht="15" customHeight="1" x14ac:dyDescent="0.25">
      <c r="A1" s="38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40"/>
    </row>
    <row r="2" spans="1:30" ht="15" customHeight="1" x14ac:dyDescent="0.25">
      <c r="A2" s="42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4"/>
    </row>
    <row r="3" spans="1:30" ht="15" customHeight="1" x14ac:dyDescent="0.25">
      <c r="A3" s="42"/>
      <c r="B3" s="43"/>
      <c r="C3" s="43"/>
      <c r="D3" s="43"/>
      <c r="E3" s="43"/>
      <c r="F3" s="43"/>
      <c r="G3" s="43"/>
      <c r="H3" s="45"/>
      <c r="I3" s="45"/>
      <c r="J3" s="45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7"/>
      <c r="X3" s="47"/>
      <c r="Y3" s="47"/>
      <c r="Z3" s="47"/>
      <c r="AA3" s="47"/>
      <c r="AB3" s="47"/>
      <c r="AC3" s="47"/>
      <c r="AD3" s="48"/>
    </row>
    <row r="4" spans="1:30" ht="15" customHeight="1" x14ac:dyDescent="0.25">
      <c r="A4" s="42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4"/>
    </row>
    <row r="5" spans="1:30" ht="15" customHeight="1" x14ac:dyDescent="0.25">
      <c r="A5" s="42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4"/>
    </row>
    <row r="6" spans="1:30" ht="15" customHeight="1" x14ac:dyDescent="0.25">
      <c r="A6" s="42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4"/>
    </row>
    <row r="7" spans="1:30" ht="15" customHeight="1" thickBot="1" x14ac:dyDescent="0.3">
      <c r="A7" s="49"/>
      <c r="B7" s="50"/>
      <c r="C7" s="50"/>
      <c r="D7" s="50"/>
      <c r="E7" s="50"/>
      <c r="F7" s="51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50"/>
      <c r="AB7" s="50"/>
      <c r="AC7" s="50"/>
      <c r="AD7" s="52"/>
    </row>
    <row r="8" spans="1:30" ht="15" customHeight="1" x14ac:dyDescent="0.25">
      <c r="A8" s="61" t="s">
        <v>177</v>
      </c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3"/>
    </row>
    <row r="9" spans="1:30" ht="15" customHeight="1" x14ac:dyDescent="0.25">
      <c r="A9" s="64"/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6"/>
    </row>
    <row r="10" spans="1:30" ht="15" customHeight="1" x14ac:dyDescent="0.25">
      <c r="A10" s="64"/>
      <c r="B10" s="65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6"/>
    </row>
    <row r="11" spans="1:30" ht="15" customHeight="1" x14ac:dyDescent="0.25">
      <c r="A11" s="64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6"/>
    </row>
    <row r="12" spans="1:30" ht="15" customHeight="1" x14ac:dyDescent="0.25">
      <c r="A12" s="64"/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6"/>
    </row>
    <row r="13" spans="1:30" ht="15" customHeight="1" x14ac:dyDescent="0.25">
      <c r="A13" s="64"/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6"/>
    </row>
    <row r="14" spans="1:30" ht="15" customHeight="1" x14ac:dyDescent="0.25">
      <c r="A14" s="64"/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6"/>
    </row>
    <row r="15" spans="1:30" ht="15" customHeight="1" x14ac:dyDescent="0.25">
      <c r="A15" s="64"/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6"/>
    </row>
    <row r="16" spans="1:30" ht="15" customHeight="1" x14ac:dyDescent="0.25">
      <c r="A16" s="64"/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6"/>
    </row>
    <row r="17" spans="1:30" ht="15" customHeight="1" x14ac:dyDescent="0.25">
      <c r="A17" s="64"/>
      <c r="B17" s="65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6"/>
    </row>
    <row r="18" spans="1:30" ht="15" customHeight="1" x14ac:dyDescent="0.25">
      <c r="A18" s="64"/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6"/>
    </row>
    <row r="19" spans="1:30" ht="15" customHeight="1" x14ac:dyDescent="0.25">
      <c r="A19" s="64"/>
      <c r="B19" s="65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6"/>
    </row>
    <row r="20" spans="1:30" ht="15" customHeight="1" x14ac:dyDescent="0.25">
      <c r="A20" s="64"/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6"/>
    </row>
    <row r="21" spans="1:30" ht="15" customHeight="1" x14ac:dyDescent="0.25">
      <c r="A21" s="64"/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6"/>
    </row>
    <row r="22" spans="1:30" ht="15" customHeight="1" x14ac:dyDescent="0.25">
      <c r="A22" s="64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6"/>
    </row>
    <row r="23" spans="1:30" ht="15" customHeight="1" x14ac:dyDescent="0.25">
      <c r="A23" s="64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6"/>
    </row>
    <row r="24" spans="1:30" ht="15" customHeight="1" x14ac:dyDescent="0.25">
      <c r="A24" s="64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6"/>
    </row>
    <row r="25" spans="1:30" ht="15" customHeight="1" x14ac:dyDescent="0.25">
      <c r="A25" s="64"/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6"/>
    </row>
    <row r="26" spans="1:30" ht="15" customHeight="1" x14ac:dyDescent="0.25">
      <c r="A26" s="64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6"/>
    </row>
    <row r="27" spans="1:30" ht="15" customHeight="1" x14ac:dyDescent="0.25">
      <c r="A27" s="64"/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6"/>
    </row>
    <row r="28" spans="1:30" ht="15" customHeight="1" x14ac:dyDescent="0.25">
      <c r="A28" s="64"/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6"/>
    </row>
    <row r="29" spans="1:30" ht="15" customHeight="1" x14ac:dyDescent="0.25">
      <c r="A29" s="64"/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6"/>
    </row>
    <row r="30" spans="1:30" ht="15" customHeight="1" x14ac:dyDescent="0.25">
      <c r="A30" s="64"/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6"/>
    </row>
    <row r="31" spans="1:30" ht="15" customHeight="1" x14ac:dyDescent="0.25">
      <c r="A31" s="64"/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6"/>
    </row>
    <row r="32" spans="1:30" ht="15" customHeight="1" x14ac:dyDescent="0.25">
      <c r="A32" s="64"/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6"/>
    </row>
    <row r="33" spans="1:30" ht="15" customHeight="1" x14ac:dyDescent="0.25">
      <c r="A33" s="64"/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6"/>
    </row>
    <row r="34" spans="1:30" ht="15" customHeight="1" x14ac:dyDescent="0.25">
      <c r="A34" s="64"/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6"/>
    </row>
    <row r="35" spans="1:30" ht="15" customHeight="1" x14ac:dyDescent="0.25">
      <c r="A35" s="64"/>
      <c r="B35" s="65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6"/>
    </row>
    <row r="36" spans="1:30" ht="15" customHeight="1" x14ac:dyDescent="0.25">
      <c r="A36" s="64"/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6"/>
    </row>
    <row r="37" spans="1:30" ht="15" customHeight="1" x14ac:dyDescent="0.25">
      <c r="A37" s="64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6"/>
    </row>
    <row r="38" spans="1:30" ht="15" customHeight="1" x14ac:dyDescent="0.25">
      <c r="A38" s="64"/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6"/>
    </row>
    <row r="39" spans="1:30" ht="15" customHeight="1" thickBot="1" x14ac:dyDescent="0.3">
      <c r="A39" s="67"/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9"/>
    </row>
    <row r="40" spans="1:30" ht="30" customHeight="1" x14ac:dyDescent="0.25">
      <c r="A40" s="70"/>
      <c r="B40" s="71"/>
      <c r="C40" s="72"/>
      <c r="D40" s="73"/>
      <c r="E40" s="73"/>
      <c r="F40" s="71"/>
      <c r="G40" s="72"/>
      <c r="H40" s="73"/>
      <c r="I40" s="73"/>
      <c r="J40" s="73"/>
      <c r="K40" s="73"/>
      <c r="L40" s="73"/>
      <c r="M40" s="73"/>
      <c r="N40" s="73"/>
      <c r="O40" s="73"/>
      <c r="P40" s="72"/>
      <c r="Q40" s="73"/>
      <c r="R40" s="73"/>
      <c r="S40" s="73"/>
      <c r="T40" s="71"/>
      <c r="U40" s="72"/>
      <c r="V40" s="73"/>
      <c r="W40" s="73"/>
      <c r="X40" s="73"/>
      <c r="Y40" s="71"/>
      <c r="Z40" s="72"/>
      <c r="AA40" s="73"/>
      <c r="AB40" s="73"/>
      <c r="AC40" s="73"/>
      <c r="AD40" s="74"/>
    </row>
    <row r="41" spans="1:30" ht="30" customHeight="1" x14ac:dyDescent="0.25">
      <c r="A41" s="78"/>
      <c r="B41" s="79"/>
      <c r="C41" s="75"/>
      <c r="D41" s="76"/>
      <c r="E41" s="76"/>
      <c r="F41" s="79"/>
      <c r="G41" s="75"/>
      <c r="H41" s="76"/>
      <c r="I41" s="76"/>
      <c r="J41" s="76"/>
      <c r="K41" s="76"/>
      <c r="L41" s="76"/>
      <c r="M41" s="76"/>
      <c r="N41" s="76"/>
      <c r="O41" s="76"/>
      <c r="P41" s="75"/>
      <c r="Q41" s="76"/>
      <c r="R41" s="76"/>
      <c r="S41" s="76"/>
      <c r="T41" s="79"/>
      <c r="U41" s="75"/>
      <c r="V41" s="76"/>
      <c r="W41" s="76"/>
      <c r="X41" s="76"/>
      <c r="Y41" s="79"/>
      <c r="Z41" s="75"/>
      <c r="AA41" s="76"/>
      <c r="AB41" s="76"/>
      <c r="AC41" s="76"/>
      <c r="AD41" s="77"/>
    </row>
    <row r="42" spans="1:30" ht="30" customHeight="1" x14ac:dyDescent="0.25">
      <c r="A42" s="78"/>
      <c r="B42" s="79"/>
      <c r="C42" s="75"/>
      <c r="D42" s="76"/>
      <c r="E42" s="76"/>
      <c r="F42" s="79"/>
      <c r="G42" s="75"/>
      <c r="H42" s="76"/>
      <c r="I42" s="76"/>
      <c r="J42" s="76"/>
      <c r="K42" s="76"/>
      <c r="L42" s="76"/>
      <c r="M42" s="76"/>
      <c r="N42" s="76"/>
      <c r="O42" s="76"/>
      <c r="P42" s="75"/>
      <c r="Q42" s="76"/>
      <c r="R42" s="76"/>
      <c r="S42" s="76"/>
      <c r="T42" s="79"/>
      <c r="U42" s="75"/>
      <c r="V42" s="76"/>
      <c r="W42" s="76"/>
      <c r="X42" s="76"/>
      <c r="Y42" s="79"/>
      <c r="Z42" s="75"/>
      <c r="AA42" s="76"/>
      <c r="AB42" s="76"/>
      <c r="AC42" s="76"/>
      <c r="AD42" s="77"/>
    </row>
    <row r="43" spans="1:30" ht="30" customHeight="1" x14ac:dyDescent="0.25">
      <c r="A43" s="78"/>
      <c r="B43" s="79"/>
      <c r="C43" s="75"/>
      <c r="D43" s="76"/>
      <c r="E43" s="76"/>
      <c r="F43" s="79"/>
      <c r="G43" s="75"/>
      <c r="H43" s="76"/>
      <c r="I43" s="76"/>
      <c r="J43" s="76"/>
      <c r="K43" s="76"/>
      <c r="L43" s="76"/>
      <c r="M43" s="76"/>
      <c r="N43" s="76"/>
      <c r="O43" s="76"/>
      <c r="P43" s="75"/>
      <c r="Q43" s="76"/>
      <c r="R43" s="76"/>
      <c r="S43" s="76"/>
      <c r="T43" s="79"/>
      <c r="U43" s="75"/>
      <c r="V43" s="76"/>
      <c r="W43" s="76"/>
      <c r="X43" s="76"/>
      <c r="Y43" s="79"/>
      <c r="Z43" s="75"/>
      <c r="AA43" s="76"/>
      <c r="AB43" s="76"/>
      <c r="AC43" s="76"/>
      <c r="AD43" s="77"/>
    </row>
    <row r="44" spans="1:30" ht="30" customHeight="1" x14ac:dyDescent="0.25">
      <c r="A44" s="78"/>
      <c r="B44" s="79"/>
      <c r="C44" s="75"/>
      <c r="D44" s="76"/>
      <c r="E44" s="76"/>
      <c r="F44" s="79"/>
      <c r="G44" s="75"/>
      <c r="H44" s="76"/>
      <c r="I44" s="76"/>
      <c r="J44" s="76"/>
      <c r="K44" s="76"/>
      <c r="L44" s="76"/>
      <c r="M44" s="76"/>
      <c r="N44" s="76"/>
      <c r="O44" s="76"/>
      <c r="P44" s="75"/>
      <c r="Q44" s="76"/>
      <c r="R44" s="76"/>
      <c r="S44" s="76"/>
      <c r="T44" s="79"/>
      <c r="U44" s="75"/>
      <c r="V44" s="76"/>
      <c r="W44" s="76"/>
      <c r="X44" s="76"/>
      <c r="Y44" s="79"/>
      <c r="Z44" s="75"/>
      <c r="AA44" s="76"/>
      <c r="AB44" s="76"/>
      <c r="AC44" s="76"/>
      <c r="AD44" s="77"/>
    </row>
    <row r="45" spans="1:30" ht="30" customHeight="1" x14ac:dyDescent="0.25">
      <c r="A45" s="78"/>
      <c r="B45" s="79"/>
      <c r="C45" s="75"/>
      <c r="D45" s="76"/>
      <c r="E45" s="76"/>
      <c r="F45" s="79"/>
      <c r="G45" s="75"/>
      <c r="H45" s="76"/>
      <c r="I45" s="76"/>
      <c r="J45" s="76"/>
      <c r="K45" s="76"/>
      <c r="L45" s="76"/>
      <c r="M45" s="76"/>
      <c r="N45" s="76"/>
      <c r="O45" s="76"/>
      <c r="P45" s="75"/>
      <c r="Q45" s="76"/>
      <c r="R45" s="76"/>
      <c r="S45" s="76"/>
      <c r="T45" s="79"/>
      <c r="U45" s="75"/>
      <c r="V45" s="76"/>
      <c r="W45" s="76"/>
      <c r="X45" s="76"/>
      <c r="Y45" s="79"/>
      <c r="Z45" s="75"/>
      <c r="AA45" s="76"/>
      <c r="AB45" s="76"/>
      <c r="AC45" s="76"/>
      <c r="AD45" s="77"/>
    </row>
    <row r="46" spans="1:30" ht="30" customHeight="1" x14ac:dyDescent="0.25">
      <c r="A46" s="83">
        <v>0</v>
      </c>
      <c r="B46" s="84"/>
      <c r="C46" s="85">
        <v>45761</v>
      </c>
      <c r="D46" s="86"/>
      <c r="E46" s="86"/>
      <c r="F46" s="87"/>
      <c r="G46" s="88" t="s">
        <v>154</v>
      </c>
      <c r="H46" s="89"/>
      <c r="I46" s="89"/>
      <c r="J46" s="89"/>
      <c r="K46" s="89"/>
      <c r="L46" s="89"/>
      <c r="M46" s="89"/>
      <c r="N46" s="89"/>
      <c r="O46" s="89"/>
      <c r="P46" s="80" t="s">
        <v>178</v>
      </c>
      <c r="Q46" s="81"/>
      <c r="R46" s="81"/>
      <c r="S46" s="81"/>
      <c r="T46" s="90"/>
      <c r="U46" s="80" t="s">
        <v>179</v>
      </c>
      <c r="V46" s="81"/>
      <c r="W46" s="81"/>
      <c r="X46" s="81"/>
      <c r="Y46" s="90"/>
      <c r="Z46" s="80" t="s">
        <v>180</v>
      </c>
      <c r="AA46" s="81"/>
      <c r="AB46" s="81"/>
      <c r="AC46" s="81"/>
      <c r="AD46" s="82"/>
    </row>
    <row r="47" spans="1:30" ht="15" customHeight="1" thickBot="1" x14ac:dyDescent="0.3">
      <c r="A47" s="94" t="s">
        <v>155</v>
      </c>
      <c r="B47" s="95"/>
      <c r="C47" s="96" t="s">
        <v>52</v>
      </c>
      <c r="D47" s="97"/>
      <c r="E47" s="97"/>
      <c r="F47" s="98"/>
      <c r="G47" s="96" t="s">
        <v>156</v>
      </c>
      <c r="H47" s="97"/>
      <c r="I47" s="97"/>
      <c r="J47" s="97"/>
      <c r="K47" s="97"/>
      <c r="L47" s="97"/>
      <c r="M47" s="97"/>
      <c r="N47" s="97"/>
      <c r="O47" s="97"/>
      <c r="P47" s="96" t="s">
        <v>157</v>
      </c>
      <c r="Q47" s="97"/>
      <c r="R47" s="97"/>
      <c r="S47" s="97"/>
      <c r="T47" s="98"/>
      <c r="U47" s="96" t="s">
        <v>158</v>
      </c>
      <c r="V47" s="97"/>
      <c r="W47" s="97"/>
      <c r="X47" s="97"/>
      <c r="Y47" s="97"/>
      <c r="Z47" s="96" t="s">
        <v>51</v>
      </c>
      <c r="AA47" s="97"/>
      <c r="AB47" s="97"/>
      <c r="AC47" s="97"/>
      <c r="AD47" s="99"/>
    </row>
    <row r="48" spans="1:30" ht="15" customHeight="1" thickBot="1" x14ac:dyDescent="0.3">
      <c r="A48" s="91" t="s">
        <v>181</v>
      </c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3"/>
    </row>
  </sheetData>
  <mergeCells count="50">
    <mergeCell ref="A48:AD48"/>
    <mergeCell ref="A47:B47"/>
    <mergeCell ref="C47:F47"/>
    <mergeCell ref="G47:O47"/>
    <mergeCell ref="P47:T47"/>
    <mergeCell ref="U47:Y47"/>
    <mergeCell ref="Z47:AD47"/>
    <mergeCell ref="Z46:AD46"/>
    <mergeCell ref="A45:B45"/>
    <mergeCell ref="C45:F45"/>
    <mergeCell ref="G45:O45"/>
    <mergeCell ref="P45:T45"/>
    <mergeCell ref="U45:Y45"/>
    <mergeCell ref="Z45:AD45"/>
    <mergeCell ref="A46:B46"/>
    <mergeCell ref="C46:F46"/>
    <mergeCell ref="G46:O46"/>
    <mergeCell ref="P46:T46"/>
    <mergeCell ref="U46:Y46"/>
    <mergeCell ref="Z44:AD44"/>
    <mergeCell ref="A43:B43"/>
    <mergeCell ref="C43:F43"/>
    <mergeCell ref="G43:O43"/>
    <mergeCell ref="P43:T43"/>
    <mergeCell ref="U43:Y43"/>
    <mergeCell ref="Z43:AD43"/>
    <mergeCell ref="A44:B44"/>
    <mergeCell ref="C44:F44"/>
    <mergeCell ref="G44:O44"/>
    <mergeCell ref="P44:T44"/>
    <mergeCell ref="U44:Y44"/>
    <mergeCell ref="Z42:AD42"/>
    <mergeCell ref="A41:B41"/>
    <mergeCell ref="C41:F41"/>
    <mergeCell ref="G41:O41"/>
    <mergeCell ref="P41:T41"/>
    <mergeCell ref="U41:Y41"/>
    <mergeCell ref="Z41:AD41"/>
    <mergeCell ref="A42:B42"/>
    <mergeCell ref="C42:F42"/>
    <mergeCell ref="G42:O42"/>
    <mergeCell ref="P42:T42"/>
    <mergeCell ref="U42:Y42"/>
    <mergeCell ref="A8:AD39"/>
    <mergeCell ref="A40:B40"/>
    <mergeCell ref="C40:F40"/>
    <mergeCell ref="G40:O40"/>
    <mergeCell ref="P40:T40"/>
    <mergeCell ref="U40:Y40"/>
    <mergeCell ref="Z40:AD40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/>
  <dimension ref="A2:AJ82"/>
  <sheetViews>
    <sheetView topLeftCell="A75" zoomScale="85" zoomScaleNormal="85" workbookViewId="0">
      <selection activeCell="C30" sqref="C30:H37"/>
    </sheetView>
  </sheetViews>
  <sheetFormatPr defaultColWidth="9.1796875" defaultRowHeight="14.5" outlineLevelRow="1" outlineLevelCol="1" x14ac:dyDescent="0.35"/>
  <cols>
    <col min="1" max="1" width="2.7265625" customWidth="1"/>
    <col min="2" max="2" width="22.7265625" style="8" customWidth="1"/>
    <col min="3" max="8" width="15.7265625" style="7" customWidth="1"/>
    <col min="9" max="9" width="87" style="8" bestFit="1" customWidth="1"/>
    <col min="10" max="10" width="21.7265625" style="60" hidden="1" customWidth="1" outlineLevel="1"/>
    <col min="11" max="11" width="2.7265625" customWidth="1" collapsed="1"/>
    <col min="12" max="16384" width="9.1796875" style="8"/>
  </cols>
  <sheetData>
    <row r="2" spans="2:36" ht="23.5" x14ac:dyDescent="0.55000000000000004">
      <c r="B2" s="6" t="s">
        <v>124</v>
      </c>
    </row>
    <row r="3" spans="2:36" x14ac:dyDescent="0.35">
      <c r="Z3"/>
      <c r="AA3"/>
      <c r="AB3"/>
      <c r="AC3"/>
      <c r="AD3"/>
      <c r="AE3"/>
      <c r="AF3"/>
      <c r="AG3"/>
      <c r="AH3"/>
      <c r="AI3"/>
      <c r="AJ3"/>
    </row>
    <row r="4" spans="2:36" x14ac:dyDescent="0.35">
      <c r="B4" s="9" t="s">
        <v>55</v>
      </c>
      <c r="C4" s="8"/>
      <c r="D4" s="8"/>
      <c r="E4" s="8"/>
      <c r="F4" s="8"/>
      <c r="G4" s="8"/>
      <c r="H4" s="8"/>
      <c r="Z4"/>
      <c r="AA4"/>
      <c r="AB4"/>
      <c r="AC4"/>
      <c r="AD4"/>
      <c r="AE4"/>
      <c r="AF4"/>
      <c r="AG4"/>
      <c r="AH4"/>
      <c r="AI4"/>
      <c r="AJ4"/>
    </row>
    <row r="5" spans="2:36" x14ac:dyDescent="0.35">
      <c r="B5" s="10" t="s">
        <v>53</v>
      </c>
      <c r="C5" s="8"/>
      <c r="D5" s="8"/>
      <c r="E5" s="8"/>
      <c r="F5" s="8"/>
      <c r="G5" s="8"/>
      <c r="H5" s="8"/>
      <c r="Y5"/>
      <c r="Z5"/>
      <c r="AA5"/>
      <c r="AB5"/>
      <c r="AC5"/>
      <c r="AD5"/>
      <c r="AE5"/>
      <c r="AF5"/>
      <c r="AG5"/>
      <c r="AH5"/>
      <c r="AI5"/>
      <c r="AJ5"/>
    </row>
    <row r="6" spans="2:36" x14ac:dyDescent="0.35">
      <c r="B6" s="11" t="s">
        <v>54</v>
      </c>
      <c r="C6" s="8"/>
      <c r="D6" s="8"/>
      <c r="E6" s="8"/>
      <c r="F6" s="8"/>
      <c r="G6" s="8"/>
      <c r="H6" s="8"/>
      <c r="Y6"/>
      <c r="Z6"/>
      <c r="AA6"/>
      <c r="AB6"/>
      <c r="AC6"/>
      <c r="AD6"/>
      <c r="AE6"/>
      <c r="AF6"/>
      <c r="AG6"/>
      <c r="AH6"/>
      <c r="AI6"/>
      <c r="AJ6"/>
    </row>
    <row r="7" spans="2:36" x14ac:dyDescent="0.35">
      <c r="B7" s="12" t="s">
        <v>61</v>
      </c>
      <c r="C7" s="8"/>
      <c r="D7" s="8"/>
      <c r="E7" s="8"/>
      <c r="F7" s="8"/>
      <c r="G7" s="8"/>
      <c r="H7" s="8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</row>
    <row r="8" spans="2:36" x14ac:dyDescent="0.35">
      <c r="B8" s="13" t="s">
        <v>62</v>
      </c>
      <c r="C8" s="8"/>
      <c r="D8" s="8"/>
      <c r="E8" s="8"/>
      <c r="F8" s="8"/>
      <c r="G8" s="8"/>
      <c r="H8" s="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</row>
    <row r="9" spans="2:36" x14ac:dyDescent="0.35">
      <c r="B9"/>
      <c r="C9" s="56"/>
      <c r="D9" s="56"/>
      <c r="E9" s="56"/>
      <c r="F9" s="56"/>
      <c r="G9" s="56"/>
      <c r="H9" s="56"/>
      <c r="I9" s="57" t="s">
        <v>169</v>
      </c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</row>
    <row r="10" spans="2:36" ht="55" customHeight="1" x14ac:dyDescent="0.35">
      <c r="B10" s="57" t="s">
        <v>170</v>
      </c>
      <c r="C10" s="58">
        <v>1</v>
      </c>
      <c r="D10" s="58">
        <v>2</v>
      </c>
      <c r="E10" s="58">
        <v>3</v>
      </c>
      <c r="F10" s="58">
        <v>4</v>
      </c>
      <c r="G10" s="58">
        <v>5</v>
      </c>
      <c r="H10" s="58">
        <v>6</v>
      </c>
      <c r="I10" s="59">
        <v>6</v>
      </c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</row>
    <row r="11" spans="2:36" x14ac:dyDescent="0.35">
      <c r="B11" s="100" t="s">
        <v>71</v>
      </c>
      <c r="C11" s="101"/>
      <c r="D11" s="101"/>
      <c r="E11" s="101"/>
      <c r="F11" s="101"/>
      <c r="G11" s="101"/>
      <c r="H11" s="101"/>
      <c r="I11" s="102"/>
      <c r="J11" t="str">
        <f>+"CASE " &amp; I10</f>
        <v>CASE 6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</row>
    <row r="12" spans="2:36" ht="16.5" x14ac:dyDescent="0.35">
      <c r="B12" s="18" t="s">
        <v>56</v>
      </c>
      <c r="C12" s="5">
        <v>400</v>
      </c>
      <c r="D12" s="5">
        <v>410</v>
      </c>
      <c r="E12" s="5">
        <v>420</v>
      </c>
      <c r="F12" s="5">
        <v>430</v>
      </c>
      <c r="G12" s="5">
        <v>440</v>
      </c>
      <c r="H12" s="5">
        <v>450</v>
      </c>
      <c r="I12" s="19" t="s">
        <v>7</v>
      </c>
      <c r="J12" t="str">
        <f ca="1">B12 &amp; " = " &amp; OFFSET(B12,0,$I$10)</f>
        <v>D2 [mm] = 450</v>
      </c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</row>
    <row r="13" spans="2:36" ht="16.5" x14ac:dyDescent="0.35">
      <c r="B13" s="20" t="s">
        <v>72</v>
      </c>
      <c r="C13" s="5">
        <v>200</v>
      </c>
      <c r="D13" s="5">
        <v>200</v>
      </c>
      <c r="E13" s="5">
        <v>200</v>
      </c>
      <c r="F13" s="5">
        <v>200</v>
      </c>
      <c r="G13" s="5">
        <v>200</v>
      </c>
      <c r="H13" s="5">
        <v>200</v>
      </c>
      <c r="I13" s="19" t="s">
        <v>73</v>
      </c>
      <c r="J13" t="str">
        <f ca="1">B13 &amp; " = " &amp; OFFSET(B13,0,$I$10)</f>
        <v>Dbd [mm] = 200</v>
      </c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</row>
    <row r="14" spans="2:36" ht="16.5" x14ac:dyDescent="0.35">
      <c r="B14" s="20" t="s">
        <v>76</v>
      </c>
      <c r="C14" s="5">
        <v>0.25</v>
      </c>
      <c r="D14" s="5">
        <v>0.25</v>
      </c>
      <c r="E14" s="5">
        <v>0.25</v>
      </c>
      <c r="F14" s="5">
        <v>0.25</v>
      </c>
      <c r="G14" s="5">
        <v>0.25</v>
      </c>
      <c r="H14" s="5">
        <v>0.25</v>
      </c>
      <c r="I14" s="19" t="s">
        <v>74</v>
      </c>
      <c r="J14" t="str">
        <f ca="1">B14 &amp; " = " &amp; OFFSET(B14,0,$I$10)</f>
        <v>sbd [mm] = 0,25</v>
      </c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</row>
    <row r="15" spans="2:36" ht="16.5" x14ac:dyDescent="0.35">
      <c r="B15" s="20" t="s">
        <v>77</v>
      </c>
      <c r="C15" s="5">
        <v>24</v>
      </c>
      <c r="D15" s="5">
        <v>24</v>
      </c>
      <c r="E15" s="5">
        <v>24</v>
      </c>
      <c r="F15" s="5">
        <v>24</v>
      </c>
      <c r="G15" s="5">
        <v>24</v>
      </c>
      <c r="H15" s="5">
        <v>24</v>
      </c>
      <c r="I15" s="19" t="s">
        <v>75</v>
      </c>
      <c r="J15" t="str">
        <f ca="1">B15 &amp; " = " &amp; OFFSET(B15,0,$I$10)</f>
        <v>Lbd [mm] = 24</v>
      </c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</row>
    <row r="16" spans="2:36" ht="16.5" x14ac:dyDescent="0.35">
      <c r="B16" s="18" t="s">
        <v>64</v>
      </c>
      <c r="C16" s="1">
        <v>0.75</v>
      </c>
      <c r="D16" s="1">
        <v>0.75</v>
      </c>
      <c r="E16" s="1">
        <v>0.75</v>
      </c>
      <c r="F16" s="1">
        <v>0.75</v>
      </c>
      <c r="G16" s="1">
        <v>0.75</v>
      </c>
      <c r="H16" s="1">
        <v>0.75</v>
      </c>
      <c r="I16" s="19" t="s">
        <v>63</v>
      </c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</row>
    <row r="17" spans="2:36" ht="16.5" x14ac:dyDescent="0.35">
      <c r="B17" s="20" t="s">
        <v>160</v>
      </c>
      <c r="C17" s="5">
        <v>100</v>
      </c>
      <c r="D17" s="5">
        <v>100</v>
      </c>
      <c r="E17" s="5">
        <v>100</v>
      </c>
      <c r="F17" s="5">
        <v>100</v>
      </c>
      <c r="G17" s="5">
        <v>100</v>
      </c>
      <c r="H17" s="5">
        <v>100</v>
      </c>
      <c r="I17" s="19" t="s">
        <v>161</v>
      </c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</row>
    <row r="18" spans="2:36" x14ac:dyDescent="0.35"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</row>
    <row r="19" spans="2:36" x14ac:dyDescent="0.35">
      <c r="B19" s="14" t="s">
        <v>70</v>
      </c>
      <c r="C19" s="15"/>
      <c r="D19" s="15"/>
      <c r="E19" s="15"/>
      <c r="F19" s="15"/>
      <c r="G19" s="15"/>
      <c r="H19" s="15"/>
      <c r="I19" s="16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</row>
    <row r="20" spans="2:36" ht="16.5" x14ac:dyDescent="0.35">
      <c r="B20" s="21" t="s">
        <v>95</v>
      </c>
      <c r="C20" s="1">
        <v>270</v>
      </c>
      <c r="D20" s="1">
        <v>270</v>
      </c>
      <c r="E20" s="1">
        <v>270</v>
      </c>
      <c r="F20" s="1">
        <v>270</v>
      </c>
      <c r="G20" s="1">
        <v>270</v>
      </c>
      <c r="H20" s="1">
        <v>270</v>
      </c>
      <c r="I20" s="19" t="s">
        <v>2</v>
      </c>
      <c r="J20" t="str">
        <f ca="1">B20 &amp; " = " &amp; OFFSET(B20,0,$I$10)</f>
        <v>Q [m3/h] = 270</v>
      </c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</row>
    <row r="21" spans="2:36" x14ac:dyDescent="0.35">
      <c r="B21" s="18" t="s">
        <v>4</v>
      </c>
      <c r="C21" s="1">
        <v>395</v>
      </c>
      <c r="D21" s="1">
        <v>395</v>
      </c>
      <c r="E21" s="1">
        <v>395</v>
      </c>
      <c r="F21" s="1">
        <v>395</v>
      </c>
      <c r="G21" s="1">
        <v>395</v>
      </c>
      <c r="H21" s="1">
        <v>395</v>
      </c>
      <c r="I21" s="19" t="s">
        <v>5</v>
      </c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</row>
    <row r="22" spans="2:36" x14ac:dyDescent="0.35">
      <c r="B22" s="18" t="s">
        <v>8</v>
      </c>
      <c r="C22" s="1">
        <v>2990</v>
      </c>
      <c r="D22" s="1">
        <v>2990</v>
      </c>
      <c r="E22" s="1">
        <v>2990</v>
      </c>
      <c r="F22" s="1">
        <v>2990</v>
      </c>
      <c r="G22" s="1">
        <v>2990</v>
      </c>
      <c r="H22" s="1">
        <v>2990</v>
      </c>
      <c r="I22" s="19" t="s">
        <v>9</v>
      </c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</row>
    <row r="23" spans="2:36" ht="16.5" x14ac:dyDescent="0.35">
      <c r="B23" s="18" t="s">
        <v>96</v>
      </c>
      <c r="C23" s="1">
        <v>1000</v>
      </c>
      <c r="D23" s="1">
        <v>1000</v>
      </c>
      <c r="E23" s="1">
        <v>1000</v>
      </c>
      <c r="F23" s="1">
        <v>1000</v>
      </c>
      <c r="G23" s="1">
        <v>1000</v>
      </c>
      <c r="H23" s="1">
        <v>1000</v>
      </c>
      <c r="I23" s="19" t="s">
        <v>10</v>
      </c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</row>
    <row r="24" spans="2:36" ht="16.5" x14ac:dyDescent="0.35">
      <c r="B24" s="18" t="s">
        <v>165</v>
      </c>
      <c r="C24" s="2">
        <v>1</v>
      </c>
      <c r="D24" s="2">
        <v>1</v>
      </c>
      <c r="E24" s="2">
        <v>1</v>
      </c>
      <c r="F24" s="2">
        <v>1</v>
      </c>
      <c r="G24" s="2">
        <v>1</v>
      </c>
      <c r="H24" s="2">
        <v>1</v>
      </c>
      <c r="I24" s="19" t="s">
        <v>13</v>
      </c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</row>
    <row r="25" spans="2:36" ht="16.5" x14ac:dyDescent="0.35">
      <c r="B25" s="18" t="s">
        <v>122</v>
      </c>
      <c r="C25" s="2">
        <v>1.5</v>
      </c>
      <c r="D25" s="2">
        <v>1.5</v>
      </c>
      <c r="E25" s="2">
        <v>1.5</v>
      </c>
      <c r="F25" s="2">
        <v>1.5</v>
      </c>
      <c r="G25" s="2">
        <v>1.5</v>
      </c>
      <c r="H25" s="2">
        <v>1.5</v>
      </c>
      <c r="I25" s="19" t="s">
        <v>16</v>
      </c>
      <c r="J25" t="str">
        <f ca="1">B25 &amp; " = " &amp; OFFSET(B25,0,$I$10)</f>
        <v>psuction [barg] = 1,5</v>
      </c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</row>
    <row r="26" spans="2:36" ht="16.5" x14ac:dyDescent="0.35">
      <c r="B26" s="18" t="s">
        <v>98</v>
      </c>
      <c r="C26" s="4">
        <v>60000</v>
      </c>
      <c r="D26" s="4">
        <v>60000</v>
      </c>
      <c r="E26" s="4">
        <v>60000</v>
      </c>
      <c r="F26" s="4">
        <v>60000</v>
      </c>
      <c r="G26" s="4">
        <v>60000</v>
      </c>
      <c r="H26" s="4">
        <v>60000</v>
      </c>
      <c r="I26" s="19" t="s">
        <v>168</v>
      </c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</row>
    <row r="27" spans="2:36" ht="16.5" x14ac:dyDescent="0.35">
      <c r="B27" s="18" t="s">
        <v>60</v>
      </c>
      <c r="C27" s="1">
        <v>5</v>
      </c>
      <c r="D27" s="1">
        <v>5</v>
      </c>
      <c r="E27" s="1">
        <v>5</v>
      </c>
      <c r="F27" s="1">
        <v>5</v>
      </c>
      <c r="G27" s="1">
        <v>5</v>
      </c>
      <c r="H27" s="1">
        <v>5</v>
      </c>
      <c r="I27" s="19" t="s">
        <v>83</v>
      </c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</row>
    <row r="28" spans="2:36" x14ac:dyDescent="0.35">
      <c r="B28" s="23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</row>
    <row r="29" spans="2:36" ht="18" customHeight="1" x14ac:dyDescent="0.35">
      <c r="B29" s="24" t="s">
        <v>0</v>
      </c>
      <c r="C29" s="25"/>
      <c r="D29" s="25"/>
      <c r="E29" s="25"/>
      <c r="F29" s="25"/>
      <c r="G29" s="25"/>
      <c r="H29" s="25"/>
      <c r="I29" s="2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</row>
    <row r="30" spans="2:36" ht="16.5" x14ac:dyDescent="0.35">
      <c r="B30" s="18" t="s">
        <v>99</v>
      </c>
      <c r="C30" s="27">
        <f t="shared" ref="C30" si="0">+C23*9.806*C21/C27*(C27-1+C16)*10^-5</f>
        <v>36.797015000000002</v>
      </c>
      <c r="D30" s="27">
        <f t="shared" ref="D30:H30" si="1">+D23*9.806*D21/D27*(D27-1+D16)*10^-5</f>
        <v>36.797015000000002</v>
      </c>
      <c r="E30" s="27">
        <f t="shared" si="1"/>
        <v>36.797015000000002</v>
      </c>
      <c r="F30" s="27">
        <f t="shared" si="1"/>
        <v>36.797015000000002</v>
      </c>
      <c r="G30" s="27">
        <f t="shared" si="1"/>
        <v>36.797015000000002</v>
      </c>
      <c r="H30" s="27">
        <f t="shared" si="1"/>
        <v>36.797015000000002</v>
      </c>
      <c r="I30" s="19" t="s">
        <v>163</v>
      </c>
      <c r="J30" t="str">
        <f ca="1">B30 &amp; " = " &amp; ROUND(OFFSET(B30,0,$I$10),1)</f>
        <v>p2 [barg] = 36,8</v>
      </c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</row>
    <row r="31" spans="2:36" ht="16.5" x14ac:dyDescent="0.35">
      <c r="B31" s="20" t="s">
        <v>65</v>
      </c>
      <c r="C31" s="28">
        <f t="shared" ref="C31" si="2">+C22*2*PI()/60*(C12/2000)</f>
        <v>62.622413561556542</v>
      </c>
      <c r="D31" s="28">
        <f t="shared" ref="D31:H31" si="3">+D22*2*PI()/60*(D12/2000)</f>
        <v>64.187973900595452</v>
      </c>
      <c r="E31" s="28">
        <f t="shared" si="3"/>
        <v>65.753534239634362</v>
      </c>
      <c r="F31" s="28">
        <f t="shared" si="3"/>
        <v>67.319094578673273</v>
      </c>
      <c r="G31" s="28">
        <f t="shared" si="3"/>
        <v>68.884654917712197</v>
      </c>
      <c r="H31" s="28">
        <f t="shared" si="3"/>
        <v>70.450215256751108</v>
      </c>
      <c r="I31" s="19" t="s">
        <v>66</v>
      </c>
      <c r="K31" s="8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</row>
    <row r="32" spans="2:36" ht="16.5" x14ac:dyDescent="0.35">
      <c r="B32" s="20" t="s">
        <v>78</v>
      </c>
      <c r="C32" s="29">
        <f t="shared" ref="C32" si="4">+C31*(C12/1000)/2/(C24*10^-6)</f>
        <v>12524482.712311311</v>
      </c>
      <c r="D32" s="29">
        <f t="shared" ref="D32:H32" si="5">+D31*(D12/1000)/2/(D24*10^-6)</f>
        <v>13158534.649622068</v>
      </c>
      <c r="E32" s="29">
        <f t="shared" si="5"/>
        <v>13808242.190323215</v>
      </c>
      <c r="F32" s="29">
        <f t="shared" si="5"/>
        <v>14473605.334414754</v>
      </c>
      <c r="G32" s="29">
        <f t="shared" si="5"/>
        <v>15154624.081896683</v>
      </c>
      <c r="H32" s="29">
        <f t="shared" si="5"/>
        <v>15851298.432769001</v>
      </c>
      <c r="I32" s="19" t="s">
        <v>67</v>
      </c>
      <c r="K32" s="8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</row>
    <row r="33" spans="2:36" ht="16.5" x14ac:dyDescent="0.35">
      <c r="B33" s="20" t="s">
        <v>68</v>
      </c>
      <c r="C33" s="22">
        <f t="shared" ref="C33" si="6">C32^0.3*C14*C13/C12^2*(C14/C15)^0.5</f>
        <v>4.2957830933658993E-3</v>
      </c>
      <c r="D33" s="22">
        <f t="shared" ref="D33:H33" si="7">D32^0.3*D14*D13/D12^2*(D14/D15)^0.5</f>
        <v>4.1498168798607448E-3</v>
      </c>
      <c r="E33" s="22">
        <f t="shared" si="7"/>
        <v>4.0121515185442521E-3</v>
      </c>
      <c r="F33" s="22">
        <f t="shared" si="7"/>
        <v>3.8821337550712107E-3</v>
      </c>
      <c r="G33" s="22">
        <f t="shared" si="7"/>
        <v>3.7591753586311205E-3</v>
      </c>
      <c r="H33" s="22">
        <f t="shared" si="7"/>
        <v>3.6427453545133611E-3</v>
      </c>
      <c r="I33" s="19" t="s">
        <v>79</v>
      </c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</row>
    <row r="34" spans="2:36" ht="16.5" x14ac:dyDescent="0.35">
      <c r="B34" s="20" t="s">
        <v>69</v>
      </c>
      <c r="C34" s="30">
        <f t="shared" ref="C34" si="8">0.9*C33^0.087</f>
        <v>0.56016657808169579</v>
      </c>
      <c r="D34" s="30">
        <f t="shared" ref="D34:H34" si="9">0.9*D33^0.087</f>
        <v>0.55848437430112108</v>
      </c>
      <c r="E34" s="30">
        <f t="shared" si="9"/>
        <v>0.55684758022567171</v>
      </c>
      <c r="F34" s="30">
        <f t="shared" si="9"/>
        <v>0.55525393174012561</v>
      </c>
      <c r="G34" s="30">
        <f t="shared" si="9"/>
        <v>0.55370132701427444</v>
      </c>
      <c r="H34" s="30">
        <f t="shared" si="9"/>
        <v>0.55218781148888696</v>
      </c>
      <c r="I34" s="19" t="s">
        <v>80</v>
      </c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</row>
    <row r="35" spans="2:36" ht="16.5" x14ac:dyDescent="0.35">
      <c r="B35" s="20" t="s">
        <v>81</v>
      </c>
      <c r="C35" s="30">
        <f t="shared" ref="C35" si="10">+C13/C12</f>
        <v>0.5</v>
      </c>
      <c r="D35" s="30">
        <f t="shared" ref="D35:H35" si="11">+D13/D12</f>
        <v>0.48780487804878048</v>
      </c>
      <c r="E35" s="30">
        <f t="shared" si="11"/>
        <v>0.47619047619047616</v>
      </c>
      <c r="F35" s="30">
        <f t="shared" si="11"/>
        <v>0.46511627906976744</v>
      </c>
      <c r="G35" s="30">
        <f t="shared" si="11"/>
        <v>0.45454545454545453</v>
      </c>
      <c r="H35" s="30">
        <f t="shared" si="11"/>
        <v>0.44444444444444442</v>
      </c>
      <c r="I35" s="19" t="s">
        <v>82</v>
      </c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</row>
    <row r="36" spans="2:36" ht="16.5" x14ac:dyDescent="0.35">
      <c r="B36" s="18" t="s">
        <v>162</v>
      </c>
      <c r="C36" s="55">
        <f t="shared" ref="C36" si="12">+C31^2/2*C34^2*(1-(C13/C12)^2)*10^-5*C23</f>
        <v>4.6145064616956963</v>
      </c>
      <c r="D36" s="55">
        <f t="shared" ref="D36:H36" si="13">+D31^2/2*D34^2*(1-(D13/D12)^2)*10^-5*D23</f>
        <v>4.8964441877581528</v>
      </c>
      <c r="E36" s="55">
        <f t="shared" si="13"/>
        <v>5.1831845152494367</v>
      </c>
      <c r="F36" s="55">
        <f t="shared" si="13"/>
        <v>5.4747122290044734</v>
      </c>
      <c r="G36" s="55">
        <f t="shared" si="13"/>
        <v>5.7710119022804323</v>
      </c>
      <c r="H36" s="55">
        <f t="shared" si="13"/>
        <v>6.0720679547644378</v>
      </c>
      <c r="I36" s="19" t="s">
        <v>164</v>
      </c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</row>
    <row r="37" spans="2:36" ht="16.5" x14ac:dyDescent="0.35">
      <c r="B37" s="18" t="s">
        <v>94</v>
      </c>
      <c r="C37" s="27">
        <f t="shared" ref="C37" si="14">+C30-C36</f>
        <v>32.182508538304305</v>
      </c>
      <c r="D37" s="27">
        <f t="shared" ref="D37:H37" si="15">+D30-D36</f>
        <v>31.900570812241849</v>
      </c>
      <c r="E37" s="27">
        <f t="shared" si="15"/>
        <v>31.613830484750565</v>
      </c>
      <c r="F37" s="27">
        <f t="shared" si="15"/>
        <v>31.322302770995528</v>
      </c>
      <c r="G37" s="27">
        <f t="shared" si="15"/>
        <v>31.02600309771957</v>
      </c>
      <c r="H37" s="27">
        <f t="shared" si="15"/>
        <v>30.724947045235563</v>
      </c>
      <c r="I37" s="19" t="s">
        <v>84</v>
      </c>
      <c r="J37" t="str">
        <f ca="1">B37 &amp; " = " &amp; ROUND(OFFSET(B37,0,$I$10),1)</f>
        <v>p2* [barg] = 30,7</v>
      </c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</row>
    <row r="38" spans="2:36" x14ac:dyDescent="0.35">
      <c r="B38" s="23"/>
      <c r="C38" s="8"/>
      <c r="D38" s="8"/>
      <c r="E38" s="8"/>
      <c r="F38" s="8"/>
      <c r="G38" s="8"/>
      <c r="H38" s="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</row>
    <row r="39" spans="2:36" x14ac:dyDescent="0.35">
      <c r="B39" s="14" t="s">
        <v>59</v>
      </c>
      <c r="C39" s="15"/>
      <c r="D39" s="15"/>
      <c r="E39" s="15"/>
      <c r="F39" s="15"/>
      <c r="G39" s="15"/>
      <c r="H39" s="15"/>
      <c r="I39" s="16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</row>
    <row r="40" spans="2:36" ht="16.5" x14ac:dyDescent="0.35">
      <c r="B40" s="18" t="s">
        <v>86</v>
      </c>
      <c r="C40" s="3">
        <v>1.2</v>
      </c>
      <c r="D40" s="3">
        <v>1.2</v>
      </c>
      <c r="E40" s="3">
        <v>1.2</v>
      </c>
      <c r="F40" s="3">
        <v>1.2</v>
      </c>
      <c r="G40" s="3">
        <v>1.2</v>
      </c>
      <c r="H40" s="3">
        <v>1.2</v>
      </c>
      <c r="I40" s="19" t="s">
        <v>18</v>
      </c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</row>
    <row r="41" spans="2:36" ht="16.5" x14ac:dyDescent="0.35">
      <c r="B41" s="18" t="s">
        <v>87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19" t="s">
        <v>21</v>
      </c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</row>
    <row r="42" spans="2:36" x14ac:dyDescent="0.35">
      <c r="B42" s="18" t="s">
        <v>166</v>
      </c>
      <c r="C42" s="1"/>
      <c r="D42" s="1"/>
      <c r="E42" s="1"/>
      <c r="F42" s="1" t="s">
        <v>171</v>
      </c>
      <c r="G42" s="1" t="s">
        <v>167</v>
      </c>
      <c r="H42" s="1" t="s">
        <v>172</v>
      </c>
      <c r="I42" s="54" t="s">
        <v>175</v>
      </c>
      <c r="J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</row>
    <row r="43" spans="2:36" ht="18" customHeight="1" x14ac:dyDescent="0.35">
      <c r="B43" s="18" t="s">
        <v>19</v>
      </c>
      <c r="C43" s="2"/>
      <c r="D43" s="2"/>
      <c r="E43" s="2"/>
      <c r="F43" s="30" t="s">
        <v>173</v>
      </c>
      <c r="G43" s="2"/>
      <c r="H43" s="30" t="s">
        <v>173</v>
      </c>
      <c r="I43" s="19" t="s">
        <v>20</v>
      </c>
    </row>
    <row r="44" spans="2:36" x14ac:dyDescent="0.35">
      <c r="B44" s="18" t="s">
        <v>26</v>
      </c>
      <c r="C44" s="30">
        <f>0.135*C43/C14</f>
        <v>0</v>
      </c>
      <c r="D44" s="30">
        <f>0.135*D43/D14</f>
        <v>0</v>
      </c>
      <c r="E44" s="30">
        <f>0.135*E43/E14</f>
        <v>0</v>
      </c>
      <c r="F44" s="2"/>
      <c r="G44" s="30">
        <f>0.135*G43/G14</f>
        <v>0</v>
      </c>
      <c r="H44" s="2"/>
      <c r="I44" s="19" t="s">
        <v>174</v>
      </c>
    </row>
    <row r="45" spans="2:36" ht="16.5" hidden="1" outlineLevel="1" x14ac:dyDescent="0.35">
      <c r="B45" s="18" t="s">
        <v>88</v>
      </c>
      <c r="C45" s="30">
        <f>C$77/(PI()*C14*C13)/3600*1000000</f>
        <v>22.721756475078195</v>
      </c>
      <c r="D45" s="30">
        <f t="shared" ref="D45:H45" si="16">D$77/(PI()*D14*D13)/3600*1000000</f>
        <v>22.721756475078195</v>
      </c>
      <c r="E45" s="30">
        <f t="shared" si="16"/>
        <v>22.721756475078195</v>
      </c>
      <c r="F45" s="30">
        <f t="shared" si="16"/>
        <v>35.367765131532302</v>
      </c>
      <c r="G45" s="30">
        <f t="shared" si="16"/>
        <v>19.374523979361108</v>
      </c>
      <c r="H45" s="30">
        <f t="shared" si="16"/>
        <v>18.403407007512705</v>
      </c>
      <c r="I45" s="19" t="s">
        <v>22</v>
      </c>
    </row>
    <row r="46" spans="2:36" ht="15" hidden="1" customHeight="1" outlineLevel="1" x14ac:dyDescent="0.35">
      <c r="B46" s="18" t="s">
        <v>23</v>
      </c>
      <c r="C46" s="29">
        <f t="shared" ref="C46" si="17">2*C14*C45/(C24*10^-6)/1000</f>
        <v>11360.878237539098</v>
      </c>
      <c r="D46" s="29">
        <f t="shared" ref="D46:H46" si="18">2*D14*D45/(D24*10^-6)/1000</f>
        <v>11360.878237539098</v>
      </c>
      <c r="E46" s="29">
        <f t="shared" si="18"/>
        <v>11360.878237539098</v>
      </c>
      <c r="F46" s="29">
        <f t="shared" si="18"/>
        <v>17683.882565766151</v>
      </c>
      <c r="G46" s="29">
        <f t="shared" si="18"/>
        <v>9687.2619896805554</v>
      </c>
      <c r="H46" s="29">
        <f t="shared" si="18"/>
        <v>9201.7035037563528</v>
      </c>
      <c r="I46" s="19" t="s">
        <v>24</v>
      </c>
    </row>
    <row r="47" spans="2:36" ht="18" hidden="1" customHeight="1" outlineLevel="1" x14ac:dyDescent="0.35">
      <c r="B47" s="18" t="s">
        <v>89</v>
      </c>
      <c r="C47" s="29">
        <f t="shared" ref="C47" si="19">2*C14*(PI()*C13*C22/60)/(C24*10^-6)/1000000</f>
        <v>15655.603390389135</v>
      </c>
      <c r="D47" s="29">
        <f t="shared" ref="D47:H47" si="20">2*D14*(PI()*D13*D22/60)/(D24*10^-6)/1000000</f>
        <v>15655.603390389135</v>
      </c>
      <c r="E47" s="29">
        <f t="shared" si="20"/>
        <v>15655.603390389135</v>
      </c>
      <c r="F47" s="29">
        <f t="shared" si="20"/>
        <v>15655.603390389135</v>
      </c>
      <c r="G47" s="29">
        <f t="shared" si="20"/>
        <v>15655.603390389135</v>
      </c>
      <c r="H47" s="29">
        <f t="shared" si="20"/>
        <v>15655.603390389135</v>
      </c>
      <c r="I47" s="19" t="s">
        <v>25</v>
      </c>
    </row>
    <row r="48" spans="2:36" ht="15" hidden="1" customHeight="1" outlineLevel="1" x14ac:dyDescent="0.35">
      <c r="B48" s="18" t="s">
        <v>90</v>
      </c>
      <c r="C48" s="32">
        <f t="shared" ref="C48" si="21">96/C46*(1-0.6*C41/C14)</f>
        <v>8.4500509549334576E-3</v>
      </c>
      <c r="D48" s="32">
        <f t="shared" ref="D48:H48" si="22">96/D46*(1-0.6*D41/D14)</f>
        <v>8.4500509549334576E-3</v>
      </c>
      <c r="E48" s="32">
        <f t="shared" si="22"/>
        <v>8.4500509549334576E-3</v>
      </c>
      <c r="F48" s="32">
        <f t="shared" si="22"/>
        <v>5.4286721054031617E-3</v>
      </c>
      <c r="G48" s="32">
        <f t="shared" si="22"/>
        <v>9.9099208942903458E-3</v>
      </c>
      <c r="H48" s="32">
        <f t="shared" si="22"/>
        <v>1.0432850826024825E-2</v>
      </c>
      <c r="I48" s="19" t="s">
        <v>28</v>
      </c>
    </row>
    <row r="49" spans="2:10" ht="15" hidden="1" customHeight="1" outlineLevel="1" x14ac:dyDescent="0.35">
      <c r="B49" s="18" t="s">
        <v>91</v>
      </c>
      <c r="C49" s="32">
        <f t="shared" ref="C49" si="23">C48*(1+0.2*(C47/2000)^1.03)</f>
        <v>2.2521484140602219E-2</v>
      </c>
      <c r="D49" s="32">
        <f t="shared" ref="D49:H49" si="24">D48*(1+0.2*(D47/2000)^1.03)</f>
        <v>2.2521484140602219E-2</v>
      </c>
      <c r="E49" s="32">
        <f t="shared" si="24"/>
        <v>2.2521484140602219E-2</v>
      </c>
      <c r="F49" s="32">
        <f t="shared" si="24"/>
        <v>1.4468759227420511E-2</v>
      </c>
      <c r="G49" s="32">
        <f t="shared" si="24"/>
        <v>2.6412400048910725E-2</v>
      </c>
      <c r="H49" s="32">
        <f t="shared" si="24"/>
        <v>2.7806138172741603E-2</v>
      </c>
      <c r="I49" s="19" t="s">
        <v>29</v>
      </c>
    </row>
    <row r="50" spans="2:10" ht="18" hidden="1" customHeight="1" outlineLevel="1" x14ac:dyDescent="0.35">
      <c r="B50" s="18" t="s">
        <v>90</v>
      </c>
      <c r="C50" s="32">
        <f t="shared" ref="C50" si="25">0.31/(LOG(C44+6.5/C46))^2</f>
        <v>2.9485066602388137E-2</v>
      </c>
      <c r="D50" s="32">
        <f t="shared" ref="D50:H50" si="26">0.31/(LOG(D44+6.5/D46))^2</f>
        <v>2.9485066602388137E-2</v>
      </c>
      <c r="E50" s="32">
        <f t="shared" si="26"/>
        <v>2.9485066602388137E-2</v>
      </c>
      <c r="F50" s="32">
        <f t="shared" si="26"/>
        <v>2.6278048536361807E-2</v>
      </c>
      <c r="G50" s="32">
        <f t="shared" si="26"/>
        <v>3.0785258186089407E-2</v>
      </c>
      <c r="H50" s="32">
        <f t="shared" si="26"/>
        <v>3.1223193856467425E-2</v>
      </c>
      <c r="I50" s="19" t="s">
        <v>30</v>
      </c>
    </row>
    <row r="51" spans="2:10" ht="18" hidden="1" customHeight="1" outlineLevel="1" x14ac:dyDescent="0.35">
      <c r="B51" s="18" t="s">
        <v>92</v>
      </c>
      <c r="C51" s="32">
        <f t="shared" ref="C51" si="27">C50*(1+0.19*(C47/C46)^2)^0.375</f>
        <v>3.3095981298872264E-2</v>
      </c>
      <c r="D51" s="32">
        <f t="shared" ref="D51:H51" si="28">D50*(1+0.19*(D47/D46)^2)^0.375</f>
        <v>3.3095981298872264E-2</v>
      </c>
      <c r="E51" s="32">
        <f t="shared" si="28"/>
        <v>3.3095981298872264E-2</v>
      </c>
      <c r="F51" s="32">
        <f t="shared" si="28"/>
        <v>2.7682228555521882E-2</v>
      </c>
      <c r="G51" s="32">
        <f t="shared" si="28"/>
        <v>3.5807021241178252E-2</v>
      </c>
      <c r="H51" s="32">
        <f t="shared" si="28"/>
        <v>3.6800262975364727E-2</v>
      </c>
      <c r="I51" s="19" t="s">
        <v>31</v>
      </c>
    </row>
    <row r="52" spans="2:10" ht="18" hidden="1" customHeight="1" outlineLevel="1" x14ac:dyDescent="0.35">
      <c r="B52" s="18" t="s">
        <v>32</v>
      </c>
      <c r="C52" s="32">
        <f t="shared" ref="C52" si="29">IF(C46&gt;2000,C51,C49)</f>
        <v>3.3095981298872264E-2</v>
      </c>
      <c r="D52" s="32">
        <f t="shared" ref="D52:H52" si="30">IF(D46&gt;2000,D51,D49)</f>
        <v>3.3095981298872264E-2</v>
      </c>
      <c r="E52" s="32">
        <f t="shared" si="30"/>
        <v>3.3095981298872264E-2</v>
      </c>
      <c r="F52" s="32">
        <f t="shared" si="30"/>
        <v>2.7682228555521882E-2</v>
      </c>
      <c r="G52" s="32">
        <f t="shared" si="30"/>
        <v>3.5807021241178252E-2</v>
      </c>
      <c r="H52" s="32">
        <f t="shared" si="30"/>
        <v>3.6800262975364727E-2</v>
      </c>
      <c r="I52" s="19" t="s">
        <v>33</v>
      </c>
    </row>
    <row r="53" spans="2:10" ht="18" customHeight="1" collapsed="1" x14ac:dyDescent="0.35">
      <c r="B53" s="18" t="s">
        <v>93</v>
      </c>
      <c r="C53" s="30">
        <f t="shared" ref="C53" si="31">+C23/2*(C45^2*(C40+C52*C15/(2*C14)))*0.00001</f>
        <v>7.1984855179241025</v>
      </c>
      <c r="D53" s="30">
        <f t="shared" ref="D53:H53" si="32">+D23/2*(D45^2*(D40+D52*D15/(2*D14)))*0.00001</f>
        <v>7.1984855179241025</v>
      </c>
      <c r="E53" s="30">
        <f t="shared" si="32"/>
        <v>7.1984855179241025</v>
      </c>
      <c r="F53" s="30">
        <f t="shared" si="32"/>
        <v>15.815780012330803</v>
      </c>
      <c r="G53" s="30">
        <f t="shared" si="32"/>
        <v>5.4780633810612356</v>
      </c>
      <c r="H53" s="30">
        <f t="shared" si="32"/>
        <v>5.0234030726484953</v>
      </c>
      <c r="I53" s="19" t="s">
        <v>176</v>
      </c>
    </row>
    <row r="54" spans="2:10" ht="18" customHeight="1" x14ac:dyDescent="0.35">
      <c r="B54" s="18" t="s">
        <v>121</v>
      </c>
      <c r="C54" s="27">
        <f t="shared" ref="C54" si="33">+C37-C53</f>
        <v>24.984023020380203</v>
      </c>
      <c r="D54" s="27">
        <f t="shared" ref="D54:H54" si="34">+D37-D53</f>
        <v>24.702085294317747</v>
      </c>
      <c r="E54" s="27">
        <f t="shared" si="34"/>
        <v>24.415344966826463</v>
      </c>
      <c r="F54" s="27">
        <f t="shared" si="34"/>
        <v>15.506522758664724</v>
      </c>
      <c r="G54" s="27">
        <f t="shared" si="34"/>
        <v>25.547939716658334</v>
      </c>
      <c r="H54" s="27">
        <f t="shared" si="34"/>
        <v>25.701543972587068</v>
      </c>
      <c r="I54" s="19" t="s">
        <v>163</v>
      </c>
      <c r="J54" t="str">
        <f ca="1">B54 &amp; " = " &amp; ROUND(OFFSET(B54,0,$I$10),1)</f>
        <v>pbd [barg] = 25,7</v>
      </c>
    </row>
    <row r="55" spans="2:10" ht="18" customHeight="1" x14ac:dyDescent="0.35">
      <c r="B55" s="23"/>
    </row>
    <row r="56" spans="2:10" ht="18" customHeight="1" x14ac:dyDescent="0.35">
      <c r="B56" s="14" t="s">
        <v>34</v>
      </c>
      <c r="C56" s="15"/>
      <c r="D56" s="15"/>
      <c r="E56" s="15"/>
      <c r="F56" s="15"/>
      <c r="G56" s="15"/>
      <c r="H56" s="15"/>
      <c r="I56" s="16"/>
    </row>
    <row r="57" spans="2:10" ht="16.5" x14ac:dyDescent="0.35">
      <c r="B57" s="21" t="s">
        <v>100</v>
      </c>
      <c r="C57" s="1">
        <v>16</v>
      </c>
      <c r="D57" s="1">
        <v>16</v>
      </c>
      <c r="E57" s="1">
        <v>16</v>
      </c>
      <c r="F57" s="1">
        <v>16</v>
      </c>
      <c r="G57" s="1">
        <v>16</v>
      </c>
      <c r="H57" s="1">
        <v>16</v>
      </c>
      <c r="I57" s="19" t="s">
        <v>35</v>
      </c>
      <c r="J57" t="str">
        <f ca="1">B57 &amp; " = " &amp; OFFSET(B57,0,$I$10)</f>
        <v>dorifice [mm] = 16</v>
      </c>
    </row>
    <row r="58" spans="2:10" ht="16.5" x14ac:dyDescent="0.35">
      <c r="B58" s="18" t="s">
        <v>101</v>
      </c>
      <c r="C58" s="1">
        <v>45</v>
      </c>
      <c r="D58" s="1">
        <v>45</v>
      </c>
      <c r="E58" s="1">
        <v>45</v>
      </c>
      <c r="F58" s="1">
        <v>45</v>
      </c>
      <c r="G58" s="1">
        <v>45</v>
      </c>
      <c r="H58" s="1">
        <v>45</v>
      </c>
      <c r="I58" s="19" t="s">
        <v>36</v>
      </c>
    </row>
    <row r="59" spans="2:10" ht="16.5" x14ac:dyDescent="0.35">
      <c r="B59" s="18" t="s">
        <v>102</v>
      </c>
      <c r="C59" s="30">
        <f t="shared" ref="C59" si="35">+C77/3600/C62*1000000</f>
        <v>17.75137224615484</v>
      </c>
      <c r="D59" s="30">
        <f t="shared" ref="D59:H59" si="36">+D77/3600/D62*1000000</f>
        <v>17.75137224615484</v>
      </c>
      <c r="E59" s="30">
        <f t="shared" si="36"/>
        <v>17.75137224615484</v>
      </c>
      <c r="F59" s="30">
        <f t="shared" si="36"/>
        <v>27.63106650900961</v>
      </c>
      <c r="G59" s="30">
        <f t="shared" si="36"/>
        <v>15.136346858875868</v>
      </c>
      <c r="H59" s="30">
        <f t="shared" si="36"/>
        <v>14.377661724619299</v>
      </c>
      <c r="I59" s="19" t="s">
        <v>37</v>
      </c>
    </row>
    <row r="60" spans="2:10" ht="16.5" x14ac:dyDescent="0.35">
      <c r="B60" s="18" t="s">
        <v>103</v>
      </c>
      <c r="C60" s="30">
        <f t="shared" ref="C60" si="37">+C77/3600/C63*1000000</f>
        <v>2.2441240963040197</v>
      </c>
      <c r="D60" s="30">
        <f t="shared" ref="D60:H60" si="38">+D77/3600/D63*1000000</f>
        <v>2.2441240963040197</v>
      </c>
      <c r="E60" s="30">
        <f t="shared" si="38"/>
        <v>2.2441240963040197</v>
      </c>
      <c r="F60" s="30">
        <f t="shared" si="38"/>
        <v>3.4931126055834372</v>
      </c>
      <c r="G60" s="30">
        <f t="shared" si="38"/>
        <v>1.9135332325294925</v>
      </c>
      <c r="H60" s="30">
        <f t="shared" si="38"/>
        <v>1.8176204451864402</v>
      </c>
      <c r="I60" s="19" t="s">
        <v>38</v>
      </c>
    </row>
    <row r="61" spans="2:10" hidden="1" outlineLevel="1" x14ac:dyDescent="0.35">
      <c r="B61" s="18" t="s">
        <v>39</v>
      </c>
      <c r="C61" s="30">
        <f t="shared" ref="C61" si="39">+C57/C58</f>
        <v>0.35555555555555557</v>
      </c>
      <c r="D61" s="30">
        <f t="shared" ref="D61:H61" si="40">+D57/D58</f>
        <v>0.35555555555555557</v>
      </c>
      <c r="E61" s="30">
        <f t="shared" si="40"/>
        <v>0.35555555555555557</v>
      </c>
      <c r="F61" s="30">
        <f t="shared" si="40"/>
        <v>0.35555555555555557</v>
      </c>
      <c r="G61" s="30">
        <f t="shared" si="40"/>
        <v>0.35555555555555557</v>
      </c>
      <c r="H61" s="30">
        <f t="shared" si="40"/>
        <v>0.35555555555555557</v>
      </c>
      <c r="I61" s="19" t="s">
        <v>40</v>
      </c>
    </row>
    <row r="62" spans="2:10" ht="18" hidden="1" customHeight="1" outlineLevel="1" x14ac:dyDescent="0.35">
      <c r="B62" s="18" t="s">
        <v>104</v>
      </c>
      <c r="C62" s="30">
        <f t="shared" ref="C62:C63" si="41">+C57^2/4*PI()</f>
        <v>201.06192982974676</v>
      </c>
      <c r="D62" s="30">
        <f t="shared" ref="D62:H62" si="42">+D57^2/4*PI()</f>
        <v>201.06192982974676</v>
      </c>
      <c r="E62" s="30">
        <f t="shared" si="42"/>
        <v>201.06192982974676</v>
      </c>
      <c r="F62" s="30">
        <f t="shared" si="42"/>
        <v>201.06192982974676</v>
      </c>
      <c r="G62" s="30">
        <f t="shared" si="42"/>
        <v>201.06192982974676</v>
      </c>
      <c r="H62" s="30">
        <f t="shared" si="42"/>
        <v>201.06192982974676</v>
      </c>
      <c r="I62" s="19" t="s">
        <v>41</v>
      </c>
    </row>
    <row r="63" spans="2:10" ht="18" hidden="1" customHeight="1" outlineLevel="1" x14ac:dyDescent="0.35">
      <c r="B63" s="18" t="s">
        <v>105</v>
      </c>
      <c r="C63" s="30">
        <f t="shared" si="41"/>
        <v>1590.4312808798327</v>
      </c>
      <c r="D63" s="30">
        <f t="shared" ref="D63:H63" si="43">+D58^2/4*PI()</f>
        <v>1590.4312808798327</v>
      </c>
      <c r="E63" s="30">
        <f t="shared" si="43"/>
        <v>1590.4312808798327</v>
      </c>
      <c r="F63" s="30">
        <f t="shared" si="43"/>
        <v>1590.4312808798327</v>
      </c>
      <c r="G63" s="30">
        <f t="shared" si="43"/>
        <v>1590.4312808798327</v>
      </c>
      <c r="H63" s="30">
        <f t="shared" si="43"/>
        <v>1590.4312808798327</v>
      </c>
      <c r="I63" s="19" t="s">
        <v>42</v>
      </c>
    </row>
    <row r="64" spans="2:10" ht="15" hidden="1" customHeight="1" outlineLevel="1" x14ac:dyDescent="0.35">
      <c r="B64" s="18" t="s">
        <v>106</v>
      </c>
      <c r="C64" s="29">
        <f t="shared" ref="C64" si="44">+C57/1000*C59/(C24*10^-6)</f>
        <v>284021.95593847748</v>
      </c>
      <c r="D64" s="29">
        <f t="shared" ref="D64:H64" si="45">+D57/1000*D59/(D24*10^-6)</f>
        <v>284021.95593847748</v>
      </c>
      <c r="E64" s="29">
        <f t="shared" si="45"/>
        <v>284021.95593847748</v>
      </c>
      <c r="F64" s="29">
        <f t="shared" si="45"/>
        <v>442097.06414415379</v>
      </c>
      <c r="G64" s="29">
        <f t="shared" si="45"/>
        <v>242181.54974201391</v>
      </c>
      <c r="H64" s="29">
        <f t="shared" si="45"/>
        <v>230042.5875939088</v>
      </c>
      <c r="I64" s="19" t="s">
        <v>43</v>
      </c>
    </row>
    <row r="65" spans="2:10" ht="18" hidden="1" customHeight="1" outlineLevel="1" x14ac:dyDescent="0.35">
      <c r="B65" s="18" t="s">
        <v>107</v>
      </c>
      <c r="C65" s="29">
        <f t="shared" ref="C65" si="46">+C58/1000*C60/(C24*10^-6)</f>
        <v>100985.58433368088</v>
      </c>
      <c r="D65" s="29">
        <f t="shared" ref="D65:H65" si="47">+D58/1000*D60/(D24*10^-6)</f>
        <v>100985.58433368088</v>
      </c>
      <c r="E65" s="29">
        <f t="shared" si="47"/>
        <v>100985.58433368088</v>
      </c>
      <c r="F65" s="29">
        <f t="shared" si="47"/>
        <v>157190.06725125469</v>
      </c>
      <c r="G65" s="29">
        <f t="shared" si="47"/>
        <v>86108.995463827174</v>
      </c>
      <c r="H65" s="29">
        <f t="shared" si="47"/>
        <v>81792.920033389819</v>
      </c>
      <c r="I65" s="19" t="s">
        <v>44</v>
      </c>
    </row>
    <row r="66" spans="2:10" ht="18" hidden="1" customHeight="1" outlineLevel="1" x14ac:dyDescent="0.35">
      <c r="B66" s="18" t="s">
        <v>26</v>
      </c>
      <c r="C66" s="30">
        <f t="shared" ref="C66" si="48">+(19000*C61/C65)^0.8</f>
        <v>0.11490034948131168</v>
      </c>
      <c r="D66" s="30">
        <f t="shared" ref="D66:H66" si="49">+(19000*D61/D65)^0.8</f>
        <v>0.11490034948131168</v>
      </c>
      <c r="E66" s="30">
        <f t="shared" si="49"/>
        <v>0.11490034948131168</v>
      </c>
      <c r="F66" s="30">
        <f t="shared" si="49"/>
        <v>8.0647103883099994E-2</v>
      </c>
      <c r="G66" s="30">
        <f t="shared" si="49"/>
        <v>0.13052389872185133</v>
      </c>
      <c r="H66" s="30">
        <f t="shared" si="49"/>
        <v>0.13600544179414931</v>
      </c>
      <c r="I66" s="19"/>
    </row>
    <row r="67" spans="2:10" ht="18" hidden="1" customHeight="1" outlineLevel="1" x14ac:dyDescent="0.35">
      <c r="B67" s="18" t="s">
        <v>108</v>
      </c>
      <c r="C67" s="30">
        <v>0</v>
      </c>
      <c r="D67" s="30">
        <v>0</v>
      </c>
      <c r="E67" s="30">
        <v>0</v>
      </c>
      <c r="F67" s="30">
        <v>0</v>
      </c>
      <c r="G67" s="30">
        <v>0</v>
      </c>
      <c r="H67" s="30">
        <v>0</v>
      </c>
      <c r="I67" s="19" t="s">
        <v>45</v>
      </c>
    </row>
    <row r="68" spans="2:10" ht="18" hidden="1" customHeight="1" outlineLevel="1" x14ac:dyDescent="0.35">
      <c r="B68" s="18" t="s">
        <v>109</v>
      </c>
      <c r="C68" s="30">
        <v>0</v>
      </c>
      <c r="D68" s="30">
        <v>0</v>
      </c>
      <c r="E68" s="30">
        <v>0</v>
      </c>
      <c r="F68" s="30">
        <v>0</v>
      </c>
      <c r="G68" s="30">
        <v>0</v>
      </c>
      <c r="H68" s="30">
        <v>0</v>
      </c>
      <c r="I68" s="19" t="s">
        <v>46</v>
      </c>
    </row>
    <row r="69" spans="2:10" ht="15" hidden="1" customHeight="1" outlineLevel="1" x14ac:dyDescent="0.35">
      <c r="B69" s="18" t="s">
        <v>110</v>
      </c>
      <c r="C69" s="30">
        <f t="shared" ref="C69" si="50">+C67/C57</f>
        <v>0</v>
      </c>
      <c r="D69" s="30">
        <f t="shared" ref="D69:H69" si="51">+D67/D57</f>
        <v>0</v>
      </c>
      <c r="E69" s="30">
        <f t="shared" si="51"/>
        <v>0</v>
      </c>
      <c r="F69" s="30">
        <f t="shared" si="51"/>
        <v>0</v>
      </c>
      <c r="G69" s="30">
        <f t="shared" si="51"/>
        <v>0</v>
      </c>
      <c r="H69" s="30">
        <f t="shared" si="51"/>
        <v>0</v>
      </c>
      <c r="I69" s="19"/>
    </row>
    <row r="70" spans="2:10" ht="18" hidden="1" customHeight="1" outlineLevel="1" x14ac:dyDescent="0.35">
      <c r="B70" s="18" t="s">
        <v>111</v>
      </c>
      <c r="C70" s="30">
        <f t="shared" ref="C70" si="52">C68/C57</f>
        <v>0</v>
      </c>
      <c r="D70" s="30">
        <f t="shared" ref="D70:H70" si="53">D68/D57</f>
        <v>0</v>
      </c>
      <c r="E70" s="30">
        <f t="shared" si="53"/>
        <v>0</v>
      </c>
      <c r="F70" s="30">
        <f t="shared" si="53"/>
        <v>0</v>
      </c>
      <c r="G70" s="30">
        <f t="shared" si="53"/>
        <v>0</v>
      </c>
      <c r="H70" s="30">
        <f t="shared" si="53"/>
        <v>0</v>
      </c>
      <c r="I70" s="19"/>
    </row>
    <row r="71" spans="2:10" ht="18" hidden="1" customHeight="1" outlineLevel="1" x14ac:dyDescent="0.35">
      <c r="B71" s="18" t="s">
        <v>47</v>
      </c>
      <c r="C71" s="30">
        <f t="shared" ref="C71" si="54">2*C70/(1-C61)</f>
        <v>0</v>
      </c>
      <c r="D71" s="30">
        <f t="shared" ref="D71:H71" si="55">2*D70/(1-D61)</f>
        <v>0</v>
      </c>
      <c r="E71" s="30">
        <f t="shared" si="55"/>
        <v>0</v>
      </c>
      <c r="F71" s="30">
        <f t="shared" si="55"/>
        <v>0</v>
      </c>
      <c r="G71" s="30">
        <f t="shared" si="55"/>
        <v>0</v>
      </c>
      <c r="H71" s="30">
        <f t="shared" si="55"/>
        <v>0</v>
      </c>
      <c r="I71" s="19"/>
    </row>
    <row r="72" spans="2:10" ht="18" hidden="1" customHeight="1" outlineLevel="1" x14ac:dyDescent="0.35">
      <c r="B72" s="18" t="s">
        <v>48</v>
      </c>
      <c r="C72" s="30">
        <f t="shared" ref="C72" si="56" xml:space="preserve"> 0.5961+0.0261*C61^2-0.216*C61^8+0.000521*(C61*10^6/C64)^0.7+(0.0188+0.0063*C66)*C61^3.5*(10^6/C64)^0.3+(0.043+0.08*EXP(-10*C69)-0.123*EXP(-7*C69))*(1-0.11*C66)*C61^4/(1-C61^4)-0.031*(C71-0.8*C71^1.1)*C61^1.3+IF(C58&lt;71.12,0.011*(0.75-C61)*(2.8-C58/25.4),0)</f>
        <v>0.60517935238017784</v>
      </c>
      <c r="D72" s="30">
        <f t="shared" ref="D72:H72" si="57" xml:space="preserve"> 0.5961+0.0261*D61^2-0.216*D61^8+0.000521*(D61*10^6/D64)^0.7+(0.0188+0.0063*D66)*D61^3.5*(10^6/D64)^0.3+(0.043+0.08*EXP(-10*D69)-0.123*EXP(-7*D69))*(1-0.11*D66)*D61^4/(1-D61^4)-0.031*(D71-0.8*D71^1.1)*D61^1.3+IF(D58&lt;71.12,0.011*(0.75-D61)*(2.8-D58/25.4),0)</f>
        <v>0.60517935238017784</v>
      </c>
      <c r="E72" s="30">
        <f t="shared" si="57"/>
        <v>0.60517935238017784</v>
      </c>
      <c r="F72" s="30">
        <f t="shared" si="57"/>
        <v>0.60491466620171574</v>
      </c>
      <c r="G72" s="30">
        <f t="shared" si="57"/>
        <v>0.60529272746661622</v>
      </c>
      <c r="H72" s="30">
        <f t="shared" si="57"/>
        <v>0.6053316621479341</v>
      </c>
      <c r="I72" s="19" t="s">
        <v>49</v>
      </c>
    </row>
    <row r="73" spans="2:10" ht="18" customHeight="1" collapsed="1" x14ac:dyDescent="0.35">
      <c r="B73" s="18" t="s">
        <v>112</v>
      </c>
      <c r="C73" s="30">
        <f>IF(C57&lt;=C58,C77^2/(2*C$23)*(1-C61^4)/(C72^2*C62^2)*C$23^2/3600^2*10^12/10^5,0)</f>
        <v>4.2331993949338278</v>
      </c>
      <c r="D73" s="30">
        <f t="shared" ref="D73:H73" si="58">IF(D57&lt;=D58,D77^2/(2*D$23)*(1-D61^4)/(D72^2*D62^2)*D$23^2/3600^2*10^12/10^5,0)</f>
        <v>4.2331993949338278</v>
      </c>
      <c r="E73" s="30">
        <f t="shared" si="58"/>
        <v>4.2331993949338278</v>
      </c>
      <c r="F73" s="30">
        <f t="shared" si="58"/>
        <v>10.265500667811718</v>
      </c>
      <c r="G73" s="30">
        <f t="shared" si="58"/>
        <v>3.0766939543490932</v>
      </c>
      <c r="H73" s="30">
        <f t="shared" si="58"/>
        <v>2.775637901865085</v>
      </c>
      <c r="I73" s="19" t="s">
        <v>50</v>
      </c>
      <c r="J73" t="str">
        <f ca="1">B73 &amp; " = " &amp; ROUND(OFFSET(B73,0,$I$10),1)</f>
        <v>∆porifice [bar] = 2,8</v>
      </c>
    </row>
    <row r="74" spans="2:10" ht="15" customHeight="1" x14ac:dyDescent="0.35">
      <c r="B74" s="18" t="s">
        <v>113</v>
      </c>
      <c r="C74" s="30">
        <f t="shared" ref="C74" si="59">+C54-C73</f>
        <v>20.750823625446376</v>
      </c>
      <c r="D74" s="30">
        <f t="shared" ref="D74:H74" si="60">+D54-D73</f>
        <v>20.46888589938392</v>
      </c>
      <c r="E74" s="30">
        <f t="shared" si="60"/>
        <v>20.182145571892637</v>
      </c>
      <c r="F74" s="30">
        <f t="shared" si="60"/>
        <v>5.2410220908530061</v>
      </c>
      <c r="G74" s="30">
        <f t="shared" si="60"/>
        <v>22.471245762309241</v>
      </c>
      <c r="H74" s="30">
        <f t="shared" si="60"/>
        <v>22.925906070721982</v>
      </c>
      <c r="I74" s="19" t="s">
        <v>85</v>
      </c>
      <c r="J74" t="str">
        <f ca="1">B74 &amp; " = " &amp; ROUND(OFFSET(B74,0,$I$10),1)</f>
        <v>psuction* [barg] = 22,9</v>
      </c>
    </row>
    <row r="75" spans="2:10" ht="15" customHeight="1" x14ac:dyDescent="0.35">
      <c r="B75" s="23"/>
    </row>
    <row r="76" spans="2:10" ht="18" customHeight="1" x14ac:dyDescent="0.35">
      <c r="B76" s="34" t="s">
        <v>1</v>
      </c>
      <c r="C76" s="35"/>
      <c r="D76" s="35"/>
      <c r="E76" s="35"/>
      <c r="F76" s="35"/>
      <c r="G76" s="35"/>
      <c r="H76" s="35"/>
      <c r="I76" s="36"/>
    </row>
    <row r="77" spans="2:10" ht="16.5" x14ac:dyDescent="0.35">
      <c r="B77" s="21" t="s">
        <v>114</v>
      </c>
      <c r="C77" s="30">
        <v>12.848850579377155</v>
      </c>
      <c r="D77" s="30">
        <v>12.848850579377155</v>
      </c>
      <c r="E77" s="30">
        <v>12.848850579377155</v>
      </c>
      <c r="F77" s="30">
        <v>20</v>
      </c>
      <c r="G77" s="30">
        <v>10.956035196064827</v>
      </c>
      <c r="H77" s="30">
        <v>10.406881486048469</v>
      </c>
      <c r="I77" s="19" t="s">
        <v>3</v>
      </c>
      <c r="J77" t="str">
        <f ca="1">B77 &amp; " = " &amp; ROUND(OFFSET(B77,0,$I$10),1)</f>
        <v>Qleakage [m3/h] = 10,4</v>
      </c>
    </row>
    <row r="78" spans="2:10" ht="16.5" x14ac:dyDescent="0.35">
      <c r="B78" s="18" t="s">
        <v>115</v>
      </c>
      <c r="C78" s="30">
        <f t="shared" ref="C78:H78" si="61">+C77/C20*100</f>
        <v>4.7588335479174644</v>
      </c>
      <c r="D78" s="30">
        <f t="shared" si="61"/>
        <v>4.7588335479174644</v>
      </c>
      <c r="E78" s="30">
        <f t="shared" si="61"/>
        <v>4.7588335479174644</v>
      </c>
      <c r="F78" s="30">
        <f t="shared" si="61"/>
        <v>7.4074074074074066</v>
      </c>
      <c r="G78" s="30">
        <f t="shared" si="61"/>
        <v>4.057790813357343</v>
      </c>
      <c r="H78" s="30">
        <f t="shared" si="61"/>
        <v>3.8544005503883221</v>
      </c>
      <c r="I78" s="19" t="s">
        <v>6</v>
      </c>
    </row>
    <row r="79" spans="2:10" ht="16.5" hidden="1" outlineLevel="1" x14ac:dyDescent="0.35">
      <c r="B79" s="18" t="s">
        <v>116</v>
      </c>
      <c r="C79" s="30">
        <f t="shared" ref="C79:H79" si="62">+C25-C74</f>
        <v>-19.250823625446376</v>
      </c>
      <c r="D79" s="30">
        <f t="shared" si="62"/>
        <v>-18.96888589938392</v>
      </c>
      <c r="E79" s="30">
        <f t="shared" si="62"/>
        <v>-18.682145571892637</v>
      </c>
      <c r="F79" s="30">
        <f t="shared" si="62"/>
        <v>-3.7410220908530061</v>
      </c>
      <c r="G79" s="30">
        <f t="shared" si="62"/>
        <v>-20.971245762309241</v>
      </c>
      <c r="H79" s="30">
        <f t="shared" si="62"/>
        <v>-21.425906070721982</v>
      </c>
      <c r="I79" s="19" t="s">
        <v>14</v>
      </c>
    </row>
    <row r="80" spans="2:10" ht="16.5" collapsed="1" x14ac:dyDescent="0.35">
      <c r="B80" s="18" t="s">
        <v>119</v>
      </c>
      <c r="C80" s="29">
        <f t="shared" ref="C80:H80" si="63">+PI()/4*((C13/1000)^2-(C17/1000)^2)*(C54-C37)*10^5</f>
        <v>-16961.031915062162</v>
      </c>
      <c r="D80" s="29">
        <f t="shared" si="63"/>
        <v>-16961.031915062162</v>
      </c>
      <c r="E80" s="29">
        <f t="shared" si="63"/>
        <v>-16961.031915062162</v>
      </c>
      <c r="F80" s="29">
        <f t="shared" si="63"/>
        <v>-37265.053723148063</v>
      </c>
      <c r="G80" s="29">
        <f t="shared" si="63"/>
        <v>-12907.382755380937</v>
      </c>
      <c r="H80" s="29">
        <f t="shared" si="63"/>
        <v>-11836.114641789683</v>
      </c>
      <c r="I80" s="19" t="s">
        <v>120</v>
      </c>
    </row>
    <row r="81" spans="2:9" ht="16.5" x14ac:dyDescent="0.35">
      <c r="B81" s="18" t="s">
        <v>117</v>
      </c>
      <c r="C81" s="29">
        <f t="shared" ref="C81:H81" si="64">+C80+C26</f>
        <v>43038.968084937835</v>
      </c>
      <c r="D81" s="29">
        <f t="shared" si="64"/>
        <v>43038.968084937835</v>
      </c>
      <c r="E81" s="29">
        <f t="shared" si="64"/>
        <v>43038.968084937835</v>
      </c>
      <c r="F81" s="29">
        <f t="shared" si="64"/>
        <v>22734.946276851937</v>
      </c>
      <c r="G81" s="29">
        <f t="shared" si="64"/>
        <v>47092.617244619061</v>
      </c>
      <c r="H81" s="29">
        <f t="shared" si="64"/>
        <v>48163.885358210318</v>
      </c>
      <c r="I81" s="19" t="s">
        <v>123</v>
      </c>
    </row>
    <row r="82" spans="2:9" ht="16.5" x14ac:dyDescent="0.35">
      <c r="B82" s="18" t="s">
        <v>118</v>
      </c>
      <c r="C82" s="30">
        <f t="shared" ref="C82:H82" si="65">+C81/C26*100</f>
        <v>71.731613474896392</v>
      </c>
      <c r="D82" s="30">
        <f t="shared" si="65"/>
        <v>71.731613474896392</v>
      </c>
      <c r="E82" s="30">
        <f t="shared" si="65"/>
        <v>71.731613474896392</v>
      </c>
      <c r="F82" s="30">
        <f t="shared" si="65"/>
        <v>37.89157712808656</v>
      </c>
      <c r="G82" s="30">
        <f t="shared" si="65"/>
        <v>78.487695407698439</v>
      </c>
      <c r="H82" s="30">
        <f t="shared" si="65"/>
        <v>80.273142263683866</v>
      </c>
      <c r="I82" s="19" t="s">
        <v>15</v>
      </c>
    </row>
  </sheetData>
  <mergeCells count="1">
    <mergeCell ref="B11:I11"/>
  </mergeCells>
  <phoneticPr fontId="2" type="noConversion"/>
  <dataValidations count="5">
    <dataValidation type="decimal" allowBlank="1" showInputMessage="1" showErrorMessage="1" errorTitle="Error" error="Input selected is out of range 1 - 1.2." sqref="C40:H41" xr:uid="{AA65795C-EF94-49DC-B8FC-693395400845}">
      <formula1>1</formula1>
      <formula2>1.2</formula2>
    </dataValidation>
    <dataValidation type="list" allowBlank="1" showInputMessage="1" showErrorMessage="1" sqref="C42:H42" xr:uid="{CEA48CE4-DB00-485D-803B-EE4487C9B6D3}">
      <formula1>"rough, serrated, isotropic pattern"</formula1>
    </dataValidation>
    <dataValidation type="list" allowBlank="1" showInputMessage="1" showErrorMessage="1" errorTitle="Error" error="Select the case to be studied." sqref="I10" xr:uid="{DDB0DA11-DB83-4C77-9FC2-6BF9C96745A2}">
      <formula1>$C$8:$H$8</formula1>
    </dataValidation>
    <dataValidation type="decimal" allowBlank="1" showInputMessage="1" showErrorMessage="1" errorTitle="Error" error="Input out of range 0.005 - 0.01. Please select it within this range." sqref="F44" xr:uid="{E7CB3BBB-B48D-4343-A385-4197BABB95DD}">
      <formula1>0.005</formula1>
      <formula2>0.01</formula2>
    </dataValidation>
    <dataValidation type="decimal" allowBlank="1" showInputMessage="1" showErrorMessage="1" errorTitle="Error" error="Input out of range 0.01 - 0.03. Please select it within this range." sqref="H44" xr:uid="{02C3876D-9F4F-4CB4-8504-5992CD2CC7A4}">
      <formula1>0.005</formula1>
      <formula2>0.01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ommandButton6">
          <controlPr defaultSize="0" autoLine="0" r:id="rId5">
            <anchor moveWithCells="1" sizeWithCells="1">
              <from>
                <xdr:col>7</xdr:col>
                <xdr:colOff>0</xdr:colOff>
                <xdr:row>9</xdr:row>
                <xdr:rowOff>0</xdr:rowOff>
              </from>
              <to>
                <xdr:col>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36" r:id="rId4" name="CommandButton6"/>
      </mc:Fallback>
    </mc:AlternateContent>
    <mc:AlternateContent xmlns:mc="http://schemas.openxmlformats.org/markup-compatibility/2006">
      <mc:Choice Requires="x14">
        <control shapeId="1031" r:id="rId6" name="CommandButton5">
          <controlPr defaultSize="0" autoLine="0" r:id="rId7">
            <anchor moveWithCells="1" sizeWithCells="1">
              <from>
                <xdr:col>6</xdr:col>
                <xdr:colOff>0</xdr:colOff>
                <xdr:row>9</xdr:row>
                <xdr:rowOff>0</xdr:rowOff>
              </from>
              <to>
                <xdr:col>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31" r:id="rId6" name="CommandButton5"/>
      </mc:Fallback>
    </mc:AlternateContent>
    <mc:AlternateContent xmlns:mc="http://schemas.openxmlformats.org/markup-compatibility/2006">
      <mc:Choice Requires="x14">
        <control shapeId="1030" r:id="rId8" name="CommandButton4">
          <controlPr defaultSize="0" autoLine="0" r:id="rId9">
            <anchor moveWithCells="1" sizeWithCells="1">
              <from>
                <xdr:col>5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30" r:id="rId8" name="CommandButton4"/>
      </mc:Fallback>
    </mc:AlternateContent>
    <mc:AlternateContent xmlns:mc="http://schemas.openxmlformats.org/markup-compatibility/2006">
      <mc:Choice Requires="x14">
        <control shapeId="1029" r:id="rId10" name="CommandButton3">
          <controlPr defaultSize="0" autoLine="0" r:id="rId11">
            <anchor moveWithCells="1" siz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29" r:id="rId10" name="CommandButton3"/>
      </mc:Fallback>
    </mc:AlternateContent>
    <mc:AlternateContent xmlns:mc="http://schemas.openxmlformats.org/markup-compatibility/2006">
      <mc:Choice Requires="x14">
        <control shapeId="1028" r:id="rId12" name="CommandButton2">
          <controlPr defaultSize="0" autoLine="0" r:id="rId13">
            <anchor moveWithCells="1" sizeWithCells="1">
              <from>
                <xdr:col>3</xdr:col>
                <xdr:colOff>0</xdr:colOff>
                <xdr:row>9</xdr:row>
                <xdr:rowOff>0</xdr:rowOff>
              </from>
              <to>
                <xdr:col>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28" r:id="rId12" name="CommandButton2"/>
      </mc:Fallback>
    </mc:AlternateContent>
    <mc:AlternateContent xmlns:mc="http://schemas.openxmlformats.org/markup-compatibility/2006">
      <mc:Choice Requires="x14">
        <control shapeId="1026" r:id="rId14" name="CommandButton1">
          <controlPr defaultSize="0" autoLine="0" autoPict="0" r:id="rId15">
            <anchor moveWithCells="1" sizeWithCells="1">
              <from>
                <xdr:col>2</xdr:col>
                <xdr:colOff>0</xdr:colOff>
                <xdr:row>9</xdr:row>
                <xdr:rowOff>0</xdr:rowOff>
              </from>
              <to>
                <xdr:col>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26" r:id="rId1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22998-7CD5-4BCB-A97A-42AF35F5343A}">
  <sheetPr codeName="Foglio4"/>
  <dimension ref="A1:AE121"/>
  <sheetViews>
    <sheetView topLeftCell="A100" zoomScale="85" zoomScaleNormal="85" workbookViewId="0">
      <selection activeCell="D19" sqref="D19"/>
    </sheetView>
  </sheetViews>
  <sheetFormatPr defaultColWidth="9.1796875" defaultRowHeight="14.5" outlineLevelRow="1" outlineLevelCol="1" x14ac:dyDescent="0.35"/>
  <cols>
    <col min="1" max="1" width="2.7265625" customWidth="1"/>
    <col min="2" max="2" width="22.7265625" style="8" customWidth="1"/>
    <col min="3" max="3" width="15.7265625" style="7" customWidth="1"/>
    <col min="4" max="4" width="87" style="8" bestFit="1" customWidth="1"/>
    <col min="5" max="5" width="15.26953125" style="8" hidden="1" customWidth="1" outlineLevel="1"/>
    <col min="6" max="6" width="2.7265625" customWidth="1" collapsed="1"/>
    <col min="7" max="24" width="9.1796875" style="8"/>
    <col min="25" max="25" width="9.1796875" style="8" hidden="1" customWidth="1" outlineLevel="1"/>
    <col min="26" max="26" width="17.54296875" style="8" hidden="1" customWidth="1" outlineLevel="1"/>
    <col min="27" max="27" width="9.1796875" style="8" collapsed="1"/>
    <col min="28" max="16384" width="9.1796875" style="8"/>
  </cols>
  <sheetData>
    <row r="1" spans="2:31" x14ac:dyDescent="0.35">
      <c r="Y1" s="103" t="s">
        <v>159</v>
      </c>
      <c r="Z1" s="103"/>
    </row>
    <row r="2" spans="2:31" ht="23.5" x14ac:dyDescent="0.55000000000000004">
      <c r="B2" s="6" t="s">
        <v>124</v>
      </c>
      <c r="Y2" s="53">
        <v>0</v>
      </c>
      <c r="Z2" s="53">
        <v>0</v>
      </c>
    </row>
    <row r="3" spans="2:31" x14ac:dyDescent="0.35">
      <c r="U3"/>
      <c r="V3"/>
      <c r="W3"/>
      <c r="X3"/>
      <c r="Y3">
        <v>444.36666666666662</v>
      </c>
      <c r="Z3">
        <v>36.639200533439528</v>
      </c>
      <c r="AA3"/>
      <c r="AB3"/>
      <c r="AC3"/>
      <c r="AD3"/>
      <c r="AE3"/>
    </row>
    <row r="4" spans="2:31" x14ac:dyDescent="0.35">
      <c r="B4" s="9" t="s">
        <v>55</v>
      </c>
      <c r="C4" s="8"/>
      <c r="U4"/>
      <c r="V4"/>
      <c r="W4"/>
      <c r="X4"/>
      <c r="Y4">
        <v>433.1</v>
      </c>
      <c r="Z4">
        <v>36.485387363833333</v>
      </c>
      <c r="AA4"/>
      <c r="AB4"/>
      <c r="AC4"/>
      <c r="AD4"/>
      <c r="AE4"/>
    </row>
    <row r="5" spans="2:31" x14ac:dyDescent="0.35">
      <c r="B5" s="10" t="s">
        <v>53</v>
      </c>
      <c r="C5" s="8"/>
      <c r="T5"/>
      <c r="U5"/>
      <c r="V5"/>
      <c r="W5"/>
      <c r="X5"/>
      <c r="Y5">
        <v>421.83333333333326</v>
      </c>
      <c r="Z5">
        <v>36.335575491181409</v>
      </c>
      <c r="AA5"/>
      <c r="AB5"/>
      <c r="AC5"/>
      <c r="AD5"/>
      <c r="AE5"/>
    </row>
    <row r="6" spans="2:31" x14ac:dyDescent="0.35">
      <c r="B6" s="11" t="s">
        <v>54</v>
      </c>
      <c r="C6" s="8"/>
      <c r="T6"/>
      <c r="U6"/>
      <c r="V6"/>
      <c r="W6"/>
      <c r="X6"/>
      <c r="Y6">
        <v>410.56666666666661</v>
      </c>
      <c r="Z6">
        <v>36.189764915483757</v>
      </c>
      <c r="AA6"/>
      <c r="AB6"/>
      <c r="AC6"/>
      <c r="AD6"/>
      <c r="AE6"/>
    </row>
    <row r="7" spans="2:31" x14ac:dyDescent="0.35">
      <c r="B7" s="12" t="s">
        <v>61</v>
      </c>
      <c r="C7" s="8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>
        <v>399.2999999999999</v>
      </c>
      <c r="Z7">
        <v>36.047955636740383</v>
      </c>
      <c r="AA7"/>
      <c r="AB7"/>
      <c r="AC7"/>
      <c r="AD7"/>
      <c r="AE7"/>
    </row>
    <row r="8" spans="2:31" x14ac:dyDescent="0.35">
      <c r="B8" s="13" t="s">
        <v>62</v>
      </c>
      <c r="C8" s="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>
        <v>388.03333333333325</v>
      </c>
      <c r="Z8">
        <v>35.910147654951288</v>
      </c>
      <c r="AA8"/>
      <c r="AB8"/>
      <c r="AC8"/>
      <c r="AD8"/>
      <c r="AE8"/>
    </row>
    <row r="9" spans="2:31" x14ac:dyDescent="0.35"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>
        <v>376.76666666666654</v>
      </c>
      <c r="Z9">
        <v>35.776340970116458</v>
      </c>
      <c r="AA9"/>
      <c r="AB9"/>
      <c r="AC9"/>
      <c r="AD9"/>
      <c r="AE9"/>
    </row>
    <row r="10" spans="2:31" x14ac:dyDescent="0.35">
      <c r="B10" s="100" t="s">
        <v>71</v>
      </c>
      <c r="C10" s="101"/>
      <c r="D10" s="102"/>
      <c r="E10" s="17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>
        <v>365.49999999999989</v>
      </c>
      <c r="Z10">
        <v>35.646535582235913</v>
      </c>
      <c r="AA10"/>
      <c r="AB10"/>
      <c r="AC10"/>
      <c r="AD10"/>
      <c r="AE10"/>
    </row>
    <row r="11" spans="2:31" ht="16.5" x14ac:dyDescent="0.35">
      <c r="B11" s="18" t="s">
        <v>56</v>
      </c>
      <c r="C11" s="5">
        <v>450</v>
      </c>
      <c r="D11" s="19" t="s">
        <v>7</v>
      </c>
      <c r="E11" s="17" t="str">
        <f>+B11 &amp; " = " &amp;C11</f>
        <v>D2 [mm] = 450</v>
      </c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>
        <v>354.23333333333312</v>
      </c>
      <c r="Z11">
        <v>35.52073149130964</v>
      </c>
      <c r="AA11"/>
      <c r="AB11"/>
      <c r="AC11"/>
      <c r="AD11"/>
      <c r="AE11"/>
    </row>
    <row r="12" spans="2:31" ht="16.5" x14ac:dyDescent="0.35">
      <c r="B12" s="20" t="s">
        <v>72</v>
      </c>
      <c r="C12" s="5">
        <v>281</v>
      </c>
      <c r="D12" s="19" t="s">
        <v>73</v>
      </c>
      <c r="E12" s="17" t="str">
        <f t="shared" ref="E12:E14" si="0">+B12 &amp; " = " &amp;C12</f>
        <v>Dbd [mm] = 281</v>
      </c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>
        <v>342.96666666666653</v>
      </c>
      <c r="Z12">
        <v>35.398928697337638</v>
      </c>
      <c r="AA12"/>
      <c r="AB12"/>
      <c r="AC12"/>
      <c r="AD12"/>
      <c r="AE12"/>
    </row>
    <row r="13" spans="2:31" ht="16.5" x14ac:dyDescent="0.35">
      <c r="B13" s="20" t="s">
        <v>76</v>
      </c>
      <c r="C13" s="5">
        <v>0.28999999999999998</v>
      </c>
      <c r="D13" s="19" t="s">
        <v>74</v>
      </c>
      <c r="E13" s="17" t="str">
        <f>+B13 &amp; " = " &amp;C13</f>
        <v>sbd [mm] = 0.29</v>
      </c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>
        <v>331.69999999999976</v>
      </c>
      <c r="Z13">
        <v>35.281127200319915</v>
      </c>
      <c r="AA13"/>
      <c r="AB13"/>
      <c r="AC13"/>
      <c r="AD13"/>
      <c r="AE13"/>
    </row>
    <row r="14" spans="2:31" ht="16.5" x14ac:dyDescent="0.35">
      <c r="B14" s="20" t="s">
        <v>77</v>
      </c>
      <c r="C14" s="5">
        <v>24</v>
      </c>
      <c r="D14" s="19" t="s">
        <v>75</v>
      </c>
      <c r="E14" s="17" t="str">
        <f t="shared" si="0"/>
        <v>Lbd [mm] = 24</v>
      </c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>
        <v>320.43333333333311</v>
      </c>
      <c r="Z14">
        <v>35.167327000256471</v>
      </c>
      <c r="AA14"/>
      <c r="AB14"/>
      <c r="AC14"/>
      <c r="AD14"/>
      <c r="AE14"/>
    </row>
    <row r="15" spans="2:31" ht="16.5" x14ac:dyDescent="0.35">
      <c r="B15" s="20" t="s">
        <v>141</v>
      </c>
      <c r="C15" s="5">
        <v>16</v>
      </c>
      <c r="D15" s="54" t="s">
        <v>134</v>
      </c>
      <c r="E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>
        <v>309.1666666666664</v>
      </c>
      <c r="Z15">
        <v>35.057528097147298</v>
      </c>
      <c r="AA15"/>
      <c r="AB15"/>
      <c r="AC15"/>
      <c r="AD15"/>
      <c r="AE15"/>
    </row>
    <row r="16" spans="2:31" ht="16.5" x14ac:dyDescent="0.35">
      <c r="B16" s="20" t="s">
        <v>140</v>
      </c>
      <c r="C16" s="5">
        <v>16</v>
      </c>
      <c r="D16" s="54" t="s">
        <v>135</v>
      </c>
      <c r="E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>
        <v>297.89999999999975</v>
      </c>
      <c r="Z16">
        <v>34.951730490992396</v>
      </c>
      <c r="AA16"/>
      <c r="AB16"/>
      <c r="AC16"/>
      <c r="AD16"/>
      <c r="AE16"/>
    </row>
    <row r="17" spans="2:31" ht="16.5" x14ac:dyDescent="0.35">
      <c r="B17" s="20" t="s">
        <v>136</v>
      </c>
      <c r="C17" s="5">
        <v>12</v>
      </c>
      <c r="D17" s="54" t="s">
        <v>137</v>
      </c>
      <c r="E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>
        <v>286.63333333333304</v>
      </c>
      <c r="Z17">
        <v>34.849934181791774</v>
      </c>
      <c r="AA17"/>
      <c r="AB17"/>
      <c r="AC17"/>
      <c r="AD17"/>
      <c r="AE17"/>
    </row>
    <row r="18" spans="2:31" ht="16.5" x14ac:dyDescent="0.35">
      <c r="B18" s="20" t="s">
        <v>138</v>
      </c>
      <c r="C18" s="5">
        <v>211</v>
      </c>
      <c r="D18" s="54" t="s">
        <v>139</v>
      </c>
      <c r="E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2:31" ht="16.5" x14ac:dyDescent="0.35">
      <c r="B19" s="18" t="s">
        <v>149</v>
      </c>
      <c r="C19" s="1">
        <v>30</v>
      </c>
      <c r="D19" s="54" t="s">
        <v>150</v>
      </c>
      <c r="E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2:31" ht="16.5" x14ac:dyDescent="0.35">
      <c r="B20" s="18" t="s">
        <v>151</v>
      </c>
      <c r="C20" s="1">
        <v>15</v>
      </c>
      <c r="D20" s="54" t="s">
        <v>152</v>
      </c>
      <c r="E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2:31" ht="16.5" x14ac:dyDescent="0.35">
      <c r="B21" s="18" t="s">
        <v>64</v>
      </c>
      <c r="C21" s="1">
        <v>0.75</v>
      </c>
      <c r="D21" s="19" t="s">
        <v>63</v>
      </c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2:31" ht="16.5" x14ac:dyDescent="0.35">
      <c r="B22" s="20" t="s">
        <v>160</v>
      </c>
      <c r="C22" s="5">
        <v>150</v>
      </c>
      <c r="D22" s="19" t="s">
        <v>161</v>
      </c>
      <c r="E22" s="17" t="str">
        <f t="shared" ref="E22" si="1">+B22 &amp; " = " &amp;C22</f>
        <v>Dshaft [mm] = 150</v>
      </c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2:31" x14ac:dyDescent="0.35"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2:31" x14ac:dyDescent="0.35">
      <c r="B24" s="14" t="s">
        <v>70</v>
      </c>
      <c r="C24" s="15"/>
      <c r="D24" s="16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2:31" ht="16.5" x14ac:dyDescent="0.35">
      <c r="B25" s="21" t="s">
        <v>95</v>
      </c>
      <c r="C25" s="1">
        <v>270</v>
      </c>
      <c r="D25" s="19" t="s">
        <v>2</v>
      </c>
      <c r="E25" s="17" t="str">
        <f>+B25 &amp; " = " &amp;C25</f>
        <v>Q [m3/h] = 270</v>
      </c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2:31" x14ac:dyDescent="0.35">
      <c r="B26" s="18" t="s">
        <v>4</v>
      </c>
      <c r="C26" s="1">
        <v>395</v>
      </c>
      <c r="D26" s="19" t="s">
        <v>5</v>
      </c>
      <c r="E26" s="17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2:31" x14ac:dyDescent="0.35">
      <c r="B27" s="18" t="s">
        <v>8</v>
      </c>
      <c r="C27" s="1">
        <v>2980</v>
      </c>
      <c r="D27" s="19" t="s">
        <v>9</v>
      </c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2:31" ht="16.5" x14ac:dyDescent="0.35">
      <c r="B28" s="18" t="s">
        <v>96</v>
      </c>
      <c r="C28" s="1">
        <v>1000</v>
      </c>
      <c r="D28" s="19" t="s">
        <v>10</v>
      </c>
      <c r="E28" s="17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2:31" ht="18" customHeight="1" x14ac:dyDescent="0.35">
      <c r="B29" s="18" t="s">
        <v>11</v>
      </c>
      <c r="C29" s="1">
        <v>1E-3</v>
      </c>
      <c r="D29" s="19" t="s">
        <v>12</v>
      </c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2:31" ht="16.5" x14ac:dyDescent="0.35">
      <c r="B30" s="18" t="s">
        <v>97</v>
      </c>
      <c r="C30" s="22">
        <v>9.9999999999999995E-7</v>
      </c>
      <c r="D30" s="19" t="s">
        <v>13</v>
      </c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2:31" ht="16.5" x14ac:dyDescent="0.35">
      <c r="B31" s="18" t="s">
        <v>122</v>
      </c>
      <c r="C31" s="2">
        <v>1.5</v>
      </c>
      <c r="D31" s="19" t="s">
        <v>16</v>
      </c>
      <c r="E31" s="17" t="str">
        <f>+B31 &amp; " = " &amp; ROUND(C31,1)</f>
        <v>psuction [barg] = 1.5</v>
      </c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2:31" ht="16.5" x14ac:dyDescent="0.35">
      <c r="B32" s="18" t="s">
        <v>98</v>
      </c>
      <c r="C32" s="4">
        <v>45000</v>
      </c>
      <c r="D32" s="19" t="s">
        <v>17</v>
      </c>
      <c r="E32" s="17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2:31" ht="16.5" x14ac:dyDescent="0.35">
      <c r="B33" s="18" t="s">
        <v>60</v>
      </c>
      <c r="C33" s="1">
        <v>5</v>
      </c>
      <c r="D33" s="19" t="s">
        <v>83</v>
      </c>
      <c r="E33" s="17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2:31" ht="16.5" x14ac:dyDescent="0.35">
      <c r="B34" s="20" t="s">
        <v>142</v>
      </c>
      <c r="C34" s="5">
        <v>0.15</v>
      </c>
      <c r="D34" s="54" t="s">
        <v>143</v>
      </c>
      <c r="E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2:31" ht="16.5" x14ac:dyDescent="0.35">
      <c r="B35" s="20" t="s">
        <v>144</v>
      </c>
      <c r="C35" s="5">
        <v>0.15</v>
      </c>
      <c r="D35" s="54" t="s">
        <v>145</v>
      </c>
      <c r="E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2:31" x14ac:dyDescent="0.35">
      <c r="B36" s="23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2:31" x14ac:dyDescent="0.35">
      <c r="B37" s="100" t="s">
        <v>148</v>
      </c>
      <c r="C37" s="101"/>
      <c r="D37" s="102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2:31" x14ac:dyDescent="0.35">
      <c r="B38" s="18" t="s">
        <v>57</v>
      </c>
      <c r="C38" s="1">
        <v>0.1</v>
      </c>
      <c r="D38" s="19" t="s">
        <v>58</v>
      </c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2:31" ht="16.5" x14ac:dyDescent="0.35">
      <c r="B39" s="18" t="s">
        <v>146</v>
      </c>
      <c r="C39" s="1">
        <v>15</v>
      </c>
      <c r="D39" s="19" t="s">
        <v>147</v>
      </c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2:31" x14ac:dyDescent="0.35"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2:31" x14ac:dyDescent="0.35">
      <c r="B41" s="24" t="s">
        <v>0</v>
      </c>
      <c r="C41" s="25"/>
      <c r="D41" s="26"/>
      <c r="F41" s="8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2:31" ht="16.5" x14ac:dyDescent="0.35">
      <c r="B42" s="18" t="s">
        <v>99</v>
      </c>
      <c r="C42" s="27">
        <f>+C28*9.806*C26/C33*(C33-1+C21)*10^-5</f>
        <v>36.797015000000002</v>
      </c>
      <c r="D42" s="19" t="s">
        <v>153</v>
      </c>
      <c r="E42" s="17" t="str">
        <f>+B42 &amp; " = " &amp; ROUND(C42,1)</f>
        <v>p2 [barg] = 36.8</v>
      </c>
      <c r="F42" s="8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2:31" ht="18" customHeight="1" x14ac:dyDescent="0.35">
      <c r="B43" s="20" t="s">
        <v>65</v>
      </c>
      <c r="C43" s="28">
        <f>+C27*2*PI()/60*(C11/2000)</f>
        <v>70.214595807731882</v>
      </c>
      <c r="D43" s="19" t="s">
        <v>66</v>
      </c>
      <c r="E43" s="17"/>
    </row>
    <row r="44" spans="2:31" ht="16.5" x14ac:dyDescent="0.35">
      <c r="B44" s="20" t="s">
        <v>78</v>
      </c>
      <c r="C44" s="29">
        <f>+C43*(C11/1000)/2/C30</f>
        <v>15798284.056739673</v>
      </c>
      <c r="D44" s="19" t="s">
        <v>67</v>
      </c>
      <c r="E44" s="17"/>
    </row>
    <row r="45" spans="2:31" ht="16.5" x14ac:dyDescent="0.35">
      <c r="B45" s="20" t="s">
        <v>81</v>
      </c>
      <c r="C45" s="30">
        <f>+C12/C11</f>
        <v>0.62444444444444447</v>
      </c>
      <c r="D45" s="19" t="s">
        <v>82</v>
      </c>
      <c r="E45" s="17"/>
    </row>
    <row r="46" spans="2:31" ht="15" customHeight="1" x14ac:dyDescent="0.35">
      <c r="B46" s="23"/>
      <c r="C46" s="8"/>
      <c r="E46" s="17"/>
    </row>
    <row r="47" spans="2:31" ht="18" customHeight="1" x14ac:dyDescent="0.35">
      <c r="B47" s="104" t="s">
        <v>133</v>
      </c>
      <c r="C47" s="105"/>
      <c r="D47" s="106"/>
      <c r="E47"/>
    </row>
    <row r="48" spans="2:31" ht="15" customHeight="1" x14ac:dyDescent="0.35">
      <c r="B48" s="18" t="s">
        <v>19</v>
      </c>
      <c r="C48" s="1">
        <v>0.04</v>
      </c>
      <c r="D48" s="54" t="s">
        <v>20</v>
      </c>
      <c r="E48"/>
    </row>
    <row r="49" spans="2:5" ht="15" customHeight="1" x14ac:dyDescent="0.35">
      <c r="B49" s="18" t="s">
        <v>87</v>
      </c>
      <c r="C49" s="1">
        <v>0</v>
      </c>
      <c r="D49" s="54" t="s">
        <v>21</v>
      </c>
      <c r="E49"/>
    </row>
    <row r="50" spans="2:5" ht="18" customHeight="1" x14ac:dyDescent="0.35">
      <c r="B50" s="18" t="s">
        <v>125</v>
      </c>
      <c r="C50" s="1" t="s">
        <v>126</v>
      </c>
      <c r="D50" s="54" t="s">
        <v>127</v>
      </c>
      <c r="E50">
        <f>+IF(C50="open", 1,0)</f>
        <v>1</v>
      </c>
    </row>
    <row r="51" spans="2:5" ht="18" hidden="1" customHeight="1" outlineLevel="1" x14ac:dyDescent="0.35">
      <c r="B51" s="18" t="s">
        <v>88</v>
      </c>
      <c r="C51" s="28">
        <f>C103/(PI()*C12*C13)/3600*1000000</f>
        <v>19.345423900253735</v>
      </c>
      <c r="D51" s="54" t="s">
        <v>22</v>
      </c>
      <c r="E51"/>
    </row>
    <row r="52" spans="2:5" ht="18" hidden="1" customHeight="1" outlineLevel="1" x14ac:dyDescent="0.35">
      <c r="B52" s="18" t="s">
        <v>23</v>
      </c>
      <c r="C52" s="29">
        <f>2*C13*C51/C30/1000</f>
        <v>11220.345862147167</v>
      </c>
      <c r="D52" s="19" t="s">
        <v>24</v>
      </c>
      <c r="E52"/>
    </row>
    <row r="53" spans="2:5" ht="18" hidden="1" customHeight="1" outlineLevel="1" x14ac:dyDescent="0.35">
      <c r="B53" s="18" t="s">
        <v>89</v>
      </c>
      <c r="C53" s="29">
        <f>2*C13*(PI()*C12*C27/60)/C30/1000000</f>
        <v>25430.166277209199</v>
      </c>
      <c r="D53" s="19" t="s">
        <v>25</v>
      </c>
      <c r="E53"/>
    </row>
    <row r="54" spans="2:5" ht="18" hidden="1" customHeight="1" outlineLevel="1" x14ac:dyDescent="0.35">
      <c r="B54" s="18" t="s">
        <v>26</v>
      </c>
      <c r="C54" s="31">
        <f>0.135*C48/C13</f>
        <v>1.8620689655172416E-2</v>
      </c>
      <c r="D54" s="19" t="s">
        <v>27</v>
      </c>
      <c r="E54"/>
    </row>
    <row r="55" spans="2:5" ht="18" hidden="1" customHeight="1" outlineLevel="1" x14ac:dyDescent="0.35">
      <c r="B55" s="18" t="s">
        <v>90</v>
      </c>
      <c r="C55" s="32">
        <f>96/C52*(1-0.6*C49/C13)</f>
        <v>8.5558859931282975E-3</v>
      </c>
      <c r="D55" s="19" t="s">
        <v>28</v>
      </c>
      <c r="E55"/>
    </row>
    <row r="56" spans="2:5" ht="18" hidden="1" customHeight="1" outlineLevel="1" x14ac:dyDescent="0.35">
      <c r="B56" s="18" t="s">
        <v>91</v>
      </c>
      <c r="C56" s="32">
        <f>C55*(1+0.2*(C53/2000)^1.03)</f>
        <v>3.2038355386656052E-2</v>
      </c>
      <c r="D56" s="19" t="s">
        <v>29</v>
      </c>
      <c r="E56"/>
    </row>
    <row r="57" spans="2:5" ht="16.5" hidden="1" outlineLevel="1" x14ac:dyDescent="0.35">
      <c r="B57" s="18" t="s">
        <v>90</v>
      </c>
      <c r="C57" s="32">
        <f>0.31/(LOG(C54+6.5/C52))^2</f>
        <v>0.10518975353854272</v>
      </c>
      <c r="D57" s="19" t="s">
        <v>30</v>
      </c>
      <c r="E57"/>
    </row>
    <row r="58" spans="2:5" ht="16.5" hidden="1" outlineLevel="1" x14ac:dyDescent="0.35">
      <c r="B58" s="18" t="s">
        <v>92</v>
      </c>
      <c r="C58" s="32">
        <f>C57*(1+0.19*(C53/C52)^2)^0.375</f>
        <v>0.13579745517840799</v>
      </c>
      <c r="D58" s="19" t="s">
        <v>31</v>
      </c>
      <c r="E58"/>
    </row>
    <row r="59" spans="2:5" hidden="1" outlineLevel="1" x14ac:dyDescent="0.35">
      <c r="B59" s="18" t="s">
        <v>32</v>
      </c>
      <c r="C59" s="32">
        <f>IF(C52&gt;2000,C58,C56)</f>
        <v>0.13579745517840799</v>
      </c>
      <c r="D59" s="19" t="s">
        <v>33</v>
      </c>
      <c r="E59"/>
    </row>
    <row r="60" spans="2:5" ht="16.5" hidden="1" outlineLevel="1" x14ac:dyDescent="0.35">
      <c r="B60" s="20" t="s">
        <v>128</v>
      </c>
      <c r="C60" s="32">
        <f>1/(1+(C18/(C11/2))^2*(((C18/(C11/2))+5*(C17/(C11/2)))*(C34/C35))^0.5)</f>
        <v>0.50886790202885712</v>
      </c>
      <c r="D60" s="19" t="s">
        <v>129</v>
      </c>
      <c r="E60"/>
    </row>
    <row r="61" spans="2:5" ht="16.5" hidden="1" outlineLevel="1" x14ac:dyDescent="0.35">
      <c r="B61" s="20" t="s">
        <v>130</v>
      </c>
      <c r="C61" s="22">
        <f>C103/3600/(PI()*(C11/2000)^2*C43)</f>
        <v>4.4349643373920643E-4</v>
      </c>
      <c r="D61" s="19" t="s">
        <v>131</v>
      </c>
      <c r="E61"/>
    </row>
    <row r="62" spans="2:5" ht="18" hidden="1" customHeight="1" outlineLevel="1" x14ac:dyDescent="0.35">
      <c r="B62" s="20" t="s">
        <v>89</v>
      </c>
      <c r="C62" s="29">
        <f>+C43*(C11/2000)/C30</f>
        <v>15798284.056739673</v>
      </c>
      <c r="D62" s="19" t="s">
        <v>132</v>
      </c>
      <c r="E62"/>
    </row>
    <row r="63" spans="2:5" ht="18" customHeight="1" collapsed="1" x14ac:dyDescent="0.35">
      <c r="B63" s="18" t="s">
        <v>94</v>
      </c>
      <c r="C63" s="30" cm="1">
        <f t="array" ref="C63">shroud_inwards(0,C39,C45,C61,C62,C60,C15,C16,C43,C19,C20,C11,C42,C28,E50)</f>
        <v>34.849934181791774</v>
      </c>
      <c r="D63" s="19" t="s">
        <v>84</v>
      </c>
      <c r="E63" s="17" t="str">
        <f>+B63 &amp; " = " &amp; ROUND(C63,1)</f>
        <v>p2* [barg] = 34,8</v>
      </c>
    </row>
    <row r="64" spans="2:5" ht="15" customHeight="1" x14ac:dyDescent="0.35">
      <c r="C64" s="8"/>
      <c r="E64"/>
    </row>
    <row r="65" spans="2:5" x14ac:dyDescent="0.35">
      <c r="B65" s="100" t="s">
        <v>59</v>
      </c>
      <c r="C65" s="101"/>
      <c r="D65" s="102"/>
      <c r="E65"/>
    </row>
    <row r="66" spans="2:5" ht="18" customHeight="1" x14ac:dyDescent="0.35">
      <c r="B66" s="18" t="s">
        <v>86</v>
      </c>
      <c r="C66" s="3">
        <v>1.2</v>
      </c>
      <c r="D66" s="19" t="s">
        <v>18</v>
      </c>
    </row>
    <row r="67" spans="2:5" ht="18" customHeight="1" x14ac:dyDescent="0.35">
      <c r="B67" s="18" t="s">
        <v>87</v>
      </c>
      <c r="C67" s="1">
        <v>0</v>
      </c>
      <c r="D67" s="19" t="s">
        <v>21</v>
      </c>
    </row>
    <row r="68" spans="2:5" ht="18" customHeight="1" x14ac:dyDescent="0.35">
      <c r="B68" s="18" t="s">
        <v>166</v>
      </c>
      <c r="C68" s="1" t="s">
        <v>172</v>
      </c>
      <c r="D68" s="54" t="s">
        <v>175</v>
      </c>
    </row>
    <row r="69" spans="2:5" ht="15" customHeight="1" x14ac:dyDescent="0.35">
      <c r="B69" s="18" t="s">
        <v>19</v>
      </c>
      <c r="C69" s="30" t="s">
        <v>173</v>
      </c>
      <c r="D69" s="19" t="s">
        <v>20</v>
      </c>
    </row>
    <row r="70" spans="2:5" ht="18" customHeight="1" x14ac:dyDescent="0.35">
      <c r="B70" s="18" t="s">
        <v>26</v>
      </c>
      <c r="C70" s="2">
        <v>1.4999999999999999E-2</v>
      </c>
      <c r="D70" s="19" t="s">
        <v>174</v>
      </c>
    </row>
    <row r="71" spans="2:5" ht="18" hidden="1" customHeight="1" outlineLevel="1" x14ac:dyDescent="0.35">
      <c r="B71" s="18" t="s">
        <v>88</v>
      </c>
      <c r="C71" s="28">
        <f>$C$103/(PI()*C13*C12)/3600*1000000</f>
        <v>19.345423900253735</v>
      </c>
      <c r="D71" s="19" t="s">
        <v>22</v>
      </c>
    </row>
    <row r="72" spans="2:5" ht="18" hidden="1" customHeight="1" outlineLevel="1" x14ac:dyDescent="0.35">
      <c r="B72" s="18" t="s">
        <v>23</v>
      </c>
      <c r="C72" s="29">
        <f>2*C13*C71/C30/1000</f>
        <v>11220.345862147167</v>
      </c>
      <c r="D72" s="19" t="s">
        <v>24</v>
      </c>
    </row>
    <row r="73" spans="2:5" ht="18" hidden="1" customHeight="1" outlineLevel="1" x14ac:dyDescent="0.35">
      <c r="B73" s="18" t="s">
        <v>89</v>
      </c>
      <c r="C73" s="29">
        <f>2*C13*(PI()*C12*C27/60)/C30/1000000</f>
        <v>25430.166277209199</v>
      </c>
      <c r="D73" s="19" t="s">
        <v>25</v>
      </c>
    </row>
    <row r="74" spans="2:5" ht="15" hidden="1" customHeight="1" outlineLevel="1" x14ac:dyDescent="0.35">
      <c r="B74" s="18" t="s">
        <v>90</v>
      </c>
      <c r="C74" s="32">
        <f>96/C72*(1-0.6*C67/C13)</f>
        <v>8.5558859931282975E-3</v>
      </c>
      <c r="D74" s="19" t="s">
        <v>28</v>
      </c>
    </row>
    <row r="75" spans="2:5" ht="15" hidden="1" customHeight="1" outlineLevel="1" x14ac:dyDescent="0.35">
      <c r="B75" s="18" t="s">
        <v>91</v>
      </c>
      <c r="C75" s="32">
        <f>C74*(1+0.2*(C73/2000)^1.03)</f>
        <v>3.2038355386656052E-2</v>
      </c>
      <c r="D75" s="19" t="s">
        <v>29</v>
      </c>
    </row>
    <row r="76" spans="2:5" ht="18" hidden="1" customHeight="1" outlineLevel="1" x14ac:dyDescent="0.35">
      <c r="B76" s="18" t="s">
        <v>90</v>
      </c>
      <c r="C76" s="32">
        <f>0.31/(LOG(C70+6.5/C72))^2</f>
        <v>9.4891690532501141E-2</v>
      </c>
      <c r="D76" s="19" t="s">
        <v>30</v>
      </c>
    </row>
    <row r="77" spans="2:5" ht="16.5" hidden="1" outlineLevel="1" x14ac:dyDescent="0.35">
      <c r="B77" s="18" t="s">
        <v>92</v>
      </c>
      <c r="C77" s="32">
        <f>C76*(1+0.19*(C73/C72)^2)^0.375</f>
        <v>0.12250290221631797</v>
      </c>
      <c r="D77" s="19" t="s">
        <v>31</v>
      </c>
    </row>
    <row r="78" spans="2:5" hidden="1" outlineLevel="1" x14ac:dyDescent="0.35">
      <c r="B78" s="18" t="s">
        <v>32</v>
      </c>
      <c r="C78" s="32">
        <f>IF(C72&gt;2000,C77,C75)</f>
        <v>0.12250290221631797</v>
      </c>
      <c r="D78" s="19" t="s">
        <v>33</v>
      </c>
    </row>
    <row r="79" spans="2:5" ht="16.5" collapsed="1" x14ac:dyDescent="0.35">
      <c r="B79" s="18" t="s">
        <v>93</v>
      </c>
      <c r="C79" s="32">
        <f>+C28/2*(C71^2*(C66+C78*C14/(2*C13)))*0.00001</f>
        <v>11.730883068016336</v>
      </c>
      <c r="D79" s="19" t="s">
        <v>176</v>
      </c>
    </row>
    <row r="80" spans="2:5" ht="16.5" x14ac:dyDescent="0.35">
      <c r="B80" s="18" t="s">
        <v>121</v>
      </c>
      <c r="C80" s="27">
        <f>+C63-C79</f>
        <v>23.119051113775438</v>
      </c>
      <c r="D80" s="19" t="s">
        <v>163</v>
      </c>
      <c r="E80" s="17" t="str">
        <f>+B80 &amp; " = " &amp; ROUND(C80,1)</f>
        <v>pbd [barg] = 23,1</v>
      </c>
    </row>
    <row r="81" spans="2:5" x14ac:dyDescent="0.35">
      <c r="B81" s="23"/>
      <c r="E81" s="17"/>
    </row>
    <row r="82" spans="2:5" x14ac:dyDescent="0.35">
      <c r="B82" s="100" t="s">
        <v>34</v>
      </c>
      <c r="C82" s="101"/>
      <c r="D82" s="102"/>
      <c r="E82" s="17"/>
    </row>
    <row r="83" spans="2:5" ht="16.5" x14ac:dyDescent="0.35">
      <c r="B83" s="21" t="s">
        <v>100</v>
      </c>
      <c r="C83" s="1">
        <v>12</v>
      </c>
      <c r="D83" s="19" t="s">
        <v>35</v>
      </c>
      <c r="E83" s="17" t="str">
        <f>+B83 &amp; " = " &amp; C83</f>
        <v>dorifice [mm] = 12</v>
      </c>
    </row>
    <row r="84" spans="2:5" ht="16.5" hidden="1" outlineLevel="1" x14ac:dyDescent="0.35">
      <c r="B84" s="18" t="s">
        <v>101</v>
      </c>
      <c r="C84" s="1">
        <v>18.850000000000001</v>
      </c>
      <c r="D84" s="19" t="s">
        <v>36</v>
      </c>
      <c r="E84" s="17"/>
    </row>
    <row r="85" spans="2:5" ht="16.5" hidden="1" outlineLevel="1" x14ac:dyDescent="0.35">
      <c r="B85" s="18" t="s">
        <v>102</v>
      </c>
      <c r="C85" s="33">
        <f>+C103/3600/C88*1000000</f>
        <v>43.790516489768798</v>
      </c>
      <c r="D85" s="19" t="s">
        <v>37</v>
      </c>
    </row>
    <row r="86" spans="2:5" ht="16.5" hidden="1" outlineLevel="1" x14ac:dyDescent="0.35">
      <c r="B86" s="18" t="s">
        <v>103</v>
      </c>
      <c r="C86" s="33">
        <f>+C103/3600/C89*1000000</f>
        <v>17.746791645692873</v>
      </c>
      <c r="D86" s="19" t="s">
        <v>38</v>
      </c>
      <c r="E86" s="17"/>
    </row>
    <row r="87" spans="2:5" hidden="1" outlineLevel="1" x14ac:dyDescent="0.35">
      <c r="B87" s="18" t="s">
        <v>39</v>
      </c>
      <c r="C87" s="33">
        <f>+C83/C84</f>
        <v>0.63660477453580899</v>
      </c>
      <c r="D87" s="19" t="s">
        <v>40</v>
      </c>
      <c r="E87" s="17"/>
    </row>
    <row r="88" spans="2:5" ht="16.5" hidden="1" outlineLevel="1" x14ac:dyDescent="0.35">
      <c r="B88" s="18" t="s">
        <v>104</v>
      </c>
      <c r="C88" s="33">
        <f>+C83^2/4*PI()</f>
        <v>113.09733552923255</v>
      </c>
      <c r="D88" s="19" t="s">
        <v>41</v>
      </c>
      <c r="E88" s="17"/>
    </row>
    <row r="89" spans="2:5" ht="16.5" hidden="1" outlineLevel="1" x14ac:dyDescent="0.35">
      <c r="B89" s="18" t="s">
        <v>105</v>
      </c>
      <c r="C89" s="33">
        <f>+C84^2/4*PI()</f>
        <v>279.06963891378984</v>
      </c>
      <c r="D89" s="19" t="s">
        <v>42</v>
      </c>
      <c r="E89" s="17"/>
    </row>
    <row r="90" spans="2:5" ht="16.5" hidden="1" outlineLevel="1" x14ac:dyDescent="0.35">
      <c r="B90" s="18" t="s">
        <v>106</v>
      </c>
      <c r="C90" s="33">
        <f>+C83/1000*C85/$C$30</f>
        <v>525486.19787722558</v>
      </c>
      <c r="D90" s="19" t="s">
        <v>43</v>
      </c>
      <c r="E90" s="17"/>
    </row>
    <row r="91" spans="2:5" ht="16.5" hidden="1" outlineLevel="1" x14ac:dyDescent="0.35">
      <c r="B91" s="18" t="s">
        <v>107</v>
      </c>
      <c r="C91" s="33">
        <f>+C84/1000*C86/$C$30</f>
        <v>334527.02252131072</v>
      </c>
      <c r="D91" s="19" t="s">
        <v>44</v>
      </c>
      <c r="E91" s="17"/>
    </row>
    <row r="92" spans="2:5" hidden="1" outlineLevel="1" x14ac:dyDescent="0.35">
      <c r="B92" s="18" t="s">
        <v>26</v>
      </c>
      <c r="C92" s="33">
        <f>+(19000*C87/C91)^0.8</f>
        <v>7.0235039321051185E-2</v>
      </c>
      <c r="D92" s="19"/>
      <c r="E92" s="17"/>
    </row>
    <row r="93" spans="2:5" ht="16.5" hidden="1" outlineLevel="1" x14ac:dyDescent="0.35">
      <c r="B93" s="18" t="s">
        <v>108</v>
      </c>
      <c r="C93" s="33">
        <v>0</v>
      </c>
      <c r="D93" s="19" t="s">
        <v>45</v>
      </c>
      <c r="E93" s="17"/>
    </row>
    <row r="94" spans="2:5" ht="16.5" hidden="1" outlineLevel="1" x14ac:dyDescent="0.35">
      <c r="B94" s="18" t="s">
        <v>109</v>
      </c>
      <c r="C94" s="33">
        <v>0</v>
      </c>
      <c r="D94" s="19" t="s">
        <v>46</v>
      </c>
      <c r="E94" s="17" t="str">
        <f>+B80 &amp; " = " &amp; ROUND(C80,1)</f>
        <v>pbd [barg] = 23,1</v>
      </c>
    </row>
    <row r="95" spans="2:5" ht="16.5" hidden="1" outlineLevel="1" x14ac:dyDescent="0.35">
      <c r="B95" s="18" t="s">
        <v>110</v>
      </c>
      <c r="C95" s="33">
        <f>+C93/C83</f>
        <v>0</v>
      </c>
      <c r="D95" s="19"/>
      <c r="E95" s="17"/>
    </row>
    <row r="96" spans="2:5" ht="16.5" hidden="1" outlineLevel="1" x14ac:dyDescent="0.35">
      <c r="B96" s="18" t="s">
        <v>111</v>
      </c>
      <c r="C96" s="33">
        <f>C94/C83</f>
        <v>0</v>
      </c>
      <c r="D96" s="19"/>
      <c r="E96" s="17"/>
    </row>
    <row r="97" spans="2:5" hidden="1" outlineLevel="1" x14ac:dyDescent="0.35">
      <c r="B97" s="18" t="s">
        <v>47</v>
      </c>
      <c r="C97" s="33">
        <f>2*C96/(1-C87)</f>
        <v>0</v>
      </c>
      <c r="D97" s="19"/>
      <c r="E97" s="17" t="str">
        <f>+B83 &amp; " = " &amp; ROUND(C83,1)</f>
        <v>dorifice [mm] = 12</v>
      </c>
    </row>
    <row r="98" spans="2:5" collapsed="1" x14ac:dyDescent="0.35">
      <c r="B98" s="18" t="s">
        <v>48</v>
      </c>
      <c r="C98" s="33">
        <f xml:space="preserve"> 0.5961+0.0261*C87^2-0.216*C87^8+0.000521*(C87*10^6/C90)^0.7+(0.0188+0.0063*C92)*C87^3.5*(10^6/C90)^0.3+(0.043+0.08*EXP(-10*C95)-0.123*EXP(-7*C95))*(1-0.11*C92)*C87^4/(1-C87^4)-0.031*(C97-0.8*C97^1.1)*C87^1.3+IF(C84&lt;71.12,0.011*(0.75-C87)*(2.8-C84/25.4),0)</f>
        <v>0.60881800061397984</v>
      </c>
      <c r="D98" s="19" t="s">
        <v>49</v>
      </c>
      <c r="E98" s="17"/>
    </row>
    <row r="99" spans="2:5" ht="16.5" x14ac:dyDescent="0.35">
      <c r="B99" s="18" t="s">
        <v>112</v>
      </c>
      <c r="C99" s="33">
        <f>IF(C83&lt;=C84,C103^2/(2*$C$28)*(1-C87^4)/(C98^2*C88^2)*$C$28^2/3600^2*10^12/10^5,0)</f>
        <v>21.619051113775441</v>
      </c>
      <c r="D99" s="19" t="s">
        <v>50</v>
      </c>
      <c r="E99" s="17" t="str">
        <f>+B99 &amp; " = " &amp; ROUND(C99,1)</f>
        <v>∆porifice [bar] = 21.6</v>
      </c>
    </row>
    <row r="100" spans="2:5" ht="16.5" x14ac:dyDescent="0.35">
      <c r="B100" s="18" t="s">
        <v>113</v>
      </c>
      <c r="C100" s="33">
        <f>+C80-C99</f>
        <v>1.4999999999999964</v>
      </c>
      <c r="D100" s="19" t="s">
        <v>85</v>
      </c>
      <c r="E100" s="17"/>
    </row>
    <row r="101" spans="2:5" x14ac:dyDescent="0.35">
      <c r="B101" s="23"/>
      <c r="E101" s="17"/>
    </row>
    <row r="102" spans="2:5" x14ac:dyDescent="0.35">
      <c r="B102" s="100" t="s">
        <v>1</v>
      </c>
      <c r="C102" s="101"/>
      <c r="D102" s="102"/>
      <c r="E102" s="17"/>
    </row>
    <row r="103" spans="2:5" ht="16.5" x14ac:dyDescent="0.35">
      <c r="B103" s="21" t="s">
        <v>114</v>
      </c>
      <c r="C103" s="33">
        <v>17.829326651190382</v>
      </c>
      <c r="D103" s="19" t="s">
        <v>3</v>
      </c>
      <c r="E103" s="17" t="str">
        <f>+B103 &amp; " = " &amp; ROUND(C103,1)</f>
        <v>Qleakage [m3/h] = 17.8</v>
      </c>
    </row>
    <row r="104" spans="2:5" ht="16.5" x14ac:dyDescent="0.35">
      <c r="B104" s="18" t="s">
        <v>115</v>
      </c>
      <c r="C104" s="33">
        <f>+C103/C25</f>
        <v>6.6034543152556968E-2</v>
      </c>
      <c r="D104" s="19" t="s">
        <v>6</v>
      </c>
      <c r="E104" s="17"/>
    </row>
    <row r="105" spans="2:5" ht="16.5" hidden="1" outlineLevel="1" x14ac:dyDescent="0.35">
      <c r="B105" s="18" t="s">
        <v>116</v>
      </c>
      <c r="C105" s="33">
        <f>+C31-C100</f>
        <v>3.5527136788005009E-15</v>
      </c>
      <c r="D105" s="19" t="s">
        <v>14</v>
      </c>
      <c r="E105" s="17"/>
    </row>
    <row r="106" spans="2:5" ht="16.5" collapsed="1" x14ac:dyDescent="0.35">
      <c r="B106" s="18" t="s">
        <v>119</v>
      </c>
      <c r="C106" s="37">
        <f>+PI()/4*((C12/1000)^2-(C22/1000)^2)*(C80-C63)*10^5</f>
        <v>-52019.85687940901</v>
      </c>
      <c r="D106" s="19" t="s">
        <v>120</v>
      </c>
      <c r="E106" s="17"/>
    </row>
    <row r="107" spans="2:5" ht="16.5" x14ac:dyDescent="0.35">
      <c r="B107" s="18" t="s">
        <v>117</v>
      </c>
      <c r="C107" s="37">
        <f>+C106-C32</f>
        <v>-97019.85687940901</v>
      </c>
      <c r="D107" s="19" t="s">
        <v>123</v>
      </c>
      <c r="E107" s="17"/>
    </row>
    <row r="108" spans="2:5" ht="16.5" x14ac:dyDescent="0.35">
      <c r="B108" s="18" t="s">
        <v>118</v>
      </c>
      <c r="C108" s="37">
        <f>+C107/C32*100</f>
        <v>-215.59968195424224</v>
      </c>
      <c r="D108" s="19" t="s">
        <v>15</v>
      </c>
      <c r="E108" s="17"/>
    </row>
    <row r="109" spans="2:5" x14ac:dyDescent="0.35">
      <c r="E109" s="17"/>
    </row>
    <row r="110" spans="2:5" x14ac:dyDescent="0.35">
      <c r="E110" s="17"/>
    </row>
    <row r="111" spans="2:5" x14ac:dyDescent="0.35">
      <c r="E111" s="17"/>
    </row>
    <row r="112" spans="2:5" x14ac:dyDescent="0.35">
      <c r="E112" s="17"/>
    </row>
    <row r="113" spans="5:5" x14ac:dyDescent="0.35">
      <c r="E113" s="17"/>
    </row>
    <row r="114" spans="5:5" x14ac:dyDescent="0.35">
      <c r="E114" s="17"/>
    </row>
    <row r="115" spans="5:5" x14ac:dyDescent="0.35">
      <c r="E115" s="17"/>
    </row>
    <row r="116" spans="5:5" x14ac:dyDescent="0.35">
      <c r="E116" s="17"/>
    </row>
    <row r="117" spans="5:5" x14ac:dyDescent="0.35">
      <c r="E117" s="17"/>
    </row>
    <row r="118" spans="5:5" x14ac:dyDescent="0.35">
      <c r="E118" s="17"/>
    </row>
    <row r="119" spans="5:5" x14ac:dyDescent="0.35">
      <c r="E119" s="17"/>
    </row>
    <row r="120" spans="5:5" x14ac:dyDescent="0.35">
      <c r="E120" s="17"/>
    </row>
    <row r="121" spans="5:5" x14ac:dyDescent="0.35">
      <c r="E121" s="17"/>
    </row>
  </sheetData>
  <mergeCells count="7">
    <mergeCell ref="Y1:Z1"/>
    <mergeCell ref="B65:D65"/>
    <mergeCell ref="B82:D82"/>
    <mergeCell ref="B102:D102"/>
    <mergeCell ref="B10:D10"/>
    <mergeCell ref="B37:D37"/>
    <mergeCell ref="B47:D47"/>
  </mergeCells>
  <dataValidations count="5">
    <dataValidation type="decimal" allowBlank="1" showInputMessage="1" showErrorMessage="1" errorTitle="Error" error="Input selected is out of range 1 - 1.2." sqref="C66:C67" xr:uid="{4BAA5ED8-49ED-49B1-BA74-23C6B47219EE}">
      <formula1>1</formula1>
      <formula2>1.2</formula2>
    </dataValidation>
    <dataValidation type="list" allowBlank="1" showInputMessage="1" showErrorMessage="1" sqref="C50" xr:uid="{E3FD59AB-5E94-433D-8C54-E9AE234FE64F}">
      <formula1>"open, overlapped"</formula1>
    </dataValidation>
    <dataValidation type="whole" allowBlank="1" showInputMessage="1" showErrorMessage="1" errorTitle="Error" error="The number of steps shall be selected between 1 and 1000." sqref="C39" xr:uid="{D4BFBC33-8E45-430F-B50F-A09E98C4C3CF}">
      <formula1>1</formula1>
      <formula2>2000</formula2>
    </dataValidation>
    <dataValidation type="list" allowBlank="1" showInputMessage="1" showErrorMessage="1" sqref="C68" xr:uid="{4387F8B7-C37D-471D-8967-B9979A12936D}">
      <formula1>"rough, serrated, isotropic pattern"</formula1>
    </dataValidation>
    <dataValidation type="decimal" allowBlank="1" showInputMessage="1" showErrorMessage="1" errorTitle="Error" error="Input out of range 0.01 - 0.03. Please select it within this range." sqref="C70" xr:uid="{01D1B086-3AFF-4BA0-B646-CC7D6766C092}">
      <formula1>0.01</formula1>
      <formula2>0.03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0</xdr:colOff>
                <xdr:row>2</xdr:row>
                <xdr:rowOff>0</xdr:rowOff>
              </from>
              <to>
                <xdr:col>21</xdr:col>
                <xdr:colOff>514350</xdr:colOff>
                <xdr:row>6</xdr:row>
                <xdr:rowOff>25400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262C4BC-864F-46EA-950B-391104E659B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D80968B-CAD1-4FAE-B6F9-C724F2558CC2}"/>
</file>

<file path=customXml/itemProps3.xml><?xml version="1.0" encoding="utf-8"?>
<ds:datastoreItem xmlns:ds="http://schemas.openxmlformats.org/officeDocument/2006/customXml" ds:itemID="{690B1E50-863A-4834-8590-0B70767C1E72}">
  <ds:schemaRefs>
    <ds:schemaRef ds:uri="http://schemas.microsoft.com/office/2006/documentManagement/types"/>
    <ds:schemaRef ds:uri="http://purl.org/dc/elements/1.1/"/>
    <ds:schemaRef ds:uri="http://purl.org/dc/terms/"/>
    <ds:schemaRef ds:uri="http://schemas.microsoft.com/office/2006/metadata/properties"/>
    <ds:schemaRef ds:uri="2710bc8b-17c9-4e36-a567-5a8748d28b44"/>
    <ds:schemaRef ds:uri="f16ae08e-32aa-43c4-955b-813e13c9303e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content</vt:lpstr>
      <vt:lpstr>balance_drum-1</vt:lpstr>
      <vt:lpstr>balance_drum-2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Giovanni Tellini</dc:creator>
  <cp:keywords/>
  <dc:description/>
  <cp:lastModifiedBy>Noemi Legato</cp:lastModifiedBy>
  <cp:revision/>
  <dcterms:created xsi:type="dcterms:W3CDTF">2021-08-25T06:52:22Z</dcterms:created>
  <dcterms:modified xsi:type="dcterms:W3CDTF">2025-05-09T08:36:13Z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</Properties>
</file>