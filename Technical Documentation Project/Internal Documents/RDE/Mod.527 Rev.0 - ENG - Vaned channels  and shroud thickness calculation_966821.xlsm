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2\3. Tommaso\Canali alettati e calcoli dello spessore\"/>
    </mc:Choice>
  </mc:AlternateContent>
  <xr:revisionPtr revIDLastSave="0" documentId="13_ncr:1_{88521BF0-1698-4C35-A40B-E4F062AD7B0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ver" sheetId="7" r:id="rId1"/>
    <sheet name="Input_Output" sheetId="5" r:id="rId2"/>
    <sheet name="setup" sheetId="6" r:id="rId3"/>
    <sheet name="Metric Conversion" sheetId="14" r:id="rId4"/>
    <sheet name="Gulich-T14.1 - T14.3" sheetId="9" r:id="rId5"/>
  </sheets>
  <functionGroups builtInGroupCount="19"/>
  <externalReferences>
    <externalReference r:id="rId6"/>
    <externalReference r:id="rId7"/>
    <externalReference r:id="rId8"/>
    <externalReference r:id="rId9"/>
    <externalReference r:id="rId10"/>
  </externalReferences>
  <definedNames>
    <definedName name="_bga2">#REF!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Input_Output!$B$3:$M$52</definedName>
    <definedName name="_xlnm.Print_Area" localSheetId="3">'Metric Conversion'!$B$3:$M$60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3">'Metric Conversion'!#REF!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3">'Metric Conversion'!#REF!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3">'Metric Conversion'!#REF!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3">'Metric Conversion'!#REF!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 localSheetId="1">Input_Output!$O$16</definedName>
    <definedName name="Suction_Diameter" localSheetId="3">'Metric Conversion'!$O$16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9" l="1"/>
  <c r="F6" i="9"/>
  <c r="H13" i="9"/>
  <c r="H12" i="9"/>
  <c r="E29" i="14"/>
  <c r="F7" i="9"/>
  <c r="F11" i="9"/>
  <c r="F10" i="9"/>
  <c r="F9" i="9"/>
  <c r="F5" i="9"/>
  <c r="E18" i="5"/>
  <c r="E19" i="5"/>
  <c r="E30" i="5" l="1"/>
  <c r="D30" i="5"/>
  <c r="B30" i="5"/>
  <c r="J17" i="14" l="1"/>
  <c r="K23" i="14" s="1"/>
  <c r="J23" i="14" s="1"/>
  <c r="AA2" i="9" s="1"/>
  <c r="AG13" i="9" s="1"/>
  <c r="H20" i="5"/>
  <c r="G20" i="5"/>
  <c r="E17" i="14"/>
  <c r="E16" i="14"/>
  <c r="H19" i="5"/>
  <c r="H18" i="5"/>
  <c r="H15" i="5"/>
  <c r="H14" i="5"/>
  <c r="H13" i="5"/>
  <c r="H12" i="5"/>
  <c r="F32" i="14"/>
  <c r="F31" i="14"/>
  <c r="F30" i="14"/>
  <c r="F29" i="14"/>
  <c r="F28" i="14"/>
  <c r="L28" i="5"/>
  <c r="L27" i="5"/>
  <c r="AN8" i="9"/>
  <c r="AS8" i="9"/>
  <c r="AS11" i="9"/>
  <c r="AS14" i="9"/>
  <c r="AR11" i="9"/>
  <c r="I23" i="14"/>
  <c r="L21" i="14"/>
  <c r="I19" i="14"/>
  <c r="I20" i="14"/>
  <c r="I21" i="14"/>
  <c r="I22" i="14"/>
  <c r="I18" i="14"/>
  <c r="K22" i="14" l="1"/>
  <c r="K20" i="5"/>
  <c r="J20" i="5" s="1"/>
  <c r="L18" i="5"/>
  <c r="K24" i="14"/>
  <c r="J24" i="14" s="1"/>
  <c r="B13" i="14"/>
  <c r="G11" i="5"/>
  <c r="G10" i="5"/>
  <c r="AQ14" i="9"/>
  <c r="AT13" i="9"/>
  <c r="AR13" i="9"/>
  <c r="AQ8" i="9"/>
  <c r="AR7" i="9"/>
  <c r="AT7" i="9"/>
  <c r="L20" i="14"/>
  <c r="L19" i="14"/>
  <c r="L17" i="5"/>
  <c r="L16" i="5"/>
  <c r="E18" i="14"/>
  <c r="S2" i="9" s="1"/>
  <c r="J9" i="14"/>
  <c r="K20" i="14"/>
  <c r="K17" i="5" s="1"/>
  <c r="G29" i="5"/>
  <c r="G28" i="5"/>
  <c r="G27" i="5"/>
  <c r="G26" i="5"/>
  <c r="D29" i="5"/>
  <c r="B29" i="5"/>
  <c r="Y2" i="9"/>
  <c r="U2" i="9"/>
  <c r="V2" i="9"/>
  <c r="R2" i="9"/>
  <c r="E20" i="14"/>
  <c r="B20" i="5"/>
  <c r="B20" i="14" s="1"/>
  <c r="D25" i="5"/>
  <c r="B25" i="5"/>
  <c r="G25" i="5"/>
  <c r="M2" i="9"/>
  <c r="F19" i="5"/>
  <c r="F18" i="5"/>
  <c r="L15" i="5"/>
  <c r="L18" i="14"/>
  <c r="E19" i="14"/>
  <c r="L2" i="9" s="1"/>
  <c r="E15" i="14"/>
  <c r="D2" i="9" s="1"/>
  <c r="F13" i="9" s="1"/>
  <c r="N2" i="9"/>
  <c r="E2" i="9"/>
  <c r="AC11" i="9" s="1"/>
  <c r="E13" i="14"/>
  <c r="C2" i="9" s="1"/>
  <c r="E12" i="14"/>
  <c r="B2" i="9" s="1"/>
  <c r="E11" i="14"/>
  <c r="H2" i="9" s="1"/>
  <c r="B11" i="14"/>
  <c r="B12" i="14"/>
  <c r="B14" i="14"/>
  <c r="B15" i="14"/>
  <c r="B16" i="14"/>
  <c r="B17" i="14"/>
  <c r="B18" i="14"/>
  <c r="B19" i="14"/>
  <c r="B10" i="14"/>
  <c r="F19" i="14"/>
  <c r="F18" i="14"/>
  <c r="F15" i="14"/>
  <c r="F14" i="14"/>
  <c r="F13" i="14"/>
  <c r="F12" i="14"/>
  <c r="F15" i="5"/>
  <c r="I12" i="5"/>
  <c r="J5" i="6"/>
  <c r="E14" i="14"/>
  <c r="J2" i="9" s="1"/>
  <c r="G19" i="5" l="1"/>
  <c r="G18" i="5"/>
  <c r="G15" i="5"/>
  <c r="G14" i="5"/>
  <c r="G13" i="5"/>
  <c r="G12" i="5"/>
  <c r="S6" i="9"/>
  <c r="G2" i="9"/>
  <c r="H14" i="9"/>
  <c r="K30" i="5"/>
  <c r="J17" i="5"/>
  <c r="J20" i="14" s="1"/>
  <c r="K18" i="14"/>
  <c r="K19" i="14"/>
  <c r="K21" i="14" s="1"/>
  <c r="I16" i="14"/>
  <c r="D29" i="14" s="1"/>
  <c r="D26" i="5" s="1"/>
  <c r="F2" i="9"/>
  <c r="K2" i="9" l="1"/>
  <c r="O5" i="9" s="1"/>
  <c r="C38" i="14"/>
  <c r="K24" i="5" s="1"/>
  <c r="K25" i="5" s="1"/>
  <c r="B38" i="14"/>
  <c r="J24" i="5" s="1"/>
  <c r="J25" i="5" s="1"/>
  <c r="AC5" i="9"/>
  <c r="AD5" i="9" s="1"/>
  <c r="O7" i="9"/>
  <c r="K16" i="5"/>
  <c r="J16" i="5" s="1"/>
  <c r="K18" i="5"/>
  <c r="J18" i="5" s="1"/>
  <c r="J21" i="14" s="1"/>
  <c r="K19" i="5"/>
  <c r="J19" i="5" s="1"/>
  <c r="J22" i="14"/>
  <c r="Q2" i="9" s="1"/>
  <c r="J18" i="14"/>
  <c r="O2" i="9" s="1"/>
  <c r="K15" i="5"/>
  <c r="J15" i="5" s="1"/>
  <c r="D31" i="14"/>
  <c r="D28" i="5" s="1"/>
  <c r="B30" i="14"/>
  <c r="B27" i="5" s="1"/>
  <c r="B29" i="14"/>
  <c r="B26" i="5" s="1"/>
  <c r="B31" i="14"/>
  <c r="B28" i="5" s="1"/>
  <c r="D30" i="14"/>
  <c r="D27" i="5" s="1"/>
  <c r="Z2" i="9" l="1"/>
  <c r="AM8" i="9" s="1"/>
  <c r="J19" i="14"/>
  <c r="W2" i="9" s="1"/>
  <c r="AL7" i="9" s="1"/>
  <c r="AN7" i="9" s="1"/>
  <c r="AN13" i="9" s="1"/>
  <c r="AS13" i="9" s="1"/>
  <c r="S13" i="9"/>
  <c r="P7" i="9"/>
  <c r="AC6" i="9"/>
  <c r="AD6" i="9" s="1"/>
  <c r="E28" i="14"/>
  <c r="E32" i="14" s="1"/>
  <c r="F8" i="9"/>
  <c r="H7" i="9"/>
  <c r="F14" i="5"/>
  <c r="F13" i="5"/>
  <c r="F12" i="5"/>
  <c r="AO14" i="9" l="1"/>
  <c r="AT14" i="9" s="1"/>
  <c r="AL13" i="9"/>
  <c r="AQ13" i="9" s="1"/>
  <c r="AQ7" i="9"/>
  <c r="AS7" i="9"/>
  <c r="AM14" i="9"/>
  <c r="AO8" i="9"/>
  <c r="AT8" i="9" s="1"/>
  <c r="E25" i="5"/>
  <c r="H5" i="9" s="1"/>
  <c r="P2" i="9" s="1"/>
  <c r="E29" i="5"/>
  <c r="AR8" i="9" l="1"/>
  <c r="H10" i="9"/>
  <c r="H8" i="9"/>
  <c r="E31" i="14" s="1"/>
  <c r="E30" i="14"/>
  <c r="E27" i="5" s="1"/>
  <c r="H6" i="9"/>
  <c r="E26" i="5" s="1"/>
  <c r="H11" i="9"/>
  <c r="H9" i="9"/>
  <c r="AC2" i="9" l="1"/>
  <c r="AC8" i="9" s="1"/>
  <c r="E28" i="5"/>
  <c r="T2" i="9"/>
  <c r="O9" i="9" s="1"/>
  <c r="AC12" i="9"/>
  <c r="AD12" i="9" s="1"/>
  <c r="AN16" i="9" s="1"/>
  <c r="AS16" i="9" s="1"/>
  <c r="K27" i="5" s="1"/>
  <c r="AC13" i="9"/>
  <c r="AD13" i="9" s="1"/>
  <c r="P9" i="9" l="1"/>
  <c r="P11" i="9" s="1"/>
  <c r="O6" i="9"/>
  <c r="AN10" i="9"/>
  <c r="AS10" i="9" s="1"/>
  <c r="K29" i="5" s="1"/>
  <c r="AO10" i="9"/>
  <c r="AT10" i="9" s="1"/>
  <c r="AO11" i="9"/>
  <c r="AO16" i="9"/>
  <c r="AT16" i="9" s="1"/>
  <c r="K28" i="5" s="1"/>
  <c r="AL11" i="9"/>
  <c r="AQ11" i="9" s="1"/>
  <c r="O10" i="9"/>
  <c r="P10" i="9" s="1"/>
  <c r="P12" i="9"/>
  <c r="O8" i="9" l="1"/>
  <c r="P8" i="9" s="1"/>
  <c r="AM16" i="9"/>
  <c r="AR16" i="9" s="1"/>
  <c r="J28" i="5" s="1"/>
  <c r="AM10" i="9"/>
  <c r="AR10" i="9" s="1"/>
  <c r="AL10" i="9"/>
  <c r="AQ10" i="9" s="1"/>
  <c r="AL16" i="9"/>
  <c r="AQ16" i="9" s="1"/>
  <c r="J27" i="5" s="1"/>
  <c r="AR14" i="9"/>
  <c r="AT11" i="9"/>
  <c r="AH13" i="9"/>
  <c r="T13" i="9"/>
  <c r="J29" i="5" l="1"/>
</calcChain>
</file>

<file path=xl/sharedStrings.xml><?xml version="1.0" encoding="utf-8"?>
<sst xmlns="http://schemas.openxmlformats.org/spreadsheetml/2006/main" count="293" uniqueCount="210">
  <si>
    <t>First issue</t>
  </si>
  <si>
    <t>R&amp;D - L.DeFranco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</si>
  <si>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</si>
  <si>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</si>
  <si>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</si>
  <si>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</si>
  <si>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</si>
  <si>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</si>
  <si>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</si>
  <si>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Mod.xxx-0</t>
  </si>
  <si>
    <t>Vaned channels and shroud thickness Calculation</t>
  </si>
  <si>
    <t>PUMP MODEL</t>
  </si>
  <si>
    <t>PUMP SIZE</t>
  </si>
  <si>
    <t>impeller or diffuser?</t>
  </si>
  <si>
    <t>diffuser</t>
  </si>
  <si>
    <t>DRAWING NUMBER</t>
  </si>
  <si>
    <t>double suction pump?</t>
  </si>
  <si>
    <t>no</t>
  </si>
  <si>
    <t>open or closed?</t>
  </si>
  <si>
    <t>closed</t>
  </si>
  <si>
    <t>INPUT DATA at maximum diameter</t>
  </si>
  <si>
    <t>casting quality</t>
  </si>
  <si>
    <t>average</t>
  </si>
  <si>
    <t>unit system</t>
  </si>
  <si>
    <t>SI</t>
  </si>
  <si>
    <t>sea water fluid?</t>
  </si>
  <si>
    <t>speed</t>
  </si>
  <si>
    <t>RPM</t>
  </si>
  <si>
    <t>Qbep</t>
  </si>
  <si>
    <t>data</t>
  </si>
  <si>
    <t>Hstage bep</t>
  </si>
  <si>
    <t>Material</t>
  </si>
  <si>
    <t>Martensitic CA6NM</t>
  </si>
  <si>
    <t>Hstage max</t>
  </si>
  <si>
    <t>selected</t>
  </si>
  <si>
    <t>suggested</t>
  </si>
  <si>
    <t>D2 max</t>
  </si>
  <si>
    <r>
      <t xml:space="preserve">density                                              </t>
    </r>
    <r>
      <rPr>
        <sz val="12"/>
        <rFont val="Symbol"/>
        <family val="1"/>
        <charset val="2"/>
      </rPr>
      <t>r</t>
    </r>
    <r>
      <rPr>
        <sz val="12"/>
        <rFont val="TradeGothic"/>
      </rPr>
      <t>mat</t>
    </r>
  </si>
  <si>
    <t>fluid S.G.</t>
  </si>
  <si>
    <t>Tensile strength                                Ru</t>
  </si>
  <si>
    <t>number of vanes Z</t>
  </si>
  <si>
    <t>Yeld strength                                    Rp0.2</t>
  </si>
  <si>
    <t>channel width between disks (b2 or b3)</t>
  </si>
  <si>
    <r>
      <t xml:space="preserve">alternate bending strength               </t>
    </r>
    <r>
      <rPr>
        <sz val="12"/>
        <rFont val="Symbol"/>
        <family val="1"/>
        <charset val="2"/>
      </rPr>
      <t>s</t>
    </r>
    <r>
      <rPr>
        <sz val="12"/>
        <rFont val="TradeGothic"/>
      </rPr>
      <t>bw</t>
    </r>
  </si>
  <si>
    <t>diffuser LE D3 or volute tongue Dcw</t>
  </si>
  <si>
    <t>Safety factor for blade rupture          Sz</t>
  </si>
  <si>
    <t>°</t>
  </si>
  <si>
    <t>Safety factor for shroud rupture        Szz</t>
  </si>
  <si>
    <t>THICKNESS SELECTION AND OUTPUT DATA</t>
  </si>
  <si>
    <t>u2max</t>
  </si>
  <si>
    <t>spec speed</t>
  </si>
  <si>
    <t>US</t>
  </si>
  <si>
    <t>blades</t>
  </si>
  <si>
    <t>shroud</t>
  </si>
  <si>
    <r>
      <t xml:space="preserve">mean stress                                    </t>
    </r>
    <r>
      <rPr>
        <sz val="12"/>
        <rFont val="Symbol"/>
        <family val="1"/>
        <charset val="2"/>
      </rPr>
      <t>s</t>
    </r>
    <r>
      <rPr>
        <sz val="12"/>
        <rFont val="TradeGothic"/>
      </rPr>
      <t>m</t>
    </r>
  </si>
  <si>
    <r>
      <t xml:space="preserve">alternate bending stress                 </t>
    </r>
    <r>
      <rPr>
        <sz val="12"/>
        <rFont val="Symbol"/>
        <family val="1"/>
        <charset val="2"/>
      </rPr>
      <t>s</t>
    </r>
    <r>
      <rPr>
        <sz val="12"/>
        <rFont val="TradeGothic"/>
      </rPr>
      <t>w</t>
    </r>
  </si>
  <si>
    <t>Safety Factor         SF</t>
  </si>
  <si>
    <t>Cavitation Erosion Ratio (CA6NM=1, lower is better)</t>
  </si>
  <si>
    <t>Notes:</t>
  </si>
  <si>
    <t>Thickness calculation refers to J.F.Gulich "Centrifugal Pumps" Ed.2020
Material data refers to J.F.Gulich "Centrifugal Pumps" Ed.2020 -Tabe 14.11 - 16</t>
  </si>
  <si>
    <t>setup for selection</t>
  </si>
  <si>
    <t>pump service</t>
  </si>
  <si>
    <t>applications</t>
  </si>
  <si>
    <t>double suction</t>
  </si>
  <si>
    <t>material (ASTM)</t>
  </si>
  <si>
    <t>ro</t>
  </si>
  <si>
    <t>Rm</t>
  </si>
  <si>
    <t>Ry</t>
  </si>
  <si>
    <t>Sz</t>
  </si>
  <si>
    <t>Szz</t>
  </si>
  <si>
    <t>Cav.Erosion</t>
  </si>
  <si>
    <t>impeller</t>
  </si>
  <si>
    <t xml:space="preserve">open </t>
  </si>
  <si>
    <t>poor</t>
  </si>
  <si>
    <t>yes</t>
  </si>
  <si>
    <t>Cast Iron A278-30</t>
  </si>
  <si>
    <t>Nodular Cast Iron A536-60-40-18</t>
  </si>
  <si>
    <t>high</t>
  </si>
  <si>
    <t>Ni Resist A439 Type D2</t>
  </si>
  <si>
    <t>Cast Steel A216 Gr WCB</t>
  </si>
  <si>
    <t>Cast Steel A217 Gr CA-15</t>
  </si>
  <si>
    <t>Martensitic CB 7Cu2</t>
  </si>
  <si>
    <t>Austenitic CF-3</t>
  </si>
  <si>
    <t>Austenitic CF-3M</t>
  </si>
  <si>
    <t>Duplex CD3MN</t>
  </si>
  <si>
    <t>Duplex 4B</t>
  </si>
  <si>
    <t>Duplex 3A</t>
  </si>
  <si>
    <t>SuperDuplex 6A CD3MWCuN</t>
  </si>
  <si>
    <t>SuperDuplex CE3MN</t>
  </si>
  <si>
    <t>B584 C86300</t>
  </si>
  <si>
    <t>B427 C90700</t>
  </si>
  <si>
    <t>C148 958</t>
  </si>
  <si>
    <t>Hastelloy CA574 N10276</t>
  </si>
  <si>
    <t>Vaned channels thickness Calculation</t>
  </si>
  <si>
    <t>cavitation erosion ratio</t>
  </si>
  <si>
    <t>OUTPUT DATA</t>
  </si>
  <si>
    <t>nominal thickness</t>
  </si>
  <si>
    <t>e</t>
  </si>
  <si>
    <t>mm</t>
  </si>
  <si>
    <t>fillet radius between blade and disk</t>
  </si>
  <si>
    <t>rf</t>
  </si>
  <si>
    <t>Thickness calculation refers to J.F.Gulich "Centrifugal Pumps" Ed.2020 - Table 14.3
Material data refers to J.F.Gulich "Centrifugal Pumps" Ed.2020 -Tabe 14.11 - 16</t>
  </si>
  <si>
    <t>Hbep</t>
  </si>
  <si>
    <t>D2</t>
  </si>
  <si>
    <t>Z</t>
  </si>
  <si>
    <t>U2</t>
  </si>
  <si>
    <t>Nq</t>
  </si>
  <si>
    <t>n</t>
  </si>
  <si>
    <t>Hst.max</t>
  </si>
  <si>
    <t>psiLoad</t>
  </si>
  <si>
    <t>D3</t>
  </si>
  <si>
    <t>beta2b</t>
  </si>
  <si>
    <t>fluid density</t>
  </si>
  <si>
    <t>mat density</t>
  </si>
  <si>
    <t>notch</t>
  </si>
  <si>
    <t>FT</t>
  </si>
  <si>
    <t>L</t>
  </si>
  <si>
    <t>em</t>
  </si>
  <si>
    <t>Y</t>
  </si>
  <si>
    <t>sigmabw/Rm</t>
  </si>
  <si>
    <t>Rw</t>
  </si>
  <si>
    <t>ers</t>
  </si>
  <si>
    <t>from selected nominal thickness</t>
  </si>
  <si>
    <t>14.3.1</t>
  </si>
  <si>
    <t>nominal thickness at tip</t>
  </si>
  <si>
    <t>CLOSED IMPELLER</t>
  </si>
  <si>
    <t>14.1.1</t>
  </si>
  <si>
    <t>Dps</t>
  </si>
  <si>
    <t>static vane loading</t>
  </si>
  <si>
    <t>considering reaction grade =0.75 for impeller and 0.25 for diffuser</t>
  </si>
  <si>
    <t>14.2.1</t>
  </si>
  <si>
    <t>static load on impeller shroud</t>
  </si>
  <si>
    <t>selected unit system</t>
  </si>
  <si>
    <t>14.3.2</t>
  </si>
  <si>
    <t xml:space="preserve">e2 </t>
  </si>
  <si>
    <t>TE thickness</t>
  </si>
  <si>
    <t>14.1.2</t>
  </si>
  <si>
    <t>Dpz</t>
  </si>
  <si>
    <t>static centrifugal loading</t>
  </si>
  <si>
    <t>Dp*</t>
  </si>
  <si>
    <t>14.2.2</t>
  </si>
  <si>
    <t>Dpdyn</t>
  </si>
  <si>
    <t>dynamic load</t>
  </si>
  <si>
    <t>sigma.m</t>
  </si>
  <si>
    <t>sigma.w</t>
  </si>
  <si>
    <t>sigma.w.blades</t>
  </si>
  <si>
    <t>sigma.w-shroud</t>
  </si>
  <si>
    <t>14.3.3</t>
  </si>
  <si>
    <t xml:space="preserve">Mean Blade Thickness acc T14.1 </t>
  </si>
  <si>
    <t>14.1.3</t>
  </si>
  <si>
    <t>dynamic loading</t>
  </si>
  <si>
    <t>14.2.3</t>
  </si>
  <si>
    <t>sigma</t>
  </si>
  <si>
    <t>Bending stress M/W</t>
  </si>
  <si>
    <t>goodman</t>
  </si>
  <si>
    <t>14.3.4</t>
  </si>
  <si>
    <t>eRs</t>
  </si>
  <si>
    <t xml:space="preserve">Shroud disk Thickness </t>
  </si>
  <si>
    <t>14.1.4</t>
  </si>
  <si>
    <t>14.2.4</t>
  </si>
  <si>
    <t>impeller shroud thickness</t>
  </si>
  <si>
    <t>14.3.5</t>
  </si>
  <si>
    <t>ea</t>
  </si>
  <si>
    <t xml:space="preserve">Blade thickness at shroud </t>
  </si>
  <si>
    <t>OPEN IMPELLER</t>
  </si>
  <si>
    <t>14.1.6</t>
  </si>
  <si>
    <t xml:space="preserve">mean stress </t>
  </si>
  <si>
    <t>14.2.5</t>
  </si>
  <si>
    <t>psi.rs</t>
  </si>
  <si>
    <t>static load coefficient</t>
  </si>
  <si>
    <t>14.3.6</t>
  </si>
  <si>
    <t>ei</t>
  </si>
  <si>
    <t>Blade thickness at hub</t>
  </si>
  <si>
    <t>14.1.7</t>
  </si>
  <si>
    <t>alternate bending stress</t>
  </si>
  <si>
    <t>14.2.6</t>
  </si>
  <si>
    <t>r*</t>
  </si>
  <si>
    <t>load center</t>
  </si>
  <si>
    <t>gulich all</t>
  </si>
  <si>
    <t>…</t>
  </si>
  <si>
    <t>Mean Blade Thickness acc T14.1</t>
  </si>
  <si>
    <t>14.1.8</t>
  </si>
  <si>
    <t>sigma.w all</t>
  </si>
  <si>
    <t>allowable alternate bending stress</t>
  </si>
  <si>
    <t>14.2.7</t>
  </si>
  <si>
    <t>Laq*</t>
  </si>
  <si>
    <t>equivalent span between blades</t>
  </si>
  <si>
    <t>14.3.7</t>
  </si>
  <si>
    <t>eLE</t>
  </si>
  <si>
    <t>LE thickness</t>
  </si>
  <si>
    <t>DIFFUSER</t>
  </si>
  <si>
    <t>14.1.9</t>
  </si>
  <si>
    <t>u2.al</t>
  </si>
  <si>
    <t>allowable perpheral velocity</t>
  </si>
  <si>
    <t>Sw</t>
  </si>
  <si>
    <t>14.2.8</t>
  </si>
  <si>
    <t>mean stress</t>
  </si>
  <si>
    <t>14.3.8</t>
  </si>
  <si>
    <t>Mean vane thickness acc T14.1</t>
  </si>
  <si>
    <t>14.1.10</t>
  </si>
  <si>
    <t>calculated</t>
  </si>
  <si>
    <t>14.2.9</t>
  </si>
  <si>
    <t>alternating stress</t>
  </si>
  <si>
    <t>gulich</t>
  </si>
  <si>
    <t>d</t>
  </si>
  <si>
    <t>Angle between SS and PS at LE</t>
  </si>
  <si>
    <t>14.1.11</t>
  </si>
  <si>
    <t>calc</t>
  </si>
  <si>
    <t>QA/HSE N.Legato - T.Morelli Stefani</t>
  </si>
  <si>
    <t>Vaned channels  and shroud thickness calculation
(linked to SOP-546)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</si>
</sst>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General_)"/>
    <numFmt numFmtId="166" formatCode="&quot;$&quot;#,##0.00;[Red]\-&quot;$&quot;#,##0.00"/>
  </numFmts>
  <fonts count="24" x14ac:knownFonts="1">
    <font>
      <sz val="10"/>
      <name val="Arial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b/>
      <sz val="12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sz val="11"/>
      <name val="GreekC"/>
    </font>
    <font>
      <i/>
      <sz val="11"/>
      <name val="Calibri"/>
      <family val="2"/>
      <scheme val="minor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2"/>
      <name val="TradeGothic"/>
    </font>
    <font>
      <sz val="12"/>
      <name val="Arial"/>
      <family val="2"/>
    </font>
    <font>
      <sz val="16"/>
      <name val="TradeGothic"/>
    </font>
    <font>
      <sz val="12"/>
      <name val="Symbol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5" fontId="5" fillId="0" borderId="0"/>
    <xf numFmtId="166" fontId="11" fillId="0" borderId="0" applyFont="0" applyFill="0" applyBorder="0" applyAlignment="0" applyProtection="0"/>
  </cellStyleXfs>
  <cellXfs count="197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1" fillId="0" borderId="0" xfId="2"/>
    <xf numFmtId="0" fontId="1" fillId="0" borderId="0" xfId="2" applyAlignment="1">
      <alignment wrapText="1"/>
    </xf>
    <xf numFmtId="164" fontId="1" fillId="0" borderId="10" xfId="2" applyNumberFormat="1" applyBorder="1" applyAlignment="1">
      <alignment horizontal="center"/>
    </xf>
    <xf numFmtId="0" fontId="1" fillId="0" borderId="12" xfId="2" applyBorder="1"/>
    <xf numFmtId="0" fontId="1" fillId="0" borderId="0" xfId="0" applyFont="1"/>
    <xf numFmtId="0" fontId="1" fillId="0" borderId="0" xfId="2" quotePrefix="1"/>
    <xf numFmtId="0" fontId="1" fillId="0" borderId="0" xfId="2" applyAlignment="1">
      <alignment horizontal="center" vertical="center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18" xfId="3" applyBorder="1" applyAlignment="1">
      <alignment horizontal="center" vertical="center"/>
    </xf>
    <xf numFmtId="165" fontId="5" fillId="0" borderId="0" xfId="4"/>
    <xf numFmtId="0" fontId="1" fillId="0" borderId="19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0" xfId="3" applyBorder="1" applyAlignment="1">
      <alignment horizontal="center" vertical="center"/>
    </xf>
    <xf numFmtId="0" fontId="6" fillId="0" borderId="0" xfId="3" applyFont="1" applyAlignment="1">
      <alignment horizontal="center" vertical="top"/>
    </xf>
    <xf numFmtId="0" fontId="1" fillId="0" borderId="0" xfId="3" applyAlignment="1">
      <alignment horizontal="center"/>
    </xf>
    <xf numFmtId="0" fontId="7" fillId="0" borderId="0" xfId="3" applyFont="1" applyAlignment="1">
      <alignment horizontal="center" vertical="top"/>
    </xf>
    <xf numFmtId="0" fontId="8" fillId="0" borderId="20" xfId="3" applyFont="1" applyBorder="1" applyAlignment="1">
      <alignment horizontal="center" vertical="top"/>
    </xf>
    <xf numFmtId="0" fontId="9" fillId="0" borderId="19" xfId="3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9" fillId="0" borderId="20" xfId="3" applyFont="1" applyBorder="1" applyAlignment="1">
      <alignment horizontal="center" vertical="center"/>
    </xf>
    <xf numFmtId="2" fontId="0" fillId="0" borderId="0" xfId="0" applyNumberFormat="1"/>
    <xf numFmtId="0" fontId="3" fillId="4" borderId="2" xfId="2" applyFont="1" applyFill="1" applyBorder="1" applyProtection="1">
      <protection locked="0"/>
    </xf>
    <xf numFmtId="0" fontId="3" fillId="4" borderId="3" xfId="2" applyFont="1" applyFill="1" applyBorder="1" applyProtection="1">
      <protection locked="0"/>
    </xf>
    <xf numFmtId="0" fontId="3" fillId="4" borderId="8" xfId="2" applyFont="1" applyFill="1" applyBorder="1" applyProtection="1">
      <protection locked="0"/>
    </xf>
    <xf numFmtId="0" fontId="3" fillId="4" borderId="5" xfId="2" applyFont="1" applyFill="1" applyBorder="1" applyProtection="1">
      <protection locked="0"/>
    </xf>
    <xf numFmtId="1" fontId="3" fillId="4" borderId="4" xfId="1" applyNumberFormat="1" applyFont="1" applyFill="1" applyBorder="1" applyAlignment="1" applyProtection="1">
      <alignment horizontal="center"/>
      <protection locked="0"/>
    </xf>
    <xf numFmtId="1" fontId="3" fillId="4" borderId="1" xfId="1" applyNumberFormat="1" applyFont="1" applyFill="1" applyBorder="1" applyAlignment="1" applyProtection="1">
      <alignment horizontal="center"/>
      <protection locked="0"/>
    </xf>
    <xf numFmtId="164" fontId="3" fillId="4" borderId="1" xfId="1" applyNumberFormat="1" applyFont="1" applyFill="1" applyBorder="1" applyAlignment="1" applyProtection="1">
      <alignment horizontal="center"/>
      <protection locked="0"/>
    </xf>
    <xf numFmtId="0" fontId="3" fillId="5" borderId="2" xfId="2" applyFont="1" applyFill="1" applyBorder="1"/>
    <xf numFmtId="0" fontId="3" fillId="5" borderId="3" xfId="2" applyFont="1" applyFill="1" applyBorder="1"/>
    <xf numFmtId="0" fontId="3" fillId="5" borderId="4" xfId="2" applyFont="1" applyFill="1" applyBorder="1"/>
    <xf numFmtId="0" fontId="3" fillId="5" borderId="1" xfId="2" applyFont="1" applyFill="1" applyBorder="1"/>
    <xf numFmtId="0" fontId="1" fillId="3" borderId="0" xfId="2" applyFill="1" applyAlignment="1">
      <alignment wrapText="1"/>
    </xf>
    <xf numFmtId="0" fontId="1" fillId="3" borderId="6" xfId="2" applyFill="1" applyBorder="1" applyAlignment="1">
      <alignment wrapText="1"/>
    </xf>
    <xf numFmtId="0" fontId="3" fillId="3" borderId="6" xfId="2" applyFont="1" applyFill="1" applyBorder="1"/>
    <xf numFmtId="0" fontId="2" fillId="5" borderId="9" xfId="2" applyFont="1" applyFill="1" applyBorder="1"/>
    <xf numFmtId="0" fontId="3" fillId="5" borderId="14" xfId="2" applyFont="1" applyFill="1" applyBorder="1"/>
    <xf numFmtId="0" fontId="1" fillId="3" borderId="9" xfId="2" applyFill="1" applyBorder="1"/>
    <xf numFmtId="0" fontId="1" fillId="3" borderId="7" xfId="2" applyFill="1" applyBorder="1"/>
    <xf numFmtId="0" fontId="3" fillId="3" borderId="0" xfId="2" applyFont="1" applyFill="1"/>
    <xf numFmtId="0" fontId="1" fillId="3" borderId="14" xfId="2" applyFill="1" applyBorder="1"/>
    <xf numFmtId="0" fontId="1" fillId="3" borderId="15" xfId="2" applyFill="1" applyBorder="1"/>
    <xf numFmtId="0" fontId="4" fillId="3" borderId="0" xfId="2" applyFont="1" applyFill="1"/>
    <xf numFmtId="0" fontId="3" fillId="3" borderId="0" xfId="2" applyFont="1" applyFill="1" applyAlignment="1">
      <alignment horizontal="center" vertical="center"/>
    </xf>
    <xf numFmtId="0" fontId="3" fillId="3" borderId="0" xfId="2" applyFont="1" applyFill="1" applyAlignment="1">
      <alignment horizontal="center"/>
    </xf>
    <xf numFmtId="1" fontId="3" fillId="3" borderId="0" xfId="2" applyNumberFormat="1" applyFont="1" applyFill="1"/>
    <xf numFmtId="0" fontId="14" fillId="5" borderId="1" xfId="0" applyFont="1" applyFill="1" applyBorder="1"/>
    <xf numFmtId="1" fontId="0" fillId="0" borderId="0" xfId="0" applyNumberFormat="1"/>
    <xf numFmtId="0" fontId="14" fillId="0" borderId="1" xfId="0" applyFont="1" applyBorder="1"/>
    <xf numFmtId="0" fontId="16" fillId="0" borderId="1" xfId="0" applyFont="1" applyBorder="1"/>
    <xf numFmtId="0" fontId="15" fillId="0" borderId="1" xfId="0" applyFont="1" applyBorder="1"/>
    <xf numFmtId="2" fontId="1" fillId="4" borderId="1" xfId="2" applyNumberFormat="1" applyFill="1" applyBorder="1"/>
    <xf numFmtId="2" fontId="3" fillId="3" borderId="4" xfId="2" applyNumberFormat="1" applyFont="1" applyFill="1" applyBorder="1"/>
    <xf numFmtId="0" fontId="3" fillId="5" borderId="4" xfId="2" applyFont="1" applyFill="1" applyBorder="1" applyAlignment="1">
      <alignment horizontal="right"/>
    </xf>
    <xf numFmtId="0" fontId="3" fillId="5" borderId="15" xfId="2" applyFont="1" applyFill="1" applyBorder="1" applyAlignment="1">
      <alignment horizontal="right"/>
    </xf>
    <xf numFmtId="0" fontId="3" fillId="5" borderId="9" xfId="2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0" fontId="19" fillId="0" borderId="0" xfId="0" applyFont="1" applyAlignment="1">
      <alignment wrapText="1"/>
    </xf>
    <xf numFmtId="2" fontId="3" fillId="4" borderId="1" xfId="1" applyNumberFormat="1" applyFont="1" applyFill="1" applyBorder="1" applyAlignment="1" applyProtection="1">
      <alignment horizontal="center"/>
      <protection locked="0"/>
    </xf>
    <xf numFmtId="0" fontId="3" fillId="3" borderId="0" xfId="2" applyFont="1" applyFill="1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4" fillId="0" borderId="37" xfId="0" applyFont="1" applyBorder="1"/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0" borderId="18" xfId="0" applyFont="1" applyBorder="1"/>
    <xf numFmtId="164" fontId="0" fillId="0" borderId="0" xfId="0" applyNumberFormat="1"/>
    <xf numFmtId="0" fontId="0" fillId="6" borderId="0" xfId="0" applyFill="1"/>
    <xf numFmtId="2" fontId="0" fillId="6" borderId="0" xfId="0" applyNumberFormat="1" applyFill="1"/>
    <xf numFmtId="0" fontId="1" fillId="6" borderId="0" xfId="0" applyFont="1" applyFill="1"/>
    <xf numFmtId="0" fontId="14" fillId="6" borderId="37" xfId="0" applyFont="1" applyFill="1" applyBorder="1"/>
    <xf numFmtId="0" fontId="14" fillId="6" borderId="1" xfId="0" applyFont="1" applyFill="1" applyBorder="1"/>
    <xf numFmtId="0" fontId="16" fillId="6" borderId="1" xfId="0" applyFont="1" applyFill="1" applyBorder="1"/>
    <xf numFmtId="0" fontId="15" fillId="6" borderId="1" xfId="0" applyFont="1" applyFill="1" applyBorder="1"/>
    <xf numFmtId="164" fontId="14" fillId="0" borderId="1" xfId="0" applyNumberFormat="1" applyFont="1" applyBorder="1"/>
    <xf numFmtId="2" fontId="0" fillId="0" borderId="38" xfId="0" applyNumberFormat="1" applyBorder="1"/>
    <xf numFmtId="0" fontId="0" fillId="0" borderId="38" xfId="0" applyBorder="1"/>
    <xf numFmtId="164" fontId="0" fillId="0" borderId="38" xfId="0" applyNumberFormat="1" applyBorder="1"/>
    <xf numFmtId="0" fontId="14" fillId="5" borderId="37" xfId="0" applyFont="1" applyFill="1" applyBorder="1"/>
    <xf numFmtId="0" fontId="16" fillId="5" borderId="1" xfId="0" applyFont="1" applyFill="1" applyBorder="1"/>
    <xf numFmtId="0" fontId="0" fillId="5" borderId="0" xfId="0" applyFill="1"/>
    <xf numFmtId="0" fontId="15" fillId="5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20" fillId="3" borderId="14" xfId="2" applyFont="1" applyFill="1" applyBorder="1"/>
    <xf numFmtId="0" fontId="20" fillId="3" borderId="15" xfId="2" applyFont="1" applyFill="1" applyBorder="1"/>
    <xf numFmtId="0" fontId="21" fillId="0" borderId="0" xfId="2" applyFont="1"/>
    <xf numFmtId="0" fontId="20" fillId="3" borderId="0" xfId="2" applyFont="1" applyFill="1"/>
    <xf numFmtId="0" fontId="20" fillId="5" borderId="2" xfId="2" applyFont="1" applyFill="1" applyBorder="1"/>
    <xf numFmtId="0" fontId="20" fillId="5" borderId="3" xfId="2" applyFont="1" applyFill="1" applyBorder="1"/>
    <xf numFmtId="0" fontId="20" fillId="5" borderId="4" xfId="2" applyFont="1" applyFill="1" applyBorder="1"/>
    <xf numFmtId="164" fontId="20" fillId="3" borderId="4" xfId="2" applyNumberFormat="1" applyFont="1" applyFill="1" applyBorder="1"/>
    <xf numFmtId="164" fontId="20" fillId="3" borderId="1" xfId="2" applyNumberFormat="1" applyFont="1" applyFill="1" applyBorder="1"/>
    <xf numFmtId="2" fontId="20" fillId="4" borderId="1" xfId="2" applyNumberFormat="1" applyFont="1" applyFill="1" applyBorder="1"/>
    <xf numFmtId="0" fontId="20" fillId="3" borderId="9" xfId="2" applyFont="1" applyFill="1" applyBorder="1"/>
    <xf numFmtId="0" fontId="20" fillId="3" borderId="7" xfId="2" applyFont="1" applyFill="1" applyBorder="1"/>
    <xf numFmtId="0" fontId="20" fillId="4" borderId="2" xfId="2" applyFont="1" applyFill="1" applyBorder="1" applyProtection="1">
      <protection locked="0"/>
    </xf>
    <xf numFmtId="0" fontId="20" fillId="4" borderId="3" xfId="2" applyFont="1" applyFill="1" applyBorder="1" applyProtection="1">
      <protection locked="0"/>
    </xf>
    <xf numFmtId="0" fontId="20" fillId="4" borderId="8" xfId="2" applyFont="1" applyFill="1" applyBorder="1" applyProtection="1">
      <protection locked="0"/>
    </xf>
    <xf numFmtId="0" fontId="20" fillId="4" borderId="5" xfId="2" applyFont="1" applyFill="1" applyBorder="1" applyProtection="1">
      <protection locked="0"/>
    </xf>
    <xf numFmtId="0" fontId="20" fillId="5" borderId="9" xfId="2" applyFont="1" applyFill="1" applyBorder="1"/>
    <xf numFmtId="0" fontId="20" fillId="5" borderId="14" xfId="2" applyFont="1" applyFill="1" applyBorder="1"/>
    <xf numFmtId="0" fontId="20" fillId="5" borderId="1" xfId="2" applyFont="1" applyFill="1" applyBorder="1"/>
    <xf numFmtId="1" fontId="20" fillId="4" borderId="4" xfId="1" applyNumberFormat="1" applyFont="1" applyFill="1" applyBorder="1" applyAlignment="1" applyProtection="1">
      <alignment horizontal="center"/>
      <protection locked="0"/>
    </xf>
    <xf numFmtId="1" fontId="20" fillId="4" borderId="1" xfId="1" applyNumberFormat="1" applyFont="1" applyFill="1" applyBorder="1" applyAlignment="1" applyProtection="1">
      <alignment horizontal="center"/>
      <protection locked="0"/>
    </xf>
    <xf numFmtId="164" fontId="20" fillId="4" borderId="1" xfId="1" applyNumberFormat="1" applyFont="1" applyFill="1" applyBorder="1" applyAlignment="1" applyProtection="1">
      <alignment horizontal="center"/>
      <protection locked="0"/>
    </xf>
    <xf numFmtId="1" fontId="20" fillId="3" borderId="0" xfId="2" applyNumberFormat="1" applyFont="1" applyFill="1"/>
    <xf numFmtId="0" fontId="20" fillId="0" borderId="0" xfId="2" applyFont="1"/>
    <xf numFmtId="0" fontId="20" fillId="3" borderId="0" xfId="2" applyFont="1" applyFill="1" applyAlignment="1">
      <alignment horizontal="center" vertical="center"/>
    </xf>
    <xf numFmtId="164" fontId="20" fillId="4" borderId="2" xfId="1" applyNumberFormat="1" applyFont="1" applyFill="1" applyBorder="1" applyAlignment="1" applyProtection="1">
      <alignment horizontal="center"/>
      <protection locked="0"/>
    </xf>
    <xf numFmtId="0" fontId="20" fillId="0" borderId="1" xfId="2" applyFont="1" applyBorder="1"/>
    <xf numFmtId="0" fontId="20" fillId="3" borderId="1" xfId="2" applyFont="1" applyFill="1" applyBorder="1" applyAlignment="1">
      <alignment horizontal="right"/>
    </xf>
    <xf numFmtId="164" fontId="1" fillId="0" borderId="1" xfId="2" applyNumberFormat="1" applyBorder="1"/>
    <xf numFmtId="0" fontId="1" fillId="6" borderId="1" xfId="2" applyFill="1" applyBorder="1"/>
    <xf numFmtId="0" fontId="22" fillId="5" borderId="1" xfId="2" applyFont="1" applyFill="1" applyBorder="1" applyAlignment="1">
      <alignment horizontal="center" vertical="center"/>
    </xf>
    <xf numFmtId="164" fontId="22" fillId="3" borderId="1" xfId="2" applyNumberFormat="1" applyFont="1" applyFill="1" applyBorder="1" applyAlignment="1">
      <alignment horizontal="center" vertical="center"/>
    </xf>
    <xf numFmtId="0" fontId="22" fillId="3" borderId="1" xfId="2" applyFont="1" applyFill="1" applyBorder="1"/>
    <xf numFmtId="0" fontId="9" fillId="0" borderId="16" xfId="3" applyFont="1" applyBorder="1" applyAlignment="1">
      <alignment horizontal="center" vertical="center" wrapText="1"/>
    </xf>
    <xf numFmtId="0" fontId="9" fillId="0" borderId="17" xfId="3" applyFont="1" applyBorder="1" applyAlignment="1">
      <alignment horizontal="center" vertical="center" wrapText="1"/>
    </xf>
    <xf numFmtId="0" fontId="9" fillId="0" borderId="18" xfId="3" applyFont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0" xfId="3" applyFont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0" borderId="22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0" fontId="1" fillId="0" borderId="24" xfId="3" applyBorder="1" applyAlignment="1">
      <alignment horizontal="center" vertical="center"/>
    </xf>
    <xf numFmtId="0" fontId="1" fillId="0" borderId="25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0" borderId="27" xfId="3" applyBorder="1" applyAlignment="1">
      <alignment horizontal="center" vertical="center"/>
    </xf>
    <xf numFmtId="0" fontId="1" fillId="0" borderId="28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3" xfId="3" applyBorder="1" applyAlignment="1">
      <alignment horizontal="center" vertical="center"/>
    </xf>
    <xf numFmtId="0" fontId="1" fillId="0" borderId="30" xfId="3" applyBorder="1" applyAlignment="1">
      <alignment horizontal="center" vertical="center"/>
    </xf>
    <xf numFmtId="0" fontId="1" fillId="0" borderId="29" xfId="3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1" fillId="0" borderId="2" xfId="3" applyFont="1" applyBorder="1" applyAlignment="1">
      <alignment horizontal="center" vertical="center" wrapText="1"/>
    </xf>
    <xf numFmtId="0" fontId="11" fillId="0" borderId="3" xfId="3" applyFont="1" applyBorder="1" applyAlignment="1">
      <alignment horizontal="center" vertical="center" wrapText="1"/>
    </xf>
    <xf numFmtId="0" fontId="11" fillId="0" borderId="30" xfId="3" applyFont="1" applyBorder="1" applyAlignment="1">
      <alignment horizontal="center" vertical="center" wrapText="1"/>
    </xf>
    <xf numFmtId="0" fontId="11" fillId="0" borderId="29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/>
    </xf>
    <xf numFmtId="14" fontId="11" fillId="0" borderId="2" xfId="3" applyNumberFormat="1" applyFont="1" applyBorder="1" applyAlignment="1">
      <alignment horizontal="center" vertical="center"/>
    </xf>
    <xf numFmtId="14" fontId="11" fillId="0" borderId="3" xfId="3" applyNumberFormat="1" applyFont="1" applyBorder="1" applyAlignment="1">
      <alignment horizontal="center" vertical="center"/>
    </xf>
    <xf numFmtId="14" fontId="11" fillId="0" borderId="4" xfId="3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 wrapText="1"/>
    </xf>
    <xf numFmtId="166" fontId="1" fillId="0" borderId="21" xfId="5" applyFont="1" applyBorder="1" applyAlignment="1">
      <alignment horizontal="right" vertical="center"/>
    </xf>
    <xf numFmtId="166" fontId="5" fillId="0" borderId="22" xfId="5" applyFont="1" applyBorder="1" applyAlignment="1">
      <alignment horizontal="right" vertical="center"/>
    </xf>
    <xf numFmtId="166" fontId="5" fillId="0" borderId="23" xfId="5" applyFont="1" applyBorder="1" applyAlignment="1">
      <alignment horizontal="right" vertical="center"/>
    </xf>
    <xf numFmtId="166" fontId="1" fillId="0" borderId="31" xfId="5" applyFont="1" applyBorder="1" applyAlignment="1">
      <alignment horizontal="center" vertical="center"/>
    </xf>
    <xf numFmtId="166" fontId="1" fillId="0" borderId="32" xfId="5" applyFont="1" applyBorder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2" fillId="0" borderId="34" xfId="3" applyFont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2" fillId="0" borderId="35" xfId="3" applyFont="1" applyBorder="1" applyAlignment="1">
      <alignment horizontal="center" vertical="center"/>
    </xf>
    <xf numFmtId="0" fontId="2" fillId="3" borderId="9" xfId="0" applyFont="1" applyFill="1" applyBorder="1" applyAlignment="1">
      <alignment horizontal="right" wrapText="1"/>
    </xf>
    <xf numFmtId="0" fontId="2" fillId="3" borderId="14" xfId="0" applyFont="1" applyFill="1" applyBorder="1" applyAlignment="1">
      <alignment horizontal="right" wrapText="1"/>
    </xf>
    <xf numFmtId="0" fontId="2" fillId="3" borderId="15" xfId="0" applyFont="1" applyFill="1" applyBorder="1" applyAlignment="1">
      <alignment horizontal="right" wrapText="1"/>
    </xf>
    <xf numFmtId="0" fontId="2" fillId="3" borderId="7" xfId="0" applyFont="1" applyFill="1" applyBorder="1" applyAlignment="1">
      <alignment horizontal="right" wrapText="1"/>
    </xf>
    <xf numFmtId="0" fontId="2" fillId="3" borderId="0" xfId="0" applyFont="1" applyFill="1" applyAlignment="1">
      <alignment horizontal="right" wrapText="1"/>
    </xf>
    <xf numFmtId="0" fontId="2" fillId="3" borderId="6" xfId="0" applyFont="1" applyFill="1" applyBorder="1" applyAlignment="1">
      <alignment horizontal="right" wrapText="1"/>
    </xf>
    <xf numFmtId="0" fontId="2" fillId="3" borderId="8" xfId="0" applyFont="1" applyFill="1" applyBorder="1" applyAlignment="1">
      <alignment horizontal="right" wrapText="1"/>
    </xf>
    <xf numFmtId="0" fontId="2" fillId="3" borderId="5" xfId="0" applyFont="1" applyFill="1" applyBorder="1" applyAlignment="1">
      <alignment horizontal="right" wrapText="1"/>
    </xf>
    <xf numFmtId="0" fontId="2" fillId="3" borderId="13" xfId="0" applyFont="1" applyFill="1" applyBorder="1" applyAlignment="1">
      <alignment horizontal="right" wrapText="1"/>
    </xf>
    <xf numFmtId="0" fontId="1" fillId="0" borderId="9" xfId="2" applyBorder="1" applyAlignment="1">
      <alignment horizontal="center"/>
    </xf>
    <xf numFmtId="0" fontId="1" fillId="0" borderId="14" xfId="2" applyBorder="1" applyAlignment="1">
      <alignment horizontal="center"/>
    </xf>
    <xf numFmtId="0" fontId="1" fillId="0" borderId="15" xfId="2" applyBorder="1" applyAlignment="1">
      <alignment horizontal="center"/>
    </xf>
    <xf numFmtId="0" fontId="1" fillId="0" borderId="7" xfId="2" applyBorder="1" applyAlignment="1">
      <alignment horizontal="center"/>
    </xf>
    <xf numFmtId="0" fontId="1" fillId="0" borderId="0" xfId="2" applyAlignment="1">
      <alignment horizontal="center"/>
    </xf>
    <xf numFmtId="0" fontId="1" fillId="0" borderId="6" xfId="2" applyBorder="1" applyAlignment="1">
      <alignment horizontal="center"/>
    </xf>
    <xf numFmtId="0" fontId="1" fillId="0" borderId="8" xfId="2" applyBorder="1" applyAlignment="1">
      <alignment horizontal="center"/>
    </xf>
    <xf numFmtId="0" fontId="1" fillId="0" borderId="5" xfId="2" applyBorder="1" applyAlignment="1">
      <alignment horizontal="center"/>
    </xf>
    <xf numFmtId="0" fontId="1" fillId="0" borderId="13" xfId="2" applyBorder="1" applyAlignment="1">
      <alignment horizontal="center"/>
    </xf>
    <xf numFmtId="0" fontId="3" fillId="2" borderId="2" xfId="2" applyFont="1" applyFill="1" applyBorder="1" applyAlignment="1">
      <alignment horizontal="center"/>
    </xf>
    <xf numFmtId="0" fontId="3" fillId="2" borderId="3" xfId="2" applyFont="1" applyFill="1" applyBorder="1" applyAlignment="1">
      <alignment horizontal="center"/>
    </xf>
    <xf numFmtId="0" fontId="3" fillId="2" borderId="4" xfId="2" applyFont="1" applyFill="1" applyBorder="1" applyAlignment="1">
      <alignment horizontal="center"/>
    </xf>
    <xf numFmtId="0" fontId="3" fillId="0" borderId="8" xfId="2" applyFont="1" applyBorder="1" applyAlignment="1">
      <alignment horizontal="center" vertical="top" wrapText="1"/>
    </xf>
    <xf numFmtId="0" fontId="3" fillId="0" borderId="5" xfId="2" applyFont="1" applyBorder="1" applyAlignment="1">
      <alignment horizontal="center" vertical="top" wrapText="1"/>
    </xf>
    <xf numFmtId="0" fontId="3" fillId="0" borderId="13" xfId="2" applyFont="1" applyBorder="1" applyAlignment="1">
      <alignment horizontal="center" vertical="top" wrapText="1"/>
    </xf>
    <xf numFmtId="0" fontId="2" fillId="5" borderId="1" xfId="2" applyFont="1" applyFill="1" applyBorder="1" applyAlignment="1">
      <alignment horizontal="center" wrapText="1"/>
    </xf>
    <xf numFmtId="164" fontId="20" fillId="4" borderId="2" xfId="1" applyNumberFormat="1" applyFont="1" applyFill="1" applyBorder="1" applyAlignment="1" applyProtection="1">
      <alignment horizontal="center"/>
      <protection locked="0"/>
    </xf>
    <xf numFmtId="164" fontId="20" fillId="4" borderId="3" xfId="1" applyNumberFormat="1" applyFont="1" applyFill="1" applyBorder="1" applyAlignment="1" applyProtection="1">
      <alignment horizontal="center"/>
      <protection locked="0"/>
    </xf>
    <xf numFmtId="164" fontId="20" fillId="4" borderId="4" xfId="1" applyNumberFormat="1" applyFont="1" applyFill="1" applyBorder="1" applyAlignment="1" applyProtection="1">
      <alignment horizontal="center"/>
      <protection locked="0"/>
    </xf>
    <xf numFmtId="0" fontId="17" fillId="6" borderId="36" xfId="0" applyFont="1" applyFill="1" applyBorder="1" applyAlignment="1">
      <alignment horizontal="center" textRotation="90" wrapText="1"/>
    </xf>
    <xf numFmtId="0" fontId="17" fillId="6" borderId="12" xfId="0" applyFont="1" applyFill="1" applyBorder="1" applyAlignment="1">
      <alignment horizontal="center" textRotation="90" wrapText="1"/>
    </xf>
    <xf numFmtId="0" fontId="17" fillId="6" borderId="11" xfId="0" applyFont="1" applyFill="1" applyBorder="1" applyAlignment="1">
      <alignment horizontal="center" textRotation="90" wrapText="1"/>
    </xf>
  </cellXfs>
  <cellStyles count="6">
    <cellStyle name="Normale" xfId="0" builtinId="0"/>
    <cellStyle name="Normale 2" xfId="2" xr:uid="{795928D0-5C76-4F0F-A20E-094B7972AE98}"/>
    <cellStyle name="Normale 3" xfId="4" xr:uid="{C011C091-F2B0-4EF2-B4A7-63FDBD1F912D}"/>
    <cellStyle name="Normale 4" xfId="3" xr:uid="{57B8244B-0C9E-478A-B498-3B3BB4B0A698}"/>
    <cellStyle name="Percentuale" xfId="1" builtinId="5"/>
    <cellStyle name="Valuta 2" xfId="5" xr:uid="{AF86A1FB-1D8C-4F3A-BB52-783ECB8E972A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blades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73181098239994"/>
          <c:y val="9.128750071520754E-2"/>
          <c:w val="0.83911147146294462"/>
          <c:h val="0.72380592128266907"/>
        </c:manualLayout>
      </c:layout>
      <c:scatterChart>
        <c:scatterStyle val="lineMarker"/>
        <c:varyColors val="0"/>
        <c:ser>
          <c:idx val="0"/>
          <c:order val="0"/>
          <c:tx>
            <c:v>goodman line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T14.3'!$AQ$7:$AQ$8</c:f>
              <c:numCache>
                <c:formatCode>General</c:formatCode>
                <c:ptCount val="2"/>
                <c:pt idx="0">
                  <c:v>760</c:v>
                </c:pt>
                <c:pt idx="1">
                  <c:v>0</c:v>
                </c:pt>
              </c:numCache>
            </c:numRef>
          </c:xVal>
          <c:yVal>
            <c:numRef>
              <c:f>'Gulich-T14.1 - T14.3'!$AR$7:$AR$8</c:f>
              <c:numCache>
                <c:formatCode>General</c:formatCode>
                <c:ptCount val="2"/>
                <c:pt idx="0">
                  <c:v>0</c:v>
                </c:pt>
                <c:pt idx="1">
                  <c:v>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A-48CF-8194-199EB4E03A6D}"/>
            </c:ext>
          </c:extLst>
        </c:ser>
        <c:ser>
          <c:idx val="3"/>
          <c:order val="1"/>
          <c:tx>
            <c:v>blade stress limit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T14.3'!$AQ$13:$AQ$14</c:f>
              <c:numCache>
                <c:formatCode>General</c:formatCode>
                <c:ptCount val="2"/>
                <c:pt idx="0">
                  <c:v>380</c:v>
                </c:pt>
                <c:pt idx="1">
                  <c:v>0</c:v>
                </c:pt>
              </c:numCache>
            </c:numRef>
          </c:xVal>
          <c:yVal>
            <c:numRef>
              <c:f>'Gulich-T14.1 - T14.3'!$AR$13:$AR$14</c:f>
              <c:numCache>
                <c:formatCode>General</c:formatCode>
                <c:ptCount val="2"/>
                <c:pt idx="0">
                  <c:v>0</c:v>
                </c:pt>
                <c:pt idx="1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AA-48CF-8194-199EB4E03A6D}"/>
            </c:ext>
          </c:extLst>
        </c:ser>
        <c:ser>
          <c:idx val="1"/>
          <c:order val="2"/>
          <c:tx>
            <c:v>blade stress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AA-48CF-8194-199EB4E03A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'Gulich-T14.1 - T14.3'!$AQ$16</c:f>
              <c:numCache>
                <c:formatCode>General</c:formatCode>
                <c:ptCount val="1"/>
                <c:pt idx="0">
                  <c:v>8.0324284790039044</c:v>
                </c:pt>
              </c:numCache>
            </c:numRef>
          </c:xVal>
          <c:yVal>
            <c:numRef>
              <c:f>'Gulich-T14.1 - T14.3'!$AR$16</c:f>
              <c:numCache>
                <c:formatCode>General</c:formatCode>
                <c:ptCount val="1"/>
                <c:pt idx="0">
                  <c:v>8.5045442098845552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AA-48CF-8194-199EB4E0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37791"/>
        <c:axId val="2134880239"/>
      </c:scatterChart>
      <c:valAx>
        <c:axId val="63013779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80239"/>
        <c:crossesAt val="0.1"/>
        <c:crossBetween val="midCat"/>
      </c:valAx>
      <c:valAx>
        <c:axId val="21348802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 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819996844365281"/>
          <c:y val="0.10861904549991419"/>
          <c:w val="0.27918103753546619"/>
          <c:h val="0.221306827212216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shroud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14761796338352"/>
          <c:y val="0.10803149754307259"/>
          <c:w val="0.84180508134858767"/>
          <c:h val="0.68071973796951435"/>
        </c:manualLayout>
      </c:layout>
      <c:scatterChart>
        <c:scatterStyle val="lineMarker"/>
        <c:varyColors val="0"/>
        <c:ser>
          <c:idx val="0"/>
          <c:order val="0"/>
          <c:tx>
            <c:v>goodman line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T14.3'!$AQ$7:$AQ$8</c:f>
              <c:numCache>
                <c:formatCode>General</c:formatCode>
                <c:ptCount val="2"/>
                <c:pt idx="0">
                  <c:v>760</c:v>
                </c:pt>
                <c:pt idx="1">
                  <c:v>0</c:v>
                </c:pt>
              </c:numCache>
            </c:numRef>
          </c:xVal>
          <c:yVal>
            <c:numRef>
              <c:f>'Gulich-T14.1 - T14.3'!$AR$7:$AR$8</c:f>
              <c:numCache>
                <c:formatCode>General</c:formatCode>
                <c:ptCount val="2"/>
                <c:pt idx="0">
                  <c:v>0</c:v>
                </c:pt>
                <c:pt idx="1">
                  <c:v>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0-4BAD-A07D-96427F812D53}"/>
            </c:ext>
          </c:extLst>
        </c:ser>
        <c:ser>
          <c:idx val="5"/>
          <c:order val="1"/>
          <c:tx>
            <c:v>shroud stress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'Gulich-T14.1 - T14.3'!$AS$16</c:f>
              <c:numCache>
                <c:formatCode>General</c:formatCode>
                <c:ptCount val="1"/>
                <c:pt idx="0">
                  <c:v>31.878231284423464</c:v>
                </c:pt>
              </c:numCache>
            </c:numRef>
          </c:xVal>
          <c:yVal>
            <c:numRef>
              <c:f>'Gulich-T14.1 - T14.3'!$AT$16</c:f>
              <c:numCache>
                <c:formatCode>General</c:formatCode>
                <c:ptCount val="1"/>
                <c:pt idx="0">
                  <c:v>18.483754999171364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3A0-4BAD-A07D-96427F812D53}"/>
            </c:ext>
          </c:extLst>
        </c:ser>
        <c:ser>
          <c:idx val="6"/>
          <c:order val="2"/>
          <c:tx>
            <c:v>shroud stress limit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T14.3'!$AS$13:$AS$14</c:f>
              <c:numCache>
                <c:formatCode>General</c:formatCode>
                <c:ptCount val="2"/>
                <c:pt idx="0">
                  <c:v>152</c:v>
                </c:pt>
                <c:pt idx="1">
                  <c:v>0</c:v>
                </c:pt>
              </c:numCache>
            </c:numRef>
          </c:xVal>
          <c:yVal>
            <c:numRef>
              <c:f>'Gulich-T14.1 - T14.3'!$AT$13:$AT$14</c:f>
              <c:numCache>
                <c:formatCode>General</c:formatCode>
                <c:ptCount val="2"/>
                <c:pt idx="0">
                  <c:v>0</c:v>
                </c:pt>
                <c:pt idx="1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A0-4BAD-A07D-96427F812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37791"/>
        <c:axId val="2134880239"/>
      </c:scatterChart>
      <c:valAx>
        <c:axId val="63013779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80239"/>
        <c:crossesAt val="0.1"/>
        <c:crossBetween val="midCat"/>
      </c:valAx>
      <c:valAx>
        <c:axId val="21348802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 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578218404897584"/>
          <c:y val="0.11447041740353602"/>
          <c:w val="0.26734307248968153"/>
          <c:h val="0.200768171629341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99061499014858"/>
          <c:y val="0.2645064711598491"/>
          <c:w val="0.78533963802666074"/>
          <c:h val="0.62049313899450942"/>
        </c:manualLayout>
      </c:layout>
      <c:scatterChart>
        <c:scatterStyle val="lineMarker"/>
        <c:varyColors val="0"/>
        <c:ser>
          <c:idx val="0"/>
          <c:order val="0"/>
          <c:tx>
            <c:v>goodman line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T14.3'!$AQ$7:$AQ$8</c:f>
              <c:numCache>
                <c:formatCode>General</c:formatCode>
                <c:ptCount val="2"/>
                <c:pt idx="0">
                  <c:v>760</c:v>
                </c:pt>
                <c:pt idx="1">
                  <c:v>0</c:v>
                </c:pt>
              </c:numCache>
            </c:numRef>
          </c:xVal>
          <c:yVal>
            <c:numRef>
              <c:f>'Gulich-T14.1 - T14.3'!$AR$7:$AR$8</c:f>
              <c:numCache>
                <c:formatCode>General</c:formatCode>
                <c:ptCount val="2"/>
                <c:pt idx="0">
                  <c:v>0</c:v>
                </c:pt>
                <c:pt idx="1">
                  <c:v>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01-4462-9846-354DDDD817FD}"/>
            </c:ext>
          </c:extLst>
        </c:ser>
        <c:ser>
          <c:idx val="3"/>
          <c:order val="1"/>
          <c:tx>
            <c:v>blade stress limit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T14.3'!$AQ$13:$AQ$14</c:f>
              <c:numCache>
                <c:formatCode>General</c:formatCode>
                <c:ptCount val="2"/>
                <c:pt idx="0">
                  <c:v>380</c:v>
                </c:pt>
                <c:pt idx="1">
                  <c:v>0</c:v>
                </c:pt>
              </c:numCache>
            </c:numRef>
          </c:xVal>
          <c:yVal>
            <c:numRef>
              <c:f>'Gulich-T14.1 - T14.3'!$AR$13:$AR$14</c:f>
              <c:numCache>
                <c:formatCode>General</c:formatCode>
                <c:ptCount val="2"/>
                <c:pt idx="0">
                  <c:v>0</c:v>
                </c:pt>
                <c:pt idx="1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01-4462-9846-354DDDD817FD}"/>
            </c:ext>
          </c:extLst>
        </c:ser>
        <c:ser>
          <c:idx val="2"/>
          <c:order val="2"/>
          <c:tx>
            <c:v>max stress blade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'Gulich-T14.1 - T14.3'!$AQ$10</c:f>
              <c:numCache>
                <c:formatCode>General</c:formatCode>
                <c:ptCount val="1"/>
                <c:pt idx="0">
                  <c:v>83.899025366175337</c:v>
                </c:pt>
              </c:numCache>
            </c:numRef>
          </c:xVal>
          <c:yVal>
            <c:numRef>
              <c:f>'Gulich-T14.1 - T14.3'!$AR$10</c:f>
              <c:numCache>
                <c:formatCode>General</c:formatCode>
                <c:ptCount val="1"/>
                <c:pt idx="0">
                  <c:v>88.830292390147392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A01-4462-9846-354DDDD817FD}"/>
            </c:ext>
          </c:extLst>
        </c:ser>
        <c:ser>
          <c:idx val="1"/>
          <c:order val="3"/>
          <c:tx>
            <c:v>blade stress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'Gulich-T14.1 - T14.3'!$AQ$16</c:f>
              <c:numCache>
                <c:formatCode>General</c:formatCode>
                <c:ptCount val="1"/>
                <c:pt idx="0">
                  <c:v>8.0324284790039044</c:v>
                </c:pt>
              </c:numCache>
            </c:numRef>
          </c:xVal>
          <c:yVal>
            <c:numRef>
              <c:f>'Gulich-T14.1 - T14.3'!$AR$16</c:f>
              <c:numCache>
                <c:formatCode>General</c:formatCode>
                <c:ptCount val="1"/>
                <c:pt idx="0">
                  <c:v>8.5045442098845552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01-4462-9846-354DDDD817FD}"/>
            </c:ext>
          </c:extLst>
        </c:ser>
        <c:ser>
          <c:idx val="4"/>
          <c:order val="4"/>
          <c:tx>
            <c:v>max stress shroud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'Gulich-T14.1 - T14.3'!$AS$10</c:f>
              <c:numCache>
                <c:formatCode>General</c:formatCode>
                <c:ptCount val="1"/>
                <c:pt idx="0">
                  <c:v>85.725647202304827</c:v>
                </c:pt>
              </c:numCache>
            </c:numRef>
          </c:xVal>
          <c:yVal>
            <c:numRef>
              <c:f>'Gulich-T14.1 - T14.3'!$AT$10</c:f>
              <c:numCache>
                <c:formatCode>General</c:formatCode>
                <c:ptCount val="1"/>
                <c:pt idx="0">
                  <c:v>49.705764598271372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8-471A-BE4F-3E5688AE3841}"/>
            </c:ext>
          </c:extLst>
        </c:ser>
        <c:ser>
          <c:idx val="5"/>
          <c:order val="5"/>
          <c:tx>
            <c:v>shroud stress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'Gulich-T14.1 - T14.3'!$AS$16</c:f>
              <c:numCache>
                <c:formatCode>General</c:formatCode>
                <c:ptCount val="1"/>
                <c:pt idx="0">
                  <c:v>31.878231284423464</c:v>
                </c:pt>
              </c:numCache>
            </c:numRef>
          </c:xVal>
          <c:yVal>
            <c:numRef>
              <c:f>'Gulich-T14.1 - T14.3'!$AT$16</c:f>
              <c:numCache>
                <c:formatCode>General</c:formatCode>
                <c:ptCount val="1"/>
                <c:pt idx="0">
                  <c:v>18.483754999171364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8-471A-BE4F-3E5688AE3841}"/>
            </c:ext>
          </c:extLst>
        </c:ser>
        <c:ser>
          <c:idx val="6"/>
          <c:order val="6"/>
          <c:tx>
            <c:v>shroud stress limit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'Gulich-T14.1 - T14.3'!$AS$13:$AS$14</c:f>
              <c:numCache>
                <c:formatCode>General</c:formatCode>
                <c:ptCount val="2"/>
                <c:pt idx="0">
                  <c:v>152</c:v>
                </c:pt>
                <c:pt idx="1">
                  <c:v>0</c:v>
                </c:pt>
              </c:numCache>
            </c:numRef>
          </c:xVal>
          <c:yVal>
            <c:numRef>
              <c:f>'Gulich-T14.1 - T14.3'!$AT$13:$AT$14</c:f>
              <c:numCache>
                <c:formatCode>General</c:formatCode>
                <c:ptCount val="2"/>
                <c:pt idx="0">
                  <c:v>0</c:v>
                </c:pt>
                <c:pt idx="1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3F0-ADAD-A69F85969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137791"/>
        <c:axId val="2134880239"/>
      </c:scatterChart>
      <c:valAx>
        <c:axId val="63013779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880239"/>
        <c:crossesAt val="0.1"/>
        <c:crossBetween val="midCat"/>
      </c:valAx>
      <c:valAx>
        <c:axId val="213488023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 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37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9994038610542584E-2"/>
          <c:y val="2.0207894216820482E-2"/>
          <c:w val="0.92391945836518641"/>
          <c:h val="0.22210960014801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2</xdr:col>
      <xdr:colOff>1522776</xdr:colOff>
      <xdr:row>2</xdr:row>
      <xdr:rowOff>206607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191171</xdr:colOff>
      <xdr:row>30</xdr:row>
      <xdr:rowOff>130660</xdr:rowOff>
    </xdr:from>
    <xdr:to>
      <xdr:col>7</xdr:col>
      <xdr:colOff>224117</xdr:colOff>
      <xdr:row>49</xdr:row>
      <xdr:rowOff>38100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D2333CD-E25A-435B-93D8-5D55AB78C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280147</xdr:colOff>
      <xdr:row>30</xdr:row>
      <xdr:rowOff>97043</xdr:rowOff>
    </xdr:from>
    <xdr:to>
      <xdr:col>12</xdr:col>
      <xdr:colOff>283734</xdr:colOff>
      <xdr:row>49</xdr:row>
      <xdr:rowOff>50538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225EB3C9-7225-4AB6-AD39-F9B0A4019B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28575</xdr:rowOff>
    </xdr:from>
    <xdr:to>
      <xdr:col>5</xdr:col>
      <xdr:colOff>151910</xdr:colOff>
      <xdr:row>140</xdr:row>
      <xdr:rowOff>57150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114826</xdr:colOff>
      <xdr:row>2</xdr:row>
      <xdr:rowOff>206607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F68CD7D9-5F22-4823-BF2B-8DF87E9E17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71148" cy="6404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78240</xdr:colOff>
      <xdr:row>15</xdr:row>
      <xdr:rowOff>43732</xdr:rowOff>
    </xdr:from>
    <xdr:to>
      <xdr:col>7</xdr:col>
      <xdr:colOff>1123813</xdr:colOff>
      <xdr:row>58</xdr:row>
      <xdr:rowOff>112644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D3E8E922-1C26-4B8D-B859-8868A5E72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840" y="4231419"/>
          <a:ext cx="6171348" cy="71919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62699</xdr:colOff>
      <xdr:row>14</xdr:row>
      <xdr:rowOff>24104</xdr:rowOff>
    </xdr:from>
    <xdr:to>
      <xdr:col>18</xdr:col>
      <xdr:colOff>248840</xdr:colOff>
      <xdr:row>63</xdr:row>
      <xdr:rowOff>34375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768CE9CE-F48C-4372-9D2E-A4F7DF420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26038" y="4046139"/>
          <a:ext cx="5386874" cy="8127227"/>
        </a:xfrm>
        <a:prstGeom prst="rect">
          <a:avLst/>
        </a:prstGeom>
      </xdr:spPr>
    </xdr:pic>
    <xdr:clientData/>
  </xdr:twoCellAnchor>
  <xdr:twoCellAnchor>
    <xdr:from>
      <xdr:col>46</xdr:col>
      <xdr:colOff>308523</xdr:colOff>
      <xdr:row>5</xdr:row>
      <xdr:rowOff>38100</xdr:rowOff>
    </xdr:from>
    <xdr:to>
      <xdr:col>54</xdr:col>
      <xdr:colOff>439436</xdr:colOff>
      <xdr:row>28</xdr:row>
      <xdr:rowOff>18221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8BA82F79-7E49-11B9-0E38-B069E00A5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22</xdr:col>
      <xdr:colOff>583095</xdr:colOff>
      <xdr:row>17</xdr:row>
      <xdr:rowOff>6626</xdr:rowOff>
    </xdr:from>
    <xdr:to>
      <xdr:col>30</xdr:col>
      <xdr:colOff>438563</xdr:colOff>
      <xdr:row>64</xdr:row>
      <xdr:rowOff>135338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144A0E7E-8F70-E3EE-7B76-C752B29BF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53182" y="4525617"/>
          <a:ext cx="5093804" cy="79181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tabSelected="1" topLeftCell="A30" zoomScale="110" zoomScaleNormal="110" zoomScaleSheetLayoutView="100" workbookViewId="0">
      <selection activeCell="AF18" sqref="AF18"/>
    </sheetView>
  </sheetViews>
  <sheetFormatPr defaultRowHeight="12" x14ac:dyDescent="0.2"/>
  <cols>
    <col min="1" max="30" width="3.28515625" style="13" customWidth="1"/>
    <col min="31" max="256" width="9.140625" style="13"/>
    <col min="257" max="286" width="3.28515625" style="13" customWidth="1"/>
    <col min="287" max="512" width="9.140625" style="13"/>
    <col min="513" max="542" width="3.28515625" style="13" customWidth="1"/>
    <col min="543" max="768" width="9.140625" style="13"/>
    <col min="769" max="798" width="3.28515625" style="13" customWidth="1"/>
    <col min="799" max="1024" width="9.140625" style="13"/>
    <col min="1025" max="1054" width="3.28515625" style="13" customWidth="1"/>
    <col min="1055" max="1280" width="9.140625" style="13"/>
    <col min="1281" max="1310" width="3.28515625" style="13" customWidth="1"/>
    <col min="1311" max="1536" width="9.140625" style="13"/>
    <col min="1537" max="1566" width="3.28515625" style="13" customWidth="1"/>
    <col min="1567" max="1792" width="9.140625" style="13"/>
    <col min="1793" max="1822" width="3.28515625" style="13" customWidth="1"/>
    <col min="1823" max="2048" width="9.140625" style="13"/>
    <col min="2049" max="2078" width="3.28515625" style="13" customWidth="1"/>
    <col min="2079" max="2304" width="9.140625" style="13"/>
    <col min="2305" max="2334" width="3.28515625" style="13" customWidth="1"/>
    <col min="2335" max="2560" width="9.140625" style="13"/>
    <col min="2561" max="2590" width="3.28515625" style="13" customWidth="1"/>
    <col min="2591" max="2816" width="9.140625" style="13"/>
    <col min="2817" max="2846" width="3.28515625" style="13" customWidth="1"/>
    <col min="2847" max="3072" width="9.140625" style="13"/>
    <col min="3073" max="3102" width="3.28515625" style="13" customWidth="1"/>
    <col min="3103" max="3328" width="9.140625" style="13"/>
    <col min="3329" max="3358" width="3.28515625" style="13" customWidth="1"/>
    <col min="3359" max="3584" width="9.140625" style="13"/>
    <col min="3585" max="3614" width="3.28515625" style="13" customWidth="1"/>
    <col min="3615" max="3840" width="9.140625" style="13"/>
    <col min="3841" max="3870" width="3.28515625" style="13" customWidth="1"/>
    <col min="3871" max="4096" width="9.140625" style="13"/>
    <col min="4097" max="4126" width="3.28515625" style="13" customWidth="1"/>
    <col min="4127" max="4352" width="9.140625" style="13"/>
    <col min="4353" max="4382" width="3.28515625" style="13" customWidth="1"/>
    <col min="4383" max="4608" width="9.140625" style="13"/>
    <col min="4609" max="4638" width="3.28515625" style="13" customWidth="1"/>
    <col min="4639" max="4864" width="9.140625" style="13"/>
    <col min="4865" max="4894" width="3.28515625" style="13" customWidth="1"/>
    <col min="4895" max="5120" width="9.140625" style="13"/>
    <col min="5121" max="5150" width="3.28515625" style="13" customWidth="1"/>
    <col min="5151" max="5376" width="9.140625" style="13"/>
    <col min="5377" max="5406" width="3.28515625" style="13" customWidth="1"/>
    <col min="5407" max="5632" width="9.140625" style="13"/>
    <col min="5633" max="5662" width="3.28515625" style="13" customWidth="1"/>
    <col min="5663" max="5888" width="9.140625" style="13"/>
    <col min="5889" max="5918" width="3.28515625" style="13" customWidth="1"/>
    <col min="5919" max="6144" width="9.140625" style="13"/>
    <col min="6145" max="6174" width="3.28515625" style="13" customWidth="1"/>
    <col min="6175" max="6400" width="9.140625" style="13"/>
    <col min="6401" max="6430" width="3.28515625" style="13" customWidth="1"/>
    <col min="6431" max="6656" width="9.140625" style="13"/>
    <col min="6657" max="6686" width="3.28515625" style="13" customWidth="1"/>
    <col min="6687" max="6912" width="9.140625" style="13"/>
    <col min="6913" max="6942" width="3.28515625" style="13" customWidth="1"/>
    <col min="6943" max="7168" width="9.140625" style="13"/>
    <col min="7169" max="7198" width="3.28515625" style="13" customWidth="1"/>
    <col min="7199" max="7424" width="9.140625" style="13"/>
    <col min="7425" max="7454" width="3.28515625" style="13" customWidth="1"/>
    <col min="7455" max="7680" width="9.140625" style="13"/>
    <col min="7681" max="7710" width="3.28515625" style="13" customWidth="1"/>
    <col min="7711" max="7936" width="9.140625" style="13"/>
    <col min="7937" max="7966" width="3.28515625" style="13" customWidth="1"/>
    <col min="7967" max="8192" width="9.140625" style="13"/>
    <col min="8193" max="8222" width="3.28515625" style="13" customWidth="1"/>
    <col min="8223" max="8448" width="9.140625" style="13"/>
    <col min="8449" max="8478" width="3.28515625" style="13" customWidth="1"/>
    <col min="8479" max="8704" width="9.140625" style="13"/>
    <col min="8705" max="8734" width="3.28515625" style="13" customWidth="1"/>
    <col min="8735" max="8960" width="9.140625" style="13"/>
    <col min="8961" max="8990" width="3.28515625" style="13" customWidth="1"/>
    <col min="8991" max="9216" width="9.140625" style="13"/>
    <col min="9217" max="9246" width="3.28515625" style="13" customWidth="1"/>
    <col min="9247" max="9472" width="9.140625" style="13"/>
    <col min="9473" max="9502" width="3.28515625" style="13" customWidth="1"/>
    <col min="9503" max="9728" width="9.140625" style="13"/>
    <col min="9729" max="9758" width="3.28515625" style="13" customWidth="1"/>
    <col min="9759" max="9984" width="9.140625" style="13"/>
    <col min="9985" max="10014" width="3.28515625" style="13" customWidth="1"/>
    <col min="10015" max="10240" width="9.140625" style="13"/>
    <col min="10241" max="10270" width="3.28515625" style="13" customWidth="1"/>
    <col min="10271" max="10496" width="9.140625" style="13"/>
    <col min="10497" max="10526" width="3.28515625" style="13" customWidth="1"/>
    <col min="10527" max="10752" width="9.140625" style="13"/>
    <col min="10753" max="10782" width="3.28515625" style="13" customWidth="1"/>
    <col min="10783" max="11008" width="9.140625" style="13"/>
    <col min="11009" max="11038" width="3.28515625" style="13" customWidth="1"/>
    <col min="11039" max="11264" width="9.140625" style="13"/>
    <col min="11265" max="11294" width="3.28515625" style="13" customWidth="1"/>
    <col min="11295" max="11520" width="9.140625" style="13"/>
    <col min="11521" max="11550" width="3.28515625" style="13" customWidth="1"/>
    <col min="11551" max="11776" width="9.140625" style="13"/>
    <col min="11777" max="11806" width="3.28515625" style="13" customWidth="1"/>
    <col min="11807" max="12032" width="9.140625" style="13"/>
    <col min="12033" max="12062" width="3.28515625" style="13" customWidth="1"/>
    <col min="12063" max="12288" width="9.140625" style="13"/>
    <col min="12289" max="12318" width="3.28515625" style="13" customWidth="1"/>
    <col min="12319" max="12544" width="9.140625" style="13"/>
    <col min="12545" max="12574" width="3.28515625" style="13" customWidth="1"/>
    <col min="12575" max="12800" width="9.140625" style="13"/>
    <col min="12801" max="12830" width="3.28515625" style="13" customWidth="1"/>
    <col min="12831" max="13056" width="9.140625" style="13"/>
    <col min="13057" max="13086" width="3.28515625" style="13" customWidth="1"/>
    <col min="13087" max="13312" width="9.140625" style="13"/>
    <col min="13313" max="13342" width="3.28515625" style="13" customWidth="1"/>
    <col min="13343" max="13568" width="9.140625" style="13"/>
    <col min="13569" max="13598" width="3.28515625" style="13" customWidth="1"/>
    <col min="13599" max="13824" width="9.140625" style="13"/>
    <col min="13825" max="13854" width="3.28515625" style="13" customWidth="1"/>
    <col min="13855" max="14080" width="9.140625" style="13"/>
    <col min="14081" max="14110" width="3.28515625" style="13" customWidth="1"/>
    <col min="14111" max="14336" width="9.140625" style="13"/>
    <col min="14337" max="14366" width="3.28515625" style="13" customWidth="1"/>
    <col min="14367" max="14592" width="9.140625" style="13"/>
    <col min="14593" max="14622" width="3.28515625" style="13" customWidth="1"/>
    <col min="14623" max="14848" width="9.140625" style="13"/>
    <col min="14849" max="14878" width="3.28515625" style="13" customWidth="1"/>
    <col min="14879" max="15104" width="9.140625" style="13"/>
    <col min="15105" max="15134" width="3.28515625" style="13" customWidth="1"/>
    <col min="15135" max="15360" width="9.140625" style="13"/>
    <col min="15361" max="15390" width="3.28515625" style="13" customWidth="1"/>
    <col min="15391" max="15616" width="9.140625" style="13"/>
    <col min="15617" max="15646" width="3.28515625" style="13" customWidth="1"/>
    <col min="15647" max="15872" width="9.140625" style="13"/>
    <col min="15873" max="15902" width="3.28515625" style="13" customWidth="1"/>
    <col min="15903" max="16128" width="9.140625" style="13"/>
    <col min="16129" max="16158" width="3.28515625" style="13" customWidth="1"/>
    <col min="16159" max="16384" width="9.140625" style="13"/>
  </cols>
  <sheetData>
    <row r="1" spans="1:30" ht="15" customHeight="1" x14ac:dyDescent="0.2">
      <c r="A1" s="10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2"/>
    </row>
    <row r="2" spans="1:30" ht="15" customHeight="1" x14ac:dyDescent="0.2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6"/>
    </row>
    <row r="3" spans="1:30" ht="15" customHeight="1" x14ac:dyDescent="0.2">
      <c r="A3" s="14"/>
      <c r="B3" s="15"/>
      <c r="C3" s="15"/>
      <c r="D3" s="15"/>
      <c r="E3" s="15"/>
      <c r="F3" s="15"/>
      <c r="G3" s="15"/>
      <c r="H3" s="17"/>
      <c r="I3" s="17"/>
      <c r="J3" s="17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9"/>
      <c r="X3" s="19"/>
      <c r="Y3" s="19"/>
      <c r="Z3" s="19"/>
      <c r="AA3" s="19"/>
      <c r="AB3" s="19"/>
      <c r="AC3" s="19"/>
      <c r="AD3" s="20"/>
    </row>
    <row r="4" spans="1:30" ht="15" customHeight="1" x14ac:dyDescent="0.2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6"/>
    </row>
    <row r="5" spans="1:30" ht="15" customHeight="1" x14ac:dyDescent="0.2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6"/>
    </row>
    <row r="6" spans="1:30" ht="15" customHeight="1" x14ac:dyDescent="0.2">
      <c r="A6" s="14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6"/>
    </row>
    <row r="7" spans="1:30" ht="15" customHeight="1" thickBot="1" x14ac:dyDescent="0.25">
      <c r="A7" s="21"/>
      <c r="B7" s="22"/>
      <c r="C7" s="22"/>
      <c r="D7" s="22"/>
      <c r="E7" s="22"/>
      <c r="F7" s="23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22"/>
      <c r="AB7" s="22"/>
      <c r="AC7" s="22"/>
      <c r="AD7" s="24"/>
    </row>
    <row r="8" spans="1:30" ht="15" customHeight="1" x14ac:dyDescent="0.2">
      <c r="A8" s="127" t="s">
        <v>209</v>
      </c>
      <c r="B8" s="128"/>
      <c r="C8" s="128"/>
      <c r="D8" s="128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9"/>
    </row>
    <row r="9" spans="1:30" ht="15" customHeight="1" x14ac:dyDescent="0.2">
      <c r="A9" s="130"/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  <c r="X9" s="131"/>
      <c r="Y9" s="131"/>
      <c r="Z9" s="131"/>
      <c r="AA9" s="131"/>
      <c r="AB9" s="131"/>
      <c r="AC9" s="131"/>
      <c r="AD9" s="132"/>
    </row>
    <row r="10" spans="1:30" ht="15" customHeight="1" x14ac:dyDescent="0.2">
      <c r="A10" s="130"/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132"/>
    </row>
    <row r="11" spans="1:30" ht="15" customHeight="1" x14ac:dyDescent="0.2">
      <c r="A11" s="130"/>
      <c r="B11" s="131"/>
      <c r="C11" s="131"/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  <c r="X11" s="131"/>
      <c r="Y11" s="131"/>
      <c r="Z11" s="131"/>
      <c r="AA11" s="131"/>
      <c r="AB11" s="131"/>
      <c r="AC11" s="131"/>
      <c r="AD11" s="132"/>
    </row>
    <row r="12" spans="1:30" ht="15" customHeight="1" x14ac:dyDescent="0.2">
      <c r="A12" s="130"/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2"/>
    </row>
    <row r="13" spans="1:30" ht="15" customHeight="1" x14ac:dyDescent="0.2">
      <c r="A13" s="130"/>
      <c r="B13" s="131"/>
      <c r="C13" s="131"/>
      <c r="D13" s="131"/>
      <c r="E13" s="131"/>
      <c r="F13" s="131"/>
      <c r="G13" s="131"/>
      <c r="H13" s="131"/>
      <c r="I13" s="131"/>
      <c r="J13" s="131"/>
      <c r="K13" s="131"/>
      <c r="L13" s="131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  <c r="X13" s="131"/>
      <c r="Y13" s="131"/>
      <c r="Z13" s="131"/>
      <c r="AA13" s="131"/>
      <c r="AB13" s="131"/>
      <c r="AC13" s="131"/>
      <c r="AD13" s="132"/>
    </row>
    <row r="14" spans="1:30" ht="15" customHeight="1" x14ac:dyDescent="0.2">
      <c r="A14" s="130"/>
      <c r="B14" s="131"/>
      <c r="C14" s="131"/>
      <c r="D14" s="131"/>
      <c r="E14" s="131"/>
      <c r="F14" s="131"/>
      <c r="G14" s="131"/>
      <c r="H14" s="131"/>
      <c r="I14" s="131"/>
      <c r="J14" s="131"/>
      <c r="K14" s="131"/>
      <c r="L14" s="131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  <c r="X14" s="131"/>
      <c r="Y14" s="131"/>
      <c r="Z14" s="131"/>
      <c r="AA14" s="131"/>
      <c r="AB14" s="131"/>
      <c r="AC14" s="131"/>
      <c r="AD14" s="132"/>
    </row>
    <row r="15" spans="1:30" ht="15" customHeight="1" x14ac:dyDescent="0.2">
      <c r="A15" s="130"/>
      <c r="B15" s="131"/>
      <c r="C15" s="131"/>
      <c r="D15" s="131"/>
      <c r="E15" s="131"/>
      <c r="F15" s="131"/>
      <c r="G15" s="131"/>
      <c r="H15" s="131"/>
      <c r="I15" s="131"/>
      <c r="J15" s="131"/>
      <c r="K15" s="131"/>
      <c r="L15" s="131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2"/>
    </row>
    <row r="16" spans="1:30" ht="15" customHeight="1" x14ac:dyDescent="0.2">
      <c r="A16" s="130"/>
      <c r="B16" s="131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2"/>
    </row>
    <row r="17" spans="1:30" ht="15" customHeight="1" x14ac:dyDescent="0.2">
      <c r="A17" s="130"/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2"/>
    </row>
    <row r="18" spans="1:30" ht="15" customHeight="1" x14ac:dyDescent="0.2">
      <c r="A18" s="130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2"/>
    </row>
    <row r="19" spans="1:30" ht="15" customHeight="1" x14ac:dyDescent="0.2">
      <c r="A19" s="130"/>
      <c r="B19" s="131"/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2"/>
    </row>
    <row r="20" spans="1:30" ht="15" customHeight="1" x14ac:dyDescent="0.2">
      <c r="A20" s="130"/>
      <c r="B20" s="131"/>
      <c r="C20" s="131"/>
      <c r="D20" s="131"/>
      <c r="E20" s="131"/>
      <c r="F20" s="131"/>
      <c r="G20" s="131"/>
      <c r="H20" s="131"/>
      <c r="I20" s="131"/>
      <c r="J20" s="131"/>
      <c r="K20" s="131"/>
      <c r="L20" s="131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2"/>
    </row>
    <row r="21" spans="1:30" ht="15" customHeight="1" x14ac:dyDescent="0.2">
      <c r="A21" s="130"/>
      <c r="B21" s="131"/>
      <c r="C21" s="131"/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2"/>
    </row>
    <row r="22" spans="1:30" ht="15" customHeight="1" x14ac:dyDescent="0.2">
      <c r="A22" s="130"/>
      <c r="B22" s="131"/>
      <c r="C22" s="131"/>
      <c r="D22" s="131"/>
      <c r="E22" s="131"/>
      <c r="F22" s="131"/>
      <c r="G22" s="131"/>
      <c r="H22" s="131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2"/>
    </row>
    <row r="23" spans="1:30" ht="15" customHeight="1" x14ac:dyDescent="0.2">
      <c r="A23" s="130"/>
      <c r="B23" s="131"/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2"/>
    </row>
    <row r="24" spans="1:30" ht="15" customHeight="1" x14ac:dyDescent="0.2">
      <c r="A24" s="130"/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2"/>
    </row>
    <row r="25" spans="1:30" ht="15" customHeight="1" x14ac:dyDescent="0.2">
      <c r="A25" s="130"/>
      <c r="B25" s="131"/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2"/>
    </row>
    <row r="26" spans="1:30" ht="15" customHeight="1" x14ac:dyDescent="0.2">
      <c r="A26" s="130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2"/>
    </row>
    <row r="27" spans="1:30" ht="15" customHeight="1" x14ac:dyDescent="0.2">
      <c r="A27" s="130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2"/>
    </row>
    <row r="28" spans="1:30" ht="15" customHeight="1" x14ac:dyDescent="0.2">
      <c r="A28" s="130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2"/>
    </row>
    <row r="29" spans="1:30" ht="15" customHeight="1" x14ac:dyDescent="0.2">
      <c r="A29" s="130"/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2"/>
    </row>
    <row r="30" spans="1:30" ht="15" customHeight="1" x14ac:dyDescent="0.2">
      <c r="A30" s="130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2"/>
    </row>
    <row r="31" spans="1:30" ht="15" customHeight="1" x14ac:dyDescent="0.2">
      <c r="A31" s="130"/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2"/>
    </row>
    <row r="32" spans="1:30" ht="15" customHeight="1" x14ac:dyDescent="0.2">
      <c r="A32" s="130"/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2"/>
    </row>
    <row r="33" spans="1:30" ht="15" customHeight="1" x14ac:dyDescent="0.2">
      <c r="A33" s="130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2"/>
    </row>
    <row r="34" spans="1:30" ht="15" customHeight="1" x14ac:dyDescent="0.2">
      <c r="A34" s="130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2"/>
    </row>
    <row r="35" spans="1:30" ht="15" customHeight="1" x14ac:dyDescent="0.2">
      <c r="A35" s="130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2"/>
    </row>
    <row r="36" spans="1:30" ht="15" customHeight="1" x14ac:dyDescent="0.2">
      <c r="A36" s="130"/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2"/>
    </row>
    <row r="37" spans="1:30" ht="15" customHeight="1" x14ac:dyDescent="0.2">
      <c r="A37" s="130"/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2"/>
    </row>
    <row r="38" spans="1:30" ht="15" customHeight="1" x14ac:dyDescent="0.2">
      <c r="A38" s="130"/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2"/>
    </row>
    <row r="39" spans="1:30" ht="15" customHeight="1" thickBot="1" x14ac:dyDescent="0.25">
      <c r="A39" s="133"/>
      <c r="B39" s="134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  <c r="AB39" s="134"/>
      <c r="AC39" s="134"/>
      <c r="AD39" s="135"/>
    </row>
    <row r="40" spans="1:30" ht="30" customHeight="1" x14ac:dyDescent="0.2">
      <c r="A40" s="136"/>
      <c r="B40" s="137"/>
      <c r="C40" s="138"/>
      <c r="D40" s="139"/>
      <c r="E40" s="139"/>
      <c r="F40" s="137"/>
      <c r="G40" s="138"/>
      <c r="H40" s="139"/>
      <c r="I40" s="139"/>
      <c r="J40" s="139"/>
      <c r="K40" s="139"/>
      <c r="L40" s="139"/>
      <c r="M40" s="139"/>
      <c r="N40" s="139"/>
      <c r="O40" s="139"/>
      <c r="P40" s="138"/>
      <c r="Q40" s="139"/>
      <c r="R40" s="139"/>
      <c r="S40" s="139"/>
      <c r="T40" s="137"/>
      <c r="U40" s="138"/>
      <c r="V40" s="139"/>
      <c r="W40" s="139"/>
      <c r="X40" s="139"/>
      <c r="Y40" s="137"/>
      <c r="Z40" s="138"/>
      <c r="AA40" s="139"/>
      <c r="AB40" s="139"/>
      <c r="AC40" s="139"/>
      <c r="AD40" s="140"/>
    </row>
    <row r="41" spans="1:30" ht="30" customHeight="1" x14ac:dyDescent="0.2">
      <c r="A41" s="144"/>
      <c r="B41" s="145"/>
      <c r="C41" s="141"/>
      <c r="D41" s="142"/>
      <c r="E41" s="142"/>
      <c r="F41" s="145"/>
      <c r="G41" s="141"/>
      <c r="H41" s="142"/>
      <c r="I41" s="142"/>
      <c r="J41" s="142"/>
      <c r="K41" s="142"/>
      <c r="L41" s="142"/>
      <c r="M41" s="142"/>
      <c r="N41" s="142"/>
      <c r="O41" s="142"/>
      <c r="P41" s="141"/>
      <c r="Q41" s="142"/>
      <c r="R41" s="142"/>
      <c r="S41" s="142"/>
      <c r="T41" s="145"/>
      <c r="U41" s="141"/>
      <c r="V41" s="142"/>
      <c r="W41" s="142"/>
      <c r="X41" s="142"/>
      <c r="Y41" s="145"/>
      <c r="Z41" s="141"/>
      <c r="AA41" s="142"/>
      <c r="AB41" s="142"/>
      <c r="AC41" s="142"/>
      <c r="AD41" s="143"/>
    </row>
    <row r="42" spans="1:30" ht="30" customHeight="1" x14ac:dyDescent="0.2">
      <c r="A42" s="144"/>
      <c r="B42" s="145"/>
      <c r="C42" s="141"/>
      <c r="D42" s="142"/>
      <c r="E42" s="142"/>
      <c r="F42" s="145"/>
      <c r="G42" s="141"/>
      <c r="H42" s="142"/>
      <c r="I42" s="142"/>
      <c r="J42" s="142"/>
      <c r="K42" s="142"/>
      <c r="L42" s="142"/>
      <c r="M42" s="142"/>
      <c r="N42" s="142"/>
      <c r="O42" s="142"/>
      <c r="P42" s="141"/>
      <c r="Q42" s="142"/>
      <c r="R42" s="142"/>
      <c r="S42" s="142"/>
      <c r="T42" s="145"/>
      <c r="U42" s="141"/>
      <c r="V42" s="142"/>
      <c r="W42" s="142"/>
      <c r="X42" s="142"/>
      <c r="Y42" s="145"/>
      <c r="Z42" s="141"/>
      <c r="AA42" s="142"/>
      <c r="AB42" s="142"/>
      <c r="AC42" s="142"/>
      <c r="AD42" s="143"/>
    </row>
    <row r="43" spans="1:30" ht="30" customHeight="1" x14ac:dyDescent="0.2">
      <c r="A43" s="144"/>
      <c r="B43" s="145"/>
      <c r="C43" s="141"/>
      <c r="D43" s="142"/>
      <c r="E43" s="142"/>
      <c r="F43" s="145"/>
      <c r="G43" s="141"/>
      <c r="H43" s="142"/>
      <c r="I43" s="142"/>
      <c r="J43" s="142"/>
      <c r="K43" s="142"/>
      <c r="L43" s="142"/>
      <c r="M43" s="142"/>
      <c r="N43" s="142"/>
      <c r="O43" s="142"/>
      <c r="P43" s="141"/>
      <c r="Q43" s="142"/>
      <c r="R43" s="142"/>
      <c r="S43" s="142"/>
      <c r="T43" s="145"/>
      <c r="U43" s="141"/>
      <c r="V43" s="142"/>
      <c r="W43" s="142"/>
      <c r="X43" s="142"/>
      <c r="Y43" s="145"/>
      <c r="Z43" s="141"/>
      <c r="AA43" s="142"/>
      <c r="AB43" s="142"/>
      <c r="AC43" s="142"/>
      <c r="AD43" s="143"/>
    </row>
    <row r="44" spans="1:30" ht="30" customHeight="1" x14ac:dyDescent="0.2">
      <c r="A44" s="144"/>
      <c r="B44" s="145"/>
      <c r="C44" s="141"/>
      <c r="D44" s="142"/>
      <c r="E44" s="142"/>
      <c r="F44" s="145"/>
      <c r="G44" s="141"/>
      <c r="H44" s="142"/>
      <c r="I44" s="142"/>
      <c r="J44" s="142"/>
      <c r="K44" s="142"/>
      <c r="L44" s="142"/>
      <c r="M44" s="142"/>
      <c r="N44" s="142"/>
      <c r="O44" s="142"/>
      <c r="P44" s="141"/>
      <c r="Q44" s="142"/>
      <c r="R44" s="142"/>
      <c r="S44" s="142"/>
      <c r="T44" s="145"/>
      <c r="U44" s="141"/>
      <c r="V44" s="142"/>
      <c r="W44" s="142"/>
      <c r="X44" s="142"/>
      <c r="Y44" s="145"/>
      <c r="Z44" s="141"/>
      <c r="AA44" s="142"/>
      <c r="AB44" s="142"/>
      <c r="AC44" s="142"/>
      <c r="AD44" s="143"/>
    </row>
    <row r="45" spans="1:30" ht="30" customHeight="1" x14ac:dyDescent="0.2">
      <c r="A45" s="144"/>
      <c r="B45" s="145"/>
      <c r="C45" s="141"/>
      <c r="D45" s="142"/>
      <c r="E45" s="142"/>
      <c r="F45" s="145"/>
      <c r="G45" s="141"/>
      <c r="H45" s="142"/>
      <c r="I45" s="142"/>
      <c r="J45" s="142"/>
      <c r="K45" s="142"/>
      <c r="L45" s="142"/>
      <c r="M45" s="142"/>
      <c r="N45" s="142"/>
      <c r="O45" s="142"/>
      <c r="P45" s="141"/>
      <c r="Q45" s="142"/>
      <c r="R45" s="142"/>
      <c r="S45" s="142"/>
      <c r="T45" s="145"/>
      <c r="U45" s="141"/>
      <c r="V45" s="142"/>
      <c r="W45" s="142"/>
      <c r="X45" s="142"/>
      <c r="Y45" s="145"/>
      <c r="Z45" s="141"/>
      <c r="AA45" s="142"/>
      <c r="AB45" s="142"/>
      <c r="AC45" s="142"/>
      <c r="AD45" s="143"/>
    </row>
    <row r="46" spans="1:30" ht="30" customHeight="1" x14ac:dyDescent="0.2">
      <c r="A46" s="149">
        <v>0</v>
      </c>
      <c r="B46" s="150"/>
      <c r="C46" s="151">
        <v>45695</v>
      </c>
      <c r="D46" s="152"/>
      <c r="E46" s="152"/>
      <c r="F46" s="153"/>
      <c r="G46" s="154" t="s">
        <v>0</v>
      </c>
      <c r="H46" s="155"/>
      <c r="I46" s="155"/>
      <c r="J46" s="155"/>
      <c r="K46" s="155"/>
      <c r="L46" s="155"/>
      <c r="M46" s="155"/>
      <c r="N46" s="155"/>
      <c r="O46" s="155"/>
      <c r="P46" s="146" t="s">
        <v>1</v>
      </c>
      <c r="Q46" s="147"/>
      <c r="R46" s="147"/>
      <c r="S46" s="147"/>
      <c r="T46" s="156"/>
      <c r="U46" s="146" t="s">
        <v>208</v>
      </c>
      <c r="V46" s="147"/>
      <c r="W46" s="147"/>
      <c r="X46" s="147"/>
      <c r="Y46" s="156"/>
      <c r="Z46" s="146" t="s">
        <v>2</v>
      </c>
      <c r="AA46" s="147"/>
      <c r="AB46" s="147"/>
      <c r="AC46" s="147"/>
      <c r="AD46" s="148"/>
    </row>
    <row r="47" spans="1:30" ht="15" customHeight="1" thickBot="1" x14ac:dyDescent="0.25">
      <c r="A47" s="160" t="s">
        <v>3</v>
      </c>
      <c r="B47" s="161"/>
      <c r="C47" s="162" t="s">
        <v>4</v>
      </c>
      <c r="D47" s="163"/>
      <c r="E47" s="163"/>
      <c r="F47" s="164"/>
      <c r="G47" s="162" t="s">
        <v>5</v>
      </c>
      <c r="H47" s="163"/>
      <c r="I47" s="163"/>
      <c r="J47" s="163"/>
      <c r="K47" s="163"/>
      <c r="L47" s="163"/>
      <c r="M47" s="163"/>
      <c r="N47" s="163"/>
      <c r="O47" s="163"/>
      <c r="P47" s="162" t="s">
        <v>6</v>
      </c>
      <c r="Q47" s="163"/>
      <c r="R47" s="163"/>
      <c r="S47" s="163"/>
      <c r="T47" s="164"/>
      <c r="U47" s="162" t="s">
        <v>7</v>
      </c>
      <c r="V47" s="163"/>
      <c r="W47" s="163"/>
      <c r="X47" s="163"/>
      <c r="Y47" s="163"/>
      <c r="Z47" s="162" t="s">
        <v>8</v>
      </c>
      <c r="AA47" s="163"/>
      <c r="AB47" s="163"/>
      <c r="AC47" s="163"/>
      <c r="AD47" s="165"/>
    </row>
    <row r="48" spans="1:30" ht="15" customHeight="1" thickBot="1" x14ac:dyDescent="0.25">
      <c r="A48" s="157" t="s">
        <v>9</v>
      </c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158"/>
      <c r="AB48" s="158"/>
      <c r="AC48" s="158"/>
      <c r="AD48" s="159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U53"/>
  <sheetViews>
    <sheetView zoomScale="85" zoomScaleNormal="85" workbookViewId="0">
      <selection activeCell="E28" sqref="E28"/>
    </sheetView>
  </sheetViews>
  <sheetFormatPr defaultColWidth="9.140625" defaultRowHeight="12.75" x14ac:dyDescent="0.2"/>
  <cols>
    <col min="1" max="1" width="7.5703125" style="3" customWidth="1"/>
    <col min="2" max="2" width="7.7109375" style="3" customWidth="1"/>
    <col min="3" max="3" width="24.5703125" style="3" customWidth="1"/>
    <col min="4" max="4" width="12.42578125" style="3" customWidth="1"/>
    <col min="5" max="5" width="15.28515625" style="3" customWidth="1"/>
    <col min="6" max="6" width="9.5703125" style="3" customWidth="1"/>
    <col min="7" max="7" width="12.5703125" style="3" customWidth="1"/>
    <col min="8" max="8" width="12.140625" style="3" customWidth="1"/>
    <col min="9" max="9" width="37.140625" style="3" customWidth="1"/>
    <col min="10" max="10" width="16.28515625" style="3" customWidth="1"/>
    <col min="11" max="11" width="9.42578125" style="3" customWidth="1"/>
    <col min="12" max="12" width="7.42578125" style="3" customWidth="1"/>
    <col min="13" max="13" width="5.85546875" style="3" customWidth="1"/>
    <col min="14" max="14" width="10.28515625" style="3" customWidth="1"/>
    <col min="15" max="19" width="0" style="3" hidden="1" customWidth="1"/>
    <col min="20" max="20" width="9.140625" style="3"/>
    <col min="21" max="21" width="12.28515625" style="3" bestFit="1" customWidth="1"/>
    <col min="22" max="16384" width="9.140625" style="3"/>
  </cols>
  <sheetData>
    <row r="1" spans="1:13" ht="18.75" customHeight="1" x14ac:dyDescent="0.2">
      <c r="A1" s="175"/>
      <c r="B1" s="176"/>
      <c r="C1" s="176"/>
      <c r="D1" s="176"/>
      <c r="E1" s="177"/>
      <c r="F1" s="166" t="s">
        <v>10</v>
      </c>
      <c r="G1" s="167"/>
      <c r="H1" s="167"/>
      <c r="I1" s="167"/>
      <c r="J1" s="167"/>
      <c r="K1" s="167"/>
      <c r="L1" s="167"/>
      <c r="M1" s="168"/>
    </row>
    <row r="2" spans="1:13" ht="18.75" customHeight="1" x14ac:dyDescent="0.2">
      <c r="A2" s="178"/>
      <c r="B2" s="179"/>
      <c r="C2" s="179"/>
      <c r="D2" s="179"/>
      <c r="E2" s="180"/>
      <c r="F2" s="169"/>
      <c r="G2" s="170"/>
      <c r="H2" s="170"/>
      <c r="I2" s="170"/>
      <c r="J2" s="170"/>
      <c r="K2" s="170"/>
      <c r="L2" s="170"/>
      <c r="M2" s="171"/>
    </row>
    <row r="3" spans="1:13" ht="18.75" customHeight="1" x14ac:dyDescent="0.2">
      <c r="A3" s="181"/>
      <c r="B3" s="182"/>
      <c r="C3" s="182"/>
      <c r="D3" s="182"/>
      <c r="E3" s="183"/>
      <c r="F3" s="172"/>
      <c r="G3" s="173"/>
      <c r="H3" s="173"/>
      <c r="I3" s="173"/>
      <c r="J3" s="173"/>
      <c r="K3" s="173"/>
      <c r="L3" s="173"/>
      <c r="M3" s="174"/>
    </row>
    <row r="4" spans="1:13" ht="15.75" x14ac:dyDescent="0.25">
      <c r="A4" s="10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46"/>
    </row>
    <row r="5" spans="1:13" ht="15.75" x14ac:dyDescent="0.25">
      <c r="A5" s="105"/>
      <c r="B5" s="98" t="s">
        <v>11</v>
      </c>
      <c r="C5" s="99"/>
      <c r="D5" s="100"/>
      <c r="E5" s="106"/>
      <c r="F5" s="107"/>
      <c r="G5" s="107"/>
      <c r="H5" s="97"/>
      <c r="I5" s="97"/>
      <c r="J5" s="97"/>
      <c r="K5" s="97"/>
      <c r="L5" s="97"/>
      <c r="M5" s="39"/>
    </row>
    <row r="6" spans="1:13" ht="15.75" x14ac:dyDescent="0.25">
      <c r="A6" s="105"/>
      <c r="B6" s="98" t="s">
        <v>12</v>
      </c>
      <c r="C6" s="99"/>
      <c r="D6" s="100"/>
      <c r="E6" s="106"/>
      <c r="F6" s="107"/>
      <c r="G6" s="107"/>
      <c r="H6" s="97"/>
      <c r="I6" s="112" t="s">
        <v>13</v>
      </c>
      <c r="J6" s="113" t="s">
        <v>14</v>
      </c>
      <c r="K6" s="97"/>
      <c r="L6" s="97"/>
      <c r="M6" s="39"/>
    </row>
    <row r="7" spans="1:13" ht="15.75" x14ac:dyDescent="0.25">
      <c r="A7" s="105"/>
      <c r="B7" s="98" t="s">
        <v>15</v>
      </c>
      <c r="C7" s="99"/>
      <c r="D7" s="100"/>
      <c r="E7" s="108"/>
      <c r="F7" s="109"/>
      <c r="G7" s="109"/>
      <c r="H7" s="97"/>
      <c r="I7" s="112" t="s">
        <v>16</v>
      </c>
      <c r="J7" s="113" t="s">
        <v>17</v>
      </c>
      <c r="K7" s="97"/>
      <c r="L7" s="97"/>
      <c r="M7" s="39"/>
    </row>
    <row r="8" spans="1:13" ht="15.75" x14ac:dyDescent="0.25">
      <c r="A8" s="105"/>
      <c r="B8" s="97"/>
      <c r="C8" s="47"/>
      <c r="D8" s="47"/>
      <c r="E8" s="97"/>
      <c r="F8" s="97"/>
      <c r="G8" s="97"/>
      <c r="H8" s="97"/>
      <c r="I8" s="112" t="s">
        <v>18</v>
      </c>
      <c r="J8" s="113" t="s">
        <v>19</v>
      </c>
      <c r="K8" s="97"/>
      <c r="L8" s="97"/>
      <c r="M8" s="39"/>
    </row>
    <row r="9" spans="1:13" ht="15.75" x14ac:dyDescent="0.25">
      <c r="A9" s="105"/>
      <c r="B9" s="110" t="s">
        <v>20</v>
      </c>
      <c r="C9" s="111"/>
      <c r="D9" s="111"/>
      <c r="E9" s="100"/>
      <c r="F9" s="97"/>
      <c r="G9" s="97"/>
      <c r="H9" s="97"/>
      <c r="I9" s="112" t="s">
        <v>21</v>
      </c>
      <c r="J9" s="113" t="s">
        <v>22</v>
      </c>
      <c r="K9" s="97"/>
      <c r="L9" s="97"/>
      <c r="M9" s="39"/>
    </row>
    <row r="10" spans="1:13" ht="15.75" x14ac:dyDescent="0.25">
      <c r="A10" s="105"/>
      <c r="B10" s="98" t="s">
        <v>23</v>
      </c>
      <c r="C10" s="99"/>
      <c r="D10" s="100"/>
      <c r="E10" s="113" t="s">
        <v>24</v>
      </c>
      <c r="F10" s="97"/>
      <c r="G10" s="121" t="str">
        <f>+IF(E10=setup!B6,setup!B5,setup!B6)</f>
        <v>US</v>
      </c>
      <c r="H10" s="97"/>
      <c r="I10" s="112" t="s">
        <v>25</v>
      </c>
      <c r="J10" s="113" t="s">
        <v>17</v>
      </c>
      <c r="K10" s="97"/>
      <c r="L10" s="97"/>
      <c r="M10" s="39"/>
    </row>
    <row r="11" spans="1:13" ht="15.75" x14ac:dyDescent="0.25">
      <c r="A11" s="105"/>
      <c r="B11" s="98" t="s">
        <v>26</v>
      </c>
      <c r="C11" s="99"/>
      <c r="D11" s="100"/>
      <c r="E11" s="114">
        <v>3720</v>
      </c>
      <c r="F11" s="97" t="s">
        <v>27</v>
      </c>
      <c r="G11" s="102">
        <f>+E11</f>
        <v>3720</v>
      </c>
      <c r="H11" s="97" t="s">
        <v>27</v>
      </c>
      <c r="I11" s="97"/>
      <c r="J11" s="97"/>
      <c r="K11" s="97"/>
      <c r="L11" s="97"/>
      <c r="M11" s="39"/>
    </row>
    <row r="12" spans="1:13" ht="15.75" x14ac:dyDescent="0.25">
      <c r="A12" s="105"/>
      <c r="B12" s="98" t="s">
        <v>28</v>
      </c>
      <c r="C12" s="99"/>
      <c r="D12" s="100"/>
      <c r="E12" s="114">
        <v>1600</v>
      </c>
      <c r="F12" s="97" t="str">
        <f>+IF(E10=setup!B6,"m3/h","GPM")</f>
        <v>m3/h</v>
      </c>
      <c r="G12" s="102">
        <f>+IF($G$10=setup!$B$5,Input_Output!E12/0.227,Input_Output!E12*0.227)</f>
        <v>7048.4581497797353</v>
      </c>
      <c r="H12" s="97" t="str">
        <f>+IF($E$10=setup!$B$5,"m3/h","GPM")</f>
        <v>GPM</v>
      </c>
      <c r="I12" s="116" t="str">
        <f>CONCATENATE(J8," ",J6)</f>
        <v>closed diffuser</v>
      </c>
      <c r="J12" s="97" t="s">
        <v>29</v>
      </c>
      <c r="K12" s="97"/>
      <c r="L12" s="97"/>
      <c r="M12" s="39"/>
    </row>
    <row r="13" spans="1:13" ht="15.75" x14ac:dyDescent="0.25">
      <c r="A13" s="105"/>
      <c r="B13" s="98" t="s">
        <v>30</v>
      </c>
      <c r="C13" s="99"/>
      <c r="D13" s="100"/>
      <c r="E13" s="114">
        <v>420</v>
      </c>
      <c r="F13" s="97" t="str">
        <f>+IF(E10=setup!B6,"m","ft")</f>
        <v>m</v>
      </c>
      <c r="G13" s="102">
        <f>+IF($G$10=setup!$B$5,Input_Output!E13*0.3048,Input_Output!E13/0.3048)</f>
        <v>128.01600000000002</v>
      </c>
      <c r="H13" s="97" t="str">
        <f>+IF($E$10=setup!$B$5,"m","ft")</f>
        <v>ft</v>
      </c>
      <c r="I13" s="98" t="s">
        <v>31</v>
      </c>
      <c r="J13" s="191" t="s">
        <v>32</v>
      </c>
      <c r="K13" s="192"/>
      <c r="L13" s="193"/>
      <c r="M13" s="39"/>
    </row>
    <row r="14" spans="1:13" ht="15.75" x14ac:dyDescent="0.25">
      <c r="A14" s="105"/>
      <c r="B14" s="98" t="s">
        <v>33</v>
      </c>
      <c r="C14" s="99"/>
      <c r="D14" s="100"/>
      <c r="E14" s="115">
        <v>490</v>
      </c>
      <c r="F14" s="97" t="str">
        <f>+IF(E10=setup!B6,"m","ft")</f>
        <v>m</v>
      </c>
      <c r="G14" s="102">
        <f>+IF($G$10=setup!$B$5,Input_Output!E14*0.3048,Input_Output!E14/0.3048)</f>
        <v>149.352</v>
      </c>
      <c r="H14" s="97" t="str">
        <f>+IF($E$10=setup!$B$5,"m","ft")</f>
        <v>ft</v>
      </c>
      <c r="I14" s="117"/>
      <c r="J14" s="118" t="s">
        <v>34</v>
      </c>
      <c r="K14" s="118" t="s">
        <v>35</v>
      </c>
      <c r="L14" s="117"/>
      <c r="M14" s="39"/>
    </row>
    <row r="15" spans="1:13" ht="15.75" x14ac:dyDescent="0.25">
      <c r="A15" s="105"/>
      <c r="B15" s="98" t="s">
        <v>36</v>
      </c>
      <c r="C15" s="99"/>
      <c r="D15" s="100"/>
      <c r="E15" s="115">
        <v>481</v>
      </c>
      <c r="F15" s="97" t="str">
        <f>+IF($E$10=setup!$B$6,"mm","in")</f>
        <v>mm</v>
      </c>
      <c r="G15" s="102">
        <f>+IF($G$10=setup!$B$5,Input_Output!E15/25.4,Input_Output!E15*25.4)</f>
        <v>18.937007874015748</v>
      </c>
      <c r="H15" s="97" t="str">
        <f>+IF($E$10=setup!$B$5,"mm","in")</f>
        <v>in</v>
      </c>
      <c r="I15" s="98" t="s">
        <v>37</v>
      </c>
      <c r="J15" s="119">
        <f t="shared" ref="J15:J20" si="0">+K15</f>
        <v>7700</v>
      </c>
      <c r="K15" s="120">
        <f>+'Metric Conversion'!K18</f>
        <v>7700</v>
      </c>
      <c r="L15" s="97" t="str">
        <f>+IF($E$10=setup!$B$6,"kg/m3","lb/ft3")</f>
        <v>kg/m3</v>
      </c>
      <c r="M15" s="39"/>
    </row>
    <row r="16" spans="1:13" ht="15.75" x14ac:dyDescent="0.25">
      <c r="A16" s="105"/>
      <c r="B16" s="98" t="s">
        <v>38</v>
      </c>
      <c r="C16" s="99"/>
      <c r="D16" s="100"/>
      <c r="E16" s="115">
        <v>1</v>
      </c>
      <c r="F16" s="97"/>
      <c r="G16" s="102">
        <v>1</v>
      </c>
      <c r="H16" s="97"/>
      <c r="I16" s="98" t="s">
        <v>39</v>
      </c>
      <c r="J16" s="119">
        <f t="shared" si="0"/>
        <v>760</v>
      </c>
      <c r="K16" s="120">
        <f>+IF($E$10=setup!$B$5,'Metric Conversion'!K19*145.038,'Metric Conversion'!K19)</f>
        <v>760</v>
      </c>
      <c r="L16" s="97" t="str">
        <f>+IF($E$10=setup!$B$6,"MPa","lbf/in2")</f>
        <v>MPa</v>
      </c>
      <c r="M16" s="39"/>
    </row>
    <row r="17" spans="1:13" ht="15.75" x14ac:dyDescent="0.25">
      <c r="A17" s="105"/>
      <c r="B17" s="98" t="s">
        <v>40</v>
      </c>
      <c r="C17" s="99"/>
      <c r="D17" s="100"/>
      <c r="E17" s="115">
        <v>7</v>
      </c>
      <c r="F17" s="97"/>
      <c r="G17" s="102">
        <v>7</v>
      </c>
      <c r="H17" s="97"/>
      <c r="I17" s="98" t="s">
        <v>41</v>
      </c>
      <c r="J17" s="119">
        <f t="shared" si="0"/>
        <v>550</v>
      </c>
      <c r="K17" s="120">
        <f>+IF($E$10=setup!$B$5,'Metric Conversion'!K20*145.038,'Metric Conversion'!K20)</f>
        <v>550</v>
      </c>
      <c r="L17" s="97" t="str">
        <f>+IF($E$10=setup!$B$6,"MPa","lbf/in2")</f>
        <v>MPa</v>
      </c>
      <c r="M17" s="39"/>
    </row>
    <row r="18" spans="1:13" ht="15.75" x14ac:dyDescent="0.25">
      <c r="A18" s="105"/>
      <c r="B18" s="98" t="s">
        <v>42</v>
      </c>
      <c r="C18" s="99"/>
      <c r="D18" s="100"/>
      <c r="E18" s="115">
        <f>18*1.625</f>
        <v>29.25</v>
      </c>
      <c r="F18" s="97" t="str">
        <f>+IF($E$10=setup!$B$6,"mm","in")</f>
        <v>mm</v>
      </c>
      <c r="G18" s="102">
        <f>+IF($G$10=setup!$B$5,Input_Output!E18/25.4,Input_Output!E18*25.4)</f>
        <v>1.1515748031496065</v>
      </c>
      <c r="H18" s="97" t="str">
        <f>+IF($E$10=setup!$B$5,"mm","in")</f>
        <v>in</v>
      </c>
      <c r="I18" s="98" t="s">
        <v>43</v>
      </c>
      <c r="J18" s="119">
        <f t="shared" si="0"/>
        <v>228</v>
      </c>
      <c r="K18" s="120">
        <f>+IF($E$10=setup!$B$5,'Metric Conversion'!K21*145.038,'Metric Conversion'!K21)</f>
        <v>228</v>
      </c>
      <c r="L18" s="97" t="str">
        <f>+IF($E$10=setup!$B$6,"MPa","lbf/in2")</f>
        <v>MPa</v>
      </c>
      <c r="M18" s="39"/>
    </row>
    <row r="19" spans="1:13" ht="15.75" x14ac:dyDescent="0.25">
      <c r="A19" s="105"/>
      <c r="B19" s="98" t="s">
        <v>44</v>
      </c>
      <c r="C19" s="99"/>
      <c r="D19" s="100"/>
      <c r="E19" s="115">
        <f>+E15*1.04</f>
        <v>500.24</v>
      </c>
      <c r="F19" s="97" t="str">
        <f>+IF($E$10=setup!$B$6,"mm","in")</f>
        <v>mm</v>
      </c>
      <c r="G19" s="102">
        <f>+IF(G10=setup!$B$5,Input_Output!E19/25.4,Input_Output!E19*25.4)</f>
        <v>19.694488188976379</v>
      </c>
      <c r="H19" s="97" t="str">
        <f>+IF($E$10=setup!$B$5,"mm","in")</f>
        <v>in</v>
      </c>
      <c r="I19" s="98" t="s">
        <v>45</v>
      </c>
      <c r="J19" s="119">
        <f t="shared" si="0"/>
        <v>2</v>
      </c>
      <c r="K19" s="120">
        <f>+'Metric Conversion'!K22</f>
        <v>2</v>
      </c>
      <c r="L19" s="97"/>
      <c r="M19" s="39"/>
    </row>
    <row r="20" spans="1:13" ht="15.75" x14ac:dyDescent="0.25">
      <c r="A20" s="105"/>
      <c r="B20" s="98" t="str">
        <f>IF($J$6=setup!$C$5,"impeller exit blade angle b2b","diffuser PS-SS angle delta")</f>
        <v>diffuser PS-SS angle delta</v>
      </c>
      <c r="C20" s="99"/>
      <c r="D20" s="100"/>
      <c r="E20" s="115">
        <v>25</v>
      </c>
      <c r="F20" s="97" t="s">
        <v>46</v>
      </c>
      <c r="G20" s="102">
        <f>+E20</f>
        <v>25</v>
      </c>
      <c r="H20" s="97" t="str">
        <f>+F20</f>
        <v>°</v>
      </c>
      <c r="I20" s="98" t="s">
        <v>47</v>
      </c>
      <c r="J20" s="119">
        <f t="shared" si="0"/>
        <v>5</v>
      </c>
      <c r="K20" s="120">
        <f>+'Metric Conversion'!K23</f>
        <v>5</v>
      </c>
      <c r="L20" s="97"/>
      <c r="M20" s="39"/>
    </row>
    <row r="21" spans="1:13" ht="15.75" x14ac:dyDescent="0.25">
      <c r="A21" s="105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39"/>
    </row>
    <row r="22" spans="1:13" ht="15.75" x14ac:dyDescent="0.25">
      <c r="A22" s="105"/>
      <c r="B22" s="97"/>
      <c r="C22" s="97"/>
      <c r="D22" s="97"/>
      <c r="E22" s="97"/>
      <c r="F22" s="97"/>
      <c r="G22" s="97"/>
      <c r="H22" s="97"/>
      <c r="I22" s="97"/>
      <c r="J22" s="97"/>
      <c r="K22" s="97"/>
      <c r="M22" s="39"/>
    </row>
    <row r="23" spans="1:13" s="96" customFormat="1" ht="15.75" x14ac:dyDescent="0.25">
      <c r="A23" s="94"/>
      <c r="B23" s="94" t="s">
        <v>48</v>
      </c>
      <c r="C23" s="94"/>
      <c r="D23" s="94"/>
      <c r="E23" s="94"/>
      <c r="F23" s="94"/>
      <c r="G23" s="94"/>
      <c r="H23" s="94"/>
      <c r="I23" s="94"/>
      <c r="J23" s="94" t="s">
        <v>49</v>
      </c>
      <c r="K23" s="94" t="s">
        <v>50</v>
      </c>
      <c r="L23" s="94"/>
      <c r="M23" s="95"/>
    </row>
    <row r="24" spans="1:13" x14ac:dyDescent="0.2">
      <c r="A24" s="44"/>
      <c r="B24" s="44"/>
      <c r="C24" s="44"/>
      <c r="D24" s="44"/>
      <c r="E24" s="44" t="s">
        <v>35</v>
      </c>
      <c r="F24" s="44" t="s">
        <v>34</v>
      </c>
      <c r="G24" s="44"/>
      <c r="H24" s="44"/>
      <c r="I24" s="123" t="s">
        <v>24</v>
      </c>
      <c r="J24" s="122">
        <f>+'Metric Conversion'!B38</f>
        <v>93.688576115354806</v>
      </c>
      <c r="K24" s="122">
        <f>+'Metric Conversion'!C38</f>
        <v>26.730969663042654</v>
      </c>
      <c r="M24" s="39"/>
    </row>
    <row r="25" spans="1:13" ht="15.75" x14ac:dyDescent="0.25">
      <c r="A25" s="97"/>
      <c r="B25" s="98" t="str">
        <f>+'Metric Conversion'!B28</f>
        <v>nominal thickness</v>
      </c>
      <c r="C25" s="99"/>
      <c r="D25" s="100" t="str">
        <f>+'Metric Conversion'!D28</f>
        <v>e</v>
      </c>
      <c r="E25" s="101">
        <f>+IF(Input_Output!$E$10=setup!$B$5,'Metric Conversion'!E28/25.4,'Metric Conversion'!E28)</f>
        <v>9.1125876327706568</v>
      </c>
      <c r="F25" s="103">
        <v>9</v>
      </c>
      <c r="G25" s="97" t="str">
        <f>+IF($E$10=setup!$B$6,"mm","in")</f>
        <v>mm</v>
      </c>
      <c r="H25" s="97"/>
      <c r="I25" s="123" t="s">
        <v>51</v>
      </c>
      <c r="J25" s="122">
        <f>+J24/0.3048</f>
        <v>307.37721822622967</v>
      </c>
      <c r="K25" s="122">
        <f>+K24*51.64</f>
        <v>1380.3872733995227</v>
      </c>
      <c r="M25" s="39"/>
    </row>
    <row r="26" spans="1:13" ht="15.75" x14ac:dyDescent="0.25">
      <c r="A26" s="97"/>
      <c r="B26" s="98" t="str">
        <f>+'Metric Conversion'!B29</f>
        <v>LE thickness</v>
      </c>
      <c r="C26" s="99"/>
      <c r="D26" s="100" t="str">
        <f>+'Metric Conversion'!D29</f>
        <v>eLE</v>
      </c>
      <c r="E26" s="101">
        <f>+IF(Input_Output!$E$10=setup!$B$5,'Metric Conversion'!E29/25.4,'Metric Conversion'!E29)</f>
        <v>5</v>
      </c>
      <c r="F26" s="103">
        <v>5</v>
      </c>
      <c r="G26" s="97" t="str">
        <f>+IF($E$10=setup!$B$6,"mm","in")</f>
        <v>mm</v>
      </c>
      <c r="H26" s="97"/>
      <c r="I26" s="44"/>
      <c r="J26" s="44" t="s">
        <v>52</v>
      </c>
      <c r="K26" s="44" t="s">
        <v>53</v>
      </c>
      <c r="L26" s="44"/>
      <c r="M26" s="39"/>
    </row>
    <row r="27" spans="1:13" ht="15.75" x14ac:dyDescent="0.25">
      <c r="A27" s="44"/>
      <c r="B27" s="98" t="str">
        <f>+'Metric Conversion'!B30</f>
        <v>Mean vane thickness acc T14.1</v>
      </c>
      <c r="C27" s="99"/>
      <c r="D27" s="100" t="str">
        <f>+'Metric Conversion'!D30</f>
        <v>em</v>
      </c>
      <c r="E27" s="101">
        <f>+IF(Input_Output!$E$10=setup!$B$5,'Metric Conversion'!E30/25.4,'Metric Conversion'!E30)</f>
        <v>16.657691453874964</v>
      </c>
      <c r="F27" s="103">
        <v>8</v>
      </c>
      <c r="G27" s="44" t="str">
        <f>+IF($E$10=setup!$B$6,"mm","in")</f>
        <v>mm</v>
      </c>
      <c r="H27" s="44"/>
      <c r="I27" s="98" t="s">
        <v>54</v>
      </c>
      <c r="J27" s="102">
        <f>+'Gulich-T14.1 - T14.3'!$AQ$16</f>
        <v>8.0324284790039044</v>
      </c>
      <c r="K27" s="102">
        <f>IF(F28=0,"",+'Gulich-T14.1 - T14.3'!$AS$16)</f>
        <v>31.878231284423464</v>
      </c>
      <c r="L27" s="97" t="str">
        <f>+IF($E$10=setup!$B$6,"MPa","lbf/in2")</f>
        <v>MPa</v>
      </c>
      <c r="M27" s="39"/>
    </row>
    <row r="28" spans="1:13" ht="15.6" customHeight="1" x14ac:dyDescent="0.25">
      <c r="A28" s="37"/>
      <c r="B28" s="98" t="str">
        <f>+'Metric Conversion'!B31</f>
        <v/>
      </c>
      <c r="C28" s="99"/>
      <c r="D28" s="100" t="str">
        <f>+'Metric Conversion'!D31</f>
        <v/>
      </c>
      <c r="E28" s="101" t="str">
        <f>+IF(Input_Output!$E$10=setup!$B$5,'Metric Conversion'!E31/25.4,'Metric Conversion'!E31)</f>
        <v/>
      </c>
      <c r="F28" s="103">
        <v>12</v>
      </c>
      <c r="G28" s="44" t="str">
        <f>+IF($E$10=setup!$B$6,"mm","in")</f>
        <v>mm</v>
      </c>
      <c r="H28" s="37"/>
      <c r="I28" s="98" t="s">
        <v>55</v>
      </c>
      <c r="J28" s="102">
        <f>+'Gulich-T14.1 - T14.3'!$AR$16</f>
        <v>8.5045442098845552</v>
      </c>
      <c r="K28" s="102">
        <f>IF(F28=0,"",'Gulich-T14.1 - T14.3'!$AT$16)</f>
        <v>18.483754999171364</v>
      </c>
      <c r="L28" s="97" t="str">
        <f>+IF($E$10=setup!$B$6,"MPa","lbf/in2")</f>
        <v>MPa</v>
      </c>
      <c r="M28" s="38"/>
    </row>
    <row r="29" spans="1:13" ht="15.6" customHeight="1" x14ac:dyDescent="0.25">
      <c r="A29" s="43"/>
      <c r="B29" s="98" t="str">
        <f>+'Metric Conversion'!B32</f>
        <v>fillet radius between blade and disk</v>
      </c>
      <c r="C29" s="99"/>
      <c r="D29" s="100" t="str">
        <f>+'Metric Conversion'!D32</f>
        <v>rf</v>
      </c>
      <c r="E29" s="101">
        <f>+IF(Input_Output!$E$10=setup!$B$5,'Metric Conversion'!E32/25.4,'Metric Conversion'!E32)</f>
        <v>3</v>
      </c>
      <c r="F29" s="103">
        <v>5</v>
      </c>
      <c r="G29" s="44" t="str">
        <f>+IF($E$10=setup!$B$6,"mm","in")</f>
        <v>mm</v>
      </c>
      <c r="H29" s="37"/>
      <c r="I29" s="124" t="s">
        <v>56</v>
      </c>
      <c r="J29" s="125">
        <f>+'Gulich-T14.1 - T14.3'!$AQ$10/'Gulich-T14.1 - T14.3'!$AQ$16</f>
        <v>10.445038581480105</v>
      </c>
      <c r="K29" s="125">
        <f>IF(F28=0,"",'Gulich-T14.1 - T14.3'!$AS$10/'Gulich-T14.1 - T14.3'!$AS$16)</f>
        <v>2.6891594592386503</v>
      </c>
      <c r="L29" s="37"/>
      <c r="M29" s="39"/>
    </row>
    <row r="30" spans="1:13" ht="20.25" x14ac:dyDescent="0.3">
      <c r="A30" s="44"/>
      <c r="B30" s="98" t="str">
        <f>+IF(J6=setup!C5,"LE thickness","")</f>
        <v/>
      </c>
      <c r="C30" s="99"/>
      <c r="D30" s="100" t="str">
        <f>+IF(J6=setup!C5,"eLE","")</f>
        <v/>
      </c>
      <c r="E30" s="101" t="str">
        <f>+IF(J6=setup!C5,F25*0.66,"")</f>
        <v/>
      </c>
      <c r="F30" s="103">
        <v>5</v>
      </c>
      <c r="G30" s="44"/>
      <c r="H30" s="44"/>
      <c r="I30" s="190" t="s">
        <v>57</v>
      </c>
      <c r="J30" s="190"/>
      <c r="K30" s="126">
        <f>+'Metric Conversion'!K24</f>
        <v>1</v>
      </c>
      <c r="L30" s="37"/>
      <c r="M30" s="39"/>
    </row>
    <row r="31" spans="1:13" ht="16.149999999999999" customHeight="1" x14ac:dyDescent="0.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39"/>
    </row>
    <row r="32" spans="1:13" x14ac:dyDescent="0.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39"/>
    </row>
    <row r="33" spans="1:21" x14ac:dyDescent="0.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39"/>
    </row>
    <row r="34" spans="1:21" x14ac:dyDescent="0.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39"/>
      <c r="U34" s="9"/>
    </row>
    <row r="35" spans="1:21" x14ac:dyDescent="0.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39"/>
    </row>
    <row r="36" spans="1:21" x14ac:dyDescent="0.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39"/>
    </row>
    <row r="37" spans="1:21" x14ac:dyDescent="0.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39"/>
    </row>
    <row r="38" spans="1:21" x14ac:dyDescent="0.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39"/>
    </row>
    <row r="39" spans="1:21" x14ac:dyDescent="0.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39"/>
    </row>
    <row r="40" spans="1:21" x14ac:dyDescent="0.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39"/>
    </row>
    <row r="41" spans="1:21" x14ac:dyDescent="0.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39"/>
      <c r="N41" s="8"/>
    </row>
    <row r="42" spans="1:21" x14ac:dyDescent="0.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39"/>
    </row>
    <row r="43" spans="1:21" ht="13.5" thickBot="1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39"/>
    </row>
    <row r="44" spans="1:21" ht="13.5" thickBot="1" x14ac:dyDescent="0.25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39"/>
      <c r="O44" s="5"/>
      <c r="R44" s="5"/>
    </row>
    <row r="45" spans="1:21" x14ac:dyDescent="0.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39"/>
    </row>
    <row r="46" spans="1:21" x14ac:dyDescent="0.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39"/>
    </row>
    <row r="47" spans="1:21" x14ac:dyDescent="0.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39"/>
    </row>
    <row r="48" spans="1:21" x14ac:dyDescent="0.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39"/>
    </row>
    <row r="49" spans="1:13" x14ac:dyDescent="0.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39"/>
    </row>
    <row r="50" spans="1:13" x14ac:dyDescent="0.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39"/>
    </row>
    <row r="51" spans="1:13" ht="10.9" customHeight="1" x14ac:dyDescent="0.2">
      <c r="A51" s="184" t="s">
        <v>58</v>
      </c>
      <c r="B51" s="185"/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6"/>
    </row>
    <row r="52" spans="1:13" ht="37.15" customHeight="1" x14ac:dyDescent="0.2">
      <c r="A52" s="187" t="s">
        <v>59</v>
      </c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9"/>
    </row>
    <row r="53" spans="1:13" x14ac:dyDescent="0.2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</sheetData>
  <mergeCells count="6">
    <mergeCell ref="F1:M3"/>
    <mergeCell ref="A1:E3"/>
    <mergeCell ref="A51:M51"/>
    <mergeCell ref="A52:M52"/>
    <mergeCell ref="I30:J30"/>
    <mergeCell ref="J13:L13"/>
  </mergeCells>
  <phoneticPr fontId="13" type="noConversion"/>
  <conditionalFormatting sqref="J29:K29">
    <cfRule type="cellIs" dxfId="0" priority="1" operator="lessThan">
      <formula>1</formula>
    </cfRule>
  </conditionalFormatting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CA2B8D3C-CC52-4653-9A83-BC14AC1202F9}">
          <x14:formula1>
            <xm:f>setup!$B$5:$B$6</xm:f>
          </x14:formula1>
          <xm:sqref>E10</xm:sqref>
        </x14:dataValidation>
        <x14:dataValidation type="list" allowBlank="1" showInputMessage="1" showErrorMessage="1" xr:uid="{66AF076D-8E08-4916-A8DA-3C177D10B21D}">
          <x14:formula1>
            <xm:f>setup!$G$5:$G$23</xm:f>
          </x14:formula1>
          <xm:sqref>J13</xm:sqref>
        </x14:dataValidation>
        <x14:dataValidation type="list" allowBlank="1" showInputMessage="1" showErrorMessage="1" xr:uid="{C6E8F483-A262-49C2-BA7E-A11D6CE811E5}">
          <x14:formula1>
            <xm:f>setup!$C$5:$C$6</xm:f>
          </x14:formula1>
          <xm:sqref>J6</xm:sqref>
        </x14:dataValidation>
        <x14:dataValidation type="list" allowBlank="1" showInputMessage="1" showErrorMessage="1" xr:uid="{455A4FEF-79F4-4796-B076-80FFE3FC70E1}">
          <x14:formula1>
            <xm:f>setup!$D$5:$D$6</xm:f>
          </x14:formula1>
          <xm:sqref>J8</xm:sqref>
        </x14:dataValidation>
        <x14:dataValidation type="list" allowBlank="1" showInputMessage="1" showErrorMessage="1" xr:uid="{22D9DEDD-9CE8-4309-9A6F-CF5F0EDF008D}">
          <x14:formula1>
            <xm:f>setup!$F$5:$F$6</xm:f>
          </x14:formula1>
          <xm:sqref>J7 J10</xm:sqref>
        </x14:dataValidation>
        <x14:dataValidation type="list" allowBlank="1" showInputMessage="1" showErrorMessage="1" xr:uid="{7A950FFE-BEEA-4CD7-9F89-8160A22DD34F}">
          <x14:formula1>
            <xm:f>setup!$E$5:$E$7</xm:f>
          </x14:formula1>
          <xm:sqref>J9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1:M22"/>
  <sheetViews>
    <sheetView zoomScale="130" zoomScaleNormal="130" workbookViewId="0">
      <selection activeCell="G8" sqref="G8:J8"/>
    </sheetView>
  </sheetViews>
  <sheetFormatPr defaultRowHeight="12.75" x14ac:dyDescent="0.2"/>
  <cols>
    <col min="2" max="2" width="17.28515625" customWidth="1"/>
    <col min="3" max="3" width="21.140625" bestFit="1" customWidth="1"/>
    <col min="4" max="6" width="20.28515625" customWidth="1"/>
    <col min="7" max="7" width="27" customWidth="1"/>
    <col min="8" max="8" width="18.28515625" customWidth="1"/>
    <col min="9" max="9" width="18.85546875" customWidth="1"/>
    <col min="11" max="11" width="12.42578125" customWidth="1"/>
    <col min="12" max="12" width="16.85546875" customWidth="1"/>
  </cols>
  <sheetData>
    <row r="1" spans="2:13" x14ac:dyDescent="0.2">
      <c r="J1" s="7"/>
      <c r="K1" s="7"/>
      <c r="L1" s="7"/>
    </row>
    <row r="2" spans="2:13" x14ac:dyDescent="0.2">
      <c r="B2" t="s">
        <v>60</v>
      </c>
    </row>
    <row r="4" spans="2:13" x14ac:dyDescent="0.2">
      <c r="B4" t="s">
        <v>23</v>
      </c>
      <c r="C4" s="7" t="s">
        <v>61</v>
      </c>
      <c r="D4" t="s">
        <v>62</v>
      </c>
      <c r="E4" t="s">
        <v>21</v>
      </c>
      <c r="F4" t="s">
        <v>63</v>
      </c>
      <c r="G4" t="s">
        <v>64</v>
      </c>
      <c r="H4" t="s">
        <v>65</v>
      </c>
      <c r="I4" t="s">
        <v>66</v>
      </c>
      <c r="J4" t="s">
        <v>67</v>
      </c>
      <c r="K4" t="s">
        <v>68</v>
      </c>
      <c r="L4" t="s">
        <v>69</v>
      </c>
      <c r="M4" t="s">
        <v>70</v>
      </c>
    </row>
    <row r="5" spans="2:13" x14ac:dyDescent="0.2">
      <c r="B5" t="s">
        <v>51</v>
      </c>
      <c r="C5" t="s">
        <v>71</v>
      </c>
      <c r="D5" t="s">
        <v>72</v>
      </c>
      <c r="E5" t="s">
        <v>73</v>
      </c>
      <c r="F5" t="s">
        <v>74</v>
      </c>
      <c r="G5" t="s">
        <v>75</v>
      </c>
      <c r="H5">
        <v>7300</v>
      </c>
      <c r="I5">
        <v>245</v>
      </c>
      <c r="J5">
        <f>+I5*0.4</f>
        <v>98</v>
      </c>
      <c r="K5">
        <v>10</v>
      </c>
      <c r="L5">
        <v>18</v>
      </c>
      <c r="M5">
        <v>11</v>
      </c>
    </row>
    <row r="6" spans="2:13" x14ac:dyDescent="0.2">
      <c r="B6" t="s">
        <v>24</v>
      </c>
      <c r="C6" t="s">
        <v>14</v>
      </c>
      <c r="D6" t="s">
        <v>19</v>
      </c>
      <c r="E6" t="s">
        <v>22</v>
      </c>
      <c r="F6" t="s">
        <v>17</v>
      </c>
      <c r="G6" t="s">
        <v>76</v>
      </c>
      <c r="H6">
        <v>7100</v>
      </c>
      <c r="I6">
        <v>400</v>
      </c>
      <c r="J6">
        <v>250</v>
      </c>
      <c r="K6">
        <v>4</v>
      </c>
      <c r="L6">
        <v>10</v>
      </c>
      <c r="M6">
        <v>5.5</v>
      </c>
    </row>
    <row r="7" spans="2:13" x14ac:dyDescent="0.2">
      <c r="E7" t="s">
        <v>77</v>
      </c>
      <c r="G7" s="7" t="s">
        <v>78</v>
      </c>
      <c r="H7">
        <v>7400</v>
      </c>
      <c r="I7">
        <v>370</v>
      </c>
      <c r="J7">
        <v>210</v>
      </c>
      <c r="K7">
        <v>4</v>
      </c>
      <c r="L7">
        <v>15</v>
      </c>
      <c r="M7">
        <v>4.0999999999999996</v>
      </c>
    </row>
    <row r="8" spans="2:13" x14ac:dyDescent="0.2">
      <c r="G8" s="7" t="s">
        <v>79</v>
      </c>
      <c r="H8">
        <v>7800</v>
      </c>
      <c r="I8">
        <v>420</v>
      </c>
      <c r="J8">
        <v>240</v>
      </c>
      <c r="K8">
        <v>4</v>
      </c>
      <c r="L8">
        <v>8</v>
      </c>
      <c r="M8">
        <v>4.7</v>
      </c>
    </row>
    <row r="9" spans="2:13" x14ac:dyDescent="0.2">
      <c r="G9" s="7" t="s">
        <v>80</v>
      </c>
      <c r="H9">
        <v>7700</v>
      </c>
      <c r="I9">
        <v>590</v>
      </c>
      <c r="J9">
        <v>500</v>
      </c>
      <c r="K9">
        <v>2</v>
      </c>
      <c r="L9">
        <v>5</v>
      </c>
      <c r="M9">
        <v>1.5</v>
      </c>
    </row>
    <row r="10" spans="2:13" x14ac:dyDescent="0.2">
      <c r="C10" s="7"/>
      <c r="G10" s="7" t="s">
        <v>32</v>
      </c>
      <c r="H10">
        <v>7700</v>
      </c>
      <c r="I10">
        <v>760</v>
      </c>
      <c r="J10">
        <v>550</v>
      </c>
      <c r="K10">
        <v>2</v>
      </c>
      <c r="L10">
        <v>5</v>
      </c>
      <c r="M10">
        <v>1</v>
      </c>
    </row>
    <row r="11" spans="2:13" x14ac:dyDescent="0.2">
      <c r="C11" s="7"/>
      <c r="G11" s="7" t="s">
        <v>81</v>
      </c>
      <c r="H11">
        <v>7800</v>
      </c>
      <c r="I11">
        <v>760</v>
      </c>
      <c r="J11">
        <v>540</v>
      </c>
      <c r="K11">
        <v>2</v>
      </c>
      <c r="L11">
        <v>5</v>
      </c>
      <c r="M11">
        <v>0.8</v>
      </c>
    </row>
    <row r="12" spans="2:13" x14ac:dyDescent="0.2">
      <c r="C12" s="7"/>
      <c r="G12" s="7" t="s">
        <v>82</v>
      </c>
      <c r="H12">
        <v>7880</v>
      </c>
      <c r="I12">
        <v>440</v>
      </c>
      <c r="J12">
        <v>185</v>
      </c>
      <c r="K12">
        <v>2</v>
      </c>
      <c r="L12">
        <v>5</v>
      </c>
      <c r="M12">
        <v>1.5</v>
      </c>
    </row>
    <row r="13" spans="2:13" x14ac:dyDescent="0.2">
      <c r="G13" s="7" t="s">
        <v>83</v>
      </c>
      <c r="H13">
        <v>7900</v>
      </c>
      <c r="I13">
        <v>440</v>
      </c>
      <c r="J13">
        <v>195</v>
      </c>
      <c r="K13">
        <v>2</v>
      </c>
      <c r="L13">
        <v>5</v>
      </c>
      <c r="M13">
        <v>1.5</v>
      </c>
    </row>
    <row r="14" spans="2:13" x14ac:dyDescent="0.2">
      <c r="G14" s="7" t="s">
        <v>84</v>
      </c>
      <c r="H14">
        <v>7700</v>
      </c>
      <c r="I14">
        <v>600</v>
      </c>
      <c r="J14">
        <v>480</v>
      </c>
      <c r="K14">
        <v>2</v>
      </c>
      <c r="L14">
        <v>5</v>
      </c>
      <c r="M14">
        <v>1.1000000000000001</v>
      </c>
    </row>
    <row r="15" spans="2:13" x14ac:dyDescent="0.2">
      <c r="G15" s="7" t="s">
        <v>85</v>
      </c>
      <c r="H15">
        <v>7700</v>
      </c>
      <c r="I15">
        <v>650</v>
      </c>
      <c r="J15">
        <v>480</v>
      </c>
      <c r="K15">
        <v>2</v>
      </c>
      <c r="L15">
        <v>5</v>
      </c>
      <c r="M15">
        <v>1</v>
      </c>
    </row>
    <row r="16" spans="2:13" x14ac:dyDescent="0.2">
      <c r="G16" s="7" t="s">
        <v>86</v>
      </c>
      <c r="H16">
        <v>7700</v>
      </c>
      <c r="I16">
        <v>650</v>
      </c>
      <c r="J16">
        <v>480</v>
      </c>
      <c r="K16">
        <v>2</v>
      </c>
      <c r="L16">
        <v>5</v>
      </c>
      <c r="M16">
        <v>1</v>
      </c>
    </row>
    <row r="17" spans="7:13" x14ac:dyDescent="0.2">
      <c r="G17" s="7" t="s">
        <v>87</v>
      </c>
      <c r="H17">
        <v>7700</v>
      </c>
      <c r="I17">
        <v>650</v>
      </c>
      <c r="J17">
        <v>690</v>
      </c>
      <c r="K17">
        <v>2</v>
      </c>
      <c r="L17">
        <v>5</v>
      </c>
      <c r="M17">
        <v>0.9</v>
      </c>
    </row>
    <row r="18" spans="7:13" x14ac:dyDescent="0.2">
      <c r="G18" s="7" t="s">
        <v>88</v>
      </c>
      <c r="H18">
        <v>7800</v>
      </c>
      <c r="I18">
        <v>480</v>
      </c>
      <c r="J18">
        <v>485</v>
      </c>
      <c r="K18">
        <v>2</v>
      </c>
      <c r="L18">
        <v>5</v>
      </c>
      <c r="M18">
        <v>1</v>
      </c>
    </row>
    <row r="19" spans="7:13" x14ac:dyDescent="0.2">
      <c r="G19" s="7" t="s">
        <v>89</v>
      </c>
      <c r="H19">
        <v>8700</v>
      </c>
      <c r="I19">
        <v>220</v>
      </c>
      <c r="J19">
        <v>90</v>
      </c>
      <c r="K19">
        <v>4</v>
      </c>
      <c r="L19">
        <v>10</v>
      </c>
      <c r="M19">
        <v>5</v>
      </c>
    </row>
    <row r="20" spans="7:13" x14ac:dyDescent="0.2">
      <c r="G20" s="7" t="s">
        <v>90</v>
      </c>
      <c r="H20">
        <v>8700</v>
      </c>
      <c r="I20">
        <v>270</v>
      </c>
      <c r="J20">
        <v>130</v>
      </c>
      <c r="K20">
        <v>4</v>
      </c>
      <c r="L20">
        <v>10</v>
      </c>
      <c r="M20">
        <v>4.5</v>
      </c>
    </row>
    <row r="21" spans="7:13" x14ac:dyDescent="0.2">
      <c r="G21" s="7" t="s">
        <v>91</v>
      </c>
      <c r="H21">
        <v>8700</v>
      </c>
      <c r="I21">
        <v>600</v>
      </c>
      <c r="J21">
        <v>270</v>
      </c>
      <c r="K21">
        <v>4</v>
      </c>
      <c r="L21">
        <v>10</v>
      </c>
      <c r="M21">
        <v>1</v>
      </c>
    </row>
    <row r="22" spans="7:13" x14ac:dyDescent="0.2">
      <c r="G22" s="7" t="s">
        <v>92</v>
      </c>
      <c r="H22">
        <v>8900</v>
      </c>
      <c r="I22">
        <v>700</v>
      </c>
      <c r="J22">
        <v>280</v>
      </c>
      <c r="K22">
        <v>2</v>
      </c>
      <c r="L22">
        <v>5</v>
      </c>
      <c r="M22">
        <v>1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6343D-0044-47DD-97EC-16D31A190E48}">
  <sheetPr codeName="Sheet3">
    <tabColor rgb="FF92D050"/>
    <pageSetUpPr fitToPage="1"/>
  </sheetPr>
  <dimension ref="A1:U61"/>
  <sheetViews>
    <sheetView topLeftCell="A31" zoomScaleNormal="100" workbookViewId="0">
      <selection activeCell="E29" sqref="E29"/>
    </sheetView>
  </sheetViews>
  <sheetFormatPr defaultColWidth="9.140625" defaultRowHeight="12.75" x14ac:dyDescent="0.2"/>
  <cols>
    <col min="1" max="1" width="7.5703125" style="3" customWidth="1"/>
    <col min="2" max="2" width="7.7109375" style="3" customWidth="1"/>
    <col min="3" max="3" width="6.28515625" style="3" customWidth="1"/>
    <col min="4" max="4" width="14.140625" style="3" customWidth="1"/>
    <col min="5" max="5" width="15.28515625" style="3" customWidth="1"/>
    <col min="6" max="6" width="9.5703125" style="3" customWidth="1"/>
    <col min="7" max="7" width="12.5703125" style="3" customWidth="1"/>
    <col min="8" max="9" width="17.42578125" style="3" customWidth="1"/>
    <col min="10" max="10" width="19" style="3" customWidth="1"/>
    <col min="11" max="12" width="9.42578125" style="3" customWidth="1"/>
    <col min="13" max="13" width="5.85546875" style="3" customWidth="1"/>
    <col min="14" max="14" width="10.28515625" style="3" customWidth="1"/>
    <col min="15" max="19" width="0" style="3" hidden="1" customWidth="1"/>
    <col min="20" max="16384" width="9.140625" style="3"/>
  </cols>
  <sheetData>
    <row r="1" spans="1:13" ht="18.75" customHeight="1" x14ac:dyDescent="0.2">
      <c r="A1" s="175"/>
      <c r="B1" s="176"/>
      <c r="C1" s="176"/>
      <c r="D1" s="176"/>
      <c r="E1" s="177"/>
      <c r="F1" s="166" t="s">
        <v>93</v>
      </c>
      <c r="G1" s="167"/>
      <c r="H1" s="167"/>
      <c r="I1" s="167"/>
      <c r="J1" s="167"/>
      <c r="K1" s="167"/>
      <c r="L1" s="167"/>
      <c r="M1" s="168"/>
    </row>
    <row r="2" spans="1:13" ht="18.75" customHeight="1" x14ac:dyDescent="0.2">
      <c r="A2" s="178"/>
      <c r="B2" s="179"/>
      <c r="C2" s="179"/>
      <c r="D2" s="179"/>
      <c r="E2" s="180"/>
      <c r="F2" s="169"/>
      <c r="G2" s="170"/>
      <c r="H2" s="170"/>
      <c r="I2" s="170"/>
      <c r="J2" s="170"/>
      <c r="K2" s="170"/>
      <c r="L2" s="170"/>
      <c r="M2" s="171"/>
    </row>
    <row r="3" spans="1:13" ht="18.75" customHeight="1" x14ac:dyDescent="0.2">
      <c r="A3" s="181"/>
      <c r="B3" s="182"/>
      <c r="C3" s="182"/>
      <c r="D3" s="182"/>
      <c r="E3" s="183"/>
      <c r="F3" s="172"/>
      <c r="G3" s="173"/>
      <c r="H3" s="173"/>
      <c r="I3" s="173"/>
      <c r="J3" s="173"/>
      <c r="K3" s="173"/>
      <c r="L3" s="173"/>
      <c r="M3" s="174"/>
    </row>
    <row r="4" spans="1:13" x14ac:dyDescent="0.2">
      <c r="A4" s="42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6"/>
    </row>
    <row r="5" spans="1:13" x14ac:dyDescent="0.2">
      <c r="A5" s="43"/>
      <c r="B5" s="33" t="s">
        <v>11</v>
      </c>
      <c r="C5" s="34"/>
      <c r="D5" s="35"/>
      <c r="E5" s="26"/>
      <c r="F5" s="27"/>
      <c r="G5" s="27"/>
      <c r="H5" s="44"/>
      <c r="I5" s="44"/>
      <c r="J5" s="44"/>
      <c r="K5" s="44"/>
      <c r="L5" s="44"/>
      <c r="M5" s="39"/>
    </row>
    <row r="6" spans="1:13" x14ac:dyDescent="0.2">
      <c r="A6" s="43"/>
      <c r="B6" s="33" t="s">
        <v>12</v>
      </c>
      <c r="C6" s="34"/>
      <c r="D6" s="35"/>
      <c r="E6" s="26"/>
      <c r="F6" s="27"/>
      <c r="G6" s="27"/>
      <c r="H6" s="44"/>
      <c r="I6" s="44"/>
      <c r="J6" s="44"/>
      <c r="K6" s="44"/>
      <c r="L6" s="44"/>
      <c r="M6" s="39"/>
    </row>
    <row r="7" spans="1:13" x14ac:dyDescent="0.2">
      <c r="A7" s="43"/>
      <c r="B7" s="33" t="s">
        <v>15</v>
      </c>
      <c r="C7" s="34"/>
      <c r="D7" s="35"/>
      <c r="E7" s="28"/>
      <c r="F7" s="29"/>
      <c r="G7" s="29"/>
      <c r="H7" s="44"/>
      <c r="I7" s="44"/>
      <c r="J7" s="44"/>
      <c r="K7" s="44"/>
      <c r="L7" s="44"/>
      <c r="M7" s="39"/>
    </row>
    <row r="8" spans="1:13" ht="15.75" x14ac:dyDescent="0.25">
      <c r="A8" s="43"/>
      <c r="B8" s="44"/>
      <c r="C8" s="47"/>
      <c r="D8" s="47"/>
      <c r="E8" s="44"/>
      <c r="F8" s="44"/>
      <c r="G8" s="44"/>
      <c r="H8" s="44"/>
      <c r="I8" s="44"/>
      <c r="J8" s="44"/>
      <c r="K8" s="44"/>
      <c r="L8" s="44"/>
      <c r="M8" s="39"/>
    </row>
    <row r="9" spans="1:13" ht="18.75" x14ac:dyDescent="0.3">
      <c r="A9" s="43"/>
      <c r="B9" s="40" t="s">
        <v>20</v>
      </c>
      <c r="C9" s="41"/>
      <c r="D9" s="41"/>
      <c r="E9" s="35"/>
      <c r="F9" s="44"/>
      <c r="G9" s="44"/>
      <c r="H9" s="44"/>
      <c r="I9" s="36" t="s">
        <v>13</v>
      </c>
      <c r="J9" s="30" t="str">
        <f>+Input_Output!J6</f>
        <v>diffuser</v>
      </c>
      <c r="K9" s="44"/>
      <c r="L9" s="44"/>
      <c r="M9" s="39"/>
    </row>
    <row r="10" spans="1:13" x14ac:dyDescent="0.2">
      <c r="A10" s="43"/>
      <c r="B10" s="33" t="str">
        <f>+Input_Output!B10</f>
        <v>unit system</v>
      </c>
      <c r="C10" s="34"/>
      <c r="D10" s="35"/>
      <c r="E10" s="30" t="s">
        <v>24</v>
      </c>
      <c r="F10" s="44"/>
      <c r="G10" s="44"/>
      <c r="H10" s="44"/>
      <c r="I10" s="36" t="s">
        <v>16</v>
      </c>
      <c r="J10" s="30" t="s">
        <v>17</v>
      </c>
      <c r="K10" s="44"/>
      <c r="L10" s="44"/>
      <c r="M10" s="39"/>
    </row>
    <row r="11" spans="1:13" x14ac:dyDescent="0.2">
      <c r="A11" s="43"/>
      <c r="B11" s="33" t="str">
        <f>+Input_Output!B11</f>
        <v>speed</v>
      </c>
      <c r="C11" s="34"/>
      <c r="D11" s="35"/>
      <c r="E11" s="31">
        <f>+IF(Input_Output!$E$10=setup!$B$5,Input_Output!E11,Input_Output!E11)</f>
        <v>3720</v>
      </c>
      <c r="F11" s="44" t="s">
        <v>27</v>
      </c>
      <c r="G11" s="44"/>
      <c r="H11" s="44"/>
      <c r="I11" s="36" t="s">
        <v>18</v>
      </c>
      <c r="J11" s="30" t="s">
        <v>19</v>
      </c>
      <c r="K11" s="44"/>
      <c r="L11" s="44"/>
      <c r="M11" s="39"/>
    </row>
    <row r="12" spans="1:13" x14ac:dyDescent="0.2">
      <c r="A12" s="43"/>
      <c r="B12" s="33" t="str">
        <f>+Input_Output!B12</f>
        <v>Qbep</v>
      </c>
      <c r="C12" s="34"/>
      <c r="D12" s="35"/>
      <c r="E12" s="31">
        <f>+IF(Input_Output!$E$10=setup!$B$5,Input_Output!E12*0.227,Input_Output!E12)</f>
        <v>1600</v>
      </c>
      <c r="F12" s="44" t="str">
        <f>+IF(E10=setup!B6,"m3/h","GPM")</f>
        <v>m3/h</v>
      </c>
      <c r="G12" s="44"/>
      <c r="H12" s="44"/>
      <c r="I12" s="44"/>
      <c r="J12" s="44"/>
      <c r="K12" s="44"/>
      <c r="L12" s="44"/>
      <c r="M12" s="39"/>
    </row>
    <row r="13" spans="1:13" x14ac:dyDescent="0.2">
      <c r="A13" s="43"/>
      <c r="B13" s="33" t="str">
        <f>+Input_Output!B13</f>
        <v>Hstage bep</v>
      </c>
      <c r="C13" s="34"/>
      <c r="D13" s="35"/>
      <c r="E13" s="31">
        <f>+IF(Input_Output!$E$10=setup!$B$5,Input_Output!E13*0.3048,Input_Output!E13)</f>
        <v>420</v>
      </c>
      <c r="F13" s="44" t="str">
        <f>+IF(E10=setup!B6,"m","ft")</f>
        <v>m</v>
      </c>
      <c r="G13" s="44"/>
      <c r="H13" s="44"/>
      <c r="I13" s="44"/>
      <c r="J13" s="44"/>
      <c r="K13" s="44"/>
      <c r="L13" s="44"/>
      <c r="M13" s="39"/>
    </row>
    <row r="14" spans="1:13" x14ac:dyDescent="0.2">
      <c r="A14" s="43"/>
      <c r="B14" s="33" t="str">
        <f>+Input_Output!B14</f>
        <v>Hstage max</v>
      </c>
      <c r="C14" s="34"/>
      <c r="D14" s="35"/>
      <c r="E14" s="31">
        <f>+IF(Input_Output!$E$10=setup!$B$5,Input_Output!E14*0.3048,Input_Output!E14)</f>
        <v>490</v>
      </c>
      <c r="F14" s="44" t="str">
        <f>+IF(E10=setup!B6,"m","ft")</f>
        <v>m</v>
      </c>
      <c r="G14" s="44"/>
      <c r="H14" s="44"/>
      <c r="I14" s="44"/>
      <c r="J14" s="44"/>
      <c r="K14" s="44"/>
      <c r="L14" s="44"/>
      <c r="M14" s="39"/>
    </row>
    <row r="15" spans="1:13" x14ac:dyDescent="0.2">
      <c r="A15" s="43"/>
      <c r="B15" s="33" t="str">
        <f>+Input_Output!B15</f>
        <v>D2 max</v>
      </c>
      <c r="C15" s="34"/>
      <c r="D15" s="35"/>
      <c r="E15" s="31">
        <f>+IF(Input_Output!$E$10=setup!$B$5,Input_Output!E15*25.4,Input_Output!E15)</f>
        <v>481</v>
      </c>
      <c r="F15" s="44" t="str">
        <f>+IF($E$10=setup!$B$6,"mm","in")</f>
        <v>mm</v>
      </c>
      <c r="G15" s="44"/>
      <c r="H15" s="44"/>
      <c r="I15" s="44"/>
      <c r="J15" s="44"/>
      <c r="K15" s="44"/>
      <c r="L15" s="44"/>
      <c r="M15" s="39"/>
    </row>
    <row r="16" spans="1:13" x14ac:dyDescent="0.2">
      <c r="A16" s="43"/>
      <c r="B16" s="33" t="str">
        <f>+Input_Output!B16</f>
        <v>fluid S.G.</v>
      </c>
      <c r="C16" s="34"/>
      <c r="D16" s="35"/>
      <c r="E16" s="31">
        <f>+Input_Output!E16</f>
        <v>1</v>
      </c>
      <c r="F16" s="44"/>
      <c r="G16" s="44"/>
      <c r="H16" s="44"/>
      <c r="I16" s="50" t="str">
        <f>CONCATENATE(J11," ",J9)</f>
        <v>closed diffuser</v>
      </c>
      <c r="J16" s="44" t="s">
        <v>29</v>
      </c>
      <c r="K16" s="44"/>
      <c r="L16" s="44"/>
      <c r="M16" s="39"/>
    </row>
    <row r="17" spans="1:13" x14ac:dyDescent="0.2">
      <c r="A17" s="43"/>
      <c r="B17" s="33" t="str">
        <f>+Input_Output!B17</f>
        <v>number of vanes Z</v>
      </c>
      <c r="C17" s="34"/>
      <c r="D17" s="35"/>
      <c r="E17" s="31">
        <f>+Input_Output!E17</f>
        <v>7</v>
      </c>
      <c r="F17" s="44"/>
      <c r="G17" s="44"/>
      <c r="H17" s="44"/>
      <c r="I17" s="33" t="s">
        <v>31</v>
      </c>
      <c r="J17" s="32" t="str">
        <f>+Input_Output!J13</f>
        <v>Martensitic CA6NM</v>
      </c>
      <c r="K17" s="48" t="s">
        <v>35</v>
      </c>
      <c r="M17" s="39"/>
    </row>
    <row r="18" spans="1:13" x14ac:dyDescent="0.2">
      <c r="A18" s="43"/>
      <c r="B18" s="33" t="str">
        <f>+Input_Output!B18</f>
        <v>channel width between disks (b2 or b3)</v>
      </c>
      <c r="C18" s="34"/>
      <c r="D18" s="35"/>
      <c r="E18" s="31">
        <f>+IF(Input_Output!$E$10=setup!$B$5,Input_Output!E18*25.4,Input_Output!E18)</f>
        <v>29.25</v>
      </c>
      <c r="F18" s="44" t="str">
        <f>+IF($E$10=setup!$B$6,"mm","in")</f>
        <v>mm</v>
      </c>
      <c r="G18" s="44"/>
      <c r="H18" s="44"/>
      <c r="I18" s="33" t="str">
        <f>+Input_Output!I15</f>
        <v>density                                              rmat</v>
      </c>
      <c r="J18" s="32">
        <f>+K18</f>
        <v>7700</v>
      </c>
      <c r="K18" s="49">
        <f>+_xlfn.XLOOKUP($J$17,setup!$G$5:$G$23,setup!$H$5:$H$23)</f>
        <v>7700</v>
      </c>
      <c r="L18" s="44" t="str">
        <f>+IF($E$10=setup!$B$6,"kg/m3","lb/ft3")</f>
        <v>kg/m3</v>
      </c>
      <c r="M18" s="39"/>
    </row>
    <row r="19" spans="1:13" x14ac:dyDescent="0.2">
      <c r="A19" s="43"/>
      <c r="B19" s="33" t="str">
        <f>+Input_Output!B19</f>
        <v>diffuser LE D3 or volute tongue Dcw</v>
      </c>
      <c r="C19" s="34"/>
      <c r="D19" s="35"/>
      <c r="E19" s="31">
        <f>+IF(Input_Output!$E$10=setup!$B$5,Input_Output!E19*25.4,Input_Output!E19)</f>
        <v>500.24</v>
      </c>
      <c r="F19" s="44" t="str">
        <f>+IF($E$10=setup!$B$6,"mm","in")</f>
        <v>mm</v>
      </c>
      <c r="G19" s="44"/>
      <c r="H19" s="44"/>
      <c r="I19" s="33" t="str">
        <f>+Input_Output!I16</f>
        <v>Tensile strength                                Ru</v>
      </c>
      <c r="J19" s="32">
        <f>+IF(Input_Output!$E$10=setup!$B$5,Input_Output!J16/145.038,Input_Output!J16)</f>
        <v>760</v>
      </c>
      <c r="K19" s="49">
        <f>+_xlfn.XLOOKUP($J$17,setup!$G$5:$G$23,setup!$I$5:$I$23)</f>
        <v>760</v>
      </c>
      <c r="L19" s="44" t="str">
        <f>+IF($E$10=setup!$B$6,"MPa","lbf/in2")</f>
        <v>MPa</v>
      </c>
      <c r="M19" s="39"/>
    </row>
    <row r="20" spans="1:13" x14ac:dyDescent="0.2">
      <c r="A20" s="43"/>
      <c r="B20" s="33" t="str">
        <f>+Input_Output!B20</f>
        <v>diffuser PS-SS angle delta</v>
      </c>
      <c r="C20" s="34"/>
      <c r="D20" s="35"/>
      <c r="E20" s="31">
        <f>+Input_Output!E20</f>
        <v>25</v>
      </c>
      <c r="F20" s="44" t="s">
        <v>46</v>
      </c>
      <c r="G20" s="44"/>
      <c r="H20" s="44"/>
      <c r="I20" s="33" t="str">
        <f>+Input_Output!I17</f>
        <v>Yeld strength                                    Rp0.2</v>
      </c>
      <c r="J20" s="32">
        <f>+IF(Input_Output!$E$10=setup!$B$5,Input_Output!J17/145.038,Input_Output!J17)</f>
        <v>550</v>
      </c>
      <c r="K20" s="49">
        <f>+_xlfn.XLOOKUP($J$17,setup!$G$5:$G$23,setup!$J$5:$J$23)</f>
        <v>550</v>
      </c>
      <c r="L20" s="44" t="str">
        <f>+IF($E$10=setup!$B$6,"MPa","lbf/in2")</f>
        <v>MPa</v>
      </c>
      <c r="M20" s="39"/>
    </row>
    <row r="21" spans="1:13" x14ac:dyDescent="0.2">
      <c r="A21" s="43"/>
      <c r="B21" s="44"/>
      <c r="C21" s="44"/>
      <c r="D21" s="44"/>
      <c r="E21" s="44"/>
      <c r="F21" s="44"/>
      <c r="G21" s="44"/>
      <c r="H21" s="44"/>
      <c r="I21" s="33" t="str">
        <f>+Input_Output!I18</f>
        <v>alternate bending strength               sbw</v>
      </c>
      <c r="J21" s="32">
        <f>+IF(Input_Output!$E$10=setup!$B$5,Input_Output!J18/145.038,Input_Output!J18)</f>
        <v>228</v>
      </c>
      <c r="K21" s="49">
        <f>+IF(Input_Output!J10=setup!F6,0.3,0.12)*K19</f>
        <v>228</v>
      </c>
      <c r="L21" s="44" t="str">
        <f>+IF($E$10=setup!$B$6,"MPa","lbf/in2")</f>
        <v>MPa</v>
      </c>
      <c r="M21" s="39"/>
    </row>
    <row r="22" spans="1:13" x14ac:dyDescent="0.2">
      <c r="A22" s="43"/>
      <c r="B22" s="44"/>
      <c r="C22" s="44"/>
      <c r="D22" s="44"/>
      <c r="E22" s="44"/>
      <c r="F22" s="44"/>
      <c r="G22" s="44"/>
      <c r="H22" s="44"/>
      <c r="I22" s="33" t="str">
        <f>+Input_Output!I19</f>
        <v>Safety factor for blade rupture          Sz</v>
      </c>
      <c r="J22" s="32">
        <f>+K22</f>
        <v>2</v>
      </c>
      <c r="K22" s="49">
        <f>_xlfn.XLOOKUP($J$17,setup!$G$5:$G$23,setup!$K$5:$K$23)</f>
        <v>2</v>
      </c>
      <c r="L22" s="44"/>
      <c r="M22" s="39"/>
    </row>
    <row r="23" spans="1:13" x14ac:dyDescent="0.2">
      <c r="A23" s="44"/>
      <c r="B23" s="44"/>
      <c r="C23" s="44"/>
      <c r="D23" s="44"/>
      <c r="E23" s="44"/>
      <c r="F23" s="44"/>
      <c r="G23" s="44"/>
      <c r="H23" s="44"/>
      <c r="I23" s="33" t="str">
        <f>+Input_Output!I20</f>
        <v>Safety factor for shroud rupture        Szz</v>
      </c>
      <c r="J23" s="32">
        <f>+K23</f>
        <v>5</v>
      </c>
      <c r="K23" s="49">
        <f>_xlfn.XLOOKUP($J$17,setup!$G$5:$G$23,setup!$L$5:$L$23)</f>
        <v>5</v>
      </c>
      <c r="L23" s="44"/>
      <c r="M23" s="39"/>
    </row>
    <row r="24" spans="1:13" x14ac:dyDescent="0.2">
      <c r="A24" s="44"/>
      <c r="B24" s="44"/>
      <c r="C24" s="44"/>
      <c r="D24" s="44"/>
      <c r="E24" s="44"/>
      <c r="F24" s="44"/>
      <c r="G24" s="44"/>
      <c r="H24" s="44"/>
      <c r="I24" s="44" t="s">
        <v>94</v>
      </c>
      <c r="J24" s="44">
        <f>+K24</f>
        <v>1</v>
      </c>
      <c r="K24" s="49">
        <f>+IF(Input_Output!$J$6=setup!$C$5,_xlfn.XLOOKUP($J$17,setup!$G$5:$G$23,setup!$M$5:$M$23),_xlfn.XLOOKUP($J$17,setup!$G$5:$G$23,setup!$M$5:$M$23))</f>
        <v>1</v>
      </c>
      <c r="L24" s="44"/>
      <c r="M24" s="39"/>
    </row>
    <row r="25" spans="1:13" x14ac:dyDescent="0.2">
      <c r="A25" s="44"/>
      <c r="B25" s="44"/>
      <c r="C25" s="44"/>
      <c r="D25" s="44"/>
      <c r="E25" s="44"/>
      <c r="F25" s="44"/>
      <c r="G25" s="44"/>
      <c r="H25" s="44"/>
      <c r="I25" s="65"/>
      <c r="J25" s="44"/>
      <c r="K25" s="44"/>
      <c r="L25" s="44"/>
      <c r="M25" s="39"/>
    </row>
    <row r="26" spans="1:13" x14ac:dyDescent="0.2">
      <c r="A26" s="44"/>
      <c r="B26" s="44" t="s">
        <v>95</v>
      </c>
      <c r="C26" s="44"/>
      <c r="D26" s="44"/>
      <c r="E26" s="44"/>
      <c r="F26" s="44"/>
      <c r="G26" s="44"/>
      <c r="H26" s="44"/>
      <c r="I26" s="65"/>
      <c r="J26" s="44"/>
      <c r="K26" s="44"/>
      <c r="L26" s="44"/>
      <c r="M26" s="39"/>
    </row>
    <row r="27" spans="1:13" x14ac:dyDescent="0.2">
      <c r="A27" s="44"/>
      <c r="B27" s="44"/>
      <c r="C27" s="44"/>
      <c r="D27" s="44"/>
      <c r="E27" s="44" t="s">
        <v>35</v>
      </c>
      <c r="F27" s="44" t="s">
        <v>34</v>
      </c>
      <c r="G27" s="44"/>
      <c r="H27" s="44"/>
      <c r="I27" s="44"/>
      <c r="J27" s="44"/>
      <c r="K27" s="44"/>
      <c r="L27" s="44"/>
      <c r="M27" s="39"/>
    </row>
    <row r="28" spans="1:13" ht="12.75" customHeight="1" x14ac:dyDescent="0.2">
      <c r="A28" s="44"/>
      <c r="B28" s="60" t="s">
        <v>96</v>
      </c>
      <c r="C28" s="41"/>
      <c r="D28" s="59" t="s">
        <v>97</v>
      </c>
      <c r="E28" s="57">
        <f>+'Gulich-T14.1 - T14.3'!F5</f>
        <v>9.1125876327706568</v>
      </c>
      <c r="F28" s="64">
        <f>+IF(Input_Output!$E$10=setup!$B$5,Input_Output!F25*25.4,Input_Output!F25)</f>
        <v>9</v>
      </c>
      <c r="G28" s="44" t="s">
        <v>98</v>
      </c>
      <c r="H28" s="44"/>
      <c r="I28" s="44"/>
      <c r="J28" s="44"/>
      <c r="K28" s="44"/>
      <c r="L28" s="44"/>
      <c r="M28" s="39"/>
    </row>
    <row r="29" spans="1:13" x14ac:dyDescent="0.2">
      <c r="A29" s="44"/>
      <c r="B29" s="33" t="str">
        <f>+IF($I$16="closed impeller",'Gulich-T14.1 - T14.3'!D6,IF($I$16="open impeller",'Gulich-T14.1 - T14.3'!D10,'Gulich-T14.1 - T14.3'!D12))</f>
        <v>LE thickness</v>
      </c>
      <c r="C29" s="33"/>
      <c r="D29" s="58" t="str">
        <f>+IF($I$16="closed impeller",'Gulich-T14.1 - T14.3'!C6,IF($I$16="open impeller",'Gulich-T14.1 - T14.3'!C10,'Gulich-T14.1 - T14.3'!C12))</f>
        <v>eLE</v>
      </c>
      <c r="E29" s="57">
        <f>+IF($I$16="closed impeller",'Gulich-T14.1 - T14.3'!H6,IF($I$16="open impeller",'Gulich-T14.1 - T14.3'!H10,'Gulich-T14.1 - T14.3'!H12))</f>
        <v>5</v>
      </c>
      <c r="F29" s="64">
        <f>+IF(Input_Output!$E$10=setup!$B$5,Input_Output!F26*25.4,Input_Output!F26)</f>
        <v>5</v>
      </c>
      <c r="G29" s="44" t="s">
        <v>98</v>
      </c>
      <c r="H29" s="44"/>
      <c r="I29" s="44"/>
      <c r="J29" s="44"/>
      <c r="K29" s="44"/>
      <c r="L29" s="44"/>
      <c r="M29" s="39"/>
    </row>
    <row r="30" spans="1:13" x14ac:dyDescent="0.2">
      <c r="A30" s="44"/>
      <c r="B30" s="33" t="str">
        <f>+IF($I$16="closed impeller",'Gulich-T14.1 - T14.3'!D7,IF($I$16="open impeller",'Gulich-T14.1 - T14.3'!D11,'Gulich-T14.1 - T14.3'!D13))</f>
        <v>Mean vane thickness acc T14.1</v>
      </c>
      <c r="C30" s="33"/>
      <c r="D30" s="58" t="str">
        <f>+IF($I$16="closed impeller",'Gulich-T14.1 - T14.3'!C7,IF($I$16="open impeller",'Gulich-T14.1 - T14.3'!C11,'Gulich-T14.1 - T14.3'!C13))</f>
        <v>em</v>
      </c>
      <c r="E30" s="57">
        <f>+IF($I$16="closed impeller",'Gulich-T14.1 - T14.3'!H7,IF($I$16="open impeller",'Gulich-T14.1 - T14.3'!H11,'Gulich-T14.1 - T14.3'!H13))</f>
        <v>16.657691453874964</v>
      </c>
      <c r="F30" s="64">
        <f>+IF(Input_Output!$E$10=setup!$B$5,Input_Output!F27*25.4,Input_Output!F27)</f>
        <v>8</v>
      </c>
      <c r="G30" s="44" t="s">
        <v>98</v>
      </c>
      <c r="H30" s="37"/>
      <c r="I30" s="37"/>
      <c r="J30" s="37"/>
      <c r="K30" s="37"/>
      <c r="L30" s="37"/>
      <c r="M30" s="38"/>
    </row>
    <row r="31" spans="1:13" x14ac:dyDescent="0.2">
      <c r="A31" s="37"/>
      <c r="B31" s="33" t="str">
        <f>+IF($I$16="closed impeller",'Gulich-T14.1 - T14.3'!D8,IF($I$16="open impeller",'Gulich-T14.1 - T14.3'!D12,""))</f>
        <v/>
      </c>
      <c r="C31" s="33"/>
      <c r="D31" s="58" t="str">
        <f>+IF($I$16="closed impeller",'Gulich-T14.1 - T14.3'!C8,IF($I$16="open impeller",'Gulich-T14.1 - T14.3'!C12,""))</f>
        <v/>
      </c>
      <c r="E31" s="57" t="str">
        <f>+IF($I$16="closed impeller",'Gulich-T14.1 - T14.3'!H8,IF($I$16="open impeller",'Gulich-T14.1 - T14.3'!H12,""))</f>
        <v/>
      </c>
      <c r="F31" s="64">
        <f>+IF(Input_Output!$E$10=setup!$B$5,Input_Output!F28*25.4,Input_Output!F28)</f>
        <v>12</v>
      </c>
      <c r="G31" s="44" t="s">
        <v>98</v>
      </c>
      <c r="H31" s="37"/>
      <c r="I31" s="37"/>
      <c r="J31" s="37"/>
      <c r="K31" s="37"/>
      <c r="L31" s="37"/>
      <c r="M31" s="39"/>
    </row>
    <row r="32" spans="1:13" x14ac:dyDescent="0.2">
      <c r="A32" s="43"/>
      <c r="B32" s="33" t="s">
        <v>99</v>
      </c>
      <c r="C32" s="34"/>
      <c r="D32" s="58" t="s">
        <v>100</v>
      </c>
      <c r="E32" s="57">
        <f>+MAX(E28*0.3,3)</f>
        <v>3</v>
      </c>
      <c r="F32" s="64">
        <f>+IF(Input_Output!$E$10=setup!$B$5,Input_Output!F29*25.4,Input_Output!F29)</f>
        <v>5</v>
      </c>
      <c r="G32" s="44" t="s">
        <v>98</v>
      </c>
      <c r="H32" s="44"/>
      <c r="I32" s="44"/>
      <c r="J32" s="44"/>
      <c r="K32" s="44"/>
      <c r="L32" s="44"/>
      <c r="M32" s="39"/>
    </row>
    <row r="33" spans="1:21" ht="22.5" customHeight="1" x14ac:dyDescent="0.2">
      <c r="A33" s="44"/>
      <c r="B33" s="33"/>
      <c r="C33" s="34"/>
      <c r="D33" s="58"/>
      <c r="E33" s="57"/>
      <c r="F33" s="56"/>
      <c r="G33" s="44"/>
      <c r="H33" s="44"/>
      <c r="I33" s="44"/>
      <c r="J33" s="44"/>
      <c r="K33" s="44"/>
      <c r="L33" s="44"/>
      <c r="M33" s="39"/>
    </row>
    <row r="34" spans="1:21" ht="22.5" customHeight="1" x14ac:dyDescent="0.2">
      <c r="A34" s="44"/>
      <c r="B34" s="33"/>
      <c r="C34" s="34"/>
      <c r="D34" s="58"/>
      <c r="E34" s="57"/>
      <c r="F34" s="56"/>
      <c r="G34" s="44"/>
      <c r="H34" s="44"/>
      <c r="I34" s="44"/>
      <c r="J34" s="44"/>
      <c r="K34" s="44"/>
      <c r="L34" s="44"/>
      <c r="M34" s="39"/>
    </row>
    <row r="35" spans="1:21" ht="22.5" customHeight="1" x14ac:dyDescent="0.2">
      <c r="A35" s="44"/>
      <c r="B35" s="33"/>
      <c r="C35" s="34"/>
      <c r="D35" s="58"/>
      <c r="E35" s="57"/>
      <c r="F35" s="56"/>
      <c r="G35" s="44"/>
      <c r="H35" s="44"/>
      <c r="I35" s="44"/>
      <c r="J35" s="44"/>
      <c r="K35" s="44"/>
      <c r="L35" s="44"/>
      <c r="M35" s="39"/>
    </row>
    <row r="36" spans="1:21" ht="22.5" customHeight="1" x14ac:dyDescent="0.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39"/>
    </row>
    <row r="37" spans="1:21" ht="22.5" customHeight="1" x14ac:dyDescent="0.25">
      <c r="A37" s="44"/>
      <c r="B37" s="94" t="s">
        <v>49</v>
      </c>
      <c r="C37" s="94" t="s">
        <v>50</v>
      </c>
      <c r="D37" s="44"/>
      <c r="E37" s="44"/>
      <c r="F37" s="44"/>
      <c r="G37" s="44"/>
      <c r="H37" s="44"/>
      <c r="I37" s="44"/>
      <c r="J37" s="44"/>
      <c r="K37" s="44"/>
      <c r="L37" s="44"/>
      <c r="M37" s="39"/>
    </row>
    <row r="38" spans="1:21" ht="22.5" customHeight="1" x14ac:dyDescent="0.2">
      <c r="A38" s="44"/>
      <c r="B38" s="44">
        <f>+'Gulich-T14.1 - T14.3'!F2</f>
        <v>93.688576115354806</v>
      </c>
      <c r="C38" s="44">
        <f>+'Gulich-T14.1 - T14.3'!G2</f>
        <v>26.730969663042654</v>
      </c>
      <c r="D38" s="44"/>
      <c r="E38" s="44"/>
      <c r="F38" s="44"/>
      <c r="G38" s="44"/>
      <c r="H38" s="44"/>
      <c r="I38" s="44"/>
      <c r="J38" s="44"/>
      <c r="K38" s="44"/>
      <c r="L38" s="44"/>
      <c r="M38" s="39"/>
    </row>
    <row r="39" spans="1:21" ht="22.5" customHeight="1" x14ac:dyDescent="0.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39"/>
      <c r="U39" s="9"/>
    </row>
    <row r="40" spans="1:21" ht="22.5" customHeight="1" x14ac:dyDescent="0.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39"/>
    </row>
    <row r="41" spans="1:21" ht="22.5" customHeight="1" x14ac:dyDescent="0.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39"/>
    </row>
    <row r="42" spans="1:21" ht="22.5" customHeight="1" x14ac:dyDescent="0.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39"/>
    </row>
    <row r="43" spans="1:21" ht="22.5" customHeight="1" x14ac:dyDescent="0.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39"/>
    </row>
    <row r="44" spans="1:21" x14ac:dyDescent="0.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39"/>
    </row>
    <row r="45" spans="1:21" x14ac:dyDescent="0.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39"/>
    </row>
    <row r="46" spans="1:21" x14ac:dyDescent="0.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39"/>
      <c r="N46" s="8"/>
    </row>
    <row r="47" spans="1:21" x14ac:dyDescent="0.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39"/>
    </row>
    <row r="48" spans="1:21" ht="13.5" thickBot="1" x14ac:dyDescent="0.25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39"/>
    </row>
    <row r="49" spans="1:19" ht="13.5" thickBot="1" x14ac:dyDescent="0.25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39"/>
      <c r="O49" s="5"/>
      <c r="R49" s="5"/>
    </row>
    <row r="50" spans="1:19" x14ac:dyDescent="0.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39"/>
    </row>
    <row r="51" spans="1:19" x14ac:dyDescent="0.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39"/>
    </row>
    <row r="52" spans="1:19" x14ac:dyDescent="0.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39"/>
    </row>
    <row r="53" spans="1:19" x14ac:dyDescent="0.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39"/>
    </row>
    <row r="54" spans="1:19" x14ac:dyDescent="0.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39"/>
    </row>
    <row r="55" spans="1:19" x14ac:dyDescent="0.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39"/>
    </row>
    <row r="56" spans="1:19" x14ac:dyDescent="0.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39"/>
    </row>
    <row r="57" spans="1:19" x14ac:dyDescent="0.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39"/>
      <c r="O57" s="1"/>
      <c r="P57" s="6"/>
      <c r="R57" s="1"/>
      <c r="S57" s="6"/>
    </row>
    <row r="58" spans="1:19" x14ac:dyDescent="0.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39"/>
      <c r="O58" s="2"/>
    </row>
    <row r="59" spans="1:19" x14ac:dyDescent="0.2">
      <c r="A59" s="184" t="s">
        <v>58</v>
      </c>
      <c r="B59" s="185"/>
      <c r="C59" s="185"/>
      <c r="D59" s="185"/>
      <c r="E59" s="185"/>
      <c r="F59" s="185"/>
      <c r="G59" s="185"/>
      <c r="H59" s="185"/>
      <c r="I59" s="185"/>
      <c r="J59" s="185"/>
      <c r="K59" s="185"/>
      <c r="L59" s="185"/>
      <c r="M59" s="186"/>
    </row>
    <row r="60" spans="1:19" ht="41.25" customHeight="1" x14ac:dyDescent="0.2">
      <c r="A60" s="187" t="s">
        <v>101</v>
      </c>
      <c r="B60" s="188"/>
      <c r="C60" s="188"/>
      <c r="D60" s="188"/>
      <c r="E60" s="188"/>
      <c r="F60" s="188"/>
      <c r="G60" s="188"/>
      <c r="H60" s="188"/>
      <c r="I60" s="188"/>
      <c r="J60" s="188"/>
      <c r="K60" s="188"/>
      <c r="L60" s="188"/>
      <c r="M60" s="189"/>
    </row>
    <row r="61" spans="1:19" ht="13.5" customHeight="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</sheetData>
  <mergeCells count="4">
    <mergeCell ref="A1:E3"/>
    <mergeCell ref="F1:M3"/>
    <mergeCell ref="A59:M59"/>
    <mergeCell ref="A60:M60"/>
  </mergeCells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D7B8BC0-F9C2-4580-BDA3-82514055245B}">
          <x14:formula1>
            <xm:f>setup!$F$5:$F$6</xm:f>
          </x14:formula1>
          <xm:sqref>J10</xm:sqref>
        </x14:dataValidation>
        <x14:dataValidation type="list" allowBlank="1" showInputMessage="1" showErrorMessage="1" xr:uid="{E7012DA1-2C80-407D-BB7D-68577D9E95CE}">
          <x14:formula1>
            <xm:f>setup!$D$5:$D$6</xm:f>
          </x14:formula1>
          <xm:sqref>J11</xm:sqref>
        </x14:dataValidation>
        <x14:dataValidation type="list" allowBlank="1" showInputMessage="1" showErrorMessage="1" xr:uid="{9195373C-BDF8-461D-8182-DA28ECB0C68A}">
          <x14:formula1>
            <xm:f>setup!$C$5:$C$6</xm:f>
          </x14:formula1>
          <xm:sqref>J9</xm:sqref>
        </x14:dataValidation>
        <x14:dataValidation type="list" allowBlank="1" showInputMessage="1" showErrorMessage="1" xr:uid="{ACC8DAA0-5775-4A96-B503-10F074DC911D}">
          <x14:formula1>
            <xm:f>setup!$G$5:$G$23</xm:f>
          </x14:formula1>
          <xm:sqref>J17</xm:sqref>
        </x14:dataValidation>
        <x14:dataValidation type="list" allowBlank="1" showInputMessage="1" showErrorMessage="1" xr:uid="{513E1DF9-16B7-4266-A283-5268BDC479A4}">
          <x14:formula1>
            <xm:f>setup!$B$5:$B$6</xm:f>
          </x14:formula1>
          <xm:sqref>E10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5776-9D4A-4C82-82FD-983FA4D9F3FD}">
  <dimension ref="A1:AT65"/>
  <sheetViews>
    <sheetView topLeftCell="A23" zoomScale="70" zoomScaleNormal="70" workbookViewId="0">
      <selection activeCell="F13" sqref="F13"/>
    </sheetView>
  </sheetViews>
  <sheetFormatPr defaultRowHeight="12.75" x14ac:dyDescent="0.2"/>
  <cols>
    <col min="4" max="4" width="29.140625" customWidth="1"/>
    <col min="5" max="5" width="10" customWidth="1"/>
    <col min="8" max="8" width="17.7109375" customWidth="1"/>
    <col min="15" max="15" width="13.140625" bestFit="1" customWidth="1"/>
    <col min="16" max="16" width="9.5703125" bestFit="1" customWidth="1"/>
    <col min="24" max="24" width="11.5703125" customWidth="1"/>
    <col min="29" max="29" width="11.5703125" bestFit="1" customWidth="1"/>
    <col min="38" max="38" width="15" customWidth="1"/>
  </cols>
  <sheetData>
    <row r="1" spans="1:46" x14ac:dyDescent="0.2">
      <c r="B1" s="77" t="s">
        <v>28</v>
      </c>
      <c r="C1" s="77" t="s">
        <v>102</v>
      </c>
      <c r="D1" s="77" t="s">
        <v>103</v>
      </c>
      <c r="E1" s="78" t="s">
        <v>104</v>
      </c>
      <c r="F1" s="77" t="s">
        <v>105</v>
      </c>
      <c r="G1" s="77" t="s">
        <v>106</v>
      </c>
      <c r="H1" s="79" t="s">
        <v>107</v>
      </c>
      <c r="J1" t="s">
        <v>108</v>
      </c>
      <c r="K1" t="s">
        <v>109</v>
      </c>
      <c r="L1" t="s">
        <v>110</v>
      </c>
      <c r="M1" s="7" t="s">
        <v>111</v>
      </c>
      <c r="N1" s="7" t="s">
        <v>112</v>
      </c>
      <c r="O1" s="7" t="s">
        <v>113</v>
      </c>
      <c r="P1" t="s">
        <v>114</v>
      </c>
      <c r="Q1" t="s">
        <v>68</v>
      </c>
      <c r="R1" t="s">
        <v>115</v>
      </c>
      <c r="S1" t="s">
        <v>116</v>
      </c>
      <c r="T1" t="s">
        <v>117</v>
      </c>
      <c r="U1" t="s">
        <v>118</v>
      </c>
      <c r="V1" t="s">
        <v>111</v>
      </c>
      <c r="W1" t="s">
        <v>66</v>
      </c>
      <c r="Y1" t="s">
        <v>119</v>
      </c>
      <c r="Z1" t="s">
        <v>120</v>
      </c>
      <c r="AA1" t="s">
        <v>69</v>
      </c>
      <c r="AC1" t="s">
        <v>121</v>
      </c>
    </row>
    <row r="2" spans="1:46" x14ac:dyDescent="0.2">
      <c r="B2" s="52">
        <f>+'Metric Conversion'!E12</f>
        <v>1600</v>
      </c>
      <c r="C2" s="52">
        <f>+'Metric Conversion'!E13</f>
        <v>420</v>
      </c>
      <c r="D2">
        <f>+'Metric Conversion'!E15</f>
        <v>481</v>
      </c>
      <c r="E2" s="25">
        <f>+'Metric Conversion'!E17</f>
        <v>7</v>
      </c>
      <c r="F2">
        <f>+H2/60*2*PI()*D2/2000</f>
        <v>93.688576115354806</v>
      </c>
      <c r="G2">
        <f>H2/60*(B2/(IF(Input_Output!J7=setup!F5,2,1)))^0.5/C2^0.75</f>
        <v>26.730969663042654</v>
      </c>
      <c r="H2" s="52">
        <f>+'Metric Conversion'!E11</f>
        <v>3720</v>
      </c>
      <c r="J2" s="52">
        <f>+'Metric Conversion'!E14</f>
        <v>490</v>
      </c>
      <c r="K2">
        <f>2*J2*9.81/F2^2*(IF(Input_Output!$J$6=setup!$C$5,0.75*G2/250,0.25))</f>
        <v>0.27381788690150699</v>
      </c>
      <c r="L2" s="52">
        <f>+'Metric Conversion'!E19</f>
        <v>500.24</v>
      </c>
      <c r="M2">
        <f>+Input_Output!E20</f>
        <v>25</v>
      </c>
      <c r="N2">
        <f>+'Metric Conversion'!E16*1000</f>
        <v>1000</v>
      </c>
      <c r="O2">
        <f>+'Metric Conversion'!J18</f>
        <v>7700</v>
      </c>
      <c r="P2">
        <f>MAX(IF(Input_Output!J9=setup!E5,4,IF(Input_Output!J9=setup!E6,2,1.5)),1.2*(H5/'Metric Conversion'!F32)^0.15)</f>
        <v>2</v>
      </c>
      <c r="Q2">
        <f>+'Metric Conversion'!J22</f>
        <v>2</v>
      </c>
      <c r="R2">
        <f>+IF(Input_Output!$J$8=setup!$D$6,1,6)</f>
        <v>1</v>
      </c>
      <c r="S2" s="52">
        <f>+'Metric Conversion'!E18</f>
        <v>29.25</v>
      </c>
      <c r="T2" s="25">
        <f>+'Metric Conversion'!F30</f>
        <v>8</v>
      </c>
      <c r="U2">
        <f>+(IF(Input_Output!$J$6=setup!$C$5,4,0))</f>
        <v>0</v>
      </c>
      <c r="V2">
        <f>+Input_Output!E20</f>
        <v>25</v>
      </c>
      <c r="W2">
        <f>+'Metric Conversion'!J19</f>
        <v>760</v>
      </c>
      <c r="Y2">
        <f>+IF(Input_Output!J10=setup!F5,0.12,0.3)</f>
        <v>0.3</v>
      </c>
      <c r="Z2">
        <f>+'Metric Conversion'!J21</f>
        <v>228</v>
      </c>
      <c r="AA2">
        <f>+'Metric Conversion'!J23</f>
        <v>5</v>
      </c>
      <c r="AC2" s="25">
        <f>'Metric Conversion'!F31</f>
        <v>12</v>
      </c>
    </row>
    <row r="3" spans="1:46" ht="26.25" thickBot="1" x14ac:dyDescent="0.25">
      <c r="A3" s="25"/>
      <c r="H3" s="63" t="s">
        <v>122</v>
      </c>
    </row>
    <row r="4" spans="1:46" x14ac:dyDescent="0.2">
      <c r="A4" s="25"/>
      <c r="B4" s="66"/>
      <c r="C4" s="67"/>
      <c r="D4" s="67"/>
      <c r="E4" s="67"/>
      <c r="F4" s="67"/>
      <c r="G4" s="67"/>
      <c r="H4" s="75"/>
      <c r="J4" s="66"/>
      <c r="K4" s="67"/>
      <c r="L4" s="67"/>
      <c r="M4" s="67"/>
      <c r="N4" s="67"/>
      <c r="O4" s="67"/>
      <c r="P4" s="67"/>
      <c r="Q4" s="67"/>
      <c r="R4" s="67"/>
      <c r="S4" s="67"/>
      <c r="T4" s="67"/>
      <c r="U4" s="68"/>
      <c r="X4" s="66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8"/>
    </row>
    <row r="5" spans="1:46" ht="25.15" customHeight="1" x14ac:dyDescent="0.25">
      <c r="B5" s="80" t="s">
        <v>123</v>
      </c>
      <c r="C5" s="81" t="s">
        <v>97</v>
      </c>
      <c r="D5" s="82" t="s">
        <v>124</v>
      </c>
      <c r="E5" s="194" t="s">
        <v>125</v>
      </c>
      <c r="F5" s="84">
        <f>+MAX(6,0.015*D2,0.015*D2*(7/E2)^0.4*(1+0.25*(F2/100)^2)*(1+0.5*(G2/100)^2))</f>
        <v>9.1125876327706568</v>
      </c>
      <c r="G5" s="81" t="s">
        <v>98</v>
      </c>
      <c r="H5" s="85">
        <f>+'Metric Conversion'!F28</f>
        <v>9</v>
      </c>
      <c r="J5" s="88" t="s">
        <v>126</v>
      </c>
      <c r="K5" s="51" t="s">
        <v>127</v>
      </c>
      <c r="L5" s="89" t="s">
        <v>128</v>
      </c>
      <c r="M5" s="90"/>
      <c r="N5" s="90"/>
      <c r="O5">
        <f>+N2/2*F2^2*K2</f>
        <v>1201725</v>
      </c>
      <c r="P5" t="s">
        <v>129</v>
      </c>
      <c r="U5" s="70"/>
      <c r="X5" s="69" t="s">
        <v>130</v>
      </c>
      <c r="Y5" s="53" t="s">
        <v>127</v>
      </c>
      <c r="Z5" s="54" t="s">
        <v>131</v>
      </c>
      <c r="AC5">
        <f>0.1*N2/2*F2^2</f>
        <v>438877.46472613153</v>
      </c>
      <c r="AD5">
        <f>+AC5/1000000</f>
        <v>0.43887746472613154</v>
      </c>
      <c r="AI5" s="70"/>
      <c r="AL5" t="s">
        <v>52</v>
      </c>
      <c r="AN5" t="s">
        <v>53</v>
      </c>
      <c r="AQ5" t="s">
        <v>132</v>
      </c>
    </row>
    <row r="6" spans="1:46" ht="25.15" customHeight="1" x14ac:dyDescent="0.25">
      <c r="B6" s="80" t="s">
        <v>133</v>
      </c>
      <c r="C6" s="81" t="s">
        <v>134</v>
      </c>
      <c r="D6" s="82" t="s">
        <v>135</v>
      </c>
      <c r="E6" s="195"/>
      <c r="F6" s="84">
        <f>+MAX(5,F5*0.5)</f>
        <v>5</v>
      </c>
      <c r="G6" s="81" t="s">
        <v>98</v>
      </c>
      <c r="H6" s="86">
        <f>+MAX(H5*0.5,F6)</f>
        <v>5</v>
      </c>
      <c r="J6" s="88" t="s">
        <v>136</v>
      </c>
      <c r="K6" s="51" t="s">
        <v>137</v>
      </c>
      <c r="L6" s="89" t="s">
        <v>138</v>
      </c>
      <c r="M6" s="90"/>
      <c r="N6" s="90"/>
      <c r="O6">
        <f>+IF(Input_Output!$J$6=setup!$C$6,0,O2*(H2/60*2*PI())^2*D2/2000*T2/1000*COS(RADIANS(M2)))</f>
        <v>0</v>
      </c>
      <c r="R6" t="s">
        <v>139</v>
      </c>
      <c r="S6">
        <f>(0.008/(L2/D2-1)^0.9)</f>
        <v>0.14495593273553897</v>
      </c>
      <c r="U6" s="70"/>
      <c r="X6" s="69" t="s">
        <v>140</v>
      </c>
      <c r="Y6" s="53" t="s">
        <v>141</v>
      </c>
      <c r="Z6" s="54" t="s">
        <v>142</v>
      </c>
      <c r="AC6">
        <f>+O7</f>
        <v>636178.92255984992</v>
      </c>
      <c r="AD6">
        <f>+AC6/1000000</f>
        <v>0.63617892255984987</v>
      </c>
      <c r="AI6" s="70"/>
      <c r="AK6" s="92"/>
      <c r="AL6" s="93" t="s">
        <v>143</v>
      </c>
      <c r="AM6" s="93" t="s">
        <v>144</v>
      </c>
      <c r="AN6" s="93" t="s">
        <v>143</v>
      </c>
      <c r="AO6" s="93" t="s">
        <v>144</v>
      </c>
      <c r="AQ6" s="93" t="s">
        <v>143</v>
      </c>
      <c r="AR6" s="93" t="s">
        <v>145</v>
      </c>
      <c r="AS6" s="93"/>
      <c r="AT6" s="93" t="s">
        <v>146</v>
      </c>
    </row>
    <row r="7" spans="1:46" ht="25.15" customHeight="1" x14ac:dyDescent="0.25">
      <c r="B7" s="80" t="s">
        <v>147</v>
      </c>
      <c r="C7" s="81" t="s">
        <v>117</v>
      </c>
      <c r="D7" s="82" t="s">
        <v>148</v>
      </c>
      <c r="E7" s="195"/>
      <c r="F7" s="84">
        <f>MAX(6,0.75*F5)</f>
        <v>6.834440724577993</v>
      </c>
      <c r="G7" s="81" t="s">
        <v>98</v>
      </c>
      <c r="H7" s="85">
        <f>MAX(AVERAGE('Metric Conversion'!F28:F29),F7)</f>
        <v>7</v>
      </c>
      <c r="J7" s="88" t="s">
        <v>149</v>
      </c>
      <c r="K7" s="51" t="s">
        <v>141</v>
      </c>
      <c r="L7" s="89" t="s">
        <v>150</v>
      </c>
      <c r="M7" s="90"/>
      <c r="N7" s="90"/>
      <c r="O7">
        <f>0.5*F2^2*N2*S6</f>
        <v>636178.92255984992</v>
      </c>
      <c r="P7" s="76">
        <f>+O7/1000000</f>
        <v>0.63617892255984987</v>
      </c>
      <c r="U7" s="70"/>
      <c r="X7" s="69" t="s">
        <v>151</v>
      </c>
      <c r="Y7" s="53" t="s">
        <v>152</v>
      </c>
      <c r="Z7" s="54" t="s">
        <v>153</v>
      </c>
      <c r="AI7" s="70"/>
      <c r="AK7" s="92" t="s">
        <v>154</v>
      </c>
      <c r="AL7" s="92">
        <f>+W2</f>
        <v>760</v>
      </c>
      <c r="AM7" s="92">
        <v>0</v>
      </c>
      <c r="AN7" s="92">
        <f>+AL7</f>
        <v>760</v>
      </c>
      <c r="AO7" s="92">
        <v>0</v>
      </c>
      <c r="AQ7" s="92">
        <f>+IF(Input_Output!$E$10=setup!$B$5,AL7*145.038,AL7)</f>
        <v>760</v>
      </c>
      <c r="AR7" s="92">
        <f>+IF(Input_Output!$E$10=setup!$B$5,AM7*145.038,AM7)</f>
        <v>0</v>
      </c>
      <c r="AS7" s="92">
        <f>+IF(Input_Output!$E$10=setup!$B$5,AN7*145.038,AN7)</f>
        <v>760</v>
      </c>
      <c r="AT7" s="92">
        <f>+IF(Input_Output!$E$10=setup!$B$5,AO7*145.038,AO7)</f>
        <v>0</v>
      </c>
    </row>
    <row r="8" spans="1:46" ht="25.15" customHeight="1" x14ac:dyDescent="0.25">
      <c r="B8" s="80" t="s">
        <v>155</v>
      </c>
      <c r="C8" s="81" t="s">
        <v>156</v>
      </c>
      <c r="D8" s="82" t="s">
        <v>157</v>
      </c>
      <c r="E8" s="196"/>
      <c r="F8" s="84">
        <f>1.25*F5</f>
        <v>11.39073454096332</v>
      </c>
      <c r="G8" s="81" t="s">
        <v>98</v>
      </c>
      <c r="H8" s="86">
        <f>MAX(1.25*H5,F8)</f>
        <v>11.39073454096332</v>
      </c>
      <c r="J8" s="88" t="s">
        <v>158</v>
      </c>
      <c r="K8" s="51" t="s">
        <v>152</v>
      </c>
      <c r="L8" s="89" t="s">
        <v>153</v>
      </c>
      <c r="M8" s="90"/>
      <c r="N8" s="90"/>
      <c r="O8">
        <f>+R2*(O5+O6+O7)/2*(S2/T2)^2</f>
        <v>12284700.583946185</v>
      </c>
      <c r="P8" s="76">
        <f t="shared" ref="P8:P10" si="0">+O8/1000000</f>
        <v>12.284700583946185</v>
      </c>
      <c r="U8" s="70"/>
      <c r="X8" s="69" t="s">
        <v>159</v>
      </c>
      <c r="Y8" s="53" t="s">
        <v>121</v>
      </c>
      <c r="Z8" s="54" t="s">
        <v>160</v>
      </c>
      <c r="AC8" s="25">
        <f>+AC2</f>
        <v>12</v>
      </c>
      <c r="AI8" s="70"/>
      <c r="AK8" s="92" t="s">
        <v>154</v>
      </c>
      <c r="AL8" s="92">
        <v>0</v>
      </c>
      <c r="AM8" s="92">
        <f>+Z2</f>
        <v>228</v>
      </c>
      <c r="AN8" s="92">
        <f>+AL8</f>
        <v>0</v>
      </c>
      <c r="AO8" s="92">
        <f>+Z2</f>
        <v>228</v>
      </c>
      <c r="AQ8" s="92">
        <f>+IF(Input_Output!$E$10=setup!$B$5,AL8*145.038,AL8)</f>
        <v>0</v>
      </c>
      <c r="AR8" s="92">
        <f>+IF(Input_Output!$E$10=setup!$B$5,AM8*145.038,AM8)</f>
        <v>228</v>
      </c>
      <c r="AS8" s="92">
        <f>+IF(Input_Output!$E$10=setup!$B$5,AN8*145.038,AN8)</f>
        <v>0</v>
      </c>
      <c r="AT8" s="92">
        <f>+IF(Input_Output!$E$10=setup!$B$5,AO8*145.038,AO8)</f>
        <v>228</v>
      </c>
    </row>
    <row r="9" spans="1:46" ht="25.15" customHeight="1" x14ac:dyDescent="0.25">
      <c r="B9" s="80" t="s">
        <v>161</v>
      </c>
      <c r="C9" s="81" t="s">
        <v>162</v>
      </c>
      <c r="D9" s="82" t="s">
        <v>163</v>
      </c>
      <c r="E9" s="194" t="s">
        <v>164</v>
      </c>
      <c r="F9" s="84">
        <f>+F5</f>
        <v>9.1125876327706568</v>
      </c>
      <c r="G9" s="81" t="s">
        <v>98</v>
      </c>
      <c r="H9" s="85">
        <f>MAX(F9,H5)</f>
        <v>9.1125876327706568</v>
      </c>
      <c r="J9" s="88" t="s">
        <v>165</v>
      </c>
      <c r="K9" s="51" t="s">
        <v>143</v>
      </c>
      <c r="L9" s="89" t="s">
        <v>166</v>
      </c>
      <c r="M9" s="90"/>
      <c r="N9" s="90"/>
      <c r="O9">
        <f>+ABS(R2*N2/4*F2^2*(S2/T2)^2*(IF(Input_Output!$J$6=setup!$C$5,-1,1)*K2+U2*T2/D2*O2/N2*COS(RADIANS(V2))))</f>
        <v>8032428.4790039053</v>
      </c>
      <c r="P9" s="76">
        <f t="shared" si="0"/>
        <v>8.0324284790039044</v>
      </c>
      <c r="U9" s="70"/>
      <c r="X9" s="69" t="s">
        <v>167</v>
      </c>
      <c r="Y9" s="53" t="s">
        <v>168</v>
      </c>
      <c r="Z9" s="54" t="s">
        <v>169</v>
      </c>
      <c r="AC9">
        <v>0.1</v>
      </c>
      <c r="AI9" s="70"/>
      <c r="AK9" s="92"/>
      <c r="AL9" s="92"/>
      <c r="AM9" s="92"/>
      <c r="AN9" s="92"/>
      <c r="AO9" s="92"/>
      <c r="AQ9" s="92"/>
      <c r="AR9" s="92"/>
      <c r="AS9" s="92"/>
      <c r="AT9" s="92"/>
    </row>
    <row r="10" spans="1:46" ht="25.15" customHeight="1" x14ac:dyDescent="0.25">
      <c r="B10" s="80" t="s">
        <v>170</v>
      </c>
      <c r="C10" s="81" t="s">
        <v>171</v>
      </c>
      <c r="D10" s="82" t="s">
        <v>172</v>
      </c>
      <c r="E10" s="195"/>
      <c r="F10" s="84">
        <f>+F5*2</f>
        <v>18.225175265541314</v>
      </c>
      <c r="G10" s="81" t="s">
        <v>98</v>
      </c>
      <c r="H10" s="86">
        <f>MAX(H5*2,F10)</f>
        <v>18.225175265541314</v>
      </c>
      <c r="J10" s="88" t="s">
        <v>173</v>
      </c>
      <c r="K10" s="51" t="s">
        <v>144</v>
      </c>
      <c r="L10" s="89" t="s">
        <v>174</v>
      </c>
      <c r="M10" s="90"/>
      <c r="N10" s="90"/>
      <c r="O10">
        <f>R2*P2*S6*N2/4*F2^2*(S2/T2)^2</f>
        <v>8504544.209884556</v>
      </c>
      <c r="P10" s="76">
        <f t="shared" si="0"/>
        <v>8.5045442098845552</v>
      </c>
      <c r="U10" s="70"/>
      <c r="X10" s="69" t="s">
        <v>175</v>
      </c>
      <c r="Y10" s="53" t="s">
        <v>176</v>
      </c>
      <c r="Z10" s="54" t="s">
        <v>177</v>
      </c>
      <c r="AC10">
        <v>0.9</v>
      </c>
      <c r="AI10" s="70"/>
      <c r="AK10" s="92" t="s">
        <v>178</v>
      </c>
      <c r="AL10" s="92">
        <f>+AM14/(P10/P9+AM14/(AL7/Q2))</f>
        <v>83.899025366175337</v>
      </c>
      <c r="AM10" s="92">
        <f>+AM14*($P$10/$P$9)/($P$10/$P$9+AM14/($W$2/Q2))</f>
        <v>88.830292390147392</v>
      </c>
      <c r="AN10" s="92">
        <f>+$AM$14/($AD$13/$AD$12+$AM$14/($AL$7/$AA$2))</f>
        <v>85.725647202304827</v>
      </c>
      <c r="AO10" s="92">
        <f>+$AM$14*($AD$13/$AD$12)/($AD$13/$AD$12+$AM$14/($W$2/$AA$2))</f>
        <v>49.705764598271372</v>
      </c>
      <c r="AQ10" s="92">
        <f>+IF(Input_Output!$E$10=setup!$B$5,AL10*145.038,AL10)</f>
        <v>83.899025366175337</v>
      </c>
      <c r="AR10" s="92">
        <f>+IF(Input_Output!$E$10=setup!$B$5,AM10*145.038,AM10)</f>
        <v>88.830292390147392</v>
      </c>
      <c r="AS10" s="92">
        <f>+IF(Input_Output!$E$10=setup!$B$5,AN10*145.038,AN10)</f>
        <v>85.725647202304827</v>
      </c>
      <c r="AT10" s="92">
        <f>+IF(Input_Output!$E$10=setup!$B$5,AO10*145.038,AO10)</f>
        <v>49.705764598271372</v>
      </c>
    </row>
    <row r="11" spans="1:46" ht="25.15" customHeight="1" x14ac:dyDescent="0.25">
      <c r="B11" s="80" t="s">
        <v>179</v>
      </c>
      <c r="C11" s="81" t="s">
        <v>117</v>
      </c>
      <c r="D11" s="82" t="s">
        <v>180</v>
      </c>
      <c r="E11" s="196"/>
      <c r="F11" s="84">
        <f>1.125*F5</f>
        <v>10.251661086866989</v>
      </c>
      <c r="G11" s="81" t="s">
        <v>98</v>
      </c>
      <c r="H11" s="87">
        <f>MAX(1.125*H5,F11)</f>
        <v>10.251661086866989</v>
      </c>
      <c r="J11" s="88" t="s">
        <v>181</v>
      </c>
      <c r="K11" s="51" t="s">
        <v>182</v>
      </c>
      <c r="L11" s="89" t="s">
        <v>183</v>
      </c>
      <c r="M11" s="90"/>
      <c r="N11" s="90"/>
      <c r="P11" s="76">
        <f>+Z2/2*(1-P9/W2*S13)</f>
        <v>111.59027145629884</v>
      </c>
      <c r="U11" s="70"/>
      <c r="X11" s="69" t="s">
        <v>184</v>
      </c>
      <c r="Y11" s="53" t="s">
        <v>185</v>
      </c>
      <c r="Z11" s="54" t="s">
        <v>186</v>
      </c>
      <c r="AC11">
        <f>0.67*PI()/E2</f>
        <v>0.30069529684359447</v>
      </c>
      <c r="AI11" s="70"/>
      <c r="AK11" s="92" t="s">
        <v>178</v>
      </c>
      <c r="AL11" s="92">
        <f>+$AM$14/($AD$13/$AD$12+$AM$14/($AL$7/$AA$2))</f>
        <v>85.725647202304827</v>
      </c>
      <c r="AM11" s="92">
        <v>0</v>
      </c>
      <c r="AN11" s="92"/>
      <c r="AO11" s="92">
        <f>+$AM$14*($AD$13/$AD$12)/($AD$13/$AD$12+$AM$14/($W$2/$AA$2))</f>
        <v>49.705764598271372</v>
      </c>
      <c r="AQ11" s="92">
        <f>+IF(Input_Output!$E$10=setup!$B$5,AL11*145.038,AL11)</f>
        <v>85.725647202304827</v>
      </c>
      <c r="AR11" s="92">
        <f>+IF(Input_Output!$E$10=setup!$B$5,AM11*145.038,AM11)</f>
        <v>0</v>
      </c>
      <c r="AS11" s="92">
        <f>+IF(Input_Output!$E$10=setup!$B$5,AN11*145.038,AN11)</f>
        <v>0</v>
      </c>
      <c r="AT11" s="92">
        <f>+IF(Input_Output!$E$10=setup!$B$5,AO11*145.038,AO11)</f>
        <v>49.705764598271372</v>
      </c>
    </row>
    <row r="12" spans="1:46" ht="25.15" customHeight="1" x14ac:dyDescent="0.25">
      <c r="B12" s="80" t="s">
        <v>187</v>
      </c>
      <c r="C12" s="81" t="s">
        <v>188</v>
      </c>
      <c r="D12" s="82" t="s">
        <v>189</v>
      </c>
      <c r="E12" s="194" t="s">
        <v>190</v>
      </c>
      <c r="F12" s="84">
        <f>MAX(5,0.01*D2)</f>
        <v>5</v>
      </c>
      <c r="G12" s="81" t="s">
        <v>98</v>
      </c>
      <c r="H12" s="87">
        <f>+F12</f>
        <v>5</v>
      </c>
      <c r="J12" s="88" t="s">
        <v>191</v>
      </c>
      <c r="K12" s="51" t="s">
        <v>192</v>
      </c>
      <c r="L12" s="89" t="s">
        <v>193</v>
      </c>
      <c r="M12" s="90"/>
      <c r="N12" s="90"/>
      <c r="P12" s="76">
        <f>2*T2/S2*(Z2/(R2*N2*(2*P2*S6+S13*Z2/W2*(K2+U2*T2/D2*O2/N2))))^0.5</f>
        <v>0.30279009401255574</v>
      </c>
      <c r="S12" s="61" t="s">
        <v>68</v>
      </c>
      <c r="T12" s="61" t="s">
        <v>194</v>
      </c>
      <c r="U12" s="70"/>
      <c r="X12" s="69" t="s">
        <v>195</v>
      </c>
      <c r="Y12" s="53" t="s">
        <v>143</v>
      </c>
      <c r="Z12" s="54" t="s">
        <v>196</v>
      </c>
      <c r="AC12">
        <f>0.5*AC5*(AC11/(AC2/D2))^2</f>
        <v>31878231.284423463</v>
      </c>
      <c r="AD12">
        <f>+AC12/1000000</f>
        <v>31.878231284423464</v>
      </c>
      <c r="AG12" s="61" t="s">
        <v>68</v>
      </c>
      <c r="AH12" s="61" t="s">
        <v>194</v>
      </c>
      <c r="AI12" s="70"/>
      <c r="AK12" s="92"/>
      <c r="AL12" s="92"/>
      <c r="AM12" s="92"/>
      <c r="AN12" s="92"/>
      <c r="AO12" s="92"/>
      <c r="AQ12" s="92"/>
      <c r="AR12" s="92"/>
      <c r="AS12" s="92"/>
      <c r="AT12" s="92"/>
    </row>
    <row r="13" spans="1:46" ht="25.15" customHeight="1" x14ac:dyDescent="0.25">
      <c r="B13" s="80" t="s">
        <v>197</v>
      </c>
      <c r="C13" s="81" t="s">
        <v>117</v>
      </c>
      <c r="D13" s="82" t="s">
        <v>198</v>
      </c>
      <c r="E13" s="195"/>
      <c r="F13" s="84">
        <f>+F12*(1+5*TAN(RADIANS(F14)))</f>
        <v>7.1872165881481003</v>
      </c>
      <c r="G13" s="81" t="s">
        <v>98</v>
      </c>
      <c r="H13" s="87">
        <f>+H12*(1+5*TAN(RADIANS(H14)))</f>
        <v>16.657691453874964</v>
      </c>
      <c r="J13" s="88" t="s">
        <v>199</v>
      </c>
      <c r="K13" s="51" t="s">
        <v>117</v>
      </c>
      <c r="L13" s="89" t="s">
        <v>198</v>
      </c>
      <c r="M13" s="90"/>
      <c r="N13" s="90"/>
      <c r="R13" t="s">
        <v>200</v>
      </c>
      <c r="S13" s="61">
        <f>+'Metric Conversion'!$J$22</f>
        <v>2</v>
      </c>
      <c r="T13" s="62" t="e">
        <f>(+AM11/AM8)^-1</f>
        <v>#DIV/0!</v>
      </c>
      <c r="U13" s="70"/>
      <c r="X13" s="69" t="s">
        <v>201</v>
      </c>
      <c r="Y13" s="53" t="s">
        <v>144</v>
      </c>
      <c r="Z13" s="54" t="s">
        <v>202</v>
      </c>
      <c r="AC13">
        <f>+P2*N2/20*F2^2*(AC11/(AC2/D2))^2*(0.008/(L2/D2-1)^0.9)</f>
        <v>18483754.999171365</v>
      </c>
      <c r="AD13">
        <f>+AC13/1000000</f>
        <v>18.483754999171364</v>
      </c>
      <c r="AF13" t="s">
        <v>200</v>
      </c>
      <c r="AG13" s="61">
        <f>+AA2</f>
        <v>5</v>
      </c>
      <c r="AH13" s="62">
        <f>(+AO11/AO8)^-1</f>
        <v>4.58699311523978</v>
      </c>
      <c r="AI13" s="70"/>
      <c r="AK13" s="92" t="s">
        <v>203</v>
      </c>
      <c r="AL13" s="92">
        <f>+AL7/Q2</f>
        <v>380</v>
      </c>
      <c r="AM13" s="92">
        <v>0</v>
      </c>
      <c r="AN13" s="92">
        <f>+AN7/AA2</f>
        <v>152</v>
      </c>
      <c r="AO13" s="92">
        <v>0</v>
      </c>
      <c r="AQ13" s="92">
        <f>+IF(Input_Output!$E$10=setup!$B$5,AL13*145.038,AL13)</f>
        <v>380</v>
      </c>
      <c r="AR13" s="92">
        <f>+IF(Input_Output!$E$10=setup!$B$5,AM13*145.038,AM13)</f>
        <v>0</v>
      </c>
      <c r="AS13" s="92">
        <f>+IF(Input_Output!$E$10=setup!$B$5,AN13*145.038,AN13)</f>
        <v>152</v>
      </c>
      <c r="AT13" s="92">
        <f>+IF(Input_Output!$E$10=setup!$B$5,AO13*145.038,AO13)</f>
        <v>0</v>
      </c>
    </row>
    <row r="14" spans="1:46" ht="25.15" customHeight="1" x14ac:dyDescent="0.4">
      <c r="B14" s="80" t="s">
        <v>179</v>
      </c>
      <c r="C14" s="83" t="s">
        <v>204</v>
      </c>
      <c r="D14" s="82" t="s">
        <v>205</v>
      </c>
      <c r="E14" s="196"/>
      <c r="F14" s="53">
        <v>5</v>
      </c>
      <c r="G14" s="81" t="s">
        <v>46</v>
      </c>
      <c r="H14" s="87">
        <f>+IF('Metric Conversion'!J9=setup!C6,'Metric Conversion'!E20,0)</f>
        <v>25</v>
      </c>
      <c r="J14" s="88" t="s">
        <v>206</v>
      </c>
      <c r="K14" s="91" t="s">
        <v>204</v>
      </c>
      <c r="L14" s="89" t="s">
        <v>205</v>
      </c>
      <c r="M14" s="90"/>
      <c r="N14" s="90"/>
      <c r="U14" s="70"/>
      <c r="X14" s="69"/>
      <c r="Y14" s="55"/>
      <c r="Z14" s="54"/>
      <c r="AI14" s="70"/>
      <c r="AK14" s="92" t="s">
        <v>203</v>
      </c>
      <c r="AL14" s="92">
        <v>0</v>
      </c>
      <c r="AM14" s="92">
        <f>+AM8/2</f>
        <v>114</v>
      </c>
      <c r="AN14" s="92">
        <v>0</v>
      </c>
      <c r="AO14" s="92">
        <f>+Z2/2</f>
        <v>114</v>
      </c>
      <c r="AQ14" s="92">
        <f>+IF(Input_Output!$E$10=setup!$B$5,AL14*145.038,AL14)</f>
        <v>0</v>
      </c>
      <c r="AR14" s="92">
        <f>+IF(Input_Output!$E$10=setup!$B$5,AM14*145.038,AM14)</f>
        <v>114</v>
      </c>
      <c r="AS14" s="92">
        <f>+IF(Input_Output!$E$10=setup!$B$5,AN14*145.038,AN14)</f>
        <v>0</v>
      </c>
      <c r="AT14" s="92">
        <f>+IF(Input_Output!$E$10=setup!$B$5,AO14*145.038,AO14)</f>
        <v>114</v>
      </c>
    </row>
    <row r="15" spans="1:46" x14ac:dyDescent="0.2">
      <c r="B15" s="71"/>
      <c r="H15" s="70"/>
      <c r="J15" s="71"/>
      <c r="U15" s="70"/>
      <c r="X15" s="71"/>
      <c r="AI15" s="70"/>
      <c r="AK15" s="92"/>
      <c r="AL15" s="92"/>
      <c r="AM15" s="92"/>
      <c r="AN15" s="92"/>
      <c r="AO15" s="92"/>
      <c r="AQ15" s="92"/>
      <c r="AR15" s="92"/>
      <c r="AS15" s="92"/>
      <c r="AT15" s="92"/>
    </row>
    <row r="16" spans="1:46" x14ac:dyDescent="0.2">
      <c r="B16" s="71"/>
      <c r="H16" s="70"/>
      <c r="J16" s="71"/>
      <c r="U16" s="70"/>
      <c r="X16" s="71"/>
      <c r="AI16" s="70"/>
      <c r="AK16" s="92" t="s">
        <v>207</v>
      </c>
      <c r="AL16" s="92">
        <f>+P9</f>
        <v>8.0324284790039044</v>
      </c>
      <c r="AM16" s="92">
        <f>+P10</f>
        <v>8.5045442098845552</v>
      </c>
      <c r="AN16" s="92">
        <f>+$AD$12</f>
        <v>31.878231284423464</v>
      </c>
      <c r="AO16" s="92">
        <f>+$AD$13</f>
        <v>18.483754999171364</v>
      </c>
      <c r="AQ16" s="92">
        <f>+IF(Input_Output!$E$10=setup!$B$5,AL16*145.038,AL16)</f>
        <v>8.0324284790039044</v>
      </c>
      <c r="AR16" s="92">
        <f>+IF(Input_Output!$E$10=setup!$B$5,AM16*145.038,AM16)</f>
        <v>8.5045442098845552</v>
      </c>
      <c r="AS16" s="92">
        <f>+IF(Input_Output!$E$10=setup!$B$5,AN16*145.038,AN16)</f>
        <v>31.878231284423464</v>
      </c>
      <c r="AT16" s="92">
        <f>+IF(Input_Output!$E$10=setup!$B$5,AO16*145.038,AO16)</f>
        <v>18.483754999171364</v>
      </c>
    </row>
    <row r="17" spans="1:46" x14ac:dyDescent="0.2">
      <c r="B17" s="71"/>
      <c r="H17" s="70"/>
      <c r="J17" s="71"/>
      <c r="U17" s="70"/>
      <c r="X17" s="71"/>
      <c r="AI17" s="70"/>
      <c r="AK17" s="92"/>
      <c r="AL17" s="92"/>
      <c r="AM17" s="92"/>
      <c r="AN17" s="92"/>
      <c r="AO17" s="92"/>
      <c r="AQ17" s="92"/>
      <c r="AR17" s="92"/>
      <c r="AS17" s="92"/>
      <c r="AT17" s="92"/>
    </row>
    <row r="18" spans="1:46" x14ac:dyDescent="0.2">
      <c r="B18" s="71"/>
      <c r="H18" s="70"/>
      <c r="J18" s="71"/>
      <c r="U18" s="70"/>
      <c r="X18" s="71"/>
      <c r="AI18" s="70"/>
      <c r="AK18" s="92"/>
      <c r="AL18" s="92"/>
      <c r="AM18" s="92"/>
      <c r="AN18" s="92"/>
      <c r="AO18" s="92"/>
      <c r="AQ18" s="92"/>
      <c r="AR18" s="92"/>
      <c r="AS18" s="92"/>
      <c r="AT18" s="92"/>
    </row>
    <row r="19" spans="1:46" x14ac:dyDescent="0.2">
      <c r="B19" s="71"/>
      <c r="H19" s="70"/>
      <c r="J19" s="71"/>
      <c r="U19" s="70"/>
      <c r="X19" s="71"/>
      <c r="AI19" s="70"/>
    </row>
    <row r="20" spans="1:46" x14ac:dyDescent="0.2">
      <c r="B20" s="71"/>
      <c r="H20" s="70"/>
      <c r="J20" s="71"/>
      <c r="U20" s="70"/>
      <c r="X20" s="71"/>
      <c r="AI20" s="70"/>
    </row>
    <row r="21" spans="1:46" x14ac:dyDescent="0.2">
      <c r="B21" s="71"/>
      <c r="H21" s="70"/>
      <c r="J21" s="71"/>
      <c r="U21" s="70"/>
      <c r="X21" s="71"/>
      <c r="AI21" s="70"/>
    </row>
    <row r="22" spans="1:46" x14ac:dyDescent="0.2">
      <c r="B22" s="71"/>
      <c r="H22" s="70"/>
      <c r="J22" s="71"/>
      <c r="U22" s="70"/>
      <c r="X22" s="71"/>
      <c r="AI22" s="70"/>
    </row>
    <row r="23" spans="1:46" x14ac:dyDescent="0.2">
      <c r="B23" s="71"/>
      <c r="H23" s="70"/>
      <c r="J23" s="71"/>
      <c r="U23" s="70"/>
      <c r="X23" s="71"/>
      <c r="AI23" s="70"/>
    </row>
    <row r="24" spans="1:46" x14ac:dyDescent="0.2">
      <c r="B24" s="71"/>
      <c r="H24" s="70"/>
      <c r="J24" s="71"/>
      <c r="U24" s="70"/>
      <c r="X24" s="71"/>
      <c r="AI24" s="70"/>
    </row>
    <row r="25" spans="1:46" x14ac:dyDescent="0.2">
      <c r="B25" s="71"/>
      <c r="H25" s="70"/>
      <c r="J25" s="71"/>
      <c r="U25" s="70"/>
      <c r="X25" s="71"/>
      <c r="AI25" s="70"/>
    </row>
    <row r="26" spans="1:46" x14ac:dyDescent="0.2">
      <c r="B26" s="71"/>
      <c r="H26" s="70"/>
      <c r="J26" s="71"/>
      <c r="U26" s="70"/>
      <c r="X26" s="71"/>
      <c r="AI26" s="70"/>
    </row>
    <row r="27" spans="1:46" x14ac:dyDescent="0.2">
      <c r="B27" s="71"/>
      <c r="H27" s="70"/>
      <c r="J27" s="71"/>
      <c r="U27" s="70"/>
      <c r="X27" s="71"/>
      <c r="AI27" s="70"/>
    </row>
    <row r="28" spans="1:46" x14ac:dyDescent="0.2">
      <c r="A28" s="25"/>
      <c r="B28" s="71"/>
      <c r="H28" s="70"/>
      <c r="J28" s="71"/>
      <c r="U28" s="70"/>
      <c r="X28" s="71"/>
      <c r="AI28" s="70"/>
    </row>
    <row r="29" spans="1:46" x14ac:dyDescent="0.2">
      <c r="A29" s="25"/>
      <c r="B29" s="71"/>
      <c r="H29" s="70"/>
      <c r="J29" s="71"/>
      <c r="U29" s="70"/>
      <c r="X29" s="71"/>
      <c r="AI29" s="70"/>
    </row>
    <row r="30" spans="1:46" x14ac:dyDescent="0.2">
      <c r="B30" s="71"/>
      <c r="H30" s="70"/>
      <c r="J30" s="71"/>
      <c r="U30" s="70"/>
      <c r="X30" s="71"/>
      <c r="AI30" s="70"/>
    </row>
    <row r="31" spans="1:46" x14ac:dyDescent="0.2">
      <c r="B31" s="71"/>
      <c r="H31" s="70"/>
      <c r="J31" s="71"/>
      <c r="U31" s="70"/>
      <c r="X31" s="71"/>
      <c r="AI31" s="70"/>
    </row>
    <row r="32" spans="1:46" x14ac:dyDescent="0.2">
      <c r="B32" s="71"/>
      <c r="H32" s="70"/>
      <c r="J32" s="71"/>
      <c r="U32" s="70"/>
      <c r="X32" s="71"/>
      <c r="AI32" s="70"/>
    </row>
    <row r="33" spans="2:35" x14ac:dyDescent="0.2">
      <c r="B33" s="71"/>
      <c r="H33" s="70"/>
      <c r="J33" s="71"/>
      <c r="U33" s="70"/>
      <c r="X33" s="71"/>
      <c r="AI33" s="70"/>
    </row>
    <row r="34" spans="2:35" x14ac:dyDescent="0.2">
      <c r="B34" s="71"/>
      <c r="H34" s="70"/>
      <c r="J34" s="71"/>
      <c r="U34" s="70"/>
      <c r="X34" s="71"/>
      <c r="AI34" s="70"/>
    </row>
    <row r="35" spans="2:35" x14ac:dyDescent="0.2">
      <c r="B35" s="71"/>
      <c r="H35" s="70"/>
      <c r="J35" s="71"/>
      <c r="U35" s="70"/>
      <c r="X35" s="71"/>
      <c r="AI35" s="70"/>
    </row>
    <row r="36" spans="2:35" x14ac:dyDescent="0.2">
      <c r="B36" s="71"/>
      <c r="H36" s="70"/>
      <c r="J36" s="71"/>
      <c r="U36" s="70"/>
      <c r="X36" s="71"/>
      <c r="AI36" s="70"/>
    </row>
    <row r="37" spans="2:35" x14ac:dyDescent="0.2">
      <c r="B37" s="71"/>
      <c r="H37" s="70"/>
      <c r="J37" s="71"/>
      <c r="U37" s="70"/>
      <c r="X37" s="71"/>
      <c r="AI37" s="70"/>
    </row>
    <row r="38" spans="2:35" x14ac:dyDescent="0.2">
      <c r="B38" s="71"/>
      <c r="H38" s="70"/>
      <c r="J38" s="71"/>
      <c r="U38" s="70"/>
      <c r="X38" s="71"/>
      <c r="AI38" s="70"/>
    </row>
    <row r="39" spans="2:35" x14ac:dyDescent="0.2">
      <c r="B39" s="71"/>
      <c r="H39" s="70"/>
      <c r="J39" s="71"/>
      <c r="U39" s="70"/>
      <c r="X39" s="71"/>
      <c r="AI39" s="70"/>
    </row>
    <row r="40" spans="2:35" x14ac:dyDescent="0.2">
      <c r="B40" s="71"/>
      <c r="H40" s="70"/>
      <c r="J40" s="71"/>
      <c r="U40" s="70"/>
      <c r="X40" s="71"/>
      <c r="AI40" s="70"/>
    </row>
    <row r="41" spans="2:35" x14ac:dyDescent="0.2">
      <c r="B41" s="71"/>
      <c r="H41" s="70"/>
      <c r="J41" s="71"/>
      <c r="U41" s="70"/>
      <c r="X41" s="71"/>
      <c r="AI41" s="70"/>
    </row>
    <row r="42" spans="2:35" x14ac:dyDescent="0.2">
      <c r="B42" s="71"/>
      <c r="H42" s="70"/>
      <c r="J42" s="71"/>
      <c r="U42" s="70"/>
      <c r="X42" s="71"/>
      <c r="AI42" s="70"/>
    </row>
    <row r="43" spans="2:35" x14ac:dyDescent="0.2">
      <c r="B43" s="71"/>
      <c r="H43" s="70"/>
      <c r="J43" s="71"/>
      <c r="U43" s="70"/>
      <c r="X43" s="71"/>
      <c r="AI43" s="70"/>
    </row>
    <row r="44" spans="2:35" x14ac:dyDescent="0.2">
      <c r="B44" s="71"/>
      <c r="H44" s="70"/>
      <c r="J44" s="71"/>
      <c r="U44" s="70"/>
      <c r="X44" s="71"/>
      <c r="AI44" s="70"/>
    </row>
    <row r="45" spans="2:35" x14ac:dyDescent="0.2">
      <c r="B45" s="71"/>
      <c r="H45" s="70"/>
      <c r="J45" s="71"/>
      <c r="U45" s="70"/>
      <c r="X45" s="71"/>
      <c r="AI45" s="70"/>
    </row>
    <row r="46" spans="2:35" x14ac:dyDescent="0.2">
      <c r="B46" s="71"/>
      <c r="H46" s="70"/>
      <c r="J46" s="71"/>
      <c r="U46" s="70"/>
      <c r="X46" s="71"/>
      <c r="AI46" s="70"/>
    </row>
    <row r="47" spans="2:35" x14ac:dyDescent="0.2">
      <c r="B47" s="71"/>
      <c r="H47" s="70"/>
      <c r="J47" s="71"/>
      <c r="U47" s="70"/>
      <c r="X47" s="71"/>
      <c r="AI47" s="70"/>
    </row>
    <row r="48" spans="2:35" x14ac:dyDescent="0.2">
      <c r="B48" s="71"/>
      <c r="H48" s="70"/>
      <c r="J48" s="71"/>
      <c r="U48" s="70"/>
      <c r="X48" s="71"/>
      <c r="AI48" s="70"/>
    </row>
    <row r="49" spans="2:35" x14ac:dyDescent="0.2">
      <c r="B49" s="71"/>
      <c r="H49" s="70"/>
      <c r="J49" s="71"/>
      <c r="U49" s="70"/>
      <c r="X49" s="71"/>
      <c r="AI49" s="70"/>
    </row>
    <row r="50" spans="2:35" x14ac:dyDescent="0.2">
      <c r="B50" s="71"/>
      <c r="H50" s="70"/>
      <c r="J50" s="71"/>
      <c r="U50" s="70"/>
      <c r="X50" s="71"/>
      <c r="AI50" s="70"/>
    </row>
    <row r="51" spans="2:35" x14ac:dyDescent="0.2">
      <c r="B51" s="71"/>
      <c r="H51" s="70"/>
      <c r="J51" s="71"/>
      <c r="U51" s="70"/>
      <c r="X51" s="71"/>
      <c r="AI51" s="70"/>
    </row>
    <row r="52" spans="2:35" x14ac:dyDescent="0.2">
      <c r="B52" s="71"/>
      <c r="H52" s="70"/>
      <c r="J52" s="71"/>
      <c r="U52" s="70"/>
      <c r="X52" s="71"/>
      <c r="AI52" s="70"/>
    </row>
    <row r="53" spans="2:35" x14ac:dyDescent="0.2">
      <c r="B53" s="71"/>
      <c r="H53" s="70"/>
      <c r="J53" s="71"/>
      <c r="U53" s="70"/>
      <c r="X53" s="71"/>
      <c r="AI53" s="70"/>
    </row>
    <row r="54" spans="2:35" x14ac:dyDescent="0.2">
      <c r="B54" s="71"/>
      <c r="H54" s="70"/>
      <c r="J54" s="71"/>
      <c r="U54" s="70"/>
      <c r="X54" s="71"/>
      <c r="AI54" s="70"/>
    </row>
    <row r="55" spans="2:35" x14ac:dyDescent="0.2">
      <c r="B55" s="71"/>
      <c r="H55" s="70"/>
      <c r="J55" s="71"/>
      <c r="U55" s="70"/>
      <c r="X55" s="71"/>
      <c r="AI55" s="70"/>
    </row>
    <row r="56" spans="2:35" x14ac:dyDescent="0.2">
      <c r="B56" s="71"/>
      <c r="H56" s="70"/>
      <c r="J56" s="71"/>
      <c r="U56" s="70"/>
      <c r="X56" s="71"/>
      <c r="AI56" s="70"/>
    </row>
    <row r="57" spans="2:35" x14ac:dyDescent="0.2">
      <c r="B57" s="71"/>
      <c r="H57" s="70"/>
      <c r="J57" s="71"/>
      <c r="U57" s="70"/>
      <c r="X57" s="71"/>
      <c r="AI57" s="70"/>
    </row>
    <row r="58" spans="2:35" x14ac:dyDescent="0.2">
      <c r="B58" s="71"/>
      <c r="H58" s="70"/>
      <c r="J58" s="71"/>
      <c r="U58" s="70"/>
      <c r="X58" s="71"/>
      <c r="AI58" s="70"/>
    </row>
    <row r="59" spans="2:35" x14ac:dyDescent="0.2">
      <c r="B59" s="71"/>
      <c r="H59" s="70"/>
      <c r="J59" s="71"/>
      <c r="U59" s="70"/>
      <c r="X59" s="71"/>
      <c r="AI59" s="70"/>
    </row>
    <row r="60" spans="2:35" x14ac:dyDescent="0.2">
      <c r="B60" s="71"/>
      <c r="H60" s="70"/>
      <c r="J60" s="71"/>
      <c r="U60" s="70"/>
      <c r="X60" s="71"/>
      <c r="AI60" s="70"/>
    </row>
    <row r="61" spans="2:35" x14ac:dyDescent="0.2">
      <c r="B61" s="71"/>
      <c r="H61" s="70"/>
      <c r="J61" s="71"/>
      <c r="U61" s="70"/>
      <c r="X61" s="71"/>
      <c r="AI61" s="70"/>
    </row>
    <row r="62" spans="2:35" x14ac:dyDescent="0.2">
      <c r="B62" s="71"/>
      <c r="H62" s="70"/>
      <c r="J62" s="71"/>
      <c r="U62" s="70"/>
      <c r="X62" s="71"/>
      <c r="AI62" s="70"/>
    </row>
    <row r="63" spans="2:35" x14ac:dyDescent="0.2">
      <c r="B63" s="71"/>
      <c r="H63" s="70"/>
      <c r="J63" s="71"/>
      <c r="U63" s="70"/>
      <c r="X63" s="71"/>
      <c r="AI63" s="70"/>
    </row>
    <row r="64" spans="2:35" x14ac:dyDescent="0.2">
      <c r="B64" s="71"/>
      <c r="H64" s="70"/>
      <c r="J64" s="71"/>
      <c r="U64" s="70"/>
      <c r="X64" s="71"/>
      <c r="AI64" s="70"/>
    </row>
    <row r="65" spans="2:35" ht="13.5" thickBot="1" x14ac:dyDescent="0.25">
      <c r="B65" s="72"/>
      <c r="C65" s="73"/>
      <c r="D65" s="73"/>
      <c r="E65" s="73"/>
      <c r="F65" s="73"/>
      <c r="G65" s="73"/>
      <c r="H65" s="74"/>
      <c r="J65" s="72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4"/>
      <c r="X65" s="72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4"/>
    </row>
  </sheetData>
  <mergeCells count="3">
    <mergeCell ref="E5:E8"/>
    <mergeCell ref="E9:E11"/>
    <mergeCell ref="E12:E14"/>
  </mergeCells>
  <phoneticPr fontId="18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808E07-DB83-447B-ADE5-2EC852266705}"/>
</file>

<file path=customXml/itemProps2.xml><?xml version="1.0" encoding="utf-8"?>
<ds:datastoreItem xmlns:ds="http://schemas.openxmlformats.org/officeDocument/2006/customXml" ds:itemID="{90098DE5-6FF4-4227-B3D4-609AB9ECB213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3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5</vt:i4>
      </vt:variant>
    </vt:vector>
  </HeadingPairs>
  <TitlesOfParts>
    <vt:vector size="10" baseType="lpstr">
      <vt:lpstr>Cover</vt:lpstr>
      <vt:lpstr>Input_Output</vt:lpstr>
      <vt:lpstr>setup</vt:lpstr>
      <vt:lpstr>Metric Conversion</vt:lpstr>
      <vt:lpstr>Gulich-T14.1 - T14.3</vt:lpstr>
      <vt:lpstr>Cover!Area_stampa</vt:lpstr>
      <vt:lpstr>Input_Output!Area_stampa</vt:lpstr>
      <vt:lpstr>'Metric Conversion'!Area_stampa</vt:lpstr>
      <vt:lpstr>Input_Output!Suction_Diameter</vt:lpstr>
      <vt:lpstr>'Metric Conversion'!Suction_Diameter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Luigi DeFranco</dc:creator>
  <cp:keywords/>
  <dc:description/>
  <cp:lastModifiedBy>Tommaso Morelli Stefani</cp:lastModifiedBy>
  <cp:revision/>
  <dcterms:created xsi:type="dcterms:W3CDTF">2005-04-18T17:50:19Z</dcterms:created>
  <dcterms:modified xsi:type="dcterms:W3CDTF">2025-07-02T14:04:02Z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