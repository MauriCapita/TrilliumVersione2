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T:\IT005\Documentale\# Nuovo Documentale\Area di lavoro HSEQ\Da Gestire - Verificatore 1\4. José\Da controllare con Ary\Barrel and cover's bolted design\"/>
    </mc:Choice>
  </mc:AlternateContent>
  <xr:revisionPtr revIDLastSave="0" documentId="13_ncr:1_{A0E5250A-8CD5-4140-885F-D090FE33757B}" xr6:coauthVersionLast="47" xr6:coauthVersionMax="47" xr10:uidLastSave="{00000000-0000-0000-0000-000000000000}"/>
  <bookViews>
    <workbookView xWindow="-120" yWindow="-120" windowWidth="19440" windowHeight="14880" tabRatio="341" xr2:uid="{59100E87-5B8D-4583-9F76-C01BA044BCEC}"/>
  </bookViews>
  <sheets>
    <sheet name="content" sheetId="3" r:id="rId1"/>
    <sheet name="bolted_design" sheetId="1" r:id="rId2"/>
    <sheet name="swg_database" sheetId="5" r:id="rId3"/>
  </sheets>
  <definedNames>
    <definedName name="_xleta.AND" hidden="1" xlm="1">#NAME?</definedName>
    <definedName name="_xleta.T" hidden="1" xlm="1">#NAME?</definedName>
    <definedName name="Burgmann">swg_database!$AA$4:$AA$6</definedName>
    <definedName name="Cring">swg_database!$X$20</definedName>
    <definedName name="EBG_1">swg_database!$AL$6:$AN$6</definedName>
    <definedName name="EBG_2">swg_database!$AL$7:$AN$7</definedName>
    <definedName name="EBG_3">swg_database!$AL$8:$AN$8</definedName>
    <definedName name="Flexitallic">swg_database!$Z$4:$Z$6</definedName>
    <definedName name="FLX_1">swg_database!$AL$3:$AN$3</definedName>
    <definedName name="FLX_2">swg_database!$AL$4:$AN$4</definedName>
    <definedName name="FLX_3">swg_database!$AL$5:$AN$5</definedName>
    <definedName name="gasket_mfr">swg_database!$X$4:$X$9</definedName>
    <definedName name="generic">swg_database!$X$20</definedName>
    <definedName name="KEM_1">swg_database!$AL$12:$AQ$12</definedName>
    <definedName name="Kempchen">swg_database!$AD$4</definedName>
    <definedName name="Moeller">swg_database!$AC$4:$AC$5</definedName>
    <definedName name="MOL_1">swg_database!$AL$10:$AN$10</definedName>
    <definedName name="MOL_2">swg_database!$AL$11:$AN$11</definedName>
    <definedName name="ORG_1">swg_database!$AL$14</definedName>
    <definedName name="Oring">swg_database!$X$20</definedName>
    <definedName name="P.J.Schulz">swg_database!$AB$4</definedName>
    <definedName name="SCH_1">swg_database!$AL$9:$AN$9</definedName>
    <definedName name="Spiralwound">swg_database!$X$4:$X$9</definedName>
    <definedName name="user">swg_database!$X$4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C290" i="1"/>
  <c r="E48" i="1" a="1"/>
  <c r="E48" i="1" s="1"/>
  <c r="C89" i="1"/>
  <c r="C88" i="1"/>
  <c r="AJ4" i="1"/>
  <c r="AJ5" i="1" s="1"/>
  <c r="AJ6" i="1" s="1"/>
  <c r="AJ7" i="1" s="1"/>
  <c r="AJ8" i="1" s="1"/>
  <c r="AD4" i="1"/>
  <c r="AD5" i="1" s="1"/>
  <c r="AT5" i="1" a="1"/>
  <c r="AT5" i="1" s="1"/>
  <c r="AT6" i="1" s="1"/>
  <c r="E47" i="1"/>
  <c r="AU5" i="1"/>
  <c r="AU6" i="1" s="1"/>
  <c r="C291" i="1"/>
  <c r="AJ9" i="1" l="1"/>
  <c r="E55" i="1" a="1"/>
  <c r="E55" i="1" s="1"/>
  <c r="AP2" i="1"/>
  <c r="AW41" i="5"/>
  <c r="AW34" i="5"/>
  <c r="AX34" i="5" s="1"/>
  <c r="AV34" i="5"/>
  <c r="AW33" i="5"/>
  <c r="AX33" i="5" s="1"/>
  <c r="AV33" i="5"/>
  <c r="AW32" i="5"/>
  <c r="AX32" i="5" s="1"/>
  <c r="AV32" i="5"/>
  <c r="AJ10" i="1" l="1"/>
  <c r="AO4" i="1" a="1"/>
  <c r="AO4" i="1" s="1"/>
  <c r="AO5" i="1" a="1"/>
  <c r="AO5" i="1" s="1"/>
  <c r="AP3" i="1" a="1"/>
  <c r="AP3" i="1" s="1"/>
  <c r="C64" i="1"/>
  <c r="X4" i="5" a="1"/>
  <c r="X4" i="5" s="1"/>
  <c r="Y14" i="5" s="1"/>
  <c r="AS5" i="1"/>
  <c r="AS6" i="1" s="1"/>
  <c r="AS8" i="1" s="1"/>
  <c r="AJ11" i="1" l="1"/>
  <c r="C313" i="1"/>
  <c r="AJ12" i="1" l="1"/>
  <c r="C138" i="1"/>
  <c r="C97" i="1"/>
  <c r="C100" i="1" a="1"/>
  <c r="C98" i="1" a="1"/>
  <c r="C99" i="1" a="1"/>
  <c r="C101" i="1" a="1"/>
  <c r="C102" i="1" a="1"/>
  <c r="C99" i="1" l="1"/>
  <c r="C100" i="1"/>
  <c r="C98" i="1"/>
  <c r="C102" i="1"/>
  <c r="C101" i="1"/>
  <c r="AJ13" i="1"/>
  <c r="AD6" i="1"/>
  <c r="AO6" i="1" s="1" a="1"/>
  <c r="AO6" i="1" s="1"/>
  <c r="AJ14" i="1" l="1"/>
  <c r="AD7" i="1"/>
  <c r="AO7" i="1" s="1" a="1"/>
  <c r="AO7" i="1" s="1"/>
  <c r="E43" i="1"/>
  <c r="E45" i="1"/>
  <c r="E44" i="1"/>
  <c r="AD4" i="5"/>
  <c r="AG12" i="5" s="1"/>
  <c r="AK13" i="5"/>
  <c r="AI13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AC5" i="5"/>
  <c r="AG11" i="5" s="1"/>
  <c r="AC4" i="5"/>
  <c r="AG10" i="5" s="1"/>
  <c r="AB4" i="5"/>
  <c r="AG9" i="5" s="1"/>
  <c r="V203" i="5"/>
  <c r="U203" i="5"/>
  <c r="T203" i="5"/>
  <c r="S203" i="5"/>
  <c r="R203" i="5"/>
  <c r="Q203" i="5"/>
  <c r="P203" i="5"/>
  <c r="O203" i="5"/>
  <c r="N203" i="5"/>
  <c r="V202" i="5"/>
  <c r="U202" i="5"/>
  <c r="T202" i="5"/>
  <c r="S202" i="5"/>
  <c r="R202" i="5"/>
  <c r="Q202" i="5"/>
  <c r="P202" i="5"/>
  <c r="O202" i="5"/>
  <c r="N202" i="5"/>
  <c r="V201" i="5"/>
  <c r="U201" i="5"/>
  <c r="T201" i="5"/>
  <c r="S201" i="5"/>
  <c r="R201" i="5"/>
  <c r="Q201" i="5"/>
  <c r="P201" i="5"/>
  <c r="O201" i="5"/>
  <c r="N201" i="5"/>
  <c r="V200" i="5"/>
  <c r="U200" i="5"/>
  <c r="T200" i="5"/>
  <c r="S200" i="5"/>
  <c r="R200" i="5"/>
  <c r="Q200" i="5"/>
  <c r="P200" i="5"/>
  <c r="O200" i="5"/>
  <c r="N200" i="5"/>
  <c r="V199" i="5"/>
  <c r="U199" i="5"/>
  <c r="T199" i="5"/>
  <c r="S199" i="5"/>
  <c r="R199" i="5"/>
  <c r="Q199" i="5"/>
  <c r="P199" i="5"/>
  <c r="O199" i="5"/>
  <c r="N199" i="5"/>
  <c r="V198" i="5"/>
  <c r="U198" i="5"/>
  <c r="T198" i="5"/>
  <c r="S198" i="5"/>
  <c r="R198" i="5"/>
  <c r="Q198" i="5"/>
  <c r="P198" i="5"/>
  <c r="O198" i="5"/>
  <c r="N198" i="5"/>
  <c r="V197" i="5"/>
  <c r="U197" i="5"/>
  <c r="T197" i="5"/>
  <c r="S197" i="5"/>
  <c r="R197" i="5"/>
  <c r="Q197" i="5"/>
  <c r="P197" i="5"/>
  <c r="O197" i="5"/>
  <c r="N197" i="5"/>
  <c r="V196" i="5"/>
  <c r="U196" i="5"/>
  <c r="T196" i="5"/>
  <c r="S196" i="5"/>
  <c r="R196" i="5"/>
  <c r="Q196" i="5"/>
  <c r="P196" i="5"/>
  <c r="O196" i="5"/>
  <c r="N196" i="5"/>
  <c r="V195" i="5"/>
  <c r="U195" i="5"/>
  <c r="T195" i="5"/>
  <c r="S195" i="5"/>
  <c r="R195" i="5"/>
  <c r="Q195" i="5"/>
  <c r="P195" i="5"/>
  <c r="O195" i="5"/>
  <c r="N195" i="5"/>
  <c r="V194" i="5"/>
  <c r="U194" i="5"/>
  <c r="T194" i="5"/>
  <c r="S194" i="5"/>
  <c r="R194" i="5"/>
  <c r="Q194" i="5"/>
  <c r="P194" i="5"/>
  <c r="O194" i="5"/>
  <c r="N194" i="5"/>
  <c r="V193" i="5"/>
  <c r="U193" i="5"/>
  <c r="T193" i="5"/>
  <c r="S193" i="5"/>
  <c r="R193" i="5"/>
  <c r="Q193" i="5"/>
  <c r="P193" i="5"/>
  <c r="O193" i="5"/>
  <c r="N193" i="5"/>
  <c r="V192" i="5"/>
  <c r="U192" i="5"/>
  <c r="T192" i="5"/>
  <c r="S192" i="5"/>
  <c r="R192" i="5"/>
  <c r="Q192" i="5"/>
  <c r="P192" i="5"/>
  <c r="O192" i="5"/>
  <c r="N192" i="5"/>
  <c r="V191" i="5"/>
  <c r="U191" i="5"/>
  <c r="T191" i="5"/>
  <c r="S191" i="5"/>
  <c r="R191" i="5"/>
  <c r="Q191" i="5"/>
  <c r="P191" i="5"/>
  <c r="O191" i="5"/>
  <c r="N191" i="5"/>
  <c r="V190" i="5"/>
  <c r="U190" i="5"/>
  <c r="T190" i="5"/>
  <c r="S190" i="5"/>
  <c r="R190" i="5"/>
  <c r="Q190" i="5"/>
  <c r="P190" i="5"/>
  <c r="O190" i="5"/>
  <c r="N190" i="5"/>
  <c r="V189" i="5"/>
  <c r="U189" i="5"/>
  <c r="T189" i="5"/>
  <c r="S189" i="5"/>
  <c r="R189" i="5"/>
  <c r="Q189" i="5"/>
  <c r="P189" i="5"/>
  <c r="O189" i="5"/>
  <c r="N189" i="5"/>
  <c r="V188" i="5"/>
  <c r="U188" i="5"/>
  <c r="T188" i="5"/>
  <c r="S188" i="5"/>
  <c r="R188" i="5"/>
  <c r="Q188" i="5"/>
  <c r="P188" i="5"/>
  <c r="O188" i="5"/>
  <c r="N188" i="5"/>
  <c r="V187" i="5"/>
  <c r="U187" i="5"/>
  <c r="T187" i="5"/>
  <c r="S187" i="5"/>
  <c r="R187" i="5"/>
  <c r="Q187" i="5"/>
  <c r="P187" i="5"/>
  <c r="O187" i="5"/>
  <c r="N187" i="5"/>
  <c r="V186" i="5"/>
  <c r="U186" i="5"/>
  <c r="T186" i="5"/>
  <c r="S186" i="5"/>
  <c r="R186" i="5"/>
  <c r="Q186" i="5"/>
  <c r="P186" i="5"/>
  <c r="O186" i="5"/>
  <c r="N186" i="5"/>
  <c r="V185" i="5"/>
  <c r="U185" i="5"/>
  <c r="T185" i="5"/>
  <c r="S185" i="5"/>
  <c r="R185" i="5"/>
  <c r="Q185" i="5"/>
  <c r="P185" i="5"/>
  <c r="O185" i="5"/>
  <c r="N185" i="5"/>
  <c r="V184" i="5"/>
  <c r="U184" i="5"/>
  <c r="T184" i="5"/>
  <c r="S184" i="5"/>
  <c r="R184" i="5"/>
  <c r="Q184" i="5"/>
  <c r="P184" i="5"/>
  <c r="O184" i="5"/>
  <c r="N184" i="5"/>
  <c r="V183" i="5"/>
  <c r="U183" i="5"/>
  <c r="T183" i="5"/>
  <c r="S183" i="5"/>
  <c r="R183" i="5"/>
  <c r="Q183" i="5"/>
  <c r="P183" i="5"/>
  <c r="O183" i="5"/>
  <c r="N183" i="5"/>
  <c r="V182" i="5"/>
  <c r="U182" i="5"/>
  <c r="T182" i="5"/>
  <c r="S182" i="5"/>
  <c r="R182" i="5"/>
  <c r="Q182" i="5"/>
  <c r="P182" i="5"/>
  <c r="O182" i="5"/>
  <c r="N182" i="5"/>
  <c r="V181" i="5"/>
  <c r="U181" i="5"/>
  <c r="T181" i="5"/>
  <c r="S181" i="5"/>
  <c r="R181" i="5"/>
  <c r="Q181" i="5"/>
  <c r="P181" i="5"/>
  <c r="O181" i="5"/>
  <c r="N181" i="5"/>
  <c r="V180" i="5"/>
  <c r="U180" i="5"/>
  <c r="T180" i="5"/>
  <c r="S180" i="5"/>
  <c r="R180" i="5"/>
  <c r="Q180" i="5"/>
  <c r="P180" i="5"/>
  <c r="O180" i="5"/>
  <c r="N180" i="5"/>
  <c r="V179" i="5"/>
  <c r="U179" i="5"/>
  <c r="T179" i="5"/>
  <c r="S179" i="5"/>
  <c r="R179" i="5"/>
  <c r="Q179" i="5"/>
  <c r="P179" i="5"/>
  <c r="O179" i="5"/>
  <c r="N179" i="5"/>
  <c r="V178" i="5"/>
  <c r="U178" i="5"/>
  <c r="T178" i="5"/>
  <c r="S178" i="5"/>
  <c r="R178" i="5"/>
  <c r="Q178" i="5"/>
  <c r="P178" i="5"/>
  <c r="O178" i="5"/>
  <c r="N178" i="5"/>
  <c r="V177" i="5"/>
  <c r="U177" i="5"/>
  <c r="T177" i="5"/>
  <c r="S177" i="5"/>
  <c r="R177" i="5"/>
  <c r="Q177" i="5"/>
  <c r="P177" i="5"/>
  <c r="O177" i="5"/>
  <c r="N177" i="5"/>
  <c r="V176" i="5"/>
  <c r="U176" i="5"/>
  <c r="T176" i="5"/>
  <c r="S176" i="5"/>
  <c r="R176" i="5"/>
  <c r="Q176" i="5"/>
  <c r="P176" i="5"/>
  <c r="O176" i="5"/>
  <c r="N176" i="5"/>
  <c r="V175" i="5"/>
  <c r="U175" i="5"/>
  <c r="T175" i="5"/>
  <c r="S175" i="5"/>
  <c r="R175" i="5"/>
  <c r="Q175" i="5"/>
  <c r="P175" i="5"/>
  <c r="O175" i="5"/>
  <c r="N175" i="5"/>
  <c r="V174" i="5"/>
  <c r="U174" i="5"/>
  <c r="T174" i="5"/>
  <c r="S174" i="5"/>
  <c r="R174" i="5"/>
  <c r="Q174" i="5"/>
  <c r="P174" i="5"/>
  <c r="O174" i="5"/>
  <c r="N174" i="5"/>
  <c r="V173" i="5"/>
  <c r="U173" i="5"/>
  <c r="T173" i="5"/>
  <c r="S173" i="5"/>
  <c r="R173" i="5"/>
  <c r="Q173" i="5"/>
  <c r="P173" i="5"/>
  <c r="O173" i="5"/>
  <c r="N173" i="5"/>
  <c r="V172" i="5"/>
  <c r="U172" i="5"/>
  <c r="T172" i="5"/>
  <c r="S172" i="5"/>
  <c r="R172" i="5"/>
  <c r="Q172" i="5"/>
  <c r="P172" i="5"/>
  <c r="O172" i="5"/>
  <c r="N172" i="5"/>
  <c r="V171" i="5"/>
  <c r="U171" i="5"/>
  <c r="T171" i="5"/>
  <c r="S171" i="5"/>
  <c r="R171" i="5"/>
  <c r="Q171" i="5"/>
  <c r="P171" i="5"/>
  <c r="O171" i="5"/>
  <c r="N171" i="5"/>
  <c r="V170" i="5"/>
  <c r="U170" i="5"/>
  <c r="T170" i="5"/>
  <c r="S170" i="5"/>
  <c r="R170" i="5"/>
  <c r="Q170" i="5"/>
  <c r="P170" i="5"/>
  <c r="O170" i="5"/>
  <c r="N170" i="5"/>
  <c r="V169" i="5"/>
  <c r="U169" i="5"/>
  <c r="T169" i="5"/>
  <c r="S169" i="5"/>
  <c r="R169" i="5"/>
  <c r="Q169" i="5"/>
  <c r="P169" i="5"/>
  <c r="O169" i="5"/>
  <c r="N169" i="5"/>
  <c r="V168" i="5"/>
  <c r="U168" i="5"/>
  <c r="T168" i="5"/>
  <c r="S168" i="5"/>
  <c r="R168" i="5"/>
  <c r="Q168" i="5"/>
  <c r="P168" i="5"/>
  <c r="O168" i="5"/>
  <c r="N168" i="5"/>
  <c r="V167" i="5"/>
  <c r="U167" i="5"/>
  <c r="T167" i="5"/>
  <c r="S167" i="5"/>
  <c r="R167" i="5"/>
  <c r="Q167" i="5"/>
  <c r="P167" i="5"/>
  <c r="O167" i="5"/>
  <c r="N167" i="5"/>
  <c r="V166" i="5"/>
  <c r="U166" i="5"/>
  <c r="T166" i="5"/>
  <c r="S166" i="5"/>
  <c r="R166" i="5"/>
  <c r="Q166" i="5"/>
  <c r="P166" i="5"/>
  <c r="O166" i="5"/>
  <c r="N166" i="5"/>
  <c r="V165" i="5"/>
  <c r="U165" i="5"/>
  <c r="T165" i="5"/>
  <c r="S165" i="5"/>
  <c r="R165" i="5"/>
  <c r="Q165" i="5"/>
  <c r="P165" i="5"/>
  <c r="O165" i="5"/>
  <c r="N165" i="5"/>
  <c r="V164" i="5"/>
  <c r="U164" i="5"/>
  <c r="T164" i="5"/>
  <c r="S164" i="5"/>
  <c r="R164" i="5"/>
  <c r="Q164" i="5"/>
  <c r="P164" i="5"/>
  <c r="O164" i="5"/>
  <c r="N164" i="5"/>
  <c r="V163" i="5"/>
  <c r="U163" i="5"/>
  <c r="T163" i="5"/>
  <c r="S163" i="5"/>
  <c r="R163" i="5"/>
  <c r="Q163" i="5"/>
  <c r="P163" i="5"/>
  <c r="O163" i="5"/>
  <c r="N163" i="5"/>
  <c r="V162" i="5"/>
  <c r="U162" i="5"/>
  <c r="T162" i="5"/>
  <c r="S162" i="5"/>
  <c r="R162" i="5"/>
  <c r="Q162" i="5"/>
  <c r="P162" i="5"/>
  <c r="O162" i="5"/>
  <c r="N162" i="5"/>
  <c r="V161" i="5"/>
  <c r="U161" i="5"/>
  <c r="T161" i="5"/>
  <c r="S161" i="5"/>
  <c r="R161" i="5"/>
  <c r="Q161" i="5"/>
  <c r="P161" i="5"/>
  <c r="O161" i="5"/>
  <c r="N161" i="5"/>
  <c r="V160" i="5"/>
  <c r="U160" i="5"/>
  <c r="T160" i="5"/>
  <c r="S160" i="5"/>
  <c r="R160" i="5"/>
  <c r="Q160" i="5"/>
  <c r="P160" i="5"/>
  <c r="O160" i="5"/>
  <c r="N160" i="5"/>
  <c r="V159" i="5"/>
  <c r="U159" i="5"/>
  <c r="T159" i="5"/>
  <c r="S159" i="5"/>
  <c r="R159" i="5"/>
  <c r="Q159" i="5"/>
  <c r="P159" i="5"/>
  <c r="O159" i="5"/>
  <c r="N159" i="5"/>
  <c r="V158" i="5"/>
  <c r="U158" i="5"/>
  <c r="T158" i="5"/>
  <c r="S158" i="5"/>
  <c r="R158" i="5"/>
  <c r="Q158" i="5"/>
  <c r="P158" i="5"/>
  <c r="O158" i="5"/>
  <c r="N158" i="5"/>
  <c r="V157" i="5"/>
  <c r="U157" i="5"/>
  <c r="T157" i="5"/>
  <c r="S157" i="5"/>
  <c r="R157" i="5"/>
  <c r="Q157" i="5"/>
  <c r="P157" i="5"/>
  <c r="O157" i="5"/>
  <c r="N157" i="5"/>
  <c r="V156" i="5"/>
  <c r="U156" i="5"/>
  <c r="T156" i="5"/>
  <c r="S156" i="5"/>
  <c r="R156" i="5"/>
  <c r="Q156" i="5"/>
  <c r="P156" i="5"/>
  <c r="O156" i="5"/>
  <c r="N156" i="5"/>
  <c r="V155" i="5"/>
  <c r="U155" i="5"/>
  <c r="T155" i="5"/>
  <c r="S155" i="5"/>
  <c r="R155" i="5"/>
  <c r="Q155" i="5"/>
  <c r="P155" i="5"/>
  <c r="O155" i="5"/>
  <c r="N155" i="5"/>
  <c r="V154" i="5"/>
  <c r="U154" i="5"/>
  <c r="T154" i="5"/>
  <c r="S154" i="5"/>
  <c r="R154" i="5"/>
  <c r="Q154" i="5"/>
  <c r="P154" i="5"/>
  <c r="O154" i="5"/>
  <c r="N154" i="5"/>
  <c r="V153" i="5"/>
  <c r="U153" i="5"/>
  <c r="T153" i="5"/>
  <c r="S153" i="5"/>
  <c r="R153" i="5"/>
  <c r="Q153" i="5"/>
  <c r="P153" i="5"/>
  <c r="O153" i="5"/>
  <c r="N153" i="5"/>
  <c r="V152" i="5"/>
  <c r="U152" i="5"/>
  <c r="T152" i="5"/>
  <c r="S152" i="5"/>
  <c r="R152" i="5"/>
  <c r="Q152" i="5"/>
  <c r="P152" i="5"/>
  <c r="O152" i="5"/>
  <c r="N152" i="5"/>
  <c r="V151" i="5"/>
  <c r="U151" i="5"/>
  <c r="T151" i="5"/>
  <c r="S151" i="5"/>
  <c r="R151" i="5"/>
  <c r="Q151" i="5"/>
  <c r="P151" i="5"/>
  <c r="O151" i="5"/>
  <c r="N151" i="5"/>
  <c r="V150" i="5"/>
  <c r="U150" i="5"/>
  <c r="T150" i="5"/>
  <c r="S150" i="5"/>
  <c r="R150" i="5"/>
  <c r="Q150" i="5"/>
  <c r="P150" i="5"/>
  <c r="O150" i="5"/>
  <c r="N150" i="5"/>
  <c r="V149" i="5"/>
  <c r="U149" i="5"/>
  <c r="T149" i="5"/>
  <c r="S149" i="5"/>
  <c r="R149" i="5"/>
  <c r="Q149" i="5"/>
  <c r="P149" i="5"/>
  <c r="O149" i="5"/>
  <c r="N149" i="5"/>
  <c r="V148" i="5"/>
  <c r="U148" i="5"/>
  <c r="T148" i="5"/>
  <c r="S148" i="5"/>
  <c r="R148" i="5"/>
  <c r="Q148" i="5"/>
  <c r="P148" i="5"/>
  <c r="O148" i="5"/>
  <c r="N148" i="5"/>
  <c r="V147" i="5"/>
  <c r="U147" i="5"/>
  <c r="T147" i="5"/>
  <c r="S147" i="5"/>
  <c r="R147" i="5"/>
  <c r="Q147" i="5"/>
  <c r="P147" i="5"/>
  <c r="O147" i="5"/>
  <c r="N147" i="5"/>
  <c r="E20" i="1"/>
  <c r="E42" i="1"/>
  <c r="E60" i="1"/>
  <c r="E17" i="1"/>
  <c r="C26" i="1"/>
  <c r="C23" i="1" s="1"/>
  <c r="E23" i="1" s="1"/>
  <c r="AJ15" i="1" l="1"/>
  <c r="AD8" i="1"/>
  <c r="AO8" i="1" s="1" a="1"/>
  <c r="AO8" i="1" s="1"/>
  <c r="AK12" i="5"/>
  <c r="AI12" i="5"/>
  <c r="AB3" i="5"/>
  <c r="AF9" i="5" s="1"/>
  <c r="AC3" i="5"/>
  <c r="AF10" i="5" s="1"/>
  <c r="AD3" i="5"/>
  <c r="AF12" i="5" s="1"/>
  <c r="AI10" i="5"/>
  <c r="AK10" i="5"/>
  <c r="AI11" i="5"/>
  <c r="AK11" i="5"/>
  <c r="E61" i="1"/>
  <c r="E313" i="1"/>
  <c r="E39" i="1"/>
  <c r="AJ16" i="1" l="1"/>
  <c r="AD9" i="1"/>
  <c r="AO9" i="1" s="1" a="1"/>
  <c r="AO9" i="1" s="1"/>
  <c r="AK9" i="5"/>
  <c r="AA6" i="5"/>
  <c r="AA5" i="5"/>
  <c r="AG7" i="5" s="1"/>
  <c r="AA4" i="5"/>
  <c r="AG6" i="5" s="1"/>
  <c r="Z6" i="5"/>
  <c r="AG5" i="5" s="1"/>
  <c r="Z5" i="5"/>
  <c r="AG4" i="5" s="1"/>
  <c r="Z4" i="5"/>
  <c r="M144" i="5"/>
  <c r="L144" i="5"/>
  <c r="K144" i="5"/>
  <c r="M146" i="5"/>
  <c r="L146" i="5"/>
  <c r="K146" i="5"/>
  <c r="J146" i="5"/>
  <c r="I146" i="5"/>
  <c r="H146" i="5"/>
  <c r="M145" i="5"/>
  <c r="L145" i="5"/>
  <c r="K145" i="5"/>
  <c r="J145" i="5"/>
  <c r="I145" i="5"/>
  <c r="H145" i="5"/>
  <c r="V146" i="5"/>
  <c r="U146" i="5"/>
  <c r="T146" i="5"/>
  <c r="S146" i="5"/>
  <c r="R146" i="5"/>
  <c r="Q146" i="5"/>
  <c r="P146" i="5"/>
  <c r="O146" i="5"/>
  <c r="N146" i="5"/>
  <c r="V145" i="5"/>
  <c r="U145" i="5"/>
  <c r="T145" i="5"/>
  <c r="S145" i="5"/>
  <c r="R145" i="5"/>
  <c r="Q145" i="5"/>
  <c r="P145" i="5"/>
  <c r="O145" i="5"/>
  <c r="N145" i="5"/>
  <c r="V144" i="5"/>
  <c r="U144" i="5"/>
  <c r="T144" i="5"/>
  <c r="S144" i="5"/>
  <c r="R144" i="5"/>
  <c r="Q144" i="5"/>
  <c r="P144" i="5"/>
  <c r="O144" i="5"/>
  <c r="N144" i="5"/>
  <c r="V143" i="5"/>
  <c r="U143" i="5"/>
  <c r="T143" i="5"/>
  <c r="S143" i="5"/>
  <c r="R143" i="5"/>
  <c r="Q143" i="5"/>
  <c r="P143" i="5"/>
  <c r="O143" i="5"/>
  <c r="N143" i="5"/>
  <c r="V142" i="5"/>
  <c r="U142" i="5"/>
  <c r="T142" i="5"/>
  <c r="S142" i="5"/>
  <c r="R142" i="5"/>
  <c r="Q142" i="5"/>
  <c r="P142" i="5"/>
  <c r="O142" i="5"/>
  <c r="N142" i="5"/>
  <c r="V141" i="5"/>
  <c r="U141" i="5"/>
  <c r="T141" i="5"/>
  <c r="S141" i="5"/>
  <c r="R141" i="5"/>
  <c r="Q141" i="5"/>
  <c r="P141" i="5"/>
  <c r="O141" i="5"/>
  <c r="N141" i="5"/>
  <c r="V140" i="5"/>
  <c r="U140" i="5"/>
  <c r="T140" i="5"/>
  <c r="S140" i="5"/>
  <c r="R140" i="5"/>
  <c r="Q140" i="5"/>
  <c r="P140" i="5"/>
  <c r="O140" i="5"/>
  <c r="N140" i="5"/>
  <c r="V139" i="5"/>
  <c r="U139" i="5"/>
  <c r="T139" i="5"/>
  <c r="S139" i="5"/>
  <c r="R139" i="5"/>
  <c r="Q139" i="5"/>
  <c r="P139" i="5"/>
  <c r="O139" i="5"/>
  <c r="N139" i="5"/>
  <c r="V138" i="5"/>
  <c r="U138" i="5"/>
  <c r="T138" i="5"/>
  <c r="S138" i="5"/>
  <c r="R138" i="5"/>
  <c r="Q138" i="5"/>
  <c r="P138" i="5"/>
  <c r="O138" i="5"/>
  <c r="N138" i="5"/>
  <c r="V137" i="5"/>
  <c r="U137" i="5"/>
  <c r="T137" i="5"/>
  <c r="S137" i="5"/>
  <c r="R137" i="5"/>
  <c r="Q137" i="5"/>
  <c r="P137" i="5"/>
  <c r="O137" i="5"/>
  <c r="N137" i="5"/>
  <c r="V136" i="5"/>
  <c r="U136" i="5"/>
  <c r="T136" i="5"/>
  <c r="S136" i="5"/>
  <c r="R136" i="5"/>
  <c r="Q136" i="5"/>
  <c r="P136" i="5"/>
  <c r="O136" i="5"/>
  <c r="N136" i="5"/>
  <c r="V135" i="5"/>
  <c r="U135" i="5"/>
  <c r="T135" i="5"/>
  <c r="S135" i="5"/>
  <c r="R135" i="5"/>
  <c r="Q135" i="5"/>
  <c r="P135" i="5"/>
  <c r="O135" i="5"/>
  <c r="N135" i="5"/>
  <c r="V134" i="5"/>
  <c r="U134" i="5"/>
  <c r="T134" i="5"/>
  <c r="S134" i="5"/>
  <c r="R134" i="5"/>
  <c r="Q134" i="5"/>
  <c r="P134" i="5"/>
  <c r="O134" i="5"/>
  <c r="N134" i="5"/>
  <c r="V133" i="5"/>
  <c r="U133" i="5"/>
  <c r="T133" i="5"/>
  <c r="S133" i="5"/>
  <c r="R133" i="5"/>
  <c r="Q133" i="5"/>
  <c r="P133" i="5"/>
  <c r="O133" i="5"/>
  <c r="N133" i="5"/>
  <c r="V132" i="5"/>
  <c r="U132" i="5"/>
  <c r="T132" i="5"/>
  <c r="S132" i="5"/>
  <c r="R132" i="5"/>
  <c r="Q132" i="5"/>
  <c r="P132" i="5"/>
  <c r="O132" i="5"/>
  <c r="N132" i="5"/>
  <c r="V131" i="5"/>
  <c r="U131" i="5"/>
  <c r="T131" i="5"/>
  <c r="S131" i="5"/>
  <c r="R131" i="5"/>
  <c r="Q131" i="5"/>
  <c r="P131" i="5"/>
  <c r="O131" i="5"/>
  <c r="N131" i="5"/>
  <c r="V130" i="5"/>
  <c r="U130" i="5"/>
  <c r="T130" i="5"/>
  <c r="S130" i="5"/>
  <c r="R130" i="5"/>
  <c r="Q130" i="5"/>
  <c r="P130" i="5"/>
  <c r="O130" i="5"/>
  <c r="N130" i="5"/>
  <c r="V129" i="5"/>
  <c r="U129" i="5"/>
  <c r="T129" i="5"/>
  <c r="S129" i="5"/>
  <c r="R129" i="5"/>
  <c r="Q129" i="5"/>
  <c r="P129" i="5"/>
  <c r="O129" i="5"/>
  <c r="N129" i="5"/>
  <c r="V128" i="5"/>
  <c r="U128" i="5"/>
  <c r="T128" i="5"/>
  <c r="S128" i="5"/>
  <c r="R128" i="5"/>
  <c r="Q128" i="5"/>
  <c r="P128" i="5"/>
  <c r="O128" i="5"/>
  <c r="N128" i="5"/>
  <c r="V127" i="5"/>
  <c r="U127" i="5"/>
  <c r="T127" i="5"/>
  <c r="S127" i="5"/>
  <c r="R127" i="5"/>
  <c r="Q127" i="5"/>
  <c r="P127" i="5"/>
  <c r="O127" i="5"/>
  <c r="N127" i="5"/>
  <c r="V126" i="5"/>
  <c r="U126" i="5"/>
  <c r="T126" i="5"/>
  <c r="S126" i="5"/>
  <c r="R126" i="5"/>
  <c r="Q126" i="5"/>
  <c r="P126" i="5"/>
  <c r="O126" i="5"/>
  <c r="N126" i="5"/>
  <c r="V125" i="5"/>
  <c r="U125" i="5"/>
  <c r="T125" i="5"/>
  <c r="S125" i="5"/>
  <c r="R125" i="5"/>
  <c r="Q125" i="5"/>
  <c r="P125" i="5"/>
  <c r="O125" i="5"/>
  <c r="N125" i="5"/>
  <c r="V124" i="5"/>
  <c r="U124" i="5"/>
  <c r="T124" i="5"/>
  <c r="S124" i="5"/>
  <c r="R124" i="5"/>
  <c r="Q124" i="5"/>
  <c r="P124" i="5"/>
  <c r="O124" i="5"/>
  <c r="N124" i="5"/>
  <c r="V123" i="5"/>
  <c r="U123" i="5"/>
  <c r="T123" i="5"/>
  <c r="S123" i="5"/>
  <c r="R123" i="5"/>
  <c r="Q123" i="5"/>
  <c r="P123" i="5"/>
  <c r="O123" i="5"/>
  <c r="N123" i="5"/>
  <c r="V122" i="5"/>
  <c r="U122" i="5"/>
  <c r="T122" i="5"/>
  <c r="S122" i="5"/>
  <c r="R122" i="5"/>
  <c r="Q122" i="5"/>
  <c r="P122" i="5"/>
  <c r="O122" i="5"/>
  <c r="N122" i="5"/>
  <c r="V121" i="5"/>
  <c r="U121" i="5"/>
  <c r="T121" i="5"/>
  <c r="S121" i="5"/>
  <c r="R121" i="5"/>
  <c r="Q121" i="5"/>
  <c r="P121" i="5"/>
  <c r="O121" i="5"/>
  <c r="N121" i="5"/>
  <c r="V120" i="5"/>
  <c r="U120" i="5"/>
  <c r="T120" i="5"/>
  <c r="S120" i="5"/>
  <c r="R120" i="5"/>
  <c r="Q120" i="5"/>
  <c r="P120" i="5"/>
  <c r="O120" i="5"/>
  <c r="N120" i="5"/>
  <c r="V119" i="5"/>
  <c r="U119" i="5"/>
  <c r="T119" i="5"/>
  <c r="S119" i="5"/>
  <c r="R119" i="5"/>
  <c r="Q119" i="5"/>
  <c r="P119" i="5"/>
  <c r="O119" i="5"/>
  <c r="N119" i="5"/>
  <c r="V118" i="5"/>
  <c r="U118" i="5"/>
  <c r="T118" i="5"/>
  <c r="S118" i="5"/>
  <c r="R118" i="5"/>
  <c r="Q118" i="5"/>
  <c r="P118" i="5"/>
  <c r="O118" i="5"/>
  <c r="N118" i="5"/>
  <c r="V117" i="5"/>
  <c r="U117" i="5"/>
  <c r="T117" i="5"/>
  <c r="S117" i="5"/>
  <c r="R117" i="5"/>
  <c r="Q117" i="5"/>
  <c r="P117" i="5"/>
  <c r="O117" i="5"/>
  <c r="N117" i="5"/>
  <c r="V116" i="5"/>
  <c r="U116" i="5"/>
  <c r="T116" i="5"/>
  <c r="S116" i="5"/>
  <c r="R116" i="5"/>
  <c r="Q116" i="5"/>
  <c r="P116" i="5"/>
  <c r="O116" i="5"/>
  <c r="N116" i="5"/>
  <c r="V115" i="5"/>
  <c r="U115" i="5"/>
  <c r="T115" i="5"/>
  <c r="S115" i="5"/>
  <c r="R115" i="5"/>
  <c r="Q115" i="5"/>
  <c r="P115" i="5"/>
  <c r="O115" i="5"/>
  <c r="N115" i="5"/>
  <c r="V114" i="5"/>
  <c r="U114" i="5"/>
  <c r="T114" i="5"/>
  <c r="S114" i="5"/>
  <c r="R114" i="5"/>
  <c r="Q114" i="5"/>
  <c r="P114" i="5"/>
  <c r="O114" i="5"/>
  <c r="N114" i="5"/>
  <c r="V113" i="5"/>
  <c r="U113" i="5"/>
  <c r="T113" i="5"/>
  <c r="S113" i="5"/>
  <c r="R113" i="5"/>
  <c r="Q113" i="5"/>
  <c r="P113" i="5"/>
  <c r="O113" i="5"/>
  <c r="N113" i="5"/>
  <c r="V112" i="5"/>
  <c r="U112" i="5"/>
  <c r="T112" i="5"/>
  <c r="S112" i="5"/>
  <c r="R112" i="5"/>
  <c r="Q112" i="5"/>
  <c r="P112" i="5"/>
  <c r="O112" i="5"/>
  <c r="N112" i="5"/>
  <c r="V111" i="5"/>
  <c r="U111" i="5"/>
  <c r="T111" i="5"/>
  <c r="S111" i="5"/>
  <c r="R111" i="5"/>
  <c r="Q111" i="5"/>
  <c r="P111" i="5"/>
  <c r="O111" i="5"/>
  <c r="N111" i="5"/>
  <c r="V110" i="5"/>
  <c r="U110" i="5"/>
  <c r="T110" i="5"/>
  <c r="S110" i="5"/>
  <c r="R110" i="5"/>
  <c r="Q110" i="5"/>
  <c r="P110" i="5"/>
  <c r="O110" i="5"/>
  <c r="N110" i="5"/>
  <c r="V109" i="5"/>
  <c r="U109" i="5"/>
  <c r="T109" i="5"/>
  <c r="S109" i="5"/>
  <c r="R109" i="5"/>
  <c r="Q109" i="5"/>
  <c r="P109" i="5"/>
  <c r="O109" i="5"/>
  <c r="N109" i="5"/>
  <c r="V108" i="5"/>
  <c r="U108" i="5"/>
  <c r="T108" i="5"/>
  <c r="S108" i="5"/>
  <c r="R108" i="5"/>
  <c r="Q108" i="5"/>
  <c r="P108" i="5"/>
  <c r="O108" i="5"/>
  <c r="N108" i="5"/>
  <c r="V107" i="5"/>
  <c r="U107" i="5"/>
  <c r="T107" i="5"/>
  <c r="S107" i="5"/>
  <c r="R107" i="5"/>
  <c r="Q107" i="5"/>
  <c r="P107" i="5"/>
  <c r="O107" i="5"/>
  <c r="N107" i="5"/>
  <c r="V106" i="5"/>
  <c r="U106" i="5"/>
  <c r="T106" i="5"/>
  <c r="S106" i="5"/>
  <c r="R106" i="5"/>
  <c r="Q106" i="5"/>
  <c r="P106" i="5"/>
  <c r="O106" i="5"/>
  <c r="N106" i="5"/>
  <c r="V105" i="5"/>
  <c r="U105" i="5"/>
  <c r="T105" i="5"/>
  <c r="S105" i="5"/>
  <c r="R105" i="5"/>
  <c r="Q105" i="5"/>
  <c r="P105" i="5"/>
  <c r="O105" i="5"/>
  <c r="N105" i="5"/>
  <c r="V104" i="5"/>
  <c r="U104" i="5"/>
  <c r="T104" i="5"/>
  <c r="S104" i="5"/>
  <c r="R104" i="5"/>
  <c r="Q104" i="5"/>
  <c r="P104" i="5"/>
  <c r="O104" i="5"/>
  <c r="N104" i="5"/>
  <c r="V103" i="5"/>
  <c r="U103" i="5"/>
  <c r="T103" i="5"/>
  <c r="S103" i="5"/>
  <c r="R103" i="5"/>
  <c r="Q103" i="5"/>
  <c r="P103" i="5"/>
  <c r="O103" i="5"/>
  <c r="N103" i="5"/>
  <c r="V102" i="5"/>
  <c r="U102" i="5"/>
  <c r="T102" i="5"/>
  <c r="S102" i="5"/>
  <c r="R102" i="5"/>
  <c r="Q102" i="5"/>
  <c r="P102" i="5"/>
  <c r="O102" i="5"/>
  <c r="N102" i="5"/>
  <c r="V101" i="5"/>
  <c r="U101" i="5"/>
  <c r="T101" i="5"/>
  <c r="S101" i="5"/>
  <c r="R101" i="5"/>
  <c r="Q101" i="5"/>
  <c r="P101" i="5"/>
  <c r="O101" i="5"/>
  <c r="N101" i="5"/>
  <c r="V100" i="5"/>
  <c r="U100" i="5"/>
  <c r="T100" i="5"/>
  <c r="S100" i="5"/>
  <c r="R100" i="5"/>
  <c r="Q100" i="5"/>
  <c r="P100" i="5"/>
  <c r="O100" i="5"/>
  <c r="N100" i="5"/>
  <c r="V99" i="5"/>
  <c r="U99" i="5"/>
  <c r="T99" i="5"/>
  <c r="S99" i="5"/>
  <c r="R99" i="5"/>
  <c r="Q99" i="5"/>
  <c r="P99" i="5"/>
  <c r="O99" i="5"/>
  <c r="N99" i="5"/>
  <c r="V98" i="5"/>
  <c r="U98" i="5"/>
  <c r="T98" i="5"/>
  <c r="S98" i="5"/>
  <c r="R98" i="5"/>
  <c r="Q98" i="5"/>
  <c r="P98" i="5"/>
  <c r="O98" i="5"/>
  <c r="N98" i="5"/>
  <c r="V97" i="5"/>
  <c r="U97" i="5"/>
  <c r="T97" i="5"/>
  <c r="S97" i="5"/>
  <c r="R97" i="5"/>
  <c r="Q97" i="5"/>
  <c r="P97" i="5"/>
  <c r="O97" i="5"/>
  <c r="N97" i="5"/>
  <c r="V96" i="5"/>
  <c r="U96" i="5"/>
  <c r="T96" i="5"/>
  <c r="S96" i="5"/>
  <c r="R96" i="5"/>
  <c r="Q96" i="5"/>
  <c r="P96" i="5"/>
  <c r="O96" i="5"/>
  <c r="N96" i="5"/>
  <c r="V95" i="5"/>
  <c r="U95" i="5"/>
  <c r="T95" i="5"/>
  <c r="S95" i="5"/>
  <c r="R95" i="5"/>
  <c r="Q95" i="5"/>
  <c r="P95" i="5"/>
  <c r="O95" i="5"/>
  <c r="N95" i="5"/>
  <c r="V94" i="5"/>
  <c r="U94" i="5"/>
  <c r="T94" i="5"/>
  <c r="S94" i="5"/>
  <c r="R94" i="5"/>
  <c r="Q94" i="5"/>
  <c r="P94" i="5"/>
  <c r="O94" i="5"/>
  <c r="N94" i="5"/>
  <c r="V93" i="5"/>
  <c r="U93" i="5"/>
  <c r="T93" i="5"/>
  <c r="S93" i="5"/>
  <c r="R93" i="5"/>
  <c r="Q93" i="5"/>
  <c r="P93" i="5"/>
  <c r="O93" i="5"/>
  <c r="N93" i="5"/>
  <c r="V92" i="5"/>
  <c r="U92" i="5"/>
  <c r="T92" i="5"/>
  <c r="S92" i="5"/>
  <c r="R92" i="5"/>
  <c r="Q92" i="5"/>
  <c r="P92" i="5"/>
  <c r="O92" i="5"/>
  <c r="N92" i="5"/>
  <c r="V91" i="5"/>
  <c r="U91" i="5"/>
  <c r="T91" i="5"/>
  <c r="S91" i="5"/>
  <c r="R91" i="5"/>
  <c r="Q91" i="5"/>
  <c r="P91" i="5"/>
  <c r="O91" i="5"/>
  <c r="N91" i="5"/>
  <c r="V90" i="5"/>
  <c r="U90" i="5"/>
  <c r="T90" i="5"/>
  <c r="S90" i="5"/>
  <c r="R90" i="5"/>
  <c r="Q90" i="5"/>
  <c r="P90" i="5"/>
  <c r="O90" i="5"/>
  <c r="N90" i="5"/>
  <c r="V89" i="5"/>
  <c r="U89" i="5"/>
  <c r="T89" i="5"/>
  <c r="S89" i="5"/>
  <c r="R89" i="5"/>
  <c r="Q89" i="5"/>
  <c r="P89" i="5"/>
  <c r="O89" i="5"/>
  <c r="N89" i="5"/>
  <c r="V88" i="5"/>
  <c r="U88" i="5"/>
  <c r="T88" i="5"/>
  <c r="S88" i="5"/>
  <c r="R88" i="5"/>
  <c r="Q88" i="5"/>
  <c r="P88" i="5"/>
  <c r="O88" i="5"/>
  <c r="N88" i="5"/>
  <c r="V87" i="5"/>
  <c r="U87" i="5"/>
  <c r="T87" i="5"/>
  <c r="S87" i="5"/>
  <c r="R87" i="5"/>
  <c r="Q87" i="5"/>
  <c r="P87" i="5"/>
  <c r="O87" i="5"/>
  <c r="N87" i="5"/>
  <c r="V86" i="5"/>
  <c r="U86" i="5"/>
  <c r="T86" i="5"/>
  <c r="S86" i="5"/>
  <c r="R86" i="5"/>
  <c r="Q86" i="5"/>
  <c r="P86" i="5"/>
  <c r="O86" i="5"/>
  <c r="N86" i="5"/>
  <c r="V85" i="5"/>
  <c r="U85" i="5"/>
  <c r="T85" i="5"/>
  <c r="S85" i="5"/>
  <c r="R85" i="5"/>
  <c r="Q85" i="5"/>
  <c r="P85" i="5"/>
  <c r="O85" i="5"/>
  <c r="N85" i="5"/>
  <c r="V84" i="5"/>
  <c r="U84" i="5"/>
  <c r="T84" i="5"/>
  <c r="S84" i="5"/>
  <c r="R84" i="5"/>
  <c r="Q84" i="5"/>
  <c r="P84" i="5"/>
  <c r="O84" i="5"/>
  <c r="N84" i="5"/>
  <c r="V83" i="5"/>
  <c r="U83" i="5"/>
  <c r="T83" i="5"/>
  <c r="S83" i="5"/>
  <c r="R83" i="5"/>
  <c r="Q83" i="5"/>
  <c r="P83" i="5"/>
  <c r="O83" i="5"/>
  <c r="N83" i="5"/>
  <c r="V82" i="5"/>
  <c r="U82" i="5"/>
  <c r="T82" i="5"/>
  <c r="S82" i="5"/>
  <c r="R82" i="5"/>
  <c r="Q82" i="5"/>
  <c r="P82" i="5"/>
  <c r="O82" i="5"/>
  <c r="N82" i="5"/>
  <c r="V81" i="5"/>
  <c r="U81" i="5"/>
  <c r="T81" i="5"/>
  <c r="S81" i="5"/>
  <c r="R81" i="5"/>
  <c r="Q81" i="5"/>
  <c r="P81" i="5"/>
  <c r="O81" i="5"/>
  <c r="N81" i="5"/>
  <c r="V80" i="5"/>
  <c r="U80" i="5"/>
  <c r="T80" i="5"/>
  <c r="S80" i="5"/>
  <c r="R80" i="5"/>
  <c r="Q80" i="5"/>
  <c r="P80" i="5"/>
  <c r="O80" i="5"/>
  <c r="N80" i="5"/>
  <c r="V79" i="5"/>
  <c r="U79" i="5"/>
  <c r="T79" i="5"/>
  <c r="S79" i="5"/>
  <c r="R79" i="5"/>
  <c r="Q79" i="5"/>
  <c r="P79" i="5"/>
  <c r="O79" i="5"/>
  <c r="N79" i="5"/>
  <c r="V78" i="5"/>
  <c r="U78" i="5"/>
  <c r="T78" i="5"/>
  <c r="S78" i="5"/>
  <c r="R78" i="5"/>
  <c r="Q78" i="5"/>
  <c r="P78" i="5"/>
  <c r="O78" i="5"/>
  <c r="N78" i="5"/>
  <c r="V77" i="5"/>
  <c r="U77" i="5"/>
  <c r="T77" i="5"/>
  <c r="S77" i="5"/>
  <c r="R77" i="5"/>
  <c r="Q77" i="5"/>
  <c r="P77" i="5"/>
  <c r="O77" i="5"/>
  <c r="N77" i="5"/>
  <c r="V76" i="5"/>
  <c r="U76" i="5"/>
  <c r="T76" i="5"/>
  <c r="S76" i="5"/>
  <c r="R76" i="5"/>
  <c r="Q76" i="5"/>
  <c r="P76" i="5"/>
  <c r="O76" i="5"/>
  <c r="N76" i="5"/>
  <c r="V75" i="5"/>
  <c r="U75" i="5"/>
  <c r="T75" i="5"/>
  <c r="S75" i="5"/>
  <c r="R75" i="5"/>
  <c r="Q75" i="5"/>
  <c r="P75" i="5"/>
  <c r="O75" i="5"/>
  <c r="N75" i="5"/>
  <c r="V74" i="5"/>
  <c r="U74" i="5"/>
  <c r="T74" i="5"/>
  <c r="S74" i="5"/>
  <c r="R74" i="5"/>
  <c r="Q74" i="5"/>
  <c r="P74" i="5"/>
  <c r="O74" i="5"/>
  <c r="N74" i="5"/>
  <c r="V73" i="5"/>
  <c r="U73" i="5"/>
  <c r="T73" i="5"/>
  <c r="S73" i="5"/>
  <c r="R73" i="5"/>
  <c r="Q73" i="5"/>
  <c r="P73" i="5"/>
  <c r="O73" i="5"/>
  <c r="N73" i="5"/>
  <c r="V72" i="5"/>
  <c r="U72" i="5"/>
  <c r="T72" i="5"/>
  <c r="S72" i="5"/>
  <c r="R72" i="5"/>
  <c r="Q72" i="5"/>
  <c r="P72" i="5"/>
  <c r="O72" i="5"/>
  <c r="N72" i="5"/>
  <c r="V71" i="5"/>
  <c r="U71" i="5"/>
  <c r="T71" i="5"/>
  <c r="S71" i="5"/>
  <c r="R71" i="5"/>
  <c r="Q71" i="5"/>
  <c r="P71" i="5"/>
  <c r="O71" i="5"/>
  <c r="N71" i="5"/>
  <c r="V70" i="5"/>
  <c r="U70" i="5"/>
  <c r="T70" i="5"/>
  <c r="S70" i="5"/>
  <c r="R70" i="5"/>
  <c r="Q70" i="5"/>
  <c r="P70" i="5"/>
  <c r="O70" i="5"/>
  <c r="N70" i="5"/>
  <c r="V69" i="5"/>
  <c r="U69" i="5"/>
  <c r="T69" i="5"/>
  <c r="S69" i="5"/>
  <c r="R69" i="5"/>
  <c r="Q69" i="5"/>
  <c r="P69" i="5"/>
  <c r="O69" i="5"/>
  <c r="N69" i="5"/>
  <c r="V68" i="5"/>
  <c r="U68" i="5"/>
  <c r="T68" i="5"/>
  <c r="S68" i="5"/>
  <c r="R68" i="5"/>
  <c r="Q68" i="5"/>
  <c r="P68" i="5"/>
  <c r="O68" i="5"/>
  <c r="N68" i="5"/>
  <c r="V67" i="5"/>
  <c r="U67" i="5"/>
  <c r="T67" i="5"/>
  <c r="S67" i="5"/>
  <c r="R67" i="5"/>
  <c r="Q67" i="5"/>
  <c r="P67" i="5"/>
  <c r="O67" i="5"/>
  <c r="N67" i="5"/>
  <c r="V66" i="5"/>
  <c r="U66" i="5"/>
  <c r="T66" i="5"/>
  <c r="S66" i="5"/>
  <c r="R66" i="5"/>
  <c r="Q66" i="5"/>
  <c r="P66" i="5"/>
  <c r="O66" i="5"/>
  <c r="N66" i="5"/>
  <c r="V65" i="5"/>
  <c r="U65" i="5"/>
  <c r="T65" i="5"/>
  <c r="S65" i="5"/>
  <c r="R65" i="5"/>
  <c r="Q65" i="5"/>
  <c r="P65" i="5"/>
  <c r="O65" i="5"/>
  <c r="N65" i="5"/>
  <c r="V64" i="5"/>
  <c r="U64" i="5"/>
  <c r="T64" i="5"/>
  <c r="S64" i="5"/>
  <c r="R64" i="5"/>
  <c r="Q64" i="5"/>
  <c r="P64" i="5"/>
  <c r="O64" i="5"/>
  <c r="N64" i="5"/>
  <c r="V63" i="5"/>
  <c r="U63" i="5"/>
  <c r="T63" i="5"/>
  <c r="S63" i="5"/>
  <c r="R63" i="5"/>
  <c r="Q63" i="5"/>
  <c r="P63" i="5"/>
  <c r="O63" i="5"/>
  <c r="N63" i="5"/>
  <c r="V62" i="5"/>
  <c r="U62" i="5"/>
  <c r="T62" i="5"/>
  <c r="S62" i="5"/>
  <c r="R62" i="5"/>
  <c r="Q62" i="5"/>
  <c r="P62" i="5"/>
  <c r="O62" i="5"/>
  <c r="N62" i="5"/>
  <c r="V61" i="5"/>
  <c r="U61" i="5"/>
  <c r="T61" i="5"/>
  <c r="S61" i="5"/>
  <c r="R61" i="5"/>
  <c r="Q61" i="5"/>
  <c r="P61" i="5"/>
  <c r="O61" i="5"/>
  <c r="N61" i="5"/>
  <c r="V60" i="5"/>
  <c r="U60" i="5"/>
  <c r="T60" i="5"/>
  <c r="S60" i="5"/>
  <c r="R60" i="5"/>
  <c r="Q60" i="5"/>
  <c r="P60" i="5"/>
  <c r="O60" i="5"/>
  <c r="N60" i="5"/>
  <c r="V59" i="5"/>
  <c r="U59" i="5"/>
  <c r="T59" i="5"/>
  <c r="S59" i="5"/>
  <c r="R59" i="5"/>
  <c r="Q59" i="5"/>
  <c r="P59" i="5"/>
  <c r="O59" i="5"/>
  <c r="N59" i="5"/>
  <c r="V58" i="5"/>
  <c r="U58" i="5"/>
  <c r="T58" i="5"/>
  <c r="S58" i="5"/>
  <c r="R58" i="5"/>
  <c r="Q58" i="5"/>
  <c r="P58" i="5"/>
  <c r="O58" i="5"/>
  <c r="N58" i="5"/>
  <c r="V57" i="5"/>
  <c r="U57" i="5"/>
  <c r="T57" i="5"/>
  <c r="S57" i="5"/>
  <c r="R57" i="5"/>
  <c r="Q57" i="5"/>
  <c r="P57" i="5"/>
  <c r="O57" i="5"/>
  <c r="N57" i="5"/>
  <c r="V56" i="5"/>
  <c r="U56" i="5"/>
  <c r="T56" i="5"/>
  <c r="S56" i="5"/>
  <c r="R56" i="5"/>
  <c r="Q56" i="5"/>
  <c r="P56" i="5"/>
  <c r="O56" i="5"/>
  <c r="N56" i="5"/>
  <c r="V55" i="5"/>
  <c r="U55" i="5"/>
  <c r="T55" i="5"/>
  <c r="S55" i="5"/>
  <c r="R55" i="5"/>
  <c r="Q55" i="5"/>
  <c r="P55" i="5"/>
  <c r="O55" i="5"/>
  <c r="N55" i="5"/>
  <c r="V54" i="5"/>
  <c r="U54" i="5"/>
  <c r="T54" i="5"/>
  <c r="S54" i="5"/>
  <c r="R54" i="5"/>
  <c r="Q54" i="5"/>
  <c r="P54" i="5"/>
  <c r="O54" i="5"/>
  <c r="N54" i="5"/>
  <c r="V53" i="5"/>
  <c r="U53" i="5"/>
  <c r="T53" i="5"/>
  <c r="S53" i="5"/>
  <c r="R53" i="5"/>
  <c r="Q53" i="5"/>
  <c r="P53" i="5"/>
  <c r="O53" i="5"/>
  <c r="N53" i="5"/>
  <c r="V52" i="5"/>
  <c r="U52" i="5"/>
  <c r="T52" i="5"/>
  <c r="S52" i="5"/>
  <c r="R52" i="5"/>
  <c r="Q52" i="5"/>
  <c r="P52" i="5"/>
  <c r="O52" i="5"/>
  <c r="N52" i="5"/>
  <c r="V51" i="5"/>
  <c r="U51" i="5"/>
  <c r="T51" i="5"/>
  <c r="S51" i="5"/>
  <c r="R51" i="5"/>
  <c r="Q51" i="5"/>
  <c r="P51" i="5"/>
  <c r="O51" i="5"/>
  <c r="N51" i="5"/>
  <c r="V50" i="5"/>
  <c r="U50" i="5"/>
  <c r="T50" i="5"/>
  <c r="S50" i="5"/>
  <c r="R50" i="5"/>
  <c r="Q50" i="5"/>
  <c r="P50" i="5"/>
  <c r="O50" i="5"/>
  <c r="N50" i="5"/>
  <c r="V49" i="5"/>
  <c r="U49" i="5"/>
  <c r="T49" i="5"/>
  <c r="S49" i="5"/>
  <c r="R49" i="5"/>
  <c r="Q49" i="5"/>
  <c r="P49" i="5"/>
  <c r="O49" i="5"/>
  <c r="N49" i="5"/>
  <c r="V48" i="5"/>
  <c r="U48" i="5"/>
  <c r="T48" i="5"/>
  <c r="S48" i="5"/>
  <c r="R48" i="5"/>
  <c r="Q48" i="5"/>
  <c r="P48" i="5"/>
  <c r="O48" i="5"/>
  <c r="N48" i="5"/>
  <c r="V47" i="5"/>
  <c r="U47" i="5"/>
  <c r="T47" i="5"/>
  <c r="S47" i="5"/>
  <c r="R47" i="5"/>
  <c r="Q47" i="5"/>
  <c r="P47" i="5"/>
  <c r="O47" i="5"/>
  <c r="N47" i="5"/>
  <c r="V46" i="5"/>
  <c r="U46" i="5"/>
  <c r="T46" i="5"/>
  <c r="S46" i="5"/>
  <c r="R46" i="5"/>
  <c r="Q46" i="5"/>
  <c r="P46" i="5"/>
  <c r="O46" i="5"/>
  <c r="N46" i="5"/>
  <c r="V45" i="5"/>
  <c r="U45" i="5"/>
  <c r="T45" i="5"/>
  <c r="S45" i="5"/>
  <c r="R45" i="5"/>
  <c r="Q45" i="5"/>
  <c r="P45" i="5"/>
  <c r="O45" i="5"/>
  <c r="N45" i="5"/>
  <c r="V44" i="5"/>
  <c r="U44" i="5"/>
  <c r="T44" i="5"/>
  <c r="S44" i="5"/>
  <c r="R44" i="5"/>
  <c r="Q44" i="5"/>
  <c r="P44" i="5"/>
  <c r="O44" i="5"/>
  <c r="N44" i="5"/>
  <c r="V43" i="5"/>
  <c r="U43" i="5"/>
  <c r="T43" i="5"/>
  <c r="S43" i="5"/>
  <c r="R43" i="5"/>
  <c r="Q43" i="5"/>
  <c r="P43" i="5"/>
  <c r="O43" i="5"/>
  <c r="N43" i="5"/>
  <c r="V42" i="5"/>
  <c r="U42" i="5"/>
  <c r="T42" i="5"/>
  <c r="S42" i="5"/>
  <c r="R42" i="5"/>
  <c r="Q42" i="5"/>
  <c r="P42" i="5"/>
  <c r="O42" i="5"/>
  <c r="N42" i="5"/>
  <c r="V41" i="5"/>
  <c r="U41" i="5"/>
  <c r="T41" i="5"/>
  <c r="S41" i="5"/>
  <c r="R41" i="5"/>
  <c r="Q41" i="5"/>
  <c r="P41" i="5"/>
  <c r="O41" i="5"/>
  <c r="N41" i="5"/>
  <c r="V40" i="5"/>
  <c r="U40" i="5"/>
  <c r="T40" i="5"/>
  <c r="S40" i="5"/>
  <c r="R40" i="5"/>
  <c r="Q40" i="5"/>
  <c r="P40" i="5"/>
  <c r="O40" i="5"/>
  <c r="N40" i="5"/>
  <c r="V39" i="5"/>
  <c r="U39" i="5"/>
  <c r="T39" i="5"/>
  <c r="S39" i="5"/>
  <c r="R39" i="5"/>
  <c r="Q39" i="5"/>
  <c r="P39" i="5"/>
  <c r="O39" i="5"/>
  <c r="N39" i="5"/>
  <c r="V38" i="5"/>
  <c r="U38" i="5"/>
  <c r="T38" i="5"/>
  <c r="S38" i="5"/>
  <c r="R38" i="5"/>
  <c r="Q38" i="5"/>
  <c r="P38" i="5"/>
  <c r="O38" i="5"/>
  <c r="N38" i="5"/>
  <c r="V37" i="5"/>
  <c r="U37" i="5"/>
  <c r="T37" i="5"/>
  <c r="S37" i="5"/>
  <c r="R37" i="5"/>
  <c r="Q37" i="5"/>
  <c r="P37" i="5"/>
  <c r="O37" i="5"/>
  <c r="N37" i="5"/>
  <c r="V36" i="5"/>
  <c r="U36" i="5"/>
  <c r="T36" i="5"/>
  <c r="S36" i="5"/>
  <c r="R36" i="5"/>
  <c r="Q36" i="5"/>
  <c r="P36" i="5"/>
  <c r="O36" i="5"/>
  <c r="N36" i="5"/>
  <c r="V35" i="5"/>
  <c r="U35" i="5"/>
  <c r="T35" i="5"/>
  <c r="S35" i="5"/>
  <c r="R35" i="5"/>
  <c r="Q35" i="5"/>
  <c r="P35" i="5"/>
  <c r="O35" i="5"/>
  <c r="N35" i="5"/>
  <c r="V34" i="5"/>
  <c r="U34" i="5"/>
  <c r="T34" i="5"/>
  <c r="S34" i="5"/>
  <c r="R34" i="5"/>
  <c r="Q34" i="5"/>
  <c r="P34" i="5"/>
  <c r="O34" i="5"/>
  <c r="N34" i="5"/>
  <c r="V33" i="5"/>
  <c r="U33" i="5"/>
  <c r="T33" i="5"/>
  <c r="S33" i="5"/>
  <c r="R33" i="5"/>
  <c r="Q33" i="5"/>
  <c r="P33" i="5"/>
  <c r="O33" i="5"/>
  <c r="N33" i="5"/>
  <c r="V32" i="5"/>
  <c r="U32" i="5"/>
  <c r="T32" i="5"/>
  <c r="S32" i="5"/>
  <c r="R32" i="5"/>
  <c r="Q32" i="5"/>
  <c r="P32" i="5"/>
  <c r="O32" i="5"/>
  <c r="N32" i="5"/>
  <c r="V31" i="5"/>
  <c r="U31" i="5"/>
  <c r="T31" i="5"/>
  <c r="S31" i="5"/>
  <c r="R31" i="5"/>
  <c r="Q31" i="5"/>
  <c r="P31" i="5"/>
  <c r="O31" i="5"/>
  <c r="N31" i="5"/>
  <c r="V30" i="5"/>
  <c r="U30" i="5"/>
  <c r="T30" i="5"/>
  <c r="S30" i="5"/>
  <c r="R30" i="5"/>
  <c r="Q30" i="5"/>
  <c r="P30" i="5"/>
  <c r="O30" i="5"/>
  <c r="N30" i="5"/>
  <c r="V29" i="5"/>
  <c r="U29" i="5"/>
  <c r="T29" i="5"/>
  <c r="S29" i="5"/>
  <c r="R29" i="5"/>
  <c r="Q29" i="5"/>
  <c r="P29" i="5"/>
  <c r="O29" i="5"/>
  <c r="N29" i="5"/>
  <c r="V28" i="5"/>
  <c r="U28" i="5"/>
  <c r="T28" i="5"/>
  <c r="S28" i="5"/>
  <c r="R28" i="5"/>
  <c r="Q28" i="5"/>
  <c r="P28" i="5"/>
  <c r="O28" i="5"/>
  <c r="N28" i="5"/>
  <c r="V27" i="5"/>
  <c r="U27" i="5"/>
  <c r="T27" i="5"/>
  <c r="S27" i="5"/>
  <c r="R27" i="5"/>
  <c r="Q27" i="5"/>
  <c r="P27" i="5"/>
  <c r="O27" i="5"/>
  <c r="N27" i="5"/>
  <c r="V26" i="5"/>
  <c r="U26" i="5"/>
  <c r="T26" i="5"/>
  <c r="S26" i="5"/>
  <c r="R26" i="5"/>
  <c r="Q26" i="5"/>
  <c r="P26" i="5"/>
  <c r="O26" i="5"/>
  <c r="N26" i="5"/>
  <c r="V25" i="5"/>
  <c r="U25" i="5"/>
  <c r="T25" i="5"/>
  <c r="S25" i="5"/>
  <c r="R25" i="5"/>
  <c r="Q25" i="5"/>
  <c r="P25" i="5"/>
  <c r="O25" i="5"/>
  <c r="N25" i="5"/>
  <c r="V24" i="5"/>
  <c r="U24" i="5"/>
  <c r="T24" i="5"/>
  <c r="S24" i="5"/>
  <c r="R24" i="5"/>
  <c r="Q24" i="5"/>
  <c r="P24" i="5"/>
  <c r="O24" i="5"/>
  <c r="N24" i="5"/>
  <c r="V23" i="5"/>
  <c r="U23" i="5"/>
  <c r="T23" i="5"/>
  <c r="S23" i="5"/>
  <c r="R23" i="5"/>
  <c r="Q23" i="5"/>
  <c r="P23" i="5"/>
  <c r="O23" i="5"/>
  <c r="N23" i="5"/>
  <c r="V22" i="5"/>
  <c r="U22" i="5"/>
  <c r="T22" i="5"/>
  <c r="S22" i="5"/>
  <c r="R22" i="5"/>
  <c r="Q22" i="5"/>
  <c r="P22" i="5"/>
  <c r="O22" i="5"/>
  <c r="N22" i="5"/>
  <c r="V21" i="5"/>
  <c r="U21" i="5"/>
  <c r="T21" i="5"/>
  <c r="S21" i="5"/>
  <c r="R21" i="5"/>
  <c r="Q21" i="5"/>
  <c r="P21" i="5"/>
  <c r="O21" i="5"/>
  <c r="N21" i="5"/>
  <c r="V20" i="5"/>
  <c r="U20" i="5"/>
  <c r="T20" i="5"/>
  <c r="S20" i="5"/>
  <c r="R20" i="5"/>
  <c r="Q20" i="5"/>
  <c r="P20" i="5"/>
  <c r="O20" i="5"/>
  <c r="N20" i="5"/>
  <c r="V19" i="5"/>
  <c r="U19" i="5"/>
  <c r="T19" i="5"/>
  <c r="S19" i="5"/>
  <c r="R19" i="5"/>
  <c r="Q19" i="5"/>
  <c r="P19" i="5"/>
  <c r="O19" i="5"/>
  <c r="N19" i="5"/>
  <c r="V18" i="5"/>
  <c r="U18" i="5"/>
  <c r="T18" i="5"/>
  <c r="S18" i="5"/>
  <c r="R18" i="5"/>
  <c r="Q18" i="5"/>
  <c r="P18" i="5"/>
  <c r="O18" i="5"/>
  <c r="N18" i="5"/>
  <c r="M44" i="5"/>
  <c r="L44" i="5"/>
  <c r="K44" i="5"/>
  <c r="M43" i="5"/>
  <c r="L43" i="5"/>
  <c r="K43" i="5"/>
  <c r="M42" i="5"/>
  <c r="L42" i="5"/>
  <c r="K42" i="5"/>
  <c r="M41" i="5"/>
  <c r="L41" i="5"/>
  <c r="K41" i="5"/>
  <c r="M40" i="5"/>
  <c r="L40" i="5"/>
  <c r="K40" i="5"/>
  <c r="M39" i="5"/>
  <c r="L39" i="5"/>
  <c r="K39" i="5"/>
  <c r="M38" i="5"/>
  <c r="L38" i="5"/>
  <c r="K38" i="5"/>
  <c r="M37" i="5"/>
  <c r="L37" i="5"/>
  <c r="K37" i="5"/>
  <c r="J44" i="5"/>
  <c r="I44" i="5"/>
  <c r="H44" i="5"/>
  <c r="J43" i="5"/>
  <c r="I43" i="5"/>
  <c r="H43" i="5"/>
  <c r="J42" i="5"/>
  <c r="I42" i="5"/>
  <c r="H42" i="5"/>
  <c r="J41" i="5"/>
  <c r="I41" i="5"/>
  <c r="H41" i="5"/>
  <c r="AI9" i="5"/>
  <c r="Y15" i="5"/>
  <c r="AJ17" i="1" l="1"/>
  <c r="AD10" i="1"/>
  <c r="AO10" i="1" s="1" a="1"/>
  <c r="AO10" i="1" s="1"/>
  <c r="AG3" i="5"/>
  <c r="AG8" i="5"/>
  <c r="AK8" i="5" s="1"/>
  <c r="AF11" i="5"/>
  <c r="AA3" i="5"/>
  <c r="AF6" i="5" s="1"/>
  <c r="AF7" i="5" s="1"/>
  <c r="AF8" i="5" s="1"/>
  <c r="AK5" i="5"/>
  <c r="AI5" i="5"/>
  <c r="AK6" i="5"/>
  <c r="AI6" i="5"/>
  <c r="AK7" i="5"/>
  <c r="AI7" i="5"/>
  <c r="AK4" i="5"/>
  <c r="AI4" i="5"/>
  <c r="Z3" i="5"/>
  <c r="AF3" i="5" s="1"/>
  <c r="AF4" i="5" s="1"/>
  <c r="AF5" i="5" s="1"/>
  <c r="AI3" i="5" l="1"/>
  <c r="AJ4" i="5" s="1"/>
  <c r="AJ5" i="5" s="1"/>
  <c r="AJ6" i="5" s="1"/>
  <c r="AJ7" i="5" s="1"/>
  <c r="AJ8" i="5" s="1"/>
  <c r="C58" i="1"/>
  <c r="X13" i="5"/>
  <c r="AJ18" i="1"/>
  <c r="AK3" i="5"/>
  <c r="AD11" i="1"/>
  <c r="AO11" i="1" s="1" a="1"/>
  <c r="AO11" i="1" s="1"/>
  <c r="AI8" i="5"/>
  <c r="Y17" i="5"/>
  <c r="C46" i="1"/>
  <c r="E36" i="1"/>
  <c r="C318" i="1"/>
  <c r="C316" i="1"/>
  <c r="C175" i="1"/>
  <c r="C172" i="1"/>
  <c r="C176" i="1"/>
  <c r="C174" i="1"/>
  <c r="C173" i="1"/>
  <c r="Y16" i="5"/>
  <c r="BA40" i="5" l="1"/>
  <c r="BA41" i="5" s="1"/>
  <c r="AV40" i="5"/>
  <c r="AV41" i="5" s="1"/>
  <c r="AJ19" i="1"/>
  <c r="C91" i="1"/>
  <c r="C90" i="1"/>
  <c r="AD12" i="1"/>
  <c r="AO12" i="1" s="1" a="1"/>
  <c r="AO12" i="1" s="1"/>
  <c r="AJ9" i="5"/>
  <c r="AJ10" i="5" s="1"/>
  <c r="AJ11" i="5" s="1"/>
  <c r="C317" i="1"/>
  <c r="C319" i="1" s="1"/>
  <c r="C320" i="1" s="1"/>
  <c r="C62" i="1"/>
  <c r="E46" i="1"/>
  <c r="C171" i="1"/>
  <c r="E37" i="1"/>
  <c r="AM17" i="1" a="1"/>
  <c r="C140" i="1" a="1"/>
  <c r="C139" i="1" a="1"/>
  <c r="AM18" i="1" a="1"/>
  <c r="AH6" i="1" a="1"/>
  <c r="C142" i="1" a="1"/>
  <c r="AH8" i="1" a="1"/>
  <c r="AH9" i="1" a="1"/>
  <c r="AM5" i="1" a="1"/>
  <c r="AM16" i="1" a="1"/>
  <c r="AM8" i="1" a="1"/>
  <c r="AM7" i="1" a="1"/>
  <c r="AH7" i="1" a="1"/>
  <c r="AM19" i="1" a="1"/>
  <c r="AM12" i="1" a="1"/>
  <c r="AM11" i="1" a="1"/>
  <c r="C143" i="1" a="1"/>
  <c r="AM10" i="1" a="1"/>
  <c r="AM6" i="1" a="1"/>
  <c r="AH5" i="1" a="1"/>
  <c r="AH10" i="1" a="1"/>
  <c r="AM13" i="1" a="1"/>
  <c r="AH4" i="1" a="1"/>
  <c r="AM14" i="1" a="1"/>
  <c r="AH12" i="1" a="1"/>
  <c r="AM4" i="1" a="1"/>
  <c r="AH11" i="1" a="1"/>
  <c r="C141" i="1" a="1"/>
  <c r="AM9" i="1" a="1"/>
  <c r="AM15" i="1" a="1"/>
  <c r="AM12" i="1" l="1"/>
  <c r="AM11" i="1"/>
  <c r="AM10" i="1"/>
  <c r="AM9" i="1"/>
  <c r="AM4" i="1"/>
  <c r="AM6" i="1"/>
  <c r="AM7" i="1"/>
  <c r="AM5" i="1"/>
  <c r="AM8" i="1"/>
  <c r="AM13" i="1"/>
  <c r="AM14" i="1"/>
  <c r="AM15" i="1"/>
  <c r="AM16" i="1"/>
  <c r="AM17" i="1"/>
  <c r="AM18" i="1"/>
  <c r="AM19" i="1"/>
  <c r="AJ20" i="1"/>
  <c r="C139" i="1"/>
  <c r="AH12" i="1"/>
  <c r="AH5" i="1"/>
  <c r="C141" i="1"/>
  <c r="C142" i="1"/>
  <c r="C140" i="1"/>
  <c r="AH6" i="1"/>
  <c r="AH7" i="1"/>
  <c r="AH8" i="1"/>
  <c r="AH9" i="1"/>
  <c r="AH10" i="1"/>
  <c r="C143" i="1"/>
  <c r="AH11" i="1"/>
  <c r="AH4" i="1"/>
  <c r="AR5" i="1"/>
  <c r="AR6" i="1" s="1"/>
  <c r="AR7" i="1" s="1"/>
  <c r="Y18" i="5"/>
  <c r="AS5" i="5" s="1" a="1"/>
  <c r="AD13" i="1"/>
  <c r="AO13" i="1" s="1" a="1"/>
  <c r="AO13" i="1" s="1"/>
  <c r="C63" i="1"/>
  <c r="AJ12" i="5"/>
  <c r="AJ13" i="5" s="1"/>
  <c r="C234" i="1"/>
  <c r="C238" i="1" s="1"/>
  <c r="C179" i="1"/>
  <c r="AM20" i="1" a="1"/>
  <c r="AM20" i="1" l="1"/>
  <c r="AJ21" i="1"/>
  <c r="AW22" i="5"/>
  <c r="AX22" i="5" s="1"/>
  <c r="AY22" i="5" s="1"/>
  <c r="AV11" i="5"/>
  <c r="AW13" i="5"/>
  <c r="AX13" i="5" s="1"/>
  <c r="AY13" i="5" s="1"/>
  <c r="AW29" i="5"/>
  <c r="AX29" i="5" s="1"/>
  <c r="AY29" i="5" s="1"/>
  <c r="AW24" i="5"/>
  <c r="AX24" i="5" s="1"/>
  <c r="AY24" i="5" s="1"/>
  <c r="AV25" i="5"/>
  <c r="AV10" i="5"/>
  <c r="AV28" i="5"/>
  <c r="AW20" i="5"/>
  <c r="AX20" i="5" s="1"/>
  <c r="AY20" i="5" s="1"/>
  <c r="AW18" i="5"/>
  <c r="AX18" i="5" s="1"/>
  <c r="AY18" i="5" s="1"/>
  <c r="AW16" i="5"/>
  <c r="AX16" i="5" s="1"/>
  <c r="AY16" i="5" s="1"/>
  <c r="AV16" i="5"/>
  <c r="AV27" i="5"/>
  <c r="AW27" i="5"/>
  <c r="AX27" i="5" s="1"/>
  <c r="AY27" i="5" s="1"/>
  <c r="AW12" i="5"/>
  <c r="AX12" i="5" s="1"/>
  <c r="AY12" i="5" s="1"/>
  <c r="AW30" i="5"/>
  <c r="AX30" i="5" s="1"/>
  <c r="AY30" i="5" s="1"/>
  <c r="AW23" i="5"/>
  <c r="AX23" i="5" s="1"/>
  <c r="AY23" i="5" s="1"/>
  <c r="AV21" i="5"/>
  <c r="AV14" i="5"/>
  <c r="AV12" i="5"/>
  <c r="AV30" i="5"/>
  <c r="AS5" i="5"/>
  <c r="AV15" i="5"/>
  <c r="AW10" i="5"/>
  <c r="AX10" i="5" s="1"/>
  <c r="AY10" i="5" s="1"/>
  <c r="AW28" i="5"/>
  <c r="AX28" i="5" s="1"/>
  <c r="AY28" i="5" s="1"/>
  <c r="AV26" i="5"/>
  <c r="AW21" i="5"/>
  <c r="AX21" i="5" s="1"/>
  <c r="AY21" i="5" s="1"/>
  <c r="AV17" i="5"/>
  <c r="AW14" i="5"/>
  <c r="AX14" i="5" s="1"/>
  <c r="AY14" i="5" s="1"/>
  <c r="AW25" i="5"/>
  <c r="AX25" i="5" s="1"/>
  <c r="AY25" i="5" s="1"/>
  <c r="AY34" i="5"/>
  <c r="AV13" i="5"/>
  <c r="AV31" i="5"/>
  <c r="AV29" i="5"/>
  <c r="AW19" i="5"/>
  <c r="AX19" i="5" s="1"/>
  <c r="AY19" i="5" s="1"/>
  <c r="AW17" i="5"/>
  <c r="AX17" i="5" s="1"/>
  <c r="AY17" i="5" s="1"/>
  <c r="AV18" i="5"/>
  <c r="AW11" i="5"/>
  <c r="AX11" i="5" s="1"/>
  <c r="AY11" i="5" s="1"/>
  <c r="AV19" i="5"/>
  <c r="AV20" i="5"/>
  <c r="AV24" i="5"/>
  <c r="AY33" i="5"/>
  <c r="AV23" i="5"/>
  <c r="AW15" i="5"/>
  <c r="AX15" i="5" s="1"/>
  <c r="AY15" i="5" s="1"/>
  <c r="AY32" i="5"/>
  <c r="AW31" i="5"/>
  <c r="AX31" i="5" s="1"/>
  <c r="AY31" i="5" s="1"/>
  <c r="AW26" i="5"/>
  <c r="AX26" i="5" s="1"/>
  <c r="AY26" i="5" s="1"/>
  <c r="AV22" i="5"/>
  <c r="AV6" i="5"/>
  <c r="AV8" i="5"/>
  <c r="AW9" i="5"/>
  <c r="AX9" i="5" s="1"/>
  <c r="AY9" i="5" s="1"/>
  <c r="AW6" i="5"/>
  <c r="AX6" i="5" s="1"/>
  <c r="AY6" i="5" s="1"/>
  <c r="AV5" i="5"/>
  <c r="AV7" i="5"/>
  <c r="AW8" i="5"/>
  <c r="AX8" i="5" s="1"/>
  <c r="AY8" i="5" s="1"/>
  <c r="AV9" i="5"/>
  <c r="AW7" i="5"/>
  <c r="AX7" i="5" s="1"/>
  <c r="AY7" i="5" s="1"/>
  <c r="E63" i="1"/>
  <c r="AD14" i="1"/>
  <c r="AO14" i="1" s="1" a="1"/>
  <c r="AO14" i="1" s="1"/>
  <c r="C180" i="1"/>
  <c r="C235" i="1"/>
  <c r="C236" i="1"/>
  <c r="C237" i="1"/>
  <c r="C187" i="1"/>
  <c r="C181" i="1"/>
  <c r="C208" i="1"/>
  <c r="C65" i="1" a="1"/>
  <c r="AM21" i="1" a="1"/>
  <c r="AH13" i="1" a="1"/>
  <c r="AH14" i="1" a="1"/>
  <c r="C65" i="1" l="1"/>
  <c r="AM21" i="1"/>
  <c r="AJ22" i="1"/>
  <c r="AH13" i="1"/>
  <c r="BC5" i="5" a="1"/>
  <c r="BC5" i="5" s="1"/>
  <c r="AH14" i="1"/>
  <c r="BA5" i="5" a="1"/>
  <c r="BA5" i="5" s="1"/>
  <c r="AW5" i="5"/>
  <c r="AX5" i="5" s="1"/>
  <c r="AD15" i="1"/>
  <c r="AO15" i="1" s="1" a="1"/>
  <c r="AO15" i="1" s="1"/>
  <c r="C206" i="1"/>
  <c r="C198" i="1"/>
  <c r="C195" i="1"/>
  <c r="AM22" i="1" a="1"/>
  <c r="AH15" i="1" a="1"/>
  <c r="AM22" i="1" l="1"/>
  <c r="AJ23" i="1"/>
  <c r="AH15" i="1"/>
  <c r="C66" i="1"/>
  <c r="AS40" i="5"/>
  <c r="AY5" i="5"/>
  <c r="AD16" i="1"/>
  <c r="AO16" i="1" s="1" a="1"/>
  <c r="AO16" i="1" s="1"/>
  <c r="C196" i="1"/>
  <c r="AM23" i="1" a="1"/>
  <c r="AU40" i="5" a="1"/>
  <c r="AM23" i="1" l="1"/>
  <c r="AJ24" i="1"/>
  <c r="AS41" i="5"/>
  <c r="BC40" i="5"/>
  <c r="AZ34" i="5"/>
  <c r="AZ33" i="5"/>
  <c r="AZ32" i="5"/>
  <c r="AZ20" i="5"/>
  <c r="AZ18" i="5"/>
  <c r="AZ13" i="5"/>
  <c r="AZ23" i="5"/>
  <c r="AZ12" i="5"/>
  <c r="AZ8" i="5"/>
  <c r="AZ15" i="5"/>
  <c r="AZ22" i="5"/>
  <c r="AZ21" i="5"/>
  <c r="AZ14" i="5"/>
  <c r="AZ25" i="5"/>
  <c r="AZ6" i="5"/>
  <c r="AZ31" i="5"/>
  <c r="AZ28" i="5"/>
  <c r="AZ29" i="5"/>
  <c r="AZ11" i="5"/>
  <c r="AZ17" i="5"/>
  <c r="AZ7" i="5"/>
  <c r="AZ19" i="5"/>
  <c r="AZ30" i="5"/>
  <c r="AZ27" i="5"/>
  <c r="AZ24" i="5"/>
  <c r="AZ26" i="5"/>
  <c r="AZ10" i="5"/>
  <c r="AZ9" i="5"/>
  <c r="AZ16" i="5"/>
  <c r="AZ5" i="5"/>
  <c r="AU40" i="5"/>
  <c r="AU41" i="5" s="1"/>
  <c r="C197" i="1"/>
  <c r="AD17" i="1"/>
  <c r="AO17" i="1" s="1" a="1"/>
  <c r="AO17" i="1" s="1"/>
  <c r="C193" i="1"/>
  <c r="C182" i="1"/>
  <c r="AM24" i="1" a="1"/>
  <c r="AH16" i="1" a="1"/>
  <c r="AT40" i="5" a="1"/>
  <c r="AM24" i="1" l="1"/>
  <c r="AJ25" i="1"/>
  <c r="AH16" i="1"/>
  <c r="AX41" i="5"/>
  <c r="AY41" i="5" s="1"/>
  <c r="BC41" i="5"/>
  <c r="AT40" i="5"/>
  <c r="AD18" i="1"/>
  <c r="AO18" i="1" s="1" a="1"/>
  <c r="AO18" i="1" s="1"/>
  <c r="C205" i="1"/>
  <c r="C207" i="1"/>
  <c r="C194" i="1"/>
  <c r="C188" i="1"/>
  <c r="C189" i="1" s="1"/>
  <c r="C240" i="1"/>
  <c r="C178" i="1"/>
  <c r="C184" i="1"/>
  <c r="C183" i="1"/>
  <c r="AM25" i="1" a="1"/>
  <c r="AH17" i="1" a="1"/>
  <c r="AH18" i="1" a="1"/>
  <c r="C199" i="1" l="1"/>
  <c r="AM25" i="1"/>
  <c r="AJ26" i="1"/>
  <c r="AH17" i="1"/>
  <c r="AH18" i="1"/>
  <c r="AT41" i="5"/>
  <c r="AD19" i="1"/>
  <c r="AO19" i="1" s="1" a="1"/>
  <c r="AO19" i="1" s="1"/>
  <c r="C239" i="1"/>
  <c r="C266" i="1"/>
  <c r="C269" i="1"/>
  <c r="C270" i="1"/>
  <c r="E41" i="1"/>
  <c r="AM26" i="1" a="1"/>
  <c r="AH19" i="1" a="1"/>
  <c r="C306" i="1" l="1"/>
  <c r="AM26" i="1"/>
  <c r="AJ27" i="1"/>
  <c r="AH19" i="1"/>
  <c r="BB41" i="5"/>
  <c r="C69" i="1"/>
  <c r="AD20" i="1"/>
  <c r="AO20" i="1" s="1" a="1"/>
  <c r="AO20" i="1" s="1"/>
  <c r="C242" i="1"/>
  <c r="C244" i="1"/>
  <c r="C252" i="1"/>
  <c r="C251" i="1"/>
  <c r="C247" i="1"/>
  <c r="C246" i="1"/>
  <c r="C243" i="1"/>
  <c r="C249" i="1"/>
  <c r="C253" i="1"/>
  <c r="C241" i="1"/>
  <c r="C250" i="1"/>
  <c r="C255" i="1"/>
  <c r="C248" i="1"/>
  <c r="C254" i="1"/>
  <c r="C245" i="1"/>
  <c r="E14" i="1"/>
  <c r="E15" i="1"/>
  <c r="E16" i="1"/>
  <c r="E19" i="1"/>
  <c r="E38" i="1"/>
  <c r="AM27" i="1" a="1"/>
  <c r="AM27" i="1" l="1"/>
  <c r="AJ28" i="1"/>
  <c r="AD21" i="1"/>
  <c r="AO21" i="1" s="1" a="1"/>
  <c r="AO21" i="1" s="1"/>
  <c r="C256" i="1"/>
  <c r="C262" i="1" s="1"/>
  <c r="H4" i="1"/>
  <c r="I4" i="1"/>
  <c r="C85" i="1"/>
  <c r="AM28" i="1" a="1"/>
  <c r="AH20" i="1" a="1"/>
  <c r="AM28" i="1" l="1"/>
  <c r="AJ29" i="1"/>
  <c r="AH20" i="1"/>
  <c r="AD22" i="1"/>
  <c r="AO22" i="1" s="1" a="1"/>
  <c r="AO22" i="1" s="1"/>
  <c r="C265" i="1"/>
  <c r="C258" i="1"/>
  <c r="C275" i="1" s="1"/>
  <c r="C264" i="1"/>
  <c r="C263" i="1"/>
  <c r="C257" i="1"/>
  <c r="C271" i="1" s="1"/>
  <c r="C260" i="1"/>
  <c r="C259" i="1"/>
  <c r="C272" i="1" s="1"/>
  <c r="C261" i="1"/>
  <c r="C51" i="1"/>
  <c r="C52" i="1" s="1"/>
  <c r="AM29" i="1" a="1"/>
  <c r="AH21" i="1" a="1"/>
  <c r="AM29" i="1" l="1"/>
  <c r="AJ30" i="1"/>
  <c r="AH21" i="1"/>
  <c r="AD23" i="1"/>
  <c r="AO23" i="1" s="1" a="1"/>
  <c r="AO23" i="1" s="1"/>
  <c r="C274" i="1"/>
  <c r="C267" i="1"/>
  <c r="C268" i="1"/>
  <c r="C50" i="1"/>
  <c r="E26" i="1"/>
  <c r="C24" i="1"/>
  <c r="AH22" i="1" a="1"/>
  <c r="AH23" i="1" a="1"/>
  <c r="AM30" i="1" a="1"/>
  <c r="AM30" i="1" l="1"/>
  <c r="AJ31" i="1"/>
  <c r="AH22" i="1"/>
  <c r="AH23" i="1"/>
  <c r="AD24" i="1"/>
  <c r="AO24" i="1" s="1" a="1"/>
  <c r="AO24" i="1" s="1"/>
  <c r="C273" i="1"/>
  <c r="C276" i="1" s="1"/>
  <c r="C286" i="1" s="1"/>
  <c r="C22" i="1"/>
  <c r="AM31" i="1" a="1"/>
  <c r="AM31" i="1" l="1"/>
  <c r="AJ32" i="1"/>
  <c r="AD25" i="1"/>
  <c r="AO25" i="1" s="1" a="1"/>
  <c r="AO25" i="1" s="1"/>
  <c r="C277" i="1"/>
  <c r="C278" i="1" s="1"/>
  <c r="C287" i="1"/>
  <c r="C190" i="1"/>
  <c r="C25" i="1"/>
  <c r="AM32" i="1" a="1"/>
  <c r="AH24" i="1" a="1"/>
  <c r="AM32" i="1" l="1"/>
  <c r="AJ33" i="1"/>
  <c r="AH24" i="1"/>
  <c r="C73" i="1"/>
  <c r="AD26" i="1"/>
  <c r="AO26" i="1" s="1" a="1"/>
  <c r="AO26" i="1" s="1"/>
  <c r="C27" i="1"/>
  <c r="C279" i="1"/>
  <c r="C280" i="1"/>
  <c r="C186" i="1"/>
  <c r="C185" i="1"/>
  <c r="C177" i="1"/>
  <c r="AH25" i="1" a="1"/>
  <c r="AM33" i="1" a="1"/>
  <c r="AM33" i="1" l="1"/>
  <c r="AJ34" i="1"/>
  <c r="AH25" i="1"/>
  <c r="C93" i="1"/>
  <c r="C92" i="1"/>
  <c r="C77" i="1"/>
  <c r="C74" i="1"/>
  <c r="C75" i="1" s="1"/>
  <c r="H24" i="1"/>
  <c r="AD27" i="1"/>
  <c r="AO27" i="1" s="1" a="1"/>
  <c r="AO27" i="1" s="1"/>
  <c r="C82" i="1"/>
  <c r="H5" i="1" s="1"/>
  <c r="C281" i="1"/>
  <c r="C285" i="1" s="1"/>
  <c r="C308" i="1" s="1"/>
  <c r="C282" i="1"/>
  <c r="C283" i="1" s="1"/>
  <c r="C284" i="1" s="1"/>
  <c r="C191" i="1"/>
  <c r="C201" i="1" s="1"/>
  <c r="C192" i="1"/>
  <c r="C202" i="1" s="1"/>
  <c r="AM34" i="1" a="1"/>
  <c r="AH27" i="1" a="1"/>
  <c r="AH26" i="1" a="1"/>
  <c r="AM34" i="1" l="1"/>
  <c r="AJ35" i="1"/>
  <c r="AH26" i="1"/>
  <c r="C104" i="1"/>
  <c r="C145" i="1"/>
  <c r="C78" i="1"/>
  <c r="AH27" i="1"/>
  <c r="C111" i="1"/>
  <c r="C79" i="1"/>
  <c r="C83" i="1"/>
  <c r="H7" i="1" s="1"/>
  <c r="H11" i="1" s="1"/>
  <c r="AD28" i="1"/>
  <c r="AO28" i="1" s="1" a="1"/>
  <c r="AO28" i="1" s="1"/>
  <c r="C200" i="1"/>
  <c r="C203" i="1" s="1"/>
  <c r="C307" i="1"/>
  <c r="C84" i="1"/>
  <c r="AK6" i="1" a="1"/>
  <c r="AK24" i="1" a="1"/>
  <c r="C150" i="1" a="1"/>
  <c r="AK10" i="1" a="1"/>
  <c r="AK9" i="1" a="1"/>
  <c r="AM35" i="1" a="1"/>
  <c r="AE14" i="1" a="1"/>
  <c r="AE15" i="1" a="1"/>
  <c r="AE28" i="1" a="1"/>
  <c r="AE17" i="1" a="1"/>
  <c r="C114" i="1" a="1"/>
  <c r="AE19" i="1" a="1"/>
  <c r="AK30" i="1" a="1"/>
  <c r="AH28" i="1" a="1"/>
  <c r="C146" i="1" a="1"/>
  <c r="AK18" i="1" a="1"/>
  <c r="C147" i="1" a="1"/>
  <c r="AK4" i="1" a="1"/>
  <c r="AK32" i="1" a="1"/>
  <c r="AK23" i="1" a="1"/>
  <c r="AE13" i="1" a="1"/>
  <c r="AE12" i="1" a="1"/>
  <c r="AE21" i="1" a="1"/>
  <c r="C116" i="1" a="1"/>
  <c r="AE23" i="1" a="1"/>
  <c r="AE10" i="1" a="1"/>
  <c r="AE27" i="1" a="1"/>
  <c r="AK17" i="1" a="1"/>
  <c r="AE22" i="1" a="1"/>
  <c r="AK31" i="1" a="1"/>
  <c r="AK29" i="1" a="1"/>
  <c r="AK12" i="1" a="1"/>
  <c r="AK34" i="1" a="1"/>
  <c r="C149" i="1" a="1"/>
  <c r="AK26" i="1" a="1"/>
  <c r="AK8" i="1" a="1"/>
  <c r="AE9" i="1" a="1"/>
  <c r="AE11" i="1" a="1"/>
  <c r="AE4" i="1" a="1"/>
  <c r="AE25" i="1" a="1"/>
  <c r="AE5" i="1" a="1"/>
  <c r="AE24" i="1" a="1"/>
  <c r="AK27" i="1" a="1"/>
  <c r="AE6" i="1" a="1"/>
  <c r="AK25" i="1" a="1"/>
  <c r="AK11" i="1" a="1"/>
  <c r="AK5" i="1" a="1"/>
  <c r="AK28" i="1" a="1"/>
  <c r="AK35" i="1" a="1"/>
  <c r="AK20" i="1" a="1"/>
  <c r="AK21" i="1" a="1"/>
  <c r="AE8" i="1" a="1"/>
  <c r="C115" i="1" a="1"/>
  <c r="AK16" i="1" a="1"/>
  <c r="AK7" i="1" a="1"/>
  <c r="AE7" i="1" a="1"/>
  <c r="AK19" i="1" a="1"/>
  <c r="AK15" i="1" a="1"/>
  <c r="C148" i="1" a="1"/>
  <c r="AK22" i="1" a="1"/>
  <c r="AK33" i="1" a="1"/>
  <c r="AK14" i="1" a="1"/>
  <c r="C112" i="1" a="1"/>
  <c r="AE16" i="1" a="1"/>
  <c r="AE18" i="1" a="1"/>
  <c r="C113" i="1" a="1"/>
  <c r="AE26" i="1" a="1"/>
  <c r="AK13" i="1" a="1"/>
  <c r="AE20" i="1" a="1"/>
  <c r="AF18" i="1" a="1"/>
  <c r="AF22" i="1" a="1"/>
  <c r="AF9" i="1" a="1"/>
  <c r="AF11" i="1" a="1"/>
  <c r="AF19" i="1" a="1"/>
  <c r="AF10" i="1" a="1"/>
  <c r="AF23" i="1" a="1"/>
  <c r="AF17" i="1" a="1"/>
  <c r="AF6" i="1" a="1"/>
  <c r="AF8" i="1" a="1"/>
  <c r="AF25" i="1" a="1"/>
  <c r="AF14" i="1" a="1"/>
  <c r="AF12" i="1" a="1"/>
  <c r="AF4" i="1" a="1"/>
  <c r="AF5" i="1" a="1"/>
  <c r="AF21" i="1" a="1"/>
  <c r="AF24" i="1" a="1"/>
  <c r="AF7" i="1" a="1"/>
  <c r="AF16" i="1" a="1"/>
  <c r="C105" i="1" a="1"/>
  <c r="C108" i="1" a="1"/>
  <c r="C107" i="1" a="1"/>
  <c r="C109" i="1" a="1"/>
  <c r="C106" i="1" a="1"/>
  <c r="AF26" i="1" a="1"/>
  <c r="AF27" i="1" a="1"/>
  <c r="AF13" i="1" a="1"/>
  <c r="AF15" i="1" a="1"/>
  <c r="AF20" i="1" a="1"/>
  <c r="C106" i="1" l="1"/>
  <c r="C109" i="1"/>
  <c r="C107" i="1"/>
  <c r="C108" i="1"/>
  <c r="C105" i="1"/>
  <c r="C115" i="1"/>
  <c r="C112" i="1"/>
  <c r="C114" i="1"/>
  <c r="C116" i="1"/>
  <c r="C113" i="1"/>
  <c r="AM35" i="1"/>
  <c r="AK35" i="1"/>
  <c r="AK4" i="1"/>
  <c r="AK8" i="1"/>
  <c r="AK5" i="1"/>
  <c r="AK6" i="1"/>
  <c r="AK7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J36" i="1"/>
  <c r="H9" i="1"/>
  <c r="H18" i="1"/>
  <c r="I7" i="1"/>
  <c r="I24" i="1" a="1"/>
  <c r="I24" i="1" s="1"/>
  <c r="AF21" i="1"/>
  <c r="AF15" i="1"/>
  <c r="AF10" i="1"/>
  <c r="AF5" i="1"/>
  <c r="AF26" i="1"/>
  <c r="AF23" i="1"/>
  <c r="AF20" i="1"/>
  <c r="AF8" i="1"/>
  <c r="AF13" i="1"/>
  <c r="AF7" i="1"/>
  <c r="AF18" i="1"/>
  <c r="AF4" i="1"/>
  <c r="AF9" i="1"/>
  <c r="AF22" i="1"/>
  <c r="AF16" i="1"/>
  <c r="AF17" i="1"/>
  <c r="AF14" i="1"/>
  <c r="AF12" i="1"/>
  <c r="AF6" i="1"/>
  <c r="AF25" i="1"/>
  <c r="AF11" i="1"/>
  <c r="AF27" i="1"/>
  <c r="AF19" i="1"/>
  <c r="AF24" i="1"/>
  <c r="H13" i="1"/>
  <c r="H16" i="1" s="1"/>
  <c r="C147" i="1"/>
  <c r="C149" i="1"/>
  <c r="C148" i="1"/>
  <c r="C150" i="1"/>
  <c r="C146" i="1"/>
  <c r="AE28" i="1"/>
  <c r="AH28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29" i="1"/>
  <c r="AO29" i="1" s="1" a="1"/>
  <c r="AO29" i="1" s="1"/>
  <c r="C309" i="1"/>
  <c r="C310" i="1" s="1"/>
  <c r="C204" i="1"/>
  <c r="AK36" i="1" a="1"/>
  <c r="AF28" i="1" a="1"/>
  <c r="AK36" i="1" l="1"/>
  <c r="AJ37" i="1"/>
  <c r="AF28" i="1"/>
  <c r="AD30" i="1"/>
  <c r="AO30" i="1" s="1" a="1"/>
  <c r="AO30" i="1" s="1"/>
  <c r="C209" i="1"/>
  <c r="C213" i="1" s="1"/>
  <c r="AK37" i="1" a="1"/>
  <c r="AH30" i="1" a="1"/>
  <c r="AH29" i="1" a="1"/>
  <c r="AM36" i="1" a="1"/>
  <c r="AE29" i="1" a="1"/>
  <c r="AF30" i="1" a="1"/>
  <c r="AF29" i="1" a="1"/>
  <c r="AM36" i="1" l="1"/>
  <c r="AK37" i="1"/>
  <c r="AJ38" i="1"/>
  <c r="AF29" i="1"/>
  <c r="AE29" i="1"/>
  <c r="AH29" i="1"/>
  <c r="AH30" i="1"/>
  <c r="AF30" i="1"/>
  <c r="AD31" i="1"/>
  <c r="AO31" i="1" s="1" a="1"/>
  <c r="AO31" i="1" s="1"/>
  <c r="C211" i="1"/>
  <c r="C210" i="1"/>
  <c r="C212" i="1" s="1"/>
  <c r="C227" i="1" s="1"/>
  <c r="C296" i="1" s="1"/>
  <c r="AM38" i="1" a="1"/>
  <c r="AE30" i="1" a="1"/>
  <c r="AE31" i="1" a="1"/>
  <c r="AM37" i="1" a="1"/>
  <c r="AM37" i="1" l="1"/>
  <c r="AM38" i="1"/>
  <c r="AJ39" i="1"/>
  <c r="AE30" i="1"/>
  <c r="AE31" i="1"/>
  <c r="AD32" i="1"/>
  <c r="AO32" i="1" s="1" a="1"/>
  <c r="AO32" i="1" s="1"/>
  <c r="C215" i="1"/>
  <c r="C217" i="1" s="1"/>
  <c r="C224" i="1"/>
  <c r="C295" i="1" s="1"/>
  <c r="C214" i="1"/>
  <c r="C228" i="1"/>
  <c r="C297" i="1" s="1"/>
  <c r="C223" i="1"/>
  <c r="C294" i="1" s="1"/>
  <c r="AM39" i="1" a="1"/>
  <c r="AH31" i="1" a="1"/>
  <c r="AE32" i="1" a="1"/>
  <c r="AK38" i="1" a="1"/>
  <c r="AF31" i="1" a="1"/>
  <c r="AK38" i="1" l="1"/>
  <c r="AM39" i="1"/>
  <c r="AJ40" i="1"/>
  <c r="AH31" i="1"/>
  <c r="AF31" i="1"/>
  <c r="AE32" i="1"/>
  <c r="AD33" i="1"/>
  <c r="AO33" i="1" s="1" a="1"/>
  <c r="AO33" i="1" s="1"/>
  <c r="C226" i="1"/>
  <c r="C300" i="1" s="1"/>
  <c r="C225" i="1"/>
  <c r="C298" i="1" s="1"/>
  <c r="C216" i="1"/>
  <c r="C219" i="1"/>
  <c r="AK40" i="1" a="1"/>
  <c r="AH33" i="1" a="1"/>
  <c r="AK39" i="1" a="1"/>
  <c r="AE33" i="1" a="1"/>
  <c r="AH32" i="1" a="1"/>
  <c r="AF32" i="1" a="1"/>
  <c r="AK39" i="1" l="1"/>
  <c r="AK40" i="1"/>
  <c r="AJ41" i="1"/>
  <c r="AF32" i="1"/>
  <c r="AH32" i="1"/>
  <c r="AH33" i="1"/>
  <c r="AE33" i="1"/>
  <c r="AD34" i="1"/>
  <c r="AO34" i="1" s="1" a="1"/>
  <c r="AO34" i="1" s="1"/>
  <c r="C220" i="1"/>
  <c r="C221" i="1" s="1"/>
  <c r="C292" i="1" s="1"/>
  <c r="C293" i="1"/>
  <c r="C218" i="1"/>
  <c r="C229" i="1" s="1"/>
  <c r="C299" i="1" s="1"/>
  <c r="C230" i="1"/>
  <c r="C302" i="1" s="1"/>
  <c r="AM40" i="1" a="1"/>
  <c r="AK41" i="1" a="1"/>
  <c r="AM41" i="1" a="1"/>
  <c r="AE34" i="1" a="1"/>
  <c r="AF33" i="1" a="1"/>
  <c r="C301" i="1" l="1"/>
  <c r="AM40" i="1"/>
  <c r="AM41" i="1"/>
  <c r="AK41" i="1"/>
  <c r="AJ42" i="1"/>
  <c r="AF33" i="1"/>
  <c r="AE34" i="1"/>
  <c r="AD35" i="1"/>
  <c r="AO35" i="1" s="1" a="1"/>
  <c r="AO35" i="1" s="1"/>
  <c r="C222" i="1"/>
  <c r="C231" i="1"/>
  <c r="AH34" i="1" a="1"/>
  <c r="AM42" i="1" a="1"/>
  <c r="AK42" i="1" a="1"/>
  <c r="AF34" i="1" a="1"/>
  <c r="AM42" i="1" l="1"/>
  <c r="AK42" i="1"/>
  <c r="AJ43" i="1"/>
  <c r="AH34" i="1"/>
  <c r="AF34" i="1"/>
  <c r="AD36" i="1"/>
  <c r="AO36" i="1" s="1" a="1"/>
  <c r="AO36" i="1" s="1"/>
  <c r="C303" i="1"/>
  <c r="AM43" i="1" a="1"/>
  <c r="AK43" i="1" a="1"/>
  <c r="AH35" i="1" a="1"/>
  <c r="AE35" i="1" a="1"/>
  <c r="AF36" i="1" a="1"/>
  <c r="AF35" i="1" a="1"/>
  <c r="AM43" i="1" l="1"/>
  <c r="AK43" i="1"/>
  <c r="AJ44" i="1"/>
  <c r="AH35" i="1"/>
  <c r="AE35" i="1"/>
  <c r="AF35" i="1"/>
  <c r="AF36" i="1"/>
  <c r="AD37" i="1"/>
  <c r="AO37" i="1" s="1" a="1"/>
  <c r="AO37" i="1" s="1"/>
  <c r="AH36" i="1" a="1"/>
  <c r="AK44" i="1" a="1"/>
  <c r="AE36" i="1" a="1"/>
  <c r="AE37" i="1" a="1"/>
  <c r="AM44" i="1" a="1"/>
  <c r="AH37" i="1" a="1"/>
  <c r="AF37" i="1" a="1"/>
  <c r="AM44" i="1" l="1"/>
  <c r="AK44" i="1"/>
  <c r="AJ45" i="1"/>
  <c r="AE36" i="1"/>
  <c r="AH36" i="1"/>
  <c r="AF37" i="1"/>
  <c r="AE37" i="1"/>
  <c r="AH37" i="1"/>
  <c r="AD38" i="1"/>
  <c r="AO38" i="1" s="1" a="1"/>
  <c r="AO38" i="1" s="1"/>
  <c r="AK45" i="1" a="1"/>
  <c r="AM45" i="1" a="1"/>
  <c r="AH38" i="1" a="1"/>
  <c r="AF38" i="1" a="1"/>
  <c r="AM45" i="1" l="1"/>
  <c r="AK45" i="1"/>
  <c r="AJ46" i="1"/>
  <c r="AH38" i="1"/>
  <c r="AF38" i="1"/>
  <c r="AD39" i="1"/>
  <c r="AO39" i="1" s="1" a="1"/>
  <c r="AO39" i="1" s="1"/>
  <c r="AK46" i="1" a="1"/>
  <c r="AE38" i="1" a="1"/>
  <c r="AH39" i="1" a="1"/>
  <c r="AK46" i="1" l="1"/>
  <c r="AJ47" i="1"/>
  <c r="AE38" i="1"/>
  <c r="AH39" i="1"/>
  <c r="AD40" i="1"/>
  <c r="AO40" i="1" s="1" a="1"/>
  <c r="AO40" i="1" s="1"/>
  <c r="AK47" i="1" a="1"/>
  <c r="AH40" i="1" a="1"/>
  <c r="AE39" i="1" a="1"/>
  <c r="AM46" i="1" a="1"/>
  <c r="AF39" i="1" a="1"/>
  <c r="AF40" i="1" a="1"/>
  <c r="AM46" i="1" l="1"/>
  <c r="AK47" i="1"/>
  <c r="AJ48" i="1"/>
  <c r="AF39" i="1"/>
  <c r="AE39" i="1"/>
  <c r="AF40" i="1"/>
  <c r="AH40" i="1"/>
  <c r="AD41" i="1"/>
  <c r="AO41" i="1" s="1" a="1"/>
  <c r="AO41" i="1" s="1"/>
  <c r="AE40" i="1" a="1"/>
  <c r="AE41" i="1" a="1"/>
  <c r="AM47" i="1" a="1"/>
  <c r="AK48" i="1" a="1"/>
  <c r="AM48" i="1" a="1"/>
  <c r="AF41" i="1" a="1"/>
  <c r="AM47" i="1" l="1"/>
  <c r="AM48" i="1"/>
  <c r="AK48" i="1"/>
  <c r="AJ49" i="1"/>
  <c r="AE40" i="1"/>
  <c r="AE41" i="1"/>
  <c r="AF41" i="1"/>
  <c r="AD42" i="1"/>
  <c r="AO42" i="1" s="1" a="1"/>
  <c r="AO42" i="1" s="1"/>
  <c r="AK49" i="1" a="1"/>
  <c r="AH41" i="1" a="1"/>
  <c r="AE42" i="1" a="1"/>
  <c r="AK49" i="1" l="1"/>
  <c r="AJ50" i="1"/>
  <c r="AH41" i="1"/>
  <c r="AE42" i="1"/>
  <c r="AD43" i="1"/>
  <c r="AO43" i="1" s="1" a="1"/>
  <c r="AO43" i="1" s="1"/>
  <c r="AM50" i="1" a="1"/>
  <c r="AH42" i="1" a="1"/>
  <c r="AK50" i="1" a="1"/>
  <c r="AE43" i="1" a="1"/>
  <c r="AM49" i="1" a="1"/>
  <c r="AF42" i="1" a="1"/>
  <c r="AF43" i="1" a="1"/>
  <c r="AM49" i="1" l="1"/>
  <c r="AM50" i="1"/>
  <c r="AK50" i="1"/>
  <c r="AJ51" i="1"/>
  <c r="AH42" i="1"/>
  <c r="AF42" i="1"/>
  <c r="AF43" i="1"/>
  <c r="AE43" i="1"/>
  <c r="AD44" i="1"/>
  <c r="AO44" i="1" s="1" a="1"/>
  <c r="AO44" i="1" s="1"/>
  <c r="AH44" i="1" a="1"/>
  <c r="AK51" i="1" a="1"/>
  <c r="AM51" i="1" a="1"/>
  <c r="AH43" i="1" a="1"/>
  <c r="AM51" i="1" l="1"/>
  <c r="AK51" i="1"/>
  <c r="AJ52" i="1"/>
  <c r="AH43" i="1"/>
  <c r="AH44" i="1"/>
  <c r="AD45" i="1"/>
  <c r="AO45" i="1" s="1" a="1"/>
  <c r="AO45" i="1" s="1"/>
  <c r="AK52" i="1" a="1"/>
  <c r="AE45" i="1" a="1"/>
  <c r="AE44" i="1" a="1"/>
  <c r="AF45" i="1" a="1"/>
  <c r="AF44" i="1" a="1"/>
  <c r="AK52" i="1" l="1"/>
  <c r="AJ53" i="1"/>
  <c r="AF44" i="1"/>
  <c r="AE44" i="1"/>
  <c r="AE45" i="1"/>
  <c r="AF45" i="1"/>
  <c r="AD46" i="1"/>
  <c r="AO46" i="1" s="1" a="1"/>
  <c r="AO46" i="1" s="1"/>
  <c r="AK53" i="1" a="1"/>
  <c r="AM53" i="1" a="1"/>
  <c r="AM52" i="1" a="1"/>
  <c r="AH45" i="1" a="1"/>
  <c r="AH46" i="1" a="1"/>
  <c r="AM52" i="1" l="1"/>
  <c r="AM53" i="1"/>
  <c r="AK53" i="1"/>
  <c r="AH45" i="1"/>
  <c r="AH46" i="1"/>
  <c r="AD47" i="1"/>
  <c r="AO47" i="1" s="1" a="1"/>
  <c r="AO47" i="1" s="1"/>
  <c r="AE46" i="1" a="1"/>
  <c r="AF46" i="1" a="1"/>
  <c r="AE46" i="1" l="1"/>
  <c r="AF46" i="1"/>
  <c r="AD48" i="1"/>
  <c r="AO48" i="1" s="1" a="1"/>
  <c r="AO48" i="1" s="1"/>
  <c r="AH47" i="1" a="1"/>
  <c r="AE47" i="1" a="1"/>
  <c r="AF47" i="1" a="1"/>
  <c r="AE47" i="1" l="1"/>
  <c r="AH47" i="1"/>
  <c r="AF47" i="1"/>
  <c r="AD49" i="1"/>
  <c r="AO49" i="1" s="1" a="1"/>
  <c r="AO49" i="1" s="1"/>
  <c r="AH48" i="1" a="1"/>
  <c r="AF48" i="1" a="1"/>
  <c r="AE48" i="1" a="1"/>
  <c r="AE48" i="1" l="1"/>
  <c r="AH48" i="1"/>
  <c r="AF48" i="1"/>
  <c r="AD50" i="1"/>
  <c r="AO50" i="1" s="1" a="1"/>
  <c r="AO50" i="1" s="1"/>
  <c r="AE49" i="1" a="1"/>
  <c r="AF49" i="1" a="1"/>
  <c r="AH49" i="1" a="1"/>
  <c r="AE49" i="1" l="1"/>
  <c r="AF49" i="1"/>
  <c r="AH49" i="1"/>
  <c r="AD51" i="1"/>
  <c r="AO51" i="1" s="1" a="1"/>
  <c r="AO51" i="1" s="1"/>
  <c r="AH50" i="1" a="1"/>
  <c r="AE50" i="1" a="1"/>
  <c r="AF50" i="1" a="1"/>
  <c r="AE50" i="1" l="1"/>
  <c r="AF50" i="1"/>
  <c r="AH50" i="1"/>
  <c r="AD52" i="1"/>
  <c r="AO52" i="1" s="1" a="1"/>
  <c r="AO52" i="1" s="1"/>
  <c r="AE51" i="1" a="1"/>
  <c r="AH51" i="1" a="1"/>
  <c r="AF51" i="1" a="1"/>
  <c r="AH51" i="1" l="1"/>
  <c r="AF51" i="1"/>
  <c r="AE51" i="1"/>
  <c r="AD53" i="1"/>
  <c r="AO53" i="1" s="1" a="1"/>
  <c r="AO53" i="1" s="1"/>
  <c r="AE52" i="1" a="1"/>
  <c r="AF52" i="1" a="1"/>
  <c r="AH52" i="1" a="1"/>
  <c r="AH52" i="1" l="1"/>
  <c r="AE52" i="1"/>
  <c r="AF52" i="1"/>
  <c r="C76" i="1"/>
  <c r="AE53" i="1" a="1"/>
  <c r="AF53" i="1" a="1"/>
  <c r="AH53" i="1" a="1"/>
  <c r="AF53" i="1" l="1"/>
  <c r="AH53" i="1"/>
  <c r="AE53" i="1"/>
  <c r="I8" i="1"/>
  <c r="I12" i="1" s="1"/>
  <c r="I10" i="1" s="1"/>
  <c r="I17" i="1" s="1"/>
  <c r="H8" i="1"/>
  <c r="H12" i="1" l="1"/>
  <c r="H10" i="1" s="1"/>
  <c r="H17" i="1" s="1"/>
  <c r="G25" i="1" a="1"/>
  <c r="G25" i="1" s="1"/>
  <c r="H25" i="1" s="1"/>
  <c r="I25" i="1" a="1"/>
  <c r="I25" i="1" s="1"/>
  <c r="J25" i="1" s="1" a="1"/>
  <c r="J25" i="1" s="1"/>
  <c r="J24" i="1" a="1"/>
  <c r="J24" i="1" s="1"/>
  <c r="I11" i="1"/>
  <c r="I18" i="1" s="1"/>
  <c r="G29" i="1" a="1"/>
  <c r="G29" i="1" s="1"/>
  <c r="G32" i="1" s="1"/>
  <c r="I28" i="1"/>
  <c r="I29" i="1"/>
  <c r="H29" i="1" l="1"/>
  <c r="H28" i="1"/>
  <c r="J29" i="1"/>
  <c r="H33" i="1"/>
  <c r="G34" i="1"/>
  <c r="H34" i="1" s="1" a="1"/>
  <c r="H34" i="1" s="1"/>
  <c r="G33" i="1"/>
  <c r="H32" i="1"/>
  <c r="I13" i="1"/>
  <c r="I16" i="1" s="1"/>
  <c r="I9" i="1"/>
  <c r="C70" i="1"/>
  <c r="C152" i="1" l="1"/>
  <c r="I6" i="1"/>
  <c r="AL53" i="1" a="1"/>
  <c r="AL26" i="1" a="1"/>
  <c r="AL19" i="1" a="1"/>
  <c r="AL31" i="1" a="1"/>
  <c r="AL18" i="1" a="1"/>
  <c r="AL42" i="1" a="1"/>
  <c r="C153" i="1" a="1"/>
  <c r="AL41" i="1" a="1"/>
  <c r="AL21" i="1" a="1"/>
  <c r="AL22" i="1" a="1"/>
  <c r="AL9" i="1" a="1"/>
  <c r="C154" i="1" a="1"/>
  <c r="AL12" i="1" a="1"/>
  <c r="AL8" i="1" a="1"/>
  <c r="AL20" i="1" a="1"/>
  <c r="AL25" i="1" a="1"/>
  <c r="AL13" i="1" a="1"/>
  <c r="AL36" i="1" a="1"/>
  <c r="AL14" i="1" a="1"/>
  <c r="AL35" i="1" a="1"/>
  <c r="AL52" i="1" a="1"/>
  <c r="AL27" i="1" a="1"/>
  <c r="AL6" i="1" a="1"/>
  <c r="AL37" i="1" a="1"/>
  <c r="AL51" i="1" a="1"/>
  <c r="AL50" i="1" a="1"/>
  <c r="AL10" i="1" a="1"/>
  <c r="AL45" i="1" a="1"/>
  <c r="AL5" i="1" a="1"/>
  <c r="AL4" i="1" a="1"/>
  <c r="AL30" i="1" a="1"/>
  <c r="AL33" i="1" a="1"/>
  <c r="AL29" i="1" a="1"/>
  <c r="AL46" i="1" a="1"/>
  <c r="AL23" i="1" a="1"/>
  <c r="AL34" i="1" a="1"/>
  <c r="C155" i="1" a="1"/>
  <c r="AL44" i="1" a="1"/>
  <c r="AL16" i="1" a="1"/>
  <c r="AL49" i="1" a="1"/>
  <c r="AL11" i="1" a="1"/>
  <c r="AL39" i="1" a="1"/>
  <c r="AL24" i="1" a="1"/>
  <c r="C157" i="1" a="1"/>
  <c r="AL40" i="1" a="1"/>
  <c r="AL32" i="1" a="1"/>
  <c r="AL47" i="1" a="1"/>
  <c r="AL38" i="1" a="1"/>
  <c r="C156" i="1" a="1"/>
  <c r="AL43" i="1" a="1"/>
  <c r="AL17" i="1" a="1"/>
  <c r="AL15" i="1" a="1"/>
  <c r="AL7" i="1" a="1"/>
  <c r="AL48" i="1" a="1"/>
  <c r="AL28" i="1" a="1"/>
  <c r="AL20" i="1" l="1"/>
  <c r="AL19" i="1"/>
  <c r="AL18" i="1"/>
  <c r="AL17" i="1"/>
  <c r="AL16" i="1"/>
  <c r="AL15" i="1"/>
  <c r="AL14" i="1"/>
  <c r="AL13" i="1"/>
  <c r="AL12" i="1"/>
  <c r="AL11" i="1"/>
  <c r="AL10" i="1"/>
  <c r="AL9" i="1"/>
  <c r="AL4" i="1"/>
  <c r="AN4" i="1" s="1"/>
  <c r="AL7" i="1"/>
  <c r="AL6" i="1"/>
  <c r="AL5" i="1"/>
  <c r="AL8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C154" i="1"/>
  <c r="C161" i="1" s="1"/>
  <c r="C153" i="1"/>
  <c r="C160" i="1" s="1"/>
  <c r="C155" i="1"/>
  <c r="C162" i="1" s="1"/>
  <c r="C157" i="1"/>
  <c r="C164" i="1" s="1"/>
  <c r="C168" i="1" s="1"/>
  <c r="C156" i="1"/>
  <c r="C163" i="1" s="1"/>
  <c r="C167" i="1" s="1"/>
  <c r="AN20" i="1" l="1"/>
  <c r="AN12" i="1"/>
  <c r="AN10" i="1"/>
  <c r="AN7" i="1"/>
  <c r="AN9" i="1"/>
  <c r="AN5" i="1"/>
  <c r="AN44" i="1"/>
  <c r="AN31" i="1"/>
  <c r="AN25" i="1"/>
  <c r="AN22" i="1"/>
  <c r="AN18" i="1"/>
  <c r="AN8" i="1"/>
  <c r="AN43" i="1"/>
  <c r="AN41" i="1"/>
  <c r="AN39" i="1"/>
  <c r="AN37" i="1"/>
  <c r="AN34" i="1"/>
  <c r="AN29" i="1"/>
  <c r="AN28" i="1"/>
  <c r="AN26" i="1"/>
  <c r="AN23" i="1"/>
  <c r="AN19" i="1"/>
  <c r="AN16" i="1"/>
  <c r="AN46" i="1"/>
  <c r="AN51" i="1"/>
  <c r="AN45" i="1"/>
  <c r="AN27" i="1"/>
  <c r="AN15" i="1"/>
  <c r="AN32" i="1"/>
  <c r="AN50" i="1"/>
  <c r="AN38" i="1"/>
  <c r="AN49" i="1"/>
  <c r="AN48" i="1"/>
  <c r="AN53" i="1"/>
  <c r="AN47" i="1"/>
  <c r="AN17" i="1"/>
  <c r="AN52" i="1"/>
  <c r="AN13" i="1"/>
  <c r="AN30" i="1"/>
  <c r="AN14" i="1" l="1"/>
  <c r="AN6" i="1"/>
  <c r="AN33" i="1"/>
  <c r="AN11" i="1"/>
  <c r="AN36" i="1"/>
  <c r="AN24" i="1"/>
  <c r="AN40" i="1"/>
  <c r="AN42" i="1"/>
  <c r="AN21" i="1"/>
  <c r="AN35" i="1"/>
  <c r="AW40" i="5" l="1"/>
  <c r="C67" i="1" s="1"/>
  <c r="C68" i="1" s="1"/>
  <c r="H6" i="1" l="1"/>
  <c r="C118" i="1"/>
  <c r="BB40" i="5"/>
  <c r="AX40" i="5"/>
  <c r="AY40" i="5" s="1"/>
  <c r="AZ40" i="5" s="1"/>
  <c r="AZ41" i="5" s="1"/>
  <c r="AG48" i="1" a="1"/>
  <c r="AG52" i="1" a="1"/>
  <c r="AG53" i="1" a="1"/>
  <c r="AG49" i="1" a="1"/>
  <c r="AG51" i="1" a="1"/>
  <c r="AG50" i="1" a="1"/>
  <c r="AG31" i="1" a="1"/>
  <c r="AG37" i="1" a="1"/>
  <c r="AG39" i="1" a="1"/>
  <c r="C122" i="1" a="1"/>
  <c r="AG5" i="1" a="1"/>
  <c r="AG10" i="1" a="1"/>
  <c r="AG7" i="1" a="1"/>
  <c r="AG21" i="1" a="1"/>
  <c r="AG20" i="1" a="1"/>
  <c r="AG29" i="1" a="1"/>
  <c r="C121" i="1" a="1"/>
  <c r="C120" i="1" a="1"/>
  <c r="AG6" i="1" a="1"/>
  <c r="AG8" i="1" a="1"/>
  <c r="AG18" i="1" a="1"/>
  <c r="AG34" i="1" a="1"/>
  <c r="AG23" i="1" a="1"/>
  <c r="AG35" i="1" a="1"/>
  <c r="AG15" i="1" a="1"/>
  <c r="AG32" i="1" a="1"/>
  <c r="AG33" i="1" a="1"/>
  <c r="AG38" i="1" a="1"/>
  <c r="AG43" i="1" a="1"/>
  <c r="C119" i="1" a="1"/>
  <c r="AG12" i="1" a="1"/>
  <c r="AG9" i="1" a="1"/>
  <c r="AG11" i="1" a="1"/>
  <c r="AG36" i="1" a="1"/>
  <c r="AG26" i="1" a="1"/>
  <c r="AG17" i="1" a="1"/>
  <c r="AG16" i="1" a="1"/>
  <c r="AG44" i="1" a="1"/>
  <c r="AG13" i="1" a="1"/>
  <c r="AG30" i="1" a="1"/>
  <c r="AG19" i="1" a="1"/>
  <c r="AG47" i="1" a="1"/>
  <c r="AG22" i="1" a="1"/>
  <c r="AG14" i="1" a="1"/>
  <c r="AG28" i="1" a="1"/>
  <c r="AG45" i="1" a="1"/>
  <c r="AG25" i="1" a="1"/>
  <c r="AG41" i="1" a="1"/>
  <c r="AG4" i="1" a="1"/>
  <c r="C123" i="1" a="1"/>
  <c r="AG46" i="1" a="1"/>
  <c r="AG42" i="1" a="1"/>
  <c r="AG24" i="1" a="1"/>
  <c r="AG27" i="1" a="1"/>
  <c r="AG40" i="1" a="1"/>
  <c r="AG53" i="1" l="1"/>
  <c r="AI53" i="1" s="1"/>
  <c r="AP53" i="1" s="1" a="1"/>
  <c r="AP53" i="1" s="1"/>
  <c r="AG51" i="1"/>
  <c r="AI51" i="1" s="1"/>
  <c r="AP51" i="1" s="1" a="1"/>
  <c r="AP51" i="1" s="1"/>
  <c r="AG52" i="1"/>
  <c r="AI52" i="1" s="1"/>
  <c r="AP52" i="1" s="1" a="1"/>
  <c r="AP52" i="1" s="1"/>
  <c r="AG43" i="1"/>
  <c r="AI43" i="1" s="1"/>
  <c r="AP43" i="1" s="1" a="1"/>
  <c r="AP43" i="1" s="1"/>
  <c r="AG48" i="1"/>
  <c r="AI48" i="1" s="1"/>
  <c r="AP48" i="1" s="1" a="1"/>
  <c r="AP48" i="1" s="1"/>
  <c r="AG35" i="1"/>
  <c r="AI35" i="1" s="1"/>
  <c r="AP35" i="1" s="1" a="1"/>
  <c r="AP35" i="1" s="1"/>
  <c r="AG34" i="1"/>
  <c r="AI34" i="1" s="1"/>
  <c r="AP34" i="1" s="1" a="1"/>
  <c r="AP34" i="1" s="1"/>
  <c r="AG47" i="1"/>
  <c r="AI47" i="1" s="1"/>
  <c r="AP47" i="1" s="1" a="1"/>
  <c r="AP47" i="1" s="1"/>
  <c r="AG36" i="1"/>
  <c r="AI36" i="1" s="1"/>
  <c r="AP36" i="1" s="1" a="1"/>
  <c r="AP36" i="1" s="1"/>
  <c r="AG38" i="1"/>
  <c r="AI38" i="1" s="1"/>
  <c r="AP38" i="1" s="1" a="1"/>
  <c r="AP38" i="1" s="1"/>
  <c r="AG39" i="1"/>
  <c r="AI39" i="1" s="1"/>
  <c r="AP39" i="1" s="1" a="1"/>
  <c r="AP39" i="1" s="1"/>
  <c r="AG44" i="1"/>
  <c r="AI44" i="1" s="1"/>
  <c r="AP44" i="1" s="1" a="1"/>
  <c r="AP44" i="1" s="1"/>
  <c r="AG49" i="1"/>
  <c r="AI49" i="1" s="1"/>
  <c r="AP49" i="1" s="1" a="1"/>
  <c r="AP49" i="1" s="1"/>
  <c r="AG50" i="1"/>
  <c r="AI50" i="1" s="1"/>
  <c r="AP50" i="1" s="1" a="1"/>
  <c r="AP50" i="1" s="1"/>
  <c r="AG29" i="1"/>
  <c r="AI29" i="1" s="1"/>
  <c r="AP29" i="1" s="1" a="1"/>
  <c r="AP29" i="1" s="1"/>
  <c r="AG33" i="1"/>
  <c r="AI33" i="1" s="1"/>
  <c r="AP33" i="1" s="1" a="1"/>
  <c r="AP33" i="1" s="1"/>
  <c r="AG37" i="1"/>
  <c r="AI37" i="1" s="1"/>
  <c r="AP37" i="1" s="1" a="1"/>
  <c r="AP37" i="1" s="1"/>
  <c r="AG45" i="1"/>
  <c r="AI45" i="1" s="1"/>
  <c r="AP45" i="1" s="1" a="1"/>
  <c r="AP45" i="1" s="1"/>
  <c r="AG42" i="1"/>
  <c r="AI42" i="1" s="1"/>
  <c r="AP42" i="1" s="1" a="1"/>
  <c r="AP42" i="1" s="1"/>
  <c r="AG41" i="1"/>
  <c r="AI41" i="1" s="1"/>
  <c r="AP41" i="1" s="1" a="1"/>
  <c r="AP41" i="1" s="1"/>
  <c r="AG30" i="1"/>
  <c r="AI30" i="1" s="1"/>
  <c r="AP30" i="1" s="1" a="1"/>
  <c r="AP30" i="1" s="1"/>
  <c r="AG32" i="1"/>
  <c r="AI32" i="1" s="1"/>
  <c r="AP32" i="1" s="1" a="1"/>
  <c r="AP32" i="1" s="1"/>
  <c r="AG31" i="1"/>
  <c r="AI31" i="1" s="1"/>
  <c r="AP31" i="1" s="1" a="1"/>
  <c r="AP31" i="1" s="1"/>
  <c r="AG40" i="1"/>
  <c r="AI40" i="1" s="1"/>
  <c r="AP40" i="1" s="1" a="1"/>
  <c r="AP40" i="1" s="1"/>
  <c r="AG46" i="1"/>
  <c r="AI46" i="1" s="1"/>
  <c r="AP46" i="1" s="1" a="1"/>
  <c r="AP46" i="1" s="1"/>
  <c r="AG24" i="1"/>
  <c r="AI24" i="1" s="1"/>
  <c r="AP24" i="1" s="1" a="1"/>
  <c r="AP24" i="1" s="1"/>
  <c r="AG14" i="1"/>
  <c r="AI14" i="1" s="1"/>
  <c r="AP14" i="1" s="1" a="1"/>
  <c r="AP14" i="1" s="1"/>
  <c r="AG6" i="1"/>
  <c r="AI6" i="1" s="1"/>
  <c r="AP6" i="1" s="1" a="1"/>
  <c r="AP6" i="1" s="1"/>
  <c r="AG11" i="1"/>
  <c r="AI11" i="1" s="1"/>
  <c r="AP11" i="1" s="1" a="1"/>
  <c r="AP11" i="1" s="1"/>
  <c r="AG21" i="1"/>
  <c r="AI21" i="1" s="1"/>
  <c r="AP21" i="1" s="1" a="1"/>
  <c r="AP21" i="1" s="1"/>
  <c r="AG27" i="1"/>
  <c r="AI27" i="1" s="1"/>
  <c r="AP27" i="1" s="1" a="1"/>
  <c r="AP27" i="1" s="1"/>
  <c r="AG16" i="1"/>
  <c r="AI16" i="1" s="1"/>
  <c r="AP16" i="1" s="1" a="1"/>
  <c r="AP16" i="1" s="1"/>
  <c r="AG18" i="1"/>
  <c r="AI18" i="1" s="1"/>
  <c r="AP18" i="1" s="1" a="1"/>
  <c r="AP18" i="1" s="1"/>
  <c r="AG26" i="1"/>
  <c r="AI26" i="1" s="1"/>
  <c r="AP26" i="1" s="1" a="1"/>
  <c r="AP26" i="1" s="1"/>
  <c r="AG20" i="1"/>
  <c r="AI20" i="1" s="1"/>
  <c r="AP20" i="1" s="1" a="1"/>
  <c r="AP20" i="1" s="1"/>
  <c r="AG7" i="1"/>
  <c r="AI7" i="1" s="1"/>
  <c r="AP7" i="1" s="1" a="1"/>
  <c r="AP7" i="1" s="1"/>
  <c r="AG15" i="1"/>
  <c r="AI15" i="1" s="1"/>
  <c r="AP15" i="1" s="1" a="1"/>
  <c r="AP15" i="1" s="1"/>
  <c r="AG23" i="1"/>
  <c r="AI23" i="1" s="1"/>
  <c r="AP23" i="1" s="1" a="1"/>
  <c r="AP23" i="1" s="1"/>
  <c r="AG17" i="1"/>
  <c r="AI17" i="1" s="1"/>
  <c r="AP17" i="1" s="1" a="1"/>
  <c r="AP17" i="1" s="1"/>
  <c r="C120" i="1"/>
  <c r="C127" i="1" s="1"/>
  <c r="AG9" i="1"/>
  <c r="AI9" i="1" s="1"/>
  <c r="AP9" i="1" s="1" a="1"/>
  <c r="AP9" i="1" s="1"/>
  <c r="AG10" i="1"/>
  <c r="AI10" i="1" s="1"/>
  <c r="AP10" i="1" s="1" a="1"/>
  <c r="AP10" i="1" s="1"/>
  <c r="AG25" i="1"/>
  <c r="AI25" i="1" s="1"/>
  <c r="AP25" i="1" s="1" a="1"/>
  <c r="AP25" i="1" s="1"/>
  <c r="AG4" i="1"/>
  <c r="AI4" i="1" s="1"/>
  <c r="AG22" i="1"/>
  <c r="AI22" i="1" s="1"/>
  <c r="AP22" i="1" s="1" a="1"/>
  <c r="AP22" i="1" s="1"/>
  <c r="AG19" i="1"/>
  <c r="AI19" i="1" s="1"/>
  <c r="AP19" i="1" s="1" a="1"/>
  <c r="AP19" i="1" s="1"/>
  <c r="AG12" i="1"/>
  <c r="AI12" i="1" s="1"/>
  <c r="AP12" i="1" s="1" a="1"/>
  <c r="AP12" i="1" s="1"/>
  <c r="AG5" i="1"/>
  <c r="AI5" i="1" s="1"/>
  <c r="AP5" i="1" s="1" a="1"/>
  <c r="AP5" i="1" s="1"/>
  <c r="AG13" i="1"/>
  <c r="AI13" i="1" s="1"/>
  <c r="AP13" i="1" s="1" a="1"/>
  <c r="AP13" i="1" s="1"/>
  <c r="AG28" i="1"/>
  <c r="AI28" i="1" s="1"/>
  <c r="AP28" i="1" s="1" a="1"/>
  <c r="AP28" i="1" s="1"/>
  <c r="AG8" i="1"/>
  <c r="AI8" i="1" s="1"/>
  <c r="AP8" i="1" s="1" a="1"/>
  <c r="AP8" i="1" s="1"/>
  <c r="C121" i="1"/>
  <c r="C128" i="1" s="1"/>
  <c r="C119" i="1"/>
  <c r="C126" i="1" s="1"/>
  <c r="C122" i="1"/>
  <c r="C129" i="1" s="1"/>
  <c r="C133" i="1" s="1"/>
  <c r="C123" i="1"/>
  <c r="C130" i="1" s="1"/>
  <c r="C134" i="1" s="1"/>
  <c r="AV8" i="1" a="1"/>
  <c r="AV7" i="1" a="1"/>
  <c r="AV8" i="1" l="1"/>
  <c r="AV7" i="1"/>
  <c r="AV5" i="1"/>
  <c r="AV6" i="1"/>
  <c r="AP4" i="1" a="1"/>
  <c r="AP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<sst xmlns="http://schemas.openxmlformats.org/spreadsheetml/2006/main" count="1214" uniqueCount="584">
  <si>
    <t>First issue</t>
  </si>
  <si>
    <t>Rev.</t>
  </si>
  <si>
    <t>Date</t>
  </si>
  <si>
    <t>Description</t>
  </si>
  <si>
    <t>Prepared</t>
  </si>
  <si>
    <t>Checked</t>
  </si>
  <si>
    <t>Approved</t>
  </si>
  <si>
    <r>
      <t>E</t>
    </r>
    <r>
      <rPr>
        <b/>
        <vertAlign val="subscript"/>
        <sz val="11"/>
        <color theme="0"/>
        <rFont val="Calibri"/>
        <family val="2"/>
        <scheme val="minor"/>
      </rPr>
      <t>b</t>
    </r>
    <r>
      <rPr>
        <b/>
        <sz val="11"/>
        <color theme="0"/>
        <rFont val="Calibri"/>
        <family val="2"/>
        <scheme val="minor"/>
      </rPr>
      <t xml:space="preserve"> [GPa]</t>
    </r>
  </si>
  <si>
    <t>D [mm]</t>
  </si>
  <si>
    <t>p [mm]</t>
  </si>
  <si>
    <r>
      <t>σ</t>
    </r>
    <r>
      <rPr>
        <b/>
        <vertAlign val="subscript"/>
        <sz val="11"/>
        <color theme="0"/>
        <rFont val="Calibri"/>
        <family val="2"/>
        <scheme val="minor"/>
      </rPr>
      <t>yb</t>
    </r>
    <r>
      <rPr>
        <b/>
        <sz val="11"/>
        <color theme="0"/>
        <rFont val="Calibri"/>
        <family val="2"/>
        <scheme val="minor"/>
      </rPr>
      <t xml:space="preserve"> [MPa]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</si>
  <si>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n</t>
    </r>
    <r>
      <rPr>
        <b/>
        <sz val="11"/>
        <color theme="0"/>
        <rFont val="Calibri"/>
        <family val="2"/>
        <scheme val="minor"/>
      </rPr>
      <t xml:space="preserve"> [mm]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</si>
  <si>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u</t>
    </r>
    <r>
      <rPr>
        <b/>
        <sz val="11"/>
        <color theme="0"/>
        <rFont val="Calibri"/>
        <family val="2"/>
        <scheme val="minor"/>
      </rPr>
      <t xml:space="preserve"> [mm]</t>
    </r>
  </si>
  <si>
    <r>
      <t>L</t>
    </r>
    <r>
      <rPr>
        <b/>
        <vertAlign val="subscript"/>
        <sz val="11"/>
        <color theme="0"/>
        <rFont val="Calibri"/>
        <family val="2"/>
        <scheme val="minor"/>
      </rPr>
      <t>u</t>
    </r>
    <r>
      <rPr>
        <b/>
        <sz val="11"/>
        <color theme="0"/>
        <rFont val="Calibri"/>
        <family val="2"/>
        <scheme val="minor"/>
      </rPr>
      <t xml:space="preserve"> [mm]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</si>
  <si>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 xml:space="preserve"> [mm]</t>
    </r>
  </si>
  <si>
    <r>
      <t>s</t>
    </r>
    <r>
      <rPr>
        <b/>
        <vertAlign val="subscript"/>
        <sz val="11"/>
        <color theme="0"/>
        <rFont val="Calibri"/>
        <family val="2"/>
        <scheme val="minor"/>
      </rPr>
      <t>w</t>
    </r>
    <r>
      <rPr>
        <b/>
        <sz val="11"/>
        <color theme="0"/>
        <rFont val="Calibri"/>
        <family val="2"/>
        <scheme val="minor"/>
      </rPr>
      <t xml:space="preserve"> [mm]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</si>
  <si>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r</t>
    </r>
    <r>
      <rPr>
        <b/>
        <sz val="11"/>
        <color theme="0"/>
        <rFont val="Calibri"/>
        <family val="2"/>
        <scheme val="minor"/>
      </rPr>
      <t xml:space="preserve"> [mm]</t>
    </r>
  </si>
  <si>
    <r>
      <t>L</t>
    </r>
    <r>
      <rPr>
        <b/>
        <vertAlign val="subscript"/>
        <sz val="11"/>
        <color theme="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 xml:space="preserve"> [mm]</t>
    </r>
  </si>
  <si>
    <r>
      <t>A</t>
    </r>
    <r>
      <rPr>
        <b/>
        <vertAlign val="subscript"/>
        <sz val="11"/>
        <color theme="0"/>
        <rFont val="Calibri"/>
        <family val="2"/>
        <scheme val="minor"/>
      </rPr>
      <t>u</t>
    </r>
    <r>
      <rPr>
        <b/>
        <sz val="11"/>
        <color theme="0"/>
        <rFont val="Calibri"/>
        <family val="2"/>
        <scheme val="minor"/>
      </rPr>
      <t xml:space="preserve"> [mm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]</t>
    </r>
  </si>
  <si>
    <r>
      <t>A</t>
    </r>
    <r>
      <rPr>
        <b/>
        <vertAlign val="subscript"/>
        <sz val="11"/>
        <color theme="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 xml:space="preserve"> [mm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]</t>
    </r>
  </si>
  <si>
    <r>
      <t>L</t>
    </r>
    <r>
      <rPr>
        <b/>
        <vertAlign val="subscript"/>
        <sz val="11"/>
        <color theme="0"/>
        <rFont val="Calibri"/>
        <family val="2"/>
        <scheme val="minor"/>
      </rPr>
      <t>e</t>
    </r>
    <r>
      <rPr>
        <b/>
        <sz val="11"/>
        <color theme="0"/>
        <rFont val="Calibri"/>
        <family val="2"/>
        <scheme val="minor"/>
      </rPr>
      <t xml:space="preserve"> [mm]</t>
    </r>
  </si>
  <si>
    <t>ξ [-]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</si>
  <si>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0</t>
    </r>
    <r>
      <rPr>
        <b/>
        <sz val="11"/>
        <color theme="0"/>
        <rFont val="Calibri"/>
        <family val="2"/>
        <scheme val="minor"/>
      </rPr>
      <t xml:space="preserve"> [N]</t>
    </r>
  </si>
  <si>
    <r>
      <t>k</t>
    </r>
    <r>
      <rPr>
        <b/>
        <vertAlign val="subscript"/>
        <sz val="11"/>
        <color theme="0"/>
        <rFont val="Calibri"/>
        <family val="2"/>
        <scheme val="minor"/>
      </rPr>
      <t>b</t>
    </r>
    <r>
      <rPr>
        <b/>
        <sz val="11"/>
        <color theme="0"/>
        <rFont val="Calibri"/>
        <family val="2"/>
        <scheme val="minor"/>
      </rPr>
      <t xml:space="preserve"> [N/mm]</t>
    </r>
  </si>
  <si>
    <t>α [°]</t>
  </si>
  <si>
    <r>
      <t>E</t>
    </r>
    <r>
      <rPr>
        <b/>
        <vertAlign val="subscript"/>
        <sz val="11"/>
        <color theme="0"/>
        <rFont val="Calibri"/>
        <family val="2"/>
        <scheme val="minor"/>
      </rPr>
      <t>f</t>
    </r>
    <r>
      <rPr>
        <b/>
        <sz val="11"/>
        <color theme="0"/>
        <rFont val="Calibri"/>
        <family val="2"/>
        <scheme val="minor"/>
      </rPr>
      <t xml:space="preserve"> [GPa]</t>
    </r>
  </si>
  <si>
    <t>Legend</t>
  </si>
  <si>
    <t>d [mm]</t>
  </si>
  <si>
    <t>input data</t>
  </si>
  <si>
    <t>descriptor</t>
  </si>
  <si>
    <r>
      <t>k</t>
    </r>
    <r>
      <rPr>
        <b/>
        <vertAlign val="subscript"/>
        <sz val="11"/>
        <color theme="0"/>
        <rFont val="Calibri"/>
        <family val="2"/>
        <scheme val="minor"/>
      </rPr>
      <t>f</t>
    </r>
    <r>
      <rPr>
        <b/>
        <sz val="11"/>
        <color theme="0"/>
        <rFont val="Calibri"/>
        <family val="2"/>
        <scheme val="minor"/>
      </rPr>
      <t xml:space="preserve"> [N/mm]</t>
    </r>
  </si>
  <si>
    <t>calculated</t>
  </si>
  <si>
    <t>annotation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</si>
  <si>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b</t>
    </r>
    <r>
      <rPr>
        <b/>
        <sz val="11"/>
        <color theme="0"/>
        <rFont val="Calibri"/>
        <family val="2"/>
        <scheme val="minor"/>
      </rPr>
      <t xml:space="preserve"> [N]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</si>
  <si>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>f</t>
    </r>
    <r>
      <rPr>
        <b/>
        <sz val="11"/>
        <color theme="0"/>
        <rFont val="Calibri"/>
        <family val="2"/>
        <scheme val="minor"/>
      </rPr>
      <t xml:space="preserve"> [N]</t>
    </r>
  </si>
  <si>
    <r>
      <t>δ</t>
    </r>
    <r>
      <rPr>
        <b/>
        <vertAlign val="subscript"/>
        <sz val="11"/>
        <color theme="0"/>
        <rFont val="Calibri"/>
        <family val="2"/>
        <scheme val="minor"/>
      </rPr>
      <t>b</t>
    </r>
    <r>
      <rPr>
        <b/>
        <sz val="11"/>
        <color theme="0"/>
        <rFont val="Calibri"/>
        <family val="2"/>
        <scheme val="minor"/>
      </rPr>
      <t xml:space="preserve"> [mm]</t>
    </r>
  </si>
  <si>
    <r>
      <t>δ</t>
    </r>
    <r>
      <rPr>
        <b/>
        <vertAlign val="subscript"/>
        <sz val="11"/>
        <color theme="0"/>
        <rFont val="Calibri"/>
        <family val="2"/>
        <scheme val="minor"/>
      </rPr>
      <t>f</t>
    </r>
    <r>
      <rPr>
        <b/>
        <sz val="11"/>
        <color theme="0"/>
        <rFont val="Calibri"/>
        <family val="2"/>
        <scheme val="minor"/>
      </rPr>
      <t xml:space="preserve"> [mm]</t>
    </r>
  </si>
  <si>
    <r>
      <t>σ</t>
    </r>
    <r>
      <rPr>
        <b/>
        <vertAlign val="subscript"/>
        <sz val="11"/>
        <color theme="0"/>
        <rFont val="Calibri"/>
        <family val="2"/>
      </rPr>
      <t>b0</t>
    </r>
    <r>
      <rPr>
        <b/>
        <sz val="11"/>
        <color theme="0"/>
        <rFont val="Calibri"/>
        <family val="2"/>
      </rPr>
      <t xml:space="preserve"> [MPa]</t>
    </r>
  </si>
  <si>
    <r>
      <t>σ</t>
    </r>
    <r>
      <rPr>
        <b/>
        <vertAlign val="subscript"/>
        <sz val="11"/>
        <color theme="0"/>
        <rFont val="Calibri"/>
        <family val="2"/>
      </rPr>
      <t>b</t>
    </r>
    <r>
      <rPr>
        <b/>
        <sz val="11"/>
        <color theme="0"/>
        <rFont val="Calibri"/>
        <family val="2"/>
      </rPr>
      <t xml:space="preserve"> [MPa]</t>
    </r>
  </si>
  <si>
    <r>
      <t>n</t>
    </r>
    <r>
      <rPr>
        <b/>
        <vertAlign val="subscript"/>
        <sz val="11"/>
        <color theme="0"/>
        <rFont val="Calibri"/>
        <family val="2"/>
      </rPr>
      <t>t</t>
    </r>
    <r>
      <rPr>
        <b/>
        <sz val="11"/>
        <color theme="0"/>
        <rFont val="Calibri"/>
        <family val="2"/>
      </rPr>
      <t xml:space="preserve"> [-]</t>
    </r>
  </si>
  <si>
    <r>
      <t>σ</t>
    </r>
    <r>
      <rPr>
        <b/>
        <vertAlign val="subscript"/>
        <sz val="11"/>
        <color theme="0"/>
        <rFont val="Calibri"/>
        <family val="2"/>
      </rPr>
      <t>b</t>
    </r>
    <r>
      <rPr>
        <b/>
        <sz val="11"/>
        <color theme="0"/>
        <rFont val="Calibri"/>
        <family val="2"/>
      </rPr>
      <t>/σ</t>
    </r>
    <r>
      <rPr>
        <b/>
        <vertAlign val="subscript"/>
        <sz val="11"/>
        <color theme="0"/>
        <rFont val="Calibri"/>
        <family val="2"/>
      </rPr>
      <t>yb</t>
    </r>
    <r>
      <rPr>
        <b/>
        <sz val="11"/>
        <color theme="0"/>
        <rFont val="Calibri"/>
        <family val="2"/>
      </rPr>
      <t xml:space="preserve"> [-]</t>
    </r>
  </si>
  <si>
    <t>(bolt stress ratio less than 90%)</t>
  </si>
  <si>
    <r>
      <t>L</t>
    </r>
    <r>
      <rPr>
        <b/>
        <vertAlign val="subscript"/>
        <sz val="11"/>
        <color theme="0"/>
        <rFont val="Calibri"/>
        <family val="2"/>
        <scheme val="minor"/>
      </rPr>
      <t>h</t>
    </r>
    <r>
      <rPr>
        <b/>
        <sz val="11"/>
        <color theme="0"/>
        <rFont val="Calibri"/>
        <family val="2"/>
        <scheme val="minor"/>
      </rPr>
      <t xml:space="preserve"> [mm]</t>
    </r>
  </si>
  <si>
    <r>
      <t>F</t>
    </r>
    <r>
      <rPr>
        <b/>
        <vertAlign val="subscript"/>
        <sz val="11"/>
        <color theme="0"/>
        <rFont val="Calibri"/>
        <family val="2"/>
      </rPr>
      <t>f</t>
    </r>
    <r>
      <rPr>
        <b/>
        <sz val="11"/>
        <color theme="0"/>
        <rFont val="Calibri"/>
        <family val="2"/>
      </rPr>
      <t>/F</t>
    </r>
    <r>
      <rPr>
        <b/>
        <vertAlign val="subscript"/>
        <sz val="11"/>
        <color theme="0"/>
        <rFont val="Calibri"/>
        <family val="2"/>
      </rPr>
      <t>0</t>
    </r>
    <r>
      <rPr>
        <b/>
        <sz val="11"/>
        <color theme="0"/>
        <rFont val="Calibri"/>
        <family val="2"/>
      </rPr>
      <t xml:space="preserve"> [-]</t>
    </r>
  </si>
  <si>
    <t>(contact force reduction less than 60% of initial tightening)</t>
  </si>
  <si>
    <r>
      <t>σ</t>
    </r>
    <r>
      <rPr>
        <b/>
        <vertAlign val="subscript"/>
        <sz val="11"/>
        <color theme="0"/>
        <rFont val="Calibri"/>
        <family val="2"/>
        <scheme val="minor"/>
      </rPr>
      <t>yf</t>
    </r>
    <r>
      <rPr>
        <b/>
        <sz val="11"/>
        <color theme="0"/>
        <rFont val="Calibri"/>
        <family val="2"/>
        <scheme val="minor"/>
      </rPr>
      <t xml:space="preserve"> [MPa]</t>
    </r>
  </si>
  <si>
    <r>
      <t>F</t>
    </r>
    <r>
      <rPr>
        <b/>
        <vertAlign val="subscript"/>
        <sz val="9"/>
        <color theme="0"/>
        <rFont val="Calibri"/>
        <family val="2"/>
        <scheme val="minor"/>
      </rPr>
      <t>max</t>
    </r>
    <r>
      <rPr>
        <b/>
        <sz val="9"/>
        <color theme="0"/>
        <rFont val="Calibri"/>
        <family val="2"/>
        <scheme val="minor"/>
      </rPr>
      <t xml:space="preserve"> [N]</t>
    </r>
  </si>
  <si>
    <t>Design condition</t>
  </si>
  <si>
    <t>T [°C]</t>
  </si>
  <si>
    <t>(bolt elongation)</t>
  </si>
  <si>
    <t>(barrel and cover elongation)</t>
  </si>
  <si>
    <t>(bolt resultant force)</t>
  </si>
  <si>
    <t>(barrel and cover resultant force)</t>
  </si>
  <si>
    <t>(force variation on bolt)</t>
  </si>
  <si>
    <t>(axial stress on bolt)</t>
  </si>
  <si>
    <t>[mm]</t>
  </si>
  <si>
    <t>Fb</t>
  </si>
  <si>
    <t>[N]</t>
  </si>
  <si>
    <t>δ</t>
  </si>
  <si>
    <t>Ff</t>
  </si>
  <si>
    <t>(bolt axial force and max admissible force for barrel thread less than 80%)</t>
  </si>
  <si>
    <t>(force variation on barrel and cover)</t>
  </si>
  <si>
    <t>Bolt</t>
  </si>
  <si>
    <t>Barrel and cover</t>
  </si>
  <si>
    <t>Tightening load</t>
  </si>
  <si>
    <t>Thermal load</t>
  </si>
  <si>
    <r>
      <t>σ'</t>
    </r>
    <r>
      <rPr>
        <b/>
        <vertAlign val="subscript"/>
        <sz val="11"/>
        <color theme="0"/>
        <rFont val="Calibri"/>
        <family val="2"/>
        <scheme val="minor"/>
      </rPr>
      <t>yb</t>
    </r>
    <r>
      <rPr>
        <b/>
        <sz val="11"/>
        <color theme="0"/>
        <rFont val="Calibri"/>
        <family val="2"/>
        <scheme val="minor"/>
      </rPr>
      <t xml:space="preserve"> [MPa]</t>
    </r>
  </si>
  <si>
    <r>
      <t>σ'</t>
    </r>
    <r>
      <rPr>
        <b/>
        <vertAlign val="subscript"/>
        <sz val="11"/>
        <color theme="0"/>
        <rFont val="Calibri"/>
        <family val="2"/>
        <scheme val="minor"/>
      </rPr>
      <t>yf</t>
    </r>
    <r>
      <rPr>
        <b/>
        <sz val="11"/>
        <color theme="0"/>
        <rFont val="Calibri"/>
        <family val="2"/>
        <scheme val="minor"/>
      </rPr>
      <t xml:space="preserve"> [MPa]</t>
    </r>
  </si>
  <si>
    <t>Condition</t>
  </si>
  <si>
    <t>(applicable temperature condition)</t>
  </si>
  <si>
    <t>(applicable thermal load)</t>
  </si>
  <si>
    <t>(applicable external load)</t>
  </si>
  <si>
    <t>Barrel &amp; Cover</t>
  </si>
  <si>
    <t>Fo</t>
  </si>
  <si>
    <t>δo</t>
  </si>
  <si>
    <t>F</t>
  </si>
  <si>
    <r>
      <t>T</t>
    </r>
    <r>
      <rPr>
        <b/>
        <vertAlign val="subscript"/>
        <sz val="11"/>
        <color theme="0"/>
        <rFont val="Calibri"/>
        <family val="2"/>
        <scheme val="minor"/>
      </rPr>
      <t>amb</t>
    </r>
    <r>
      <rPr>
        <b/>
        <sz val="11"/>
        <color theme="0"/>
        <rFont val="Calibri"/>
        <family val="2"/>
        <scheme val="minor"/>
      </rPr>
      <t xml:space="preserve"> [°C]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</si>
  <si>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design</t>
    </r>
    <r>
      <rPr>
        <b/>
        <sz val="11"/>
        <color theme="0"/>
        <rFont val="Calibri"/>
        <family val="2"/>
        <scheme val="minor"/>
      </rPr>
      <t xml:space="preserve"> [°C]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</si>
  <si>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design</t>
    </r>
    <r>
      <rPr>
        <b/>
        <sz val="11"/>
        <color theme="0"/>
        <rFont val="Calibri"/>
        <family val="2"/>
        <scheme val="minor"/>
      </rPr>
      <t xml:space="preserve"> [barg]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</si>
  <si>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hydrotest</t>
    </r>
    <r>
      <rPr>
        <b/>
        <sz val="11"/>
        <color theme="0"/>
        <rFont val="Calibri"/>
        <family val="2"/>
        <scheme val="minor"/>
      </rPr>
      <t xml:space="preserve"> [barg]</t>
    </r>
  </si>
  <si>
    <r>
      <rPr>
        <b/>
        <sz val="11"/>
        <color theme="0"/>
        <rFont val="Calibri"/>
        <family val="2"/>
      </rPr>
      <t>α</t>
    </r>
    <r>
      <rPr>
        <b/>
        <vertAlign val="subscript"/>
        <sz val="11"/>
        <color theme="0"/>
        <rFont val="Calibri"/>
        <family val="2"/>
      </rPr>
      <t>b</t>
    </r>
    <r>
      <rPr>
        <b/>
        <sz val="11"/>
        <color theme="0"/>
        <rFont val="Calibri"/>
        <family val="2"/>
        <scheme val="minor"/>
      </rPr>
      <t xml:space="preserve"> [mm]</t>
    </r>
  </si>
  <si>
    <r>
      <t>N</t>
    </r>
    <r>
      <rPr>
        <b/>
        <vertAlign val="subscript"/>
        <sz val="11"/>
        <color theme="0"/>
        <rFont val="Calibri"/>
        <family val="2"/>
        <scheme val="minor"/>
      </rPr>
      <t>bolts</t>
    </r>
    <r>
      <rPr>
        <b/>
        <sz val="11"/>
        <color theme="0"/>
        <rFont val="Calibri"/>
        <family val="2"/>
        <scheme val="minor"/>
      </rPr>
      <t xml:space="preserve"> [-]</t>
    </r>
  </si>
  <si>
    <r>
      <rPr>
        <b/>
        <sz val="11"/>
        <color theme="0"/>
        <rFont val="Calibri"/>
        <family val="2"/>
      </rPr>
      <t>α</t>
    </r>
    <r>
      <rPr>
        <b/>
        <vertAlign val="subscript"/>
        <sz val="11"/>
        <color theme="0"/>
        <rFont val="Calibri"/>
        <family val="2"/>
      </rPr>
      <t>f</t>
    </r>
    <r>
      <rPr>
        <b/>
        <sz val="11"/>
        <color theme="0"/>
        <rFont val="Calibri"/>
        <family val="2"/>
        <scheme val="minor"/>
      </rPr>
      <t xml:space="preserve"> [1/°C]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</si>
  <si>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>design</t>
    </r>
    <r>
      <rPr>
        <b/>
        <sz val="11"/>
        <color theme="0"/>
        <rFont val="Calibri"/>
        <family val="2"/>
        <scheme val="minor"/>
      </rPr>
      <t xml:space="preserve"> [N]</t>
    </r>
  </si>
  <si>
    <r>
      <t>δ</t>
    </r>
    <r>
      <rPr>
        <b/>
        <vertAlign val="subscript"/>
        <sz val="11"/>
        <color theme="0"/>
        <rFont val="Calibri"/>
        <family val="2"/>
        <scheme val="minor"/>
      </rPr>
      <t>design</t>
    </r>
    <r>
      <rPr>
        <b/>
        <sz val="11"/>
        <color theme="0"/>
        <rFont val="Calibri"/>
        <family val="2"/>
        <scheme val="minor"/>
      </rPr>
      <t xml:space="preserve"> [mm]</t>
    </r>
  </si>
  <si>
    <r>
      <t>δ</t>
    </r>
    <r>
      <rPr>
        <b/>
        <vertAlign val="subscript"/>
        <sz val="11"/>
        <color theme="0"/>
        <rFont val="Calibri"/>
        <family val="2"/>
        <scheme val="minor"/>
      </rPr>
      <t>hydro</t>
    </r>
    <r>
      <rPr>
        <b/>
        <sz val="11"/>
        <color theme="0"/>
        <rFont val="Calibri"/>
        <family val="2"/>
        <scheme val="minor"/>
      </rPr>
      <t xml:space="preserve"> [mm]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</si>
  <si>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design</t>
    </r>
    <r>
      <rPr>
        <b/>
        <sz val="11"/>
        <color theme="0"/>
        <rFont val="Calibri"/>
        <family val="2"/>
        <scheme val="minor"/>
      </rPr>
      <t xml:space="preserve"> &amp; T</t>
    </r>
    <r>
      <rPr>
        <b/>
        <vertAlign val="subscript"/>
        <sz val="11"/>
        <color theme="0"/>
        <rFont val="Calibri"/>
        <family val="2"/>
        <scheme val="minor"/>
      </rPr>
      <t>design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</si>
  <si>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hydro</t>
    </r>
    <r>
      <rPr>
        <b/>
        <sz val="11"/>
        <color theme="0"/>
        <rFont val="Calibri"/>
        <family val="2"/>
        <scheme val="minor"/>
      </rPr>
      <t xml:space="preserve"> &amp; T</t>
    </r>
    <r>
      <rPr>
        <b/>
        <vertAlign val="subscript"/>
        <sz val="11"/>
        <color theme="0"/>
        <rFont val="Calibri"/>
        <family val="2"/>
        <scheme val="minor"/>
      </rPr>
      <t>amb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</si>
  <si>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 xml:space="preserve"> [N]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</si>
  <si>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>hydro</t>
    </r>
    <r>
      <rPr>
        <b/>
        <sz val="11"/>
        <color theme="0"/>
        <rFont val="Calibri"/>
        <family val="2"/>
        <scheme val="minor"/>
      </rPr>
      <t xml:space="preserve"> [N]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</si>
  <si>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>e,design</t>
    </r>
    <r>
      <rPr>
        <b/>
        <sz val="11"/>
        <color theme="0"/>
        <rFont val="Calibri"/>
        <family val="2"/>
        <scheme val="minor"/>
      </rPr>
      <t xml:space="preserve"> [N]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</si>
  <si>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>e,hydro</t>
    </r>
    <r>
      <rPr>
        <b/>
        <sz val="11"/>
        <color theme="0"/>
        <rFont val="Calibri"/>
        <family val="2"/>
        <scheme val="minor"/>
      </rPr>
      <t xml:space="preserve"> [N]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</si>
  <si>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>e</t>
    </r>
    <r>
      <rPr>
        <b/>
        <sz val="11"/>
        <color theme="0"/>
        <rFont val="Calibri"/>
        <family val="2"/>
        <scheme val="minor"/>
      </rPr>
      <t xml:space="preserve"> [N]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</si>
  <si>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>b,tot</t>
    </r>
    <r>
      <rPr>
        <b/>
        <sz val="11"/>
        <color theme="0"/>
        <rFont val="Calibri"/>
        <family val="2"/>
        <scheme val="minor"/>
      </rPr>
      <t xml:space="preserve"> [N]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</si>
  <si>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>f,tot</t>
    </r>
    <r>
      <rPr>
        <b/>
        <sz val="11"/>
        <color theme="0"/>
        <rFont val="Calibri"/>
        <family val="2"/>
        <scheme val="minor"/>
      </rPr>
      <t xml:space="preserve"> [N]</t>
    </r>
  </si>
  <si>
    <r>
      <t>F</t>
    </r>
    <r>
      <rPr>
        <b/>
        <vertAlign val="subscript"/>
        <sz val="11"/>
        <color theme="0"/>
        <rFont val="Calibri"/>
        <family val="2"/>
      </rPr>
      <t>b,tot</t>
    </r>
    <r>
      <rPr>
        <b/>
        <sz val="11"/>
        <color theme="0"/>
        <rFont val="Calibri"/>
        <family val="2"/>
      </rPr>
      <t>/F</t>
    </r>
    <r>
      <rPr>
        <b/>
        <vertAlign val="subscript"/>
        <sz val="11"/>
        <color theme="0"/>
        <rFont val="Calibri"/>
        <family val="2"/>
      </rPr>
      <t>max</t>
    </r>
    <r>
      <rPr>
        <b/>
        <sz val="11"/>
        <color theme="0"/>
        <rFont val="Calibri"/>
        <family val="2"/>
      </rPr>
      <t xml:space="preserve"> [-]</t>
    </r>
  </si>
  <si>
    <t>A [mm]</t>
  </si>
  <si>
    <t>B [mm]</t>
  </si>
  <si>
    <t>Internal diameter of the flange / barrel</t>
  </si>
  <si>
    <t>f</t>
  </si>
  <si>
    <t>Factor</t>
  </si>
  <si>
    <t>Hub length</t>
  </si>
  <si>
    <t>C [mm]</t>
  </si>
  <si>
    <t>Bolt circle diameter</t>
  </si>
  <si>
    <t>Number of bolts</t>
  </si>
  <si>
    <t>Diameter of bolt hole</t>
  </si>
  <si>
    <t>Aspect ratio</t>
  </si>
  <si>
    <t>Bolt - hole flexibility factor</t>
  </si>
  <si>
    <t>Thickness of hub at back of flange (barrel)</t>
  </si>
  <si>
    <t>Radial distance from the bolt circle to the circle on which HD acts</t>
  </si>
  <si>
    <t>R [mm]</t>
  </si>
  <si>
    <t>Radial distance from bolt circle to flange‐spacer or flange‐flange bearing circle where tangential contact occurs.</t>
  </si>
  <si>
    <t>Radial distance from bolt circle to outer edge of flange</t>
  </si>
  <si>
    <t>Shape factor</t>
  </si>
  <si>
    <t>A</t>
  </si>
  <si>
    <t>C</t>
  </si>
  <si>
    <t>V</t>
  </si>
  <si>
    <t>f'</t>
  </si>
  <si>
    <t>Shape factor for full face metal‐to‐metal contact flanges</t>
  </si>
  <si>
    <t>Barrel flange thickness</t>
  </si>
  <si>
    <r>
      <t>t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 xml:space="preserve">  [mm]</t>
    </r>
  </si>
  <si>
    <t>G [mm]</t>
  </si>
  <si>
    <t>Diameter at location of gasket load reaction</t>
  </si>
  <si>
    <t>Radial distance from gasket load reaction to the bolt circle</t>
  </si>
  <si>
    <t>Gasket load due to seating pressure, plus axial force generated by self‐sealing of gasket</t>
  </si>
  <si>
    <t>Hydrostatic end force on area inside of flange</t>
  </si>
  <si>
    <t>h [mm]</t>
  </si>
  <si>
    <t>Equivalent B</t>
  </si>
  <si>
    <t>Moment due to HD, HT, HG</t>
  </si>
  <si>
    <t>For Category 3, Class 3</t>
  </si>
  <si>
    <r>
      <t>E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* [Nm]</t>
    </r>
  </si>
  <si>
    <r>
      <t>E</t>
    </r>
    <r>
      <rPr>
        <b/>
        <vertAlign val="subscript"/>
        <sz val="11"/>
        <color theme="0"/>
        <rFont val="Calibri"/>
        <family val="2"/>
        <scheme val="minor"/>
      </rPr>
      <t>II</t>
    </r>
    <r>
      <rPr>
        <b/>
        <sz val="11"/>
        <color theme="0"/>
        <rFont val="Calibri"/>
        <family val="2"/>
        <scheme val="minor"/>
      </rPr>
      <t>* [Nm]</t>
    </r>
  </si>
  <si>
    <r>
      <t>E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 xml:space="preserve">* </t>
    </r>
    <r>
      <rPr>
        <b/>
        <sz val="11"/>
        <color theme="0"/>
        <rFont val="Calibri"/>
        <family val="2"/>
      </rPr>
      <t>θ</t>
    </r>
    <r>
      <rPr>
        <b/>
        <vertAlign val="subscript"/>
        <sz val="9.35"/>
        <color theme="0"/>
        <rFont val="Calibri"/>
        <family val="2"/>
      </rPr>
      <t>rb I</t>
    </r>
    <r>
      <rPr>
        <b/>
        <sz val="11"/>
        <color theme="0"/>
        <rFont val="Calibri"/>
        <family val="2"/>
        <scheme val="minor"/>
      </rPr>
      <t xml:space="preserve"> [Nm rad]</t>
    </r>
  </si>
  <si>
    <t>Total Flange Moment at Diameter B1 (19)</t>
  </si>
  <si>
    <r>
      <t>M</t>
    </r>
    <r>
      <rPr>
        <b/>
        <vertAlign val="subscript"/>
        <sz val="11"/>
        <color theme="0"/>
        <rFont val="Calibri"/>
        <family val="2"/>
        <scheme val="minor"/>
      </rPr>
      <t>S II</t>
    </r>
    <r>
      <rPr>
        <b/>
        <sz val="11"/>
        <color theme="0"/>
        <rFont val="Calibri"/>
        <family val="2"/>
        <scheme val="minor"/>
      </rPr>
      <t xml:space="preserve"> [Nm]</t>
    </r>
  </si>
  <si>
    <r>
      <t>M</t>
    </r>
    <r>
      <rPr>
        <b/>
        <vertAlign val="subscript"/>
        <sz val="11"/>
        <color theme="0"/>
        <rFont val="Calibri"/>
        <family val="2"/>
        <scheme val="minor"/>
      </rPr>
      <t>S I</t>
    </r>
    <r>
      <rPr>
        <b/>
        <sz val="11"/>
        <color theme="0"/>
        <rFont val="Calibri"/>
        <family val="2"/>
        <scheme val="minor"/>
      </rPr>
      <t xml:space="preserve"> [Nm]</t>
    </r>
  </si>
  <si>
    <t>Total Flange Moment at Diameter B1 (20)</t>
  </si>
  <si>
    <t>Unbalanced Flange Moment at Diameter B1 (21)</t>
  </si>
  <si>
    <r>
      <t>M</t>
    </r>
    <r>
      <rPr>
        <b/>
        <vertAlign val="subscript"/>
        <sz val="11"/>
        <color theme="0"/>
        <rFont val="Calibri"/>
        <family val="2"/>
        <scheme val="minor"/>
      </rPr>
      <t>U I</t>
    </r>
    <r>
      <rPr>
        <b/>
        <sz val="11"/>
        <color theme="0"/>
        <rFont val="Calibri"/>
        <family val="2"/>
        <scheme val="minor"/>
      </rPr>
      <t xml:space="preserve"> [Nm]</t>
    </r>
  </si>
  <si>
    <r>
      <t>M</t>
    </r>
    <r>
      <rPr>
        <b/>
        <vertAlign val="subscript"/>
        <sz val="11"/>
        <color theme="0"/>
        <rFont val="Calibri"/>
        <family val="2"/>
        <scheme val="minor"/>
      </rPr>
      <t>b I</t>
    </r>
    <r>
      <rPr>
        <b/>
        <sz val="11"/>
        <color theme="0"/>
        <rFont val="Calibri"/>
        <family val="2"/>
        <scheme val="minor"/>
      </rPr>
      <t xml:space="preserve"> [Nm]</t>
    </r>
  </si>
  <si>
    <r>
      <t>M</t>
    </r>
    <r>
      <rPr>
        <b/>
        <vertAlign val="subscript"/>
        <sz val="11"/>
        <color theme="0"/>
        <rFont val="Calibri"/>
        <family val="2"/>
        <scheme val="minor"/>
      </rPr>
      <t>b II</t>
    </r>
    <r>
      <rPr>
        <b/>
        <sz val="11"/>
        <color theme="0"/>
        <rFont val="Calibri"/>
        <family val="2"/>
        <scheme val="minor"/>
      </rPr>
      <t xml:space="preserve"> [Nm]</t>
    </r>
  </si>
  <si>
    <t>Balanced Flange Moment at Diameter B1 (23)</t>
  </si>
  <si>
    <t>Balanced Flange Moment at Diameter B1 (24)</t>
  </si>
  <si>
    <t>Slope of Flange at Diameter B1 Times E (25)</t>
  </si>
  <si>
    <t>Slope of Flange at Diameter B1 Times E (26)</t>
  </si>
  <si>
    <r>
      <t>E</t>
    </r>
    <r>
      <rPr>
        <b/>
        <vertAlign val="subscript"/>
        <sz val="11"/>
        <color theme="0"/>
        <rFont val="Calibri"/>
        <family val="2"/>
        <scheme val="minor"/>
      </rPr>
      <t>II</t>
    </r>
    <r>
      <rPr>
        <b/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</rPr>
      <t>θ</t>
    </r>
    <r>
      <rPr>
        <b/>
        <vertAlign val="subscript"/>
        <sz val="9.35"/>
        <color theme="0"/>
        <rFont val="Calibri"/>
        <family val="2"/>
      </rPr>
      <t>B II</t>
    </r>
    <r>
      <rPr>
        <b/>
        <sz val="11"/>
        <color theme="0"/>
        <rFont val="Calibri"/>
        <family val="2"/>
        <scheme val="minor"/>
      </rPr>
      <t xml:space="preserve"> [MPa rad]</t>
    </r>
  </si>
  <si>
    <r>
      <t>E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</rPr>
      <t>θ</t>
    </r>
    <r>
      <rPr>
        <b/>
        <vertAlign val="subscript"/>
        <sz val="9.35"/>
        <color theme="0"/>
        <rFont val="Calibri"/>
        <family val="2"/>
      </rPr>
      <t>B I</t>
    </r>
    <r>
      <rPr>
        <b/>
        <sz val="11"/>
        <color theme="0"/>
        <rFont val="Calibri"/>
        <family val="2"/>
        <scheme val="minor"/>
      </rPr>
      <t xml:space="preserve"> [MPa rad]</t>
    </r>
  </si>
  <si>
    <t>Contact Force Between Flanges at hC (27)</t>
  </si>
  <si>
    <t>Difference between total hydrostatic end force and the hydrostatic end force on area inside of flange</t>
  </si>
  <si>
    <t>H [N]</t>
  </si>
  <si>
    <t>Total hydrostatic end force</t>
  </si>
  <si>
    <t>Radial distance from the bolt circle to the circle on which HT acts as prescribed in Table 2-6</t>
  </si>
  <si>
    <t>Radial distance from bolt circle to point of inter- section of hub and back of flange (loose type)</t>
  </si>
  <si>
    <t>Bolt Load at Operating Conditions (28)</t>
  </si>
  <si>
    <r>
      <t>σ</t>
    </r>
    <r>
      <rPr>
        <b/>
        <vertAlign val="subscript"/>
        <sz val="11"/>
        <color theme="0"/>
        <rFont val="Calibri"/>
        <family val="2"/>
        <scheme val="minor"/>
      </rPr>
      <t>b</t>
    </r>
    <r>
      <rPr>
        <b/>
        <sz val="11"/>
        <color theme="0"/>
        <rFont val="Calibri"/>
        <family val="2"/>
        <scheme val="minor"/>
      </rPr>
      <t xml:space="preserve"> [MPa]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</si>
  <si>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II</t>
    </r>
    <r>
      <rPr>
        <b/>
        <sz val="11"/>
        <color theme="0"/>
        <rFont val="Calibri"/>
        <family val="2"/>
        <scheme val="minor"/>
      </rPr>
      <t xml:space="preserve">  [mm]</t>
    </r>
  </si>
  <si>
    <t>Cover flange thickness</t>
  </si>
  <si>
    <t>Operating Bolt Stress (29)</t>
  </si>
  <si>
    <t>Design Prestress in Bolts (30)</t>
  </si>
  <si>
    <t>Calculated strain length of bolt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</si>
  <si>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 xml:space="preserve"> [MPa]</t>
    </r>
  </si>
  <si>
    <r>
      <t>S</t>
    </r>
    <r>
      <rPr>
        <b/>
        <vertAlign val="subscript"/>
        <sz val="11"/>
        <color theme="0"/>
        <rFont val="Calibri"/>
        <family val="2"/>
        <scheme val="minor"/>
      </rPr>
      <t>R I</t>
    </r>
    <r>
      <rPr>
        <b/>
        <sz val="11"/>
        <color theme="0"/>
        <rFont val="Calibri"/>
        <family val="2"/>
        <scheme val="minor"/>
      </rPr>
      <t xml:space="preserve"> [MPa]</t>
    </r>
  </si>
  <si>
    <t>Radial Stress in Flange I at Bolt Circle (31)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</si>
  <si>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T I</t>
    </r>
    <r>
      <rPr>
        <b/>
        <sz val="11"/>
        <color theme="0"/>
        <rFont val="Calibri"/>
        <family val="2"/>
        <scheme val="minor"/>
      </rPr>
      <t xml:space="preserve"> [MPa]</t>
    </r>
  </si>
  <si>
    <r>
      <t>S</t>
    </r>
    <r>
      <rPr>
        <b/>
        <vertAlign val="subscript"/>
        <sz val="11"/>
        <color theme="0"/>
        <rFont val="Calibri"/>
        <family val="2"/>
        <scheme val="minor"/>
      </rPr>
      <t>H I</t>
    </r>
    <r>
      <rPr>
        <b/>
        <sz val="11"/>
        <color theme="0"/>
        <rFont val="Calibri"/>
        <family val="2"/>
        <scheme val="minor"/>
      </rPr>
      <t xml:space="preserve"> [MPa]</t>
    </r>
  </si>
  <si>
    <t>Radial Stress in Flange II at Bolt Circle (35)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</si>
  <si>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R II</t>
    </r>
    <r>
      <rPr>
        <b/>
        <sz val="11"/>
        <color theme="0"/>
        <rFont val="Calibri"/>
        <family val="2"/>
        <scheme val="minor"/>
      </rPr>
      <t xml:space="preserve"> [MPa]</t>
    </r>
  </si>
  <si>
    <t>Radial Stress in Flange II at Diameter B1 (36)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</si>
  <si>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T II</t>
    </r>
    <r>
      <rPr>
        <b/>
        <sz val="11"/>
        <color theme="0"/>
        <rFont val="Calibri"/>
        <family val="2"/>
        <scheme val="minor"/>
      </rPr>
      <t xml:space="preserve"> [MPa]</t>
    </r>
  </si>
  <si>
    <t>Radial Stress at Center of Flange II (38)</t>
  </si>
  <si>
    <t>Tangential Stress at Center of Flange II (38)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</si>
  <si>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B</t>
    </r>
    <r>
      <rPr>
        <b/>
        <sz val="11"/>
        <color theme="0"/>
        <rFont val="Calibri"/>
        <family val="2"/>
        <scheme val="minor"/>
      </rPr>
      <t xml:space="preserve"> [MPa]</t>
    </r>
  </si>
  <si>
    <t>Allowable bolt stress at design temperature</t>
  </si>
  <si>
    <t>Allowable design stress for material of flange at design temperature (operating condition) or atmospheric temperature (gasket seating)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</si>
  <si>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f</t>
    </r>
    <r>
      <rPr>
        <b/>
        <sz val="11"/>
        <color theme="0"/>
        <rFont val="Calibri"/>
        <family val="2"/>
        <scheme val="minor"/>
      </rPr>
      <t xml:space="preserve"> [MPa]</t>
    </r>
  </si>
  <si>
    <r>
      <t>M</t>
    </r>
    <r>
      <rPr>
        <b/>
        <vertAlign val="subscript"/>
        <sz val="11"/>
        <color theme="0"/>
        <rFont val="Calibri"/>
        <family val="2"/>
        <scheme val="minor"/>
      </rPr>
      <t>U II</t>
    </r>
    <r>
      <rPr>
        <b/>
        <sz val="11"/>
        <color theme="0"/>
        <rFont val="Calibri"/>
        <family val="2"/>
        <scheme val="minor"/>
      </rPr>
      <t xml:space="preserve"> [Nm]</t>
    </r>
  </si>
  <si>
    <r>
      <t>E</t>
    </r>
    <r>
      <rPr>
        <b/>
        <vertAlign val="subscript"/>
        <sz val="11"/>
        <color theme="0"/>
        <rFont val="Calibri"/>
        <family val="2"/>
        <scheme val="minor"/>
      </rPr>
      <t>II</t>
    </r>
    <r>
      <rPr>
        <b/>
        <sz val="11"/>
        <color theme="0"/>
        <rFont val="Calibri"/>
        <family val="2"/>
        <scheme val="minor"/>
      </rPr>
      <t xml:space="preserve">* </t>
    </r>
    <r>
      <rPr>
        <b/>
        <sz val="11"/>
        <color theme="0"/>
        <rFont val="Calibri"/>
        <family val="2"/>
      </rPr>
      <t>θ</t>
    </r>
    <r>
      <rPr>
        <b/>
        <vertAlign val="subscript"/>
        <sz val="9.35"/>
        <color theme="0"/>
        <rFont val="Calibri"/>
        <family val="2"/>
      </rPr>
      <t>rb II</t>
    </r>
    <r>
      <rPr>
        <b/>
        <sz val="11"/>
        <color theme="0"/>
        <rFont val="Calibri"/>
        <family val="2"/>
        <scheme val="minor"/>
      </rPr>
      <t xml:space="preserve"> [Nm rad]</t>
    </r>
  </si>
  <si>
    <t>a [-]</t>
  </si>
  <si>
    <t>β [-]</t>
  </si>
  <si>
    <t>n [-]</t>
  </si>
  <si>
    <t>AR  [-]</t>
  </si>
  <si>
    <t>X [-]</t>
  </si>
  <si>
    <t>l [mm]</t>
  </si>
  <si>
    <t>Unbalanced Flange Moment at Diameter B1 (22)</t>
  </si>
  <si>
    <t>Total bolts area</t>
  </si>
  <si>
    <t>Elasticity factor (modulus of elasticity of flange material divided by modulus of elasticity of bolting material, corrected for operating temperature)</t>
  </si>
  <si>
    <t>Radial Stress in Flange I at Inside Diameter (32a)</t>
  </si>
  <si>
    <t>Longitudinal Hub Stress in Flange I (34a)</t>
  </si>
  <si>
    <t>Z</t>
  </si>
  <si>
    <t>K</t>
  </si>
  <si>
    <t>T</t>
  </si>
  <si>
    <t>U</t>
  </si>
  <si>
    <t>Y</t>
  </si>
  <si>
    <t>Table 2-7.1 - Flange Factors in Formula Form - Equation (1)</t>
  </si>
  <si>
    <t>Table 2-7.1 - Flange Factors in Formula Form - Equation (2)</t>
  </si>
  <si>
    <t>Table 2-7.1 - Flange Factors in Formula Form - Equation (3)</t>
  </si>
  <si>
    <t>Table 2-7.1 - Flange Factors in Formula Form - Equation (4)</t>
  </si>
  <si>
    <t>Table 2-7.1 - Flange Factors in Formula Form - Equation (5)</t>
  </si>
  <si>
    <t>Table 2-7.1 - Flange Factors in Formula Form - Equation (6)</t>
  </si>
  <si>
    <t>Table 2-7.1 - Flange Factors in Formula Form - Equation (7)</t>
  </si>
  <si>
    <t>Table 2-7.1 - Flange Factors in Formula Form - Equation (8)</t>
  </si>
  <si>
    <t>Table 2-7.1 - Flange Factors in Formula Form - Equation (9)</t>
  </si>
  <si>
    <t>Table 2-7.1 - Flange Factors in Formula Form - Equation (10)</t>
  </si>
  <si>
    <t>Table 2-7.1 - Flange Factors in Formula Form - Equation (11)</t>
  </si>
  <si>
    <t>Table 2-7.1 - Flange Factors in Formula Form - Equation (12)</t>
  </si>
  <si>
    <t>Table 2-7.1 - Flange Factors in Formula Form - Equation (13)</t>
  </si>
  <si>
    <t>Table 2-7.1 - Flange Factors in Formula Form - Equation (14)</t>
  </si>
  <si>
    <t>Table 2-7.1 - Flange Factors in Formula Form - Equation (15)</t>
  </si>
  <si>
    <t>Table 2-7.1 - Flange Factors in Formula Form - Equation (16)</t>
  </si>
  <si>
    <t>Table 2-7.1 - Flange Factors in Formula Form - Equation (17)</t>
  </si>
  <si>
    <t>Table 2-7.1 - Flange Factors in Formula Form - Equation (18)</t>
  </si>
  <si>
    <t>Table 2-7.1 - Flange Factors in Formula Form - Equation (19)</t>
  </si>
  <si>
    <t>Table 2-7.1 - Flange Factors in Formula Form - Equation (20)</t>
  </si>
  <si>
    <t>Table 2-7.1 - Flange Factors in Formula Form - Equation (21)</t>
  </si>
  <si>
    <t>Table 2-7.1 - Flange Factors in Formula Form - Equation (22)</t>
  </si>
  <si>
    <t>Table 2-7.1 - Flange Factors in Formula Form - Equation (23)</t>
  </si>
  <si>
    <t>Table 2-7.1 - Flange Factors in Formula Form - Equation (24)</t>
  </si>
  <si>
    <t>Table 2-7.1 - Flange Factors in Formula Form - Equation (25)</t>
  </si>
  <si>
    <t>Table 2-7.1 - Flange Factors in Formula Form - Equation (26)</t>
  </si>
  <si>
    <t>Table 2-7.1 - Flange Factors in Formula Form - Equation (27)</t>
  </si>
  <si>
    <t>Table 2-7.1 - Flange Factors in Formula Form - Equation (28)</t>
  </si>
  <si>
    <t>Table 2-7.1 - Flange Factors in Formula Form - Equation (29)</t>
  </si>
  <si>
    <t>Table 2-7.1 - Flange Factors in Formula Form - Equation (30)</t>
  </si>
  <si>
    <t>Table 2-7.1 - Flange Factors in Formula Form - Equation (31)</t>
  </si>
  <si>
    <t>Table 2-7.1 - Flange Factors in Formula Form - Equation (32)</t>
  </si>
  <si>
    <t>Table 2-7.1 - Flange Factors in Formula Form - Equation (33)</t>
  </si>
  <si>
    <t>Table 2-7.1 - Flange Factors in Formula Form - Equation (34)</t>
  </si>
  <si>
    <t>Table 2-7.1 - Flange Factors in Formula Form - Equation (35)</t>
  </si>
  <si>
    <t>Table 2-7.1 - Flange Factors in Formula Form - Equation (36)</t>
  </si>
  <si>
    <t>Table 2-7.1 - Flange Factors in Formula Form - Equation (37)</t>
  </si>
  <si>
    <t>Table 2-7.1 - Flange Factors in Formula Form - Equation (38)</t>
  </si>
  <si>
    <t>Table 2-7.1 - Flange Factors in Formula Form - Equation (39)</t>
  </si>
  <si>
    <t>Table 2-7.1 - Flange Factors in Formula Form - Equation (40)</t>
  </si>
  <si>
    <t>Table 2-7.1 - Flange Factors in Formula Form - Equation (41)</t>
  </si>
  <si>
    <t>Table 2-7.1 - Flange Factors in Formula Form - Equation (42)</t>
  </si>
  <si>
    <t>Table 2-7.1 - Flange Factors in Formula Form - Equation (43)</t>
  </si>
  <si>
    <t>Table 2-7.1 - Flange Factors in Formula Form - Equation (44)</t>
  </si>
  <si>
    <t>Table 2-7.1 - Flange Factors in Formula Form - Equation (45)</t>
  </si>
  <si>
    <t>Table 2-7.1 - Flange Factors in Formula Form</t>
  </si>
  <si>
    <t>Figure 2-7.1</t>
  </si>
  <si>
    <t>ASME VIII Div. 1 - Appendix 2</t>
  </si>
  <si>
    <t>ASME VIII Div. 1 - Appendix Y - Acceptance criteria (Y-7)</t>
  </si>
  <si>
    <t>ASME VIII Div. 1 - Appendix Y (Y-6.3)</t>
  </si>
  <si>
    <t>External force on the flange in design condition</t>
  </si>
  <si>
    <t>External force on the flange in hydrotest</t>
  </si>
  <si>
    <t>External force on single bolt in design condition</t>
  </si>
  <si>
    <t>External force on single bolt in hydrotest</t>
  </si>
  <si>
    <t>Elongation in design condition</t>
  </si>
  <si>
    <t>Elongation in hydrotest condition</t>
  </si>
  <si>
    <t>Barrel and cover deformation</t>
  </si>
  <si>
    <r>
      <t>Axial stress on bolt due to F</t>
    </r>
    <r>
      <rPr>
        <vertAlign val="subscript"/>
        <sz val="11"/>
        <color theme="0" tint="-0.499984740745262"/>
        <rFont val="Calibri"/>
        <family val="2"/>
        <scheme val="minor"/>
      </rPr>
      <t>0</t>
    </r>
  </si>
  <si>
    <t>Bolt deformation</t>
  </si>
  <si>
    <t>Barrel and cover elongation</t>
  </si>
  <si>
    <t>Bolt elongation elongation</t>
  </si>
  <si>
    <t>Maximum admissible load on thread</t>
  </si>
  <si>
    <t>Number of threads gripping the nut except one</t>
  </si>
  <si>
    <t>Flange stiffness</t>
  </si>
  <si>
    <t>Barrel internal diameter</t>
  </si>
  <si>
    <t>Flange thermal expansion coefficient</t>
  </si>
  <si>
    <t>Lenght of threaded part of the hole</t>
  </si>
  <si>
    <t>Hole diameter</t>
  </si>
  <si>
    <t>Young's modulus of barrel and cover material</t>
  </si>
  <si>
    <t>Yield stress of bolt at design temperature</t>
  </si>
  <si>
    <t>Half apex angle of Rotscher pressure cone</t>
  </si>
  <si>
    <t>Bolt stiffness</t>
  </si>
  <si>
    <t>Tightening ratio, usually 70 - 80%</t>
  </si>
  <si>
    <t>Bolt effective total lenght</t>
  </si>
  <si>
    <t>Area of threaded part</t>
  </si>
  <si>
    <t>Young's modulus of bolt material</t>
  </si>
  <si>
    <t>Yield stress of bolt at ambient tempearture</t>
  </si>
  <si>
    <t>Nut diameter</t>
  </si>
  <si>
    <t>Bolt diameter, unthreaded part</t>
  </si>
  <si>
    <t>Lenght of unthreaded part</t>
  </si>
  <si>
    <t>Bolt diameter, threaded part</t>
  </si>
  <si>
    <t>Pitch</t>
  </si>
  <si>
    <t>Washer thickness</t>
  </si>
  <si>
    <t>Bolt thermal expansion coefficient</t>
  </si>
  <si>
    <t>Tensile stress bolt diameter</t>
  </si>
  <si>
    <t>Lenght of threaded part</t>
  </si>
  <si>
    <t>Area of unthreaded part</t>
  </si>
  <si>
    <t>Ambient temperature</t>
  </si>
  <si>
    <t>Design temperature</t>
  </si>
  <si>
    <t>Design pressure</t>
  </si>
  <si>
    <t>Hydrotest pressure</t>
  </si>
  <si>
    <t>Outside diameter of the barrel / discharge casing</t>
  </si>
  <si>
    <t>J</t>
  </si>
  <si>
    <t>ASME VIII Div. 1 - Appendix II - Flange rigidity factors (Table 2-14)</t>
  </si>
  <si>
    <t>L</t>
  </si>
  <si>
    <t>e</t>
  </si>
  <si>
    <t>d</t>
  </si>
  <si>
    <t>Rigid Body Rotation of Flanges Times E* (17)</t>
  </si>
  <si>
    <t>Rigid Body Rotation of Flanges Times E* (18)</t>
  </si>
  <si>
    <t>Factor (1)</t>
  </si>
  <si>
    <t>Factor (2)</t>
  </si>
  <si>
    <t>Factor (3)</t>
  </si>
  <si>
    <t>Factor (4)</t>
  </si>
  <si>
    <t>ASME VIII Div. 1 - UG-27 - Thickness of shells under internal pressure</t>
  </si>
  <si>
    <t>Internal design pressure</t>
  </si>
  <si>
    <t>E</t>
  </si>
  <si>
    <t>Inside radius of the shell</t>
  </si>
  <si>
    <t>Maximum allowable stress value</t>
  </si>
  <si>
    <t>Joint efficiency (in case of casting, equal to 1)</t>
  </si>
  <si>
    <t>Total moment for integral-type flanges and optional type flanges designed as integral-type flanges</t>
  </si>
  <si>
    <t>Rigidity factor for integral-type flanges and optional type flanges designed as integral-type flanges</t>
  </si>
  <si>
    <t>Factor for integral type flange</t>
  </si>
  <si>
    <t>S [MPa]</t>
  </si>
  <si>
    <r>
      <t>t</t>
    </r>
    <r>
      <rPr>
        <b/>
        <vertAlign val="subscript"/>
        <sz val="11"/>
        <color theme="0"/>
        <rFont val="Calibri"/>
        <family val="2"/>
      </rPr>
      <t>min</t>
    </r>
    <r>
      <rPr>
        <b/>
        <sz val="11"/>
        <color theme="0"/>
        <rFont val="Calibri"/>
        <family val="2"/>
      </rPr>
      <t xml:space="preserve"> [mm]</t>
    </r>
  </si>
  <si>
    <t>Minimum required thickness at hydrostatic pressure</t>
  </si>
  <si>
    <t>Yield stress of barrel and cover at design temperature</t>
  </si>
  <si>
    <t>Yield stress of barrel and cover at ambient temperature</t>
  </si>
  <si>
    <r>
      <t>t</t>
    </r>
    <r>
      <rPr>
        <b/>
        <vertAlign val="subscript"/>
        <sz val="11"/>
        <color theme="0"/>
        <rFont val="Calibri"/>
        <family val="2"/>
        <scheme val="minor"/>
      </rPr>
      <t>II</t>
    </r>
    <r>
      <rPr>
        <b/>
        <sz val="11"/>
        <color theme="0"/>
        <rFont val="Calibri"/>
        <family val="2"/>
        <scheme val="minor"/>
      </rPr>
      <t xml:space="preserve"> [mm]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</si>
  <si>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 xml:space="preserve"> [mm]</t>
    </r>
  </si>
  <si>
    <t>p [barg]</t>
  </si>
  <si>
    <t>T1</t>
  </si>
  <si>
    <t>T2</t>
  </si>
  <si>
    <t>T3</t>
  </si>
  <si>
    <t>T4</t>
  </si>
  <si>
    <t>T5</t>
  </si>
  <si>
    <t>T6</t>
  </si>
  <si>
    <t>manufacturer</t>
  </si>
  <si>
    <t>gasket</t>
  </si>
  <si>
    <t>thickness [mm]</t>
  </si>
  <si>
    <r>
      <t>Q</t>
    </r>
    <r>
      <rPr>
        <b/>
        <vertAlign val="subscript"/>
        <sz val="11"/>
        <color theme="1"/>
        <rFont val="Calibri"/>
        <family val="2"/>
        <scheme val="minor"/>
      </rPr>
      <t xml:space="preserve">A </t>
    </r>
    <r>
      <rPr>
        <b/>
        <sz val="11"/>
        <color theme="1"/>
        <rFont val="Calibri"/>
        <family val="2"/>
        <scheme val="minor"/>
      </rPr>
      <t>[MPa]</t>
    </r>
  </si>
  <si>
    <r>
      <t>E</t>
    </r>
    <r>
      <rPr>
        <b/>
        <vertAlign val="subscript"/>
        <sz val="11"/>
        <color theme="1"/>
        <rFont val="Calibri"/>
        <family val="2"/>
        <scheme val="minor"/>
      </rPr>
      <t>G</t>
    </r>
    <r>
      <rPr>
        <b/>
        <sz val="11"/>
        <color theme="1"/>
        <rFont val="Calibri"/>
        <family val="2"/>
        <scheme val="minor"/>
      </rPr>
      <t xml:space="preserve"> [MPa]</t>
    </r>
  </si>
  <si>
    <r>
      <t>e</t>
    </r>
    <r>
      <rPr>
        <b/>
        <vertAlign val="subscript"/>
        <sz val="11"/>
        <color theme="1"/>
        <rFont val="Calibri"/>
        <family val="2"/>
        <scheme val="minor"/>
      </rPr>
      <t>QA</t>
    </r>
    <r>
      <rPr>
        <b/>
        <sz val="11"/>
        <color theme="1"/>
        <rFont val="Calibri"/>
        <family val="2"/>
        <scheme val="minor"/>
      </rPr>
      <t xml:space="preserve"> [mm]</t>
    </r>
  </si>
  <si>
    <t>user</t>
  </si>
  <si>
    <t>Flexitallic</t>
  </si>
  <si>
    <t>Graphite filler and 321/1.4541</t>
  </si>
  <si>
    <t>PTFE/316L</t>
  </si>
  <si>
    <t>TH835/321L</t>
  </si>
  <si>
    <t>name</t>
  </si>
  <si>
    <t>rows</t>
  </si>
  <si>
    <t>offset</t>
  </si>
  <si>
    <t>thichness [mm]</t>
  </si>
  <si>
    <t>manuf</t>
  </si>
  <si>
    <t>temp</t>
  </si>
  <si>
    <t>n rows</t>
  </si>
  <si>
    <t>Burgmann</t>
  </si>
  <si>
    <t>BPG 9336SIC</t>
  </si>
  <si>
    <t>Spiraltherm 9594/GIA</t>
  </si>
  <si>
    <t>BPG 9470F</t>
  </si>
  <si>
    <t>FLX_1</t>
  </si>
  <si>
    <t>FLX_2</t>
  </si>
  <si>
    <t>FLX_3</t>
  </si>
  <si>
    <t>EBG_1</t>
  </si>
  <si>
    <t>EBG_2</t>
  </si>
  <si>
    <t>EBG_3</t>
  </si>
  <si>
    <t>Gasket manufacturer</t>
  </si>
  <si>
    <t>Gasket name</t>
  </si>
  <si>
    <t xml:space="preserve">Gasket characteristic temperature </t>
  </si>
  <si>
    <r>
      <t>δ</t>
    </r>
    <r>
      <rPr>
        <b/>
        <vertAlign val="subscript"/>
        <sz val="11"/>
        <color theme="1"/>
        <rFont val="Calibri"/>
        <family val="2"/>
        <scheme val="minor"/>
      </rPr>
      <t>Qa</t>
    </r>
    <r>
      <rPr>
        <b/>
        <sz val="11"/>
        <color theme="1"/>
        <rFont val="Calibri"/>
        <family val="2"/>
        <scheme val="minor"/>
      </rPr>
      <t xml:space="preserve"> [mm]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</si>
  <si>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f</t>
    </r>
    <r>
      <rPr>
        <b/>
        <sz val="11"/>
        <color theme="0"/>
        <rFont val="Calibri"/>
        <family val="2"/>
        <scheme val="minor"/>
      </rPr>
      <t xml:space="preserve"> [mm]</t>
    </r>
  </si>
  <si>
    <r>
      <t>δ</t>
    </r>
    <r>
      <rPr>
        <b/>
        <vertAlign val="subscript"/>
        <sz val="11"/>
        <color theme="0"/>
        <rFont val="Calibri"/>
        <family val="2"/>
        <scheme val="minor"/>
      </rPr>
      <t>Qa</t>
    </r>
    <r>
      <rPr>
        <b/>
        <sz val="11"/>
        <color theme="0"/>
        <rFont val="Calibri"/>
        <family val="2"/>
        <scheme val="minor"/>
      </rPr>
      <t xml:space="preserve"> [mm]</t>
    </r>
  </si>
  <si>
    <t>Gasket compression</t>
  </si>
  <si>
    <t>Gasket operating thickness</t>
  </si>
  <si>
    <t>Gasket nominal thickness</t>
  </si>
  <si>
    <r>
      <t>Q</t>
    </r>
    <r>
      <rPr>
        <b/>
        <vertAlign val="subscript"/>
        <sz val="11"/>
        <color theme="0"/>
        <rFont val="Calibri"/>
        <family val="2"/>
        <scheme val="minor"/>
      </rPr>
      <t>A max</t>
    </r>
    <r>
      <rPr>
        <b/>
        <sz val="11"/>
        <color theme="0"/>
        <rFont val="Calibri"/>
        <family val="2"/>
        <scheme val="minor"/>
      </rPr>
      <t xml:space="preserve"> [MPa]</t>
    </r>
  </si>
  <si>
    <t>Gasket seat internal diameter</t>
  </si>
  <si>
    <r>
      <t>σ</t>
    </r>
    <r>
      <rPr>
        <b/>
        <vertAlign val="subscript"/>
        <sz val="11"/>
        <color theme="0"/>
        <rFont val="Calibri"/>
        <family val="2"/>
        <scheme val="minor"/>
      </rPr>
      <t>b/</t>
    </r>
    <r>
      <rPr>
        <b/>
        <sz val="11"/>
        <color theme="0"/>
        <rFont val="Calibri"/>
        <family val="2"/>
        <scheme val="minor"/>
      </rPr>
      <t>S</t>
    </r>
    <r>
      <rPr>
        <b/>
        <vertAlign val="subscript"/>
        <sz val="11"/>
        <color theme="0"/>
        <rFont val="Calibri"/>
        <family val="2"/>
        <scheme val="minor"/>
      </rPr>
      <t>B</t>
    </r>
    <r>
      <rPr>
        <b/>
        <sz val="11"/>
        <color theme="0"/>
        <rFont val="Calibri"/>
        <family val="2"/>
        <scheme val="minor"/>
      </rPr>
      <t xml:space="preserve"> [-]</t>
    </r>
  </si>
  <si>
    <t>Ratio between operating bolt stress and allowable bolt stress at design temperature (Y-7a)</t>
  </si>
  <si>
    <t>Ratio between longitudinal hub stress and allowable design stress for flange at design temperature (Y-7b)</t>
  </si>
  <si>
    <t>Ratio between radial stress in Flange I at Inside Diameter and allowable design stress for flange at design temperature (Y-7c)</t>
  </si>
  <si>
    <t>Ratio between radial stress in Flange I at Bolt Circle and allowable design stress for flange at design temperature (Y-7c)</t>
  </si>
  <si>
    <t>Ratio between radial stress in Flange II at Bolt Circle and allowable design stress for flange at design temperature (Y-7c)</t>
  </si>
  <si>
    <t>Tangential Stress in Flange I at Inside Diameter (33a)</t>
  </si>
  <si>
    <t>Tangential Stress in Flange II at Diameter B1 (37)</t>
  </si>
  <si>
    <t>Ratio between radial stress in Flange II at Diameter B1 and allowable design stress for flange at design temperature (Y-7c)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</si>
  <si>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H I</t>
    </r>
    <r>
      <rPr>
        <b/>
        <sz val="11"/>
        <color theme="0"/>
        <rFont val="Calibri"/>
        <family val="2"/>
        <scheme val="minor"/>
      </rPr>
      <t>/S</t>
    </r>
    <r>
      <rPr>
        <b/>
        <vertAlign val="subscript"/>
        <sz val="11"/>
        <color theme="0"/>
        <rFont val="Calibri"/>
        <family val="2"/>
        <scheme val="minor"/>
      </rPr>
      <t>f</t>
    </r>
    <r>
      <rPr>
        <b/>
        <sz val="11"/>
        <color theme="0"/>
        <rFont val="Calibri"/>
        <family val="2"/>
        <scheme val="minor"/>
      </rPr>
      <t xml:space="preserve"> [-]</t>
    </r>
  </si>
  <si>
    <r>
      <t>S</t>
    </r>
    <r>
      <rPr>
        <b/>
        <vertAlign val="subscript"/>
        <sz val="11"/>
        <color theme="0"/>
        <rFont val="Calibri"/>
        <family val="2"/>
        <scheme val="minor"/>
      </rPr>
      <t>R I</t>
    </r>
    <r>
      <rPr>
        <b/>
        <sz val="11"/>
        <color theme="0"/>
        <rFont val="Calibri"/>
        <family val="2"/>
        <scheme val="minor"/>
      </rPr>
      <t>/S</t>
    </r>
    <r>
      <rPr>
        <b/>
        <vertAlign val="subscript"/>
        <sz val="11"/>
        <color theme="0"/>
        <rFont val="Calibri"/>
        <family val="2"/>
        <scheme val="minor"/>
      </rPr>
      <t>f</t>
    </r>
    <r>
      <rPr>
        <b/>
        <sz val="11"/>
        <color theme="0"/>
        <rFont val="Calibri"/>
        <family val="2"/>
        <scheme val="minor"/>
      </rPr>
      <t xml:space="preserve"> [-]</t>
    </r>
  </si>
  <si>
    <r>
      <t>S</t>
    </r>
    <r>
      <rPr>
        <b/>
        <vertAlign val="subscript"/>
        <sz val="11"/>
        <color theme="0"/>
        <rFont val="Calibri"/>
        <family val="2"/>
        <scheme val="minor"/>
      </rPr>
      <t>R II</t>
    </r>
    <r>
      <rPr>
        <b/>
        <sz val="11"/>
        <color theme="0"/>
        <rFont val="Calibri"/>
        <family val="2"/>
        <scheme val="minor"/>
      </rPr>
      <t>/S</t>
    </r>
    <r>
      <rPr>
        <b/>
        <vertAlign val="subscript"/>
        <sz val="11"/>
        <color theme="0"/>
        <rFont val="Calibri"/>
        <family val="2"/>
        <scheme val="minor"/>
      </rPr>
      <t>f</t>
    </r>
    <r>
      <rPr>
        <b/>
        <sz val="11"/>
        <color theme="0"/>
        <rFont val="Calibri"/>
        <family val="2"/>
        <scheme val="minor"/>
      </rPr>
      <t xml:space="preserve"> [-]</t>
    </r>
  </si>
  <si>
    <r>
      <t>S</t>
    </r>
    <r>
      <rPr>
        <b/>
        <vertAlign val="subscript"/>
        <sz val="11"/>
        <color theme="0"/>
        <rFont val="Calibri"/>
        <family val="2"/>
        <scheme val="minor"/>
      </rPr>
      <t>T I</t>
    </r>
    <r>
      <rPr>
        <b/>
        <sz val="11"/>
        <color theme="0"/>
        <rFont val="Calibri"/>
        <family val="2"/>
        <scheme val="minor"/>
      </rPr>
      <t>/S</t>
    </r>
    <r>
      <rPr>
        <b/>
        <vertAlign val="subscript"/>
        <sz val="11"/>
        <color theme="0"/>
        <rFont val="Calibri"/>
        <family val="2"/>
        <scheme val="minor"/>
      </rPr>
      <t>f</t>
    </r>
    <r>
      <rPr>
        <b/>
        <sz val="11"/>
        <color theme="0"/>
        <rFont val="Calibri"/>
        <family val="2"/>
        <scheme val="minor"/>
      </rPr>
      <t xml:space="preserve"> [-]</t>
    </r>
  </si>
  <si>
    <r>
      <t>S</t>
    </r>
    <r>
      <rPr>
        <b/>
        <vertAlign val="subscript"/>
        <sz val="11"/>
        <color theme="0"/>
        <rFont val="Calibri"/>
        <family val="2"/>
        <scheme val="minor"/>
      </rPr>
      <t>T II</t>
    </r>
    <r>
      <rPr>
        <b/>
        <sz val="11"/>
        <color theme="0"/>
        <rFont val="Calibri"/>
        <family val="2"/>
        <scheme val="minor"/>
      </rPr>
      <t>/S</t>
    </r>
    <r>
      <rPr>
        <b/>
        <vertAlign val="subscript"/>
        <sz val="11"/>
        <color theme="0"/>
        <rFont val="Calibri"/>
        <family val="2"/>
        <scheme val="minor"/>
      </rPr>
      <t>f</t>
    </r>
    <r>
      <rPr>
        <b/>
        <sz val="11"/>
        <color theme="0"/>
        <rFont val="Calibri"/>
        <family val="2"/>
        <scheme val="minor"/>
      </rPr>
      <t xml:space="preserve"> [-]</t>
    </r>
  </si>
  <si>
    <r>
      <t>(S</t>
    </r>
    <r>
      <rPr>
        <b/>
        <vertAlign val="subscript"/>
        <sz val="11"/>
        <color theme="0"/>
        <rFont val="Calibri"/>
        <family val="2"/>
        <scheme val="minor"/>
      </rPr>
      <t>H I</t>
    </r>
    <r>
      <rPr>
        <b/>
        <sz val="11"/>
        <color theme="0"/>
        <rFont val="Calibri"/>
        <family val="2"/>
        <scheme val="minor"/>
      </rPr>
      <t xml:space="preserve"> + S</t>
    </r>
    <r>
      <rPr>
        <b/>
        <vertAlign val="subscript"/>
        <sz val="11"/>
        <color theme="0"/>
        <rFont val="Calibri"/>
        <family val="2"/>
        <scheme val="minor"/>
      </rPr>
      <t>R I</t>
    </r>
    <r>
      <rPr>
        <b/>
        <sz val="11"/>
        <color theme="0"/>
        <rFont val="Calibri"/>
        <family val="2"/>
        <scheme val="minor"/>
      </rPr>
      <t>)/2/S</t>
    </r>
    <r>
      <rPr>
        <b/>
        <vertAlign val="subscript"/>
        <sz val="11"/>
        <color theme="0"/>
        <rFont val="Calibri"/>
        <family val="2"/>
        <scheme val="minor"/>
      </rPr>
      <t>f</t>
    </r>
    <r>
      <rPr>
        <b/>
        <sz val="11"/>
        <color theme="0"/>
        <rFont val="Calibri"/>
        <family val="2"/>
        <scheme val="minor"/>
      </rPr>
      <t xml:space="preserve"> [-]</t>
    </r>
  </si>
  <si>
    <t>Ratio between tangential stress in Flange II at Center of Flange and allowable design stress for flange at design temperature (Y-7d)</t>
  </si>
  <si>
    <t>Ratio between tangential stress in Flange II at Diameter B1 and allowable design stress for flange at design temperature (Y-7d)</t>
  </si>
  <si>
    <t>Ratio between tangential stress in Flange I at Inside Diameter and allowable design stress for flange at design temperature (Y-7d)</t>
  </si>
  <si>
    <t>Ratio between average radial &amp; longitudinal stress in Flange I and allowable design stress for flange at design temperature (Y-7e)</t>
  </si>
  <si>
    <r>
      <t>(S</t>
    </r>
    <r>
      <rPr>
        <b/>
        <vertAlign val="subscript"/>
        <sz val="11"/>
        <color theme="0"/>
        <rFont val="Calibri"/>
        <family val="2"/>
        <scheme val="minor"/>
      </rPr>
      <t>H I</t>
    </r>
    <r>
      <rPr>
        <b/>
        <sz val="11"/>
        <color theme="0"/>
        <rFont val="Calibri"/>
        <family val="2"/>
        <scheme val="minor"/>
      </rPr>
      <t xml:space="preserve"> + S</t>
    </r>
    <r>
      <rPr>
        <b/>
        <vertAlign val="subscript"/>
        <sz val="11"/>
        <color theme="0"/>
        <rFont val="Calibri"/>
        <family val="2"/>
        <scheme val="minor"/>
      </rPr>
      <t>T I</t>
    </r>
    <r>
      <rPr>
        <b/>
        <sz val="11"/>
        <color theme="0"/>
        <rFont val="Calibri"/>
        <family val="2"/>
        <scheme val="minor"/>
      </rPr>
      <t>)/2/S</t>
    </r>
    <r>
      <rPr>
        <b/>
        <vertAlign val="subscript"/>
        <sz val="11"/>
        <color theme="0"/>
        <rFont val="Calibri"/>
        <family val="2"/>
        <scheme val="minor"/>
      </rPr>
      <t>f</t>
    </r>
    <r>
      <rPr>
        <b/>
        <sz val="11"/>
        <color theme="0"/>
        <rFont val="Calibri"/>
        <family val="2"/>
        <scheme val="minor"/>
      </rPr>
      <t xml:space="preserve"> [-]</t>
    </r>
  </si>
  <si>
    <t>Ratio between average radial &amp; tangential stress in Flange I and allowable design stress for flange at design temperature (Y-7e)</t>
  </si>
  <si>
    <t>Ratio between radial stress in Flange II at Center of Flange and allowable design stress for flange at design temperature (Y-7f)</t>
  </si>
  <si>
    <t>SF</t>
  </si>
  <si>
    <r>
      <t>t/t</t>
    </r>
    <r>
      <rPr>
        <b/>
        <vertAlign val="subscript"/>
        <sz val="11"/>
        <color theme="0"/>
        <rFont val="Calibri"/>
        <family val="2"/>
      </rPr>
      <t>min</t>
    </r>
    <r>
      <rPr>
        <b/>
        <sz val="11"/>
        <color theme="0"/>
        <rFont val="Calibri"/>
        <family val="2"/>
      </rPr>
      <t xml:space="preserve"> [-]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</si>
  <si>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gasket</t>
    </r>
    <r>
      <rPr>
        <b/>
        <sz val="11"/>
        <color theme="0"/>
        <rFont val="Calibri"/>
        <family val="2"/>
        <scheme val="minor"/>
      </rPr>
      <t xml:space="preserve"> [mm]</t>
    </r>
  </si>
  <si>
    <r>
      <t>g</t>
    </r>
    <r>
      <rPr>
        <b/>
        <vertAlign val="subscript"/>
        <sz val="11"/>
        <color theme="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 xml:space="preserve"> [mm]</t>
    </r>
  </si>
  <si>
    <r>
      <t>g</t>
    </r>
    <r>
      <rPr>
        <b/>
        <vertAlign val="subscript"/>
        <sz val="11"/>
        <color theme="0"/>
        <rFont val="Calibri"/>
        <family val="2"/>
        <scheme val="minor"/>
      </rPr>
      <t>0</t>
    </r>
    <r>
      <rPr>
        <b/>
        <sz val="11"/>
        <color theme="0"/>
        <rFont val="Calibri"/>
        <family val="2"/>
        <scheme val="minor"/>
      </rPr>
      <t xml:space="preserve"> [mm]</t>
    </r>
  </si>
  <si>
    <r>
      <t>g</t>
    </r>
    <r>
      <rPr>
        <b/>
        <vertAlign val="subscript"/>
        <sz val="11"/>
        <color theme="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 xml:space="preserve"> /g</t>
    </r>
    <r>
      <rPr>
        <b/>
        <vertAlign val="subscript"/>
        <sz val="11"/>
        <color theme="0"/>
        <rFont val="Calibri"/>
        <family val="2"/>
        <scheme val="minor"/>
      </rPr>
      <t>0</t>
    </r>
    <r>
      <rPr>
        <b/>
        <sz val="11"/>
        <color theme="0"/>
        <rFont val="Calibri"/>
        <family val="2"/>
        <scheme val="minor"/>
      </rPr>
      <t xml:space="preserve"> [-]</t>
    </r>
  </si>
  <si>
    <r>
      <t>h</t>
    </r>
    <r>
      <rPr>
        <b/>
        <vertAlign val="subscript"/>
        <sz val="11"/>
        <color theme="0"/>
        <rFont val="Calibri"/>
        <family val="2"/>
        <scheme val="minor"/>
      </rPr>
      <t>0</t>
    </r>
    <r>
      <rPr>
        <b/>
        <sz val="11"/>
        <color theme="0"/>
        <rFont val="Calibri"/>
        <family val="2"/>
        <scheme val="minor"/>
      </rPr>
      <t xml:space="preserve"> [mm]</t>
    </r>
  </si>
  <si>
    <r>
      <t>h/h</t>
    </r>
    <r>
      <rPr>
        <b/>
        <vertAlign val="subscript"/>
        <sz val="11"/>
        <color theme="0"/>
        <rFont val="Calibri"/>
        <family val="2"/>
        <scheme val="minor"/>
      </rPr>
      <t>0</t>
    </r>
    <r>
      <rPr>
        <b/>
        <sz val="11"/>
        <color theme="0"/>
        <rFont val="Calibri"/>
        <family val="2"/>
        <scheme val="minor"/>
      </rPr>
      <t xml:space="preserve"> [-]</t>
    </r>
  </si>
  <si>
    <r>
      <t>h</t>
    </r>
    <r>
      <rPr>
        <b/>
        <vertAlign val="subscript"/>
        <sz val="11"/>
        <color theme="0"/>
        <rFont val="Calibri"/>
        <family val="2"/>
        <scheme val="minor"/>
      </rPr>
      <t>D</t>
    </r>
    <r>
      <rPr>
        <b/>
        <sz val="11"/>
        <color theme="0"/>
        <rFont val="Calibri"/>
        <family val="2"/>
        <scheme val="minor"/>
      </rPr>
      <t xml:space="preserve"> [mm]</t>
    </r>
  </si>
  <si>
    <r>
      <t>h</t>
    </r>
    <r>
      <rPr>
        <b/>
        <vertAlign val="subscript"/>
        <sz val="11"/>
        <color theme="0"/>
        <rFont val="Calibri"/>
        <family val="2"/>
        <scheme val="minor"/>
      </rPr>
      <t>C</t>
    </r>
    <r>
      <rPr>
        <b/>
        <sz val="11"/>
        <color theme="0"/>
        <rFont val="Calibri"/>
        <family val="2"/>
        <scheme val="minor"/>
      </rPr>
      <t xml:space="preserve"> [mm]</t>
    </r>
  </si>
  <si>
    <r>
      <t>h</t>
    </r>
    <r>
      <rPr>
        <b/>
        <vertAlign val="subscript"/>
        <sz val="11"/>
        <color theme="0"/>
        <rFont val="Calibri"/>
        <family val="2"/>
        <scheme val="minor"/>
      </rPr>
      <t>C max</t>
    </r>
    <r>
      <rPr>
        <b/>
        <sz val="11"/>
        <color theme="0"/>
        <rFont val="Calibri"/>
        <family val="2"/>
        <scheme val="minor"/>
      </rPr>
      <t xml:space="preserve"> [mm]</t>
    </r>
  </si>
  <si>
    <r>
      <t>r</t>
    </r>
    <r>
      <rPr>
        <b/>
        <vertAlign val="subscript"/>
        <sz val="11"/>
        <color theme="0"/>
        <rFont val="Calibri"/>
        <family val="2"/>
        <scheme val="minor"/>
      </rPr>
      <t>B</t>
    </r>
    <r>
      <rPr>
        <b/>
        <sz val="11"/>
        <color theme="0"/>
        <rFont val="Calibri"/>
        <family val="2"/>
        <scheme val="minor"/>
      </rPr>
      <t xml:space="preserve"> [-]</t>
    </r>
  </si>
  <si>
    <r>
      <t>B</t>
    </r>
    <r>
      <rPr>
        <b/>
        <vertAlign val="subscript"/>
        <sz val="11"/>
        <color theme="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 xml:space="preserve"> [mm]</t>
    </r>
  </si>
  <si>
    <r>
      <t>J</t>
    </r>
    <r>
      <rPr>
        <b/>
        <vertAlign val="subscript"/>
        <sz val="11"/>
        <color theme="0"/>
        <rFont val="Calibri"/>
        <family val="2"/>
        <scheme val="minor"/>
      </rPr>
      <t>s</t>
    </r>
    <r>
      <rPr>
        <b/>
        <sz val="11"/>
        <color theme="0"/>
        <rFont val="Calibri"/>
        <family val="2"/>
        <scheme val="minor"/>
      </rPr>
      <t xml:space="preserve"> [-]</t>
    </r>
  </si>
  <si>
    <r>
      <t>J</t>
    </r>
    <r>
      <rPr>
        <b/>
        <vertAlign val="subscript"/>
        <sz val="11"/>
        <color theme="0"/>
        <rFont val="Calibri"/>
        <family val="2"/>
        <scheme val="minor"/>
      </rPr>
      <t>p</t>
    </r>
    <r>
      <rPr>
        <b/>
        <sz val="11"/>
        <color theme="0"/>
        <rFont val="Calibri"/>
        <family val="2"/>
        <scheme val="minor"/>
      </rPr>
      <t xml:space="preserve"> [-]</t>
    </r>
  </si>
  <si>
    <r>
      <t>h</t>
    </r>
    <r>
      <rPr>
        <b/>
        <vertAlign val="subscript"/>
        <sz val="11"/>
        <color theme="0"/>
        <rFont val="Calibri"/>
        <family val="2"/>
        <scheme val="minor"/>
      </rPr>
      <t>G</t>
    </r>
    <r>
      <rPr>
        <b/>
        <sz val="11"/>
        <color theme="0"/>
        <rFont val="Calibri"/>
        <family val="2"/>
        <scheme val="minor"/>
      </rPr>
      <t xml:space="preserve"> [mm]</t>
    </r>
  </si>
  <si>
    <r>
      <t>h</t>
    </r>
    <r>
      <rPr>
        <b/>
        <vertAlign val="subscript"/>
        <sz val="11"/>
        <color theme="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 xml:space="preserve"> [mm]</t>
    </r>
  </si>
  <si>
    <r>
      <t>H</t>
    </r>
    <r>
      <rPr>
        <b/>
        <vertAlign val="subscript"/>
        <sz val="11"/>
        <color theme="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 xml:space="preserve"> [N]</t>
    </r>
  </si>
  <si>
    <r>
      <t>H</t>
    </r>
    <r>
      <rPr>
        <b/>
        <vertAlign val="subscript"/>
        <sz val="11"/>
        <color theme="0"/>
        <rFont val="Calibri"/>
        <family val="2"/>
        <scheme val="minor"/>
      </rPr>
      <t>G</t>
    </r>
    <r>
      <rPr>
        <b/>
        <sz val="11"/>
        <color theme="0"/>
        <rFont val="Calibri"/>
        <family val="2"/>
        <scheme val="minor"/>
      </rPr>
      <t xml:space="preserve"> [N]</t>
    </r>
  </si>
  <si>
    <r>
      <t>H</t>
    </r>
    <r>
      <rPr>
        <b/>
        <vertAlign val="subscript"/>
        <sz val="11"/>
        <color theme="0"/>
        <rFont val="Calibri"/>
        <family val="2"/>
        <scheme val="minor"/>
      </rPr>
      <t>D</t>
    </r>
    <r>
      <rPr>
        <b/>
        <sz val="11"/>
        <color theme="0"/>
        <rFont val="Calibri"/>
        <family val="2"/>
        <scheme val="minor"/>
      </rPr>
      <t xml:space="preserve"> [N]</t>
    </r>
  </si>
  <si>
    <r>
      <t>M</t>
    </r>
    <r>
      <rPr>
        <b/>
        <vertAlign val="subscript"/>
        <sz val="11"/>
        <color theme="0"/>
        <rFont val="Calibri"/>
        <family val="2"/>
        <scheme val="minor"/>
      </rPr>
      <t>P</t>
    </r>
    <r>
      <rPr>
        <b/>
        <sz val="11"/>
        <color theme="0"/>
        <rFont val="Calibri"/>
        <family val="2"/>
        <scheme val="minor"/>
      </rPr>
      <t xml:space="preserve"> [Nm]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</si>
  <si>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>I'</t>
    </r>
    <r>
      <rPr>
        <b/>
        <sz val="11"/>
        <color theme="0"/>
        <rFont val="Calibri"/>
        <family val="2"/>
        <scheme val="minor"/>
      </rPr>
      <t xml:space="preserve"> [mm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]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</si>
  <si>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 xml:space="preserve"> [-]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</si>
  <si>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[Nm]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</si>
  <si>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 xml:space="preserve"> [-]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</si>
  <si>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4</t>
    </r>
    <r>
      <rPr>
        <b/>
        <sz val="11"/>
        <color theme="0"/>
        <rFont val="Calibri"/>
        <family val="2"/>
        <scheme val="minor"/>
      </rPr>
      <t xml:space="preserve"> [Nm]</t>
    </r>
  </si>
  <si>
    <r>
      <t>r</t>
    </r>
    <r>
      <rPr>
        <b/>
        <vertAlign val="subscript"/>
        <sz val="11"/>
        <color theme="0"/>
        <rFont val="Calibri"/>
        <family val="2"/>
        <scheme val="minor"/>
      </rPr>
      <t>EI</t>
    </r>
    <r>
      <rPr>
        <b/>
        <sz val="11"/>
        <color theme="0"/>
        <rFont val="Calibri"/>
        <family val="2"/>
        <scheme val="minor"/>
      </rPr>
      <t xml:space="preserve"> [-]</t>
    </r>
  </si>
  <si>
    <r>
      <t>H</t>
    </r>
    <r>
      <rPr>
        <b/>
        <vertAlign val="subscript"/>
        <sz val="11"/>
        <color theme="0"/>
        <rFont val="Calibri"/>
        <family val="2"/>
        <scheme val="minor"/>
      </rPr>
      <t>C</t>
    </r>
    <r>
      <rPr>
        <b/>
        <sz val="11"/>
        <color theme="0"/>
        <rFont val="Calibri"/>
        <family val="2"/>
        <scheme val="minor"/>
      </rPr>
      <t xml:space="preserve"> [N]</t>
    </r>
  </si>
  <si>
    <r>
      <t>W</t>
    </r>
    <r>
      <rPr>
        <b/>
        <vertAlign val="subscript"/>
        <sz val="11"/>
        <color theme="0"/>
        <rFont val="Calibri"/>
        <family val="2"/>
        <scheme val="minor"/>
      </rPr>
      <t>m1</t>
    </r>
    <r>
      <rPr>
        <b/>
        <sz val="11"/>
        <color theme="0"/>
        <rFont val="Calibri"/>
        <family val="2"/>
        <scheme val="minor"/>
      </rPr>
      <t xml:space="preserve"> [N]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</si>
  <si>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1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</si>
  <si>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2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</si>
  <si>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3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</si>
  <si>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4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</si>
  <si>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5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</si>
  <si>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6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</si>
  <si>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7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</si>
  <si>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8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</si>
  <si>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9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</si>
  <si>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10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</si>
  <si>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11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</si>
  <si>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12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</si>
  <si>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13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</si>
  <si>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14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</si>
  <si>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15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</si>
  <si>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16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</si>
  <si>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17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</si>
  <si>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18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</si>
  <si>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19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</si>
  <si>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20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</si>
  <si>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21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</si>
  <si>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22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</si>
  <si>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23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</si>
  <si>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24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</si>
  <si>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25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</si>
  <si>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26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</si>
  <si>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27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</si>
  <si>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28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</si>
  <si>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29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</si>
  <si>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30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</si>
  <si>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31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</si>
  <si>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32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</si>
  <si>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33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</si>
  <si>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34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</si>
  <si>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35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</si>
  <si>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36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</si>
  <si>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37</t>
    </r>
  </si>
  <si>
    <r>
      <t>E</t>
    </r>
    <r>
      <rPr>
        <b/>
        <vertAlign val="subscript"/>
        <sz val="11"/>
        <color theme="0"/>
        <rFont val="Calibri"/>
        <family val="2"/>
        <scheme val="minor"/>
      </rPr>
      <t>1</t>
    </r>
  </si>
  <si>
    <r>
      <t>E</t>
    </r>
    <r>
      <rPr>
        <b/>
        <vertAlign val="subscript"/>
        <sz val="11"/>
        <color theme="0"/>
        <rFont val="Calibri"/>
        <family val="2"/>
        <scheme val="minor"/>
      </rPr>
      <t>2</t>
    </r>
  </si>
  <si>
    <r>
      <t>E</t>
    </r>
    <r>
      <rPr>
        <b/>
        <vertAlign val="subscript"/>
        <sz val="11"/>
        <color theme="0"/>
        <rFont val="Calibri"/>
        <family val="2"/>
        <scheme val="minor"/>
      </rPr>
      <t>3</t>
    </r>
  </si>
  <si>
    <r>
      <t>E</t>
    </r>
    <r>
      <rPr>
        <b/>
        <vertAlign val="subscript"/>
        <sz val="11"/>
        <color theme="0"/>
        <rFont val="Calibri"/>
        <family val="2"/>
        <scheme val="minor"/>
      </rPr>
      <t>4</t>
    </r>
  </si>
  <si>
    <r>
      <t>E</t>
    </r>
    <r>
      <rPr>
        <b/>
        <vertAlign val="subscript"/>
        <sz val="11"/>
        <color theme="0"/>
        <rFont val="Calibri"/>
        <family val="2"/>
        <scheme val="minor"/>
      </rPr>
      <t>5</t>
    </r>
  </si>
  <si>
    <r>
      <t>E</t>
    </r>
    <r>
      <rPr>
        <b/>
        <vertAlign val="subscript"/>
        <sz val="11"/>
        <color theme="0"/>
        <rFont val="Calibri"/>
        <family val="2"/>
        <scheme val="minor"/>
      </rPr>
      <t>6</t>
    </r>
  </si>
  <si>
    <r>
      <t>M</t>
    </r>
    <r>
      <rPr>
        <b/>
        <vertAlign val="subscript"/>
        <sz val="11"/>
        <color theme="0"/>
        <rFont val="Calibri"/>
        <family val="2"/>
      </rPr>
      <t>o</t>
    </r>
    <r>
      <rPr>
        <b/>
        <sz val="11"/>
        <color theme="0"/>
        <rFont val="Calibri"/>
        <family val="2"/>
      </rPr>
      <t xml:space="preserve"> [Nm]</t>
    </r>
  </si>
  <si>
    <t>Barrel thickness</t>
  </si>
  <si>
    <r>
      <t>t</t>
    </r>
    <r>
      <rPr>
        <b/>
        <vertAlign val="subscript"/>
        <sz val="11"/>
        <color theme="0"/>
        <rFont val="Calibri"/>
        <family val="2"/>
      </rPr>
      <t>barrel</t>
    </r>
    <r>
      <rPr>
        <b/>
        <sz val="11"/>
        <color theme="0"/>
        <rFont val="Calibri"/>
        <family val="2"/>
      </rPr>
      <t xml:space="preserve"> [mm]</t>
    </r>
  </si>
  <si>
    <t>Ratio between barrel minimum required and actual thicknesses</t>
  </si>
  <si>
    <t>Safety factor for barrel thickness (minimum 2.5)</t>
  </si>
  <si>
    <t>(unloading elastic modulus)</t>
  </si>
  <si>
    <t>(gasket thickness at assembly)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</si>
  <si>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int</t>
    </r>
    <r>
      <rPr>
        <b/>
        <sz val="11"/>
        <color theme="0"/>
        <rFont val="Calibri"/>
        <family val="2"/>
        <scheme val="minor"/>
      </rPr>
      <t xml:space="preserve"> [mm]</t>
    </r>
  </si>
  <si>
    <t>(gasket compression)</t>
  </si>
  <si>
    <t>Selected gasket loading curve</t>
  </si>
  <si>
    <t>PJS S1ZG with graphite filler</t>
  </si>
  <si>
    <t>MMSIA with mica</t>
  </si>
  <si>
    <t>MMSIA graphite</t>
  </si>
  <si>
    <t>SCH_1</t>
  </si>
  <si>
    <t>MOL_1</t>
  </si>
  <si>
    <t>MOL_2</t>
  </si>
  <si>
    <t>Moeller</t>
  </si>
  <si>
    <t>Kempchen</t>
  </si>
  <si>
    <t>SpV2I - Graphite (1.4541 / 0.5 mm)</t>
  </si>
  <si>
    <t>KEM_1</t>
  </si>
  <si>
    <t>Bolted joint verification</t>
  </si>
  <si>
    <t>Bolted joint results</t>
  </si>
  <si>
    <t>Warnings legend</t>
  </si>
  <si>
    <t>Gasket</t>
  </si>
  <si>
    <t>type</t>
  </si>
  <si>
    <t>Gasket type</t>
  </si>
  <si>
    <t>Ultimate stress of barrel and cover at design temperature</t>
  </si>
  <si>
    <t>Ultimate stress of bolt at design temperature</t>
  </si>
  <si>
    <r>
      <t>σ'</t>
    </r>
    <r>
      <rPr>
        <b/>
        <vertAlign val="subscript"/>
        <sz val="11"/>
        <color theme="0"/>
        <rFont val="Calibri"/>
        <family val="2"/>
        <scheme val="minor"/>
      </rPr>
      <t>uf</t>
    </r>
    <r>
      <rPr>
        <b/>
        <sz val="11"/>
        <color theme="0"/>
        <rFont val="Calibri"/>
        <family val="2"/>
        <scheme val="minor"/>
      </rPr>
      <t xml:space="preserve"> [MPa]</t>
    </r>
  </si>
  <si>
    <r>
      <t>σ'</t>
    </r>
    <r>
      <rPr>
        <b/>
        <vertAlign val="subscript"/>
        <sz val="11"/>
        <color theme="0"/>
        <rFont val="Calibri"/>
        <family val="2"/>
        <scheme val="minor"/>
      </rPr>
      <t>ub</t>
    </r>
    <r>
      <rPr>
        <b/>
        <sz val="11"/>
        <color theme="0"/>
        <rFont val="Calibri"/>
        <family val="2"/>
        <scheme val="minor"/>
      </rPr>
      <t xml:space="preserve"> [MPa]</t>
    </r>
  </si>
  <si>
    <t>Poisson's ratio</t>
  </si>
  <si>
    <t>Internal pressure on the flange in design condition</t>
  </si>
  <si>
    <t>Internal pressure on the flange in hydrotest</t>
  </si>
  <si>
    <t>ni [-]</t>
  </si>
  <si>
    <t>2a [mm]</t>
  </si>
  <si>
    <t>P.J.Schulz</t>
  </si>
  <si>
    <r>
      <t>q</t>
    </r>
    <r>
      <rPr>
        <b/>
        <vertAlign val="subscript"/>
        <sz val="11"/>
        <color theme="0"/>
        <rFont val="Calibri"/>
        <family val="2"/>
        <scheme val="minor"/>
      </rPr>
      <t>design</t>
    </r>
    <r>
      <rPr>
        <b/>
        <sz val="11"/>
        <color theme="0"/>
        <rFont val="Calibri"/>
        <family val="2"/>
        <scheme val="minor"/>
      </rPr>
      <t xml:space="preserve"> [MPa]</t>
    </r>
  </si>
  <si>
    <r>
      <t>q</t>
    </r>
    <r>
      <rPr>
        <b/>
        <vertAlign val="subscript"/>
        <sz val="11"/>
        <color theme="0"/>
        <rFont val="Calibri"/>
        <family val="2"/>
        <scheme val="minor"/>
      </rPr>
      <t>hydro</t>
    </r>
    <r>
      <rPr>
        <b/>
        <sz val="11"/>
        <color theme="0"/>
        <rFont val="Calibri"/>
        <family val="2"/>
        <scheme val="minor"/>
      </rPr>
      <t xml:space="preserve"> [MPa]</t>
    </r>
  </si>
  <si>
    <r>
      <t>w</t>
    </r>
    <r>
      <rPr>
        <b/>
        <vertAlign val="subscript"/>
        <sz val="11"/>
        <color theme="0"/>
        <rFont val="Calibri"/>
        <family val="2"/>
        <scheme val="minor"/>
      </rPr>
      <t>g</t>
    </r>
    <r>
      <rPr>
        <b/>
        <sz val="11"/>
        <color theme="0"/>
        <rFont val="Calibri"/>
        <family val="2"/>
        <scheme val="minor"/>
      </rPr>
      <t xml:space="preserve"> [N/mm]</t>
    </r>
  </si>
  <si>
    <r>
      <t>w</t>
    </r>
    <r>
      <rPr>
        <b/>
        <vertAlign val="subscript"/>
        <sz val="11"/>
        <color theme="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 xml:space="preserve"> [N/mm]</t>
    </r>
  </si>
  <si>
    <r>
      <t>w</t>
    </r>
    <r>
      <rPr>
        <b/>
        <vertAlign val="subscript"/>
        <sz val="11"/>
        <color theme="0"/>
        <rFont val="Calibri"/>
        <family val="2"/>
        <scheme val="minor"/>
      </rPr>
      <t>0</t>
    </r>
    <r>
      <rPr>
        <b/>
        <sz val="11"/>
        <color theme="0"/>
        <rFont val="Calibri"/>
        <family val="2"/>
        <scheme val="minor"/>
      </rPr>
      <t xml:space="preserve"> [N/mm]</t>
    </r>
  </si>
  <si>
    <t>Cover internal diameter</t>
  </si>
  <si>
    <t>Solution from Roark's Formulas for Stress and Strain - Table 11.2</t>
  </si>
  <si>
    <t>Solution from Roark's Formulas for Stress and Strain - Table 11.2 (1e)</t>
  </si>
  <si>
    <t>Solution from Roark's Formulas for Stress and Strain - Table 11.2 (1e) at bolt diameter</t>
  </si>
  <si>
    <t>Solution from Roark's Formulas for Stress and Strain - Table 11.2 (2e)</t>
  </si>
  <si>
    <t>Solution from Roark's Formulas for Stress and Strain - Table 11.2 at bolt circle diameter</t>
  </si>
  <si>
    <t>press</t>
  </si>
  <si>
    <r>
      <t>M</t>
    </r>
    <r>
      <rPr>
        <b/>
        <vertAlign val="subscript"/>
        <sz val="11"/>
        <color theme="0"/>
        <rFont val="Calibri"/>
        <family val="2"/>
        <scheme val="minor"/>
      </rPr>
      <t>ra</t>
    </r>
    <r>
      <rPr>
        <b/>
        <sz val="11"/>
        <color theme="0"/>
        <rFont val="Calibri"/>
        <family val="2"/>
        <scheme val="minor"/>
      </rPr>
      <t xml:space="preserve"> [N]</t>
    </r>
  </si>
  <si>
    <t>total</t>
  </si>
  <si>
    <t>Thickness of hub at small end (barrel) - barrel thickness</t>
  </si>
  <si>
    <t>ya [mm]</t>
  </si>
  <si>
    <t>thetaa [°]</t>
  </si>
  <si>
    <t>ybolt [mm]</t>
  </si>
  <si>
    <t>unloading curve</t>
  </si>
  <si>
    <t>δ [mm]</t>
  </si>
  <si>
    <t>ygasket [mm]</t>
  </si>
  <si>
    <t>Solution from Roark's Formulas for Stress and Strain - Table 11.2 (1e) at gasket internal diameter</t>
  </si>
  <si>
    <t>Pressure load</t>
  </si>
  <si>
    <r>
      <t>δ</t>
    </r>
    <r>
      <rPr>
        <b/>
        <vertAlign val="subscript"/>
        <sz val="11"/>
        <color theme="1"/>
        <rFont val="Calibri"/>
        <family val="2"/>
        <scheme val="minor"/>
      </rPr>
      <t>Q0</t>
    </r>
    <r>
      <rPr>
        <b/>
        <sz val="11"/>
        <color theme="1"/>
        <rFont val="Calibri"/>
        <family val="2"/>
        <scheme val="minor"/>
      </rPr>
      <t xml:space="preserve"> [mm]</t>
    </r>
  </si>
  <si>
    <r>
      <rPr>
        <b/>
        <sz val="11"/>
        <color theme="1"/>
        <rFont val="Aptos Narrow"/>
        <family val="2"/>
      </rPr>
      <t>Δ</t>
    </r>
    <r>
      <rPr>
        <b/>
        <sz val="11"/>
        <color theme="1"/>
        <rFont val="Calibri"/>
        <family val="2"/>
        <scheme val="minor"/>
      </rPr>
      <t>e [mm]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</si>
  <si>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A</t>
    </r>
    <r>
      <rPr>
        <b/>
        <sz val="11"/>
        <color theme="1"/>
        <rFont val="Calibri"/>
        <family val="2"/>
        <scheme val="minor"/>
      </rPr>
      <t xml:space="preserve"> [MPa]</t>
    </r>
  </si>
  <si>
    <r>
      <t>e</t>
    </r>
    <r>
      <rPr>
        <b/>
        <vertAlign val="subscript"/>
        <sz val="11"/>
        <color theme="1"/>
        <rFont val="Calibri"/>
        <family val="2"/>
        <scheme val="minor"/>
      </rPr>
      <t>Q0</t>
    </r>
    <r>
      <rPr>
        <b/>
        <sz val="11"/>
        <color theme="1"/>
        <rFont val="Calibri"/>
        <family val="2"/>
        <scheme val="minor"/>
      </rPr>
      <t xml:space="preserve"> [mm]</t>
    </r>
  </si>
  <si>
    <t>(unloading thickness variation)</t>
  </si>
  <si>
    <t>(surface pressure at assembly)</t>
  </si>
  <si>
    <t>(surface pressure)</t>
  </si>
  <si>
    <t>Selected gasket loading curve - Operating point</t>
  </si>
  <si>
    <t>Solution from Roark's Formulas for Stress and Strain - Table 11.2 at gasket internal diameter</t>
  </si>
  <si>
    <t>(unloaded gasket thickness at Q=0)</t>
  </si>
  <si>
    <t>(unloaded gasket compression at Q=0)</t>
  </si>
  <si>
    <t>Initial tightening force on each bolt</t>
  </si>
  <si>
    <t>bolt</t>
  </si>
  <si>
    <t>r</t>
  </si>
  <si>
    <t>Final tightening force for unit length</t>
  </si>
  <si>
    <t>Selected gasket unloading curve</t>
  </si>
  <si>
    <t>Initial gasket pressure load</t>
  </si>
  <si>
    <t>Initial gasket load</t>
  </si>
  <si>
    <t>Diameter of internal contact circumference with pressure</t>
  </si>
  <si>
    <t>Thermal force on each bolt</t>
  </si>
  <si>
    <t>Thermal force for unit length</t>
  </si>
  <si>
    <t>Final gasket force for unit length</t>
  </si>
  <si>
    <t>Final gasket pressure load at design condition</t>
  </si>
  <si>
    <t>Final gasket load at design condition</t>
  </si>
  <si>
    <t>Tightening force on each bolt at design condition</t>
  </si>
  <si>
    <t>Hydrotest Pressure &amp; Ambient Temperature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</si>
  <si>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0,hydro</t>
    </r>
    <r>
      <rPr>
        <b/>
        <sz val="11"/>
        <color theme="0"/>
        <rFont val="Calibri"/>
        <family val="2"/>
        <scheme val="minor"/>
      </rPr>
      <t xml:space="preserve"> [N]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</si>
  <si>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>0,design</t>
    </r>
    <r>
      <rPr>
        <b/>
        <sz val="11"/>
        <color theme="0"/>
        <rFont val="Calibri"/>
        <family val="2"/>
        <scheme val="minor"/>
      </rPr>
      <t xml:space="preserve"> [N]</t>
    </r>
  </si>
  <si>
    <t>Tightening force on each bolt at hydrotest condition</t>
  </si>
  <si>
    <t>Final gasket pressure load at hydrotest condition</t>
  </si>
  <si>
    <t>Final gasket load at hydrotest condition</t>
  </si>
  <si>
    <t>design</t>
  </si>
  <si>
    <t>hydro</t>
  </si>
  <si>
    <t>tightening</t>
  </si>
  <si>
    <t>thermal</t>
  </si>
  <si>
    <t>delta</t>
  </si>
  <si>
    <t>generic</t>
  </si>
  <si>
    <t>N/A</t>
  </si>
  <si>
    <t>ORG_1</t>
  </si>
  <si>
    <t>Oring / Cring</t>
  </si>
  <si>
    <t>Design Pressure &amp; Design Temperature</t>
  </si>
  <si>
    <t>Design Pressure</t>
  </si>
  <si>
    <t>Bolt thermal</t>
  </si>
  <si>
    <t>Bolt tightening</t>
  </si>
  <si>
    <t>Total</t>
  </si>
  <si>
    <t>Hydrotest Pressure</t>
  </si>
  <si>
    <t>fixed point</t>
  </si>
  <si>
    <t>external radius</t>
  </si>
  <si>
    <t xml:space="preserve">Shaft diameter in design condition (minimum diameter at which design pressure is applied) </t>
  </si>
  <si>
    <t xml:space="preserve">Shaft diameter in hydrotest (minimum diameter at which hydrotest pressure is applied) </t>
  </si>
  <si>
    <r>
      <t>y</t>
    </r>
    <r>
      <rPr>
        <b/>
        <vertAlign val="subscript"/>
        <sz val="11"/>
        <color theme="0"/>
        <rFont val="Calibri"/>
        <family val="2"/>
        <scheme val="minor"/>
      </rPr>
      <t>bolt</t>
    </r>
    <r>
      <rPr>
        <b/>
        <sz val="11"/>
        <color theme="0"/>
        <rFont val="Calibri"/>
        <family val="2"/>
        <scheme val="minor"/>
      </rPr>
      <t xml:space="preserve"> [mm]</t>
    </r>
  </si>
  <si>
    <r>
      <t>y</t>
    </r>
    <r>
      <rPr>
        <b/>
        <vertAlign val="subscript"/>
        <sz val="11"/>
        <color theme="0"/>
        <rFont val="Calibri"/>
        <family val="2"/>
        <scheme val="minor"/>
      </rPr>
      <t>gasket</t>
    </r>
    <r>
      <rPr>
        <b/>
        <sz val="11"/>
        <color theme="0"/>
        <rFont val="Calibri"/>
        <family val="2"/>
        <scheme val="minor"/>
      </rPr>
      <t xml:space="preserve"> [mm]</t>
    </r>
  </si>
  <si>
    <r>
      <t>y</t>
    </r>
    <r>
      <rPr>
        <b/>
        <vertAlign val="subscript"/>
        <sz val="11"/>
        <color theme="0"/>
        <rFont val="Calibri"/>
        <family val="2"/>
        <scheme val="minor"/>
      </rPr>
      <t>bolt</t>
    </r>
    <r>
      <rPr>
        <b/>
        <sz val="11"/>
        <color theme="0"/>
        <rFont val="Calibri"/>
        <family val="2"/>
        <scheme val="minor"/>
      </rPr>
      <t>' [mm]</t>
    </r>
  </si>
  <si>
    <r>
      <t>y</t>
    </r>
    <r>
      <rPr>
        <b/>
        <vertAlign val="subscript"/>
        <sz val="11"/>
        <color theme="0"/>
        <rFont val="Calibri"/>
        <family val="2"/>
        <scheme val="minor"/>
      </rPr>
      <t>gasket</t>
    </r>
    <r>
      <rPr>
        <b/>
        <sz val="11"/>
        <color theme="0"/>
        <rFont val="Calibri"/>
        <family val="2"/>
        <scheme val="minor"/>
      </rPr>
      <t>' [mm]</t>
    </r>
  </si>
  <si>
    <r>
      <rPr>
        <b/>
        <sz val="11"/>
        <color theme="0"/>
        <rFont val="Calibri"/>
        <family val="2"/>
      </rPr>
      <t>Δ</t>
    </r>
    <r>
      <rPr>
        <b/>
        <sz val="11"/>
        <color theme="0"/>
        <rFont val="Calibri"/>
        <family val="2"/>
        <scheme val="minor"/>
      </rPr>
      <t>y</t>
    </r>
    <r>
      <rPr>
        <b/>
        <vertAlign val="subscript"/>
        <sz val="11"/>
        <color theme="0"/>
        <rFont val="Calibri"/>
        <family val="2"/>
        <scheme val="minor"/>
      </rPr>
      <t>bolt</t>
    </r>
    <r>
      <rPr>
        <b/>
        <sz val="11"/>
        <color theme="0"/>
        <rFont val="Calibri"/>
        <family val="2"/>
        <scheme val="minor"/>
      </rPr>
      <t xml:space="preserve"> [%]</t>
    </r>
  </si>
  <si>
    <r>
      <rPr>
        <b/>
        <sz val="11"/>
        <color theme="0"/>
        <rFont val="Calibri"/>
        <family val="2"/>
      </rPr>
      <t>Δ</t>
    </r>
    <r>
      <rPr>
        <b/>
        <sz val="11"/>
        <color theme="0"/>
        <rFont val="Calibri"/>
        <family val="2"/>
        <scheme val="minor"/>
      </rPr>
      <t>y</t>
    </r>
    <r>
      <rPr>
        <b/>
        <vertAlign val="subscript"/>
        <sz val="11"/>
        <color theme="0"/>
        <rFont val="Calibri"/>
        <family val="2"/>
        <scheme val="minor"/>
      </rPr>
      <t>gasket</t>
    </r>
    <r>
      <rPr>
        <b/>
        <sz val="11"/>
        <color theme="0"/>
        <rFont val="Calibri"/>
        <family val="2"/>
        <scheme val="minor"/>
      </rPr>
      <t xml:space="preserve"> [%]</t>
    </r>
  </si>
  <si>
    <t>r [mm]</t>
  </si>
  <si>
    <t>hydrotest condition [mm]</t>
  </si>
  <si>
    <t>design condition [mm]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</si>
  <si>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ext</t>
    </r>
    <r>
      <rPr>
        <b/>
        <sz val="11"/>
        <color theme="0"/>
        <rFont val="Calibri"/>
        <family val="2"/>
        <scheme val="minor"/>
      </rPr>
      <t xml:space="preserve"> [mm]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</si>
  <si>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int</t>
    </r>
    <r>
      <rPr>
        <b/>
        <sz val="11"/>
        <color theme="0"/>
        <rFont val="Calibri"/>
        <family val="2"/>
        <scheme val="minor"/>
      </rPr>
      <t xml:space="preserve"> [mm]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</si>
  <si>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cover</t>
    </r>
    <r>
      <rPr>
        <b/>
        <sz val="11"/>
        <color theme="0"/>
        <rFont val="Calibri"/>
        <family val="2"/>
        <scheme val="minor"/>
      </rPr>
      <t xml:space="preserve"> [mm]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</si>
  <si>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shaft,d</t>
    </r>
    <r>
      <rPr>
        <b/>
        <sz val="11"/>
        <color theme="0"/>
        <rFont val="Calibri"/>
        <family val="2"/>
        <scheme val="minor"/>
      </rPr>
      <t xml:space="preserve"> [mm]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</si>
  <si>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shaft,h</t>
    </r>
    <r>
      <rPr>
        <b/>
        <sz val="11"/>
        <color theme="0"/>
        <rFont val="Calibri"/>
        <family val="2"/>
        <scheme val="minor"/>
      </rPr>
      <t xml:space="preserve"> [mm]</t>
    </r>
  </si>
  <si>
    <t>Oring</t>
  </si>
  <si>
    <t>= Acceptable data. No further analysis are required.</t>
  </si>
  <si>
    <t>= Not optimal data. Further analysis is required.</t>
  </si>
  <si>
    <t>= Not acceptable data. Complete analysis of barrel &amp; cover is required, such as through FEM.</t>
  </si>
  <si>
    <t>Advanced Mechanical Engineer- M. Di Somma</t>
  </si>
  <si>
    <t>Client Qualification/ EHSS – A. Banfi/ T. Morelli Stefani</t>
  </si>
  <si>
    <t>R&amp;D &amp; Prod. Eng. Manager - M.Borghetti</t>
  </si>
  <si>
    <t>Barrel and cover's bolted design
(linked to SOP-573)</t>
  </si>
  <si>
    <t>Mod.551-0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</si>
</sst>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General_)"/>
    <numFmt numFmtId="166" formatCode="&quot;$&quot;#,##0.00;[Red]\-&quot;$&quot;#,##0.00"/>
    <numFmt numFmtId="167" formatCode="0.0000"/>
    <numFmt numFmtId="168" formatCode="0.000000"/>
    <numFmt numFmtId="169" formatCode="0.0"/>
  </numFmts>
  <fonts count="3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</font>
    <font>
      <b/>
      <vertAlign val="subscript"/>
      <sz val="11"/>
      <color theme="0"/>
      <name val="Calibri"/>
      <family val="2"/>
    </font>
    <font>
      <b/>
      <vertAlign val="subscript"/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vertAlign val="subscript"/>
      <sz val="11"/>
      <color theme="0" tint="-0.499984740745262"/>
      <name val="Calibri"/>
      <family val="2"/>
      <scheme val="minor"/>
    </font>
    <font>
      <b/>
      <sz val="11"/>
      <color theme="0"/>
      <name val="Calibri"/>
      <family val="2"/>
    </font>
    <font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sz val="8"/>
      <color rgb="FF000000"/>
      <name val="Segoe UI"/>
      <family val="2"/>
    </font>
    <font>
      <b/>
      <vertAlign val="subscript"/>
      <sz val="9.35"/>
      <color theme="0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Aptos Narrow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indexed="64"/>
      </top>
      <bottom style="hair">
        <color indexed="64"/>
      </bottom>
      <diagonal/>
    </border>
    <border>
      <left style="thin">
        <color theme="1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theme="1"/>
      </left>
      <right/>
      <top style="hair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5" fillId="0" borderId="0"/>
    <xf numFmtId="165" fontId="16" fillId="0" borderId="0"/>
    <xf numFmtId="166" fontId="22" fillId="0" borderId="0" applyFont="0" applyFill="0" applyBorder="0" applyAlignment="0" applyProtection="0"/>
    <xf numFmtId="9" fontId="34" fillId="0" borderId="0" applyFont="0" applyFill="0" applyBorder="0" applyAlignment="0" applyProtection="0"/>
  </cellStyleXfs>
  <cellXfs count="230">
    <xf numFmtId="0" fontId="0" fillId="0" borderId="0" xfId="0"/>
    <xf numFmtId="0" fontId="15" fillId="0" borderId="14" xfId="1" applyBorder="1" applyAlignment="1">
      <alignment horizontal="center" vertical="center"/>
    </xf>
    <xf numFmtId="0" fontId="15" fillId="0" borderId="15" xfId="1" applyBorder="1" applyAlignment="1">
      <alignment horizontal="center" vertical="center"/>
    </xf>
    <xf numFmtId="0" fontId="15" fillId="0" borderId="16" xfId="1" applyBorder="1" applyAlignment="1">
      <alignment horizontal="center" vertical="center"/>
    </xf>
    <xf numFmtId="165" fontId="16" fillId="0" borderId="0" xfId="2"/>
    <xf numFmtId="0" fontId="15" fillId="0" borderId="17" xfId="1" applyBorder="1" applyAlignment="1">
      <alignment horizontal="center" vertical="center"/>
    </xf>
    <xf numFmtId="0" fontId="15" fillId="0" borderId="0" xfId="1" applyAlignment="1">
      <alignment horizontal="center" vertical="center"/>
    </xf>
    <xf numFmtId="0" fontId="15" fillId="0" borderId="18" xfId="1" applyBorder="1" applyAlignment="1">
      <alignment horizontal="center" vertical="center"/>
    </xf>
    <xf numFmtId="0" fontId="17" fillId="0" borderId="0" xfId="1" applyFont="1" applyAlignment="1">
      <alignment horizontal="center" vertical="top"/>
    </xf>
    <xf numFmtId="0" fontId="15" fillId="0" borderId="0" xfId="1" applyAlignment="1">
      <alignment horizontal="center"/>
    </xf>
    <xf numFmtId="0" fontId="18" fillId="0" borderId="0" xfId="1" applyFont="1" applyAlignment="1">
      <alignment horizontal="center" vertical="top"/>
    </xf>
    <xf numFmtId="0" fontId="19" fillId="0" borderId="18" xfId="1" applyFont="1" applyBorder="1" applyAlignment="1">
      <alignment horizontal="center" vertical="top"/>
    </xf>
    <xf numFmtId="0" fontId="20" fillId="0" borderId="17" xfId="1" applyFont="1" applyBorder="1" applyAlignment="1">
      <alignment horizontal="center" vertical="center"/>
    </xf>
    <xf numFmtId="0" fontId="20" fillId="0" borderId="0" xfId="1" applyFont="1" applyAlignment="1">
      <alignment horizontal="center" vertical="center"/>
    </xf>
    <xf numFmtId="0" fontId="21" fillId="0" borderId="0" xfId="1" applyFont="1" applyAlignment="1">
      <alignment horizontal="center" vertical="center"/>
    </xf>
    <xf numFmtId="0" fontId="20" fillId="0" borderId="18" xfId="1" applyFont="1" applyBorder="1" applyAlignment="1">
      <alignment horizontal="center" vertical="center"/>
    </xf>
    <xf numFmtId="2" fontId="7" fillId="0" borderId="4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 vertical="center"/>
    </xf>
    <xf numFmtId="2" fontId="8" fillId="4" borderId="8" xfId="0" applyNumberFormat="1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2" fontId="7" fillId="0" borderId="8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64" fontId="7" fillId="0" borderId="4" xfId="0" applyNumberFormat="1" applyFont="1" applyBorder="1" applyAlignment="1">
      <alignment horizontal="center" vertical="center"/>
    </xf>
    <xf numFmtId="167" fontId="7" fillId="0" borderId="4" xfId="0" applyNumberFormat="1" applyFon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2" fillId="0" borderId="12" xfId="0" applyNumberFormat="1" applyFont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2" fontId="7" fillId="0" borderId="3" xfId="0" applyNumberFormat="1" applyFont="1" applyBorder="1" applyAlignment="1">
      <alignment horizontal="center" vertical="center"/>
    </xf>
    <xf numFmtId="167" fontId="24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1" fontId="7" fillId="0" borderId="4" xfId="0" applyNumberFormat="1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2" fontId="25" fillId="3" borderId="4" xfId="0" applyNumberFormat="1" applyFont="1" applyFill="1" applyBorder="1" applyAlignment="1">
      <alignment horizontal="center" vertical="center"/>
    </xf>
    <xf numFmtId="2" fontId="25" fillId="3" borderId="3" xfId="0" applyNumberFormat="1" applyFont="1" applyFill="1" applyBorder="1" applyAlignment="1">
      <alignment horizontal="center" vertical="center"/>
    </xf>
    <xf numFmtId="167" fontId="7" fillId="0" borderId="3" xfId="0" applyNumberFormat="1" applyFont="1" applyBorder="1" applyAlignment="1">
      <alignment horizontal="center" vertical="center"/>
    </xf>
    <xf numFmtId="2" fontId="8" fillId="4" borderId="4" xfId="0" applyNumberFormat="1" applyFont="1" applyFill="1" applyBorder="1" applyAlignment="1" applyProtection="1">
      <alignment horizontal="center" vertical="center"/>
      <protection locked="0"/>
    </xf>
    <xf numFmtId="2" fontId="8" fillId="4" borderId="2" xfId="0" applyNumberFormat="1" applyFont="1" applyFill="1" applyBorder="1" applyAlignment="1" applyProtection="1">
      <alignment horizontal="center" vertical="center"/>
      <protection locked="0"/>
    </xf>
    <xf numFmtId="11" fontId="8" fillId="4" borderId="4" xfId="0" applyNumberFormat="1" applyFont="1" applyFill="1" applyBorder="1" applyAlignment="1" applyProtection="1">
      <alignment horizontal="center" vertical="center"/>
      <protection locked="0"/>
    </xf>
    <xf numFmtId="1" fontId="8" fillId="4" borderId="4" xfId="0" applyNumberFormat="1" applyFont="1" applyFill="1" applyBorder="1" applyAlignment="1" applyProtection="1">
      <alignment horizontal="center" vertical="center"/>
      <protection locked="0"/>
    </xf>
    <xf numFmtId="9" fontId="8" fillId="4" borderId="4" xfId="0" applyNumberFormat="1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2" fontId="8" fillId="4" borderId="1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6" fillId="0" borderId="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0" fillId="0" borderId="34" xfId="0" applyBorder="1" applyAlignment="1">
      <alignment vertical="center"/>
    </xf>
    <xf numFmtId="2" fontId="8" fillId="4" borderId="4" xfId="0" applyNumberFormat="1" applyFont="1" applyFill="1" applyBorder="1" applyAlignment="1">
      <alignment horizontal="center" vertical="center"/>
    </xf>
    <xf numFmtId="2" fontId="8" fillId="0" borderId="4" xfId="0" applyNumberFormat="1" applyFont="1" applyBorder="1" applyAlignment="1">
      <alignment horizontal="center" vertical="center"/>
    </xf>
    <xf numFmtId="167" fontId="8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vertical="center"/>
    </xf>
    <xf numFmtId="168" fontId="7" fillId="0" borderId="4" xfId="0" applyNumberFormat="1" applyFont="1" applyBorder="1" applyAlignment="1">
      <alignment horizontal="center" vertical="center"/>
    </xf>
    <xf numFmtId="0" fontId="30" fillId="0" borderId="5" xfId="0" applyFont="1" applyBorder="1" applyAlignment="1">
      <alignment horizontal="center"/>
    </xf>
    <xf numFmtId="0" fontId="30" fillId="0" borderId="6" xfId="0" applyFont="1" applyBorder="1" applyAlignment="1">
      <alignment horizontal="center"/>
    </xf>
    <xf numFmtId="0" fontId="30" fillId="0" borderId="7" xfId="0" applyFont="1" applyBorder="1" applyAlignment="1">
      <alignment horizontal="center"/>
    </xf>
    <xf numFmtId="0" fontId="30" fillId="0" borderId="8" xfId="0" applyFont="1" applyBorder="1" applyAlignment="1">
      <alignment horizontal="center"/>
    </xf>
    <xf numFmtId="0" fontId="30" fillId="0" borderId="5" xfId="0" applyFont="1" applyBorder="1" applyAlignment="1">
      <alignment horizontal="center" vertical="center" wrapText="1"/>
    </xf>
    <xf numFmtId="0" fontId="30" fillId="0" borderId="6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12" xfId="0" applyBorder="1" applyAlignment="1">
      <alignment horizontal="center"/>
    </xf>
    <xf numFmtId="0" fontId="32" fillId="0" borderId="35" xfId="0" applyFont="1" applyBorder="1" applyAlignment="1">
      <alignment horizontal="center" vertical="center" wrapText="1"/>
    </xf>
    <xf numFmtId="0" fontId="32" fillId="0" borderId="36" xfId="0" applyFont="1" applyBorder="1" applyAlignment="1">
      <alignment horizontal="center" vertical="center" wrapText="1"/>
    </xf>
    <xf numFmtId="0" fontId="32" fillId="0" borderId="34" xfId="0" applyFont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32" fillId="0" borderId="11" xfId="0" applyFont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32" fillId="0" borderId="37" xfId="0" applyFont="1" applyBorder="1" applyAlignment="1">
      <alignment horizontal="center" vertical="center" wrapText="1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32" fillId="0" borderId="38" xfId="0" applyFont="1" applyBorder="1" applyAlignment="1">
      <alignment horizontal="center" vertical="center" wrapText="1"/>
    </xf>
    <xf numFmtId="0" fontId="32" fillId="0" borderId="40" xfId="0" applyFont="1" applyBorder="1" applyAlignment="1">
      <alignment horizontal="center" vertical="center" wrapText="1"/>
    </xf>
    <xf numFmtId="0" fontId="32" fillId="0" borderId="4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37" xfId="0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41" xfId="0" applyFill="1" applyBorder="1" applyAlignment="1">
      <alignment horizontal="center"/>
    </xf>
    <xf numFmtId="0" fontId="0" fillId="0" borderId="8" xfId="0" applyBorder="1"/>
    <xf numFmtId="0" fontId="32" fillId="0" borderId="13" xfId="0" applyFont="1" applyBorder="1" applyAlignment="1">
      <alignment horizontal="center" vertical="center" wrapText="1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3" xfId="0" quotePrefix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30" fillId="0" borderId="42" xfId="0" applyFont="1" applyBorder="1" applyAlignment="1">
      <alignment horizontal="center" vertical="center"/>
    </xf>
    <xf numFmtId="2" fontId="8" fillId="0" borderId="10" xfId="0" applyNumberFormat="1" applyFont="1" applyBorder="1" applyAlignment="1" applyProtection="1">
      <alignment horizontal="center" vertical="center"/>
      <protection locked="0"/>
    </xf>
    <xf numFmtId="0" fontId="0" fillId="5" borderId="1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64" fontId="0" fillId="5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164" fontId="0" fillId="5" borderId="4" xfId="0" applyNumberFormat="1" applyFill="1" applyBorder="1" applyAlignment="1">
      <alignment horizontal="center" vertical="center"/>
    </xf>
    <xf numFmtId="1" fontId="8" fillId="0" borderId="4" xfId="0" applyNumberFormat="1" applyFont="1" applyBorder="1" applyAlignment="1">
      <alignment horizontal="center" vertical="center"/>
    </xf>
    <xf numFmtId="0" fontId="0" fillId="0" borderId="35" xfId="0" applyBorder="1"/>
    <xf numFmtId="0" fontId="0" fillId="0" borderId="36" xfId="0" applyBorder="1"/>
    <xf numFmtId="0" fontId="0" fillId="0" borderId="34" xfId="0" applyBorder="1"/>
    <xf numFmtId="0" fontId="0" fillId="0" borderId="11" xfId="0" applyBorder="1"/>
    <xf numFmtId="0" fontId="0" fillId="0" borderId="37" xfId="0" applyBorder="1"/>
    <xf numFmtId="0" fontId="0" fillId="0" borderId="38" xfId="0" applyBorder="1"/>
    <xf numFmtId="0" fontId="0" fillId="0" borderId="40" xfId="0" applyBorder="1"/>
    <xf numFmtId="0" fontId="0" fillId="0" borderId="41" xfId="0" applyBorder="1"/>
    <xf numFmtId="0" fontId="0" fillId="0" borderId="40" xfId="0" applyBorder="1" applyAlignment="1">
      <alignment horizontal="center"/>
    </xf>
    <xf numFmtId="0" fontId="32" fillId="0" borderId="39" xfId="0" applyFont="1" applyBorder="1" applyAlignment="1">
      <alignment horizontal="center" vertical="center" wrapText="1"/>
    </xf>
    <xf numFmtId="10" fontId="2" fillId="0" borderId="4" xfId="0" applyNumberFormat="1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2" fontId="8" fillId="4" borderId="45" xfId="0" applyNumberFormat="1" applyFont="1" applyFill="1" applyBorder="1" applyAlignment="1" applyProtection="1">
      <alignment horizontal="center" vertical="center"/>
      <protection locked="0"/>
    </xf>
    <xf numFmtId="164" fontId="7" fillId="0" borderId="0" xfId="0" applyNumberFormat="1" applyFont="1" applyAlignment="1">
      <alignment horizontal="center" vertical="center"/>
    </xf>
    <xf numFmtId="169" fontId="7" fillId="0" borderId="4" xfId="0" applyNumberFormat="1" applyFont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1" fontId="7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2" fontId="0" fillId="0" borderId="0" xfId="0" applyNumberFormat="1" applyAlignment="1">
      <alignment horizontal="left" vertical="center"/>
    </xf>
    <xf numFmtId="169" fontId="0" fillId="5" borderId="2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0" fontId="7" fillId="0" borderId="4" xfId="4" applyNumberFormat="1" applyFont="1" applyBorder="1" applyAlignment="1">
      <alignment horizontal="center" vertical="center"/>
    </xf>
    <xf numFmtId="0" fontId="26" fillId="2" borderId="5" xfId="0" applyFont="1" applyFill="1" applyBorder="1" applyAlignment="1">
      <alignment vertical="center"/>
    </xf>
    <xf numFmtId="0" fontId="26" fillId="2" borderId="6" xfId="0" applyFont="1" applyFill="1" applyBorder="1" applyAlignment="1">
      <alignment vertical="center"/>
    </xf>
    <xf numFmtId="0" fontId="26" fillId="2" borderId="7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0" fillId="0" borderId="49" xfId="0" applyBorder="1" applyAlignment="1">
      <alignment horizontal="center" vertical="center"/>
    </xf>
    <xf numFmtId="164" fontId="0" fillId="0" borderId="48" xfId="0" applyNumberFormat="1" applyBorder="1" applyAlignment="1">
      <alignment horizontal="center" vertical="center"/>
    </xf>
    <xf numFmtId="169" fontId="0" fillId="0" borderId="50" xfId="0" applyNumberFormat="1" applyBorder="1" applyAlignment="1">
      <alignment horizontal="center" vertical="center"/>
    </xf>
    <xf numFmtId="169" fontId="0" fillId="0" borderId="49" xfId="0" applyNumberFormat="1" applyBorder="1" applyAlignment="1">
      <alignment horizontal="center" vertical="center"/>
    </xf>
    <xf numFmtId="169" fontId="0" fillId="0" borderId="48" xfId="0" applyNumberFormat="1" applyBorder="1" applyAlignment="1">
      <alignment horizontal="center" vertical="center"/>
    </xf>
    <xf numFmtId="0" fontId="26" fillId="2" borderId="8" xfId="0" applyFont="1" applyFill="1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41" xfId="0" applyBorder="1" applyAlignment="1">
      <alignment vertical="center"/>
    </xf>
    <xf numFmtId="0" fontId="32" fillId="0" borderId="8" xfId="0" applyFont="1" applyBorder="1" applyAlignment="1">
      <alignment wrapText="1"/>
    </xf>
    <xf numFmtId="0" fontId="0" fillId="0" borderId="39" xfId="0" applyBorder="1" applyAlignment="1">
      <alignment horizontal="center" vertical="center"/>
    </xf>
    <xf numFmtId="2" fontId="0" fillId="0" borderId="12" xfId="0" applyNumberFormat="1" applyBorder="1"/>
    <xf numFmtId="0" fontId="0" fillId="0" borderId="13" xfId="0" applyBorder="1"/>
    <xf numFmtId="0" fontId="0" fillId="0" borderId="39" xfId="0" applyBorder="1"/>
    <xf numFmtId="2" fontId="0" fillId="0" borderId="8" xfId="0" applyNumberForma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164" fontId="0" fillId="0" borderId="8" xfId="0" applyNumberFormat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164" fontId="8" fillId="4" borderId="4" xfId="0" applyNumberFormat="1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38" xfId="0" applyBorder="1" applyAlignment="1">
      <alignment vertical="center"/>
    </xf>
    <xf numFmtId="0" fontId="20" fillId="0" borderId="14" xfId="1" applyFont="1" applyBorder="1" applyAlignment="1">
      <alignment horizontal="center" vertical="center" wrapText="1"/>
    </xf>
    <xf numFmtId="0" fontId="20" fillId="0" borderId="15" xfId="1" applyFont="1" applyBorder="1" applyAlignment="1">
      <alignment horizontal="center" vertical="center" wrapText="1"/>
    </xf>
    <xf numFmtId="0" fontId="20" fillId="0" borderId="16" xfId="1" applyFont="1" applyBorder="1" applyAlignment="1">
      <alignment horizontal="center" vertical="center" wrapText="1"/>
    </xf>
    <xf numFmtId="0" fontId="20" fillId="0" borderId="17" xfId="1" applyFont="1" applyBorder="1" applyAlignment="1">
      <alignment horizontal="center" vertical="center" wrapText="1"/>
    </xf>
    <xf numFmtId="0" fontId="20" fillId="0" borderId="0" xfId="1" applyFont="1" applyAlignment="1">
      <alignment horizontal="center" vertical="center" wrapText="1"/>
    </xf>
    <xf numFmtId="0" fontId="20" fillId="0" borderId="18" xfId="1" applyFont="1" applyBorder="1" applyAlignment="1">
      <alignment horizontal="center" vertical="center" wrapText="1"/>
    </xf>
    <xf numFmtId="0" fontId="20" fillId="0" borderId="19" xfId="1" applyFont="1" applyBorder="1" applyAlignment="1">
      <alignment horizontal="center" vertical="center" wrapText="1"/>
    </xf>
    <xf numFmtId="0" fontId="20" fillId="0" borderId="20" xfId="1" applyFont="1" applyBorder="1" applyAlignment="1">
      <alignment horizontal="center" vertical="center" wrapText="1"/>
    </xf>
    <xf numFmtId="0" fontId="20" fillId="0" borderId="21" xfId="1" applyFont="1" applyBorder="1" applyAlignment="1">
      <alignment horizontal="center" vertical="center" wrapText="1"/>
    </xf>
    <xf numFmtId="0" fontId="15" fillId="0" borderId="22" xfId="1" applyBorder="1" applyAlignment="1">
      <alignment horizontal="center" vertical="center"/>
    </xf>
    <xf numFmtId="0" fontId="15" fillId="0" borderId="23" xfId="1" applyBorder="1" applyAlignment="1">
      <alignment horizontal="center" vertical="center"/>
    </xf>
    <xf numFmtId="0" fontId="15" fillId="0" borderId="24" xfId="1" applyBorder="1" applyAlignment="1">
      <alignment horizontal="center" vertical="center"/>
    </xf>
    <xf numFmtId="0" fontId="15" fillId="0" borderId="25" xfId="1" applyBorder="1" applyAlignment="1">
      <alignment horizontal="center" vertical="center"/>
    </xf>
    <xf numFmtId="0" fontId="15" fillId="0" borderId="26" xfId="1" applyBorder="1" applyAlignment="1">
      <alignment horizontal="center" vertical="center"/>
    </xf>
    <xf numFmtId="0" fontId="15" fillId="0" borderId="5" xfId="1" applyBorder="1" applyAlignment="1">
      <alignment horizontal="center" vertical="center"/>
    </xf>
    <xf numFmtId="0" fontId="15" fillId="0" borderId="6" xfId="1" applyBorder="1" applyAlignment="1">
      <alignment horizontal="center" vertical="center"/>
    </xf>
    <xf numFmtId="0" fontId="15" fillId="0" borderId="28" xfId="1" applyBorder="1" applyAlignment="1">
      <alignment horizontal="center" vertical="center"/>
    </xf>
    <xf numFmtId="0" fontId="15" fillId="0" borderId="27" xfId="1" applyBorder="1" applyAlignment="1">
      <alignment horizontal="center" vertical="center"/>
    </xf>
    <xf numFmtId="0" fontId="15" fillId="0" borderId="7" xfId="1" applyBorder="1" applyAlignment="1">
      <alignment horizontal="center" vertical="center"/>
    </xf>
    <xf numFmtId="0" fontId="22" fillId="0" borderId="5" xfId="1" applyFont="1" applyBorder="1" applyAlignment="1">
      <alignment horizontal="center" vertical="center" wrapText="1"/>
    </xf>
    <xf numFmtId="0" fontId="22" fillId="0" borderId="6" xfId="1" applyFont="1" applyBorder="1" applyAlignment="1">
      <alignment horizontal="center" vertical="center" wrapText="1"/>
    </xf>
    <xf numFmtId="0" fontId="22" fillId="0" borderId="28" xfId="1" applyFont="1" applyBorder="1" applyAlignment="1">
      <alignment horizontal="center" vertical="center" wrapText="1"/>
    </xf>
    <xf numFmtId="0" fontId="22" fillId="0" borderId="27" xfId="1" applyFont="1" applyBorder="1" applyAlignment="1">
      <alignment horizontal="center" vertical="center"/>
    </xf>
    <xf numFmtId="0" fontId="22" fillId="0" borderId="7" xfId="1" applyFont="1" applyBorder="1" applyAlignment="1">
      <alignment horizontal="center" vertical="center"/>
    </xf>
    <xf numFmtId="14" fontId="22" fillId="0" borderId="5" xfId="1" applyNumberFormat="1" applyFont="1" applyBorder="1" applyAlignment="1">
      <alignment horizontal="center" vertical="center"/>
    </xf>
    <xf numFmtId="14" fontId="22" fillId="0" borderId="6" xfId="1" applyNumberFormat="1" applyFont="1" applyBorder="1" applyAlignment="1">
      <alignment horizontal="center" vertical="center"/>
    </xf>
    <xf numFmtId="14" fontId="22" fillId="0" borderId="7" xfId="1" applyNumberFormat="1" applyFont="1" applyBorder="1" applyAlignment="1">
      <alignment horizontal="center" vertical="center"/>
    </xf>
    <xf numFmtId="0" fontId="22" fillId="0" borderId="5" xfId="1" applyFont="1" applyBorder="1" applyAlignment="1">
      <alignment horizontal="center" vertical="center"/>
    </xf>
    <xf numFmtId="0" fontId="22" fillId="0" borderId="6" xfId="1" applyFont="1" applyBorder="1" applyAlignment="1">
      <alignment horizontal="center" vertical="center"/>
    </xf>
    <xf numFmtId="0" fontId="22" fillId="0" borderId="7" xfId="1" applyFont="1" applyBorder="1" applyAlignment="1">
      <alignment horizontal="center" vertical="center" wrapText="1"/>
    </xf>
    <xf numFmtId="166" fontId="15" fillId="0" borderId="29" xfId="3" applyFont="1" applyBorder="1" applyAlignment="1">
      <alignment horizontal="center" vertical="center"/>
    </xf>
    <xf numFmtId="166" fontId="15" fillId="0" borderId="30" xfId="3" applyFont="1" applyBorder="1" applyAlignment="1">
      <alignment horizontal="center" vertical="center"/>
    </xf>
    <xf numFmtId="0" fontId="23" fillId="0" borderId="31" xfId="1" applyFont="1" applyBorder="1" applyAlignment="1">
      <alignment horizontal="center" vertical="center"/>
    </xf>
    <xf numFmtId="0" fontId="23" fillId="0" borderId="32" xfId="1" applyFont="1" applyBorder="1" applyAlignment="1">
      <alignment horizontal="center" vertical="center"/>
    </xf>
    <xf numFmtId="0" fontId="23" fillId="0" borderId="30" xfId="1" applyFont="1" applyBorder="1" applyAlignment="1">
      <alignment horizontal="center" vertical="center"/>
    </xf>
    <xf numFmtId="0" fontId="23" fillId="0" borderId="33" xfId="1" applyFont="1" applyBorder="1" applyAlignment="1">
      <alignment horizontal="center" vertical="center"/>
    </xf>
    <xf numFmtId="0" fontId="26" fillId="2" borderId="5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2" borderId="7" xfId="0" applyFont="1" applyFill="1" applyBorder="1" applyAlignment="1">
      <alignment horizontal="center" vertical="center"/>
    </xf>
    <xf numFmtId="0" fontId="26" fillId="2" borderId="12" xfId="0" applyFont="1" applyFill="1" applyBorder="1" applyAlignment="1">
      <alignment horizontal="center" vertical="center"/>
    </xf>
    <xf numFmtId="0" fontId="26" fillId="2" borderId="13" xfId="0" applyFont="1" applyFill="1" applyBorder="1" applyAlignment="1">
      <alignment horizontal="center" vertical="center"/>
    </xf>
    <xf numFmtId="0" fontId="26" fillId="2" borderId="39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26" fillId="2" borderId="34" xfId="0" applyFont="1" applyFill="1" applyBorder="1" applyAlignment="1">
      <alignment horizontal="center" vertical="center"/>
    </xf>
    <xf numFmtId="0" fontId="26" fillId="2" borderId="8" xfId="0" applyFont="1" applyFill="1" applyBorder="1" applyAlignment="1">
      <alignment horizontal="center" vertical="center"/>
    </xf>
    <xf numFmtId="0" fontId="0" fillId="0" borderId="5" xfId="0" quotePrefix="1" applyBorder="1" applyAlignment="1">
      <alignment horizontal="left" vertical="center"/>
    </xf>
    <xf numFmtId="0" fontId="0" fillId="0" borderId="6" xfId="0" quotePrefix="1" applyBorder="1" applyAlignment="1">
      <alignment horizontal="left" vertical="center"/>
    </xf>
    <xf numFmtId="0" fontId="0" fillId="0" borderId="7" xfId="0" quotePrefix="1" applyBorder="1" applyAlignment="1">
      <alignment horizontal="left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0" fontId="30" fillId="0" borderId="46" xfId="0" applyFont="1" applyBorder="1" applyAlignment="1">
      <alignment horizontal="center" vertical="center"/>
    </xf>
    <xf numFmtId="0" fontId="30" fillId="0" borderId="47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30" fillId="0" borderId="5" xfId="0" applyFont="1" applyBorder="1" applyAlignment="1">
      <alignment horizontal="center"/>
    </xf>
    <xf numFmtId="0" fontId="30" fillId="0" borderId="6" xfId="0" applyFont="1" applyBorder="1" applyAlignment="1">
      <alignment horizontal="center"/>
    </xf>
    <xf numFmtId="0" fontId="30" fillId="0" borderId="7" xfId="0" applyFont="1" applyBorder="1" applyAlignment="1">
      <alignment horizontal="center"/>
    </xf>
    <xf numFmtId="166" fontId="15" fillId="0" borderId="19" xfId="3" applyFont="1" applyFill="1" applyBorder="1" applyAlignment="1">
      <alignment horizontal="right" vertical="center"/>
    </xf>
    <xf numFmtId="166" fontId="16" fillId="0" borderId="20" xfId="3" applyFont="1" applyFill="1" applyBorder="1" applyAlignment="1">
      <alignment horizontal="right" vertical="center"/>
    </xf>
    <xf numFmtId="166" fontId="16" fillId="0" borderId="21" xfId="3" applyFont="1" applyFill="1" applyBorder="1" applyAlignment="1">
      <alignment horizontal="right" vertical="center"/>
    </xf>
  </cellXfs>
  <cellStyles count="5">
    <cellStyle name="Normale" xfId="0" builtinId="0"/>
    <cellStyle name="Normale 3" xfId="2" xr:uid="{3A687B80-1025-4D7D-A811-869E147C9005}"/>
    <cellStyle name="Normale 4" xfId="1" xr:uid="{A5D7BC8F-6B26-4495-A542-1D5FE75277F5}"/>
    <cellStyle name="Percentuale" xfId="4" builtinId="5"/>
    <cellStyle name="Valuta 2" xfId="3" xr:uid="{7F7BE6C8-FADE-49D8-A03D-ED294711ECC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bolted_design!$H$21</c:f>
              <c:strCache>
                <c:ptCount val="1"/>
                <c:pt idx="0">
                  <c:v>Bolt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bolted_design!$G$24:$G$25</c:f>
              <c:numCache>
                <c:formatCode>0.0000</c:formatCode>
                <c:ptCount val="2"/>
                <c:pt idx="0" formatCode="General">
                  <c:v>0</c:v>
                </c:pt>
                <c:pt idx="1">
                  <c:v>0.47640042563490337</c:v>
                </c:pt>
              </c:numCache>
            </c:numRef>
          </c:xVal>
          <c:yVal>
            <c:numRef>
              <c:f>bolted_design!$H$24:$H$25</c:f>
              <c:numCache>
                <c:formatCode>General</c:formatCode>
                <c:ptCount val="2"/>
                <c:pt idx="0">
                  <c:v>0</c:v>
                </c:pt>
                <c:pt idx="1">
                  <c:v>1191645.6985422873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53-422B-91E0-98F0CC27B7FF}"/>
            </c:ext>
          </c:extLst>
        </c:ser>
        <c:ser>
          <c:idx val="1"/>
          <c:order val="1"/>
          <c:tx>
            <c:strRef>
              <c:f>bolted_design!$J$21</c:f>
              <c:strCache>
                <c:ptCount val="1"/>
                <c:pt idx="0">
                  <c:v>Barrel &amp; Cover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bolted_design!$I$24:$I$25</c:f>
              <c:numCache>
                <c:formatCode>0.0000</c:formatCode>
                <c:ptCount val="2"/>
                <c:pt idx="0">
                  <c:v>0.38616930962586044</c:v>
                </c:pt>
                <c:pt idx="1">
                  <c:v>0.47640042563490337</c:v>
                </c:pt>
              </c:numCache>
            </c:numRef>
          </c:xVal>
          <c:yVal>
            <c:numRef>
              <c:f>bolted_design!$J$24:$J$25</c:f>
              <c:numCache>
                <c:formatCode>0.0000</c:formatCode>
                <c:ptCount val="2"/>
                <c:pt idx="0">
                  <c:v>965945.81356937089</c:v>
                </c:pt>
                <c:pt idx="1">
                  <c:v>-2.9713011713650912E-10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53-422B-91E0-98F0CC27B7FF}"/>
            </c:ext>
          </c:extLst>
        </c:ser>
        <c:ser>
          <c:idx val="2"/>
          <c:order val="2"/>
          <c:tx>
            <c:v>F*</c:v>
          </c:tx>
          <c:spPr>
            <a:ln w="19050" cap="rnd">
              <a:solidFill>
                <a:schemeClr val="bg1"/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bolted_design!$G$32:$G$34</c:f>
              <c:numCache>
                <c:formatCode>0.0000</c:formatCode>
                <c:ptCount val="3"/>
                <c:pt idx="0">
                  <c:v>0.40882498145642382</c:v>
                </c:pt>
                <c:pt idx="1">
                  <c:v>0.40882498145642382</c:v>
                </c:pt>
                <c:pt idx="2">
                  <c:v>0.40882498145642382</c:v>
                </c:pt>
              </c:numCache>
            </c:numRef>
          </c:xVal>
          <c:yVal>
            <c:numRef>
              <c:f>bolted_design!$H$32:$H$34</c:f>
              <c:numCache>
                <c:formatCode>0.0000</c:formatCode>
                <c:ptCount val="3"/>
                <c:pt idx="0" formatCode="General">
                  <c:v>1022615.6493456438</c:v>
                </c:pt>
                <c:pt idx="1">
                  <c:v>965945.81356937089</c:v>
                </c:pt>
                <c:pt idx="2" formatCode="General">
                  <c:v>723411.39388934593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53-422B-91E0-98F0CC27B7FF}"/>
            </c:ext>
          </c:extLst>
        </c:ser>
        <c:ser>
          <c:idx val="3"/>
          <c:order val="3"/>
          <c:tx>
            <c:strRef>
              <c:f>bolted_design!$J$26</c:f>
              <c:strCache>
                <c:ptCount val="1"/>
                <c:pt idx="0">
                  <c:v>Fo</c:v>
                </c:pt>
              </c:strCache>
            </c:strRef>
          </c:tx>
          <c:spPr>
            <a:ln w="19050" cap="rnd">
              <a:solidFill>
                <a:schemeClr val="bg1"/>
              </a:solidFill>
              <a:prstDash val="dash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bolted_design!$G$28:$G$29</c:f>
              <c:numCache>
                <c:formatCode>0.0000</c:formatCode>
                <c:ptCount val="2"/>
                <c:pt idx="0" formatCode="General">
                  <c:v>0</c:v>
                </c:pt>
                <c:pt idx="1">
                  <c:v>0.40882498145642382</c:v>
                </c:pt>
              </c:numCache>
            </c:numRef>
          </c:xVal>
          <c:yVal>
            <c:numRef>
              <c:f>bolted_design!$H$28:$H$29</c:f>
              <c:numCache>
                <c:formatCode>0.00</c:formatCode>
                <c:ptCount val="2"/>
                <c:pt idx="0">
                  <c:v>965945.81356937089</c:v>
                </c:pt>
                <c:pt idx="1">
                  <c:v>965945.81356937089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53-422B-91E0-98F0CC27B7FF}"/>
            </c:ext>
          </c:extLst>
        </c:ser>
        <c:ser>
          <c:idx val="4"/>
          <c:order val="4"/>
          <c:tx>
            <c:v>Fo</c:v>
          </c:tx>
          <c:spPr>
            <a:ln w="19050" cap="rnd">
              <a:solidFill>
                <a:schemeClr val="bg1"/>
              </a:solidFill>
              <a:prstDash val="dash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bolted_design!$I$28:$I$29</c:f>
              <c:numCache>
                <c:formatCode>0.0000</c:formatCode>
                <c:ptCount val="2"/>
                <c:pt idx="0">
                  <c:v>0.38616930962586044</c:v>
                </c:pt>
                <c:pt idx="1">
                  <c:v>0.38616930962586044</c:v>
                </c:pt>
              </c:numCache>
            </c:numRef>
          </c:xVal>
          <c:yVal>
            <c:numRef>
              <c:f>bolted_design!$J$28:$J$29</c:f>
              <c:numCache>
                <c:formatCode>0.0000</c:formatCode>
                <c:ptCount val="2"/>
                <c:pt idx="0">
                  <c:v>0</c:v>
                </c:pt>
                <c:pt idx="1">
                  <c:v>965945.81356937089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153-422B-91E0-98F0CC27B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762672"/>
        <c:axId val="2043379440"/>
      </c:scatterChart>
      <c:valAx>
        <c:axId val="2055762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cap="none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δ</a:t>
                </a:r>
                <a:r>
                  <a:rPr lang="it-IT" cap="none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 [mm]</a:t>
                </a:r>
                <a:endParaRPr lang="it-IT" cap="none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3379440"/>
        <c:crosses val="autoZero"/>
        <c:crossBetween val="midCat"/>
      </c:valAx>
      <c:valAx>
        <c:axId val="2043379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cap="none" baseline="0"/>
                  <a:t>F [N]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55762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Spiralwound gasket loading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loading</c:v>
          </c:tx>
          <c:marker>
            <c:symbol val="none"/>
          </c:marker>
          <c:xVal>
            <c:numRef>
              <c:f>swg_database!$AV$5:$AV$34</c:f>
              <c:numCache>
                <c:formatCode>0.000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swg_database!$AS$5:$AS$34</c:f>
              <c:numCache>
                <c:formatCode>General</c:formatCode>
                <c:ptCount val="30"/>
                <c:pt idx="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71-4207-A538-8036AFD41C91}"/>
            </c:ext>
          </c:extLst>
        </c:ser>
        <c:ser>
          <c:idx val="27"/>
          <c:order val="1"/>
          <c:tx>
            <c:v>uloading curve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6-5FF3-47CE-AB82-2158CBD8B2B5}"/>
              </c:ext>
            </c:extLst>
          </c:dPt>
          <c:xVal>
            <c:numRef>
              <c:f>swg_database!$AZ$40:$BA$40</c:f>
              <c:numCache>
                <c:formatCode>0.000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swg_database!$BB$40:$BC$40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A2-45D4-8BF6-6D5C9B2D7EE6}"/>
            </c:ext>
          </c:extLst>
        </c:ser>
        <c:ser>
          <c:idx val="1"/>
          <c:order val="2"/>
          <c:tx>
            <c:v>operating point</c:v>
          </c:tx>
          <c:spPr>
            <a:ln>
              <a:noFill/>
            </a:ln>
          </c:spPr>
          <c:marker>
            <c:symbol val="x"/>
            <c:size val="9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swg_database!$AZ$40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swg_database!$BB$40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0A71-4207-A538-8036AFD41C91}"/>
            </c:ext>
          </c:extLst>
        </c:ser>
        <c:ser>
          <c:idx val="2"/>
          <c:order val="3"/>
          <c:tx>
            <c:v>unloading 1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swg_database!$AZ$5:$BA$5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swg_database!$BB$5:$BC$5</c:f>
              <c:numCache>
                <c:formatCode>0.000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C7-4ADD-8354-6662F7ED4702}"/>
            </c:ext>
          </c:extLst>
        </c:ser>
        <c:ser>
          <c:idx val="3"/>
          <c:order val="4"/>
          <c:tx>
            <c:v>unloading 2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swg_database!$AZ$6:$BA$6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swg_database!$BB$6:$BC$6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C7-4ADD-8354-6662F7ED4702}"/>
            </c:ext>
          </c:extLst>
        </c:ser>
        <c:ser>
          <c:idx val="4"/>
          <c:order val="5"/>
          <c:tx>
            <c:v>unloading 3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swg_database!$AZ$7:$BA$7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swg_database!$BB$7:$BC$7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C7-4ADD-8354-6662F7ED4702}"/>
            </c:ext>
          </c:extLst>
        </c:ser>
        <c:ser>
          <c:idx val="5"/>
          <c:order val="6"/>
          <c:tx>
            <c:v>unloading 4</c:v>
          </c:tx>
          <c:spPr>
            <a:ln w="1905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swg_database!$AZ$8:$BA$8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swg_database!$BB$8:$BC$8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1C7-4ADD-8354-6662F7ED4702}"/>
            </c:ext>
          </c:extLst>
        </c:ser>
        <c:ser>
          <c:idx val="6"/>
          <c:order val="7"/>
          <c:tx>
            <c:v>unloading 5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swg_database!$AZ$9:$BA$9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swg_database!$BB$9:$BC$9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1C7-4ADD-8354-6662F7ED4702}"/>
            </c:ext>
          </c:extLst>
        </c:ser>
        <c:ser>
          <c:idx val="7"/>
          <c:order val="8"/>
          <c:tx>
            <c:v>unloading 6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swg_database!$AZ$10:$BA$10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swg_database!$BB$10:$BC$10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1C7-4ADD-8354-6662F7ED4702}"/>
            </c:ext>
          </c:extLst>
        </c:ser>
        <c:ser>
          <c:idx val="8"/>
          <c:order val="9"/>
          <c:tx>
            <c:v>unloading 7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swg_database!$AZ$11:$BA$11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swg_database!$BB$11:$BC$11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1C7-4ADD-8354-6662F7ED4702}"/>
            </c:ext>
          </c:extLst>
        </c:ser>
        <c:ser>
          <c:idx val="9"/>
          <c:order val="10"/>
          <c:tx>
            <c:v>unloading 8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swg_database!$AZ$12:$BA$12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swg_database!$BB$12:$BC$12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1C7-4ADD-8354-6662F7ED4702}"/>
            </c:ext>
          </c:extLst>
        </c:ser>
        <c:ser>
          <c:idx val="10"/>
          <c:order val="11"/>
          <c:tx>
            <c:v>unloading 9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swg_database!$AZ$13:$BA$13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swg_database!$BB$13:$BC$13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1C7-4ADD-8354-6662F7ED4702}"/>
            </c:ext>
          </c:extLst>
        </c:ser>
        <c:ser>
          <c:idx val="11"/>
          <c:order val="12"/>
          <c:tx>
            <c:v>unloading 10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swg_database!$AZ$14:$BA$14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swg_database!$BB$14:$BC$14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1C7-4ADD-8354-6662F7ED4702}"/>
            </c:ext>
          </c:extLst>
        </c:ser>
        <c:ser>
          <c:idx val="12"/>
          <c:order val="13"/>
          <c:tx>
            <c:v>unloading 11</c:v>
          </c:tx>
          <c:spPr>
            <a:ln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swg_database!$AZ$15:$BA$15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swg_database!$BB$15:$BC$15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1C7-4ADD-8354-6662F7ED4702}"/>
            </c:ext>
          </c:extLst>
        </c:ser>
        <c:ser>
          <c:idx val="13"/>
          <c:order val="14"/>
          <c:tx>
            <c:v>unloading 12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swg_database!$AZ$16:$BA$16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swg_database!$BB$16:$BC$16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1C7-4ADD-8354-6662F7ED4702}"/>
            </c:ext>
          </c:extLst>
        </c:ser>
        <c:ser>
          <c:idx val="14"/>
          <c:order val="15"/>
          <c:tx>
            <c:v>unloading 13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swg_database!$AZ$17:$BA$17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swg_database!$BB$17:$BC$17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1C7-4ADD-8354-6662F7ED4702}"/>
            </c:ext>
          </c:extLst>
        </c:ser>
        <c:ser>
          <c:idx val="15"/>
          <c:order val="16"/>
          <c:tx>
            <c:v>unloading 14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swg_database!$AZ$18:$BA$18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swg_database!$BB$18:$BC$18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1C7-4ADD-8354-6662F7ED4702}"/>
            </c:ext>
          </c:extLst>
        </c:ser>
        <c:ser>
          <c:idx val="16"/>
          <c:order val="17"/>
          <c:tx>
            <c:v>unloading 15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swg_database!$AZ$19:$BA$19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swg_database!$BB$19:$BC$19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1C7-4ADD-8354-6662F7ED4702}"/>
            </c:ext>
          </c:extLst>
        </c:ser>
        <c:ser>
          <c:idx val="17"/>
          <c:order val="18"/>
          <c:tx>
            <c:v>unloading 16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swg_database!$AZ$20:$BA$20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swg_database!$BB$20:$BC$20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1C7-4ADD-8354-6662F7ED4702}"/>
            </c:ext>
          </c:extLst>
        </c:ser>
        <c:ser>
          <c:idx val="18"/>
          <c:order val="19"/>
          <c:tx>
            <c:v>unloading 17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swg_database!$AZ$21:$BA$21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swg_database!$BB$21:$BC$21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1C7-4ADD-8354-6662F7ED4702}"/>
            </c:ext>
          </c:extLst>
        </c:ser>
        <c:ser>
          <c:idx val="19"/>
          <c:order val="20"/>
          <c:tx>
            <c:v>unloading 18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swg_database!$AZ$22:$BA$22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swg_database!$BB$22:$BC$22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1C7-4ADD-8354-6662F7ED4702}"/>
            </c:ext>
          </c:extLst>
        </c:ser>
        <c:ser>
          <c:idx val="20"/>
          <c:order val="21"/>
          <c:tx>
            <c:v>unloading 19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swg_database!$AZ$23:$BA$23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swg_database!$BB$23:$BC$23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1C7-4ADD-8354-6662F7ED4702}"/>
            </c:ext>
          </c:extLst>
        </c:ser>
        <c:ser>
          <c:idx val="21"/>
          <c:order val="22"/>
          <c:tx>
            <c:v>unloading 20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swg_database!$AZ$24:$BA$24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swg_database!$BB$24:$BC$24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1C7-4ADD-8354-6662F7ED4702}"/>
            </c:ext>
          </c:extLst>
        </c:ser>
        <c:ser>
          <c:idx val="22"/>
          <c:order val="23"/>
          <c:tx>
            <c:v>unloading 21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swg_database!$AZ$25:$BA$25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swg_database!$BB$25:$BC$25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1C7-4ADD-8354-6662F7ED4702}"/>
            </c:ext>
          </c:extLst>
        </c:ser>
        <c:ser>
          <c:idx val="23"/>
          <c:order val="24"/>
          <c:tx>
            <c:v>unloading 22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swg_database!$AZ$26:$BA$26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swg_database!$BB$26:$BC$26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1C7-4ADD-8354-6662F7ED4702}"/>
            </c:ext>
          </c:extLst>
        </c:ser>
        <c:ser>
          <c:idx val="24"/>
          <c:order val="25"/>
          <c:tx>
            <c:v>unloading 23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swg_database!$AZ$27:$BA$27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swg_database!$BB$27:$BC$27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1C7-4ADD-8354-6662F7ED4702}"/>
            </c:ext>
          </c:extLst>
        </c:ser>
        <c:ser>
          <c:idx val="25"/>
          <c:order val="26"/>
          <c:tx>
            <c:v>unloading 24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swg_database!$AZ$28:$BA$28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swg_database!$BB$28:$BC$28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1C7-4ADD-8354-6662F7ED4702}"/>
            </c:ext>
          </c:extLst>
        </c:ser>
        <c:ser>
          <c:idx val="26"/>
          <c:order val="27"/>
          <c:tx>
            <c:v>unloading 25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swg_database!$AZ$29:$BA$29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swg_database!$BB$29:$BC$29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31C7-4ADD-8354-6662F7ED4702}"/>
            </c:ext>
          </c:extLst>
        </c:ser>
        <c:ser>
          <c:idx val="28"/>
          <c:order val="28"/>
          <c:tx>
            <c:v>unloading 26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swg_database!$AZ$30:$BA$30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swg_database!$BB$30:$BC$30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F3-47CE-AB82-2158CBD8B2B5}"/>
            </c:ext>
          </c:extLst>
        </c:ser>
        <c:ser>
          <c:idx val="29"/>
          <c:order val="29"/>
          <c:tx>
            <c:v>unloading 27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swg_database!$AZ$31:$BA$31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swg_database!$BB$31:$BC$31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F3-47CE-AB82-2158CBD8B2B5}"/>
            </c:ext>
          </c:extLst>
        </c:ser>
        <c:ser>
          <c:idx val="30"/>
          <c:order val="30"/>
          <c:tx>
            <c:v>unloading 28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swg_database!$AZ$32:$BA$32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swg_database!$BB$32:$BC$32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F3-47CE-AB82-2158CBD8B2B5}"/>
            </c:ext>
          </c:extLst>
        </c:ser>
        <c:ser>
          <c:idx val="31"/>
          <c:order val="31"/>
          <c:tx>
            <c:v>unloading 29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swg_database!$AZ$33:$BA$33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swg_database!$BB$33:$BC$33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F3-47CE-AB82-2158CBD8B2B5}"/>
            </c:ext>
          </c:extLst>
        </c:ser>
        <c:ser>
          <c:idx val="32"/>
          <c:order val="32"/>
          <c:tx>
            <c:v>unloading 30</c:v>
          </c:tx>
          <c:spPr>
            <a:ln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swg_database!$AZ$34:$BA$34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swg_database!$BB$34:$BC$34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F3-47CE-AB82-2158CBD8B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677824"/>
        <c:axId val="411679744"/>
        <c:extLst/>
      </c:scatterChart>
      <c:valAx>
        <c:axId val="411677824"/>
        <c:scaling>
          <c:orientation val="minMax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gasket</a:t>
                </a:r>
                <a:r>
                  <a:rPr lang="en-US" baseline="0"/>
                  <a:t> compression [mm]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411679744"/>
        <c:crosses val="autoZero"/>
        <c:crossBetween val="midCat"/>
      </c:valAx>
      <c:valAx>
        <c:axId val="411679744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gasket pressure [MPa]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11677824"/>
        <c:crosses val="autoZero"/>
        <c:crossBetween val="midCat"/>
      </c:val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chemeClr val="accent1"/>
      </a:solidFill>
      <a:round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Cover deformation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bolted_design!$AP$3</c:f>
              <c:strCache>
                <c:ptCount val="1"/>
                <c:pt idx="0">
                  <c:v>design condition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bolted_design!$AP$4:$AP$53</c:f>
              <c:numCache>
                <c:formatCode>General</c:formatCode>
                <c:ptCount val="50"/>
                <c:pt idx="0">
                  <c:v>0.11531868092729661</c:v>
                </c:pt>
                <c:pt idx="1">
                  <c:v>0.11116264589108565</c:v>
                </c:pt>
                <c:pt idx="2">
                  <c:v>0.1070422192090445</c:v>
                </c:pt>
                <c:pt idx="3">
                  <c:v>0.10295341917143505</c:v>
                </c:pt>
                <c:pt idx="4">
                  <c:v>9.8893305190392161E-2</c:v>
                </c:pt>
                <c:pt idx="5">
                  <c:v>9.4859897267576598E-2</c:v>
                </c:pt>
                <c:pt idx="6">
                  <c:v>9.0852106083850803E-2</c:v>
                </c:pt>
                <c:pt idx="7">
                  <c:v>8.6869672041087087E-2</c:v>
                </c:pt>
                <c:pt idx="8">
                  <c:v>8.2913111887273183E-2</c:v>
                </c:pt>
                <c:pt idx="9">
                  <c:v>7.8983671796390389E-2</c:v>
                </c:pt>
                <c:pt idx="10">
                  <c:v>7.508328596759177E-2</c:v>
                </c:pt>
                <c:pt idx="11">
                  <c:v>7.1214539964233936E-2</c:v>
                </c:pt>
                <c:pt idx="12">
                  <c:v>6.7380638140137783E-2</c:v>
                </c:pt>
                <c:pt idx="13">
                  <c:v>6.3585374604100783E-2</c:v>
                </c:pt>
                <c:pt idx="14">
                  <c:v>5.9833107258828455E-2</c:v>
                </c:pt>
                <c:pt idx="15">
                  <c:v>5.6128734520740173E-2</c:v>
                </c:pt>
                <c:pt idx="16">
                  <c:v>5.2477674385399672E-2</c:v>
                </c:pt>
                <c:pt idx="17">
                  <c:v>4.8885845551889302E-2</c:v>
                </c:pt>
                <c:pt idx="18">
                  <c:v>4.5359650360076983E-2</c:v>
                </c:pt>
                <c:pt idx="19">
                  <c:v>4.1905959328860112E-2</c:v>
                </c:pt>
                <c:pt idx="20">
                  <c:v>3.8532097112257004E-2</c:v>
                </c:pt>
                <c:pt idx="21">
                  <c:v>3.5245829714581935E-2</c:v>
                </c:pt>
                <c:pt idx="22">
                  <c:v>3.2055352826642035E-2</c:v>
                </c:pt>
                <c:pt idx="23">
                  <c:v>2.8969280753814802E-2</c:v>
                </c:pt>
                <c:pt idx="24">
                  <c:v>2.5996545955851439E-2</c:v>
                </c:pt>
                <c:pt idx="25">
                  <c:v>2.3146000252131087E-2</c:v>
                </c:pt>
                <c:pt idx="26">
                  <c:v>2.0426240646876988E-2</c:v>
                </c:pt>
                <c:pt idx="27">
                  <c:v>1.7845618513121855E-2</c:v>
                </c:pt>
                <c:pt idx="28">
                  <c:v>1.5412252904488282E-2</c:v>
                </c:pt>
                <c:pt idx="29">
                  <c:v>1.3134042865233645E-2</c:v>
                </c:pt>
                <c:pt idx="30">
                  <c:v>1.101867883216277E-2</c:v>
                </c:pt>
                <c:pt idx="31">
                  <c:v>9.0736532117244029E-3</c:v>
                </c:pt>
                <c:pt idx="32">
                  <c:v>7.3062702066092377E-3</c:v>
                </c:pt>
                <c:pt idx="33">
                  <c:v>5.723654958272927E-3</c:v>
                </c:pt>
                <c:pt idx="34">
                  <c:v>4.3327620648766739E-3</c:v>
                </c:pt>
                <c:pt idx="35">
                  <c:v>3.140383528027567E-3</c:v>
                </c:pt>
                <c:pt idx="36">
                  <c:v>2.1531561763088345E-3</c:v>
                </c:pt>
                <c:pt idx="37">
                  <c:v>1.3775686088200651E-3</c:v>
                </c:pt>
                <c:pt idx="38">
                  <c:v>8.131407797524479E-4</c:v>
                </c:pt>
                <c:pt idx="39">
                  <c:v>4.3027940885190675E-4</c:v>
                </c:pt>
                <c:pt idx="40">
                  <c:v>1.9248552395587266E-4</c:v>
                </c:pt>
                <c:pt idx="41">
                  <c:v>6.4320960431965492E-5</c:v>
                </c:pt>
                <c:pt idx="42">
                  <c:v>1.1356400987136742E-5</c:v>
                </c:pt>
                <c:pt idx="43">
                  <c:v>1.2267628497623136E-7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xVal>
          <c:yVal>
            <c:numRef>
              <c:f>bolted_design!$AO$4:$AO$53</c:f>
              <c:numCache>
                <c:formatCode>General</c:formatCode>
                <c:ptCount val="50"/>
                <c:pt idx="0">
                  <c:v>154.5</c:v>
                </c:pt>
                <c:pt idx="1">
                  <c:v>159.51020408163265</c:v>
                </c:pt>
                <c:pt idx="2">
                  <c:v>164.5204081632653</c:v>
                </c:pt>
                <c:pt idx="3">
                  <c:v>169.53061224489795</c:v>
                </c:pt>
                <c:pt idx="4">
                  <c:v>174.5408163265306</c:v>
                </c:pt>
                <c:pt idx="5">
                  <c:v>179.55102040816325</c:v>
                </c:pt>
                <c:pt idx="6">
                  <c:v>184.5612244897959</c:v>
                </c:pt>
                <c:pt idx="7">
                  <c:v>189.57142857142856</c:v>
                </c:pt>
                <c:pt idx="8">
                  <c:v>194.58163265306121</c:v>
                </c:pt>
                <c:pt idx="9">
                  <c:v>199.59183673469386</c:v>
                </c:pt>
                <c:pt idx="10">
                  <c:v>204.60204081632651</c:v>
                </c:pt>
                <c:pt idx="11">
                  <c:v>209.61224489795916</c:v>
                </c:pt>
                <c:pt idx="12">
                  <c:v>214.62244897959181</c:v>
                </c:pt>
                <c:pt idx="13">
                  <c:v>219.63265306122446</c:v>
                </c:pt>
                <c:pt idx="14">
                  <c:v>224.64285714285711</c:v>
                </c:pt>
                <c:pt idx="15">
                  <c:v>229.65306122448976</c:v>
                </c:pt>
                <c:pt idx="16">
                  <c:v>234.66326530612241</c:v>
                </c:pt>
                <c:pt idx="17">
                  <c:v>239.67346938775506</c:v>
                </c:pt>
                <c:pt idx="18">
                  <c:v>244.68367346938771</c:v>
                </c:pt>
                <c:pt idx="19">
                  <c:v>249.69387755102036</c:v>
                </c:pt>
                <c:pt idx="20">
                  <c:v>254.70408163265301</c:v>
                </c:pt>
                <c:pt idx="21">
                  <c:v>259.71428571428567</c:v>
                </c:pt>
                <c:pt idx="22">
                  <c:v>264.72448979591832</c:v>
                </c:pt>
                <c:pt idx="23">
                  <c:v>269.73469387755097</c:v>
                </c:pt>
                <c:pt idx="24">
                  <c:v>274.74489795918362</c:v>
                </c:pt>
                <c:pt idx="25">
                  <c:v>279.75510204081627</c:v>
                </c:pt>
                <c:pt idx="26">
                  <c:v>284.76530612244892</c:v>
                </c:pt>
                <c:pt idx="27">
                  <c:v>289.77551020408157</c:v>
                </c:pt>
                <c:pt idx="28">
                  <c:v>294.78571428571422</c:v>
                </c:pt>
                <c:pt idx="29">
                  <c:v>299.79591836734687</c:v>
                </c:pt>
                <c:pt idx="30">
                  <c:v>304.80612244897952</c:v>
                </c:pt>
                <c:pt idx="31">
                  <c:v>309.81632653061217</c:v>
                </c:pt>
                <c:pt idx="32">
                  <c:v>314.82653061224482</c:v>
                </c:pt>
                <c:pt idx="33">
                  <c:v>319.83673469387747</c:v>
                </c:pt>
                <c:pt idx="34">
                  <c:v>324.84693877551013</c:v>
                </c:pt>
                <c:pt idx="35">
                  <c:v>329.85714285714278</c:v>
                </c:pt>
                <c:pt idx="36">
                  <c:v>334.86734693877543</c:v>
                </c:pt>
                <c:pt idx="37">
                  <c:v>339.87755102040808</c:v>
                </c:pt>
                <c:pt idx="38">
                  <c:v>344.88775510204073</c:v>
                </c:pt>
                <c:pt idx="39">
                  <c:v>349.89795918367338</c:v>
                </c:pt>
                <c:pt idx="40">
                  <c:v>354.90816326530603</c:v>
                </c:pt>
                <c:pt idx="41">
                  <c:v>359.91836734693868</c:v>
                </c:pt>
                <c:pt idx="42">
                  <c:v>364.92857142857133</c:v>
                </c:pt>
                <c:pt idx="43">
                  <c:v>369.93877551020398</c:v>
                </c:pt>
                <c:pt idx="44">
                  <c:v>374.94897959183663</c:v>
                </c:pt>
                <c:pt idx="45">
                  <c:v>379.95918367346928</c:v>
                </c:pt>
                <c:pt idx="46">
                  <c:v>384.96938775510193</c:v>
                </c:pt>
                <c:pt idx="47">
                  <c:v>389.97959183673458</c:v>
                </c:pt>
                <c:pt idx="48">
                  <c:v>394.98979591836724</c:v>
                </c:pt>
                <c:pt idx="49">
                  <c:v>399.99999999999989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D5-4D9A-A67E-41A2D0277061}"/>
            </c:ext>
          </c:extLst>
        </c:ser>
        <c:ser>
          <c:idx val="1"/>
          <c:order val="1"/>
          <c:tx>
            <c:strRef>
              <c:f>bolted_design!$AR$4</c:f>
              <c:strCache>
                <c:ptCount val="1"/>
                <c:pt idx="0">
                  <c:v>gasket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bolted_design!$AV$5:$AV$6</c:f>
              <c:numCache>
                <c:formatCode>General</c:formatCode>
                <c:ptCount val="2"/>
                <c:pt idx="0">
                  <c:v>0</c:v>
                </c:pt>
                <c:pt idx="1">
                  <c:v>0.11531868092729661</c:v>
                </c:pt>
              </c:numCache>
            </c:numRef>
          </c:xVal>
          <c:yVal>
            <c:numRef>
              <c:f>bolted_design!$AR$5:$AR$6</c:f>
              <c:numCache>
                <c:formatCode>0.00</c:formatCode>
                <c:ptCount val="2"/>
                <c:pt idx="0">
                  <c:v>268</c:v>
                </c:pt>
                <c:pt idx="1">
                  <c:v>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D5-4D9A-A67E-41A2D0277061}"/>
            </c:ext>
          </c:extLst>
        </c:ser>
        <c:ser>
          <c:idx val="2"/>
          <c:order val="2"/>
          <c:tx>
            <c:strRef>
              <c:f>bolted_design!$AS$4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6"/>
                </a:solidFill>
                <a:prstDash val="lgDash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A3D5-4D9A-A67E-41A2D0277061}"/>
              </c:ext>
            </c:extLst>
          </c:dPt>
          <c:xVal>
            <c:numRef>
              <c:f>bolted_design!$AV$5:$AV$6</c:f>
              <c:numCache>
                <c:formatCode>General</c:formatCode>
                <c:ptCount val="2"/>
                <c:pt idx="0">
                  <c:v>0</c:v>
                </c:pt>
                <c:pt idx="1">
                  <c:v>0.11531868092729661</c:v>
                </c:pt>
              </c:numCache>
            </c:numRef>
          </c:xVal>
          <c:yVal>
            <c:numRef>
              <c:f>bolted_design!$AS$5:$AS$6</c:f>
              <c:numCache>
                <c:formatCode>0.00</c:formatCode>
                <c:ptCount val="2"/>
                <c:pt idx="0">
                  <c:v>340</c:v>
                </c:pt>
                <c:pt idx="1">
                  <c:v>340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D5-4D9A-A67E-41A2D0277061}"/>
            </c:ext>
          </c:extLst>
        </c:ser>
        <c:ser>
          <c:idx val="3"/>
          <c:order val="3"/>
          <c:tx>
            <c:strRef>
              <c:f>bolted_design!$AR$4</c:f>
              <c:strCache>
                <c:ptCount val="1"/>
                <c:pt idx="0">
                  <c:v>gasket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5"/>
            <c:spPr>
              <a:noFill/>
              <a:ln w="1587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386463937428099E-3"/>
                  <c:y val="-3.689922750894665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D5-4D9A-A67E-41A2D0277061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bolted_design!$AV$7</c:f>
              <c:numCache>
                <c:formatCode>0.000</c:formatCode>
                <c:ptCount val="1"/>
                <c:pt idx="0">
                  <c:v>3.0037778212838456E-2</c:v>
                </c:pt>
              </c:numCache>
            </c:numRef>
          </c:xVal>
          <c:yVal>
            <c:numRef>
              <c:f>bolted_design!$AR$7</c:f>
              <c:numCache>
                <c:formatCode>0.00</c:formatCode>
                <c:ptCount val="1"/>
                <c:pt idx="0">
                  <c:v>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3D5-4D9A-A67E-41A2D0277061}"/>
            </c:ext>
          </c:extLst>
        </c:ser>
        <c:ser>
          <c:idx val="4"/>
          <c:order val="4"/>
          <c:tx>
            <c:strRef>
              <c:f>bolted_design!$AS$4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5"/>
            <c:spPr>
              <a:noFill/>
              <a:ln w="1587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0772927874857127E-3"/>
                  <c:y val="-4.124031309823449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D5-4D9A-A67E-41A2D0277061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bolted_design!$AV$8</c:f>
              <c:numCache>
                <c:formatCode>0.000</c:formatCode>
                <c:ptCount val="1"/>
                <c:pt idx="0">
                  <c:v>1.3637740386595433E-3</c:v>
                </c:pt>
              </c:numCache>
            </c:numRef>
          </c:xVal>
          <c:yVal>
            <c:numRef>
              <c:f>bolted_design!$AS$8</c:f>
              <c:numCache>
                <c:formatCode>0.00</c:formatCode>
                <c:ptCount val="1"/>
                <c:pt idx="0">
                  <c:v>340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3D5-4D9A-A67E-41A2D0277061}"/>
            </c:ext>
          </c:extLst>
        </c:ser>
        <c:ser>
          <c:idx val="5"/>
          <c:order val="5"/>
          <c:tx>
            <c:strRef>
              <c:f>bolted_design!$AT$4</c:f>
              <c:strCache>
                <c:ptCount val="1"/>
                <c:pt idx="0">
                  <c:v>fixed point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lgDash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0F0-4108-AFDA-E3E76AECB518}"/>
              </c:ext>
            </c:extLst>
          </c:dPt>
          <c:xVal>
            <c:numRef>
              <c:f>bolted_design!$AV$5:$AV$6</c:f>
              <c:numCache>
                <c:formatCode>General</c:formatCode>
                <c:ptCount val="2"/>
                <c:pt idx="0">
                  <c:v>0</c:v>
                </c:pt>
                <c:pt idx="1">
                  <c:v>0.11531868092729661</c:v>
                </c:pt>
              </c:numCache>
            </c:numRef>
          </c:xVal>
          <c:yVal>
            <c:numRef>
              <c:f>bolted_design!$AT$5:$AT$6</c:f>
              <c:numCache>
                <c:formatCode>0.00</c:formatCode>
                <c:ptCount val="2"/>
                <c:pt idx="0">
                  <c:v>371.36478761017474</c:v>
                </c:pt>
                <c:pt idx="1">
                  <c:v>371.36478761017474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3F-48D5-8E0A-F9402276168B}"/>
            </c:ext>
          </c:extLst>
        </c:ser>
        <c:ser>
          <c:idx val="6"/>
          <c:order val="6"/>
          <c:tx>
            <c:strRef>
              <c:f>bolted_design!$AT$4</c:f>
              <c:strCache>
                <c:ptCount val="1"/>
                <c:pt idx="0">
                  <c:v>fixed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5"/>
            <c:spPr>
              <a:noFill/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9519195716919766E-2"/>
                  <c:y val="-4.621360353822578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F0-4108-AFDA-E3E76AECB51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bolted_design!$AV$5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bolted_design!$AT$5</c:f>
              <c:numCache>
                <c:formatCode>0.00</c:formatCode>
                <c:ptCount val="1"/>
                <c:pt idx="0">
                  <c:v>371.36478761017474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F0-4108-AFDA-E3E76AECB518}"/>
            </c:ext>
          </c:extLst>
        </c:ser>
        <c:ser>
          <c:idx val="7"/>
          <c:order val="7"/>
          <c:tx>
            <c:strRef>
              <c:f>bolted_design!$AU$4</c:f>
              <c:strCache>
                <c:ptCount val="1"/>
                <c:pt idx="0">
                  <c:v>external radius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bolted_design!$AV$5:$AV$6</c:f>
              <c:numCache>
                <c:formatCode>General</c:formatCode>
                <c:ptCount val="2"/>
                <c:pt idx="0">
                  <c:v>0</c:v>
                </c:pt>
                <c:pt idx="1">
                  <c:v>0.11531868092729661</c:v>
                </c:pt>
              </c:numCache>
            </c:numRef>
          </c:xVal>
          <c:yVal>
            <c:numRef>
              <c:f>bolted_design!$AU$5:$AU$6</c:f>
              <c:numCache>
                <c:formatCode>0.00</c:formatCode>
                <c:ptCount val="2"/>
                <c:pt idx="0">
                  <c:v>400</c:v>
                </c:pt>
                <c:pt idx="1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0F0-4108-AFDA-E3E76AECB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8947471"/>
        <c:axId val="1168943631"/>
      </c:scatterChart>
      <c:valAx>
        <c:axId val="1168947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displacement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68943631"/>
        <c:crosses val="autoZero"/>
        <c:crossBetween val="midCat"/>
      </c:valAx>
      <c:valAx>
        <c:axId val="1168943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radius</a:t>
                </a:r>
                <a:r>
                  <a:rPr lang="it-IT" baseline="0"/>
                  <a:t> [mm]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689474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legendEntry>
        <c:idx val="2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$G$2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5" Type="http://schemas.openxmlformats.org/officeDocument/2006/relationships/image" Target="../media/image4.png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27</xdr:row>
      <xdr:rowOff>152400</xdr:rowOff>
    </xdr:from>
    <xdr:to>
      <xdr:col>29</xdr:col>
      <xdr:colOff>19050</xdr:colOff>
      <xdr:row>38</xdr:row>
      <xdr:rowOff>47625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5250" y="5295900"/>
          <a:ext cx="6276975" cy="199072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These worksheet</a:t>
          </a:r>
          <a:r>
            <a:rPr lang="en-US" sz="1100" b="0" u="none" baseline="0"/>
            <a:t> allows to check the design of the barrel &amp; cover design in BB5 pumps with approach by formula, in terms of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/>
            <a:t>Sheet "bolted_design"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calculation and the verification of the barrel and cover's bolted design is performed, based on ASME VIII Div. 1 Section UG27, Appendix Y and Appendix II.</a:t>
          </a:r>
          <a:endParaRPr lang="it-IT">
            <a:effectLst/>
          </a:endParaRPr>
        </a:p>
        <a:p>
          <a:pPr eaLnBrk="1" fontAlgn="auto" latinLnBrk="0" hangingPunct="1"/>
          <a:endParaRPr lang="it-IT">
            <a:effectLst/>
          </a:endParaRPr>
        </a:p>
        <a:p>
          <a:pPr eaLnBrk="1" fontAlgn="auto" latinLnBrk="0" hangingPunct="1"/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"swg_database"</a:t>
          </a:r>
          <a:endParaRPr lang="it-IT">
            <a:effectLst/>
          </a:endParaRPr>
        </a:p>
        <a:p>
          <a:pPr eaLnBrk="1" fontAlgn="auto" latinLnBrk="0" hangingPunct="1"/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sheet includes the database of spiralwoung gaskets' loading curves. In this section, the data for an user-defined spiralwound gasket shall be inserted.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</xdr:colOff>
      <xdr:row>19</xdr:row>
      <xdr:rowOff>0</xdr:rowOff>
    </xdr:from>
    <xdr:to>
      <xdr:col>16</xdr:col>
      <xdr:colOff>1601</xdr:colOff>
      <xdr:row>36</xdr:row>
      <xdr:rowOff>0</xdr:rowOff>
    </xdr:to>
    <xdr:grpSp>
      <xdr:nvGrpSpPr>
        <xdr:cNvPr id="20" name="Grupp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21798644" y="4313464"/>
          <a:ext cx="3934064" cy="3932465"/>
          <a:chOff x="5086350" y="5600700"/>
          <a:chExt cx="3233211" cy="2952750"/>
        </a:xfrm>
      </xdr:grpSpPr>
      <xdr:pic>
        <xdr:nvPicPr>
          <xdr:cNvPr id="3" name="Immagin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086350" y="5600700"/>
            <a:ext cx="3233211" cy="2952750"/>
          </a:xfrm>
          <a:prstGeom prst="rect">
            <a:avLst/>
          </a:prstGeom>
        </xdr:spPr>
      </xdr:pic>
      <xdr:sp macro="" textlink="">
        <xdr:nvSpPr>
          <xdr:cNvPr id="5" name="CasellaDiTesto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5145427" y="6020313"/>
            <a:ext cx="297133" cy="266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it-IT" sz="1100" b="1">
                <a:solidFill>
                  <a:schemeClr val="bg1"/>
                </a:solidFill>
              </a:rPr>
              <a:t>F</a:t>
            </a:r>
            <a:r>
              <a:rPr lang="it-IT" sz="1100" b="1" baseline="-25000">
                <a:solidFill>
                  <a:schemeClr val="bg1"/>
                </a:solidFill>
              </a:rPr>
              <a:t>0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7996061" y="6602527"/>
            <a:ext cx="258043" cy="266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it-IT" sz="1100" b="1">
                <a:solidFill>
                  <a:schemeClr val="bg1"/>
                </a:solidFill>
              </a:rPr>
              <a:t>F</a:t>
            </a:r>
            <a:r>
              <a:rPr lang="it-IT" sz="1100" b="1" baseline="-25000">
                <a:solidFill>
                  <a:schemeClr val="bg1"/>
                </a:solidFill>
              </a:rPr>
              <a:t>e</a:t>
            </a:r>
            <a:endParaRPr lang="it-IT" sz="1100" b="1">
              <a:solidFill>
                <a:schemeClr val="bg1"/>
              </a:solidFill>
            </a:endParaRPr>
          </a:p>
        </xdr:txBody>
      </xdr:sp>
      <xdr:cxnSp macro="">
        <xdr:nvCxnSpPr>
          <xdr:cNvPr id="8" name="Connettore 2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8062913" y="6065662"/>
            <a:ext cx="0" cy="1284638"/>
          </a:xfrm>
          <a:prstGeom prst="straightConnector1">
            <a:avLst/>
          </a:prstGeom>
          <a:ln>
            <a:solidFill>
              <a:schemeClr val="bg1"/>
            </a:solidFill>
            <a:headEnd type="triangle" w="sm" len="sm"/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Connettore 2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7729538" y="6032107"/>
            <a:ext cx="360000" cy="0"/>
          </a:xfrm>
          <a:prstGeom prst="straightConnector1">
            <a:avLst/>
          </a:prstGeom>
          <a:ln>
            <a:solidFill>
              <a:schemeClr val="bg1"/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Connettore 2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CxnSpPr/>
        </xdr:nvCxnSpPr>
        <xdr:spPr>
          <a:xfrm>
            <a:off x="7729538" y="7369472"/>
            <a:ext cx="360000" cy="0"/>
          </a:xfrm>
          <a:prstGeom prst="straightConnector1">
            <a:avLst/>
          </a:prstGeom>
          <a:ln>
            <a:solidFill>
              <a:schemeClr val="bg1"/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7690840" y="6748249"/>
            <a:ext cx="282065" cy="266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it-IT" sz="1100" b="1">
                <a:solidFill>
                  <a:schemeClr val="bg1"/>
                </a:solidFill>
              </a:rPr>
              <a:t>F</a:t>
            </a:r>
            <a:r>
              <a:rPr lang="it-IT" sz="1100" b="1" baseline="-25000">
                <a:solidFill>
                  <a:schemeClr val="bg1"/>
                </a:solidFill>
              </a:rPr>
              <a:t>f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7697167" y="6004310"/>
            <a:ext cx="299890" cy="266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it-IT" sz="1100" b="1">
                <a:solidFill>
                  <a:schemeClr val="bg1"/>
                </a:solidFill>
              </a:rPr>
              <a:t>F</a:t>
            </a:r>
            <a:r>
              <a:rPr lang="it-IT" sz="1100" b="1" baseline="-25000">
                <a:solidFill>
                  <a:schemeClr val="bg1"/>
                </a:solidFill>
              </a:rPr>
              <a:t>b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CasellaDiTes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5798979" y="7433957"/>
            <a:ext cx="302840" cy="266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it-IT" sz="1100" b="1">
                <a:solidFill>
                  <a:schemeClr val="bg1"/>
                </a:solidFill>
              </a:rPr>
              <a:t>k</a:t>
            </a:r>
            <a:r>
              <a:rPr lang="it-IT" sz="1100" b="1" baseline="-25000">
                <a:solidFill>
                  <a:schemeClr val="bg1"/>
                </a:solidFill>
              </a:rPr>
              <a:t>b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16" name="CasellaDiTesto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 txBox="1"/>
        </xdr:nvSpPr>
        <xdr:spPr>
          <a:xfrm>
            <a:off x="7761889" y="7499440"/>
            <a:ext cx="282129" cy="266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it-IT" sz="1100" b="1">
                <a:solidFill>
                  <a:schemeClr val="bg1"/>
                </a:solidFill>
              </a:rPr>
              <a:t>k</a:t>
            </a:r>
            <a:r>
              <a:rPr lang="it-IT" sz="1100" b="1" baseline="-25000">
                <a:solidFill>
                  <a:schemeClr val="bg1"/>
                </a:solidFill>
              </a:rPr>
              <a:t>f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6496051" y="8054934"/>
            <a:ext cx="307520" cy="266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l-GR" sz="1100" b="1">
                <a:solidFill>
                  <a:schemeClr val="bg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δ</a:t>
            </a:r>
            <a:r>
              <a:rPr lang="it-IT" sz="1100" b="1" baseline="-25000">
                <a:solidFill>
                  <a:schemeClr val="bg1"/>
                </a:solidFill>
              </a:rPr>
              <a:t>b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18" name="CasellaDiTesto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/>
        </xdr:nvSpPr>
        <xdr:spPr>
          <a:xfrm>
            <a:off x="7570471" y="8070273"/>
            <a:ext cx="289566" cy="266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l-GR" sz="1100" b="1">
                <a:solidFill>
                  <a:schemeClr val="bg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δ</a:t>
            </a:r>
            <a:r>
              <a:rPr lang="it-IT" sz="1100" b="1" baseline="-25000">
                <a:solidFill>
                  <a:schemeClr val="bg1"/>
                </a:solidFill>
              </a:rPr>
              <a:t>f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9" name="CasellaDiTest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7515226" y="6064209"/>
            <a:ext cx="307520" cy="266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l-GR" sz="1100" b="1">
                <a:solidFill>
                  <a:schemeClr val="bg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δ</a:t>
            </a:r>
            <a:endParaRPr lang="it-IT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13</xdr:col>
      <xdr:colOff>1</xdr:colOff>
      <xdr:row>1</xdr:row>
      <xdr:rowOff>0</xdr:rowOff>
    </xdr:from>
    <xdr:to>
      <xdr:col>17</xdr:col>
      <xdr:colOff>549087</xdr:colOff>
      <xdr:row>5</xdr:row>
      <xdr:rowOff>212912</xdr:rowOff>
    </xdr:to>
    <xdr:sp macro="" textlink="">
      <xdr:nvSpPr>
        <xdr:cNvPr id="51" name="TextBox 1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 txBox="1"/>
      </xdr:nvSpPr>
      <xdr:spPr>
        <a:xfrm>
          <a:off x="22098001" y="190500"/>
          <a:ext cx="3944470" cy="107576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/>
            <a:t>1)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Compile the input data.</a:t>
          </a:r>
        </a:p>
        <a:p>
          <a:pPr eaLnBrk="1" fontAlgn="auto" latinLnBrk="0" hangingPunct="1"/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Verify that the results are satisfied according to the acceptance criteria in all the load conditions.</a:t>
          </a:r>
        </a:p>
      </xdr:txBody>
    </xdr:sp>
    <xdr:clientData/>
  </xdr:twoCellAnchor>
  <xdr:twoCellAnchor editAs="oneCell">
    <xdr:from>
      <xdr:col>6</xdr:col>
      <xdr:colOff>1</xdr:colOff>
      <xdr:row>19</xdr:row>
      <xdr:rowOff>1</xdr:rowOff>
    </xdr:from>
    <xdr:to>
      <xdr:col>10</xdr:col>
      <xdr:colOff>0</xdr:colOff>
      <xdr:row>41</xdr:row>
      <xdr:rowOff>1</xdr:rowOff>
    </xdr:to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pdesign &amp; Tdesign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1590675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phydro &amp; Tamb</a:t>
              </a:r>
            </a:p>
          </xdr:txBody>
        </xdr:sp>
        <xdr:clientData/>
      </xdr:twoCellAnchor>
    </mc:Choice>
    <mc:Fallback/>
  </mc:AlternateContent>
  <xdr:twoCellAnchor editAs="oneCell">
    <xdr:from>
      <xdr:col>17</xdr:col>
      <xdr:colOff>0</xdr:colOff>
      <xdr:row>19</xdr:row>
      <xdr:rowOff>1</xdr:rowOff>
    </xdr:from>
    <xdr:to>
      <xdr:col>28</xdr:col>
      <xdr:colOff>4482</xdr:colOff>
      <xdr:row>41</xdr:row>
      <xdr:rowOff>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4BAE2774-5B9A-4662-A9E0-BA9EEEED1D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0</xdr:colOff>
      <xdr:row>125</xdr:row>
      <xdr:rowOff>0</xdr:rowOff>
    </xdr:from>
    <xdr:to>
      <xdr:col>13</xdr:col>
      <xdr:colOff>0</xdr:colOff>
      <xdr:row>293</xdr:row>
      <xdr:rowOff>49043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B91AB12-30D9-1422-682F-99DA8A8F5C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228600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2059" name="CommandButton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</xdr:colOff>
      <xdr:row>42</xdr:row>
      <xdr:rowOff>0</xdr:rowOff>
    </xdr:from>
    <xdr:to>
      <xdr:col>28</xdr:col>
      <xdr:colOff>1</xdr:colOff>
      <xdr:row>95</xdr:row>
      <xdr:rowOff>0</xdr:rowOff>
    </xdr:to>
    <xdr:grpSp>
      <xdr:nvGrpSpPr>
        <xdr:cNvPr id="19" name="Gruppo 18">
          <a:extLst>
            <a:ext uri="{FF2B5EF4-FFF2-40B4-BE49-F238E27FC236}">
              <a16:creationId xmlns:a16="http://schemas.microsoft.com/office/drawing/2014/main" id="{2A9E1D0F-B870-B66D-C394-6046D31A95CB}"/>
            </a:ext>
          </a:extLst>
        </xdr:cNvPr>
        <xdr:cNvGrpSpPr/>
      </xdr:nvGrpSpPr>
      <xdr:grpSpPr>
        <a:xfrm>
          <a:off x="12477751" y="9633857"/>
          <a:ext cx="21091071" cy="11566072"/>
          <a:chOff x="12477751" y="9633857"/>
          <a:chExt cx="21091071" cy="11566072"/>
        </a:xfrm>
      </xdr:grpSpPr>
      <xdr:grpSp>
        <xdr:nvGrpSpPr>
          <xdr:cNvPr id="41" name="Gruppo 40">
            <a:extLst>
              <a:ext uri="{FF2B5EF4-FFF2-40B4-BE49-F238E27FC236}">
                <a16:creationId xmlns:a16="http://schemas.microsoft.com/office/drawing/2014/main" id="{3AB30D11-4310-7370-DDD9-5E1EB9BC8C51}"/>
              </a:ext>
            </a:extLst>
          </xdr:cNvPr>
          <xdr:cNvGrpSpPr/>
        </xdr:nvGrpSpPr>
        <xdr:grpSpPr>
          <a:xfrm>
            <a:off x="12477751" y="9633857"/>
            <a:ext cx="21091071" cy="11566072"/>
            <a:chOff x="12477751" y="9633857"/>
            <a:chExt cx="21091071" cy="11756572"/>
          </a:xfrm>
        </xdr:grpSpPr>
        <xdr:pic>
          <xdr:nvPicPr>
            <xdr:cNvPr id="40" name="Immagine 39">
              <a:extLst>
                <a:ext uri="{FF2B5EF4-FFF2-40B4-BE49-F238E27FC236}">
                  <a16:creationId xmlns:a16="http://schemas.microsoft.com/office/drawing/2014/main" id="{E714EE8C-9C0C-C2C0-CB55-67C5A5EFF8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2477751" y="9633857"/>
              <a:ext cx="21091071" cy="11756572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</xdr:pic>
        <xdr:grpSp>
          <xdr:nvGrpSpPr>
            <xdr:cNvPr id="37" name="Gruppo 36">
              <a:extLst>
                <a:ext uri="{FF2B5EF4-FFF2-40B4-BE49-F238E27FC236}">
                  <a16:creationId xmlns:a16="http://schemas.microsoft.com/office/drawing/2014/main" id="{9C388028-C6D0-1758-816E-A1D141CA0CC8}"/>
                </a:ext>
              </a:extLst>
            </xdr:cNvPr>
            <xdr:cNvGrpSpPr/>
          </xdr:nvGrpSpPr>
          <xdr:grpSpPr>
            <a:xfrm>
              <a:off x="12889419" y="11981872"/>
              <a:ext cx="19821358" cy="8990534"/>
              <a:chOff x="15544159" y="13568145"/>
              <a:chExt cx="17281805" cy="6125866"/>
            </a:xfrm>
          </xdr:grpSpPr>
          <xdr:grpSp>
            <xdr:nvGrpSpPr>
              <xdr:cNvPr id="44" name="Gruppo 43">
                <a:extLst>
                  <a:ext uri="{FF2B5EF4-FFF2-40B4-BE49-F238E27FC236}">
                    <a16:creationId xmlns:a16="http://schemas.microsoft.com/office/drawing/2014/main" id="{C7FFC5E2-5ACD-F8EE-4008-E931EEC7E039}"/>
                  </a:ext>
                </a:extLst>
              </xdr:cNvPr>
              <xdr:cNvGrpSpPr/>
            </xdr:nvGrpSpPr>
            <xdr:grpSpPr>
              <a:xfrm>
                <a:off x="15544159" y="13568145"/>
                <a:ext cx="17281805" cy="6125866"/>
                <a:chOff x="15606596" y="13006192"/>
                <a:chExt cx="16099952" cy="5316961"/>
              </a:xfrm>
            </xdr:grpSpPr>
            <xdr:grpSp>
              <xdr:nvGrpSpPr>
                <xdr:cNvPr id="33" name="Gruppo 32">
                  <a:extLst>
                    <a:ext uri="{FF2B5EF4-FFF2-40B4-BE49-F238E27FC236}">
                      <a16:creationId xmlns:a16="http://schemas.microsoft.com/office/drawing/2014/main" id="{68DD2888-DD91-E2C8-E8B9-690B8813BC70}"/>
                    </a:ext>
                  </a:extLst>
                </xdr:cNvPr>
                <xdr:cNvGrpSpPr/>
              </xdr:nvGrpSpPr>
              <xdr:grpSpPr>
                <a:xfrm>
                  <a:off x="15606596" y="13006192"/>
                  <a:ext cx="16099952" cy="5316961"/>
                  <a:chOff x="14792095" y="13030288"/>
                  <a:chExt cx="16108953" cy="5296519"/>
                </a:xfrm>
              </xdr:grpSpPr>
              <xdr:grpSp>
                <xdr:nvGrpSpPr>
                  <xdr:cNvPr id="36" name="Gruppo 35">
                    <a:extLst>
                      <a:ext uri="{FF2B5EF4-FFF2-40B4-BE49-F238E27FC236}">
                        <a16:creationId xmlns:a16="http://schemas.microsoft.com/office/drawing/2014/main" id="{87B01743-1A6C-F8B2-DB4A-07CA287A3CCE}"/>
                      </a:ext>
                    </a:extLst>
                  </xdr:cNvPr>
                  <xdr:cNvGrpSpPr/>
                </xdr:nvGrpSpPr>
                <xdr:grpSpPr>
                  <a:xfrm>
                    <a:off x="17576059" y="13030288"/>
                    <a:ext cx="13324989" cy="5296519"/>
                    <a:chOff x="18404431" y="13029393"/>
                    <a:chExt cx="13321083" cy="5295090"/>
                  </a:xfrm>
                </xdr:grpSpPr>
                <xdr:sp macro="" textlink="$E$37">
                  <xdr:nvSpPr>
                    <xdr:cNvPr id="57" name="CasellaDiTesto 56">
                      <a:extLst>
                        <a:ext uri="{FF2B5EF4-FFF2-40B4-BE49-F238E27FC236}">
                          <a16:creationId xmlns:a16="http://schemas.microsoft.com/office/drawing/2014/main" id="{5A968DD7-88E8-4856-88A4-5ED181F08BAB}"/>
                        </a:ext>
                      </a:extLst>
                    </xdr:cNvPr>
                    <xdr:cNvSpPr txBox="1"/>
                  </xdr:nvSpPr>
                  <xdr:spPr>
                    <a:xfrm>
                      <a:off x="18404431" y="13834510"/>
                      <a:ext cx="5472412" cy="24309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ctr"/>
                      <a:fld id="{3E138147-D02E-43D1-B17D-4C243094A3F3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ctr"/>
                        <a:t>tI [mm] = 435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38">
                  <xdr:nvSpPr>
                    <xdr:cNvPr id="63" name="CasellaDiTesto 62">
                      <a:extLst>
                        <a:ext uri="{FF2B5EF4-FFF2-40B4-BE49-F238E27FC236}">
                          <a16:creationId xmlns:a16="http://schemas.microsoft.com/office/drawing/2014/main" id="{6BF2404E-52CA-410A-992E-6400532A625B}"/>
                        </a:ext>
                      </a:extLst>
                    </xdr:cNvPr>
                    <xdr:cNvSpPr txBox="1"/>
                  </xdr:nvSpPr>
                  <xdr:spPr>
                    <a:xfrm>
                      <a:off x="23898954" y="13819718"/>
                      <a:ext cx="1404033" cy="24309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ctr"/>
                      <a:fld id="{A756D3B2-824D-4003-914A-CBFE4CBB0D92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ctr"/>
                        <a:t>tII [mm] = 110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26">
                  <xdr:nvSpPr>
                    <xdr:cNvPr id="67" name="CasellaDiTesto 66">
                      <a:extLst>
                        <a:ext uri="{FF2B5EF4-FFF2-40B4-BE49-F238E27FC236}">
                          <a16:creationId xmlns:a16="http://schemas.microsoft.com/office/drawing/2014/main" id="{6BAA41AC-FED4-4952-A8C1-F4CCCB673FC8}"/>
                        </a:ext>
                      </a:extLst>
                    </xdr:cNvPr>
                    <xdr:cNvSpPr txBox="1"/>
                  </xdr:nvSpPr>
                  <xdr:spPr>
                    <a:xfrm>
                      <a:off x="23600458" y="13452985"/>
                      <a:ext cx="1691474" cy="24309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ctr"/>
                      <a:fld id="{5106BC52-0558-46DB-A61F-EAC18DCE8215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ctr"/>
                        <a:t>Le [mm] = 136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39">
                  <xdr:nvSpPr>
                    <xdr:cNvPr id="68" name="CasellaDiTesto 67">
                      <a:extLst>
                        <a:ext uri="{FF2B5EF4-FFF2-40B4-BE49-F238E27FC236}">
                          <a16:creationId xmlns:a16="http://schemas.microsoft.com/office/drawing/2014/main" id="{DF270E11-DDA6-4397-8456-2CA0D1CDF3AA}"/>
                        </a:ext>
                      </a:extLst>
                    </xdr:cNvPr>
                    <xdr:cNvSpPr txBox="1"/>
                  </xdr:nvSpPr>
                  <xdr:spPr>
                    <a:xfrm>
                      <a:off x="22848693" y="14128445"/>
                      <a:ext cx="1370866" cy="24309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ctr"/>
                      <a:fld id="{A8766542-9E97-4F14-9213-B5A33D2CB021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ctr"/>
                        <a:t>Lh [mm] = 70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36">
                  <xdr:nvSpPr>
                    <xdr:cNvPr id="71" name="CasellaDiTesto 70">
                      <a:extLst>
                        <a:ext uri="{FF2B5EF4-FFF2-40B4-BE49-F238E27FC236}">
                          <a16:creationId xmlns:a16="http://schemas.microsoft.com/office/drawing/2014/main" id="{807C571D-4C5C-4634-96E1-34F906E06D08}"/>
                        </a:ext>
                      </a:extLst>
                    </xdr:cNvPr>
                    <xdr:cNvSpPr txBox="1"/>
                  </xdr:nvSpPr>
                  <xdr:spPr>
                    <a:xfrm rot="16200000">
                      <a:off x="27038782" y="13667817"/>
                      <a:ext cx="1593636" cy="33213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l"/>
                      <a:fld id="{643AF92A-7E78-4D9A-8067-3D4F9DD21CC2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l"/>
                        <a:t>d [mm] = 56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15">
                  <xdr:nvSpPr>
                    <xdr:cNvPr id="78" name="CasellaDiTesto 77">
                      <a:extLst>
                        <a:ext uri="{FF2B5EF4-FFF2-40B4-BE49-F238E27FC236}">
                          <a16:creationId xmlns:a16="http://schemas.microsoft.com/office/drawing/2014/main" id="{A83C2CD9-2D4B-4637-A55E-F266CD3B5B74}"/>
                        </a:ext>
                      </a:extLst>
                    </xdr:cNvPr>
                    <xdr:cNvSpPr txBox="1"/>
                  </xdr:nvSpPr>
                  <xdr:spPr>
                    <a:xfrm rot="16200000">
                      <a:off x="26364442" y="13660144"/>
                      <a:ext cx="1593636" cy="33213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l"/>
                      <a:fld id="{68FF8B9F-8A6C-441D-9271-E0B994F6FDF7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l"/>
                        <a:t>du [mm] = 45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17">
                  <xdr:nvSpPr>
                    <xdr:cNvPr id="84" name="CasellaDiTesto 83">
                      <a:extLst>
                        <a:ext uri="{FF2B5EF4-FFF2-40B4-BE49-F238E27FC236}">
                          <a16:creationId xmlns:a16="http://schemas.microsoft.com/office/drawing/2014/main" id="{5BDC16EC-2464-44A2-8E28-5EB14D768E40}"/>
                        </a:ext>
                      </a:extLst>
                    </xdr:cNvPr>
                    <xdr:cNvSpPr txBox="1"/>
                  </xdr:nvSpPr>
                  <xdr:spPr>
                    <a:xfrm rot="16200000">
                      <a:off x="21348510" y="14626064"/>
                      <a:ext cx="1298285" cy="291867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l"/>
                      <a:fld id="{93C2FD9D-F645-4254-800F-7C54400680D4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l"/>
                        <a:t>dt [mm] = M52x5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41">
                  <xdr:nvSpPr>
                    <xdr:cNvPr id="86" name="CasellaDiTesto 85">
                      <a:extLst>
                        <a:ext uri="{FF2B5EF4-FFF2-40B4-BE49-F238E27FC236}">
                          <a16:creationId xmlns:a16="http://schemas.microsoft.com/office/drawing/2014/main" id="{5C7E97B9-E7AE-4315-B9E7-C8E69FCFA45F}"/>
                        </a:ext>
                      </a:extLst>
                    </xdr:cNvPr>
                    <xdr:cNvSpPr txBox="1"/>
                  </xdr:nvSpPr>
                  <xdr:spPr>
                    <a:xfrm rot="16200000">
                      <a:off x="27567552" y="17320739"/>
                      <a:ext cx="1608044" cy="33213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l"/>
                      <a:fld id="{3491A708-C4BC-4301-A507-CDD675CD5950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l"/>
                        <a:t>C [mm] = 680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46">
                  <xdr:nvSpPr>
                    <xdr:cNvPr id="87" name="CasellaDiTesto 86">
                      <a:extLst>
                        <a:ext uri="{FF2B5EF4-FFF2-40B4-BE49-F238E27FC236}">
                          <a16:creationId xmlns:a16="http://schemas.microsoft.com/office/drawing/2014/main" id="{F4CD3908-E0B2-459B-8A13-1DFC6FAA7151}"/>
                        </a:ext>
                      </a:extLst>
                    </xdr:cNvPr>
                    <xdr:cNvSpPr txBox="1"/>
                  </xdr:nvSpPr>
                  <xdr:spPr>
                    <a:xfrm rot="16200000">
                      <a:off x="25771725" y="17310861"/>
                      <a:ext cx="1608044" cy="33213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l"/>
                      <a:fld id="{E0360498-0F84-4852-B5DE-27CC0043CD84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l"/>
                        <a:t>dint [mm] = 536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61">
                  <xdr:nvSpPr>
                    <xdr:cNvPr id="88" name="CasellaDiTesto 87">
                      <a:extLst>
                        <a:ext uri="{FF2B5EF4-FFF2-40B4-BE49-F238E27FC236}">
                          <a16:creationId xmlns:a16="http://schemas.microsoft.com/office/drawing/2014/main" id="{901C577C-554A-463C-921F-8C89A6F0B038}"/>
                        </a:ext>
                      </a:extLst>
                    </xdr:cNvPr>
                    <xdr:cNvSpPr txBox="1"/>
                  </xdr:nvSpPr>
                  <xdr:spPr>
                    <a:xfrm rot="16200000">
                      <a:off x="27030159" y="17357575"/>
                      <a:ext cx="1608044" cy="32577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l"/>
                      <a:fld id="{63F4135B-5F14-4FCE-BB11-AF68C03BEE34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l"/>
                        <a:t>Dext [mm] = 576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63">
                  <xdr:nvSpPr>
                    <xdr:cNvPr id="90" name="CasellaDiTesto 89">
                      <a:extLst>
                        <a:ext uri="{FF2B5EF4-FFF2-40B4-BE49-F238E27FC236}">
                          <a16:creationId xmlns:a16="http://schemas.microsoft.com/office/drawing/2014/main" id="{BDEAE182-A2B5-48A2-A920-1928058D532E}"/>
                        </a:ext>
                      </a:extLst>
                    </xdr:cNvPr>
                    <xdr:cNvSpPr txBox="1"/>
                  </xdr:nvSpPr>
                  <xdr:spPr>
                    <a:xfrm rot="16200000">
                      <a:off x="26451098" y="17315555"/>
                      <a:ext cx="1608044" cy="33213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l"/>
                      <a:fld id="{91645481-4927-48B9-AD35-4960EEA96EDC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l"/>
                        <a:t>G [mm] = 556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17">
                  <xdr:nvSpPr>
                    <xdr:cNvPr id="4" name="CasellaDiTesto 3">
                      <a:extLst>
                        <a:ext uri="{FF2B5EF4-FFF2-40B4-BE49-F238E27FC236}">
                          <a16:creationId xmlns:a16="http://schemas.microsoft.com/office/drawing/2014/main" id="{DEF5A1A3-CB45-4292-8DB1-5446F4EB263B}"/>
                        </a:ext>
                      </a:extLst>
                    </xdr:cNvPr>
                    <xdr:cNvSpPr txBox="1"/>
                  </xdr:nvSpPr>
                  <xdr:spPr>
                    <a:xfrm>
                      <a:off x="28796066" y="17270507"/>
                      <a:ext cx="1586434" cy="24309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r"/>
                      <a:fld id="{93C2FD9D-F645-4254-800F-7C54400680D4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r"/>
                        <a:t>dt [mm] = M52x5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15">
                  <xdr:nvSpPr>
                    <xdr:cNvPr id="7" name="CasellaDiTesto 6">
                      <a:extLst>
                        <a:ext uri="{FF2B5EF4-FFF2-40B4-BE49-F238E27FC236}">
                          <a16:creationId xmlns:a16="http://schemas.microsoft.com/office/drawing/2014/main" id="{9B42D4F4-B8DB-41B4-AC7C-A7629551EBA1}"/>
                        </a:ext>
                      </a:extLst>
                    </xdr:cNvPr>
                    <xdr:cNvSpPr txBox="1"/>
                  </xdr:nvSpPr>
                  <xdr:spPr>
                    <a:xfrm>
                      <a:off x="28818543" y="16591859"/>
                      <a:ext cx="1586434" cy="24309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r"/>
                      <a:fld id="{09846672-F45F-4DC3-85A5-B72D48B84206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r"/>
                        <a:t>du [mm] = 45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14">
                  <xdr:nvSpPr>
                    <xdr:cNvPr id="10" name="CasellaDiTesto 9">
                      <a:extLst>
                        <a:ext uri="{FF2B5EF4-FFF2-40B4-BE49-F238E27FC236}">
                          <a16:creationId xmlns:a16="http://schemas.microsoft.com/office/drawing/2014/main" id="{9BD03C40-96B9-4E35-B8AF-DBDB6BDC80B2}"/>
                        </a:ext>
                      </a:extLst>
                    </xdr:cNvPr>
                    <xdr:cNvSpPr txBox="1"/>
                  </xdr:nvSpPr>
                  <xdr:spPr>
                    <a:xfrm>
                      <a:off x="28655344" y="15888707"/>
                      <a:ext cx="1579230" cy="24309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r"/>
                      <a:fld id="{3C74B936-EA99-44FA-9B78-AC0FD2A4BE21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r"/>
                        <a:t>dn [mm] = 80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16">
                  <xdr:nvSpPr>
                    <xdr:cNvPr id="22" name="CasellaDiTesto 21">
                      <a:extLst>
                        <a:ext uri="{FF2B5EF4-FFF2-40B4-BE49-F238E27FC236}">
                          <a16:creationId xmlns:a16="http://schemas.microsoft.com/office/drawing/2014/main" id="{0E9FC97C-8EEA-4313-9FF2-A20A23A1CF37}"/>
                        </a:ext>
                      </a:extLst>
                    </xdr:cNvPr>
                    <xdr:cNvSpPr txBox="1"/>
                  </xdr:nvSpPr>
                  <xdr:spPr>
                    <a:xfrm rot="16200000">
                      <a:off x="30875830" y="16793761"/>
                      <a:ext cx="897578" cy="33213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ctr"/>
                      <a:fld id="{8AE45A6B-983D-4075-8952-440B25AAE206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ctr"/>
                        <a:t>Lu [mm] = 110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23">
                  <xdr:nvSpPr>
                    <xdr:cNvPr id="23" name="CasellaDiTesto 22">
                      <a:extLst>
                        <a:ext uri="{FF2B5EF4-FFF2-40B4-BE49-F238E27FC236}">
                          <a16:creationId xmlns:a16="http://schemas.microsoft.com/office/drawing/2014/main" id="{7F3CEBD7-8531-42C2-97F5-EA789620A44C}"/>
                        </a:ext>
                      </a:extLst>
                    </xdr:cNvPr>
                    <xdr:cNvSpPr txBox="1"/>
                  </xdr:nvSpPr>
                  <xdr:spPr>
                    <a:xfrm rot="16200000">
                      <a:off x="30942644" y="17660129"/>
                      <a:ext cx="784920" cy="298889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r"/>
                      <a:fld id="{E795E484-495B-4D53-BC24-5F0683EFF172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r"/>
                        <a:t>Lt [mm] = 26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19">
                  <xdr:nvSpPr>
                    <xdr:cNvPr id="24" name="CasellaDiTesto 23">
                      <a:extLst>
                        <a:ext uri="{FF2B5EF4-FFF2-40B4-BE49-F238E27FC236}">
                          <a16:creationId xmlns:a16="http://schemas.microsoft.com/office/drawing/2014/main" id="{1CDF27C0-FB57-450C-BD02-26276C23DE6A}"/>
                        </a:ext>
                      </a:extLst>
                    </xdr:cNvPr>
                    <xdr:cNvSpPr txBox="1"/>
                  </xdr:nvSpPr>
                  <xdr:spPr>
                    <a:xfrm rot="16200000">
                      <a:off x="30823178" y="15779977"/>
                      <a:ext cx="1017789" cy="33213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l"/>
                      <a:fld id="{4CC88E6A-D90F-4E14-BB35-8EA59A1CA155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l"/>
                        <a:t>sw [mm] = 0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20">
                  <xdr:nvSpPr>
                    <xdr:cNvPr id="25" name="CasellaDiTesto 24">
                      <a:extLst>
                        <a:ext uri="{FF2B5EF4-FFF2-40B4-BE49-F238E27FC236}">
                          <a16:creationId xmlns:a16="http://schemas.microsoft.com/office/drawing/2014/main" id="{E4768F13-EC91-4B47-A663-E9122944F809}"/>
                        </a:ext>
                      </a:extLst>
                    </xdr:cNvPr>
                    <xdr:cNvSpPr txBox="1"/>
                  </xdr:nvSpPr>
                  <xdr:spPr>
                    <a:xfrm>
                      <a:off x="30827443" y="14946346"/>
                      <a:ext cx="898071" cy="33297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ctr"/>
                      <a:fld id="{75A1D68A-8665-4C13-8423-A8AA318E765C}" type="TxLink">
                        <a:rPr lang="en-US" sz="18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ctr"/>
                        <a:t>N. = 20</a:t>
                      </a:fld>
                      <a:endParaRPr lang="it-IT" sz="18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55">
                  <xdr:nvSpPr>
                    <xdr:cNvPr id="26" name="CasellaDiTesto 25">
                      <a:extLst>
                        <a:ext uri="{FF2B5EF4-FFF2-40B4-BE49-F238E27FC236}">
                          <a16:creationId xmlns:a16="http://schemas.microsoft.com/office/drawing/2014/main" id="{54980C59-F67B-4A44-885A-9CE068DE91C0}"/>
                        </a:ext>
                      </a:extLst>
                    </xdr:cNvPr>
                    <xdr:cNvSpPr txBox="1"/>
                  </xdr:nvSpPr>
                  <xdr:spPr>
                    <a:xfrm>
                      <a:off x="18735593" y="15859796"/>
                      <a:ext cx="3078463" cy="53925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b">
                      <a:noAutofit/>
                    </a:bodyPr>
                    <a:lstStyle/>
                    <a:p>
                      <a:pPr algn="r"/>
                      <a:fld id="{5B579128-5E48-446A-BDB2-A57555D2F450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r"/>
                        <a:t>O-ring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60">
                  <xdr:nvSpPr>
                    <xdr:cNvPr id="29" name="CasellaDiTesto 28">
                      <a:extLst>
                        <a:ext uri="{FF2B5EF4-FFF2-40B4-BE49-F238E27FC236}">
                          <a16:creationId xmlns:a16="http://schemas.microsoft.com/office/drawing/2014/main" id="{F57F1F84-3C27-4796-B170-853FCD8B00CD}"/>
                        </a:ext>
                      </a:extLst>
                    </xdr:cNvPr>
                    <xdr:cNvSpPr txBox="1"/>
                  </xdr:nvSpPr>
                  <xdr:spPr>
                    <a:xfrm>
                      <a:off x="21968637" y="16454637"/>
                      <a:ext cx="1638460" cy="24309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r"/>
                      <a:fld id="{9127B758-BA75-441E-A473-9E90053792A2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r"/>
                        <a:t>tf [mm] = 4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$E$42">
                  <xdr:nvSpPr>
                    <xdr:cNvPr id="30" name="CasellaDiTesto 29">
                      <a:extLst>
                        <a:ext uri="{FF2B5EF4-FFF2-40B4-BE49-F238E27FC236}">
                          <a16:creationId xmlns:a16="http://schemas.microsoft.com/office/drawing/2014/main" id="{E69914ED-03E1-4363-92A7-FA78728E3B72}"/>
                        </a:ext>
                      </a:extLst>
                    </xdr:cNvPr>
                    <xdr:cNvSpPr txBox="1"/>
                  </xdr:nvSpPr>
                  <xdr:spPr>
                    <a:xfrm rot="16200000">
                      <a:off x="28065413" y="17318539"/>
                      <a:ext cx="1608044" cy="33213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none" rtlCol="0" anchor="ctr">
                      <a:noAutofit/>
                    </a:bodyPr>
                    <a:lstStyle/>
                    <a:p>
                      <a:pPr algn="l"/>
                      <a:fld id="{772FFCDA-1A21-4EB0-92AE-4B4D9F791D0B}" type="TxLink">
                        <a:rPr lang="en-US" sz="1400" b="0" i="0" u="none" strike="noStrike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libri"/>
                          <a:ea typeface="Calibri"/>
                          <a:cs typeface="Calibri"/>
                        </a:rPr>
                        <a:pPr algn="l"/>
                        <a:t>A [mm] = 800</a:t>
                      </a:fld>
                      <a:endParaRPr lang="it-IT" sz="1400" i="1">
                        <a:solidFill>
                          <a:schemeClr val="accent1">
                            <a:lumMod val="75000"/>
                          </a:schemeClr>
                        </a:solidFill>
                      </a:endParaRPr>
                    </a:p>
                  </xdr:txBody>
                </xdr:sp>
              </xdr:grpSp>
              <xdr:sp macro="" textlink="$E$45">
                <xdr:nvSpPr>
                  <xdr:cNvPr id="21" name="CasellaDiTesto 20">
                    <a:extLst>
                      <a:ext uri="{FF2B5EF4-FFF2-40B4-BE49-F238E27FC236}">
                        <a16:creationId xmlns:a16="http://schemas.microsoft.com/office/drawing/2014/main" id="{87666369-69A9-405A-AF7B-FEA5D74F47A0}"/>
                      </a:ext>
                    </a:extLst>
                  </xdr:cNvPr>
                  <xdr:cNvSpPr txBox="1"/>
                </xdr:nvSpPr>
                <xdr:spPr>
                  <a:xfrm>
                    <a:off x="16016793" y="15986480"/>
                    <a:ext cx="1570324" cy="24316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fld id="{663F6227-C0F3-463D-8A45-F35B37B92570}" type="TxLink">
                      <a:rPr lang="en-US" sz="1400" b="0" i="0" u="none" strike="noStrike">
                        <a:solidFill>
                          <a:schemeClr val="accent1">
                            <a:lumMod val="75000"/>
                          </a:schemeClr>
                        </a:solidFill>
                        <a:latin typeface="Calibri"/>
                        <a:ea typeface="Calibri"/>
                        <a:cs typeface="Calibri"/>
                      </a:rPr>
                      <a:pPr algn="ctr"/>
                      <a:t>h [mm] = 125</a:t>
                    </a:fld>
                    <a:endParaRPr lang="it-IT" sz="1800" i="1">
                      <a:solidFill>
                        <a:schemeClr val="accent1">
                          <a:lumMod val="75000"/>
                        </a:schemeClr>
                      </a:solidFill>
                    </a:endParaRPr>
                  </a:p>
                </xdr:txBody>
              </xdr:sp>
              <xdr:sp macro="" textlink="$E$43">
                <xdr:nvSpPr>
                  <xdr:cNvPr id="28" name="CasellaDiTesto 27">
                    <a:extLst>
                      <a:ext uri="{FF2B5EF4-FFF2-40B4-BE49-F238E27FC236}">
                        <a16:creationId xmlns:a16="http://schemas.microsoft.com/office/drawing/2014/main" id="{78858C9D-AEEE-490D-9966-67E2C77383A0}"/>
                      </a:ext>
                    </a:extLst>
                  </xdr:cNvPr>
                  <xdr:cNvSpPr txBox="1"/>
                </xdr:nvSpPr>
                <xdr:spPr>
                  <a:xfrm rot="16200000">
                    <a:off x="14883203" y="15128293"/>
                    <a:ext cx="1266569" cy="332231"/>
                  </a:xfrm>
                  <a:prstGeom prst="rect">
                    <a:avLst/>
                  </a:prstGeom>
                  <a:solidFill>
                    <a:schemeClr val="bg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fld id="{FC3884B8-373A-4DB0-B606-090EAB3A3C5E}" type="TxLink">
                      <a:rPr lang="en-US" sz="1400" b="0" i="0" u="none" strike="noStrike">
                        <a:solidFill>
                          <a:schemeClr val="accent1">
                            <a:lumMod val="75000"/>
                          </a:schemeClr>
                        </a:solidFill>
                        <a:latin typeface="Calibri"/>
                        <a:ea typeface="Calibri"/>
                        <a:cs typeface="Calibri"/>
                      </a:rPr>
                      <a:pPr algn="ctr"/>
                      <a:t>g1 [mm] = 135</a:t>
                    </a:fld>
                    <a:endParaRPr lang="it-IT" sz="1800" i="1">
                      <a:solidFill>
                        <a:schemeClr val="accent1">
                          <a:lumMod val="75000"/>
                        </a:schemeClr>
                      </a:solidFill>
                    </a:endParaRPr>
                  </a:p>
                </xdr:txBody>
              </xdr:sp>
              <xdr:sp macro="" textlink="$E$44">
                <xdr:nvSpPr>
                  <xdr:cNvPr id="32" name="CasellaDiTesto 31">
                    <a:extLst>
                      <a:ext uri="{FF2B5EF4-FFF2-40B4-BE49-F238E27FC236}">
                        <a16:creationId xmlns:a16="http://schemas.microsoft.com/office/drawing/2014/main" id="{492AF25A-6629-4CA3-B095-32954F658616}"/>
                      </a:ext>
                    </a:extLst>
                  </xdr:cNvPr>
                  <xdr:cNvSpPr txBox="1"/>
                </xdr:nvSpPr>
                <xdr:spPr>
                  <a:xfrm rot="16200000">
                    <a:off x="14007071" y="14203336"/>
                    <a:ext cx="1902279" cy="33223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fld id="{A03C2998-EAAE-4AD1-B2FE-97297FC097ED}" type="TxLink">
                      <a:rPr lang="en-US" sz="1400" b="0" i="0" u="none" strike="noStrike">
                        <a:solidFill>
                          <a:schemeClr val="accent1">
                            <a:lumMod val="75000"/>
                          </a:schemeClr>
                        </a:solidFill>
                        <a:latin typeface="Calibri"/>
                        <a:ea typeface="Calibri"/>
                        <a:cs typeface="Calibri"/>
                      </a:rPr>
                      <a:pPr algn="l"/>
                      <a:t>g0 [mm] = 69</a:t>
                    </a:fld>
                    <a:endParaRPr lang="it-IT" sz="1800" i="1">
                      <a:solidFill>
                        <a:schemeClr val="accent1">
                          <a:lumMod val="75000"/>
                        </a:schemeClr>
                      </a:solidFill>
                    </a:endParaRPr>
                  </a:p>
                </xdr:txBody>
              </xdr:sp>
            </xdr:grpSp>
            <xdr:sp macro="" textlink="$E$47">
              <xdr:nvSpPr>
                <xdr:cNvPr id="43" name="CasellaDiTesto 42">
                  <a:extLst>
                    <a:ext uri="{FF2B5EF4-FFF2-40B4-BE49-F238E27FC236}">
                      <a16:creationId xmlns:a16="http://schemas.microsoft.com/office/drawing/2014/main" id="{B75D607B-4500-4E9E-9535-4BF0E5422BFA}"/>
                    </a:ext>
                  </a:extLst>
                </xdr:cNvPr>
                <xdr:cNvSpPr txBox="1"/>
              </xdr:nvSpPr>
              <xdr:spPr>
                <a:xfrm rot="16200000">
                  <a:off x="23164753" y="17386192"/>
                  <a:ext cx="1455871" cy="33204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fld id="{FAA8280E-5097-4569-B9C6-43D865A23F75}" type="TxLink">
                    <a:rPr lang="en-US" sz="1400" b="0" i="0" u="none" strike="noStrike">
                      <a:solidFill>
                        <a:schemeClr val="accent1">
                          <a:lumMod val="75000"/>
                        </a:schemeClr>
                      </a:solidFill>
                      <a:latin typeface="Calibri"/>
                      <a:ea typeface="Calibri"/>
                      <a:cs typeface="Calibri"/>
                    </a:rPr>
                    <a:pPr algn="l"/>
                    <a:t>Dcover [mm] = 309</a:t>
                  </a:fld>
                  <a:endParaRPr lang="it-IT" sz="1400" i="1">
                    <a:solidFill>
                      <a:schemeClr val="accent1">
                        <a:lumMod val="75000"/>
                      </a:schemeClr>
                    </a:solidFill>
                  </a:endParaRPr>
                </a:p>
              </xdr:txBody>
            </xdr:sp>
          </xdr:grpSp>
          <xdr:sp macro="" textlink="$E$48">
            <xdr:nvSpPr>
              <xdr:cNvPr id="35" name="CasellaDiTesto 34">
                <a:extLst>
                  <a:ext uri="{FF2B5EF4-FFF2-40B4-BE49-F238E27FC236}">
                    <a16:creationId xmlns:a16="http://schemas.microsoft.com/office/drawing/2014/main" id="{C3E4F729-12E9-423F-8930-388E6F08D8F2}"/>
                  </a:ext>
                </a:extLst>
              </xdr:cNvPr>
              <xdr:cNvSpPr txBox="1"/>
            </xdr:nvSpPr>
            <xdr:spPr>
              <a:xfrm rot="16200000">
                <a:off x="26004389" y="18171708"/>
                <a:ext cx="1379308" cy="357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rtlCol="0" anchor="b">
                <a:noAutofit/>
              </a:bodyPr>
              <a:lstStyle/>
              <a:p>
                <a:pPr algn="l"/>
                <a:fld id="{490424F6-DDAD-4A6A-ABE8-412B9A821DA6}" type="TxLink">
                  <a:rPr lang="en-US" sz="1400" b="0" i="0" u="none" strike="noStrike">
                    <a:solidFill>
                      <a:schemeClr val="accent1"/>
                    </a:solidFill>
                    <a:latin typeface="Calibri"/>
                    <a:ea typeface="Calibri"/>
                    <a:cs typeface="Calibri"/>
                  </a:rPr>
                  <a:pPr algn="l"/>
                  <a:t>Dshaft,d [mm] = 115</a:t>
                </a:fld>
                <a:endParaRPr lang="it-IT" sz="1400" i="1">
                  <a:solidFill>
                    <a:schemeClr val="accent1"/>
                  </a:solidFill>
                </a:endParaRPr>
              </a:p>
            </xdr:txBody>
          </xdr:sp>
        </xdr:grpSp>
      </xdr:grpSp>
      <xdr:sp macro="" textlink="$E$55">
        <xdr:nvSpPr>
          <xdr:cNvPr id="31" name="CasellaDiTesto 30">
            <a:extLst>
              <a:ext uri="{FF2B5EF4-FFF2-40B4-BE49-F238E27FC236}">
                <a16:creationId xmlns:a16="http://schemas.microsoft.com/office/drawing/2014/main" id="{5A318382-1D28-405C-B8A2-2A678922507E}"/>
              </a:ext>
            </a:extLst>
          </xdr:cNvPr>
          <xdr:cNvSpPr txBox="1"/>
        </xdr:nvSpPr>
        <xdr:spPr>
          <a:xfrm>
            <a:off x="18243467" y="18482212"/>
            <a:ext cx="1684316" cy="3612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b">
            <a:noAutofit/>
          </a:bodyPr>
          <a:lstStyle/>
          <a:p>
            <a:pPr algn="ctr"/>
            <a:r>
              <a:rPr lang="en-US" sz="1600" b="1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t>DISCHARGE COVER</a:t>
            </a:r>
            <a:endParaRPr lang="it-IT" sz="1600" b="1" i="1">
              <a:solidFill>
                <a:sysClr val="windowText" lastClr="000000"/>
              </a:solidFill>
            </a:endParaRPr>
          </a:p>
        </xdr:txBody>
      </xdr:sp>
      <xdr:sp macro="" textlink="$E$55">
        <xdr:nvSpPr>
          <xdr:cNvPr id="34" name="CasellaDiTesto 33">
            <a:extLst>
              <a:ext uri="{FF2B5EF4-FFF2-40B4-BE49-F238E27FC236}">
                <a16:creationId xmlns:a16="http://schemas.microsoft.com/office/drawing/2014/main" id="{B9F2865D-DDFC-4689-9B5D-C4054E3200D8}"/>
              </a:ext>
            </a:extLst>
          </xdr:cNvPr>
          <xdr:cNvSpPr txBox="1"/>
        </xdr:nvSpPr>
        <xdr:spPr>
          <a:xfrm>
            <a:off x="13569043" y="18138323"/>
            <a:ext cx="1684316" cy="3912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b">
            <a:noAutofit/>
          </a:bodyPr>
          <a:lstStyle/>
          <a:p>
            <a:pPr algn="ctr"/>
            <a:r>
              <a:rPr lang="en-US" sz="1600" b="1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t>BARREL</a:t>
            </a:r>
            <a:r>
              <a:rPr lang="en-US" sz="1600" b="1" i="0" u="none" strike="noStrike" baseline="0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t> CASING</a:t>
            </a:r>
            <a:endParaRPr lang="it-IT" sz="1600" b="1" i="1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55CA1-5DAB-4B1D-94B4-FD05EEF1EA24}">
  <sheetPr codeName="Foglio2"/>
  <dimension ref="A1:AD48"/>
  <sheetViews>
    <sheetView tabSelected="1" zoomScaleNormal="100" zoomScaleSheetLayoutView="100" workbookViewId="0">
      <selection activeCell="A48" sqref="A48:AD48"/>
    </sheetView>
  </sheetViews>
  <sheetFormatPr defaultRowHeight="12" x14ac:dyDescent="0.2"/>
  <cols>
    <col min="1" max="30" width="3.28515625" style="4" customWidth="1"/>
    <col min="31" max="256" width="9.140625" style="4"/>
    <col min="257" max="286" width="3.28515625" style="4" customWidth="1"/>
    <col min="287" max="512" width="9.140625" style="4"/>
    <col min="513" max="542" width="3.28515625" style="4" customWidth="1"/>
    <col min="543" max="768" width="9.140625" style="4"/>
    <col min="769" max="798" width="3.28515625" style="4" customWidth="1"/>
    <col min="799" max="1024" width="9.140625" style="4"/>
    <col min="1025" max="1054" width="3.28515625" style="4" customWidth="1"/>
    <col min="1055" max="1280" width="9.140625" style="4"/>
    <col min="1281" max="1310" width="3.28515625" style="4" customWidth="1"/>
    <col min="1311" max="1536" width="9.140625" style="4"/>
    <col min="1537" max="1566" width="3.28515625" style="4" customWidth="1"/>
    <col min="1567" max="1792" width="9.140625" style="4"/>
    <col min="1793" max="1822" width="3.28515625" style="4" customWidth="1"/>
    <col min="1823" max="2048" width="9.140625" style="4"/>
    <col min="2049" max="2078" width="3.28515625" style="4" customWidth="1"/>
    <col min="2079" max="2304" width="9.140625" style="4"/>
    <col min="2305" max="2334" width="3.28515625" style="4" customWidth="1"/>
    <col min="2335" max="2560" width="9.140625" style="4"/>
    <col min="2561" max="2590" width="3.28515625" style="4" customWidth="1"/>
    <col min="2591" max="2816" width="9.140625" style="4"/>
    <col min="2817" max="2846" width="3.28515625" style="4" customWidth="1"/>
    <col min="2847" max="3072" width="9.140625" style="4"/>
    <col min="3073" max="3102" width="3.28515625" style="4" customWidth="1"/>
    <col min="3103" max="3328" width="9.140625" style="4"/>
    <col min="3329" max="3358" width="3.28515625" style="4" customWidth="1"/>
    <col min="3359" max="3584" width="9.140625" style="4"/>
    <col min="3585" max="3614" width="3.28515625" style="4" customWidth="1"/>
    <col min="3615" max="3840" width="9.140625" style="4"/>
    <col min="3841" max="3870" width="3.28515625" style="4" customWidth="1"/>
    <col min="3871" max="4096" width="9.140625" style="4"/>
    <col min="4097" max="4126" width="3.28515625" style="4" customWidth="1"/>
    <col min="4127" max="4352" width="9.140625" style="4"/>
    <col min="4353" max="4382" width="3.28515625" style="4" customWidth="1"/>
    <col min="4383" max="4608" width="9.140625" style="4"/>
    <col min="4609" max="4638" width="3.28515625" style="4" customWidth="1"/>
    <col min="4639" max="4864" width="9.140625" style="4"/>
    <col min="4865" max="4894" width="3.28515625" style="4" customWidth="1"/>
    <col min="4895" max="5120" width="9.140625" style="4"/>
    <col min="5121" max="5150" width="3.28515625" style="4" customWidth="1"/>
    <col min="5151" max="5376" width="9.140625" style="4"/>
    <col min="5377" max="5406" width="3.28515625" style="4" customWidth="1"/>
    <col min="5407" max="5632" width="9.140625" style="4"/>
    <col min="5633" max="5662" width="3.28515625" style="4" customWidth="1"/>
    <col min="5663" max="5888" width="9.140625" style="4"/>
    <col min="5889" max="5918" width="3.28515625" style="4" customWidth="1"/>
    <col min="5919" max="6144" width="9.140625" style="4"/>
    <col min="6145" max="6174" width="3.28515625" style="4" customWidth="1"/>
    <col min="6175" max="6400" width="9.140625" style="4"/>
    <col min="6401" max="6430" width="3.28515625" style="4" customWidth="1"/>
    <col min="6431" max="6656" width="9.140625" style="4"/>
    <col min="6657" max="6686" width="3.28515625" style="4" customWidth="1"/>
    <col min="6687" max="6912" width="9.140625" style="4"/>
    <col min="6913" max="6942" width="3.28515625" style="4" customWidth="1"/>
    <col min="6943" max="7168" width="9.140625" style="4"/>
    <col min="7169" max="7198" width="3.28515625" style="4" customWidth="1"/>
    <col min="7199" max="7424" width="9.140625" style="4"/>
    <col min="7425" max="7454" width="3.28515625" style="4" customWidth="1"/>
    <col min="7455" max="7680" width="9.140625" style="4"/>
    <col min="7681" max="7710" width="3.28515625" style="4" customWidth="1"/>
    <col min="7711" max="7936" width="9.140625" style="4"/>
    <col min="7937" max="7966" width="3.28515625" style="4" customWidth="1"/>
    <col min="7967" max="8192" width="9.140625" style="4"/>
    <col min="8193" max="8222" width="3.28515625" style="4" customWidth="1"/>
    <col min="8223" max="8448" width="9.140625" style="4"/>
    <col min="8449" max="8478" width="3.28515625" style="4" customWidth="1"/>
    <col min="8479" max="8704" width="9.140625" style="4"/>
    <col min="8705" max="8734" width="3.28515625" style="4" customWidth="1"/>
    <col min="8735" max="8960" width="9.140625" style="4"/>
    <col min="8961" max="8990" width="3.28515625" style="4" customWidth="1"/>
    <col min="8991" max="9216" width="9.140625" style="4"/>
    <col min="9217" max="9246" width="3.28515625" style="4" customWidth="1"/>
    <col min="9247" max="9472" width="9.140625" style="4"/>
    <col min="9473" max="9502" width="3.28515625" style="4" customWidth="1"/>
    <col min="9503" max="9728" width="9.140625" style="4"/>
    <col min="9729" max="9758" width="3.28515625" style="4" customWidth="1"/>
    <col min="9759" max="9984" width="9.140625" style="4"/>
    <col min="9985" max="10014" width="3.28515625" style="4" customWidth="1"/>
    <col min="10015" max="10240" width="9.140625" style="4"/>
    <col min="10241" max="10270" width="3.28515625" style="4" customWidth="1"/>
    <col min="10271" max="10496" width="9.140625" style="4"/>
    <col min="10497" max="10526" width="3.28515625" style="4" customWidth="1"/>
    <col min="10527" max="10752" width="9.140625" style="4"/>
    <col min="10753" max="10782" width="3.28515625" style="4" customWidth="1"/>
    <col min="10783" max="11008" width="9.140625" style="4"/>
    <col min="11009" max="11038" width="3.28515625" style="4" customWidth="1"/>
    <col min="11039" max="11264" width="9.140625" style="4"/>
    <col min="11265" max="11294" width="3.28515625" style="4" customWidth="1"/>
    <col min="11295" max="11520" width="9.140625" style="4"/>
    <col min="11521" max="11550" width="3.28515625" style="4" customWidth="1"/>
    <col min="11551" max="11776" width="9.140625" style="4"/>
    <col min="11777" max="11806" width="3.28515625" style="4" customWidth="1"/>
    <col min="11807" max="12032" width="9.140625" style="4"/>
    <col min="12033" max="12062" width="3.28515625" style="4" customWidth="1"/>
    <col min="12063" max="12288" width="9.140625" style="4"/>
    <col min="12289" max="12318" width="3.28515625" style="4" customWidth="1"/>
    <col min="12319" max="12544" width="9.140625" style="4"/>
    <col min="12545" max="12574" width="3.28515625" style="4" customWidth="1"/>
    <col min="12575" max="12800" width="9.140625" style="4"/>
    <col min="12801" max="12830" width="3.28515625" style="4" customWidth="1"/>
    <col min="12831" max="13056" width="9.140625" style="4"/>
    <col min="13057" max="13086" width="3.28515625" style="4" customWidth="1"/>
    <col min="13087" max="13312" width="9.140625" style="4"/>
    <col min="13313" max="13342" width="3.28515625" style="4" customWidth="1"/>
    <col min="13343" max="13568" width="9.140625" style="4"/>
    <col min="13569" max="13598" width="3.28515625" style="4" customWidth="1"/>
    <col min="13599" max="13824" width="9.140625" style="4"/>
    <col min="13825" max="13854" width="3.28515625" style="4" customWidth="1"/>
    <col min="13855" max="14080" width="9.140625" style="4"/>
    <col min="14081" max="14110" width="3.28515625" style="4" customWidth="1"/>
    <col min="14111" max="14336" width="9.140625" style="4"/>
    <col min="14337" max="14366" width="3.28515625" style="4" customWidth="1"/>
    <col min="14367" max="14592" width="9.140625" style="4"/>
    <col min="14593" max="14622" width="3.28515625" style="4" customWidth="1"/>
    <col min="14623" max="14848" width="9.140625" style="4"/>
    <col min="14849" max="14878" width="3.28515625" style="4" customWidth="1"/>
    <col min="14879" max="15104" width="9.140625" style="4"/>
    <col min="15105" max="15134" width="3.28515625" style="4" customWidth="1"/>
    <col min="15135" max="15360" width="9.140625" style="4"/>
    <col min="15361" max="15390" width="3.28515625" style="4" customWidth="1"/>
    <col min="15391" max="15616" width="9.140625" style="4"/>
    <col min="15617" max="15646" width="3.28515625" style="4" customWidth="1"/>
    <col min="15647" max="15872" width="9.140625" style="4"/>
    <col min="15873" max="15902" width="3.28515625" style="4" customWidth="1"/>
    <col min="15903" max="16128" width="9.140625" style="4"/>
    <col min="16129" max="16158" width="3.28515625" style="4" customWidth="1"/>
    <col min="16159" max="16384" width="9.140625" style="4"/>
  </cols>
  <sheetData>
    <row r="1" spans="1:30" ht="15" customHeight="1" x14ac:dyDescent="0.2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3"/>
    </row>
    <row r="2" spans="1:30" ht="15" customHeight="1" x14ac:dyDescent="0.2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7"/>
    </row>
    <row r="3" spans="1:30" ht="15" customHeight="1" x14ac:dyDescent="0.2">
      <c r="A3" s="5"/>
      <c r="B3" s="6"/>
      <c r="C3" s="6"/>
      <c r="D3" s="6"/>
      <c r="E3" s="6"/>
      <c r="F3" s="6"/>
      <c r="G3" s="6"/>
      <c r="H3" s="8"/>
      <c r="I3" s="8"/>
      <c r="J3" s="8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10"/>
      <c r="X3" s="10"/>
      <c r="Y3" s="10"/>
      <c r="Z3" s="10"/>
      <c r="AA3" s="10"/>
      <c r="AB3" s="10"/>
      <c r="AC3" s="10"/>
      <c r="AD3" s="11"/>
    </row>
    <row r="4" spans="1:30" ht="15" customHeight="1" x14ac:dyDescent="0.2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7"/>
    </row>
    <row r="5" spans="1:30" ht="15" customHeight="1" x14ac:dyDescent="0.2">
      <c r="A5" s="5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7"/>
    </row>
    <row r="6" spans="1:30" ht="15" customHeight="1" x14ac:dyDescent="0.2">
      <c r="A6" s="5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7"/>
    </row>
    <row r="7" spans="1:30" ht="15" customHeight="1" thickBot="1" x14ac:dyDescent="0.25">
      <c r="A7" s="12"/>
      <c r="B7" s="13"/>
      <c r="C7" s="13"/>
      <c r="D7" s="13"/>
      <c r="E7" s="13"/>
      <c r="F7" s="14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13"/>
      <c r="AB7" s="13"/>
      <c r="AC7" s="13"/>
      <c r="AD7" s="15"/>
    </row>
    <row r="8" spans="1:30" ht="15" customHeight="1" x14ac:dyDescent="0.2">
      <c r="A8" s="166" t="s">
        <v>582</v>
      </c>
      <c r="B8" s="167"/>
      <c r="C8" s="167"/>
      <c r="D8" s="167"/>
      <c r="E8" s="16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  <c r="U8" s="167"/>
      <c r="V8" s="167"/>
      <c r="W8" s="167"/>
      <c r="X8" s="167"/>
      <c r="Y8" s="167"/>
      <c r="Z8" s="167"/>
      <c r="AA8" s="167"/>
      <c r="AB8" s="167"/>
      <c r="AC8" s="167"/>
      <c r="AD8" s="168"/>
    </row>
    <row r="9" spans="1:30" ht="15" customHeight="1" x14ac:dyDescent="0.2">
      <c r="A9" s="169"/>
      <c r="B9" s="170"/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170"/>
      <c r="X9" s="170"/>
      <c r="Y9" s="170"/>
      <c r="Z9" s="170"/>
      <c r="AA9" s="170"/>
      <c r="AB9" s="170"/>
      <c r="AC9" s="170"/>
      <c r="AD9" s="171"/>
    </row>
    <row r="10" spans="1:30" ht="15" customHeight="1" x14ac:dyDescent="0.2">
      <c r="A10" s="169"/>
      <c r="B10" s="170"/>
      <c r="C10" s="170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170"/>
      <c r="P10" s="170"/>
      <c r="Q10" s="170"/>
      <c r="R10" s="170"/>
      <c r="S10" s="170"/>
      <c r="T10" s="170"/>
      <c r="U10" s="170"/>
      <c r="V10" s="170"/>
      <c r="W10" s="170"/>
      <c r="X10" s="170"/>
      <c r="Y10" s="170"/>
      <c r="Z10" s="170"/>
      <c r="AA10" s="170"/>
      <c r="AB10" s="170"/>
      <c r="AC10" s="170"/>
      <c r="AD10" s="171"/>
    </row>
    <row r="11" spans="1:30" ht="15" customHeight="1" x14ac:dyDescent="0.2">
      <c r="A11" s="169"/>
      <c r="B11" s="170"/>
      <c r="C11" s="170"/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70"/>
      <c r="AC11" s="170"/>
      <c r="AD11" s="171"/>
    </row>
    <row r="12" spans="1:30" ht="15" customHeight="1" x14ac:dyDescent="0.2">
      <c r="A12" s="169"/>
      <c r="B12" s="170"/>
      <c r="C12" s="170"/>
      <c r="D12" s="170"/>
      <c r="E12" s="170"/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70"/>
      <c r="T12" s="170"/>
      <c r="U12" s="170"/>
      <c r="V12" s="170"/>
      <c r="W12" s="170"/>
      <c r="X12" s="170"/>
      <c r="Y12" s="170"/>
      <c r="Z12" s="170"/>
      <c r="AA12" s="170"/>
      <c r="AB12" s="170"/>
      <c r="AC12" s="170"/>
      <c r="AD12" s="171"/>
    </row>
    <row r="13" spans="1:30" ht="15" customHeight="1" x14ac:dyDescent="0.2">
      <c r="A13" s="169"/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1"/>
    </row>
    <row r="14" spans="1:30" ht="15" customHeight="1" x14ac:dyDescent="0.2">
      <c r="A14" s="169"/>
      <c r="B14" s="170"/>
      <c r="C14" s="170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  <c r="AB14" s="170"/>
      <c r="AC14" s="170"/>
      <c r="AD14" s="171"/>
    </row>
    <row r="15" spans="1:30" ht="15" customHeight="1" x14ac:dyDescent="0.2">
      <c r="A15" s="169"/>
      <c r="B15" s="170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170"/>
      <c r="X15" s="170"/>
      <c r="Y15" s="170"/>
      <c r="Z15" s="170"/>
      <c r="AA15" s="170"/>
      <c r="AB15" s="170"/>
      <c r="AC15" s="170"/>
      <c r="AD15" s="171"/>
    </row>
    <row r="16" spans="1:30" ht="15" customHeight="1" x14ac:dyDescent="0.2">
      <c r="A16" s="169"/>
      <c r="B16" s="170"/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170"/>
      <c r="X16" s="170"/>
      <c r="Y16" s="170"/>
      <c r="Z16" s="170"/>
      <c r="AA16" s="170"/>
      <c r="AB16" s="170"/>
      <c r="AC16" s="170"/>
      <c r="AD16" s="171"/>
    </row>
    <row r="17" spans="1:30" ht="15" customHeight="1" x14ac:dyDescent="0.2">
      <c r="A17" s="169"/>
      <c r="B17" s="170"/>
      <c r="C17" s="170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1"/>
    </row>
    <row r="18" spans="1:30" ht="15" customHeight="1" x14ac:dyDescent="0.2">
      <c r="A18" s="169"/>
      <c r="B18" s="170"/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70"/>
      <c r="O18" s="170"/>
      <c r="P18" s="170"/>
      <c r="Q18" s="170"/>
      <c r="R18" s="170"/>
      <c r="S18" s="170"/>
      <c r="T18" s="170"/>
      <c r="U18" s="170"/>
      <c r="V18" s="170"/>
      <c r="W18" s="170"/>
      <c r="X18" s="170"/>
      <c r="Y18" s="170"/>
      <c r="Z18" s="170"/>
      <c r="AA18" s="170"/>
      <c r="AB18" s="170"/>
      <c r="AC18" s="170"/>
      <c r="AD18" s="171"/>
    </row>
    <row r="19" spans="1:30" ht="15" customHeight="1" x14ac:dyDescent="0.2">
      <c r="A19" s="169"/>
      <c r="B19" s="170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70"/>
      <c r="O19" s="170"/>
      <c r="P19" s="170"/>
      <c r="Q19" s="170"/>
      <c r="R19" s="170"/>
      <c r="S19" s="170"/>
      <c r="T19" s="170"/>
      <c r="U19" s="170"/>
      <c r="V19" s="170"/>
      <c r="W19" s="170"/>
      <c r="X19" s="170"/>
      <c r="Y19" s="170"/>
      <c r="Z19" s="170"/>
      <c r="AA19" s="170"/>
      <c r="AB19" s="170"/>
      <c r="AC19" s="170"/>
      <c r="AD19" s="171"/>
    </row>
    <row r="20" spans="1:30" ht="15" customHeight="1" x14ac:dyDescent="0.2">
      <c r="A20" s="169"/>
      <c r="B20" s="170"/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  <c r="W20" s="170"/>
      <c r="X20" s="170"/>
      <c r="Y20" s="170"/>
      <c r="Z20" s="170"/>
      <c r="AA20" s="170"/>
      <c r="AB20" s="170"/>
      <c r="AC20" s="170"/>
      <c r="AD20" s="171"/>
    </row>
    <row r="21" spans="1:30" ht="15" customHeight="1" x14ac:dyDescent="0.2">
      <c r="A21" s="169"/>
      <c r="B21" s="170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1"/>
    </row>
    <row r="22" spans="1:30" ht="15" customHeight="1" x14ac:dyDescent="0.2">
      <c r="A22" s="169"/>
      <c r="B22" s="170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70"/>
      <c r="P22" s="170"/>
      <c r="Q22" s="170"/>
      <c r="R22" s="170"/>
      <c r="S22" s="170"/>
      <c r="T22" s="170"/>
      <c r="U22" s="170"/>
      <c r="V22" s="170"/>
      <c r="W22" s="170"/>
      <c r="X22" s="170"/>
      <c r="Y22" s="170"/>
      <c r="Z22" s="170"/>
      <c r="AA22" s="170"/>
      <c r="AB22" s="170"/>
      <c r="AC22" s="170"/>
      <c r="AD22" s="171"/>
    </row>
    <row r="23" spans="1:30" ht="15" customHeight="1" x14ac:dyDescent="0.2">
      <c r="A23" s="169"/>
      <c r="B23" s="170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  <c r="W23" s="170"/>
      <c r="X23" s="170"/>
      <c r="Y23" s="170"/>
      <c r="Z23" s="170"/>
      <c r="AA23" s="170"/>
      <c r="AB23" s="170"/>
      <c r="AC23" s="170"/>
      <c r="AD23" s="171"/>
    </row>
    <row r="24" spans="1:30" ht="15" customHeight="1" x14ac:dyDescent="0.2">
      <c r="A24" s="169"/>
      <c r="B24" s="170"/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  <c r="W24" s="170"/>
      <c r="X24" s="170"/>
      <c r="Y24" s="170"/>
      <c r="Z24" s="170"/>
      <c r="AA24" s="170"/>
      <c r="AB24" s="170"/>
      <c r="AC24" s="170"/>
      <c r="AD24" s="171"/>
    </row>
    <row r="25" spans="1:30" ht="15" customHeight="1" x14ac:dyDescent="0.2">
      <c r="A25" s="169"/>
      <c r="B25" s="170"/>
      <c r="C25" s="170"/>
      <c r="D25" s="170"/>
      <c r="E25" s="170"/>
      <c r="F25" s="170"/>
      <c r="G25" s="170"/>
      <c r="H25" s="170"/>
      <c r="I25" s="170"/>
      <c r="J25" s="170"/>
      <c r="K25" s="170"/>
      <c r="L25" s="170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  <c r="Z25" s="170"/>
      <c r="AA25" s="170"/>
      <c r="AB25" s="170"/>
      <c r="AC25" s="170"/>
      <c r="AD25" s="171"/>
    </row>
    <row r="26" spans="1:30" ht="15" customHeight="1" x14ac:dyDescent="0.2">
      <c r="A26" s="169"/>
      <c r="B26" s="170"/>
      <c r="C26" s="170"/>
      <c r="D26" s="170"/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70"/>
      <c r="P26" s="170"/>
      <c r="Q26" s="170"/>
      <c r="R26" s="170"/>
      <c r="S26" s="170"/>
      <c r="T26" s="170"/>
      <c r="U26" s="170"/>
      <c r="V26" s="170"/>
      <c r="W26" s="170"/>
      <c r="X26" s="170"/>
      <c r="Y26" s="170"/>
      <c r="Z26" s="170"/>
      <c r="AA26" s="170"/>
      <c r="AB26" s="170"/>
      <c r="AC26" s="170"/>
      <c r="AD26" s="171"/>
    </row>
    <row r="27" spans="1:30" ht="15" customHeight="1" x14ac:dyDescent="0.2">
      <c r="A27" s="169"/>
      <c r="B27" s="170"/>
      <c r="C27" s="170"/>
      <c r="D27" s="170"/>
      <c r="E27" s="170"/>
      <c r="F27" s="170"/>
      <c r="G27" s="170"/>
      <c r="H27" s="170"/>
      <c r="I27" s="170"/>
      <c r="J27" s="170"/>
      <c r="K27" s="170"/>
      <c r="L27" s="170"/>
      <c r="M27" s="170"/>
      <c r="N27" s="170"/>
      <c r="O27" s="170"/>
      <c r="P27" s="170"/>
      <c r="Q27" s="170"/>
      <c r="R27" s="170"/>
      <c r="S27" s="170"/>
      <c r="T27" s="170"/>
      <c r="U27" s="170"/>
      <c r="V27" s="170"/>
      <c r="W27" s="170"/>
      <c r="X27" s="170"/>
      <c r="Y27" s="170"/>
      <c r="Z27" s="170"/>
      <c r="AA27" s="170"/>
      <c r="AB27" s="170"/>
      <c r="AC27" s="170"/>
      <c r="AD27" s="171"/>
    </row>
    <row r="28" spans="1:30" ht="15" customHeight="1" x14ac:dyDescent="0.2">
      <c r="A28" s="169"/>
      <c r="B28" s="170"/>
      <c r="C28" s="170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70"/>
      <c r="P28" s="170"/>
      <c r="Q28" s="170"/>
      <c r="R28" s="170"/>
      <c r="S28" s="170"/>
      <c r="T28" s="170"/>
      <c r="U28" s="170"/>
      <c r="V28" s="170"/>
      <c r="W28" s="170"/>
      <c r="X28" s="170"/>
      <c r="Y28" s="170"/>
      <c r="Z28" s="170"/>
      <c r="AA28" s="170"/>
      <c r="AB28" s="170"/>
      <c r="AC28" s="170"/>
      <c r="AD28" s="171"/>
    </row>
    <row r="29" spans="1:30" ht="15" customHeight="1" x14ac:dyDescent="0.2">
      <c r="A29" s="169"/>
      <c r="B29" s="170"/>
      <c r="C29" s="170"/>
      <c r="D29" s="170"/>
      <c r="E29" s="170"/>
      <c r="F29" s="170"/>
      <c r="G29" s="170"/>
      <c r="H29" s="170"/>
      <c r="I29" s="170"/>
      <c r="J29" s="170"/>
      <c r="K29" s="170"/>
      <c r="L29" s="170"/>
      <c r="M29" s="170"/>
      <c r="N29" s="170"/>
      <c r="O29" s="170"/>
      <c r="P29" s="170"/>
      <c r="Q29" s="170"/>
      <c r="R29" s="170"/>
      <c r="S29" s="170"/>
      <c r="T29" s="170"/>
      <c r="U29" s="170"/>
      <c r="V29" s="170"/>
      <c r="W29" s="170"/>
      <c r="X29" s="170"/>
      <c r="Y29" s="170"/>
      <c r="Z29" s="170"/>
      <c r="AA29" s="170"/>
      <c r="AB29" s="170"/>
      <c r="AC29" s="170"/>
      <c r="AD29" s="171"/>
    </row>
    <row r="30" spans="1:30" ht="15" customHeight="1" x14ac:dyDescent="0.2">
      <c r="A30" s="169"/>
      <c r="B30" s="170"/>
      <c r="C30" s="170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170"/>
      <c r="AD30" s="171"/>
    </row>
    <row r="31" spans="1:30" ht="15" customHeight="1" x14ac:dyDescent="0.2">
      <c r="A31" s="169"/>
      <c r="B31" s="170"/>
      <c r="C31" s="170"/>
      <c r="D31" s="170"/>
      <c r="E31" s="170"/>
      <c r="F31" s="170"/>
      <c r="G31" s="170"/>
      <c r="H31" s="170"/>
      <c r="I31" s="170"/>
      <c r="J31" s="170"/>
      <c r="K31" s="170"/>
      <c r="L31" s="170"/>
      <c r="M31" s="170"/>
      <c r="N31" s="170"/>
      <c r="O31" s="170"/>
      <c r="P31" s="170"/>
      <c r="Q31" s="170"/>
      <c r="R31" s="170"/>
      <c r="S31" s="170"/>
      <c r="T31" s="170"/>
      <c r="U31" s="170"/>
      <c r="V31" s="170"/>
      <c r="W31" s="170"/>
      <c r="X31" s="170"/>
      <c r="Y31" s="170"/>
      <c r="Z31" s="170"/>
      <c r="AA31" s="170"/>
      <c r="AB31" s="170"/>
      <c r="AC31" s="170"/>
      <c r="AD31" s="171"/>
    </row>
    <row r="32" spans="1:30" ht="15" customHeight="1" x14ac:dyDescent="0.2">
      <c r="A32" s="169"/>
      <c r="B32" s="170"/>
      <c r="C32" s="170"/>
      <c r="D32" s="170"/>
      <c r="E32" s="170"/>
      <c r="F32" s="170"/>
      <c r="G32" s="170"/>
      <c r="H32" s="170"/>
      <c r="I32" s="170"/>
      <c r="J32" s="170"/>
      <c r="K32" s="170"/>
      <c r="L32" s="170"/>
      <c r="M32" s="170"/>
      <c r="N32" s="170"/>
      <c r="O32" s="170"/>
      <c r="P32" s="170"/>
      <c r="Q32" s="170"/>
      <c r="R32" s="170"/>
      <c r="S32" s="170"/>
      <c r="T32" s="170"/>
      <c r="U32" s="170"/>
      <c r="V32" s="170"/>
      <c r="W32" s="170"/>
      <c r="X32" s="170"/>
      <c r="Y32" s="170"/>
      <c r="Z32" s="170"/>
      <c r="AA32" s="170"/>
      <c r="AB32" s="170"/>
      <c r="AC32" s="170"/>
      <c r="AD32" s="171"/>
    </row>
    <row r="33" spans="1:30" ht="15" customHeight="1" x14ac:dyDescent="0.2">
      <c r="A33" s="169"/>
      <c r="B33" s="170"/>
      <c r="C33" s="170"/>
      <c r="D33" s="170"/>
      <c r="E33" s="170"/>
      <c r="F33" s="170"/>
      <c r="G33" s="170"/>
      <c r="H33" s="170"/>
      <c r="I33" s="170"/>
      <c r="J33" s="170"/>
      <c r="K33" s="170"/>
      <c r="L33" s="170"/>
      <c r="M33" s="170"/>
      <c r="N33" s="170"/>
      <c r="O33" s="170"/>
      <c r="P33" s="170"/>
      <c r="Q33" s="170"/>
      <c r="R33" s="170"/>
      <c r="S33" s="170"/>
      <c r="T33" s="170"/>
      <c r="U33" s="170"/>
      <c r="V33" s="170"/>
      <c r="W33" s="170"/>
      <c r="X33" s="170"/>
      <c r="Y33" s="170"/>
      <c r="Z33" s="170"/>
      <c r="AA33" s="170"/>
      <c r="AB33" s="170"/>
      <c r="AC33" s="170"/>
      <c r="AD33" s="171"/>
    </row>
    <row r="34" spans="1:30" ht="15" customHeight="1" x14ac:dyDescent="0.2">
      <c r="A34" s="169"/>
      <c r="B34" s="170"/>
      <c r="C34" s="170"/>
      <c r="D34" s="170"/>
      <c r="E34" s="170"/>
      <c r="F34" s="170"/>
      <c r="G34" s="170"/>
      <c r="H34" s="170"/>
      <c r="I34" s="170"/>
      <c r="J34" s="170"/>
      <c r="K34" s="170"/>
      <c r="L34" s="170"/>
      <c r="M34" s="170"/>
      <c r="N34" s="170"/>
      <c r="O34" s="170"/>
      <c r="P34" s="170"/>
      <c r="Q34" s="170"/>
      <c r="R34" s="170"/>
      <c r="S34" s="170"/>
      <c r="T34" s="170"/>
      <c r="U34" s="170"/>
      <c r="V34" s="170"/>
      <c r="W34" s="170"/>
      <c r="X34" s="170"/>
      <c r="Y34" s="170"/>
      <c r="Z34" s="170"/>
      <c r="AA34" s="170"/>
      <c r="AB34" s="170"/>
      <c r="AC34" s="170"/>
      <c r="AD34" s="171"/>
    </row>
    <row r="35" spans="1:30" ht="15" customHeight="1" x14ac:dyDescent="0.2">
      <c r="A35" s="169"/>
      <c r="B35" s="170"/>
      <c r="C35" s="170"/>
      <c r="D35" s="170"/>
      <c r="E35" s="170"/>
      <c r="F35" s="170"/>
      <c r="G35" s="170"/>
      <c r="H35" s="170"/>
      <c r="I35" s="170"/>
      <c r="J35" s="170"/>
      <c r="K35" s="170"/>
      <c r="L35" s="170"/>
      <c r="M35" s="170"/>
      <c r="N35" s="170"/>
      <c r="O35" s="170"/>
      <c r="P35" s="170"/>
      <c r="Q35" s="170"/>
      <c r="R35" s="170"/>
      <c r="S35" s="170"/>
      <c r="T35" s="170"/>
      <c r="U35" s="170"/>
      <c r="V35" s="170"/>
      <c r="W35" s="170"/>
      <c r="X35" s="170"/>
      <c r="Y35" s="170"/>
      <c r="Z35" s="170"/>
      <c r="AA35" s="170"/>
      <c r="AB35" s="170"/>
      <c r="AC35" s="170"/>
      <c r="AD35" s="171"/>
    </row>
    <row r="36" spans="1:30" ht="15" customHeight="1" x14ac:dyDescent="0.2">
      <c r="A36" s="169"/>
      <c r="B36" s="170"/>
      <c r="C36" s="170"/>
      <c r="D36" s="170"/>
      <c r="E36" s="170"/>
      <c r="F36" s="170"/>
      <c r="G36" s="170"/>
      <c r="H36" s="170"/>
      <c r="I36" s="170"/>
      <c r="J36" s="170"/>
      <c r="K36" s="170"/>
      <c r="L36" s="170"/>
      <c r="M36" s="170"/>
      <c r="N36" s="170"/>
      <c r="O36" s="170"/>
      <c r="P36" s="170"/>
      <c r="Q36" s="170"/>
      <c r="R36" s="170"/>
      <c r="S36" s="170"/>
      <c r="T36" s="170"/>
      <c r="U36" s="170"/>
      <c r="V36" s="170"/>
      <c r="W36" s="170"/>
      <c r="X36" s="170"/>
      <c r="Y36" s="170"/>
      <c r="Z36" s="170"/>
      <c r="AA36" s="170"/>
      <c r="AB36" s="170"/>
      <c r="AC36" s="170"/>
      <c r="AD36" s="171"/>
    </row>
    <row r="37" spans="1:30" ht="15" customHeight="1" x14ac:dyDescent="0.2">
      <c r="A37" s="169"/>
      <c r="B37" s="170"/>
      <c r="C37" s="170"/>
      <c r="D37" s="170"/>
      <c r="E37" s="170"/>
      <c r="F37" s="170"/>
      <c r="G37" s="170"/>
      <c r="H37" s="170"/>
      <c r="I37" s="170"/>
      <c r="J37" s="170"/>
      <c r="K37" s="170"/>
      <c r="L37" s="170"/>
      <c r="M37" s="170"/>
      <c r="N37" s="170"/>
      <c r="O37" s="170"/>
      <c r="P37" s="170"/>
      <c r="Q37" s="170"/>
      <c r="R37" s="170"/>
      <c r="S37" s="170"/>
      <c r="T37" s="170"/>
      <c r="U37" s="170"/>
      <c r="V37" s="170"/>
      <c r="W37" s="170"/>
      <c r="X37" s="170"/>
      <c r="Y37" s="170"/>
      <c r="Z37" s="170"/>
      <c r="AA37" s="170"/>
      <c r="AB37" s="170"/>
      <c r="AC37" s="170"/>
      <c r="AD37" s="171"/>
    </row>
    <row r="38" spans="1:30" ht="15" customHeight="1" x14ac:dyDescent="0.2">
      <c r="A38" s="169"/>
      <c r="B38" s="170"/>
      <c r="C38" s="170"/>
      <c r="D38" s="170"/>
      <c r="E38" s="170"/>
      <c r="F38" s="170"/>
      <c r="G38" s="170"/>
      <c r="H38" s="170"/>
      <c r="I38" s="170"/>
      <c r="J38" s="170"/>
      <c r="K38" s="170"/>
      <c r="L38" s="170"/>
      <c r="M38" s="170"/>
      <c r="N38" s="170"/>
      <c r="O38" s="170"/>
      <c r="P38" s="170"/>
      <c r="Q38" s="170"/>
      <c r="R38" s="170"/>
      <c r="S38" s="170"/>
      <c r="T38" s="170"/>
      <c r="U38" s="170"/>
      <c r="V38" s="170"/>
      <c r="W38" s="170"/>
      <c r="X38" s="170"/>
      <c r="Y38" s="170"/>
      <c r="Z38" s="170"/>
      <c r="AA38" s="170"/>
      <c r="AB38" s="170"/>
      <c r="AC38" s="170"/>
      <c r="AD38" s="171"/>
    </row>
    <row r="39" spans="1:30" ht="15" customHeight="1" thickBot="1" x14ac:dyDescent="0.25">
      <c r="A39" s="172"/>
      <c r="B39" s="173"/>
      <c r="C39" s="173"/>
      <c r="D39" s="173"/>
      <c r="E39" s="173"/>
      <c r="F39" s="173"/>
      <c r="G39" s="173"/>
      <c r="H39" s="173"/>
      <c r="I39" s="173"/>
      <c r="J39" s="173"/>
      <c r="K39" s="173"/>
      <c r="L39" s="173"/>
      <c r="M39" s="173"/>
      <c r="N39" s="173"/>
      <c r="O39" s="173"/>
      <c r="P39" s="173"/>
      <c r="Q39" s="173"/>
      <c r="R39" s="173"/>
      <c r="S39" s="173"/>
      <c r="T39" s="173"/>
      <c r="U39" s="173"/>
      <c r="V39" s="173"/>
      <c r="W39" s="173"/>
      <c r="X39" s="173"/>
      <c r="Y39" s="173"/>
      <c r="Z39" s="173"/>
      <c r="AA39" s="173"/>
      <c r="AB39" s="173"/>
      <c r="AC39" s="173"/>
      <c r="AD39" s="174"/>
    </row>
    <row r="40" spans="1:30" ht="30" customHeight="1" x14ac:dyDescent="0.2">
      <c r="A40" s="175"/>
      <c r="B40" s="176"/>
      <c r="C40" s="177"/>
      <c r="D40" s="178"/>
      <c r="E40" s="178"/>
      <c r="F40" s="176"/>
      <c r="G40" s="177"/>
      <c r="H40" s="178"/>
      <c r="I40" s="178"/>
      <c r="J40" s="178"/>
      <c r="K40" s="178"/>
      <c r="L40" s="178"/>
      <c r="M40" s="178"/>
      <c r="N40" s="178"/>
      <c r="O40" s="178"/>
      <c r="P40" s="177"/>
      <c r="Q40" s="178"/>
      <c r="R40" s="178"/>
      <c r="S40" s="178"/>
      <c r="T40" s="176"/>
      <c r="U40" s="177"/>
      <c r="V40" s="178"/>
      <c r="W40" s="178"/>
      <c r="X40" s="178"/>
      <c r="Y40" s="176"/>
      <c r="Z40" s="177"/>
      <c r="AA40" s="178"/>
      <c r="AB40" s="178"/>
      <c r="AC40" s="178"/>
      <c r="AD40" s="179"/>
    </row>
    <row r="41" spans="1:30" ht="30" customHeight="1" x14ac:dyDescent="0.2">
      <c r="A41" s="183"/>
      <c r="B41" s="184"/>
      <c r="C41" s="180"/>
      <c r="D41" s="181"/>
      <c r="E41" s="181"/>
      <c r="F41" s="184"/>
      <c r="G41" s="180"/>
      <c r="H41" s="181"/>
      <c r="I41" s="181"/>
      <c r="J41" s="181"/>
      <c r="K41" s="181"/>
      <c r="L41" s="181"/>
      <c r="M41" s="181"/>
      <c r="N41" s="181"/>
      <c r="O41" s="181"/>
      <c r="P41" s="180"/>
      <c r="Q41" s="181"/>
      <c r="R41" s="181"/>
      <c r="S41" s="181"/>
      <c r="T41" s="184"/>
      <c r="U41" s="180"/>
      <c r="V41" s="181"/>
      <c r="W41" s="181"/>
      <c r="X41" s="181"/>
      <c r="Y41" s="184"/>
      <c r="Z41" s="180"/>
      <c r="AA41" s="181"/>
      <c r="AB41" s="181"/>
      <c r="AC41" s="181"/>
      <c r="AD41" s="182"/>
    </row>
    <row r="42" spans="1:30" ht="30" customHeight="1" x14ac:dyDescent="0.2">
      <c r="A42" s="183"/>
      <c r="B42" s="184"/>
      <c r="C42" s="180"/>
      <c r="D42" s="181"/>
      <c r="E42" s="181"/>
      <c r="F42" s="184"/>
      <c r="G42" s="180"/>
      <c r="H42" s="181"/>
      <c r="I42" s="181"/>
      <c r="J42" s="181"/>
      <c r="K42" s="181"/>
      <c r="L42" s="181"/>
      <c r="M42" s="181"/>
      <c r="N42" s="181"/>
      <c r="O42" s="181"/>
      <c r="P42" s="180"/>
      <c r="Q42" s="181"/>
      <c r="R42" s="181"/>
      <c r="S42" s="181"/>
      <c r="T42" s="184"/>
      <c r="U42" s="180"/>
      <c r="V42" s="181"/>
      <c r="W42" s="181"/>
      <c r="X42" s="181"/>
      <c r="Y42" s="184"/>
      <c r="Z42" s="180"/>
      <c r="AA42" s="181"/>
      <c r="AB42" s="181"/>
      <c r="AC42" s="181"/>
      <c r="AD42" s="182"/>
    </row>
    <row r="43" spans="1:30" ht="30" customHeight="1" x14ac:dyDescent="0.2">
      <c r="A43" s="183"/>
      <c r="B43" s="184"/>
      <c r="C43" s="180"/>
      <c r="D43" s="181"/>
      <c r="E43" s="181"/>
      <c r="F43" s="184"/>
      <c r="G43" s="180"/>
      <c r="H43" s="181"/>
      <c r="I43" s="181"/>
      <c r="J43" s="181"/>
      <c r="K43" s="181"/>
      <c r="L43" s="181"/>
      <c r="M43" s="181"/>
      <c r="N43" s="181"/>
      <c r="O43" s="181"/>
      <c r="P43" s="180"/>
      <c r="Q43" s="181"/>
      <c r="R43" s="181"/>
      <c r="S43" s="181"/>
      <c r="T43" s="184"/>
      <c r="U43" s="180"/>
      <c r="V43" s="181"/>
      <c r="W43" s="181"/>
      <c r="X43" s="181"/>
      <c r="Y43" s="184"/>
      <c r="Z43" s="180"/>
      <c r="AA43" s="181"/>
      <c r="AB43" s="181"/>
      <c r="AC43" s="181"/>
      <c r="AD43" s="182"/>
    </row>
    <row r="44" spans="1:30" ht="30" customHeight="1" x14ac:dyDescent="0.2">
      <c r="A44" s="183"/>
      <c r="B44" s="184"/>
      <c r="C44" s="180"/>
      <c r="D44" s="181"/>
      <c r="E44" s="181"/>
      <c r="F44" s="184"/>
      <c r="G44" s="180"/>
      <c r="H44" s="181"/>
      <c r="I44" s="181"/>
      <c r="J44" s="181"/>
      <c r="K44" s="181"/>
      <c r="L44" s="181"/>
      <c r="M44" s="181"/>
      <c r="N44" s="181"/>
      <c r="O44" s="181"/>
      <c r="P44" s="180"/>
      <c r="Q44" s="181"/>
      <c r="R44" s="181"/>
      <c r="S44" s="181"/>
      <c r="T44" s="184"/>
      <c r="U44" s="180"/>
      <c r="V44" s="181"/>
      <c r="W44" s="181"/>
      <c r="X44" s="181"/>
      <c r="Y44" s="184"/>
      <c r="Z44" s="180"/>
      <c r="AA44" s="181"/>
      <c r="AB44" s="181"/>
      <c r="AC44" s="181"/>
      <c r="AD44" s="182"/>
    </row>
    <row r="45" spans="1:30" ht="30" customHeight="1" x14ac:dyDescent="0.2">
      <c r="A45" s="183"/>
      <c r="B45" s="184"/>
      <c r="C45" s="180"/>
      <c r="D45" s="181"/>
      <c r="E45" s="181"/>
      <c r="F45" s="184"/>
      <c r="G45" s="180"/>
      <c r="H45" s="181"/>
      <c r="I45" s="181"/>
      <c r="J45" s="181"/>
      <c r="K45" s="181"/>
      <c r="L45" s="181"/>
      <c r="M45" s="181"/>
      <c r="N45" s="181"/>
      <c r="O45" s="181"/>
      <c r="P45" s="180"/>
      <c r="Q45" s="181"/>
      <c r="R45" s="181"/>
      <c r="S45" s="181"/>
      <c r="T45" s="184"/>
      <c r="U45" s="180"/>
      <c r="V45" s="181"/>
      <c r="W45" s="181"/>
      <c r="X45" s="181"/>
      <c r="Y45" s="184"/>
      <c r="Z45" s="180"/>
      <c r="AA45" s="181"/>
      <c r="AB45" s="181"/>
      <c r="AC45" s="181"/>
      <c r="AD45" s="182"/>
    </row>
    <row r="46" spans="1:30" ht="41.25" customHeight="1" x14ac:dyDescent="0.2">
      <c r="A46" s="188">
        <v>0</v>
      </c>
      <c r="B46" s="189"/>
      <c r="C46" s="190">
        <v>45819</v>
      </c>
      <c r="D46" s="191"/>
      <c r="E46" s="191"/>
      <c r="F46" s="192"/>
      <c r="G46" s="193" t="s">
        <v>0</v>
      </c>
      <c r="H46" s="194"/>
      <c r="I46" s="194"/>
      <c r="J46" s="194"/>
      <c r="K46" s="194"/>
      <c r="L46" s="194"/>
      <c r="M46" s="194"/>
      <c r="N46" s="194"/>
      <c r="O46" s="194"/>
      <c r="P46" s="185" t="s">
        <v>579</v>
      </c>
      <c r="Q46" s="186"/>
      <c r="R46" s="186"/>
      <c r="S46" s="186"/>
      <c r="T46" s="195"/>
      <c r="U46" s="185" t="s">
        <v>580</v>
      </c>
      <c r="V46" s="186"/>
      <c r="W46" s="186"/>
      <c r="X46" s="186"/>
      <c r="Y46" s="195"/>
      <c r="Z46" s="185" t="s">
        <v>581</v>
      </c>
      <c r="AA46" s="186"/>
      <c r="AB46" s="186"/>
      <c r="AC46" s="186"/>
      <c r="AD46" s="187"/>
    </row>
    <row r="47" spans="1:30" ht="15" customHeight="1" thickBot="1" x14ac:dyDescent="0.25">
      <c r="A47" s="196" t="s">
        <v>1</v>
      </c>
      <c r="B47" s="197"/>
      <c r="C47" s="198" t="s">
        <v>2</v>
      </c>
      <c r="D47" s="199"/>
      <c r="E47" s="199"/>
      <c r="F47" s="200"/>
      <c r="G47" s="198" t="s">
        <v>3</v>
      </c>
      <c r="H47" s="199"/>
      <c r="I47" s="199"/>
      <c r="J47" s="199"/>
      <c r="K47" s="199"/>
      <c r="L47" s="199"/>
      <c r="M47" s="199"/>
      <c r="N47" s="199"/>
      <c r="O47" s="199"/>
      <c r="P47" s="198" t="s">
        <v>4</v>
      </c>
      <c r="Q47" s="199"/>
      <c r="R47" s="199"/>
      <c r="S47" s="199"/>
      <c r="T47" s="200"/>
      <c r="U47" s="198" t="s">
        <v>5</v>
      </c>
      <c r="V47" s="199"/>
      <c r="W47" s="199"/>
      <c r="X47" s="199"/>
      <c r="Y47" s="199"/>
      <c r="Z47" s="198" t="s">
        <v>6</v>
      </c>
      <c r="AA47" s="199"/>
      <c r="AB47" s="199"/>
      <c r="AC47" s="199"/>
      <c r="AD47" s="201"/>
    </row>
    <row r="48" spans="1:30" ht="15" customHeight="1" thickBot="1" x14ac:dyDescent="0.25">
      <c r="A48" s="227" t="s">
        <v>583</v>
      </c>
      <c r="B48" s="228"/>
      <c r="C48" s="228"/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/>
      <c r="Q48" s="228"/>
      <c r="R48" s="228"/>
      <c r="S48" s="228"/>
      <c r="T48" s="228"/>
      <c r="U48" s="228"/>
      <c r="V48" s="228"/>
      <c r="W48" s="228"/>
      <c r="X48" s="228"/>
      <c r="Y48" s="228"/>
      <c r="Z48" s="228"/>
      <c r="AA48" s="228"/>
      <c r="AB48" s="228"/>
      <c r="AC48" s="228"/>
      <c r="AD48" s="229"/>
    </row>
  </sheetData>
  <mergeCells count="50">
    <mergeCell ref="A48:AD48"/>
    <mergeCell ref="A47:B47"/>
    <mergeCell ref="C47:F47"/>
    <mergeCell ref="G47:O47"/>
    <mergeCell ref="P47:T47"/>
    <mergeCell ref="U47:Y47"/>
    <mergeCell ref="Z47:AD47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A8:AD39"/>
    <mergeCell ref="A40:B40"/>
    <mergeCell ref="C40:F40"/>
    <mergeCell ref="G40:O40"/>
    <mergeCell ref="P40:T40"/>
    <mergeCell ref="U40:Y40"/>
    <mergeCell ref="Z40:AD40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40BE3-9B9C-4A27-844D-C50A1ED58C94}">
  <sheetPr codeName="Foglio1"/>
  <dimension ref="A2:AW320"/>
  <sheetViews>
    <sheetView topLeftCell="B1" zoomScale="70" zoomScaleNormal="70" workbookViewId="0">
      <selection activeCell="N292" sqref="N292"/>
    </sheetView>
  </sheetViews>
  <sheetFormatPr defaultRowHeight="15" outlineLevelRow="1" outlineLevelCol="1" x14ac:dyDescent="0.25"/>
  <cols>
    <col min="1" max="1" width="2.7109375" style="41" customWidth="1"/>
    <col min="2" max="2" width="19.5703125" style="43" bestFit="1" customWidth="1"/>
    <col min="3" max="3" width="28.5703125" style="41" bestFit="1" customWidth="1"/>
    <col min="4" max="4" width="133.7109375" style="25" bestFit="1" customWidth="1"/>
    <col min="5" max="5" width="18.7109375" style="17" hidden="1" customWidth="1" outlineLevel="1"/>
    <col min="6" max="6" width="2.7109375" style="17" customWidth="1" collapsed="1"/>
    <col min="7" max="7" width="17.7109375" style="17" bestFit="1" customWidth="1"/>
    <col min="8" max="9" width="23.85546875" style="17" bestFit="1" customWidth="1"/>
    <col min="10" max="10" width="71.5703125" style="17" bestFit="1" customWidth="1"/>
    <col min="11" max="11" width="2.7109375" style="17" customWidth="1" collapsed="1"/>
    <col min="12" max="12" width="11.42578125" style="18" bestFit="1" customWidth="1"/>
    <col min="13" max="13" width="9.5703125" style="18" bestFit="1" customWidth="1"/>
    <col min="14" max="14" width="11.85546875" style="18" bestFit="1" customWidth="1"/>
    <col min="15" max="15" width="13.85546875" style="18" bestFit="1" customWidth="1"/>
    <col min="16" max="16" width="12.28515625" style="17" bestFit="1" customWidth="1"/>
    <col min="17" max="17" width="12.85546875" style="17" bestFit="1" customWidth="1"/>
    <col min="18" max="18" width="9.140625" style="17"/>
    <col min="19" max="19" width="12.85546875" style="17" bestFit="1" customWidth="1"/>
    <col min="20" max="22" width="9.140625" style="17"/>
    <col min="27" max="28" width="9.140625" style="17"/>
    <col min="30" max="30" width="12.28515625" hidden="1" customWidth="1" outlineLevel="1"/>
    <col min="31" max="31" width="12.85546875" hidden="1" customWidth="1" outlineLevel="1"/>
    <col min="32" max="32" width="12.85546875" style="17" hidden="1" customWidth="1" outlineLevel="1"/>
    <col min="33" max="33" width="6.7109375" style="17" hidden="1" customWidth="1" outlineLevel="1"/>
    <col min="34" max="34" width="12.85546875" style="17" hidden="1" customWidth="1" outlineLevel="1"/>
    <col min="35" max="36" width="12.28515625" style="17" hidden="1" customWidth="1" outlineLevel="1"/>
    <col min="37" max="37" width="12.85546875" style="17" hidden="1" customWidth="1" outlineLevel="1"/>
    <col min="38" max="38" width="6.7109375" style="17" hidden="1" customWidth="1" outlineLevel="1"/>
    <col min="39" max="39" width="12.85546875" style="17" hidden="1" customWidth="1" outlineLevel="1"/>
    <col min="40" max="41" width="12.28515625" style="17" hidden="1" customWidth="1" outlineLevel="1"/>
    <col min="42" max="42" width="18.7109375" style="17" hidden="1" customWidth="1" outlineLevel="1"/>
    <col min="43" max="43" width="1.85546875" style="17" hidden="1" customWidth="1" outlineLevel="1"/>
    <col min="44" max="45" width="6.7109375" style="17" hidden="1" customWidth="1" outlineLevel="1"/>
    <col min="46" max="46" width="10.7109375" style="17" hidden="1" customWidth="1" outlineLevel="1"/>
    <col min="47" max="47" width="14.42578125" style="17" hidden="1" customWidth="1" outlineLevel="1"/>
    <col min="48" max="48" width="12.28515625" style="17" hidden="1" customWidth="1" outlineLevel="1"/>
    <col min="49" max="49" width="9.140625" style="17" collapsed="1"/>
    <col min="50" max="16384" width="9.140625" style="17"/>
  </cols>
  <sheetData>
    <row r="2" spans="2:48" x14ac:dyDescent="0.25">
      <c r="B2" s="202" t="s">
        <v>47</v>
      </c>
      <c r="C2" s="203"/>
      <c r="D2" s="204"/>
      <c r="G2" s="138" t="s">
        <v>473</v>
      </c>
      <c r="H2" s="139"/>
      <c r="I2" s="139"/>
      <c r="J2" s="140"/>
      <c r="L2" s="26" t="s">
        <v>26</v>
      </c>
      <c r="AD2" s="210" t="s">
        <v>569</v>
      </c>
      <c r="AE2" s="210"/>
      <c r="AF2" s="210"/>
      <c r="AG2" s="210"/>
      <c r="AH2" s="210"/>
      <c r="AI2" s="210"/>
      <c r="AJ2" s="163"/>
      <c r="AK2" s="208" t="s">
        <v>568</v>
      </c>
      <c r="AL2" s="208"/>
      <c r="AM2" s="208"/>
      <c r="AN2" s="209"/>
      <c r="AO2" s="163"/>
      <c r="AP2" s="140">
        <f>+G21</f>
        <v>1</v>
      </c>
    </row>
    <row r="3" spans="2:48" ht="18" customHeight="1" x14ac:dyDescent="0.25">
      <c r="B3" s="20" t="s">
        <v>76</v>
      </c>
      <c r="C3" s="47">
        <v>20</v>
      </c>
      <c r="D3" s="56" t="s">
        <v>280</v>
      </c>
      <c r="G3" s="131" t="s">
        <v>68</v>
      </c>
      <c r="H3" s="44" t="s">
        <v>86</v>
      </c>
      <c r="I3" s="45" t="s">
        <v>87</v>
      </c>
      <c r="J3" s="58"/>
      <c r="L3" s="28" t="s">
        <v>28</v>
      </c>
      <c r="AD3" s="138" t="s">
        <v>524</v>
      </c>
      <c r="AE3" s="138" t="s">
        <v>544</v>
      </c>
      <c r="AF3" s="138" t="s">
        <v>545</v>
      </c>
      <c r="AG3" s="138" t="s">
        <v>320</v>
      </c>
      <c r="AH3" s="138" t="s">
        <v>499</v>
      </c>
      <c r="AI3" s="149" t="s">
        <v>501</v>
      </c>
      <c r="AJ3" s="138" t="s">
        <v>524</v>
      </c>
      <c r="AK3" s="139" t="s">
        <v>544</v>
      </c>
      <c r="AL3" s="139" t="s">
        <v>320</v>
      </c>
      <c r="AM3" s="139" t="s">
        <v>499</v>
      </c>
      <c r="AN3" s="140" t="s">
        <v>501</v>
      </c>
      <c r="AO3" s="138" t="s">
        <v>567</v>
      </c>
      <c r="AP3" s="140" t="str" cm="1">
        <f t="array" ref="AP3">_xlfn.IFS($AP$2=1,AD2,$AP$2=2,AK2)</f>
        <v>design condition [mm]</v>
      </c>
    </row>
    <row r="4" spans="2:48" ht="18" customHeight="1" x14ac:dyDescent="0.25">
      <c r="B4" s="20" t="s">
        <v>77</v>
      </c>
      <c r="C4" s="47">
        <v>50</v>
      </c>
      <c r="D4" s="55" t="s">
        <v>281</v>
      </c>
      <c r="G4" s="20" t="s">
        <v>48</v>
      </c>
      <c r="H4" s="16">
        <f>+C4</f>
        <v>50</v>
      </c>
      <c r="I4" s="39">
        <f>+C3</f>
        <v>20</v>
      </c>
      <c r="J4" s="55" t="s">
        <v>69</v>
      </c>
      <c r="L4" s="29" t="s">
        <v>29</v>
      </c>
      <c r="AD4" s="155">
        <f>C47/2</f>
        <v>154.5</v>
      </c>
      <c r="AE4" s="119" cm="1">
        <f t="array" ref="AE4">IF(AD4&gt;$C$125/2,0,flat_plate_roark_F(0,$C$125/2,$C$47/2,$C$35*1000,AD4,$C$41/2,$C$38,$C$111,$C$31))</f>
        <v>-2.8991368582291063E-2</v>
      </c>
      <c r="AF4" s="17" cm="1">
        <f t="array" ref="AF4">IF(AD4&gt;$C$125/2,0,flat_plate_roark_F(0,$C$125/2,$C$47/2,$C$35*1000,AD4,$C$41/2,$C$38,$C$104,$C$31))</f>
        <v>-1.2969810680665043E-3</v>
      </c>
      <c r="AG4" s="17" cm="1">
        <f t="array" ref="AG4">IF(AD4&gt;$C$125/2,0,flat_plate_roark_F(0,$C$125/2,$C$47/2,$C$35*1000,AD4,$C$63/2,$C$38,$C$118,$C$31))</f>
        <v>0</v>
      </c>
      <c r="AH4" s="17" cm="1">
        <f t="array" ref="AH4">IF(AD4&gt;$C$125/2,0,flat_plate_roark_P(0,$C$125/2,$C$47/2,$C$35*1000,AD4,$C$47/2,$C$38,$C$97,$C$31)+IF($C$125&gt;$C$62,flat_plate_roark_P(0,$C$125/2,$C$47/2,$C$35*1000,AD4,$C$62/2,$C$38,-$C$97,$C$31),0))</f>
        <v>-0.14560703057765417</v>
      </c>
      <c r="AI4" s="150">
        <f>+AE4+AF4-AG4-AH4</f>
        <v>0.11531868092729661</v>
      </c>
      <c r="AJ4" s="155">
        <f>+C47/2</f>
        <v>154.5</v>
      </c>
      <c r="AK4" cm="1">
        <f t="array" ref="AK4">IF(AJ4&gt;$C$159/2,0,flat_plate_roark_F(0,$C$125/2,$C$47/2,$C$35*1000,AJ4,$C$41/2,$C$38,$C$145,$C$31))</f>
        <v>-2.937346403554468E-2</v>
      </c>
      <c r="AL4" s="17" cm="1">
        <f t="array" ref="AL4">IF(AJ4&gt;$C$159/2,0,+flat_plate_roark_F(0,$C$159/2,$C$47/2,$C$35*1000,AJ4,$C$63/2,$C$38,$C$152,$C$31))</f>
        <v>0</v>
      </c>
      <c r="AM4" s="17" cm="1">
        <f t="array" ref="AM4">IF(AJ4&gt;$C$159/2,0,flat_plate_roark_P(0,$C$159/2,$C$47/2,$C$35*1000,AJ4,$C$47/2,$C$38,$C$138,$C$31)+IF($C$159&gt;$C$62,flat_plate_roark_P(0,$C$159/2,$C$47/2,$C$35*1000,AJ4,$C$62/2,$C$38,-$C$138,$C$31),0))</f>
        <v>-0.29661601315823016</v>
      </c>
      <c r="AN4" s="150">
        <f>+AK4-AL4-AM4</f>
        <v>0.26724254912268547</v>
      </c>
      <c r="AO4" s="164" cm="1">
        <f t="array" ref="AO4">_xlfn.IFS($AP$2=1,AD4,$AP$2=2,AJ4)</f>
        <v>154.5</v>
      </c>
      <c r="AP4" s="150" cm="1">
        <f t="array" ref="AP4">_xlfn.IFS($AP$2=1,AI4,$AP$2=2,AN4)</f>
        <v>0.11531868092729661</v>
      </c>
      <c r="AQ4" s="133"/>
      <c r="AR4" s="138" t="s">
        <v>320</v>
      </c>
      <c r="AS4" s="138" t="s">
        <v>523</v>
      </c>
      <c r="AT4" s="138" t="s">
        <v>557</v>
      </c>
      <c r="AU4" s="138" t="s">
        <v>558</v>
      </c>
      <c r="AV4" s="149" t="s">
        <v>546</v>
      </c>
    </row>
    <row r="5" spans="2:48" ht="18" customHeight="1" x14ac:dyDescent="0.25">
      <c r="B5" s="20" t="s">
        <v>78</v>
      </c>
      <c r="C5" s="47">
        <v>278</v>
      </c>
      <c r="D5" s="55" t="s">
        <v>282</v>
      </c>
      <c r="G5" s="20" t="s">
        <v>88</v>
      </c>
      <c r="H5" s="16">
        <f>+C82</f>
        <v>41362.882013704599</v>
      </c>
      <c r="I5" s="39">
        <v>0</v>
      </c>
      <c r="J5" s="55" t="s">
        <v>70</v>
      </c>
      <c r="L5" s="30" t="s">
        <v>31</v>
      </c>
      <c r="AD5" s="156">
        <f t="shared" ref="AD5:AD36" si="0">+AD4+($C$42/2-$AD$4)/49</f>
        <v>159.51020408163265</v>
      </c>
      <c r="AE5" s="119" cm="1">
        <f t="array" ref="AE5">IF(AD5&gt;$C$125/2,0,flat_plate_roark_F(0,$C$125/2,$C$47/2,$C$35*1000,AD5,$C$41/2,$C$38,$C$111,$C$31))</f>
        <v>-2.8287669435021031E-2</v>
      </c>
      <c r="AF5" s="17" cm="1">
        <f t="array" ref="AF5">IF(AD5&gt;$C$125/2,0,flat_plate_roark_F(0,$C$125/2,$C$47/2,$C$35*1000,AD5,$C$41/2,$C$38,$C$104,$C$31))</f>
        <v>-1.2654998198103845E-3</v>
      </c>
      <c r="AG5" s="17" cm="1">
        <f t="array" ref="AG5">IF(AD5&gt;$C$125/2,0,flat_plate_roark_F(0,$C$125/2,$C$47/2,$C$35*1000,AD5,$C$63/2,$C$38,$C$118,$C$31))</f>
        <v>0</v>
      </c>
      <c r="AH5" s="17" cm="1">
        <f t="array" ref="AH5">IF(AD5&gt;$C$125/2,0,flat_plate_roark_P(0,$C$125/2,$C$47/2,$C$35*1000,AD5,$C$47/2,$C$38,$C$97,$C$31)+IF($C$125&gt;$C$62,flat_plate_roark_P(0,$C$125/2,$C$47/2,$C$35*1000,AD5,$C$62/2,$C$38,-$C$97,$C$31),0))</f>
        <v>-0.14071581514591708</v>
      </c>
      <c r="AI5" s="150">
        <f t="shared" ref="AI5:AI53" si="1">+AE5+AF5-AG5-AH5</f>
        <v>0.11116264589108565</v>
      </c>
      <c r="AJ5" s="156">
        <f t="shared" ref="AJ5:AJ36" si="2">+AJ4+($C$42/2-$AJ$4)/49</f>
        <v>159.51020408163265</v>
      </c>
      <c r="AK5" cm="1">
        <f t="array" ref="AK5">IF(AJ5&gt;$C$159/2,0,flat_plate_roark_F(0,$C$125/2,$C$47/2,$C$35*1000,AJ5,$C$41/2,$C$38,$C$145,$C$31))</f>
        <v>-2.8660490395286602E-2</v>
      </c>
      <c r="AL5" s="17" cm="1">
        <f t="array" ref="AL5">IF(AJ5&gt;$C$159/2,0,+flat_plate_roark_F(0,$C$159/2,$C$47/2,$C$35*1000,AJ5,$C$63/2,$C$38,$C$152,$C$31))</f>
        <v>0</v>
      </c>
      <c r="AM5" s="17" cm="1">
        <f t="array" ref="AM5">IF(AJ5&gt;$C$159/2,0,flat_plate_roark_P(0,$C$159/2,$C$47/2,$C$35*1000,AJ5,$C$47/2,$C$38,$C$138,$C$31)+IF($C$159&gt;$C$62,flat_plate_roark_P(0,$C$159/2,$C$47/2,$C$35*1000,AJ5,$C$62/2,$C$38,-$C$138,$C$31),0))</f>
        <v>-0.28759283042386818</v>
      </c>
      <c r="AN5" s="150">
        <f t="shared" ref="AN5:AN53" si="3">+AK5-AL5-AM5</f>
        <v>0.25893234002858156</v>
      </c>
      <c r="AO5" s="164" cm="1">
        <f t="array" ref="AO5">_xlfn.IFS($AP$2=1,AD5,$AP$2=2,AJ5)</f>
        <v>159.51020408163265</v>
      </c>
      <c r="AP5" s="150" cm="1">
        <f t="array" ref="AP5">_xlfn.IFS($AP$2=1,AI5,$AP$2=2,AN5)</f>
        <v>0.11116264589108565</v>
      </c>
      <c r="AQ5" s="205" t="s">
        <v>524</v>
      </c>
      <c r="AR5" s="158">
        <f>+C62/2</f>
        <v>268</v>
      </c>
      <c r="AS5" s="158">
        <f>+C41/2</f>
        <v>340</v>
      </c>
      <c r="AT5" s="158" cm="1">
        <f t="array" ref="AT5">+_xlfn.IFS(G21=1,C125,G21=2,C159)/2</f>
        <v>371.36478761017474</v>
      </c>
      <c r="AU5" s="158">
        <f>+C42/2</f>
        <v>400</v>
      </c>
      <c r="AV5" s="159">
        <f>+MIN(AI4:AI53)</f>
        <v>0</v>
      </c>
    </row>
    <row r="6" spans="2:48" ht="18" customHeight="1" x14ac:dyDescent="0.25">
      <c r="B6" s="20" t="s">
        <v>79</v>
      </c>
      <c r="C6" s="47">
        <f>+C5*1.5</f>
        <v>417</v>
      </c>
      <c r="D6" s="55" t="s">
        <v>283</v>
      </c>
      <c r="G6" s="20" t="s">
        <v>92</v>
      </c>
      <c r="H6" s="16">
        <f>+C90+C68</f>
        <v>299204.25545629783</v>
      </c>
      <c r="I6" s="39">
        <f>+C91+C70</f>
        <v>673603.7313011738</v>
      </c>
      <c r="J6" s="55" t="s">
        <v>71</v>
      </c>
      <c r="L6" s="31" t="s">
        <v>32</v>
      </c>
      <c r="AD6" s="156">
        <f t="shared" si="0"/>
        <v>164.5204081632653</v>
      </c>
      <c r="AE6" s="119" cm="1">
        <f t="array" ref="AE6">IF(AD6&gt;$C$125/2,0,flat_plate_roark_F(0,$C$125/2,$C$47/2,$C$35*1000,AD6,$C$41/2,$C$38,$C$111,$C$31))</f>
        <v>-2.7589933641764881E-2</v>
      </c>
      <c r="AF6" s="17" cm="1">
        <f t="array" ref="AF6">IF(AD6&gt;$C$125/2,0,flat_plate_roark_F(0,$C$125/2,$C$47/2,$C$35*1000,AD6,$C$41/2,$C$38,$C$104,$C$31))</f>
        <v>-1.2342853529321853E-3</v>
      </c>
      <c r="AG6" s="17" cm="1">
        <f t="array" ref="AG6">IF(AD6&gt;$C$125/2,0,flat_plate_roark_F(0,$C$125/2,$C$47/2,$C$35*1000,AD6,$C$63/2,$C$38,$C$118,$C$31))</f>
        <v>0</v>
      </c>
      <c r="AH6" s="17" cm="1">
        <f t="array" ref="AH6">IF(AD6&gt;$C$125/2,0,flat_plate_roark_P(0,$C$125/2,$C$47/2,$C$35*1000,AD6,$C$47/2,$C$38,$C$97,$C$31)+IF($C$125&gt;$C$62,flat_plate_roark_P(0,$C$125/2,$C$47/2,$C$35*1000,AD6,$C$62/2,$C$38,-$C$97,$C$31),0))</f>
        <v>-0.13586643820374156</v>
      </c>
      <c r="AI6" s="150">
        <f t="shared" si="1"/>
        <v>0.1070422192090445</v>
      </c>
      <c r="AJ6" s="156">
        <f t="shared" si="2"/>
        <v>164.5204081632653</v>
      </c>
      <c r="AK6" cm="1">
        <f t="array" ref="AK6">IF(AJ6&gt;$C$159/2,0,flat_plate_roark_F(0,$C$125/2,$C$47/2,$C$35*1000,AJ6,$C$41/2,$C$38,$C$145,$C$31))</f>
        <v>-2.795355870382997E-2</v>
      </c>
      <c r="AL6" s="17" cm="1">
        <f t="array" ref="AL6">IF(AJ6&gt;$C$159/2,0,+flat_plate_roark_F(0,$C$159/2,$C$47/2,$C$35*1000,AJ6,$C$63/2,$C$38,$C$152,$C$31))</f>
        <v>0</v>
      </c>
      <c r="AM6" s="17" cm="1">
        <f t="array" ref="AM6">IF(AJ6&gt;$C$159/2,0,flat_plate_roark_P(0,$C$159/2,$C$47/2,$C$35*1000,AJ6,$C$47/2,$C$38,$C$138,$C$31)+IF($C$159&gt;$C$62,flat_plate_roark_P(0,$C$159/2,$C$47/2,$C$35*1000,AJ6,$C$62/2,$C$38,-$C$138,$C$31),0))</f>
        <v>-0.27864669613210002</v>
      </c>
      <c r="AN6" s="150">
        <f t="shared" si="3"/>
        <v>0.25069313742827004</v>
      </c>
      <c r="AO6" s="164" cm="1">
        <f t="array" ref="AO6">_xlfn.IFS($AP$2=1,AD6,$AP$2=2,AJ6)</f>
        <v>164.5204081632653</v>
      </c>
      <c r="AP6" s="150" cm="1">
        <f t="array" ref="AP6">_xlfn.IFS($AP$2=1,AI6,$AP$2=2,AN6)</f>
        <v>0.1070422192090445</v>
      </c>
      <c r="AQ6" s="206"/>
      <c r="AR6" s="158">
        <f>+AR5</f>
        <v>268</v>
      </c>
      <c r="AS6" s="158">
        <f>+AS5</f>
        <v>340</v>
      </c>
      <c r="AT6" s="158">
        <f>+AT5</f>
        <v>371.36478761017474</v>
      </c>
      <c r="AU6" s="158">
        <f>+AU5</f>
        <v>400</v>
      </c>
      <c r="AV6" s="159">
        <f>+MAX(AI4:AI53)</f>
        <v>0.11531868092729661</v>
      </c>
    </row>
    <row r="7" spans="2:48" ht="18" customHeight="1" x14ac:dyDescent="0.25">
      <c r="G7" s="23" t="s">
        <v>35</v>
      </c>
      <c r="H7" s="33">
        <f>C75+C92+C83</f>
        <v>0.40882498145642382</v>
      </c>
      <c r="I7" s="46">
        <f>C78+C93</f>
        <v>0.42550984101384887</v>
      </c>
      <c r="J7" s="55" t="s">
        <v>49</v>
      </c>
      <c r="W7" s="17"/>
      <c r="X7" s="17"/>
      <c r="Y7" s="17"/>
      <c r="Z7" s="17"/>
      <c r="AD7" s="156">
        <f t="shared" si="0"/>
        <v>169.53061224489795</v>
      </c>
      <c r="AE7" s="119" cm="1">
        <f t="array" ref="AE7">IF(AD7&gt;$C$125/2,0,flat_plate_roark_F(0,$C$125/2,$C$47/2,$C$35*1000,AD7,$C$41/2,$C$38,$C$111,$C$31))</f>
        <v>-2.6897321847540057E-2</v>
      </c>
      <c r="AF7" s="17" cm="1">
        <f t="array" ref="AF7">IF(AD7&gt;$C$125/2,0,flat_plate_roark_F(0,$C$125/2,$C$47/2,$C$35*1000,AD7,$C$41/2,$C$38,$C$104,$C$31))</f>
        <v>-1.2033001173756312E-3</v>
      </c>
      <c r="AG7" s="17" cm="1">
        <f t="array" ref="AG7">IF(AD7&gt;$C$125/2,0,flat_plate_roark_F(0,$C$125/2,$C$47/2,$C$35*1000,AD7,$C$63/2,$C$38,$C$118,$C$31))</f>
        <v>0</v>
      </c>
      <c r="AH7" s="17" cm="1">
        <f t="array" ref="AH7">IF(AD7&gt;$C$125/2,0,flat_plate_roark_P(0,$C$125/2,$C$47/2,$C$35*1000,AD7,$C$47/2,$C$38,$C$97,$C$31)+IF($C$125&gt;$C$62,flat_plate_roark_P(0,$C$125/2,$C$47/2,$C$35*1000,AD7,$C$62/2,$C$38,-$C$97,$C$31),0))</f>
        <v>-0.13105404113635075</v>
      </c>
      <c r="AI7" s="150">
        <f t="shared" si="1"/>
        <v>0.10295341917143505</v>
      </c>
      <c r="AJ7" s="156">
        <f t="shared" si="2"/>
        <v>169.53061224489795</v>
      </c>
      <c r="AK7" cm="1">
        <f t="array" ref="AK7">IF(AJ7&gt;$C$159/2,0,flat_plate_roark_F(0,$C$125/2,$C$47/2,$C$35*1000,AJ7,$C$41/2,$C$38,$C$145,$C$31))</f>
        <v>-2.7251818543805786E-2</v>
      </c>
      <c r="AL7" s="17" cm="1">
        <f t="array" ref="AL7">IF(AJ7&gt;$C$159/2,0,+flat_plate_roark_F(0,$C$159/2,$C$47/2,$C$35*1000,AJ7,$C$63/2,$C$38,$C$152,$C$31))</f>
        <v>0</v>
      </c>
      <c r="AM7" s="17" cm="1">
        <f t="array" ref="AM7">IF(AJ7&gt;$C$159/2,0,flat_plate_roark_P(0,$C$159/2,$C$47/2,$C$35*1000,AJ7,$C$47/2,$C$38,$C$138,$C$31)+IF($C$159&gt;$C$62,flat_plate_roark_P(0,$C$159/2,$C$47/2,$C$35*1000,AJ7,$C$62/2,$C$38,-$C$138,$C$31),0))</f>
        <v>-0.26976831091264825</v>
      </c>
      <c r="AN7" s="150">
        <f t="shared" si="3"/>
        <v>0.24251649236884246</v>
      </c>
      <c r="AO7" s="164" cm="1">
        <f t="array" ref="AO7">_xlfn.IFS($AP$2=1,AD7,$AP$2=2,AJ7)</f>
        <v>169.53061224489795</v>
      </c>
      <c r="AP7" s="150" cm="1">
        <f t="array" ref="AP7">_xlfn.IFS($AP$2=1,AI7,$AP$2=2,AN7)</f>
        <v>0.10295341917143505</v>
      </c>
      <c r="AQ7" s="206"/>
      <c r="AR7" s="158">
        <f>+AR6</f>
        <v>268</v>
      </c>
      <c r="AS7" s="158"/>
      <c r="AT7" s="158"/>
      <c r="AU7" s="158"/>
      <c r="AV7" s="160" cm="1">
        <f t="array" ref="AV7">+interpol(AR7,AD4:AD53,AP4:AP53)</f>
        <v>3.0037778212838456E-2</v>
      </c>
    </row>
    <row r="8" spans="2:48" ht="18" customHeight="1" x14ac:dyDescent="0.25">
      <c r="B8" s="202" t="s">
        <v>62</v>
      </c>
      <c r="C8" s="203"/>
      <c r="D8" s="204"/>
      <c r="G8" s="23" t="s">
        <v>36</v>
      </c>
      <c r="H8" s="33">
        <f>C76+C92+C84</f>
        <v>-6.7575444178479521E-2</v>
      </c>
      <c r="I8" s="46">
        <f>C76+C93</f>
        <v>-3.5362211470897902E-2</v>
      </c>
      <c r="J8" s="55" t="s">
        <v>50</v>
      </c>
      <c r="L8" s="214" t="s">
        <v>474</v>
      </c>
      <c r="M8" s="215"/>
      <c r="N8" s="215"/>
      <c r="O8" s="215"/>
      <c r="P8" s="215"/>
      <c r="Q8" s="215"/>
      <c r="R8" s="215"/>
      <c r="S8" s="215"/>
      <c r="T8" s="216"/>
      <c r="W8" s="17"/>
      <c r="X8" s="17"/>
      <c r="Y8" s="17"/>
      <c r="Z8" s="17"/>
      <c r="AD8" s="156">
        <f t="shared" si="0"/>
        <v>174.5408163265306</v>
      </c>
      <c r="AE8" s="119" cm="1">
        <f t="array" ref="AE8">IF(AD8&gt;$C$125/2,0,flat_plate_roark_F(0,$C$125/2,$C$47/2,$C$35*1000,AD8,$C$41/2,$C$38,$C$111,$C$31))</f>
        <v>-2.6209068052795912E-2</v>
      </c>
      <c r="AF8" s="17" cm="1">
        <f t="array" ref="AF8">IF(AD8&gt;$C$125/2,0,flat_plate_roark_F(0,$C$125/2,$C$47/2,$C$35*1000,AD8,$C$41/2,$C$38,$C$104,$C$31))</f>
        <v>-1.1725098447717588E-3</v>
      </c>
      <c r="AG8" s="17" cm="1">
        <f t="array" ref="AG8">IF(AD8&gt;$C$125/2,0,flat_plate_roark_F(0,$C$125/2,$C$47/2,$C$35*1000,AD8,$C$63/2,$C$38,$C$118,$C$31))</f>
        <v>0</v>
      </c>
      <c r="AH8" s="17" cm="1">
        <f t="array" ref="AH8">IF(AD8&gt;$C$125/2,0,flat_plate_roark_P(0,$C$125/2,$C$47/2,$C$35*1000,AD8,$C$47/2,$C$38,$C$97,$C$31)+IF($C$125&gt;$C$62,flat_plate_roark_P(0,$C$125/2,$C$47/2,$C$35*1000,AD8,$C$62/2,$C$38,-$C$97,$C$31),0))</f>
        <v>-0.12627488308795984</v>
      </c>
      <c r="AI8" s="150">
        <f t="shared" si="1"/>
        <v>9.8893305190392161E-2</v>
      </c>
      <c r="AJ8" s="156">
        <f t="shared" si="2"/>
        <v>174.5408163265306</v>
      </c>
      <c r="AK8" cm="1">
        <f t="array" ref="AK8">IF(AJ8&gt;$C$159/2,0,flat_plate_roark_F(0,$C$125/2,$C$47/2,$C$35*1000,AJ8,$C$41/2,$C$38,$C$145,$C$31))</f>
        <v>-2.6554493820074285E-2</v>
      </c>
      <c r="AL8" s="17" cm="1">
        <f t="array" ref="AL8">IF(AJ8&gt;$C$159/2,0,+flat_plate_roark_F(0,$C$159/2,$C$47/2,$C$35*1000,AJ8,$C$63/2,$C$38,$C$152,$C$31))</f>
        <v>0</v>
      </c>
      <c r="AM8" s="17" cm="1">
        <f t="array" ref="AM8">IF(AJ8&gt;$C$159/2,0,flat_plate_roark_P(0,$C$159/2,$C$47/2,$C$35*1000,AJ8,$C$47/2,$C$38,$C$138,$C$31)+IF($C$159&gt;$C$62,flat_plate_roark_P(0,$C$159/2,$C$47/2,$C$35*1000,AJ8,$C$62/2,$C$38,-$C$138,$C$31),0))</f>
        <v>-0.26095022782423832</v>
      </c>
      <c r="AN8" s="150">
        <f t="shared" si="3"/>
        <v>0.23439573400416402</v>
      </c>
      <c r="AO8" s="164" cm="1">
        <f t="array" ref="AO8">_xlfn.IFS($AP$2=1,AD8,$AP$2=2,AJ8)</f>
        <v>174.5408163265306</v>
      </c>
      <c r="AP8" s="150" cm="1">
        <f t="array" ref="AP8">_xlfn.IFS($AP$2=1,AI8,$AP$2=2,AN8)</f>
        <v>9.8893305190392161E-2</v>
      </c>
      <c r="AQ8" s="207"/>
      <c r="AR8" s="161"/>
      <c r="AS8" s="158">
        <f>+AS6</f>
        <v>340</v>
      </c>
      <c r="AT8" s="158"/>
      <c r="AU8" s="158"/>
      <c r="AV8" s="160" cm="1">
        <f t="array" ref="AV8">+interpol(AS8,AD4:AD53,AP4:AP53)</f>
        <v>1.3637740386595433E-3</v>
      </c>
    </row>
    <row r="9" spans="2:48" ht="18" customHeight="1" x14ac:dyDescent="0.25">
      <c r="B9" s="19" t="s">
        <v>7</v>
      </c>
      <c r="C9" s="48">
        <v>210</v>
      </c>
      <c r="D9" s="56" t="s">
        <v>268</v>
      </c>
      <c r="G9" s="23" t="s">
        <v>33</v>
      </c>
      <c r="H9" s="16">
        <f>+H11-$C$74</f>
        <v>98032.717789977556</v>
      </c>
      <c r="I9" s="16">
        <f>+I11-$C$74</f>
        <v>139767.44356376375</v>
      </c>
      <c r="J9" s="55" t="s">
        <v>53</v>
      </c>
      <c r="L9" s="127">
        <v>1</v>
      </c>
      <c r="M9" s="211" t="s">
        <v>576</v>
      </c>
      <c r="N9" s="212"/>
      <c r="O9" s="212"/>
      <c r="P9" s="212"/>
      <c r="Q9" s="212"/>
      <c r="R9" s="212"/>
      <c r="S9" s="212"/>
      <c r="T9" s="213"/>
      <c r="W9" s="17"/>
      <c r="X9" s="17"/>
      <c r="Y9" s="17"/>
      <c r="Z9" s="17"/>
      <c r="AD9" s="156">
        <f t="shared" si="0"/>
        <v>179.55102040816325</v>
      </c>
      <c r="AE9" s="119" cm="1">
        <f t="array" ref="AE9">IF(AD9&gt;$C$125/2,0,flat_plate_roark_F(0,$C$125/2,$C$47/2,$C$35*1000,AD9,$C$41/2,$C$38,$C$111,$C$31))</f>
        <v>-2.5524471306959923E-2</v>
      </c>
      <c r="AF9" s="17" cm="1">
        <f t="array" ref="AF9">IF(AD9&gt;$C$125/2,0,flat_plate_roark_F(0,$C$125/2,$C$47/2,$C$35*1000,AD9,$C$41/2,$C$38,$C$104,$C$31))</f>
        <v>-1.1418831768347515E-3</v>
      </c>
      <c r="AG9" s="17" cm="1">
        <f t="array" ref="AG9">IF(AD9&gt;$C$125/2,0,flat_plate_roark_F(0,$C$125/2,$C$47/2,$C$35*1000,AD9,$C$63/2,$C$38,$C$118,$C$31))</f>
        <v>0</v>
      </c>
      <c r="AH9" s="17" cm="1">
        <f t="array" ref="AH9">IF(AD9&gt;$C$125/2,0,flat_plate_roark_P(0,$C$125/2,$C$47/2,$C$35*1000,AD9,$C$47/2,$C$38,$C$97,$C$31)+IF($C$125&gt;$C$62,flat_plate_roark_P(0,$C$125/2,$C$47/2,$C$35*1000,AD9,$C$62/2,$C$38,-$C$97,$C$31),0))</f>
        <v>-0.12152625175137127</v>
      </c>
      <c r="AI9" s="150">
        <f t="shared" si="1"/>
        <v>9.4859897267576598E-2</v>
      </c>
      <c r="AJ9" s="156">
        <f t="shared" si="2"/>
        <v>179.55102040816325</v>
      </c>
      <c r="AK9" cm="1">
        <f t="array" ref="AK9">IF(AJ9&gt;$C$159/2,0,flat_plate_roark_F(0,$C$125/2,$C$47/2,$C$35*1000,AJ9,$C$41/2,$C$38,$C$145,$C$31))</f>
        <v>-2.5860874343795141E-2</v>
      </c>
      <c r="AL9" s="17" cm="1">
        <f t="array" ref="AL9">IF(AJ9&gt;$C$159/2,0,+flat_plate_roark_F(0,$C$159/2,$C$47/2,$C$35*1000,AJ9,$C$63/2,$C$38,$C$152,$C$31))</f>
        <v>0</v>
      </c>
      <c r="AM9" s="17" cm="1">
        <f t="array" ref="AM9">IF(AJ9&gt;$C$159/2,0,flat_plate_roark_P(0,$C$159/2,$C$47/2,$C$35*1000,AJ9,$C$47/2,$C$38,$C$138,$C$31)+IF($C$159&gt;$C$62,flat_plate_roark_P(0,$C$159/2,$C$47/2,$C$35*1000,AJ9,$C$62/2,$C$38,-$C$138,$C$31),0))</f>
        <v>-0.25218669863323029</v>
      </c>
      <c r="AN9" s="150">
        <f t="shared" si="3"/>
        <v>0.22632582428943515</v>
      </c>
      <c r="AO9" s="164" cm="1">
        <f t="array" ref="AO9">_xlfn.IFS($AP$2=1,AD9,$AP$2=2,AJ9)</f>
        <v>179.55102040816325</v>
      </c>
      <c r="AP9" s="150" cm="1">
        <f t="array" ref="AP9">_xlfn.IFS($AP$2=1,AI9,$AP$2=2,AN9)</f>
        <v>9.4859897267576598E-2</v>
      </c>
    </row>
    <row r="10" spans="2:48" ht="18" x14ac:dyDescent="0.25">
      <c r="B10" s="20" t="s">
        <v>10</v>
      </c>
      <c r="C10" s="128">
        <v>724</v>
      </c>
      <c r="D10" s="57" t="s">
        <v>269</v>
      </c>
      <c r="G10" s="23" t="s">
        <v>34</v>
      </c>
      <c r="H10" s="16">
        <f>-$C$74+H12</f>
        <v>-201171.53766632034</v>
      </c>
      <c r="I10" s="16">
        <f>-$C$74+I12</f>
        <v>-546021.94683454942</v>
      </c>
      <c r="J10" s="55" t="s">
        <v>61</v>
      </c>
      <c r="L10" s="127">
        <v>0.5</v>
      </c>
      <c r="M10" s="211" t="s">
        <v>577</v>
      </c>
      <c r="N10" s="212"/>
      <c r="O10" s="212"/>
      <c r="P10" s="212"/>
      <c r="Q10" s="212"/>
      <c r="R10" s="212"/>
      <c r="S10" s="212"/>
      <c r="T10" s="213"/>
      <c r="W10" s="17"/>
      <c r="X10" s="17"/>
      <c r="Y10" s="17"/>
      <c r="Z10" s="17"/>
      <c r="AD10" s="156">
        <f t="shared" si="0"/>
        <v>184.5612244897959</v>
      </c>
      <c r="AE10" s="119" cm="1">
        <f t="array" ref="AE10">IF(AD10&gt;$C$125/2,0,flat_plate_roark_F(0,$C$125/2,$C$47/2,$C$35*1000,AD10,$C$41/2,$C$38,$C$111,$C$31))</f>
        <v>-2.4842888545422472E-2</v>
      </c>
      <c r="AF10" s="17" cm="1">
        <f t="array" ref="AF10">IF(AD10&gt;$C$125/2,0,flat_plate_roark_F(0,$C$125/2,$C$47/2,$C$35*1000,AD10,$C$41/2,$C$38,$C$104,$C$31))</f>
        <v>-1.1113913449115583E-3</v>
      </c>
      <c r="AG10" s="17" cm="1">
        <f t="array" ref="AG10">IF(AD10&gt;$C$125/2,0,flat_plate_roark_F(0,$C$125/2,$C$47/2,$C$35*1000,AD10,$C$63/2,$C$38,$C$118,$C$31))</f>
        <v>0</v>
      </c>
      <c r="AH10" s="17" cm="1">
        <f t="array" ref="AH10">IF(AD10&gt;$C$125/2,0,flat_plate_roark_P(0,$C$125/2,$C$47/2,$C$35*1000,AD10,$C$47/2,$C$38,$C$97,$C$31)+IF($C$125&gt;$C$62,flat_plate_roark_P(0,$C$125/2,$C$47/2,$C$35*1000,AD10,$C$62/2,$C$38,-$C$97,$C$31),0))</f>
        <v>-0.11680638597418483</v>
      </c>
      <c r="AI10" s="150">
        <f t="shared" si="1"/>
        <v>9.0852106083850803E-2</v>
      </c>
      <c r="AJ10" s="156">
        <f t="shared" si="2"/>
        <v>184.5612244897959</v>
      </c>
      <c r="AK10" cm="1">
        <f t="array" ref="AK10">IF(AJ10&gt;$C$159/2,0,flat_plate_roark_F(0,$C$125/2,$C$47/2,$C$35*1000,AJ10,$C$41/2,$C$38,$C$145,$C$31))</f>
        <v>-2.5170308575006399E-2</v>
      </c>
      <c r="AL10" s="17" cm="1">
        <f t="array" ref="AL10">IF(AJ10&gt;$C$159/2,0,+flat_plate_roark_F(0,$C$159/2,$C$47/2,$C$35*1000,AJ10,$C$63/2,$C$38,$C$152,$C$31))</f>
        <v>0</v>
      </c>
      <c r="AM10" s="17" cm="1">
        <f t="array" ref="AM10">IF(AJ10&gt;$C$159/2,0,flat_plate_roark_P(0,$C$159/2,$C$47/2,$C$35*1000,AJ10,$C$47/2,$C$38,$C$138,$C$31)+IF($C$159&gt;$C$62,flat_plate_roark_P(0,$C$159/2,$C$47/2,$C$35*1000,AJ10,$C$62/2,$C$38,-$C$138,$C$31),0))</f>
        <v>-0.24347354055733111</v>
      </c>
      <c r="AN10" s="150">
        <f t="shared" si="3"/>
        <v>0.21830323198232471</v>
      </c>
      <c r="AO10" s="164" cm="1">
        <f t="array" ref="AO10">_xlfn.IFS($AP$2=1,AD10,$AP$2=2,AJ10)</f>
        <v>184.5612244897959</v>
      </c>
      <c r="AP10" s="150" cm="1">
        <f t="array" ref="AP10">_xlfn.IFS($AP$2=1,AI10,$AP$2=2,AN10)</f>
        <v>9.0852106083850803E-2</v>
      </c>
    </row>
    <row r="11" spans="2:48" ht="18" customHeight="1" x14ac:dyDescent="0.25">
      <c r="B11" s="20" t="s">
        <v>66</v>
      </c>
      <c r="C11" s="128">
        <v>724</v>
      </c>
      <c r="D11" s="57" t="s">
        <v>262</v>
      </c>
      <c r="G11" s="23" t="s">
        <v>93</v>
      </c>
      <c r="H11" s="16">
        <f>+H7*$C$27</f>
        <v>1022615.6493456438</v>
      </c>
      <c r="I11" s="16">
        <f>+I7*$C$27</f>
        <v>1064350.37511943</v>
      </c>
      <c r="J11" s="55" t="s">
        <v>51</v>
      </c>
      <c r="L11" s="127">
        <v>0</v>
      </c>
      <c r="M11" s="211" t="s">
        <v>578</v>
      </c>
      <c r="N11" s="212"/>
      <c r="O11" s="212"/>
      <c r="P11" s="212"/>
      <c r="Q11" s="212"/>
      <c r="R11" s="212"/>
      <c r="S11" s="212"/>
      <c r="T11" s="213"/>
      <c r="W11" s="17"/>
      <c r="X11" s="17"/>
      <c r="Y11" s="17"/>
      <c r="Z11" s="17"/>
      <c r="AD11" s="156">
        <f t="shared" si="0"/>
        <v>189.57142857142856</v>
      </c>
      <c r="AE11" s="119" cm="1">
        <f t="array" ref="AE11">IF(AD11&gt;$C$125/2,0,flat_plate_roark_F(0,$C$125/2,$C$47/2,$C$35*1000,AD11,$C$41/2,$C$38,$C$111,$C$31))</f>
        <v>-2.4163728386127709E-2</v>
      </c>
      <c r="AF11" s="17" cm="1">
        <f t="array" ref="AF11">IF(AD11&gt;$C$125/2,0,flat_plate_roark_F(0,$C$125/2,$C$47/2,$C$35*1000,AD11,$C$41/2,$C$38,$C$104,$C$31))</f>
        <v>-1.0810078924612177E-3</v>
      </c>
      <c r="AG11" s="17" cm="1">
        <f t="array" ref="AG11">IF(AD11&gt;$C$125/2,0,flat_plate_roark_F(0,$C$125/2,$C$47/2,$C$35*1000,AD11,$C$63/2,$C$38,$C$118,$C$31))</f>
        <v>0</v>
      </c>
      <c r="AH11" s="17" cm="1">
        <f t="array" ref="AH11">IF(AD11&gt;$C$125/2,0,flat_plate_roark_P(0,$C$125/2,$C$47/2,$C$35*1000,AD11,$C$47/2,$C$38,$C$97,$C$31)+IF($C$125&gt;$C$62,flat_plate_roark_P(0,$C$125/2,$C$47/2,$C$35*1000,AD11,$C$62/2,$C$38,-$C$97,$C$31),0))</f>
        <v>-0.11211440831967601</v>
      </c>
      <c r="AI11" s="150">
        <f t="shared" si="1"/>
        <v>8.6869672041087087E-2</v>
      </c>
      <c r="AJ11" s="156">
        <f t="shared" si="2"/>
        <v>189.57142857142856</v>
      </c>
      <c r="AK11" cm="1">
        <f t="array" ref="AK11">IF(AJ11&gt;$C$159/2,0,flat_plate_roark_F(0,$C$125/2,$C$47/2,$C$35*1000,AJ11,$C$41/2,$C$38,$C$145,$C$31))</f>
        <v>-2.4482197337456709E-2</v>
      </c>
      <c r="AL11" s="17" cm="1">
        <f t="array" ref="AL11">IF(AJ11&gt;$C$159/2,0,+flat_plate_roark_F(0,$C$159/2,$C$47/2,$C$35*1000,AJ11,$C$63/2,$C$38,$C$152,$C$31))</f>
        <v>0</v>
      </c>
      <c r="AM11" s="17" cm="1">
        <f t="array" ref="AM11">IF(AJ11&gt;$C$159/2,0,flat_plate_roark_P(0,$C$159/2,$C$47/2,$C$35*1000,AJ11,$C$47/2,$C$38,$C$138,$C$31)+IF($C$159&gt;$C$62,flat_plate_roark_P(0,$C$159/2,$C$47/2,$C$35*1000,AJ11,$C$62/2,$C$38,-$C$138,$C$31),0))</f>
        <v>-0.23480802024093148</v>
      </c>
      <c r="AN11" s="150">
        <f t="shared" si="3"/>
        <v>0.21032582290347476</v>
      </c>
      <c r="AO11" s="164" cm="1">
        <f t="array" ref="AO11">_xlfn.IFS($AP$2=1,AD11,$AP$2=2,AJ11)</f>
        <v>189.57142857142856</v>
      </c>
      <c r="AP11" s="150" cm="1">
        <f t="array" ref="AP11">_xlfn.IFS($AP$2=1,AI11,$AP$2=2,AN11)</f>
        <v>8.6869672041087087E-2</v>
      </c>
    </row>
    <row r="12" spans="2:48" ht="18" customHeight="1" x14ac:dyDescent="0.25">
      <c r="B12" s="20" t="s">
        <v>481</v>
      </c>
      <c r="C12" s="47">
        <v>862</v>
      </c>
      <c r="D12" s="57" t="s">
        <v>479</v>
      </c>
      <c r="G12" s="23" t="s">
        <v>94</v>
      </c>
      <c r="H12" s="16">
        <f>-H8*$C$50</f>
        <v>723411.39388934593</v>
      </c>
      <c r="I12" s="16">
        <f>-I8*$C$50</f>
        <v>378560.98472111684</v>
      </c>
      <c r="J12" s="55" t="s">
        <v>52</v>
      </c>
      <c r="W12" s="17"/>
      <c r="X12" s="17"/>
      <c r="Y12" s="17"/>
      <c r="Z12" s="17"/>
      <c r="AD12" s="156">
        <f t="shared" si="0"/>
        <v>194.58163265306121</v>
      </c>
      <c r="AE12" s="119" cm="1">
        <f t="array" ref="AE12">IF(AD12&gt;$C$125/2,0,flat_plate_roark_F(0,$C$125/2,$C$47/2,$C$35*1000,AD12,$C$41/2,$C$38,$C$111,$C$31))</f>
        <v>-2.3486445735521118E-2</v>
      </c>
      <c r="AF12" s="17" cm="1">
        <f t="array" ref="AF12">IF(AD12&gt;$C$125/2,0,flat_plate_roark_F(0,$C$125/2,$C$47/2,$C$35*1000,AD12,$C$41/2,$C$38,$C$104,$C$31))</f>
        <v>-1.0507084337422106E-3</v>
      </c>
      <c r="AG12" s="17" cm="1">
        <f t="array" ref="AG12">IF(AD12&gt;$C$125/2,0,flat_plate_roark_F(0,$C$125/2,$C$47/2,$C$35*1000,AD12,$C$63/2,$C$38,$C$118,$C$31))</f>
        <v>0</v>
      </c>
      <c r="AH12" s="17" cm="1">
        <f t="array" ref="AH12">IF(AD12&gt;$C$125/2,0,flat_plate_roark_P(0,$C$125/2,$C$47/2,$C$35*1000,AD12,$C$47/2,$C$38,$C$97,$C$31)+IF($C$125&gt;$C$62,flat_plate_roark_P(0,$C$125/2,$C$47/2,$C$35*1000,AD12,$C$62/2,$C$38,-$C$97,$C$31),0))</f>
        <v>-0.10745026605653651</v>
      </c>
      <c r="AI12" s="150">
        <f t="shared" si="1"/>
        <v>8.2913111887273183E-2</v>
      </c>
      <c r="AJ12" s="156">
        <f t="shared" si="2"/>
        <v>194.58163265306121</v>
      </c>
      <c r="AK12" cm="1">
        <f t="array" ref="AK12">IF(AJ12&gt;$C$159/2,0,flat_plate_roark_F(0,$C$125/2,$C$47/2,$C$35*1000,AJ12,$C$41/2,$C$38,$C$145,$C$31))</f>
        <v>-2.3795988353461278E-2</v>
      </c>
      <c r="AL12" s="17" cm="1">
        <f t="array" ref="AL12">IF(AJ12&gt;$C$159/2,0,+flat_plate_roark_F(0,$C$159/2,$C$47/2,$C$35*1000,AJ12,$C$63/2,$C$38,$C$152,$C$31))</f>
        <v>0</v>
      </c>
      <c r="AM12" s="17" cm="1">
        <f t="array" ref="AM12">IF(AJ12&gt;$C$159/2,0,flat_plate_roark_P(0,$C$159/2,$C$47/2,$C$35*1000,AJ12,$C$47/2,$C$38,$C$138,$C$31)+IF($C$159&gt;$C$62,flat_plate_roark_P(0,$C$159/2,$C$47/2,$C$35*1000,AJ12,$C$62/2,$C$38,-$C$138,$C$31),0))</f>
        <v>-0.22618875231329436</v>
      </c>
      <c r="AN12" s="150">
        <f t="shared" si="3"/>
        <v>0.20239276395983308</v>
      </c>
      <c r="AO12" s="164" cm="1">
        <f t="array" ref="AO12">_xlfn.IFS($AP$2=1,AD12,$AP$2=2,AJ12)</f>
        <v>194.58163265306121</v>
      </c>
      <c r="AP12" s="150" cm="1">
        <f t="array" ref="AP12">_xlfn.IFS($AP$2=1,AI12,$AP$2=2,AN12)</f>
        <v>8.2913111887273183E-2</v>
      </c>
    </row>
    <row r="13" spans="2:48" ht="18" customHeight="1" x14ac:dyDescent="0.25">
      <c r="B13" s="20" t="s">
        <v>80</v>
      </c>
      <c r="C13" s="49">
        <v>1.2E-5</v>
      </c>
      <c r="D13" s="55" t="s">
        <v>276</v>
      </c>
      <c r="G13" s="24" t="s">
        <v>38</v>
      </c>
      <c r="H13" s="32">
        <f>H11/IF($C$15*$C$16&lt;&gt;0,MIN($C$25,$C$24),$C$25)</f>
        <v>642.98009077130882</v>
      </c>
      <c r="I13" s="32">
        <f>I11/IF($C$15*$C$16&lt;&gt;0,MIN($C$25,$C$24),$C$25)</f>
        <v>669.22122817568538</v>
      </c>
      <c r="J13" s="55" t="s">
        <v>54</v>
      </c>
      <c r="AD13" s="156">
        <f t="shared" si="0"/>
        <v>199.59183673469386</v>
      </c>
      <c r="AE13" s="119" cm="1">
        <f t="array" ref="AE13">IF(AD13&gt;$C$125/2,0,flat_plate_roark_F(0,$C$125/2,$C$47/2,$C$35*1000,AD13,$C$41/2,$C$38,$C$111,$C$31))</f>
        <v>-2.2810537080353705E-2</v>
      </c>
      <c r="AF13" s="17" cm="1">
        <f t="array" ref="AF13">IF(AD13&gt;$C$125/2,0,flat_plate_roark_F(0,$C$125/2,$C$47/2,$C$35*1000,AD13,$C$41/2,$C$38,$C$104,$C$31))</f>
        <v>-1.0204704431828445E-3</v>
      </c>
      <c r="AG13" s="17" cm="1">
        <f t="array" ref="AG13">IF(AD13&gt;$C$125/2,0,flat_plate_roark_F(0,$C$125/2,$C$47/2,$C$35*1000,AD13,$C$63/2,$C$38,$C$118,$C$31))</f>
        <v>0</v>
      </c>
      <c r="AH13" s="17" cm="1">
        <f t="array" ref="AH13">IF(AD13&gt;$C$125/2,0,flat_plate_roark_P(0,$C$125/2,$C$47/2,$C$35*1000,AD13,$C$47/2,$C$38,$C$97,$C$31)+IF($C$125&gt;$C$62,flat_plate_roark_P(0,$C$125/2,$C$47/2,$C$35*1000,AD13,$C$62/2,$C$38,-$C$97,$C$31),0))</f>
        <v>-0.10281467931992694</v>
      </c>
      <c r="AI13" s="150">
        <f t="shared" si="1"/>
        <v>7.8983671796390389E-2</v>
      </c>
      <c r="AJ13" s="156">
        <f t="shared" si="2"/>
        <v>199.59183673469386</v>
      </c>
      <c r="AK13" cm="1">
        <f t="array" ref="AK13">IF(AJ13&gt;$C$159/2,0,flat_plate_roark_F(0,$C$125/2,$C$47/2,$C$35*1000,AJ13,$C$41/2,$C$38,$C$145,$C$31))</f>
        <v>-2.311117147365379E-2</v>
      </c>
      <c r="AL13" s="17" cm="1">
        <f t="array" ref="AL13">IF(AJ13&gt;$C$159/2,0,+flat_plate_roark_F(0,$C$159/2,$C$47/2,$C$35*1000,AJ13,$C$63/2,$C$38,$C$152,$C$31))</f>
        <v>0</v>
      </c>
      <c r="AM13" s="17" cm="1">
        <f t="array" ref="AM13">IF(AJ13&gt;$C$159/2,0,flat_plate_roark_P(0,$C$159/2,$C$47/2,$C$35*1000,AJ13,$C$47/2,$C$38,$C$138,$C$31)+IF($C$159&gt;$C$62,flat_plate_roark_P(0,$C$159/2,$C$47/2,$C$35*1000,AJ13,$C$62/2,$C$38,-$C$138,$C$31),0))</f>
        <v>-0.21761561034731325</v>
      </c>
      <c r="AN13" s="150">
        <f t="shared" si="3"/>
        <v>0.19450443887365945</v>
      </c>
      <c r="AO13" s="164" cm="1">
        <f t="array" ref="AO13">_xlfn.IFS($AP$2=1,AD13,$AP$2=2,AJ13)</f>
        <v>199.59183673469386</v>
      </c>
      <c r="AP13" s="150" cm="1">
        <f t="array" ref="AP13">_xlfn.IFS($AP$2=1,AI13,$AP$2=2,AN13)</f>
        <v>7.8983671796390389E-2</v>
      </c>
    </row>
    <row r="14" spans="2:48" ht="18" customHeight="1" x14ac:dyDescent="0.25">
      <c r="B14" s="20" t="s">
        <v>11</v>
      </c>
      <c r="C14" s="47">
        <v>80</v>
      </c>
      <c r="D14" s="55" t="s">
        <v>270</v>
      </c>
      <c r="E14" s="17" t="str">
        <f>+B14&amp;" = "&amp;C14</f>
        <v>dn [mm] = 80</v>
      </c>
      <c r="AD14" s="156">
        <f t="shared" si="0"/>
        <v>204.60204081632651</v>
      </c>
      <c r="AE14" s="119" cm="1">
        <f t="array" ref="AE14">IF(AD14&gt;$C$125/2,0,flat_plate_roark_F(0,$C$125/2,$C$47/2,$C$35*1000,AD14,$C$41/2,$C$38,$C$111,$C$31))</f>
        <v>-2.2135536363284379E-2</v>
      </c>
      <c r="AF14" s="17" cm="1">
        <f t="array" ref="AF14">IF(AD14&gt;$C$125/2,0,flat_plate_roark_F(0,$C$125/2,$C$47/2,$C$35*1000,AD14,$C$41/2,$C$38,$C$104,$C$31))</f>
        <v>-9.9027307086890001E-4</v>
      </c>
      <c r="AG14" s="17" cm="1">
        <f t="array" ref="AG14">IF(AD14&gt;$C$125/2,0,flat_plate_roark_F(0,$C$125/2,$C$47/2,$C$35*1000,AD14,$C$63/2,$C$38,$C$118,$C$31))</f>
        <v>0</v>
      </c>
      <c r="AH14" s="17" cm="1">
        <f t="array" ref="AH14">IF(AD14&gt;$C$125/2,0,flat_plate_roark_P(0,$C$125/2,$C$47/2,$C$35*1000,AD14,$C$47/2,$C$38,$C$97,$C$31)+IF($C$125&gt;$C$62,flat_plate_roark_P(0,$C$125/2,$C$47/2,$C$35*1000,AD14,$C$62/2,$C$38,-$C$97,$C$31),0))</f>
        <v>-9.820909540174505E-2</v>
      </c>
      <c r="AI14" s="150">
        <f t="shared" si="1"/>
        <v>7.508328596759177E-2</v>
      </c>
      <c r="AJ14" s="156">
        <f t="shared" si="2"/>
        <v>204.60204081632651</v>
      </c>
      <c r="AK14" cm="1">
        <f t="array" ref="AK14">IF(AJ14&gt;$C$159/2,0,flat_plate_roark_F(0,$C$125/2,$C$47/2,$C$35*1000,AJ14,$C$41/2,$C$38,$C$145,$C$31))</f>
        <v>-2.2427274498230773E-2</v>
      </c>
      <c r="AL14" s="17" cm="1">
        <f t="array" ref="AL14">IF(AJ14&gt;$C$159/2,0,+flat_plate_roark_F(0,$C$159/2,$C$47/2,$C$35*1000,AJ14,$C$63/2,$C$38,$C$152,$C$31))</f>
        <v>0</v>
      </c>
      <c r="AM14" s="17" cm="1">
        <f t="array" ref="AM14">IF(AJ14&gt;$C$159/2,0,flat_plate_roark_P(0,$C$159/2,$C$47/2,$C$35*1000,AJ14,$C$47/2,$C$38,$C$138,$C$31)+IF($C$159&gt;$C$62,flat_plate_roark_P(0,$C$159/2,$C$47/2,$C$35*1000,AJ14,$C$62/2,$C$38,-$C$138,$C$31),0))</f>
        <v>-0.20908964841112126</v>
      </c>
      <c r="AN14" s="150">
        <f t="shared" si="3"/>
        <v>0.18666237391289048</v>
      </c>
      <c r="AO14" s="164" cm="1">
        <f t="array" ref="AO14">_xlfn.IFS($AP$2=1,AD14,$AP$2=2,AJ14)</f>
        <v>204.60204081632651</v>
      </c>
      <c r="AP14" s="150" cm="1">
        <f t="array" ref="AP14">_xlfn.IFS($AP$2=1,AI14,$AP$2=2,AN14)</f>
        <v>7.508328596759177E-2</v>
      </c>
    </row>
    <row r="15" spans="2:48" ht="18" customHeight="1" x14ac:dyDescent="0.25">
      <c r="B15" s="20" t="s">
        <v>12</v>
      </c>
      <c r="C15" s="47">
        <v>45</v>
      </c>
      <c r="D15" s="55" t="s">
        <v>271</v>
      </c>
      <c r="E15" s="17" t="str">
        <f>+B15&amp;" = "&amp;C15</f>
        <v>du [mm] = 45</v>
      </c>
      <c r="G15" s="141" t="s">
        <v>472</v>
      </c>
      <c r="H15" s="142"/>
      <c r="I15" s="142"/>
      <c r="J15" s="143"/>
      <c r="AD15" s="156">
        <f t="shared" si="0"/>
        <v>209.61224489795916</v>
      </c>
      <c r="AE15" s="119" cm="1">
        <f t="array" ref="AE15">IF(AD15&gt;$C$125/2,0,flat_plate_roark_F(0,$C$125/2,$C$47/2,$C$35*1000,AD15,$C$41/2,$C$38,$C$111,$C$31))</f>
        <v>-2.1461011357512064E-2</v>
      </c>
      <c r="AF15" s="17" cm="1">
        <f t="array" ref="AF15">IF(AD15&gt;$C$125/2,0,flat_plate_roark_F(0,$C$125/2,$C$47/2,$C$35*1000,AD15,$C$41/2,$C$38,$C$104,$C$31))</f>
        <v>-9.6009698035627307E-4</v>
      </c>
      <c r="AG15" s="17" cm="1">
        <f t="array" ref="AG15">IF(AD15&gt;$C$125/2,0,flat_plate_roark_F(0,$C$125/2,$C$47/2,$C$35*1000,AD15,$C$63/2,$C$38,$C$118,$C$31))</f>
        <v>0</v>
      </c>
      <c r="AH15" s="17" cm="1">
        <f t="array" ref="AH15">IF(AD15&gt;$C$125/2,0,flat_plate_roark_P(0,$C$125/2,$C$47/2,$C$35*1000,AD15,$C$47/2,$C$38,$C$97,$C$31)+IF($C$125&gt;$C$62,flat_plate_roark_P(0,$C$125/2,$C$47/2,$C$35*1000,AD15,$C$62/2,$C$38,-$C$97,$C$31),0))</f>
        <v>-9.3635648302102276E-2</v>
      </c>
      <c r="AI15" s="150">
        <f t="shared" si="1"/>
        <v>7.1214539964233936E-2</v>
      </c>
      <c r="AJ15" s="156">
        <f t="shared" si="2"/>
        <v>209.61224489795916</v>
      </c>
      <c r="AK15" cm="1">
        <f t="array" ref="AK15">IF(AJ15&gt;$C$159/2,0,flat_plate_roark_F(0,$C$125/2,$C$47/2,$C$35*1000,AJ15,$C$41/2,$C$38,$C$145,$C$31))</f>
        <v>-2.1743859503802698E-2</v>
      </c>
      <c r="AL15" s="17" cm="1">
        <f t="array" ref="AL15">IF(AJ15&gt;$C$159/2,0,+flat_plate_roark_F(0,$C$159/2,$C$47/2,$C$35*1000,AJ15,$C$63/2,$C$38,$C$152,$C$31))</f>
        <v>0</v>
      </c>
      <c r="AM15" s="17" cm="1">
        <f t="array" ref="AM15">IF(AJ15&gt;$C$159/2,0,flat_plate_roark_P(0,$C$159/2,$C$47/2,$C$35*1000,AJ15,$C$47/2,$C$38,$C$138,$C$31)+IF($C$159&gt;$C$62,flat_plate_roark_P(0,$C$159/2,$C$47/2,$C$35*1000,AJ15,$C$62/2,$C$38,-$C$138,$C$31),0))</f>
        <v>-0.20061303170739681</v>
      </c>
      <c r="AN15" s="150">
        <f t="shared" si="3"/>
        <v>0.17886917220359411</v>
      </c>
      <c r="AO15" s="164" cm="1">
        <f t="array" ref="AO15">_xlfn.IFS($AP$2=1,AD15,$AP$2=2,AJ15)</f>
        <v>209.61224489795916</v>
      </c>
      <c r="AP15" s="150" cm="1">
        <f t="array" ref="AP15">_xlfn.IFS($AP$2=1,AI15,$AP$2=2,AN15)</f>
        <v>7.1214539964233936E-2</v>
      </c>
    </row>
    <row r="16" spans="2:48" ht="18" customHeight="1" x14ac:dyDescent="0.25">
      <c r="B16" s="20" t="s">
        <v>13</v>
      </c>
      <c r="C16" s="47">
        <v>110</v>
      </c>
      <c r="D16" s="55" t="s">
        <v>272</v>
      </c>
      <c r="E16" s="17" t="str">
        <f>+B16&amp;" = "&amp;C16</f>
        <v>Lu [mm] = 110</v>
      </c>
      <c r="G16" s="27" t="s">
        <v>40</v>
      </c>
      <c r="H16" s="37">
        <f>IF(C125&lt;C42,H13/$C$10,"deflection not acceptable")</f>
        <v>0.88809404802666969</v>
      </c>
      <c r="I16" s="37">
        <f>IF(C159&lt;C42,I13/$C$10,"deflection not acceptable")</f>
        <v>0.92433871294984171</v>
      </c>
      <c r="J16" s="56" t="s">
        <v>41</v>
      </c>
      <c r="AD16" s="156">
        <f t="shared" si="0"/>
        <v>214.62244897959181</v>
      </c>
      <c r="AE16" s="119" cm="1">
        <f t="array" ref="AE16">IF(AD16&gt;$C$125/2,0,flat_plate_roark_F(0,$C$125/2,$C$47/2,$C$35*1000,AD16,$C$41/2,$C$38,$C$111,$C$31))</f>
        <v>-2.078656046969023E-2</v>
      </c>
      <c r="AF16" s="17" cm="1">
        <f t="array" ref="AF16">IF(AD16&gt;$C$125/2,0,flat_plate_roark_F(0,$C$125/2,$C$47/2,$C$35*1000,AD16,$C$41/2,$C$38,$C$104,$C$31))</f>
        <v>-9.299242056435991E-4</v>
      </c>
      <c r="AG16" s="17" cm="1">
        <f t="array" ref="AG16">IF(AD16&gt;$C$125/2,0,flat_plate_roark_F(0,$C$125/2,$C$47/2,$C$35*1000,AD16,$C$63/2,$C$38,$C$118,$C$31))</f>
        <v>0</v>
      </c>
      <c r="AH16" s="17" cm="1">
        <f t="array" ref="AH16">IF(AD16&gt;$C$125/2,0,flat_plate_roark_P(0,$C$125/2,$C$47/2,$C$35*1000,AD16,$C$47/2,$C$38,$C$97,$C$31)+IF($C$125&gt;$C$62,flat_plate_roark_P(0,$C$125/2,$C$47/2,$C$35*1000,AD16,$C$62/2,$C$38,-$C$97,$C$31),0))</f>
        <v>-8.9097122815471608E-2</v>
      </c>
      <c r="AI16" s="150">
        <f t="shared" si="1"/>
        <v>6.7380638140137783E-2</v>
      </c>
      <c r="AJ16" s="156">
        <f t="shared" si="2"/>
        <v>214.62244897959181</v>
      </c>
      <c r="AK16" cm="1">
        <f t="array" ref="AK16">IF(AJ16&gt;$C$159/2,0,flat_plate_roark_F(0,$C$125/2,$C$47/2,$C$35*1000,AJ16,$C$41/2,$C$38,$C$145,$C$31))</f>
        <v>-2.1060519604172125E-2</v>
      </c>
      <c r="AL16" s="17" cm="1">
        <f t="array" ref="AL16">IF(AJ16&gt;$C$159/2,0,+flat_plate_roark_F(0,$C$159/2,$C$47/2,$C$35*1000,AJ16,$C$63/2,$C$38,$C$152,$C$31))</f>
        <v>0</v>
      </c>
      <c r="AM16" s="17" cm="1">
        <f t="array" ref="AM16">IF(AJ16&gt;$C$159/2,0,flat_plate_roark_P(0,$C$159/2,$C$47/2,$C$35*1000,AJ16,$C$47/2,$C$38,$C$138,$C$31)+IF($C$159&gt;$C$62,flat_plate_roark_P(0,$C$159/2,$C$47/2,$C$35*1000,AJ16,$C$62/2,$C$38,-$C$138,$C$31),0))</f>
        <v>-0.1921889750410215</v>
      </c>
      <c r="AN16" s="150">
        <f t="shared" si="3"/>
        <v>0.17112845543684937</v>
      </c>
      <c r="AO16" s="164" cm="1">
        <f t="array" ref="AO16">_xlfn.IFS($AP$2=1,AD16,$AP$2=2,AJ16)</f>
        <v>214.62244897959181</v>
      </c>
      <c r="AP16" s="150" cm="1">
        <f t="array" ref="AP16">_xlfn.IFS($AP$2=1,AI16,$AP$2=2,AN16)</f>
        <v>6.7380638140137783E-2</v>
      </c>
    </row>
    <row r="17" spans="2:42" ht="18" customHeight="1" x14ac:dyDescent="0.25">
      <c r="B17" s="20" t="s">
        <v>14</v>
      </c>
      <c r="C17" s="47">
        <v>52</v>
      </c>
      <c r="D17" s="55" t="s">
        <v>273</v>
      </c>
      <c r="E17" s="17" t="str">
        <f>+B17&amp;" = M"&amp; C17 &amp; "x" &amp; C18</f>
        <v>dt [mm] = M52x5</v>
      </c>
      <c r="G17" s="20" t="s">
        <v>43</v>
      </c>
      <c r="H17" s="126">
        <f>IF(C125&lt;C42,ABS(H10)/$C$74,"deflection not acceptable")</f>
        <v>0.21758084732089653</v>
      </c>
      <c r="I17" s="126">
        <f>IF(C159&lt;C42,ABS(I10)/$C$74,"deflection not acceptable")</f>
        <v>0.59056027123043975</v>
      </c>
      <c r="J17" s="55" t="s">
        <v>44</v>
      </c>
      <c r="AD17" s="156">
        <f t="shared" si="0"/>
        <v>219.63265306122446</v>
      </c>
      <c r="AE17" s="119" cm="1">
        <f t="array" ref="AE17">IF(AD17&gt;$C$125/2,0,flat_plate_roark_F(0,$C$125/2,$C$47/2,$C$35*1000,AD17,$C$41/2,$C$38,$C$111,$C$31))</f>
        <v>-2.0111809911808574E-2</v>
      </c>
      <c r="AF17" s="17" cm="1">
        <f t="array" ref="AF17">IF(AD17&gt;$C$125/2,0,flat_plate_roark_F(0,$C$125/2,$C$47/2,$C$35*1000,AD17,$C$41/2,$C$38,$C$104,$C$31))</f>
        <v>-8.9973802465128879E-4</v>
      </c>
      <c r="AG17" s="17" cm="1">
        <f t="array" ref="AG17">IF(AD17&gt;$C$125/2,0,flat_plate_roark_F(0,$C$125/2,$C$47/2,$C$35*1000,AD17,$C$63/2,$C$38,$C$118,$C$31))</f>
        <v>0</v>
      </c>
      <c r="AH17" s="17" cm="1">
        <f t="array" ref="AH17">IF(AD17&gt;$C$125/2,0,flat_plate_roark_P(0,$C$125/2,$C$47/2,$C$35*1000,AD17,$C$47/2,$C$38,$C$97,$C$31)+IF($C$125&gt;$C$62,flat_plate_roark_P(0,$C$125/2,$C$47/2,$C$35*1000,AD17,$C$62/2,$C$38,-$C$97,$C$31),0))</f>
        <v>-8.4596922540560643E-2</v>
      </c>
      <c r="AI17" s="150">
        <f t="shared" si="1"/>
        <v>6.3585374604100783E-2</v>
      </c>
      <c r="AJ17" s="156">
        <f t="shared" si="2"/>
        <v>219.63265306122446</v>
      </c>
      <c r="AK17" cm="1">
        <f t="array" ref="AK17">IF(AJ17&gt;$C$159/2,0,flat_plate_roark_F(0,$C$125/2,$C$47/2,$C$35*1000,AJ17,$C$41/2,$C$38,$C$145,$C$31))</f>
        <v>-2.0376876084941813E-2</v>
      </c>
      <c r="AL17" s="17" cm="1">
        <f t="array" ref="AL17">IF(AJ17&gt;$C$159/2,0,+flat_plate_roark_F(0,$C$159/2,$C$47/2,$C$35*1000,AJ17,$C$63/2,$C$38,$C$152,$C$31))</f>
        <v>0</v>
      </c>
      <c r="AM17" s="17" cm="1">
        <f t="array" ref="AM17">IF(AJ17&gt;$C$159/2,0,flat_plate_roark_P(0,$C$159/2,$C$47/2,$C$35*1000,AJ17,$C$47/2,$C$38,$C$138,$C$31)+IF($C$159&gt;$C$62,flat_plate_roark_P(0,$C$159/2,$C$47/2,$C$35*1000,AJ17,$C$62/2,$C$38,-$C$138,$C$31),0))</f>
        <v>-0.18382168805652796</v>
      </c>
      <c r="AN17" s="150">
        <f t="shared" si="3"/>
        <v>0.16344481197158614</v>
      </c>
      <c r="AO17" s="164" cm="1">
        <f t="array" ref="AO17">_xlfn.IFS($AP$2=1,AD17,$AP$2=2,AJ17)</f>
        <v>219.63265306122446</v>
      </c>
      <c r="AP17" s="150" cm="1">
        <f t="array" ref="AP17">_xlfn.IFS($AP$2=1,AI17,$AP$2=2,AN17)</f>
        <v>6.3585374604100783E-2</v>
      </c>
    </row>
    <row r="18" spans="2:42" ht="18" customHeight="1" x14ac:dyDescent="0.25">
      <c r="B18" s="20" t="s">
        <v>9</v>
      </c>
      <c r="C18" s="47">
        <v>5</v>
      </c>
      <c r="D18" s="55" t="s">
        <v>274</v>
      </c>
      <c r="G18" s="38" t="s">
        <v>95</v>
      </c>
      <c r="H18" s="126">
        <f>IF(C125&lt;C42,H11/$C$52,"deflection not acceptable")</f>
        <v>0.4942341059783234</v>
      </c>
      <c r="I18" s="126">
        <f>IF(C159&lt;C42,I11/$C$52,"deflection not acceptable")</f>
        <v>0.51440466066742518</v>
      </c>
      <c r="J18" s="55" t="s">
        <v>60</v>
      </c>
      <c r="AD18" s="156">
        <f t="shared" si="0"/>
        <v>224.64285714285711</v>
      </c>
      <c r="AE18" s="119" cm="1">
        <f t="array" ref="AE18">IF(AD18&gt;$C$125/2,0,flat_plate_roark_F(0,$C$125/2,$C$47/2,$C$35*1000,AD18,$C$41/2,$C$38,$C$111,$C$31))</f>
        <v>-1.9436411192094605E-2</v>
      </c>
      <c r="AF18" s="17" cm="1">
        <f t="array" ref="AF18">IF(AD18&gt;$C$125/2,0,flat_plate_roark_F(0,$C$125/2,$C$47/2,$C$35*1000,AD18,$C$41/2,$C$38,$C$104,$C$31))</f>
        <v>-8.695228469724934E-4</v>
      </c>
      <c r="AG18" s="17" cm="1">
        <f t="array" ref="AG18">IF(AD18&gt;$C$125/2,0,flat_plate_roark_F(0,$C$125/2,$C$47/2,$C$35*1000,AD18,$C$63/2,$C$38,$C$118,$C$31))</f>
        <v>0</v>
      </c>
      <c r="AH18" s="17" cm="1">
        <f t="array" ref="AH18">IF(AD18&gt;$C$125/2,0,flat_plate_roark_P(0,$C$125/2,$C$47/2,$C$35*1000,AD18,$C$47/2,$C$38,$C$97,$C$31)+IF($C$125&gt;$C$62,flat_plate_roark_P(0,$C$125/2,$C$47/2,$C$35*1000,AD18,$C$62/2,$C$38,-$C$97,$C$31),0))</f>
        <v>-8.013904129789555E-2</v>
      </c>
      <c r="AI18" s="150">
        <f t="shared" si="1"/>
        <v>5.9833107258828455E-2</v>
      </c>
      <c r="AJ18" s="156">
        <f t="shared" si="2"/>
        <v>224.64285714285711</v>
      </c>
      <c r="AK18" cm="1">
        <f t="array" ref="AK18">IF(AJ18&gt;$C$159/2,0,flat_plate_roark_F(0,$C$125/2,$C$47/2,$C$35*1000,AJ18,$C$41/2,$C$38,$C$145,$C$31))</f>
        <v>-1.9692575861347358E-2</v>
      </c>
      <c r="AL18" s="17" cm="1">
        <f t="array" ref="AL18">IF(AJ18&gt;$C$159/2,0,+flat_plate_roark_F(0,$C$159/2,$C$47/2,$C$35*1000,AJ18,$C$63/2,$C$38,$C$152,$C$31))</f>
        <v>0</v>
      </c>
      <c r="AM18" s="17" cm="1">
        <f t="array" ref="AM18">IF(AJ18&gt;$C$159/2,0,flat_plate_roark_P(0,$C$159/2,$C$47/2,$C$35*1000,AJ18,$C$47/2,$C$38,$C$138,$C$31)+IF($C$159&gt;$C$62,flat_plate_roark_P(0,$C$159/2,$C$47/2,$C$35*1000,AJ18,$C$62/2,$C$38,-$C$138,$C$31),0))</f>
        <v>-0.17551632635161796</v>
      </c>
      <c r="AN18" s="150">
        <f t="shared" si="3"/>
        <v>0.15582375049027059</v>
      </c>
      <c r="AO18" s="164" cm="1">
        <f t="array" ref="AO18">_xlfn.IFS($AP$2=1,AD18,$AP$2=2,AJ18)</f>
        <v>224.64285714285711</v>
      </c>
      <c r="AP18" s="150" cm="1">
        <f t="array" ref="AP18">_xlfn.IFS($AP$2=1,AI18,$AP$2=2,AN18)</f>
        <v>5.9833107258828455E-2</v>
      </c>
    </row>
    <row r="19" spans="2:42" ht="18" customHeight="1" x14ac:dyDescent="0.25">
      <c r="B19" s="20" t="s">
        <v>15</v>
      </c>
      <c r="C19" s="47">
        <v>0</v>
      </c>
      <c r="D19" s="55" t="s">
        <v>275</v>
      </c>
      <c r="E19" s="17" t="str">
        <f>+B19&amp;" = "&amp;C19</f>
        <v>sw [mm] = 0</v>
      </c>
      <c r="AD19" s="156">
        <f t="shared" si="0"/>
        <v>229.65306122448976</v>
      </c>
      <c r="AE19" s="119" cm="1">
        <f t="array" ref="AE19">IF(AD19&gt;$C$125/2,0,flat_plate_roark_F(0,$C$125/2,$C$47/2,$C$35*1000,AD19,$C$41/2,$C$38,$C$111,$C$31))</f>
        <v>-1.8760038882702675E-2</v>
      </c>
      <c r="AF19" s="17" cm="1">
        <f t="array" ref="AF19">IF(AD19&gt;$C$125/2,0,flat_plate_roark_F(0,$C$125/2,$C$47/2,$C$35*1000,AD19,$C$41/2,$C$38,$C$104,$C$31))</f>
        <v>-8.3926411400665453E-4</v>
      </c>
      <c r="AG19" s="17" cm="1">
        <f t="array" ref="AG19">IF(AD19&gt;$C$125/2,0,flat_plate_roark_F(0,$C$125/2,$C$47/2,$C$35*1000,AD19,$C$63/2,$C$38,$C$118,$C$31))</f>
        <v>0</v>
      </c>
      <c r="AH19" s="17" cm="1">
        <f t="array" ref="AH19">IF(AD19&gt;$C$125/2,0,flat_plate_roark_P(0,$C$125/2,$C$47/2,$C$35*1000,AD19,$C$47/2,$C$38,$C$97,$C$31)+IF($C$125&gt;$C$62,flat_plate_roark_P(0,$C$125/2,$C$47/2,$C$35*1000,AD19,$C$62/2,$C$38,-$C$97,$C$31),0))</f>
        <v>-7.5728037517449498E-2</v>
      </c>
      <c r="AI19" s="150">
        <f t="shared" si="1"/>
        <v>5.6128734520740173E-2</v>
      </c>
      <c r="AJ19" s="156">
        <f t="shared" si="2"/>
        <v>229.65306122448976</v>
      </c>
      <c r="AK19" cm="1">
        <f t="array" ref="AK19">IF(AJ19&gt;$C$159/2,0,flat_plate_roark_F(0,$C$125/2,$C$47/2,$C$35*1000,AJ19,$C$41/2,$C$38,$C$145,$C$31))</f>
        <v>-1.9007289216525149E-2</v>
      </c>
      <c r="AL19" s="17" cm="1">
        <f t="array" ref="AL19">IF(AJ19&gt;$C$159/2,0,+flat_plate_roark_F(0,$C$159/2,$C$47/2,$C$35*1000,AJ19,$C$63/2,$C$38,$C$152,$C$31))</f>
        <v>0</v>
      </c>
      <c r="AM19" s="17" cm="1">
        <f t="array" ref="AM19">IF(AJ19&gt;$C$159/2,0,flat_plate_roark_P(0,$C$159/2,$C$47/2,$C$35*1000,AJ19,$C$47/2,$C$38,$C$138,$C$31)+IF($C$159&gt;$C$62,flat_plate_roark_P(0,$C$159/2,$C$47/2,$C$35*1000,AJ19,$C$62/2,$C$38,-$C$138,$C$31),0))</f>
        <v>-0.16727894770904814</v>
      </c>
      <c r="AN19" s="150">
        <f t="shared" si="3"/>
        <v>0.148271658492523</v>
      </c>
      <c r="AO19" s="164" cm="1">
        <f t="array" ref="AO19">_xlfn.IFS($AP$2=1,AD19,$AP$2=2,AJ19)</f>
        <v>229.65306122448976</v>
      </c>
      <c r="AP19" s="150" cm="1">
        <f t="array" ref="AP19">_xlfn.IFS($AP$2=1,AI19,$AP$2=2,AN19)</f>
        <v>5.6128734520740173E-2</v>
      </c>
    </row>
    <row r="20" spans="2:42" ht="18" customHeight="1" x14ac:dyDescent="0.25">
      <c r="B20" s="20" t="s">
        <v>81</v>
      </c>
      <c r="C20" s="50">
        <v>20</v>
      </c>
      <c r="D20" s="55" t="s">
        <v>104</v>
      </c>
      <c r="E20" s="17" t="str">
        <f>"N. = "&amp;C20</f>
        <v>N. = 20</v>
      </c>
      <c r="AD20" s="156">
        <f t="shared" si="0"/>
        <v>234.66326530612241</v>
      </c>
      <c r="AE20" s="119" cm="1">
        <f t="array" ref="AE20">IF(AD20&gt;$C$125/2,0,flat_plate_roark_F(0,$C$125/2,$C$47/2,$C$35*1000,AD20,$C$41/2,$C$38,$C$111,$C$31))</f>
        <v>-1.808238862833976E-2</v>
      </c>
      <c r="AF20" s="17" cm="1">
        <f t="array" ref="AF20">IF(AD20&gt;$C$125/2,0,flat_plate_roark_F(0,$C$125/2,$C$47/2,$C$35*1000,AD20,$C$41/2,$C$38,$C$104,$C$31))</f>
        <v>-8.0894820987179364E-4</v>
      </c>
      <c r="AG20" s="17" cm="1">
        <f t="array" ref="AG20">IF(AD20&gt;$C$125/2,0,flat_plate_roark_F(0,$C$125/2,$C$47/2,$C$35*1000,AD20,$C$63/2,$C$38,$C$118,$C$31))</f>
        <v>0</v>
      </c>
      <c r="AH20" s="17" cm="1">
        <f t="array" ref="AH20">IF(AD20&gt;$C$125/2,0,flat_plate_roark_P(0,$C$125/2,$C$47/2,$C$35*1000,AD20,$C$47/2,$C$38,$C$97,$C$31)+IF($C$125&gt;$C$62,flat_plate_roark_P(0,$C$125/2,$C$47/2,$C$35*1000,AD20,$C$62/2,$C$38,-$C$97,$C$31),0))</f>
        <v>-7.1369011223611223E-2</v>
      </c>
      <c r="AI20" s="150">
        <f t="shared" si="1"/>
        <v>5.2477674385399672E-2</v>
      </c>
      <c r="AJ20" s="156">
        <f t="shared" si="2"/>
        <v>234.66326530612241</v>
      </c>
      <c r="AK20" cm="1">
        <f t="array" ref="AK20">IF(AJ20&gt;$C$159/2,0,flat_plate_roark_F(0,$C$125/2,$C$47/2,$C$35*1000,AJ20,$C$41/2,$C$38,$C$145,$C$31))</f>
        <v>-1.8320707783892626E-2</v>
      </c>
      <c r="AL20" s="17" cm="1">
        <f t="array" ref="AL20">IF(AJ20&gt;$C$159/2,0,+flat_plate_roark_F(0,$C$159/2,$C$47/2,$C$35*1000,AJ20,$C$63/2,$C$38,$C$152,$C$31))</f>
        <v>0</v>
      </c>
      <c r="AM20" s="17" cm="1">
        <f t="array" ref="AM20">IF(AJ20&gt;$C$159/2,0,flat_plate_roark_P(0,$C$159/2,$C$47/2,$C$35*1000,AJ20,$C$47/2,$C$38,$C$138,$C$31)+IF($C$159&gt;$C$62,flat_plate_roark_P(0,$C$159/2,$C$47/2,$C$35*1000,AJ20,$C$62/2,$C$38,-$C$138,$C$31),0))</f>
        <v>-0.15911647280191124</v>
      </c>
      <c r="AN20" s="150">
        <f t="shared" si="3"/>
        <v>0.1407957650180186</v>
      </c>
      <c r="AO20" s="164" cm="1">
        <f t="array" ref="AO20">_xlfn.IFS($AP$2=1,AD20,$AP$2=2,AJ20)</f>
        <v>234.66326530612241</v>
      </c>
      <c r="AP20" s="150" cm="1">
        <f t="array" ref="AP20">_xlfn.IFS($AP$2=1,AI20,$AP$2=2,AN20)</f>
        <v>5.2477674385399672E-2</v>
      </c>
    </row>
    <row r="21" spans="2:42" ht="18" customHeight="1" x14ac:dyDescent="0.25">
      <c r="B21" s="20" t="s">
        <v>21</v>
      </c>
      <c r="C21" s="51">
        <v>0.8</v>
      </c>
      <c r="D21" s="55" t="s">
        <v>265</v>
      </c>
      <c r="G21" s="54">
        <v>1</v>
      </c>
      <c r="H21" s="18" t="s">
        <v>62</v>
      </c>
      <c r="I21" s="18"/>
      <c r="J21" s="18" t="s">
        <v>72</v>
      </c>
      <c r="AD21" s="156">
        <f t="shared" si="0"/>
        <v>239.67346938775506</v>
      </c>
      <c r="AE21" s="119" cm="1">
        <f t="array" ref="AE21">IF(AD21&gt;$C$125/2,0,flat_plate_roark_F(0,$C$125/2,$C$47/2,$C$35*1000,AD21,$C$41/2,$C$38,$C$111,$C$31))</f>
        <v>-1.7403175365280774E-2</v>
      </c>
      <c r="AF21" s="17" cm="1">
        <f t="array" ref="AF21">IF(AD21&gt;$C$125/2,0,flat_plate_roark_F(0,$C$125/2,$C$47/2,$C$35*1000,AD21,$C$41/2,$C$38,$C$104,$C$31))</f>
        <v>-7.7856238172895531E-4</v>
      </c>
      <c r="AG21" s="17" cm="1">
        <f t="array" ref="AG21">IF(AD21&gt;$C$125/2,0,flat_plate_roark_F(0,$C$125/2,$C$47/2,$C$35*1000,AD21,$C$63/2,$C$38,$C$118,$C$31))</f>
        <v>0</v>
      </c>
      <c r="AH21" s="17" cm="1">
        <f t="array" ref="AH21">IF(AD21&gt;$C$125/2,0,flat_plate_roark_P(0,$C$125/2,$C$47/2,$C$35*1000,AD21,$C$47/2,$C$38,$C$97,$C$31)+IF($C$125&gt;$C$62,flat_plate_roark_P(0,$C$125/2,$C$47/2,$C$35*1000,AD21,$C$62/2,$C$38,-$C$97,$C$31),0))</f>
        <v>-6.7067583298899031E-2</v>
      </c>
      <c r="AI21" s="150">
        <f t="shared" si="1"/>
        <v>4.8885845551889302E-2</v>
      </c>
      <c r="AJ21" s="156">
        <f t="shared" si="2"/>
        <v>239.67346938775506</v>
      </c>
      <c r="AK21" cm="1">
        <f t="array" ref="AK21">IF(AJ21&gt;$C$159/2,0,flat_plate_roark_F(0,$C$125/2,$C$47/2,$C$35*1000,AJ21,$C$41/2,$C$38,$C$145,$C$31))</f>
        <v>-1.7632542742690854E-2</v>
      </c>
      <c r="AL21" s="17" cm="1">
        <f t="array" ref="AL21">IF(AJ21&gt;$C$159/2,0,+flat_plate_roark_F(0,$C$159/2,$C$47/2,$C$35*1000,AJ21,$C$63/2,$C$38,$C$152,$C$31))</f>
        <v>0</v>
      </c>
      <c r="AM21" s="17" cm="1">
        <f t="array" ref="AM21">IF(AJ21&gt;$C$159/2,0,flat_plate_roark_P(0,$C$159/2,$C$47/2,$C$35*1000,AJ21,$C$47/2,$C$38,$C$138,$C$31)+IF($C$159&gt;$C$62,flat_plate_roark_P(0,$C$159/2,$C$47/2,$C$35*1000,AJ21,$C$62/2,$C$38,-$C$138,$C$31),0))</f>
        <v>-0.15103664982121781</v>
      </c>
      <c r="AN21" s="150">
        <f t="shared" si="3"/>
        <v>0.13340410707852696</v>
      </c>
      <c r="AO21" s="164" cm="1">
        <f t="array" ref="AO21">_xlfn.IFS($AP$2=1,AD21,$AP$2=2,AJ21)</f>
        <v>239.67346938775506</v>
      </c>
      <c r="AP21" s="150" cm="1">
        <f t="array" ref="AP21">_xlfn.IFS($AP$2=1,AI21,$AP$2=2,AN21)</f>
        <v>4.8885845551889302E-2</v>
      </c>
    </row>
    <row r="22" spans="2:42" ht="18" customHeight="1" x14ac:dyDescent="0.25">
      <c r="B22" s="20" t="s">
        <v>16</v>
      </c>
      <c r="C22" s="16">
        <f>AVERAGE(C17-1.22687*C18,C17-0.64952*C18)</f>
        <v>47.309025000000005</v>
      </c>
      <c r="D22" s="55" t="s">
        <v>277</v>
      </c>
      <c r="G22" s="18" t="s">
        <v>58</v>
      </c>
      <c r="H22" s="18" t="s">
        <v>56</v>
      </c>
      <c r="I22" s="18" t="s">
        <v>58</v>
      </c>
      <c r="J22" s="18" t="s">
        <v>59</v>
      </c>
      <c r="AD22" s="156">
        <f t="shared" si="0"/>
        <v>244.68367346938771</v>
      </c>
      <c r="AE22" s="119" cm="1">
        <f t="array" ref="AE22">IF(AD22&gt;$C$125/2,0,flat_plate_roark_F(0,$C$125/2,$C$47/2,$C$35*1000,AD22,$C$41/2,$C$38,$C$111,$C$31))</f>
        <v>-1.6722131724651063E-2</v>
      </c>
      <c r="AF22" s="17" cm="1">
        <f t="array" ref="AF22">IF(AD22&gt;$C$125/2,0,flat_plate_roark_F(0,$C$125/2,$C$47/2,$C$35*1000,AD22,$C$41/2,$C$38,$C$104,$C$31))</f>
        <v>-7.4809466835017483E-4</v>
      </c>
      <c r="AG22" s="17" cm="1">
        <f t="array" ref="AG22">IF(AD22&gt;$C$125/2,0,flat_plate_roark_F(0,$C$125/2,$C$47/2,$C$35*1000,AD22,$C$63/2,$C$38,$C$118,$C$31))</f>
        <v>0</v>
      </c>
      <c r="AH22" s="17" cm="1">
        <f t="array" ref="AH22">IF(AD22&gt;$C$125/2,0,flat_plate_roark_P(0,$C$125/2,$C$47/2,$C$35*1000,AD22,$C$47/2,$C$38,$C$97,$C$31)+IF($C$125&gt;$C$62,flat_plate_roark_P(0,$C$125/2,$C$47/2,$C$35*1000,AD22,$C$62/2,$C$38,-$C$97,$C$31),0))</f>
        <v>-6.2829876753078218E-2</v>
      </c>
      <c r="AI22" s="150">
        <f t="shared" si="1"/>
        <v>4.5359650360076983E-2</v>
      </c>
      <c r="AJ22" s="156">
        <f t="shared" si="2"/>
        <v>244.68367346938771</v>
      </c>
      <c r="AK22" cm="1">
        <f t="array" ref="AK22">IF(AJ22&gt;$C$159/2,0,flat_plate_roark_F(0,$C$125/2,$C$47/2,$C$35*1000,AJ22,$C$41/2,$C$38,$C$145,$C$31))</f>
        <v>-1.6942523200222867E-2</v>
      </c>
      <c r="AL22" s="17" cm="1">
        <f t="array" ref="AL22">IF(AJ22&gt;$C$159/2,0,+flat_plate_roark_F(0,$C$159/2,$C$47/2,$C$35*1000,AJ22,$C$63/2,$C$38,$C$152,$C$31))</f>
        <v>0</v>
      </c>
      <c r="AM22" s="17" cm="1">
        <f t="array" ref="AM22">IF(AJ22&gt;$C$159/2,0,flat_plate_roark_P(0,$C$159/2,$C$47/2,$C$35*1000,AJ22,$C$47/2,$C$38,$C$138,$C$31)+IF($C$159&gt;$C$62,flat_plate_roark_P(0,$C$159/2,$C$47/2,$C$35*1000,AJ22,$C$62/2,$C$38,-$C$138,$C$31),0))</f>
        <v>-0.14304802255316412</v>
      </c>
      <c r="AN22" s="150">
        <f t="shared" si="3"/>
        <v>0.12610549935294124</v>
      </c>
      <c r="AO22" s="164" cm="1">
        <f t="array" ref="AO22">_xlfn.IFS($AP$2=1,AD22,$AP$2=2,AJ22)</f>
        <v>244.68367346938771</v>
      </c>
      <c r="AP22" s="150" cm="1">
        <f t="array" ref="AP22">_xlfn.IFS($AP$2=1,AI22,$AP$2=2,AN22)</f>
        <v>4.5359650360076983E-2</v>
      </c>
    </row>
    <row r="23" spans="2:42" ht="18" customHeight="1" x14ac:dyDescent="0.25">
      <c r="B23" s="20" t="s">
        <v>17</v>
      </c>
      <c r="C23" s="16">
        <f>C26-C16</f>
        <v>26</v>
      </c>
      <c r="D23" s="55" t="s">
        <v>278</v>
      </c>
      <c r="E23" s="17" t="str">
        <f>+B23&amp;" = "&amp;C23</f>
        <v>Lt [mm] = 26</v>
      </c>
      <c r="G23" s="18" t="s">
        <v>55</v>
      </c>
      <c r="H23" s="18" t="s">
        <v>57</v>
      </c>
      <c r="I23" s="18" t="s">
        <v>55</v>
      </c>
      <c r="J23" s="18" t="s">
        <v>57</v>
      </c>
      <c r="AD23" s="156">
        <f t="shared" si="0"/>
        <v>249.69387755102036</v>
      </c>
      <c r="AE23" s="119" cm="1">
        <f t="array" ref="AE23">IF(AD23&gt;$C$125/2,0,flat_plate_roark_F(0,$C$125/2,$C$47/2,$C$35*1000,AD23,$C$41/2,$C$38,$C$111,$C$31))</f>
        <v>-1.6039006597561169E-2</v>
      </c>
      <c r="AF23" s="17" cm="1">
        <f t="array" ref="AF23">IF(AD23&gt;$C$125/2,0,flat_plate_roark_F(0,$C$125/2,$C$47/2,$C$35*1000,AD23,$C$41/2,$C$38,$C$104,$C$31))</f>
        <v>-7.1753383592719922E-4</v>
      </c>
      <c r="AG23" s="17" cm="1">
        <f t="array" ref="AG23">IF(AD23&gt;$C$125/2,0,flat_plate_roark_F(0,$C$125/2,$C$47/2,$C$35*1000,AD23,$C$63/2,$C$38,$C$118,$C$31))</f>
        <v>0</v>
      </c>
      <c r="AH23" s="17" cm="1">
        <f t="array" ref="AH23">IF(AD23&gt;$C$125/2,0,flat_plate_roark_P(0,$C$125/2,$C$47/2,$C$35*1000,AD23,$C$47/2,$C$38,$C$97,$C$31)+IF($C$125&gt;$C$62,flat_plate_roark_P(0,$C$125/2,$C$47/2,$C$35*1000,AD23,$C$62/2,$C$38,-$C$97,$C$31),0))</f>
        <v>-5.8662499762348476E-2</v>
      </c>
      <c r="AI23" s="150">
        <f t="shared" si="1"/>
        <v>4.1905959328860112E-2</v>
      </c>
      <c r="AJ23" s="156">
        <f t="shared" si="2"/>
        <v>249.69387755102036</v>
      </c>
      <c r="AK23" cm="1">
        <f t="array" ref="AK23">IF(AJ23&gt;$C$159/2,0,flat_plate_roark_F(0,$C$125/2,$C$47/2,$C$35*1000,AJ23,$C$41/2,$C$38,$C$145,$C$31))</f>
        <v>-1.6250394738077458E-2</v>
      </c>
      <c r="AL23" s="17" cm="1">
        <f t="array" ref="AL23">IF(AJ23&gt;$C$159/2,0,+flat_plate_roark_F(0,$C$159/2,$C$47/2,$C$35*1000,AJ23,$C$63/2,$C$38,$C$152,$C$31))</f>
        <v>0</v>
      </c>
      <c r="AM23" s="17" cm="1">
        <f t="array" ref="AM23">IF(AJ23&gt;$C$159/2,0,flat_plate_roark_P(0,$C$159/2,$C$47/2,$C$35*1000,AJ23,$C$47/2,$C$38,$C$138,$C$31)+IF($C$159&gt;$C$62,flat_plate_roark_P(0,$C$159/2,$C$47/2,$C$35*1000,AJ23,$C$62/2,$C$38,-$C$138,$C$31),0))</f>
        <v>-0.13515990149937229</v>
      </c>
      <c r="AN23" s="150">
        <f t="shared" si="3"/>
        <v>0.11890950676129483</v>
      </c>
      <c r="AO23" s="164" cm="1">
        <f t="array" ref="AO23">_xlfn.IFS($AP$2=1,AD23,$AP$2=2,AJ23)</f>
        <v>249.69387755102036</v>
      </c>
      <c r="AP23" s="150" cm="1">
        <f t="array" ref="AP23">_xlfn.IFS($AP$2=1,AI23,$AP$2=2,AN23)</f>
        <v>4.1905959328860112E-2</v>
      </c>
    </row>
    <row r="24" spans="2:42" ht="18" customHeight="1" x14ac:dyDescent="0.25">
      <c r="B24" s="20" t="s">
        <v>18</v>
      </c>
      <c r="C24" s="16">
        <f>PI()/4*C15^2</f>
        <v>1590.4312808798327</v>
      </c>
      <c r="D24" s="55" t="s">
        <v>279</v>
      </c>
      <c r="G24" s="18">
        <v>0</v>
      </c>
      <c r="H24" s="18">
        <f>+G24*$C$27</f>
        <v>0</v>
      </c>
      <c r="I24" s="40" cm="1">
        <f t="array" ref="I24">_xlfn.IFS(G21=1,C75,G21=2,C78)+_xlfn.IFS(G21=1,C83,G21=2,0)</f>
        <v>0.38616930962586044</v>
      </c>
      <c r="J24" s="34" cm="1">
        <f t="array" ref="J24">(I24-INDEX($H$3:$I$13,5,$G$21)-ABS(INDEX($H$3:$I$13,6,$G$21)))*-$C$50</f>
        <v>965945.81356937089</v>
      </c>
      <c r="AD24" s="156">
        <f t="shared" si="0"/>
        <v>254.70408163265301</v>
      </c>
      <c r="AE24" s="119" cm="1">
        <f t="array" ref="AE24">IF(AD24&gt;$C$125/2,0,flat_plate_roark_F(0,$C$125/2,$C$47/2,$C$35*1000,AD24,$C$41/2,$C$38,$C$111,$C$31))</f>
        <v>-1.5353563842796975E-2</v>
      </c>
      <c r="AF24" s="17" cm="1">
        <f t="array" ref="AF24">IF(AD24&gt;$C$125/2,0,flat_plate_roark_F(0,$C$125/2,$C$47/2,$C$35*1000,AD24,$C$41/2,$C$38,$C$104,$C$31))</f>
        <v>-6.8686932025767877E-4</v>
      </c>
      <c r="AG24" s="17" cm="1">
        <f t="array" ref="AG24">IF(AD24&gt;$C$125/2,0,flat_plate_roark_F(0,$C$125/2,$C$47/2,$C$35*1000,AD24,$C$63/2,$C$38,$C$118,$C$31))</f>
        <v>0</v>
      </c>
      <c r="AH24" s="17" cm="1">
        <f t="array" ref="AH24">IF(AD24&gt;$C$125/2,0,flat_plate_roark_P(0,$C$125/2,$C$47/2,$C$35*1000,AD24,$C$47/2,$C$38,$C$97,$C$31)+IF($C$125&gt;$C$62,flat_plate_roark_P(0,$C$125/2,$C$47/2,$C$35*1000,AD24,$C$62/2,$C$38,-$C$97,$C$31),0))</f>
        <v>-5.4572530275311656E-2</v>
      </c>
      <c r="AI24" s="150">
        <f t="shared" si="1"/>
        <v>3.8532097112257004E-2</v>
      </c>
      <c r="AJ24" s="156">
        <f t="shared" si="2"/>
        <v>254.70408163265301</v>
      </c>
      <c r="AK24" cm="1">
        <f t="array" ref="AK24">IF(AJ24&gt;$C$159/2,0,flat_plate_roark_F(0,$C$125/2,$C$47/2,$C$35*1000,AJ24,$C$41/2,$C$38,$C$145,$C$31))</f>
        <v>-1.5555918102787149E-2</v>
      </c>
      <c r="AL24" s="17" cm="1">
        <f t="array" ref="AL24">IF(AJ24&gt;$C$159/2,0,+flat_plate_roark_F(0,$C$159/2,$C$47/2,$C$35*1000,AJ24,$C$63/2,$C$38,$C$152,$C$31))</f>
        <v>0</v>
      </c>
      <c r="AM24" s="17" cm="1">
        <f t="array" ref="AM24">IF(AJ24&gt;$C$159/2,0,flat_plate_roark_P(0,$C$159/2,$C$47/2,$C$35*1000,AJ24,$C$47/2,$C$38,$C$138,$C$31)+IF($C$159&gt;$C$62,flat_plate_roark_P(0,$C$159/2,$C$47/2,$C$35*1000,AJ24,$C$62/2,$C$38,-$C$138,$C$31),0))</f>
        <v>-0.12738233768892265</v>
      </c>
      <c r="AN24" s="150">
        <f t="shared" si="3"/>
        <v>0.11182641958613551</v>
      </c>
      <c r="AO24" s="164" cm="1">
        <f t="array" ref="AO24">_xlfn.IFS($AP$2=1,AD24,$AP$2=2,AJ24)</f>
        <v>254.70408163265301</v>
      </c>
      <c r="AP24" s="150" cm="1">
        <f t="array" ref="AP24">_xlfn.IFS($AP$2=1,AI24,$AP$2=2,AN24)</f>
        <v>3.8532097112257004E-2</v>
      </c>
    </row>
    <row r="25" spans="2:42" ht="18" customHeight="1" x14ac:dyDescent="0.25">
      <c r="B25" s="20" t="s">
        <v>19</v>
      </c>
      <c r="C25" s="16">
        <f>PI()/4*C22^2</f>
        <v>1757.8340664216216</v>
      </c>
      <c r="D25" s="55" t="s">
        <v>267</v>
      </c>
      <c r="G25" s="40" cm="1">
        <f t="array" ref="G25">+INDEX($H$3:$I$13,5,$G$21)+ABS(INDEX($H$3:$I$13,6,$G$21))</f>
        <v>0.47640042563490337</v>
      </c>
      <c r="H25" s="18">
        <f>+G25*$C$27</f>
        <v>1191645.6985422873</v>
      </c>
      <c r="I25" s="34" cm="1">
        <f t="array" ref="I25">+INDEX($H$3:$I$13,5,$G$21)+ABS(INDEX($H$3:$I$13,6,$G$21))</f>
        <v>0.47640042563490337</v>
      </c>
      <c r="J25" s="34" cm="1">
        <f t="array" ref="J25">(I25-INDEX($H$3:$I$13,5,$G$21)-ABS(INDEX($H$3:$I$13,6,$G$21)))*-$C$50</f>
        <v>-2.9713011713650912E-10</v>
      </c>
      <c r="AD25" s="156">
        <f t="shared" si="0"/>
        <v>259.71428571428567</v>
      </c>
      <c r="AE25" s="119" cm="1">
        <f t="array" ref="AE25">IF(AD25&gt;$C$125/2,0,flat_plate_roark_F(0,$C$125/2,$C$47/2,$C$35*1000,AD25,$C$41/2,$C$38,$C$111,$C$31))</f>
        <v>-1.4665581120400128E-2</v>
      </c>
      <c r="AF25" s="17" cm="1">
        <f t="array" ref="AF25">IF(AD25&gt;$C$125/2,0,flat_plate_roark_F(0,$C$125/2,$C$47/2,$C$35*1000,AD25,$C$41/2,$C$38,$C$104,$C$31))</f>
        <v>-6.5609117456328703E-4</v>
      </c>
      <c r="AG25" s="17" cm="1">
        <f t="array" ref="AG25">IF(AD25&gt;$C$125/2,0,flat_plate_roark_F(0,$C$125/2,$C$47/2,$C$35*1000,AD25,$C$63/2,$C$38,$C$118,$C$31))</f>
        <v>0</v>
      </c>
      <c r="AH25" s="17" cm="1">
        <f t="array" ref="AH25">IF(AD25&gt;$C$125/2,0,flat_plate_roark_P(0,$C$125/2,$C$47/2,$C$35*1000,AD25,$C$47/2,$C$38,$C$97,$C$31)+IF($C$125&gt;$C$62,flat_plate_roark_P(0,$C$125/2,$C$47/2,$C$35*1000,AD25,$C$62/2,$C$38,-$C$97,$C$31),0))</f>
        <v>-5.0567502009545351E-2</v>
      </c>
      <c r="AI25" s="150">
        <f t="shared" si="1"/>
        <v>3.5245829714581935E-2</v>
      </c>
      <c r="AJ25" s="156">
        <f t="shared" si="2"/>
        <v>259.71428571428567</v>
      </c>
      <c r="AK25" cm="1">
        <f t="array" ref="AK25">IF(AJ25&gt;$C$159/2,0,flat_plate_roark_F(0,$C$125/2,$C$47/2,$C$35*1000,AJ25,$C$41/2,$C$38,$C$145,$C$31))</f>
        <v>-1.4858868024035642E-2</v>
      </c>
      <c r="AL25" s="17" cm="1">
        <f t="array" ref="AL25">IF(AJ25&gt;$C$159/2,0,+flat_plate_roark_F(0,$C$159/2,$C$47/2,$C$35*1000,AJ25,$C$63/2,$C$38,$C$152,$C$31))</f>
        <v>0</v>
      </c>
      <c r="AM25" s="17" cm="1">
        <f t="array" ref="AM25">IF(AJ25&gt;$C$159/2,0,flat_plate_roark_P(0,$C$159/2,$C$47/2,$C$35*1000,AJ25,$C$47/2,$C$38,$C$138,$C$31)+IF($C$159&gt;$C$62,flat_plate_roark_P(0,$C$159/2,$C$47/2,$C$35*1000,AJ25,$C$62/2,$C$38,-$C$138,$C$31),0))</f>
        <v>-0.1197260988779817</v>
      </c>
      <c r="AN25" s="150">
        <f t="shared" si="3"/>
        <v>0.10486723085394606</v>
      </c>
      <c r="AO25" s="164" cm="1">
        <f t="array" ref="AO25">_xlfn.IFS($AP$2=1,AD25,$AP$2=2,AJ25)</f>
        <v>259.71428571428567</v>
      </c>
      <c r="AP25" s="150" cm="1">
        <f t="array" ref="AP25">_xlfn.IFS($AP$2=1,AI25,$AP$2=2,AN25)</f>
        <v>3.5245829714581935E-2</v>
      </c>
    </row>
    <row r="26" spans="2:42" ht="18" customHeight="1" x14ac:dyDescent="0.25">
      <c r="B26" s="20" t="s">
        <v>20</v>
      </c>
      <c r="C26" s="16">
        <f>C38+C17/2+C19</f>
        <v>136</v>
      </c>
      <c r="D26" s="55" t="s">
        <v>266</v>
      </c>
      <c r="E26" s="17" t="str">
        <f>+B26&amp;" = "&amp;C26</f>
        <v>Le [mm] = 136</v>
      </c>
      <c r="G26" s="18" t="s">
        <v>74</v>
      </c>
      <c r="H26" s="18" t="s">
        <v>73</v>
      </c>
      <c r="I26" s="18" t="s">
        <v>74</v>
      </c>
      <c r="J26" s="18" t="s">
        <v>73</v>
      </c>
      <c r="AD26" s="156">
        <f t="shared" si="0"/>
        <v>264.72448979591832</v>
      </c>
      <c r="AE26" s="119" cm="1">
        <f t="array" ref="AE26">IF(AD26&gt;$C$125/2,0,flat_plate_roark_F(0,$C$125/2,$C$47/2,$C$35*1000,AD26,$C$41/2,$C$38,$C$111,$C$31))</f>
        <v>-1.3974848836703271E-2</v>
      </c>
      <c r="AF26" s="17" cm="1">
        <f t="array" ref="AF26">IF(AD26&gt;$C$125/2,0,flat_plate_roark_F(0,$C$125/2,$C$47/2,$C$35*1000,AD26,$C$41/2,$C$38,$C$104,$C$31))</f>
        <v>-6.2519002229397371E-4</v>
      </c>
      <c r="AG26" s="17" cm="1">
        <f t="array" ref="AG26">IF(AD26&gt;$C$125/2,0,flat_plate_roark_F(0,$C$125/2,$C$47/2,$C$35*1000,AD26,$C$63/2,$C$38,$C$118,$C$31))</f>
        <v>0</v>
      </c>
      <c r="AH26" s="17" cm="1">
        <f t="array" ref="AH26">IF(AD26&gt;$C$125/2,0,flat_plate_roark_P(0,$C$125/2,$C$47/2,$C$35*1000,AD26,$C$47/2,$C$38,$C$97,$C$31)+IF($C$125&gt;$C$62,flat_plate_roark_P(0,$C$125/2,$C$47/2,$C$35*1000,AD26,$C$62/2,$C$38,-$C$97,$C$31),0))</f>
        <v>-4.6655391685639279E-2</v>
      </c>
      <c r="AI26" s="150">
        <f t="shared" si="1"/>
        <v>3.2055352826642035E-2</v>
      </c>
      <c r="AJ26" s="156">
        <f t="shared" si="2"/>
        <v>264.72448979591832</v>
      </c>
      <c r="AK26" cm="1">
        <f t="array" ref="AK26">IF(AJ26&gt;$C$159/2,0,flat_plate_roark_F(0,$C$125/2,$C$47/2,$C$35*1000,AJ26,$C$41/2,$C$38,$C$145,$C$31))</f>
        <v>-1.4159032145789022E-2</v>
      </c>
      <c r="AL26" s="17" cm="1">
        <f t="array" ref="AL26">IF(AJ26&gt;$C$159/2,0,+flat_plate_roark_F(0,$C$159/2,$C$47/2,$C$35*1000,AJ26,$C$63/2,$C$38,$C$152,$C$31))</f>
        <v>0</v>
      </c>
      <c r="AM26" s="17" cm="1">
        <f t="array" ref="AM26">IF(AJ26&gt;$C$159/2,0,flat_plate_roark_P(0,$C$159/2,$C$47/2,$C$35*1000,AJ26,$C$47/2,$C$38,$C$138,$C$31)+IF($C$159&gt;$C$62,flat_plate_roark_P(0,$C$159/2,$C$47/2,$C$35*1000,AJ26,$C$62/2,$C$38,-$C$138,$C$31),0))</f>
        <v>-0.1122026478727168</v>
      </c>
      <c r="AN26" s="150">
        <f t="shared" si="3"/>
        <v>9.8043615726927782E-2</v>
      </c>
      <c r="AO26" s="164" cm="1">
        <f t="array" ref="AO26">_xlfn.IFS($AP$2=1,AD26,$AP$2=2,AJ26)</f>
        <v>264.72448979591832</v>
      </c>
      <c r="AP26" s="150" cm="1">
        <f t="array" ref="AP26">_xlfn.IFS($AP$2=1,AI26,$AP$2=2,AN26)</f>
        <v>3.2055352826642035E-2</v>
      </c>
    </row>
    <row r="27" spans="2:42" ht="18" customHeight="1" x14ac:dyDescent="0.25">
      <c r="B27" s="20" t="s">
        <v>23</v>
      </c>
      <c r="C27" s="42">
        <f>IF(C24*C16&lt;&gt;0,C9*1000*C24*C25/(C25*C16+C24*C23),C9*1000*C25/C26)</f>
        <v>2501353.1357663455</v>
      </c>
      <c r="D27" s="55" t="s">
        <v>264</v>
      </c>
      <c r="G27" s="18" t="s">
        <v>55</v>
      </c>
      <c r="H27" s="18" t="s">
        <v>57</v>
      </c>
      <c r="I27" s="18" t="s">
        <v>55</v>
      </c>
      <c r="J27" s="18" t="s">
        <v>57</v>
      </c>
      <c r="AD27" s="156">
        <f t="shared" si="0"/>
        <v>269.73469387755097</v>
      </c>
      <c r="AE27" s="119" cm="1">
        <f t="array" ref="AE27">IF(AD27&gt;$C$125/2,0,flat_plate_roark_F(0,$C$125/2,$C$47/2,$C$35*1000,AD27,$C$41/2,$C$38,$C$111,$C$31))</f>
        <v>-1.3281169188279575E-2</v>
      </c>
      <c r="AF27" s="17" cm="1">
        <f t="array" ref="AF27">IF(AD27&gt;$C$125/2,0,flat_plate_roark_F(0,$C$125/2,$C$47/2,$C$35*1000,AD27,$C$41/2,$C$38,$C$104,$C$31))</f>
        <v>-5.9415701435732446E-4</v>
      </c>
      <c r="AG27" s="17" cm="1">
        <f t="array" ref="AG27">IF(AD27&gt;$C$125/2,0,flat_plate_roark_F(0,$C$125/2,$C$47/2,$C$35*1000,AD27,$C$63/2,$C$38,$C$118,$C$31))</f>
        <v>0</v>
      </c>
      <c r="AH27" s="17" cm="1">
        <f t="array" ref="AH27">IF(AD27&gt;$C$125/2,0,flat_plate_roark_P(0,$C$125/2,$C$47/2,$C$35*1000,AD27,$C$47/2,$C$38,$C$97,$C$31)+IF($C$125&gt;$C$62,flat_plate_roark_P(0,$C$125/2,$C$47/2,$C$35*1000,AD27,$C$62/2,$C$38,-$C$97,$C$31),0))</f>
        <v>-4.2844606956451703E-2</v>
      </c>
      <c r="AI27" s="150">
        <f t="shared" si="1"/>
        <v>2.8969280753814802E-2</v>
      </c>
      <c r="AJ27" s="156">
        <f t="shared" si="2"/>
        <v>269.73469387755097</v>
      </c>
      <c r="AK27" cm="1">
        <f t="array" ref="AK27">IF(AJ27&gt;$C$159/2,0,flat_plate_roark_F(0,$C$125/2,$C$47/2,$C$35*1000,AJ27,$C$41/2,$C$38,$C$145,$C$31))</f>
        <v>-1.3456210057644864E-2</v>
      </c>
      <c r="AL27" s="17" cm="1">
        <f t="array" ref="AL27">IF(AJ27&gt;$C$159/2,0,+flat_plate_roark_F(0,$C$159/2,$C$47/2,$C$35*1000,AJ27,$C$63/2,$C$38,$C$152,$C$31))</f>
        <v>0</v>
      </c>
      <c r="AM27" s="17" cm="1">
        <f t="array" ref="AM27">IF(AJ27&gt;$C$159/2,0,flat_plate_roark_P(0,$C$159/2,$C$47/2,$C$35*1000,AJ27,$C$47/2,$C$38,$C$138,$C$31)+IF($C$159&gt;$C$62,flat_plate_roark_P(0,$C$159/2,$C$47/2,$C$35*1000,AJ27,$C$62/2,$C$38,-$C$138,$C$31),0))</f>
        <v>-0.10482412213208084</v>
      </c>
      <c r="AN27" s="150">
        <f t="shared" si="3"/>
        <v>9.1367912074435981E-2</v>
      </c>
      <c r="AO27" s="164" cm="1">
        <f t="array" ref="AO27">_xlfn.IFS($AP$2=1,AD27,$AP$2=2,AJ27)</f>
        <v>269.73469387755097</v>
      </c>
      <c r="AP27" s="150" cm="1">
        <f t="array" ref="AP27">_xlfn.IFS($AP$2=1,AI27,$AP$2=2,AN27)</f>
        <v>2.8969280753814802E-2</v>
      </c>
    </row>
    <row r="28" spans="2:42" ht="18" customHeight="1" x14ac:dyDescent="0.25">
      <c r="G28" s="18">
        <v>0</v>
      </c>
      <c r="H28" s="36">
        <f>+J24</f>
        <v>965945.81356937089</v>
      </c>
      <c r="I28" s="34">
        <f>+I24</f>
        <v>0.38616930962586044</v>
      </c>
      <c r="J28" s="34">
        <v>0</v>
      </c>
      <c r="AD28" s="156">
        <f t="shared" si="0"/>
        <v>274.74489795918362</v>
      </c>
      <c r="AE28" s="119" cm="1">
        <f t="array" ref="AE28">IF(AD28&gt;$C$125/2,0,flat_plate_roark_F(0,$C$125/2,$C$47/2,$C$35*1000,AD28,$C$41/2,$C$38,$C$111,$C$31))</f>
        <v>-1.2584355293881942E-2</v>
      </c>
      <c r="AF28" s="17" cm="1">
        <f t="array" ref="AF28">IF(AD28&gt;$C$125/2,0,flat_plate_roark_F(0,$C$125/2,$C$47/2,$C$35*1000,AD28,$C$41/2,$C$38,$C$104,$C$31))</f>
        <v>-5.6298379028429913E-4</v>
      </c>
      <c r="AG28" s="17" cm="1">
        <f t="array" ref="AG28">IF(AD28&gt;$C$125/2,0,flat_plate_roark_F(0,$C$125/2,$C$47/2,$C$35*1000,AD28,$C$63/2,$C$38,$C$118,$C$31))</f>
        <v>0</v>
      </c>
      <c r="AH28" s="17" cm="1">
        <f t="array" ref="AH28">IF(AD28&gt;$C$125/2,0,flat_plate_roark_P(0,$C$125/2,$C$47/2,$C$35*1000,AD28,$C$47/2,$C$38,$C$97,$C$31)+IF($C$125&gt;$C$62,flat_plate_roark_P(0,$C$125/2,$C$47/2,$C$35*1000,AD28,$C$62/2,$C$38,-$C$97,$C$31),0))</f>
        <v>-3.914388504001768E-2</v>
      </c>
      <c r="AI28" s="150">
        <f t="shared" si="1"/>
        <v>2.5996545955851439E-2</v>
      </c>
      <c r="AJ28" s="156">
        <f t="shared" si="2"/>
        <v>274.74489795918362</v>
      </c>
      <c r="AK28" cm="1">
        <f t="array" ref="AK28">IF(AJ28&gt;$C$159/2,0,flat_plate_roark_F(0,$C$125/2,$C$47/2,$C$35*1000,AJ28,$C$41/2,$C$38,$C$145,$C$31))</f>
        <v>-1.2750212415330753E-2</v>
      </c>
      <c r="AL28" s="17" cm="1">
        <f t="array" ref="AL28">IF(AJ28&gt;$C$159/2,0,+flat_plate_roark_F(0,$C$159/2,$C$47/2,$C$35*1000,AJ28,$C$63/2,$C$38,$C$152,$C$31))</f>
        <v>0</v>
      </c>
      <c r="AM28" s="17" cm="1">
        <f t="array" ref="AM28">IF(AJ28&gt;$C$159/2,0,flat_plate_roark_P(0,$C$159/2,$C$47/2,$C$35*1000,AJ28,$C$47/2,$C$38,$C$138,$C$31)+IF($C$159&gt;$C$62,flat_plate_roark_P(0,$C$159/2,$C$47/2,$C$35*1000,AJ28,$C$62/2,$C$38,-$C$138,$C$31),0))</f>
        <v>-9.7603179636935489E-2</v>
      </c>
      <c r="AN28" s="150">
        <f t="shared" si="3"/>
        <v>8.4852967221604736E-2</v>
      </c>
      <c r="AO28" s="164" cm="1">
        <f t="array" ref="AO28">_xlfn.IFS($AP$2=1,AD28,$AP$2=2,AJ28)</f>
        <v>274.74489795918362</v>
      </c>
      <c r="AP28" s="150" cm="1">
        <f t="array" ref="AP28">_xlfn.IFS($AP$2=1,AI28,$AP$2=2,AN28)</f>
        <v>2.5996545955851439E-2</v>
      </c>
    </row>
    <row r="29" spans="2:42" ht="18" customHeight="1" x14ac:dyDescent="0.25">
      <c r="B29" s="202" t="s">
        <v>63</v>
      </c>
      <c r="C29" s="203"/>
      <c r="D29" s="204"/>
      <c r="G29" s="40" cm="1">
        <f t="array" ref="G29">INDEX($H$3:$I$13,5,$G$21)</f>
        <v>0.40882498145642382</v>
      </c>
      <c r="H29" s="36">
        <f>+J24</f>
        <v>965945.81356937089</v>
      </c>
      <c r="I29" s="34">
        <f>+I24</f>
        <v>0.38616930962586044</v>
      </c>
      <c r="J29" s="34">
        <f>+J24</f>
        <v>965945.81356937089</v>
      </c>
      <c r="AD29" s="156">
        <f t="shared" si="0"/>
        <v>279.75510204081627</v>
      </c>
      <c r="AE29" s="119" cm="1">
        <f t="array" ref="AE29">IF(AD29&gt;$C$125/2,0,flat_plate_roark_F(0,$C$125/2,$C$47/2,$C$35*1000,AD29,$C$41/2,$C$38,$C$111,$C$31))</f>
        <v>-1.1884230404829568E-2</v>
      </c>
      <c r="AF29" s="17" cm="1">
        <f t="array" ref="AF29">IF(AD29&gt;$C$125/2,0,flat_plate_roark_F(0,$C$125/2,$C$47/2,$C$35*1000,AD29,$C$41/2,$C$38,$C$104,$C$31))</f>
        <v>-5.3166244290445315E-4</v>
      </c>
      <c r="AG29" s="17" cm="1">
        <f t="array" ref="AG29">IF(AD29&gt;$C$125/2,0,flat_plate_roark_F(0,$C$125/2,$C$47/2,$C$35*1000,AD29,$C$63/2,$C$38,$C$118,$C$31))</f>
        <v>0</v>
      </c>
      <c r="AH29" s="17" cm="1">
        <f t="array" ref="AH29">IF(AD29&gt;$C$125/2,0,flat_plate_roark_P(0,$C$125/2,$C$47/2,$C$35*1000,AD29,$C$47/2,$C$38,$C$97,$C$31)+IF($C$125&gt;$C$62,flat_plate_roark_P(0,$C$125/2,$C$47/2,$C$35*1000,AD29,$C$62/2,$C$38,-$C$97,$C$31),0))</f>
        <v>-3.5561893099865106E-2</v>
      </c>
      <c r="AI29" s="150">
        <f t="shared" si="1"/>
        <v>2.3146000252131087E-2</v>
      </c>
      <c r="AJ29" s="156">
        <f t="shared" si="2"/>
        <v>279.75510204081627</v>
      </c>
      <c r="AK29" cm="1">
        <f t="array" ref="AK29">IF(AJ29&gt;$C$159/2,0,flat_plate_roark_F(0,$C$125/2,$C$47/2,$C$35*1000,AJ29,$C$41/2,$C$38,$C$145,$C$31))</f>
        <v>-1.2040860140684034E-2</v>
      </c>
      <c r="AL29" s="17" cm="1">
        <f t="array" ref="AL29">IF(AJ29&gt;$C$159/2,0,+flat_plate_roark_F(0,$C$159/2,$C$47/2,$C$35*1000,AJ29,$C$63/2,$C$38,$C$152,$C$31))</f>
        <v>0</v>
      </c>
      <c r="AM29" s="17" cm="1">
        <f t="array" ref="AM29">IF(AJ29&gt;$C$159/2,0,flat_plate_roark_P(0,$C$159/2,$C$47/2,$C$35*1000,AJ29,$C$47/2,$C$38,$C$138,$C$31)+IF($C$159&gt;$C$62,flat_plate_roark_P(0,$C$159/2,$C$47/2,$C$35*1000,AJ29,$C$62/2,$C$38,-$C$138,$C$31),0))</f>
        <v>-9.0552397568278972E-2</v>
      </c>
      <c r="AN29" s="150">
        <f t="shared" si="3"/>
        <v>7.8511537427594938E-2</v>
      </c>
      <c r="AO29" s="164" cm="1">
        <f t="array" ref="AO29">_xlfn.IFS($AP$2=1,AD29,$AP$2=2,AJ29)</f>
        <v>279.75510204081627</v>
      </c>
      <c r="AP29" s="150" cm="1">
        <f t="array" ref="AP29">_xlfn.IFS($AP$2=1,AI29,$AP$2=2,AN29)</f>
        <v>2.3146000252131087E-2</v>
      </c>
    </row>
    <row r="30" spans="2:42" ht="18" customHeight="1" x14ac:dyDescent="0.25">
      <c r="B30" s="21" t="s">
        <v>24</v>
      </c>
      <c r="C30" s="52">
        <v>30</v>
      </c>
      <c r="D30" s="56" t="s">
        <v>263</v>
      </c>
      <c r="G30" s="18" t="s">
        <v>58</v>
      </c>
      <c r="H30" s="18" t="s">
        <v>75</v>
      </c>
      <c r="I30" s="18"/>
      <c r="J30" s="18"/>
      <c r="AD30" s="156">
        <f t="shared" si="0"/>
        <v>284.76530612244892</v>
      </c>
      <c r="AE30" s="119" cm="1">
        <f t="array" ref="AE30">IF(AD30&gt;$C$125/2,0,flat_plate_roark_F(0,$C$125/2,$C$47/2,$C$35*1000,AD30,$C$41/2,$C$38,$C$111,$C$31))</f>
        <v>-1.118062718548549E-2</v>
      </c>
      <c r="AF30" s="17" cm="1">
        <f t="array" ref="AF30">IF(AD30&gt;$C$125/2,0,flat_plate_roark_F(0,$C$125/2,$C$47/2,$C$35*1000,AD30,$C$41/2,$C$38,$C$104,$C$31))</f>
        <v>-5.001854861568047E-4</v>
      </c>
      <c r="AG30" s="17" cm="1">
        <f t="array" ref="AG30">IF(AD30&gt;$C$125/2,0,flat_plate_roark_F(0,$C$125/2,$C$47/2,$C$35*1000,AD30,$C$63/2,$C$38,$C$118,$C$31))</f>
        <v>0</v>
      </c>
      <c r="AH30" s="17" cm="1">
        <f t="array" ref="AH30">IF(AD30&gt;$C$125/2,0,flat_plate_roark_P(0,$C$125/2,$C$47/2,$C$35*1000,AD30,$C$47/2,$C$38,$C$97,$C$31)+IF($C$125&gt;$C$62,flat_plate_roark_P(0,$C$125/2,$C$47/2,$C$35*1000,AD30,$C$62/2,$C$38,-$C$97,$C$31),0))</f>
        <v>-3.2107053318519284E-2</v>
      </c>
      <c r="AI30" s="150">
        <f t="shared" si="1"/>
        <v>2.0426240646876988E-2</v>
      </c>
      <c r="AJ30" s="156">
        <f t="shared" si="2"/>
        <v>284.76530612244892</v>
      </c>
      <c r="AK30" cm="1">
        <f t="array" ref="AK30">IF(AJ30&gt;$C$159/2,0,flat_plate_roark_F(0,$C$125/2,$C$47/2,$C$35*1000,AJ30,$C$41/2,$C$38,$C$145,$C$31))</f>
        <v>-1.1327983692646294E-2</v>
      </c>
      <c r="AL30" s="17" cm="1">
        <f t="array" ref="AL30">IF(AJ30&gt;$C$159/2,0,+flat_plate_roark_F(0,$C$159/2,$C$47/2,$C$35*1000,AJ30,$C$63/2,$C$38,$C$152,$C$31))</f>
        <v>0</v>
      </c>
      <c r="AM30" s="17" cm="1">
        <f t="array" ref="AM30">IF(AJ30&gt;$C$159/2,0,flat_plate_roark_P(0,$C$159/2,$C$47/2,$C$35*1000,AJ30,$C$47/2,$C$38,$C$138,$C$31)+IF($C$159&gt;$C$62,flat_plate_roark_P(0,$C$159/2,$C$47/2,$C$35*1000,AJ30,$C$62/2,$C$38,-$C$138,$C$31),0))</f>
        <v>-8.3684008193223608E-2</v>
      </c>
      <c r="AN30" s="150">
        <f t="shared" si="3"/>
        <v>7.2356024500577321E-2</v>
      </c>
      <c r="AO30" s="164" cm="1">
        <f t="array" ref="AO30">_xlfn.IFS($AP$2=1,AD30,$AP$2=2,AJ30)</f>
        <v>284.76530612244892</v>
      </c>
      <c r="AP30" s="150" cm="1">
        <f t="array" ref="AP30">_xlfn.IFS($AP$2=1,AI30,$AP$2=2,AN30)</f>
        <v>2.0426240646876988E-2</v>
      </c>
    </row>
    <row r="31" spans="2:42" ht="18" customHeight="1" x14ac:dyDescent="0.25">
      <c r="B31" s="20" t="s">
        <v>485</v>
      </c>
      <c r="C31" s="59">
        <v>0.3</v>
      </c>
      <c r="D31" s="55" t="s">
        <v>482</v>
      </c>
      <c r="G31" s="18" t="s">
        <v>55</v>
      </c>
      <c r="H31" s="18" t="s">
        <v>57</v>
      </c>
      <c r="I31" s="18"/>
      <c r="J31" s="18"/>
      <c r="AD31" s="156">
        <f t="shared" si="0"/>
        <v>289.77551020408157</v>
      </c>
      <c r="AE31" s="119" cm="1">
        <f t="array" ref="AE31">IF(AD31&gt;$C$125/2,0,flat_plate_roark_F(0,$C$125/2,$C$47/2,$C$35*1000,AD31,$C$41/2,$C$38,$C$111,$C$31))</f>
        <v>-1.0473387056489043E-2</v>
      </c>
      <c r="AF31" s="17" cm="1">
        <f t="array" ref="AF31">IF(AD31&gt;$C$125/2,0,flat_plate_roark_F(0,$C$125/2,$C$47/2,$C$35*1000,AD31,$C$41/2,$C$38,$C$104,$C$31))</f>
        <v>-4.6854582570815615E-4</v>
      </c>
      <c r="AG31" s="17" cm="1">
        <f t="array" ref="AG31">IF(AD31&gt;$C$125/2,0,flat_plate_roark_F(0,$C$125/2,$C$47/2,$C$35*1000,AD31,$C$63/2,$C$38,$C$118,$C$31))</f>
        <v>0</v>
      </c>
      <c r="AH31" s="17" cm="1">
        <f t="array" ref="AH31">IF(AD31&gt;$C$125/2,0,flat_plate_roark_P(0,$C$125/2,$C$47/2,$C$35*1000,AD31,$C$47/2,$C$38,$C$97,$C$31)+IF($C$125&gt;$C$62,flat_plate_roark_P(0,$C$125/2,$C$47/2,$C$35*1000,AD31,$C$62/2,$C$38,-$C$97,$C$31),0))</f>
        <v>-2.8787551395319053E-2</v>
      </c>
      <c r="AI31" s="150">
        <f t="shared" si="1"/>
        <v>1.7845618513121855E-2</v>
      </c>
      <c r="AJ31" s="156">
        <f t="shared" si="2"/>
        <v>289.77551020408157</v>
      </c>
      <c r="AK31" cm="1">
        <f t="array" ref="AK31">IF(AJ31&gt;$C$159/2,0,flat_plate_roark_F(0,$C$125/2,$C$47/2,$C$35*1000,AJ31,$C$41/2,$C$38,$C$145,$C$31))</f>
        <v>-1.0611422401839876E-2</v>
      </c>
      <c r="AL31" s="17" cm="1">
        <f t="array" ref="AL31">IF(AJ31&gt;$C$159/2,0,+flat_plate_roark_F(0,$C$159/2,$C$47/2,$C$35*1000,AJ31,$C$63/2,$C$38,$C$152,$C$31))</f>
        <v>0</v>
      </c>
      <c r="AM31" s="17" cm="1">
        <f t="array" ref="AM31">IF(AJ31&gt;$C$159/2,0,flat_plate_roark_P(0,$C$159/2,$C$47/2,$C$35*1000,AJ31,$C$47/2,$C$38,$C$138,$C$31)+IF($C$159&gt;$C$62,flat_plate_roark_P(0,$C$159/2,$C$47/2,$C$35*1000,AJ31,$C$62/2,$C$38,-$C$138,$C$31),0))</f>
        <v>-7.7009910037828838E-2</v>
      </c>
      <c r="AN31" s="150">
        <f t="shared" si="3"/>
        <v>6.6398487635988962E-2</v>
      </c>
      <c r="AO31" s="164" cm="1">
        <f t="array" ref="AO31">_xlfn.IFS($AP$2=1,AD31,$AP$2=2,AJ31)</f>
        <v>289.77551020408157</v>
      </c>
      <c r="AP31" s="150" cm="1">
        <f t="array" ref="AP31">_xlfn.IFS($AP$2=1,AI31,$AP$2=2,AN31)</f>
        <v>1.7845618513121855E-2</v>
      </c>
    </row>
    <row r="32" spans="2:42" ht="18" customHeight="1" x14ac:dyDescent="0.25">
      <c r="B32" s="20" t="s">
        <v>45</v>
      </c>
      <c r="C32" s="128">
        <v>450</v>
      </c>
      <c r="D32" s="55" t="s">
        <v>309</v>
      </c>
      <c r="G32" s="34">
        <f>+G29</f>
        <v>0.40882498145642382</v>
      </c>
      <c r="H32" s="35">
        <f>G32*$C$27</f>
        <v>1022615.6493456438</v>
      </c>
      <c r="I32" s="18"/>
      <c r="J32" s="18"/>
      <c r="AD32" s="156">
        <f t="shared" si="0"/>
        <v>294.78571428571422</v>
      </c>
      <c r="AE32" s="119" cm="1">
        <f t="array" ref="AE32">IF(AD32&gt;$C$125/2,0,flat_plate_roark_F(0,$C$125/2,$C$47/2,$C$35*1000,AD32,$C$41/2,$C$38,$C$111,$C$31))</f>
        <v>-9.7623595942877735E-3</v>
      </c>
      <c r="AF32" s="17" cm="1">
        <f t="array" ref="AF32">IF(AD32&gt;$C$125/2,0,flat_plate_roark_F(0,$C$125/2,$C$47/2,$C$35*1000,AD32,$C$41/2,$C$38,$C$104,$C$31))</f>
        <v>-4.3673673209007418E-4</v>
      </c>
      <c r="AG32" s="17" cm="1">
        <f t="array" ref="AG32">IF(AD32&gt;$C$125/2,0,flat_plate_roark_F(0,$C$125/2,$C$47/2,$C$35*1000,AD32,$C$63/2,$C$38,$C$118,$C$31))</f>
        <v>0</v>
      </c>
      <c r="AH32" s="17" cm="1">
        <f t="array" ref="AH32">IF(AD32&gt;$C$125/2,0,flat_plate_roark_P(0,$C$125/2,$C$47/2,$C$35*1000,AD32,$C$47/2,$C$38,$C$97,$C$31)+IF($C$125&gt;$C$62,flat_plate_roark_P(0,$C$125/2,$C$47/2,$C$35*1000,AD32,$C$62/2,$C$38,-$C$97,$C$31),0))</f>
        <v>-2.561134923086613E-2</v>
      </c>
      <c r="AI32" s="150">
        <f t="shared" si="1"/>
        <v>1.5412252904488282E-2</v>
      </c>
      <c r="AJ32" s="156">
        <f t="shared" si="2"/>
        <v>294.78571428571422</v>
      </c>
      <c r="AK32" cm="1">
        <f t="array" ref="AK32">IF(AJ32&gt;$C$159/2,0,flat_plate_roark_F(0,$C$125/2,$C$47/2,$C$35*1000,AJ32,$C$41/2,$C$38,$C$145,$C$31))</f>
        <v>-9.8910238621858666E-3</v>
      </c>
      <c r="AL32" s="17" cm="1">
        <f t="array" ref="AL32">IF(AJ32&gt;$C$159/2,0,+flat_plate_roark_F(0,$C$159/2,$C$47/2,$C$35*1000,AJ32,$C$63/2,$C$38,$C$152,$C$31))</f>
        <v>0</v>
      </c>
      <c r="AM32" s="17" cm="1">
        <f t="array" ref="AM32">IF(AJ32&gt;$C$159/2,0,flat_plate_roark_P(0,$C$159/2,$C$47/2,$C$35*1000,AJ32,$C$47/2,$C$38,$C$138,$C$31)+IF($C$159&gt;$C$62,flat_plate_roark_P(0,$C$159/2,$C$47/2,$C$35*1000,AJ32,$C$62/2,$C$38,-$C$138,$C$31),0))</f>
        <v>-7.0541685474800248E-2</v>
      </c>
      <c r="AN32" s="150">
        <f t="shared" si="3"/>
        <v>6.0650661612614384E-2</v>
      </c>
      <c r="AO32" s="164" cm="1">
        <f t="array" ref="AO32">_xlfn.IFS($AP$2=1,AD32,$AP$2=2,AJ32)</f>
        <v>294.78571428571422</v>
      </c>
      <c r="AP32" s="150" cm="1">
        <f t="array" ref="AP32">_xlfn.IFS($AP$2=1,AI32,$AP$2=2,AN32)</f>
        <v>1.5412252904488282E-2</v>
      </c>
    </row>
    <row r="33" spans="2:42" ht="18" customHeight="1" x14ac:dyDescent="0.25">
      <c r="B33" s="20" t="s">
        <v>67</v>
      </c>
      <c r="C33" s="128">
        <v>450</v>
      </c>
      <c r="D33" s="57" t="s">
        <v>308</v>
      </c>
      <c r="G33" s="34">
        <f>+G29</f>
        <v>0.40882498145642382</v>
      </c>
      <c r="H33" s="61">
        <f>+J24</f>
        <v>965945.81356937089</v>
      </c>
      <c r="I33" s="18"/>
      <c r="J33" s="18"/>
      <c r="AD33" s="156">
        <f t="shared" si="0"/>
        <v>299.79591836734687</v>
      </c>
      <c r="AE33" s="119" cm="1">
        <f t="array" ref="AE33">IF(AD33&gt;$C$125/2,0,flat_plate_roark_F(0,$C$125/2,$C$47/2,$C$35*1000,AD33,$C$41/2,$C$38,$C$111,$C$31))</f>
        <v>-9.0474019812748566E-3</v>
      </c>
      <c r="AF33" s="17" cm="1">
        <f t="array" ref="AF33">IF(AD33&gt;$C$125/2,0,flat_plate_roark_F(0,$C$125/2,$C$47/2,$C$35*1000,AD33,$C$41/2,$C$38,$C$104,$C$31))</f>
        <v>-4.0475181609979588E-4</v>
      </c>
      <c r="AG33" s="17" cm="1">
        <f t="array" ref="AG33">IF(AD33&gt;$C$125/2,0,flat_plate_roark_F(0,$C$125/2,$C$47/2,$C$35*1000,AD33,$C$63/2,$C$38,$C$118,$C$31))</f>
        <v>0</v>
      </c>
      <c r="AH33" s="17" cm="1">
        <f t="array" ref="AH33">IF(AD33&gt;$C$125/2,0,flat_plate_roark_P(0,$C$125/2,$C$47/2,$C$35*1000,AD33,$C$47/2,$C$38,$C$97,$C$31)+IF($C$125&gt;$C$62,flat_plate_roark_P(0,$C$125/2,$C$47/2,$C$35*1000,AD33,$C$62/2,$C$38,-$C$97,$C$31),0))</f>
        <v>-2.2586196662608297E-2</v>
      </c>
      <c r="AI33" s="150">
        <f t="shared" si="1"/>
        <v>1.3134042865233645E-2</v>
      </c>
      <c r="AJ33" s="156">
        <f t="shared" si="2"/>
        <v>299.79591836734687</v>
      </c>
      <c r="AK33" cm="1">
        <f t="array" ref="AK33">IF(AJ33&gt;$C$159/2,0,flat_plate_roark_F(0,$C$125/2,$C$47/2,$C$35*1000,AJ33,$C$41/2,$C$38,$C$145,$C$31))</f>
        <v>-9.1666433737945113E-3</v>
      </c>
      <c r="AL33" s="17" cm="1">
        <f t="array" ref="AL33">IF(AJ33&gt;$C$159/2,0,+flat_plate_roark_F(0,$C$159/2,$C$47/2,$C$35*1000,AJ33,$C$63/2,$C$38,$C$152,$C$31))</f>
        <v>0</v>
      </c>
      <c r="AM33" s="17" cm="1">
        <f t="array" ref="AM33">IF(AJ33&gt;$C$159/2,0,flat_plate_roark_P(0,$C$159/2,$C$47/2,$C$35*1000,AJ33,$C$47/2,$C$38,$C$138,$C$31)+IF($C$159&gt;$C$62,flat_plate_roark_P(0,$C$159/2,$C$47/2,$C$35*1000,AJ33,$C$62/2,$C$38,-$C$138,$C$31),0))</f>
        <v>-6.4290617009162415E-2</v>
      </c>
      <c r="AN33" s="150">
        <f t="shared" si="3"/>
        <v>5.5123973635367904E-2</v>
      </c>
      <c r="AO33" s="164" cm="1">
        <f t="array" ref="AO33">_xlfn.IFS($AP$2=1,AD33,$AP$2=2,AJ33)</f>
        <v>299.79591836734687</v>
      </c>
      <c r="AP33" s="150" cm="1">
        <f t="array" ref="AP33">_xlfn.IFS($AP$2=1,AI33,$AP$2=2,AN33)</f>
        <v>1.3134042865233645E-2</v>
      </c>
    </row>
    <row r="34" spans="2:42" ht="18" customHeight="1" x14ac:dyDescent="0.25">
      <c r="B34" s="20" t="s">
        <v>480</v>
      </c>
      <c r="C34" s="128">
        <v>690</v>
      </c>
      <c r="D34" s="57" t="s">
        <v>478</v>
      </c>
      <c r="G34" s="34">
        <f>+G29</f>
        <v>0.40882498145642382</v>
      </c>
      <c r="H34" s="18" cm="1">
        <f t="array" ref="H34">(G34-+INDEX($H$3:$I$13,5,$G$21)-ABS(INDEX($H$3:$I$13,6,$G$21)))*-$C$50</f>
        <v>723411.39388934593</v>
      </c>
      <c r="I34" s="18"/>
      <c r="J34" s="18"/>
      <c r="AD34" s="156">
        <f t="shared" si="0"/>
        <v>304.80612244897952</v>
      </c>
      <c r="AE34" s="119" cm="1">
        <f t="array" ref="AE34">IF(AD34&gt;$C$125/2,0,flat_plate_roark_F(0,$C$125/2,$C$47/2,$C$35*1000,AD34,$C$41/2,$C$38,$C$111,$C$31))</f>
        <v>-8.3283785014990203E-3</v>
      </c>
      <c r="AF34" s="17" cm="1">
        <f t="array" ref="AF34">IF(AD34&gt;$C$125/2,0,flat_plate_roark_F(0,$C$125/2,$C$47/2,$C$35*1000,AD34,$C$41/2,$C$38,$C$104,$C$31))</f>
        <v>-3.7258500623990544E-4</v>
      </c>
      <c r="AG34" s="17" cm="1">
        <f t="array" ref="AG34">IF(AD34&gt;$C$125/2,0,flat_plate_roark_F(0,$C$125/2,$C$47/2,$C$35*1000,AD34,$C$63/2,$C$38,$C$118,$C$31))</f>
        <v>0</v>
      </c>
      <c r="AH34" s="17" cm="1">
        <f t="array" ref="AH34">IF(AD34&gt;$C$125/2,0,flat_plate_roark_P(0,$C$125/2,$C$47/2,$C$35*1000,AD34,$C$47/2,$C$38,$C$97,$C$31)+IF($C$125&gt;$C$62,flat_plate_roark_P(0,$C$125/2,$C$47/2,$C$35*1000,AD34,$C$62/2,$C$38,-$C$97,$C$31),0))</f>
        <v>-1.9719642339901696E-2</v>
      </c>
      <c r="AI34" s="150">
        <f t="shared" si="1"/>
        <v>1.101867883216277E-2</v>
      </c>
      <c r="AJ34" s="156">
        <f t="shared" si="2"/>
        <v>304.80612244897952</v>
      </c>
      <c r="AK34" cm="1">
        <f t="array" ref="AK34">IF(AJ34&gt;$C$159/2,0,flat_plate_roark_F(0,$C$125/2,$C$47/2,$C$35*1000,AJ34,$C$41/2,$C$38,$C$145,$C$31))</f>
        <v>-8.4381434320287829E-3</v>
      </c>
      <c r="AL34" s="17" cm="1">
        <f t="array" ref="AL34">IF(AJ34&gt;$C$159/2,0,+flat_plate_roark_F(0,$C$159/2,$C$47/2,$C$35*1000,AJ34,$C$63/2,$C$38,$C$152,$C$31))</f>
        <v>0</v>
      </c>
      <c r="AM34" s="17" cm="1">
        <f t="array" ref="AM34">IF(AJ34&gt;$C$159/2,0,flat_plate_roark_P(0,$C$159/2,$C$47/2,$C$35*1000,AJ34,$C$47/2,$C$38,$C$138,$C$31)+IF($C$159&gt;$C$62,flat_plate_roark_P(0,$C$159/2,$C$47/2,$C$35*1000,AJ34,$C$62/2,$C$38,-$C$138,$C$31),0))</f>
        <v>-5.8267702382360495E-2</v>
      </c>
      <c r="AN34" s="150">
        <f t="shared" si="3"/>
        <v>4.9829558950331712E-2</v>
      </c>
      <c r="AO34" s="164" cm="1">
        <f t="array" ref="AO34">_xlfn.IFS($AP$2=1,AD34,$AP$2=2,AJ34)</f>
        <v>304.80612244897952</v>
      </c>
      <c r="AP34" s="150" cm="1">
        <f t="array" ref="AP34">_xlfn.IFS($AP$2=1,AI34,$AP$2=2,AN34)</f>
        <v>1.101867883216277E-2</v>
      </c>
    </row>
    <row r="35" spans="2:42" ht="18" customHeight="1" x14ac:dyDescent="0.25">
      <c r="B35" s="20" t="s">
        <v>25</v>
      </c>
      <c r="C35" s="47">
        <v>210</v>
      </c>
      <c r="D35" s="55" t="s">
        <v>261</v>
      </c>
      <c r="AD35" s="156">
        <f t="shared" si="0"/>
        <v>309.81632653061217</v>
      </c>
      <c r="AE35" s="119" cm="1">
        <f t="array" ref="AE35">IF(AD35&gt;$C$125/2,0,flat_plate_roark_F(0,$C$125/2,$C$47/2,$C$35*1000,AD35,$C$41/2,$C$38,$C$111,$C$31))</f>
        <v>-7.6051600774882135E-3</v>
      </c>
      <c r="AF35" s="17" cm="1">
        <f t="array" ref="AF35">IF(AD35&gt;$C$125/2,0,flat_plate_roark_F(0,$C$125/2,$C$47/2,$C$35*1000,AD35,$C$41/2,$C$38,$C$104,$C$31))</f>
        <v>-3.4023052799730621E-4</v>
      </c>
      <c r="AG35" s="17" cm="1">
        <f t="array" ref="AG35">IF(AD35&gt;$C$125/2,0,flat_plate_roark_F(0,$C$125/2,$C$47/2,$C$35*1000,AD35,$C$63/2,$C$38,$C$118,$C$31))</f>
        <v>0</v>
      </c>
      <c r="AH35" s="17" cm="1">
        <f t="array" ref="AH35">IF(AD35&gt;$C$125/2,0,flat_plate_roark_P(0,$C$125/2,$C$47/2,$C$35*1000,AD35,$C$47/2,$C$38,$C$97,$C$31)+IF($C$125&gt;$C$62,flat_plate_roark_P(0,$C$125/2,$C$47/2,$C$35*1000,AD35,$C$62/2,$C$38,-$C$97,$C$31),0))</f>
        <v>-1.7019043817209922E-2</v>
      </c>
      <c r="AI35" s="150">
        <f t="shared" si="1"/>
        <v>9.0736532117244029E-3</v>
      </c>
      <c r="AJ35" s="156">
        <f t="shared" si="2"/>
        <v>309.81632653061217</v>
      </c>
      <c r="AK35" cm="1">
        <f t="array" ref="AK35">IF(AJ35&gt;$C$159/2,0,flat_plate_roark_F(0,$C$125/2,$C$47/2,$C$35*1000,AJ35,$C$41/2,$C$38,$C$145,$C$31))</f>
        <v>-7.7053932582235724E-3</v>
      </c>
      <c r="AL35" s="17" cm="1">
        <f t="array" ref="AL35">IF(AJ35&gt;$C$159/2,0,+flat_plate_roark_F(0,$C$159/2,$C$47/2,$C$35*1000,AJ35,$C$63/2,$C$38,$C$152,$C$31))</f>
        <v>0</v>
      </c>
      <c r="AM35" s="17" cm="1">
        <f t="array" ref="AM35">IF(AJ35&gt;$C$159/2,0,flat_plate_roark_P(0,$C$159/2,$C$47/2,$C$35*1000,AJ35,$C$47/2,$C$38,$C$138,$C$31)+IF($C$159&gt;$C$62,flat_plate_roark_P(0,$C$159/2,$C$47/2,$C$35*1000,AJ35,$C$62/2,$C$38,-$C$138,$C$31),0))</f>
        <v>-5.2483668602093692E-2</v>
      </c>
      <c r="AN35" s="150">
        <f t="shared" si="3"/>
        <v>4.4778275343870119E-2</v>
      </c>
      <c r="AO35" s="164" cm="1">
        <f t="array" ref="AO35">_xlfn.IFS($AP$2=1,AD35,$AP$2=2,AJ35)</f>
        <v>309.81632653061217</v>
      </c>
      <c r="AP35" s="150" cm="1">
        <f t="array" ref="AP35">_xlfn.IFS($AP$2=1,AI35,$AP$2=2,AN35)</f>
        <v>9.0736532117244029E-3</v>
      </c>
    </row>
    <row r="36" spans="2:42" ht="18" customHeight="1" x14ac:dyDescent="0.25">
      <c r="B36" s="22" t="s">
        <v>27</v>
      </c>
      <c r="C36" s="53">
        <v>56</v>
      </c>
      <c r="D36" s="55" t="s">
        <v>260</v>
      </c>
      <c r="E36" s="17" t="str">
        <f>+B36&amp;" = "&amp;C36</f>
        <v>d [mm] = 56</v>
      </c>
      <c r="AD36" s="156">
        <f t="shared" si="0"/>
        <v>314.82653061224482</v>
      </c>
      <c r="AE36" s="119" cm="1">
        <f t="array" ref="AE36">IF(AD36&gt;$C$125/2,0,flat_plate_roark_F(0,$C$125/2,$C$47/2,$C$35*1000,AD36,$C$41/2,$C$38,$C$111,$C$31))</f>
        <v>-6.8776238442292519E-3</v>
      </c>
      <c r="AF36" s="17" cm="1">
        <f t="array" ref="AF36">IF(AD36&gt;$C$125/2,0,flat_plate_roark_F(0,$C$125/2,$C$47/2,$C$35*1000,AD36,$C$41/2,$C$38,$C$104,$C$31))</f>
        <v>-3.0768288478443396E-4</v>
      </c>
      <c r="AG36" s="17" cm="1">
        <f t="array" ref="AG36">IF(AD36&gt;$C$125/2,0,flat_plate_roark_F(0,$C$125/2,$C$47/2,$C$35*1000,AD36,$C$63/2,$C$38,$C$118,$C$31))</f>
        <v>0</v>
      </c>
      <c r="AH36" s="17" cm="1">
        <f t="array" ref="AH36">IF(AD36&gt;$C$125/2,0,flat_plate_roark_P(0,$C$125/2,$C$47/2,$C$35*1000,AD36,$C$47/2,$C$38,$C$97,$C$31)+IF($C$125&gt;$C$62,flat_plate_roark_P(0,$C$125/2,$C$47/2,$C$35*1000,AD36,$C$62/2,$C$38,-$C$97,$C$31),0))</f>
        <v>-1.4491576935622924E-2</v>
      </c>
      <c r="AI36" s="150">
        <f t="shared" si="1"/>
        <v>7.3062702066092377E-3</v>
      </c>
      <c r="AJ36" s="156">
        <f t="shared" si="2"/>
        <v>314.82653061224482</v>
      </c>
      <c r="AK36" cm="1">
        <f t="array" ref="AK36">IF(AJ36&gt;$C$159/2,0,flat_plate_roark_F(0,$C$125/2,$C$47/2,$C$35*1000,AJ36,$C$41/2,$C$38,$C$145,$C$31))</f>
        <v>-6.9682683680505203E-3</v>
      </c>
      <c r="AL36" s="17" cm="1">
        <f t="array" ref="AL36">IF(AJ36&gt;$C$159/2,0,+flat_plate_roark_F(0,$C$159/2,$C$47/2,$C$35*1000,AJ36,$C$63/2,$C$38,$C$152,$C$31))</f>
        <v>0</v>
      </c>
      <c r="AM36" s="17" cm="1">
        <f t="array" ref="AM36">IF(AJ36&gt;$C$159/2,0,flat_plate_roark_P(0,$C$159/2,$C$47/2,$C$35*1000,AJ36,$C$47/2,$C$38,$C$138,$C$31)+IF($C$159&gt;$C$62,flat_plate_roark_P(0,$C$159/2,$C$47/2,$C$35*1000,AJ36,$C$62/2,$C$38,-$C$138,$C$31),0))</f>
        <v>-4.6948984993668973E-2</v>
      </c>
      <c r="AN36" s="150">
        <f t="shared" si="3"/>
        <v>3.9980716625618452E-2</v>
      </c>
      <c r="AO36" s="164" cm="1">
        <f t="array" ref="AO36">_xlfn.IFS($AP$2=1,AD36,$AP$2=2,AJ36)</f>
        <v>314.82653061224482</v>
      </c>
      <c r="AP36" s="150" cm="1">
        <f t="array" ref="AP36">_xlfn.IFS($AP$2=1,AI36,$AP$2=2,AN36)</f>
        <v>7.3062702066092377E-3</v>
      </c>
    </row>
    <row r="37" spans="2:42" ht="18" customHeight="1" x14ac:dyDescent="0.25">
      <c r="B37" s="20" t="s">
        <v>311</v>
      </c>
      <c r="C37" s="47">
        <v>435</v>
      </c>
      <c r="D37" s="55" t="s">
        <v>119</v>
      </c>
      <c r="E37" s="17" t="str">
        <f>+B37&amp;" = "&amp;C37</f>
        <v>tI [mm] = 435</v>
      </c>
      <c r="AD37" s="156">
        <f t="shared" ref="AD37:AD53" si="4">+AD36+($C$42/2-$AD$4)/49</f>
        <v>319.83673469387747</v>
      </c>
      <c r="AE37" s="119" cm="1">
        <f t="array" ref="AE37">IF(AD37&gt;$C$125/2,0,flat_plate_roark_F(0,$C$125/2,$C$47/2,$C$35*1000,AD37,$C$41/2,$C$38,$C$111,$C$31))</f>
        <v>-6.1456527567830196E-3</v>
      </c>
      <c r="AF37" s="17" cm="1">
        <f t="array" ref="AF37">IF(AD37&gt;$C$125/2,0,flat_plate_roark_F(0,$C$125/2,$C$47/2,$C$35*1000,AD37,$C$41/2,$C$38,$C$104,$C$31))</f>
        <v>-2.7493684038521534E-4</v>
      </c>
      <c r="AG37" s="17" cm="1">
        <f t="array" ref="AG37">IF(AD37&gt;$C$125/2,0,flat_plate_roark_F(0,$C$125/2,$C$47/2,$C$35*1000,AD37,$C$63/2,$C$38,$C$118,$C$31))</f>
        <v>0</v>
      </c>
      <c r="AH37" s="17" cm="1">
        <f t="array" ref="AH37">IF(AD37&gt;$C$125/2,0,flat_plate_roark_P(0,$C$125/2,$C$47/2,$C$35*1000,AD37,$C$47/2,$C$38,$C$97,$C$31)+IF($C$125&gt;$C$62,flat_plate_roark_P(0,$C$125/2,$C$47/2,$C$35*1000,AD37,$C$62/2,$C$38,-$C$97,$C$31),0))</f>
        <v>-1.2144244555441162E-2</v>
      </c>
      <c r="AI37" s="150">
        <f t="shared" si="1"/>
        <v>5.723654958272927E-3</v>
      </c>
      <c r="AJ37" s="156">
        <f t="shared" ref="AJ37:AJ53" si="5">+AJ36+($C$42/2-$AJ$4)/49</f>
        <v>319.83673469387747</v>
      </c>
      <c r="AK37" cm="1">
        <f t="array" ref="AK37">IF(AJ37&gt;$C$159/2,0,flat_plate_roark_F(0,$C$125/2,$C$47/2,$C$35*1000,AJ37,$C$41/2,$C$38,$C$145,$C$31))</f>
        <v>-6.2266501739617584E-3</v>
      </c>
      <c r="AL37" s="17" cm="1">
        <f t="array" ref="AL37">IF(AJ37&gt;$C$159/2,0,+flat_plate_roark_F(0,$C$159/2,$C$47/2,$C$35*1000,AJ37,$C$63/2,$C$38,$C$152,$C$31))</f>
        <v>0</v>
      </c>
      <c r="AM37" s="17" cm="1">
        <f t="array" ref="AM37">IF(AJ37&gt;$C$159/2,0,flat_plate_roark_P(0,$C$159/2,$C$47/2,$C$35*1000,AJ37,$C$47/2,$C$38,$C$138,$C$31)+IF($C$159&gt;$C$62,flat_plate_roark_P(0,$C$159/2,$C$47/2,$C$35*1000,AJ37,$C$62/2,$C$38,-$C$138,$C$31),0))</f>
        <v>-4.1673875358558349E-2</v>
      </c>
      <c r="AN37" s="150">
        <f t="shared" si="3"/>
        <v>3.5447225184596587E-2</v>
      </c>
      <c r="AO37" s="164" cm="1">
        <f t="array" ref="AO37">_xlfn.IFS($AP$2=1,AD37,$AP$2=2,AJ37)</f>
        <v>319.83673469387747</v>
      </c>
      <c r="AP37" s="150" cm="1">
        <f t="array" ref="AP37">_xlfn.IFS($AP$2=1,AI37,$AP$2=2,AN37)</f>
        <v>5.723654958272927E-3</v>
      </c>
    </row>
    <row r="38" spans="2:42" ht="18" customHeight="1" x14ac:dyDescent="0.25">
      <c r="B38" s="20" t="s">
        <v>310</v>
      </c>
      <c r="C38" s="47">
        <v>110</v>
      </c>
      <c r="D38" s="55" t="s">
        <v>156</v>
      </c>
      <c r="E38" s="17" t="str">
        <f>+B38&amp;" = "&amp;C38</f>
        <v>tII [mm] = 110</v>
      </c>
      <c r="AD38" s="156">
        <f t="shared" si="4"/>
        <v>324.84693877551013</v>
      </c>
      <c r="AE38" s="119" cm="1">
        <f t="array" ref="AE38">IF(AD38&gt;$C$125/2,0,flat_plate_roark_F(0,$C$125/2,$C$47/2,$C$35*1000,AD38,$C$41/2,$C$38,$C$111,$C$31))</f>
        <v>-5.4091352283979627E-3</v>
      </c>
      <c r="AF38" s="17" cm="1">
        <f t="array" ref="AF38">IF(AD38&gt;$C$125/2,0,flat_plate_roark_F(0,$C$125/2,$C$47/2,$C$35*1000,AD38,$C$41/2,$C$38,$C$104,$C$31))</f>
        <v>-2.4198740276542468E-4</v>
      </c>
      <c r="AG38" s="17" cm="1">
        <f t="array" ref="AG38">IF(AD38&gt;$C$125/2,0,flat_plate_roark_F(0,$C$125/2,$C$47/2,$C$35*1000,AD38,$C$63/2,$C$38,$C$118,$C$31))</f>
        <v>0</v>
      </c>
      <c r="AH38" s="17" cm="1">
        <f t="array" ref="AH38">IF(AD38&gt;$C$125/2,0,flat_plate_roark_P(0,$C$125/2,$C$47/2,$C$35*1000,AD38,$C$47/2,$C$38,$C$97,$C$31)+IF($C$125&gt;$C$62,flat_plate_roark_P(0,$C$125/2,$C$47/2,$C$35*1000,AD38,$C$62/2,$C$38,-$C$97,$C$31),0))</f>
        <v>-9.9838846960400608E-3</v>
      </c>
      <c r="AI38" s="150">
        <f t="shared" si="1"/>
        <v>4.3327620648766739E-3</v>
      </c>
      <c r="AJ38" s="156">
        <f t="shared" si="5"/>
        <v>324.84693877551013</v>
      </c>
      <c r="AK38" cm="1">
        <f t="array" ref="AK38">IF(AJ38&gt;$C$159/2,0,flat_plate_roark_F(0,$C$125/2,$C$47/2,$C$35*1000,AJ38,$C$41/2,$C$38,$C$145,$C$31))</f>
        <v>-5.4804256185338497E-3</v>
      </c>
      <c r="AL38" s="17" cm="1">
        <f t="array" ref="AL38">IF(AJ38&gt;$C$159/2,0,+flat_plate_roark_F(0,$C$159/2,$C$47/2,$C$35*1000,AJ38,$C$63/2,$C$38,$C$152,$C$31))</f>
        <v>0</v>
      </c>
      <c r="AM38" s="17" cm="1">
        <f t="array" ref="AM38">IF(AJ38&gt;$C$159/2,0,flat_plate_roark_P(0,$C$159/2,$C$47/2,$C$35*1000,AJ38,$C$47/2,$C$38,$C$138,$C$31)+IF($C$159&gt;$C$62,flat_plate_roark_P(0,$C$159/2,$C$47/2,$C$35*1000,AJ38,$C$62/2,$C$38,-$C$138,$C$31),0))</f>
        <v>-3.666832931696281E-2</v>
      </c>
      <c r="AN38" s="150">
        <f t="shared" si="3"/>
        <v>3.118790369842896E-2</v>
      </c>
      <c r="AO38" s="164" cm="1">
        <f t="array" ref="AO38">_xlfn.IFS($AP$2=1,AD38,$AP$2=2,AJ38)</f>
        <v>324.84693877551013</v>
      </c>
      <c r="AP38" s="150" cm="1">
        <f t="array" ref="AP38">_xlfn.IFS($AP$2=1,AI38,$AP$2=2,AN38)</f>
        <v>4.3327620648766739E-3</v>
      </c>
    </row>
    <row r="39" spans="2:42" ht="18" customHeight="1" x14ac:dyDescent="0.25">
      <c r="B39" s="20" t="s">
        <v>42</v>
      </c>
      <c r="C39" s="47">
        <v>70</v>
      </c>
      <c r="D39" s="55" t="s">
        <v>259</v>
      </c>
      <c r="E39" s="17" t="str">
        <f>+B39&amp;" = "&amp;C39</f>
        <v>Lh [mm] = 70</v>
      </c>
      <c r="AD39" s="156">
        <f t="shared" si="4"/>
        <v>329.85714285714278</v>
      </c>
      <c r="AE39" s="119" cm="1">
        <f t="array" ref="AE39">IF(AD39&gt;$C$125/2,0,flat_plate_roark_F(0,$C$125/2,$C$47/2,$C$35*1000,AD39,$C$41/2,$C$38,$C$111,$C$31))</f>
        <v>-4.6679647963207734E-3</v>
      </c>
      <c r="AF39" s="17" cm="1">
        <f t="array" ref="AF39">IF(AD39&gt;$C$125/2,0,flat_plate_roark_F(0,$C$125/2,$C$47/2,$C$35*1000,AD39,$C$41/2,$C$38,$C$104,$C$31))</f>
        <v>-2.0882980912212325E-4</v>
      </c>
      <c r="AG39" s="17" cm="1">
        <f t="array" ref="AG39">IF(AD39&gt;$C$125/2,0,flat_plate_roark_F(0,$C$125/2,$C$47/2,$C$35*1000,AD39,$C$63/2,$C$38,$C$118,$C$31))</f>
        <v>0</v>
      </c>
      <c r="AH39" s="17" cm="1">
        <f t="array" ref="AH39">IF(AD39&gt;$C$125/2,0,flat_plate_roark_P(0,$C$125/2,$C$47/2,$C$35*1000,AD39,$C$47/2,$C$38,$C$97,$C$31)+IF($C$125&gt;$C$62,flat_plate_roark_P(0,$C$125/2,$C$47/2,$C$35*1000,AD39,$C$62/2,$C$38,-$C$97,$C$31),0))</f>
        <v>-8.0171781334704637E-3</v>
      </c>
      <c r="AI39" s="150">
        <f t="shared" si="1"/>
        <v>3.140383528027567E-3</v>
      </c>
      <c r="AJ39" s="156">
        <f t="shared" si="5"/>
        <v>329.85714285714278</v>
      </c>
      <c r="AK39" cm="1">
        <f t="array" ref="AK39">IF(AJ39&gt;$C$159/2,0,flat_plate_roark_F(0,$C$125/2,$C$47/2,$C$35*1000,AJ39,$C$41/2,$C$38,$C$145,$C$31))</f>
        <v>-4.7294868358740104E-3</v>
      </c>
      <c r="AL39" s="17" cm="1">
        <f t="array" ref="AL39">IF(AJ39&gt;$C$159/2,0,+flat_plate_roark_F(0,$C$159/2,$C$47/2,$C$35*1000,AJ39,$C$63/2,$C$38,$C$152,$C$31))</f>
        <v>0</v>
      </c>
      <c r="AM39" s="17" cm="1">
        <f t="array" ref="AM39">IF(AJ39&gt;$C$159/2,0,flat_plate_roark_P(0,$C$159/2,$C$47/2,$C$35*1000,AJ39,$C$47/2,$C$38,$C$138,$C$31)+IF($C$159&gt;$C$62,flat_plate_roark_P(0,$C$159/2,$C$47/2,$C$35*1000,AJ39,$C$62/2,$C$38,-$C$138,$C$31),0))</f>
        <v>-3.1942112903354684E-2</v>
      </c>
      <c r="AN39" s="150">
        <f t="shared" si="3"/>
        <v>2.7212626067480674E-2</v>
      </c>
      <c r="AO39" s="164" cm="1">
        <f t="array" ref="AO39">_xlfn.IFS($AP$2=1,AD39,$AP$2=2,AJ39)</f>
        <v>329.85714285714278</v>
      </c>
      <c r="AP39" s="150" cm="1">
        <f t="array" ref="AP39">_xlfn.IFS($AP$2=1,AI39,$AP$2=2,AN39)</f>
        <v>3.140383528027567E-3</v>
      </c>
    </row>
    <row r="40" spans="2:42" ht="18" x14ac:dyDescent="0.25">
      <c r="B40" s="20" t="s">
        <v>82</v>
      </c>
      <c r="C40" s="49">
        <v>1.7E-5</v>
      </c>
      <c r="D40" s="55" t="s">
        <v>258</v>
      </c>
      <c r="AD40" s="156">
        <f t="shared" si="4"/>
        <v>334.86734693877543</v>
      </c>
      <c r="AE40" s="119" cm="1">
        <f t="array" ref="AE40">IF(AD40&gt;$C$125/2,0,flat_plate_roark_F(0,$C$125/2,$C$47/2,$C$35*1000,AD40,$C$41/2,$C$38,$C$111,$C$31))</f>
        <v>-3.9220398127987888E-3</v>
      </c>
      <c r="AF40" s="17" cm="1">
        <f t="array" ref="AF40">IF(AD40&gt;$C$125/2,0,flat_plate_roark_F(0,$C$125/2,$C$47/2,$C$35*1000,AD40,$C$41/2,$C$38,$C$104,$C$31))</f>
        <v>-1.7545951206009397E-4</v>
      </c>
      <c r="AG40" s="17" cm="1">
        <f t="array" ref="AG40">IF(AD40&gt;$C$125/2,0,flat_plate_roark_F(0,$C$125/2,$C$47/2,$C$35*1000,AD40,$C$63/2,$C$38,$C$118,$C$31))</f>
        <v>0</v>
      </c>
      <c r="AH40" s="17" cm="1">
        <f t="array" ref="AH40">IF(AD40&gt;$C$125/2,0,flat_plate_roark_P(0,$C$125/2,$C$47/2,$C$35*1000,AD40,$C$47/2,$C$38,$C$97,$C$31)+IF($C$125&gt;$C$62,flat_plate_roark_P(0,$C$125/2,$C$47/2,$C$35*1000,AD40,$C$62/2,$C$38,-$C$97,$C$31),0))</f>
        <v>-6.2506555011677175E-3</v>
      </c>
      <c r="AI40" s="150">
        <f t="shared" si="1"/>
        <v>2.1531561763088345E-3</v>
      </c>
      <c r="AJ40" s="156">
        <f t="shared" si="5"/>
        <v>334.86734693877543</v>
      </c>
      <c r="AK40" cm="1">
        <f t="array" ref="AK40">IF(AJ40&gt;$C$159/2,0,flat_plate_roark_F(0,$C$125/2,$C$47/2,$C$35*1000,AJ40,$C$41/2,$C$38,$C$145,$C$31))</f>
        <v>-3.9737308385499985E-3</v>
      </c>
      <c r="AL40" s="17" cm="1">
        <f t="array" ref="AL40">IF(AJ40&gt;$C$159/2,0,+flat_plate_roark_F(0,$C$159/2,$C$47/2,$C$35*1000,AJ40,$C$63/2,$C$38,$C$152,$C$31))</f>
        <v>0</v>
      </c>
      <c r="AM40" s="17" cm="1">
        <f t="array" ref="AM40">IF(AJ40&gt;$C$159/2,0,flat_plate_roark_P(0,$C$159/2,$C$47/2,$C$35*1000,AJ40,$C$47/2,$C$38,$C$138,$C$31)+IF($C$159&gt;$C$62,flat_plate_roark_P(0,$C$159/2,$C$47/2,$C$35*1000,AJ40,$C$62/2,$C$38,-$C$138,$C$31),0))</f>
        <v>-2.7504778477053134E-2</v>
      </c>
      <c r="AN40" s="150">
        <f t="shared" si="3"/>
        <v>2.3531047638503135E-2</v>
      </c>
      <c r="AO40" s="164" cm="1">
        <f t="array" ref="AO40">_xlfn.IFS($AP$2=1,AD40,$AP$2=2,AJ40)</f>
        <v>334.86734693877543</v>
      </c>
      <c r="AP40" s="150" cm="1">
        <f t="array" ref="AP40">_xlfn.IFS($AP$2=1,AI40,$AP$2=2,AN40)</f>
        <v>2.1531561763088345E-3</v>
      </c>
    </row>
    <row r="41" spans="2:42" ht="18" customHeight="1" x14ac:dyDescent="0.25">
      <c r="B41" s="22" t="s">
        <v>102</v>
      </c>
      <c r="C41" s="53">
        <v>680</v>
      </c>
      <c r="D41" s="55" t="s">
        <v>103</v>
      </c>
      <c r="E41" s="17" t="str">
        <f t="shared" ref="E41:E46" si="6">+B41&amp;" = "&amp;C41</f>
        <v>C [mm] = 680</v>
      </c>
      <c r="AD41" s="156">
        <f t="shared" si="4"/>
        <v>339.87755102040808</v>
      </c>
      <c r="AE41" s="119" cm="1">
        <f t="array" ref="AE41">IF(AD41&gt;$C$125/2,0,flat_plate_roark_F(0,$C$125/2,$C$47/2,$C$35*1000,AD41,$C$41/2,$C$38,$C$111,$C$31))</f>
        <v>-3.1712631590290925E-3</v>
      </c>
      <c r="AF41" s="17" cm="1">
        <f t="array" ref="AF41">IF(AD41&gt;$C$125/2,0,flat_plate_roark_F(0,$C$125/2,$C$47/2,$C$35*1000,AD41,$C$41/2,$C$38,$C$104,$C$31))</f>
        <v>-1.4187216679484088E-4</v>
      </c>
      <c r="AG41" s="17" cm="1">
        <f t="array" ref="AG41">IF(AD41&gt;$C$125/2,0,flat_plate_roark_F(0,$C$125/2,$C$47/2,$C$35*1000,AD41,$C$63/2,$C$38,$C$118,$C$31))</f>
        <v>0</v>
      </c>
      <c r="AH41" s="17" cm="1">
        <f t="array" ref="AH41">IF(AD41&gt;$C$125/2,0,flat_plate_roark_P(0,$C$125/2,$C$47/2,$C$35*1000,AD41,$C$47/2,$C$38,$C$97,$C$31)+IF($C$125&gt;$C$62,flat_plate_roark_P(0,$C$125/2,$C$47/2,$C$35*1000,AD41,$C$62/2,$C$38,-$C$97,$C$31),0))</f>
        <v>-4.6907039346439985E-3</v>
      </c>
      <c r="AI41" s="150">
        <f t="shared" si="1"/>
        <v>1.3775686088200651E-3</v>
      </c>
      <c r="AJ41" s="156">
        <f t="shared" si="5"/>
        <v>339.87755102040808</v>
      </c>
      <c r="AK41" cm="1">
        <f t="array" ref="AK41">IF(AJ41&gt;$C$159/2,0,flat_plate_roark_F(0,$C$125/2,$C$47/2,$C$35*1000,AJ41,$C$41/2,$C$38,$C$145,$C$31))</f>
        <v>-3.2130592277692174E-3</v>
      </c>
      <c r="AL41" s="17" cm="1">
        <f t="array" ref="AL41">IF(AJ41&gt;$C$159/2,0,+flat_plate_roark_F(0,$C$159/2,$C$47/2,$C$35*1000,AJ41,$C$63/2,$C$38,$C$152,$C$31))</f>
        <v>0</v>
      </c>
      <c r="AM41" s="17" cm="1">
        <f t="array" ref="AM41">IF(AJ41&gt;$C$159/2,0,flat_plate_roark_P(0,$C$159/2,$C$47/2,$C$35*1000,AJ41,$C$47/2,$C$38,$C$138,$C$31)+IF($C$159&gt;$C$62,flat_plate_roark_P(0,$C$159/2,$C$47/2,$C$35*1000,AJ41,$C$62/2,$C$38,-$C$138,$C$31),0))</f>
        <v>-2.3365674003763725E-2</v>
      </c>
      <c r="AN41" s="150">
        <f t="shared" si="3"/>
        <v>2.0152614775994507E-2</v>
      </c>
      <c r="AO41" s="164" cm="1">
        <f t="array" ref="AO41">_xlfn.IFS($AP$2=1,AD41,$AP$2=2,AJ41)</f>
        <v>339.87755102040808</v>
      </c>
      <c r="AP41" s="150" cm="1">
        <f t="array" ref="AP41">_xlfn.IFS($AP$2=1,AI41,$AP$2=2,AN41)</f>
        <v>1.3775686088200651E-3</v>
      </c>
    </row>
    <row r="42" spans="2:42" ht="18" customHeight="1" x14ac:dyDescent="0.25">
      <c r="B42" s="20" t="s">
        <v>96</v>
      </c>
      <c r="C42" s="59">
        <v>800</v>
      </c>
      <c r="D42" s="55" t="s">
        <v>284</v>
      </c>
      <c r="E42" s="17" t="str">
        <f t="shared" si="6"/>
        <v>A [mm] = 800</v>
      </c>
      <c r="AD42" s="156">
        <f t="shared" si="4"/>
        <v>344.88775510204073</v>
      </c>
      <c r="AE42" s="119" cm="1">
        <f t="array" ref="AE42">IF(AD42&gt;$C$125/2,0,flat_plate_roark_F(0,$C$125/2,$C$47/2,$C$35*1000,AD42,$C$41/2,$C$38,$C$111,$C$31))</f>
        <v>-2.4220765617341895E-3</v>
      </c>
      <c r="AF42" s="17" cm="1">
        <f t="array" ref="AF42">IF(AD42&gt;$C$125/2,0,flat_plate_roark_F(0,$C$125/2,$C$47/2,$C$35*1000,AD42,$C$41/2,$C$38,$C$104,$C$31))</f>
        <v>-1.0835595556864216E-4</v>
      </c>
      <c r="AG42" s="17" cm="1">
        <f t="array" ref="AG42">IF(AD42&gt;$C$125/2,0,flat_plate_roark_F(0,$C$125/2,$C$47/2,$C$35*1000,AD42,$C$63/2,$C$38,$C$118,$C$31))</f>
        <v>0</v>
      </c>
      <c r="AH42" s="17" cm="1">
        <f t="array" ref="AH42">IF(AD42&gt;$C$125/2,0,flat_plate_roark_P(0,$C$125/2,$C$47/2,$C$35*1000,AD42,$C$47/2,$C$38,$C$97,$C$31)+IF($C$125&gt;$C$62,flat_plate_roark_P(0,$C$125/2,$C$47/2,$C$35*1000,AD42,$C$62/2,$C$38,-$C$97,$C$31),0))</f>
        <v>-3.3435732970552795E-3</v>
      </c>
      <c r="AI42" s="150">
        <f t="shared" si="1"/>
        <v>8.131407797524479E-4</v>
      </c>
      <c r="AJ42" s="156">
        <f t="shared" si="5"/>
        <v>344.88775510204073</v>
      </c>
      <c r="AK42" cm="1">
        <f t="array" ref="AK42">IF(AJ42&gt;$C$159/2,0,flat_plate_roark_F(0,$C$125/2,$C$47/2,$C$35*1000,AJ42,$C$41/2,$C$38,$C$145,$C$31))</f>
        <v>-2.4539986298160706E-3</v>
      </c>
      <c r="AL42" s="17" cm="1">
        <f t="array" ref="AL42">IF(AJ42&gt;$C$159/2,0,+flat_plate_roark_F(0,$C$159/2,$C$47/2,$C$35*1000,AJ42,$C$63/2,$C$38,$C$152,$C$31))</f>
        <v>0</v>
      </c>
      <c r="AM42" s="17" cm="1">
        <f t="array" ref="AM42">IF(AJ42&gt;$C$159/2,0,flat_plate_roark_P(0,$C$159/2,$C$47/2,$C$35*1000,AJ42,$C$47/2,$C$38,$C$138,$C$31)+IF($C$159&gt;$C$62,flat_plate_roark_P(0,$C$159/2,$C$47/2,$C$35*1000,AJ42,$C$62/2,$C$38,-$C$138,$C$31),0))</f>
        <v>-1.953395175859211E-2</v>
      </c>
      <c r="AN42" s="150">
        <f t="shared" si="3"/>
        <v>1.707995312877604E-2</v>
      </c>
      <c r="AO42" s="164" cm="1">
        <f t="array" ref="AO42">_xlfn.IFS($AP$2=1,AD42,$AP$2=2,AJ42)</f>
        <v>344.88775510204073</v>
      </c>
      <c r="AP42" s="150" cm="1">
        <f t="array" ref="AP42">_xlfn.IFS($AP$2=1,AI42,$AP$2=2,AN42)</f>
        <v>8.131407797524479E-4</v>
      </c>
    </row>
    <row r="43" spans="2:42" ht="18" x14ac:dyDescent="0.25">
      <c r="B43" s="20" t="s">
        <v>383</v>
      </c>
      <c r="C43" s="59">
        <v>135</v>
      </c>
      <c r="D43" s="55" t="s">
        <v>108</v>
      </c>
      <c r="E43" s="17" t="str">
        <f t="shared" si="6"/>
        <v>g1 [mm] = 135</v>
      </c>
      <c r="AD43" s="156">
        <f t="shared" si="4"/>
        <v>349.89795918367338</v>
      </c>
      <c r="AE43" s="119" cm="1">
        <f t="array" ref="AE43">IF(AD43&gt;$C$125/2,0,flat_plate_roark_F(0,$C$125/2,$C$47/2,$C$35*1000,AD43,$C$41/2,$C$38,$C$111,$C$31))</f>
        <v>-1.7086625162857215E-3</v>
      </c>
      <c r="AF43" s="17" cm="1">
        <f t="array" ref="AF43">IF(AD43&gt;$C$125/2,0,flat_plate_roark_F(0,$C$125/2,$C$47/2,$C$35*1000,AD43,$C$41/2,$C$38,$C$104,$C$31))</f>
        <v>-7.6440093852317716E-5</v>
      </c>
      <c r="AG43" s="17" cm="1">
        <f t="array" ref="AG43">IF(AD43&gt;$C$125/2,0,flat_plate_roark_F(0,$C$125/2,$C$47/2,$C$35*1000,AD43,$C$63/2,$C$38,$C$118,$C$31))</f>
        <v>0</v>
      </c>
      <c r="AH43" s="17" cm="1">
        <f t="array" ref="AH43">IF(AD43&gt;$C$125/2,0,flat_plate_roark_P(0,$C$125/2,$C$47/2,$C$35*1000,AD43,$C$47/2,$C$38,$C$97,$C$31)+IF($C$125&gt;$C$62,flat_plate_roark_P(0,$C$125/2,$C$47/2,$C$35*1000,AD43,$C$62/2,$C$38,-$C$97,$C$31),0))</f>
        <v>-2.215382018989946E-3</v>
      </c>
      <c r="AI43" s="150">
        <f t="shared" si="1"/>
        <v>4.3027940885190675E-4</v>
      </c>
      <c r="AJ43" s="156">
        <f t="shared" si="5"/>
        <v>349.89795918367338</v>
      </c>
      <c r="AK43" cm="1">
        <f t="array" ref="AK43">IF(AJ43&gt;$C$159/2,0,flat_plate_roark_F(0,$C$125/2,$C$47/2,$C$35*1000,AJ43,$C$41/2,$C$38,$C$145,$C$31))</f>
        <v>-1.7311820526354669E-3</v>
      </c>
      <c r="AL43" s="17" cm="1">
        <f t="array" ref="AL43">IF(AJ43&gt;$C$159/2,0,+flat_plate_roark_F(0,$C$159/2,$C$47/2,$C$35*1000,AJ43,$C$63/2,$C$38,$C$152,$C$31))</f>
        <v>0</v>
      </c>
      <c r="AM43" s="17" cm="1">
        <f t="array" ref="AM43">IF(AJ43&gt;$C$159/2,0,flat_plate_roark_P(0,$C$159/2,$C$47/2,$C$35*1000,AJ43,$C$47/2,$C$38,$C$138,$C$31)+IF($C$159&gt;$C$62,flat_plate_roark_P(0,$C$159/2,$C$47/2,$C$35*1000,AJ43,$C$62/2,$C$38,-$C$138,$C$31),0))</f>
        <v>-1.6018576496209826E-2</v>
      </c>
      <c r="AN43" s="150">
        <f t="shared" si="3"/>
        <v>1.428739444357436E-2</v>
      </c>
      <c r="AO43" s="164" cm="1">
        <f t="array" ref="AO43">_xlfn.IFS($AP$2=1,AD43,$AP$2=2,AJ43)</f>
        <v>349.89795918367338</v>
      </c>
      <c r="AP43" s="150" cm="1">
        <f t="array" ref="AP43">_xlfn.IFS($AP$2=1,AI43,$AP$2=2,AN43)</f>
        <v>4.3027940885190675E-4</v>
      </c>
    </row>
    <row r="44" spans="2:42" ht="18" x14ac:dyDescent="0.25">
      <c r="B44" s="20" t="s">
        <v>384</v>
      </c>
      <c r="C44" s="59">
        <v>69</v>
      </c>
      <c r="D44" s="55" t="s">
        <v>502</v>
      </c>
      <c r="E44" s="17" t="str">
        <f t="shared" si="6"/>
        <v>g0 [mm] = 69</v>
      </c>
      <c r="AD44" s="156">
        <f t="shared" si="4"/>
        <v>354.90816326530603</v>
      </c>
      <c r="AE44" s="119" cm="1">
        <f t="array" ref="AE44">IF(AD44&gt;$C$125/2,0,flat_plate_roark_F(0,$C$125/2,$C$47/2,$C$35*1000,AD44,$C$41/2,$C$38,$C$111,$C$31))</f>
        <v>-1.0716929453852E-3</v>
      </c>
      <c r="AF44" s="17" cm="1">
        <f t="array" ref="AF44">IF(AD44&gt;$C$125/2,0,flat_plate_roark_F(0,$C$125/2,$C$47/2,$C$35*1000,AD44,$C$41/2,$C$38,$C$104,$C$31))</f>
        <v>-4.794411333151354E-5</v>
      </c>
      <c r="AG44" s="17" cm="1">
        <f t="array" ref="AG44">IF(AD44&gt;$C$125/2,0,flat_plate_roark_F(0,$C$125/2,$C$47/2,$C$35*1000,AD44,$C$63/2,$C$38,$C$118,$C$31))</f>
        <v>0</v>
      </c>
      <c r="AH44" s="17" cm="1">
        <f t="array" ref="AH44">IF(AD44&gt;$C$125/2,0,flat_plate_roark_P(0,$C$125/2,$C$47/2,$C$35*1000,AD44,$C$47/2,$C$38,$C$97,$C$31)+IF($C$125&gt;$C$62,flat_plate_roark_P(0,$C$125/2,$C$47/2,$C$35*1000,AD44,$C$62/2,$C$38,-$C$97,$C$31),0))</f>
        <v>-1.3121225826725862E-3</v>
      </c>
      <c r="AI44" s="150">
        <f t="shared" si="1"/>
        <v>1.9248552395587266E-4</v>
      </c>
      <c r="AJ44" s="156">
        <f t="shared" si="5"/>
        <v>354.90816326530603</v>
      </c>
      <c r="AK44" cm="1">
        <f t="array" ref="AK44">IF(AJ44&gt;$C$159/2,0,flat_plate_roark_F(0,$C$125/2,$C$47/2,$C$35*1000,AJ44,$C$41/2,$C$38,$C$145,$C$31))</f>
        <v>-1.0858174597403415E-3</v>
      </c>
      <c r="AL44" s="17" cm="1">
        <f t="array" ref="AL44">IF(AJ44&gt;$C$159/2,0,+flat_plate_roark_F(0,$C$159/2,$C$47/2,$C$35*1000,AJ44,$C$63/2,$C$38,$C$152,$C$31))</f>
        <v>0</v>
      </c>
      <c r="AM44" s="17" cm="1">
        <f t="array" ref="AM44">IF(AJ44&gt;$C$159/2,0,flat_plate_roark_P(0,$C$159/2,$C$47/2,$C$35*1000,AJ44,$C$47/2,$C$38,$C$138,$C$31)+IF($C$159&gt;$C$62,flat_plate_roark_P(0,$C$159/2,$C$47/2,$C$35*1000,AJ44,$C$62/2,$C$38,-$C$138,$C$31),0))</f>
        <v>-1.2828333129553417E-2</v>
      </c>
      <c r="AN44" s="150">
        <f t="shared" si="3"/>
        <v>1.1742515669813075E-2</v>
      </c>
      <c r="AO44" s="164" cm="1">
        <f t="array" ref="AO44">_xlfn.IFS($AP$2=1,AD44,$AP$2=2,AJ44)</f>
        <v>354.90816326530603</v>
      </c>
      <c r="AP44" s="150" cm="1">
        <f t="array" ref="AP44">_xlfn.IFS($AP$2=1,AI44,$AP$2=2,AN44)</f>
        <v>1.9248552395587266E-4</v>
      </c>
    </row>
    <row r="45" spans="2:42" x14ac:dyDescent="0.25">
      <c r="B45" s="20" t="s">
        <v>126</v>
      </c>
      <c r="C45" s="59">
        <v>125</v>
      </c>
      <c r="D45" s="55" t="s">
        <v>101</v>
      </c>
      <c r="E45" s="17" t="str">
        <f t="shared" si="6"/>
        <v>h [mm] = 125</v>
      </c>
      <c r="AD45" s="156">
        <f t="shared" si="4"/>
        <v>359.91836734693868</v>
      </c>
      <c r="AE45" s="119" cm="1">
        <f t="array" ref="AE45">IF(AD45&gt;$C$125/2,0,flat_plate_roark_F(0,$C$125/2,$C$47/2,$C$35*1000,AD45,$C$41/2,$C$38,$C$111,$C$31))</f>
        <v>-5.507087692806405E-4</v>
      </c>
      <c r="AF45" s="17" cm="1">
        <f t="array" ref="AF45">IF(AD45&gt;$C$125/2,0,flat_plate_roark_F(0,$C$125/2,$C$47/2,$C$35*1000,AD45,$C$41/2,$C$38,$C$104,$C$31))</f>
        <v>-2.4636948260921251E-5</v>
      </c>
      <c r="AG45" s="17" cm="1">
        <f t="array" ref="AG45">IF(AD45&gt;$C$125/2,0,flat_plate_roark_F(0,$C$125/2,$C$47/2,$C$35*1000,AD45,$C$63/2,$C$38,$C$118,$C$31))</f>
        <v>0</v>
      </c>
      <c r="AH45" s="17" cm="1">
        <f t="array" ref="AH45">IF(AD45&gt;$C$125/2,0,flat_plate_roark_P(0,$C$125/2,$C$47/2,$C$35*1000,AD45,$C$47/2,$C$38,$C$97,$C$31)+IF($C$125&gt;$C$62,flat_plate_roark_P(0,$C$125/2,$C$47/2,$C$35*1000,AD45,$C$62/2,$C$38,-$C$97,$C$31),0))</f>
        <v>-6.3966667797352725E-4</v>
      </c>
      <c r="AI45" s="150">
        <f t="shared" si="1"/>
        <v>6.4320960431965492E-5</v>
      </c>
      <c r="AJ45" s="156">
        <f t="shared" si="5"/>
        <v>359.91836734693868</v>
      </c>
      <c r="AK45" cm="1">
        <f t="array" ref="AK45">IF(AJ45&gt;$C$159/2,0,flat_plate_roark_F(0,$C$125/2,$C$47/2,$C$35*1000,AJ45,$C$41/2,$C$38,$C$145,$C$31))</f>
        <v>-5.5796690599853359E-4</v>
      </c>
      <c r="AL45" s="17" cm="1">
        <f t="array" ref="AL45">IF(AJ45&gt;$C$159/2,0,+flat_plate_roark_F(0,$C$159/2,$C$47/2,$C$35*1000,AJ45,$C$63/2,$C$38,$C$152,$C$31))</f>
        <v>0</v>
      </c>
      <c r="AM45" s="17" cm="1">
        <f t="array" ref="AM45">IF(AJ45&gt;$C$159/2,0,flat_plate_roark_P(0,$C$159/2,$C$47/2,$C$35*1000,AJ45,$C$47/2,$C$38,$C$138,$C$31)+IF($C$159&gt;$C$62,flat_plate_roark_P(0,$C$159/2,$C$47/2,$C$35*1000,AJ45,$C$62/2,$C$38,-$C$138,$C$31),0))</f>
        <v>-9.9718339546187498E-3</v>
      </c>
      <c r="AN45" s="150">
        <f t="shared" si="3"/>
        <v>9.4138670486202166E-3</v>
      </c>
      <c r="AO45" s="164" cm="1">
        <f t="array" ref="AO45">_xlfn.IFS($AP$2=1,AD45,$AP$2=2,AJ45)</f>
        <v>359.91836734693868</v>
      </c>
      <c r="AP45" s="150" cm="1">
        <f t="array" ref="AP45">_xlfn.IFS($AP$2=1,AI45,$AP$2=2,AN45)</f>
        <v>6.4320960431965492E-5</v>
      </c>
    </row>
    <row r="46" spans="2:42" ht="18" x14ac:dyDescent="0.25">
      <c r="B46" s="23" t="s">
        <v>459</v>
      </c>
      <c r="C46" s="47">
        <f>268*2</f>
        <v>536</v>
      </c>
      <c r="D46" s="55" t="s">
        <v>257</v>
      </c>
      <c r="E46" s="17" t="str">
        <f t="shared" si="6"/>
        <v>dint [mm] = 536</v>
      </c>
      <c r="AD46" s="156">
        <f t="shared" si="4"/>
        <v>364.92857142857133</v>
      </c>
      <c r="AE46" s="119" cm="1">
        <f t="array" ref="AE46">IF(AD46&gt;$C$125/2,0,flat_plate_roark_F(0,$C$125/2,$C$47/2,$C$35*1000,AD46,$C$41/2,$C$38,$C$111,$C$31))</f>
        <v>-1.8417428585385247E-4</v>
      </c>
      <c r="AF46" s="17" cm="1">
        <f t="array" ref="AF46">IF(AD46&gt;$C$125/2,0,flat_plate_roark_F(0,$C$125/2,$C$47/2,$C$35*1000,AD46,$C$41/2,$C$38,$C$104,$C$31))</f>
        <v>-8.2393682553859971E-6</v>
      </c>
      <c r="AG46" s="17" cm="1">
        <f t="array" ref="AG46">IF(AD46&gt;$C$125/2,0,flat_plate_roark_F(0,$C$125/2,$C$47/2,$C$35*1000,AD46,$C$63/2,$C$38,$C$118,$C$31))</f>
        <v>0</v>
      </c>
      <c r="AH46" s="17" cm="1">
        <f t="array" ref="AH46">IF(AD46&gt;$C$125/2,0,flat_plate_roark_P(0,$C$125/2,$C$47/2,$C$35*1000,AD46,$C$47/2,$C$38,$C$97,$C$31)+IF($C$125&gt;$C$62,flat_plate_roark_P(0,$C$125/2,$C$47/2,$C$35*1000,AD46,$C$62/2,$C$38,-$C$97,$C$31),0))</f>
        <v>-2.037700550963752E-4</v>
      </c>
      <c r="AI46" s="150">
        <f t="shared" si="1"/>
        <v>1.1356400987136742E-5</v>
      </c>
      <c r="AJ46" s="156">
        <f t="shared" si="5"/>
        <v>364.92857142857133</v>
      </c>
      <c r="AK46" cm="1">
        <f t="array" ref="AK46">IF(AJ46&gt;$C$159/2,0,flat_plate_roark_F(0,$C$125/2,$C$47/2,$C$35*1000,AJ46,$C$41/2,$C$38,$C$145,$C$31))</f>
        <v>-1.8660163442938945E-4</v>
      </c>
      <c r="AL46" s="17" cm="1">
        <f t="array" ref="AL46">IF(AJ46&gt;$C$159/2,0,+flat_plate_roark_F(0,$C$159/2,$C$47/2,$C$35*1000,AJ46,$C$63/2,$C$38,$C$152,$C$31))</f>
        <v>0</v>
      </c>
      <c r="AM46" s="17" cm="1">
        <f t="array" ref="AM46">IF(AJ46&gt;$C$159/2,0,flat_plate_roark_P(0,$C$159/2,$C$47/2,$C$35*1000,AJ46,$C$47/2,$C$38,$C$138,$C$31)+IF($C$159&gt;$C$62,flat_plate_roark_P(0,$C$159/2,$C$47/2,$C$35*1000,AJ46,$C$62/2,$C$38,-$C$138,$C$31),0))</f>
        <v>-7.457525455472745E-3</v>
      </c>
      <c r="AN46" s="150">
        <f t="shared" si="3"/>
        <v>7.2709238210433551E-3</v>
      </c>
      <c r="AO46" s="164" cm="1">
        <f t="array" ref="AO46">_xlfn.IFS($AP$2=1,AD46,$AP$2=2,AJ46)</f>
        <v>364.92857142857133</v>
      </c>
      <c r="AP46" s="150" cm="1">
        <f t="array" ref="AP46">_xlfn.IFS($AP$2=1,AI46,$AP$2=2,AN46)</f>
        <v>1.1356400987136742E-5</v>
      </c>
    </row>
    <row r="47" spans="2:42" ht="18" x14ac:dyDescent="0.25">
      <c r="B47" s="23" t="s">
        <v>572</v>
      </c>
      <c r="C47" s="47">
        <v>309</v>
      </c>
      <c r="D47" s="55" t="s">
        <v>493</v>
      </c>
      <c r="E47" s="17" t="str">
        <f>+B47&amp;" = "&amp;C47</f>
        <v>Dcover [mm] = 309</v>
      </c>
      <c r="AD47" s="156">
        <f t="shared" si="4"/>
        <v>369.93877551020398</v>
      </c>
      <c r="AE47" s="119" cm="1">
        <f t="array" ref="AE47">IF(AD47&gt;$C$125/2,0,flat_plate_roark_F(0,$C$125/2,$C$47/2,$C$35*1000,AD47,$C$41/2,$C$38,$C$111,$C$31))</f>
        <v>-9.5281608627039837E-6</v>
      </c>
      <c r="AF47" s="17" cm="1">
        <f t="array" ref="AF47">IF(AD47&gt;$C$125/2,0,flat_plate_roark_F(0,$C$125/2,$C$47/2,$C$35*1000,AD47,$C$41/2,$C$38,$C$104,$C$31))</f>
        <v>-4.2625943019378425E-7</v>
      </c>
      <c r="AG47" s="17" cm="1">
        <f t="array" ref="AG47">IF(AD47&gt;$C$125/2,0,flat_plate_roark_F(0,$C$125/2,$C$47/2,$C$35*1000,AD47,$C$63/2,$C$38,$C$118,$C$31))</f>
        <v>0</v>
      </c>
      <c r="AH47" s="17" cm="1">
        <f t="array" ref="AH47">IF(AD47&gt;$C$125/2,0,flat_plate_roark_P(0,$C$125/2,$C$47/2,$C$35*1000,AD47,$C$47/2,$C$38,$C$97,$C$31)+IF($C$125&gt;$C$62,flat_plate_roark_P(0,$C$125/2,$C$47/2,$C$35*1000,AD47,$C$62/2,$C$38,-$C$97,$C$31),0))</f>
        <v>-1.0077096577873999E-5</v>
      </c>
      <c r="AI47" s="150">
        <f t="shared" si="1"/>
        <v>1.2267628497623136E-7</v>
      </c>
      <c r="AJ47" s="156">
        <f t="shared" si="5"/>
        <v>369.93877551020398</v>
      </c>
      <c r="AK47" cm="1">
        <f t="array" ref="AK47">IF(AJ47&gt;$C$159/2,0,flat_plate_roark_F(0,$C$125/2,$C$47/2,$C$35*1000,AJ47,$C$41/2,$C$38,$C$145,$C$31))</f>
        <v>-9.6537384784423346E-6</v>
      </c>
      <c r="AL47" s="17" cm="1">
        <f t="array" ref="AL47">IF(AJ47&gt;$C$159/2,0,+flat_plate_roark_F(0,$C$159/2,$C$47/2,$C$35*1000,AJ47,$C$63/2,$C$38,$C$152,$C$31))</f>
        <v>0</v>
      </c>
      <c r="AM47" s="17" cm="1">
        <f t="array" ref="AM47">IF(AJ47&gt;$C$159/2,0,flat_plate_roark_P(0,$C$159/2,$C$47/2,$C$35*1000,AJ47,$C$47/2,$C$38,$C$138,$C$31)+IF($C$159&gt;$C$62,flat_plate_roark_P(0,$C$159/2,$C$47/2,$C$35*1000,AJ47,$C$62/2,$C$38,-$C$138,$C$31),0))</f>
        <v>-5.2936947205544137E-3</v>
      </c>
      <c r="AN47" s="150">
        <f t="shared" si="3"/>
        <v>5.2840409820759712E-3</v>
      </c>
      <c r="AO47" s="164" cm="1">
        <f t="array" ref="AO47">_xlfn.IFS($AP$2=1,AD47,$AP$2=2,AJ47)</f>
        <v>369.93877551020398</v>
      </c>
      <c r="AP47" s="150" cm="1">
        <f t="array" ref="AP47">_xlfn.IFS($AP$2=1,AI47,$AP$2=2,AN47)</f>
        <v>1.2267628497623136E-7</v>
      </c>
    </row>
    <row r="48" spans="2:42" ht="18" x14ac:dyDescent="0.25">
      <c r="B48" s="23" t="s">
        <v>573</v>
      </c>
      <c r="C48" s="47">
        <v>115</v>
      </c>
      <c r="D48" s="55" t="s">
        <v>559</v>
      </c>
      <c r="E48" s="17" t="str" cm="1">
        <f t="array" ref="E48">_xlfn.IFS(G21=1,B48&amp;" = "&amp;C48,G21=2,B49&amp;" = "&amp;C49)</f>
        <v>Dshaft,d [mm] = 115</v>
      </c>
      <c r="AD48" s="156">
        <f t="shared" si="4"/>
        <v>374.94897959183663</v>
      </c>
      <c r="AE48" s="119" cm="1">
        <f t="array" ref="AE48">IF(AD48&gt;$C$125/2,0,flat_plate_roark_F(0,$C$125/2,$C$47/2,$C$35*1000,AD48,$C$41/2,$C$38,$C$111,$C$31))</f>
        <v>0</v>
      </c>
      <c r="AF48" s="17" cm="1">
        <f t="array" ref="AF48">IF(AD48&gt;$C$125/2,0,flat_plate_roark_F(0,$C$125/2,$C$47/2,$C$35*1000,AD48,$C$41/2,$C$38,$C$104,$C$31))</f>
        <v>0</v>
      </c>
      <c r="AG48" s="17" cm="1">
        <f t="array" ref="AG48">IF(AD48&gt;$C$125/2,0,flat_plate_roark_F(0,$C$125/2,$C$47/2,$C$35*1000,AD48,$C$63/2,$C$38,$C$118,$C$31))</f>
        <v>0</v>
      </c>
      <c r="AH48" s="17" cm="1">
        <f t="array" ref="AH48">IF(AD48&gt;$C$125/2,0,flat_plate_roark_P(0,$C$125/2,$C$47/2,$C$35*1000,AD48,$C$47/2,$C$38,$C$97,$C$31)+IF($C$125&gt;$C$62,flat_plate_roark_P(0,$C$125/2,$C$47/2,$C$35*1000,AD48,$C$62/2,$C$38,-$C$97,$C$31),0))</f>
        <v>0</v>
      </c>
      <c r="AI48" s="150">
        <f t="shared" si="1"/>
        <v>0</v>
      </c>
      <c r="AJ48" s="156">
        <f t="shared" si="5"/>
        <v>374.94897959183663</v>
      </c>
      <c r="AK48" cm="1">
        <f t="array" ref="AK48">IF(AJ48&gt;$C$159/2,0,flat_plate_roark_F(0,$C$125/2,$C$47/2,$C$35*1000,AJ48,$C$41/2,$C$38,$C$145,$C$31))</f>
        <v>-6.4064561473855218E-5</v>
      </c>
      <c r="AL48" s="17" cm="1">
        <f t="array" ref="AL48">IF(AJ48&gt;$C$159/2,0,+flat_plate_roark_F(0,$C$159/2,$C$47/2,$C$35*1000,AJ48,$C$63/2,$C$38,$C$152,$C$31))</f>
        <v>0</v>
      </c>
      <c r="AM48" s="17" cm="1">
        <f t="array" ref="AM48">IF(AJ48&gt;$C$159/2,0,flat_plate_roark_P(0,$C$159/2,$C$47/2,$C$35*1000,AJ48,$C$47/2,$C$38,$C$138,$C$31)+IF($C$159&gt;$C$62,flat_plate_roark_P(0,$C$159/2,$C$47/2,$C$35*1000,AJ48,$C$62/2,$C$38,-$C$138,$C$31),0))</f>
        <v>-3.4884754985776258E-3</v>
      </c>
      <c r="AN48" s="150">
        <f t="shared" si="3"/>
        <v>3.4244109371037706E-3</v>
      </c>
      <c r="AO48" s="164" cm="1">
        <f t="array" ref="AO48">_xlfn.IFS($AP$2=1,AD48,$AP$2=2,AJ48)</f>
        <v>374.94897959183663</v>
      </c>
      <c r="AP48" s="150" cm="1">
        <f t="array" ref="AP48">_xlfn.IFS($AP$2=1,AI48,$AP$2=2,AN48)</f>
        <v>0</v>
      </c>
    </row>
    <row r="49" spans="2:42" ht="18" x14ac:dyDescent="0.25">
      <c r="B49" s="23" t="s">
        <v>574</v>
      </c>
      <c r="C49" s="47">
        <v>80</v>
      </c>
      <c r="D49" s="55" t="s">
        <v>560</v>
      </c>
      <c r="AD49" s="156">
        <f t="shared" si="4"/>
        <v>379.95918367346928</v>
      </c>
      <c r="AE49" s="119" cm="1">
        <f t="array" ref="AE49">IF(AD49&gt;$C$125/2,0,flat_plate_roark_F(0,$C$125/2,$C$47/2,$C$35*1000,AD49,$C$41/2,$C$38,$C$111,$C$31))</f>
        <v>0</v>
      </c>
      <c r="AF49" s="17" cm="1">
        <f t="array" ref="AF49">IF(AD49&gt;$C$125/2,0,flat_plate_roark_F(0,$C$125/2,$C$47/2,$C$35*1000,AD49,$C$41/2,$C$38,$C$104,$C$31))</f>
        <v>0</v>
      </c>
      <c r="AG49" s="17" cm="1">
        <f t="array" ref="AG49">IF(AD49&gt;$C$125/2,0,flat_plate_roark_F(0,$C$125/2,$C$47/2,$C$35*1000,AD49,$C$63/2,$C$38,$C$118,$C$31))</f>
        <v>0</v>
      </c>
      <c r="AH49" s="17" cm="1">
        <f t="array" ref="AH49">IF(AD49&gt;$C$125/2,0,flat_plate_roark_P(0,$C$125/2,$C$47/2,$C$35*1000,AD49,$C$47/2,$C$38,$C$97,$C$31)+IF($C$125&gt;$C$62,flat_plate_roark_P(0,$C$125/2,$C$47/2,$C$35*1000,AD49,$C$62/2,$C$38,-$C$97,$C$31),0))</f>
        <v>0</v>
      </c>
      <c r="AI49" s="150">
        <f t="shared" si="1"/>
        <v>0</v>
      </c>
      <c r="AJ49" s="156">
        <f t="shared" si="5"/>
        <v>379.95918367346928</v>
      </c>
      <c r="AK49" cm="1">
        <f t="array" ref="AK49">IF(AJ49&gt;$C$159/2,0,flat_plate_roark_F(0,$C$125/2,$C$47/2,$C$35*1000,AJ49,$C$41/2,$C$38,$C$145,$C$31))</f>
        <v>-3.8583008465086291E-4</v>
      </c>
      <c r="AL49" s="17" cm="1">
        <f t="array" ref="AL49">IF(AJ49&gt;$C$159/2,0,+flat_plate_roark_F(0,$C$159/2,$C$47/2,$C$35*1000,AJ49,$C$63/2,$C$38,$C$152,$C$31))</f>
        <v>0</v>
      </c>
      <c r="AM49" s="17" cm="1">
        <f t="array" ref="AM49">IF(AJ49&gt;$C$159/2,0,flat_plate_roark_P(0,$C$159/2,$C$47/2,$C$35*1000,AJ49,$C$47/2,$C$38,$C$138,$C$31)+IF($C$159&gt;$C$62,flat_plate_roark_P(0,$C$159/2,$C$47/2,$C$35*1000,AJ49,$C$62/2,$C$38,-$C$138,$C$31),0))</f>
        <v>-2.0498539198904944E-3</v>
      </c>
      <c r="AN49" s="150">
        <f t="shared" si="3"/>
        <v>1.6640238352396315E-3</v>
      </c>
      <c r="AO49" s="164" cm="1">
        <f t="array" ref="AO49">_xlfn.IFS($AP$2=1,AD49,$AP$2=2,AJ49)</f>
        <v>379.95918367346928</v>
      </c>
      <c r="AP49" s="150" cm="1">
        <f t="array" ref="AP49">_xlfn.IFS($AP$2=1,AI49,$AP$2=2,AN49)</f>
        <v>0</v>
      </c>
    </row>
    <row r="50" spans="2:42" ht="18" x14ac:dyDescent="0.25">
      <c r="B50" s="20" t="s">
        <v>30</v>
      </c>
      <c r="C50" s="42">
        <f>PI()*(1000*C35)*C36*TAN(RADIANS(C30))/2/LN((C26*TAN(RADIANS(C30))+C14-C36)*(C14+C36)/(C26*TAN(RADIANS(C30))+C14+C36)/(C14-C36))</f>
        <v>10705240.678532274</v>
      </c>
      <c r="D50" s="55" t="s">
        <v>256</v>
      </c>
      <c r="AD50" s="156">
        <f t="shared" si="4"/>
        <v>384.96938775510193</v>
      </c>
      <c r="AE50" s="119" cm="1">
        <f t="array" ref="AE50">IF(AD50&gt;$C$125/2,0,flat_plate_roark_F(0,$C$125/2,$C$47/2,$C$35*1000,AD50,$C$41/2,$C$38,$C$111,$C$31))</f>
        <v>0</v>
      </c>
      <c r="AF50" s="17" cm="1">
        <f t="array" ref="AF50">IF(AD50&gt;$C$125/2,0,flat_plate_roark_F(0,$C$125/2,$C$47/2,$C$35*1000,AD50,$C$41/2,$C$38,$C$104,$C$31))</f>
        <v>0</v>
      </c>
      <c r="AG50" s="17" cm="1">
        <f t="array" ref="AG50">IF(AD50&gt;$C$125/2,0,flat_plate_roark_F(0,$C$125/2,$C$47/2,$C$35*1000,AD50,$C$63/2,$C$38,$C$118,$C$31))</f>
        <v>0</v>
      </c>
      <c r="AH50" s="17" cm="1">
        <f t="array" ref="AH50">IF(AD50&gt;$C$125/2,0,flat_plate_roark_P(0,$C$125/2,$C$47/2,$C$35*1000,AD50,$C$47/2,$C$38,$C$97,$C$31)+IF($C$125&gt;$C$62,flat_plate_roark_P(0,$C$125/2,$C$47/2,$C$35*1000,AD50,$C$62/2,$C$38,-$C$97,$C$31),0))</f>
        <v>0</v>
      </c>
      <c r="AI50" s="150">
        <f t="shared" si="1"/>
        <v>0</v>
      </c>
      <c r="AJ50" s="156">
        <f t="shared" si="5"/>
        <v>384.96938775510193</v>
      </c>
      <c r="AK50" cm="1">
        <f t="array" ref="AK50">IF(AJ50&gt;$C$159/2,0,flat_plate_roark_F(0,$C$125/2,$C$47/2,$C$35*1000,AJ50,$C$41/2,$C$38,$C$145,$C$31))</f>
        <v>-1.0100435324733341E-3</v>
      </c>
      <c r="AL50" s="17" cm="1">
        <f t="array" ref="AL50">IF(AJ50&gt;$C$159/2,0,+flat_plate_roark_F(0,$C$159/2,$C$47/2,$C$35*1000,AJ50,$C$63/2,$C$38,$C$152,$C$31))</f>
        <v>0</v>
      </c>
      <c r="AM50" s="17" cm="1">
        <f t="array" ref="AM50">IF(AJ50&gt;$C$159/2,0,flat_plate_roark_P(0,$C$159/2,$C$47/2,$C$35*1000,AJ50,$C$47/2,$C$38,$C$138,$C$31)+IF($C$159&gt;$C$62,flat_plate_roark_P(0,$C$159/2,$C$47/2,$C$35*1000,AJ50,$C$62/2,$C$38,-$C$138,$C$31),0))</f>
        <v>-9.856739069163279E-4</v>
      </c>
      <c r="AN50" s="150">
        <f t="shared" si="3"/>
        <v>-2.4369625557006148E-5</v>
      </c>
      <c r="AO50" s="164" cm="1">
        <f t="array" ref="AO50">_xlfn.IFS($AP$2=1,AD50,$AP$2=2,AJ50)</f>
        <v>384.96938775510193</v>
      </c>
      <c r="AP50" s="150" cm="1">
        <f t="array" ref="AP50">_xlfn.IFS($AP$2=1,AI50,$AP$2=2,AN50)</f>
        <v>0</v>
      </c>
    </row>
    <row r="51" spans="2:42" ht="18" x14ac:dyDescent="0.25">
      <c r="B51" s="20" t="s">
        <v>39</v>
      </c>
      <c r="C51" s="42">
        <f>INT(C39/C18)-1</f>
        <v>13</v>
      </c>
      <c r="D51" s="55" t="s">
        <v>255</v>
      </c>
      <c r="AD51" s="156">
        <f t="shared" si="4"/>
        <v>389.97959183673458</v>
      </c>
      <c r="AE51" s="119" cm="1">
        <f t="array" ref="AE51">IF(AD51&gt;$C$125/2,0,flat_plate_roark_F(0,$C$125/2,$C$47/2,$C$35*1000,AD51,$C$41/2,$C$38,$C$111,$C$31))</f>
        <v>0</v>
      </c>
      <c r="AF51" s="17" cm="1">
        <f t="array" ref="AF51">IF(AD51&gt;$C$125/2,0,flat_plate_roark_F(0,$C$125/2,$C$47/2,$C$35*1000,AD51,$C$41/2,$C$38,$C$104,$C$31))</f>
        <v>0</v>
      </c>
      <c r="AG51" s="17" cm="1">
        <f t="array" ref="AG51">IF(AD51&gt;$C$125/2,0,flat_plate_roark_F(0,$C$125/2,$C$47/2,$C$35*1000,AD51,$C$63/2,$C$38,$C$118,$C$31))</f>
        <v>0</v>
      </c>
      <c r="AH51" s="17" cm="1">
        <f t="array" ref="AH51">IF(AD51&gt;$C$125/2,0,flat_plate_roark_P(0,$C$125/2,$C$47/2,$C$35*1000,AD51,$C$47/2,$C$38,$C$97,$C$31)+IF($C$125&gt;$C$62,flat_plate_roark_P(0,$C$125/2,$C$47/2,$C$35*1000,AD51,$C$62/2,$C$38,-$C$97,$C$31),0))</f>
        <v>0</v>
      </c>
      <c r="AI51" s="150">
        <f t="shared" si="1"/>
        <v>0</v>
      </c>
      <c r="AJ51" s="156">
        <f t="shared" si="5"/>
        <v>389.97959183673458</v>
      </c>
      <c r="AK51" cm="1">
        <f t="array" ref="AK51">IF(AJ51&gt;$C$159/2,0,flat_plate_roark_F(0,$C$125/2,$C$47/2,$C$35*1000,AJ51,$C$41/2,$C$38,$C$145,$C$31))</f>
        <v>-1.9709354037699646E-3</v>
      </c>
      <c r="AL51" s="17" cm="1">
        <f t="array" ref="AL51">IF(AJ51&gt;$C$159/2,0,+flat_plate_roark_F(0,$C$159/2,$C$47/2,$C$35*1000,AJ51,$C$63/2,$C$38,$C$152,$C$31))</f>
        <v>0</v>
      </c>
      <c r="AM51" s="17" cm="1">
        <f t="array" ref="AM51">IF(AJ51&gt;$C$159/2,0,flat_plate_roark_P(0,$C$159/2,$C$47/2,$C$35*1000,AJ51,$C$47/2,$C$38,$C$138,$C$31)+IF($C$159&gt;$C$62,flat_plate_roark_P(0,$C$159/2,$C$47/2,$C$35*1000,AJ51,$C$62/2,$C$38,-$C$138,$C$31),0))</f>
        <v>-3.0364229531248954E-4</v>
      </c>
      <c r="AN51" s="150">
        <f t="shared" si="3"/>
        <v>-1.667293108457475E-3</v>
      </c>
      <c r="AO51" s="164" cm="1">
        <f t="array" ref="AO51">_xlfn.IFS($AP$2=1,AD51,$AP$2=2,AJ51)</f>
        <v>389.97959183673458</v>
      </c>
      <c r="AP51" s="150" cm="1">
        <f t="array" ref="AP51">_xlfn.IFS($AP$2=1,AI51,$AP$2=2,AN51)</f>
        <v>0</v>
      </c>
    </row>
    <row r="52" spans="2:42" x14ac:dyDescent="0.25">
      <c r="B52" s="20" t="s">
        <v>46</v>
      </c>
      <c r="C52" s="42">
        <f>PI()*C17*(75%*C51*C18)*(C32/SQRT(3))</f>
        <v>2069091.6247501841</v>
      </c>
      <c r="D52" s="55" t="s">
        <v>254</v>
      </c>
      <c r="AD52" s="156">
        <f t="shared" si="4"/>
        <v>394.98979591836724</v>
      </c>
      <c r="AE52" s="119" cm="1">
        <f t="array" ref="AE52">IF(AD52&gt;$C$125/2,0,flat_plate_roark_F(0,$C$125/2,$C$47/2,$C$35*1000,AD52,$C$41/2,$C$38,$C$111,$C$31))</f>
        <v>0</v>
      </c>
      <c r="AF52" s="17" cm="1">
        <f t="array" ref="AF52">IF(AD52&gt;$C$125/2,0,flat_plate_roark_F(0,$C$125/2,$C$47/2,$C$35*1000,AD52,$C$41/2,$C$38,$C$104,$C$31))</f>
        <v>0</v>
      </c>
      <c r="AG52" s="17" cm="1">
        <f t="array" ref="AG52">IF(AD52&gt;$C$125/2,0,flat_plate_roark_F(0,$C$125/2,$C$47/2,$C$35*1000,AD52,$C$63/2,$C$38,$C$118,$C$31))</f>
        <v>0</v>
      </c>
      <c r="AH52" s="17" cm="1">
        <f t="array" ref="AH52">IF(AD52&gt;$C$125/2,0,flat_plate_roark_P(0,$C$125/2,$C$47/2,$C$35*1000,AD52,$C$47/2,$C$38,$C$97,$C$31)+IF($C$125&gt;$C$62,flat_plate_roark_P(0,$C$125/2,$C$47/2,$C$35*1000,AD52,$C$62/2,$C$38,-$C$97,$C$31),0))</f>
        <v>0</v>
      </c>
      <c r="AI52" s="150">
        <f t="shared" si="1"/>
        <v>0</v>
      </c>
      <c r="AJ52" s="156">
        <f t="shared" si="5"/>
        <v>394.98979591836724</v>
      </c>
      <c r="AK52" cm="1">
        <f t="array" ref="AK52">IF(AJ52&gt;$C$159/2,0,flat_plate_roark_F(0,$C$125/2,$C$47/2,$C$35*1000,AJ52,$C$41/2,$C$38,$C$145,$C$31))</f>
        <v>-3.301911118865776E-3</v>
      </c>
      <c r="AL52" s="17" cm="1">
        <f t="array" ref="AL52">IF(AJ52&gt;$C$159/2,0,+flat_plate_roark_F(0,$C$159/2,$C$47/2,$C$35*1000,AJ52,$C$63/2,$C$38,$C$152,$C$31))</f>
        <v>0</v>
      </c>
      <c r="AM52" s="17" cm="1">
        <f t="array" ref="AM52">IF(AJ52&gt;$C$159/2,0,flat_plate_roark_P(0,$C$159/2,$C$47/2,$C$35*1000,AJ52,$C$47/2,$C$38,$C$138,$C$31)+IF($C$159&gt;$C$62,flat_plate_roark_P(0,$C$159/2,$C$47/2,$C$35*1000,AJ52,$C$62/2,$C$38,-$C$138,$C$31),0))</f>
        <v>-1.1333685664714765E-5</v>
      </c>
      <c r="AN52" s="150">
        <f t="shared" si="3"/>
        <v>-3.2905774332010612E-3</v>
      </c>
      <c r="AO52" s="164" cm="1">
        <f t="array" ref="AO52">_xlfn.IFS($AP$2=1,AD52,$AP$2=2,AJ52)</f>
        <v>394.98979591836724</v>
      </c>
      <c r="AP52" s="150" cm="1">
        <f t="array" ref="AP52">_xlfn.IFS($AP$2=1,AI52,$AP$2=2,AN52)</f>
        <v>0</v>
      </c>
    </row>
    <row r="53" spans="2:42" x14ac:dyDescent="0.25">
      <c r="AD53" s="157">
        <f t="shared" si="4"/>
        <v>399.99999999999989</v>
      </c>
      <c r="AE53" s="121" cm="1">
        <f t="array" ref="AE53">IF(AD53&gt;$C$125/2,0,flat_plate_roark_F(0,$C$125/2,$C$47/2,$C$35*1000,AD53,$C$41/2,$C$38,$C$111,$C$31))</f>
        <v>0</v>
      </c>
      <c r="AF53" s="151" cm="1">
        <f t="array" ref="AF53">IF(AD53&gt;$C$125/2,0,flat_plate_roark_F(0,$C$125/2,$C$47/2,$C$35*1000,AD53,$C$41/2,$C$38,$C$104,$C$31))</f>
        <v>0</v>
      </c>
      <c r="AG53" s="151" cm="1">
        <f t="array" ref="AG53">IF(AD53&gt;$C$125/2,0,flat_plate_roark_F(0,$C$125/2,$C$47/2,$C$35*1000,AD53,$C$63/2,$C$38,$C$118,$C$31))</f>
        <v>0</v>
      </c>
      <c r="AH53" s="151" cm="1">
        <f t="array" ref="AH53">IF(AD53&gt;$C$125/2,0,flat_plate_roark_P(0,$C$125/2,$C$47/2,$C$35*1000,AD53,$C$47/2,$C$38,$C$97,$C$31)+IF($C$125&gt;$C$62,flat_plate_roark_P(0,$C$125/2,$C$47/2,$C$35*1000,AD53,$C$62/2,$C$38,-$C$97,$C$31),0))</f>
        <v>0</v>
      </c>
      <c r="AI53" s="152">
        <f t="shared" si="1"/>
        <v>0</v>
      </c>
      <c r="AJ53" s="157">
        <f t="shared" si="5"/>
        <v>399.99999999999989</v>
      </c>
      <c r="AK53" s="122" cm="1">
        <f t="array" ref="AK53">IF(AJ53&gt;$C$159/2,0,flat_plate_roark_F(0,$C$125/2,$C$47/2,$C$35*1000,AJ53,$C$41/2,$C$38,$C$145,$C$31))</f>
        <v>0</v>
      </c>
      <c r="AL53" s="151" cm="1">
        <f t="array" ref="AL53">IF(AJ53&gt;$C$159/2,0,+flat_plate_roark_F(0,$C$159/2,$C$47/2,$C$35*1000,AJ53,$C$63/2,$C$38,$C$152,$C$31))</f>
        <v>0</v>
      </c>
      <c r="AM53" s="151" cm="1">
        <f t="array" ref="AM53">IF(AJ53&gt;$C$159/2,0,flat_plate_roark_P(0,$C$159/2,$C$47/2,$C$35*1000,AJ53,$C$47/2,$C$38,$C$138,$C$31)+IF($C$159&gt;$C$62,flat_plate_roark_P(0,$C$159/2,$C$47/2,$C$35*1000,AJ53,$C$62/2,$C$38,-$C$138,$C$31),0))</f>
        <v>0</v>
      </c>
      <c r="AN53" s="152">
        <f t="shared" si="3"/>
        <v>0</v>
      </c>
      <c r="AO53" s="165" cm="1">
        <f t="array" ref="AO53">_xlfn.IFS($AP$2=1,AD53,$AP$2=2,AJ53)</f>
        <v>399.99999999999989</v>
      </c>
      <c r="AP53" s="152" cm="1">
        <f t="array" ref="AP53">_xlfn.IFS($AP$2=1,AI53,$AP$2=2,AN53)</f>
        <v>0</v>
      </c>
    </row>
    <row r="54" spans="2:42" x14ac:dyDescent="0.25">
      <c r="B54" s="202" t="s">
        <v>475</v>
      </c>
      <c r="C54" s="203"/>
      <c r="D54" s="204"/>
    </row>
    <row r="55" spans="2:42" x14ac:dyDescent="0.25">
      <c r="B55" s="23" t="s">
        <v>476</v>
      </c>
      <c r="C55" s="47" t="s">
        <v>575</v>
      </c>
      <c r="D55" s="55" t="s">
        <v>477</v>
      </c>
      <c r="E55" s="17" t="str" cm="1">
        <f t="array" ref="E55">_xlfn.IFS(C55="Spiralwound","SWG " &amp; +C56 &amp;"
"&amp;C57,C55="Oring","O-ring",C55="Cring","C-ring")</f>
        <v>O-ring</v>
      </c>
    </row>
    <row r="56" spans="2:42" x14ac:dyDescent="0.25">
      <c r="B56" s="23" t="s">
        <v>319</v>
      </c>
      <c r="C56" s="162" t="s">
        <v>547</v>
      </c>
      <c r="D56" s="55" t="s">
        <v>347</v>
      </c>
    </row>
    <row r="57" spans="2:42" x14ac:dyDescent="0.25">
      <c r="B57" s="23" t="s">
        <v>330</v>
      </c>
      <c r="C57" s="47"/>
      <c r="D57" s="55" t="s">
        <v>348</v>
      </c>
    </row>
    <row r="58" spans="2:42" ht="18" x14ac:dyDescent="0.25">
      <c r="B58" s="23" t="s">
        <v>382</v>
      </c>
      <c r="C58" s="32" t="e">
        <f>VLOOKUP(C57,swg_database!AG:AQ,5,FALSE)</f>
        <v>#N/A</v>
      </c>
      <c r="D58" s="55" t="s">
        <v>355</v>
      </c>
    </row>
    <row r="59" spans="2:42" x14ac:dyDescent="0.25">
      <c r="B59" s="23" t="s">
        <v>48</v>
      </c>
      <c r="C59" s="50" t="s">
        <v>548</v>
      </c>
      <c r="D59" s="55" t="s">
        <v>349</v>
      </c>
    </row>
    <row r="60" spans="2:42" ht="18" x14ac:dyDescent="0.25">
      <c r="B60" s="23" t="s">
        <v>351</v>
      </c>
      <c r="C60" s="53">
        <v>4</v>
      </c>
      <c r="D60" s="55" t="s">
        <v>354</v>
      </c>
      <c r="E60" s="17" t="str">
        <f>+B60&amp;" = "&amp;C60</f>
        <v>tf [mm] = 4</v>
      </c>
    </row>
    <row r="61" spans="2:42" ht="18" x14ac:dyDescent="0.25">
      <c r="B61" s="23" t="s">
        <v>570</v>
      </c>
      <c r="C61" s="53">
        <v>576</v>
      </c>
      <c r="D61" s="55" t="s">
        <v>354</v>
      </c>
      <c r="E61" s="17" t="str">
        <f>+B61&amp;" = "&amp;C61</f>
        <v>Dext [mm] = 576</v>
      </c>
    </row>
    <row r="62" spans="2:42" ht="18" x14ac:dyDescent="0.25">
      <c r="B62" s="23" t="s">
        <v>571</v>
      </c>
      <c r="C62" s="102">
        <f>+C46</f>
        <v>536</v>
      </c>
      <c r="D62" s="55" t="s">
        <v>357</v>
      </c>
    </row>
    <row r="63" spans="2:42" x14ac:dyDescent="0.25">
      <c r="B63" s="20" t="s">
        <v>121</v>
      </c>
      <c r="C63" s="60">
        <f>+(C61+C62)/2</f>
        <v>556</v>
      </c>
      <c r="D63" s="55" t="s">
        <v>122</v>
      </c>
      <c r="E63" s="17" t="str">
        <f>+B63&amp;" = "&amp;C63</f>
        <v>G [mm] = 556</v>
      </c>
    </row>
    <row r="64" spans="2:42" ht="18" x14ac:dyDescent="0.25">
      <c r="B64" s="23" t="s">
        <v>352</v>
      </c>
      <c r="C64" s="32">
        <f>IF(C55="Spiralwound",C58-C60,0)</f>
        <v>0</v>
      </c>
      <c r="D64" s="55" t="s">
        <v>353</v>
      </c>
    </row>
    <row r="65" spans="2:4" ht="18" x14ac:dyDescent="0.25">
      <c r="B65" s="23" t="s">
        <v>356</v>
      </c>
      <c r="C65" s="16" cm="1">
        <f t="array" ref="C65">IF(C55="Spiralwound",interpol(C64,swg_database!AV5:AV29,swg_database!AS5:AS29),0)</f>
        <v>0</v>
      </c>
      <c r="D65" s="55" t="s">
        <v>527</v>
      </c>
    </row>
    <row r="66" spans="2:4" ht="18" x14ac:dyDescent="0.25">
      <c r="B66" s="23" t="s">
        <v>398</v>
      </c>
      <c r="C66" s="42">
        <f>C65*PI()/4*(C61^2-C62^2)/2</f>
        <v>0</v>
      </c>
      <c r="D66" s="55" t="s">
        <v>528</v>
      </c>
    </row>
    <row r="67" spans="2:4" ht="18" x14ac:dyDescent="0.25">
      <c r="B67" s="23" t="s">
        <v>356</v>
      </c>
      <c r="C67" s="16">
        <f>IF(C55="Spiralwound",C65-swg_database!AW40*swg_database!AT40/swg_database!AU40,0)</f>
        <v>0</v>
      </c>
      <c r="D67" s="55" t="s">
        <v>533</v>
      </c>
    </row>
    <row r="68" spans="2:4" ht="18" x14ac:dyDescent="0.25">
      <c r="B68" s="23" t="s">
        <v>398</v>
      </c>
      <c r="C68" s="42">
        <f>+C67*PI()/4*(C61^2-C62^2)/2</f>
        <v>0</v>
      </c>
      <c r="D68" s="55" t="s">
        <v>534</v>
      </c>
    </row>
    <row r="69" spans="2:4" ht="18" x14ac:dyDescent="0.25">
      <c r="B69" s="23" t="s">
        <v>356</v>
      </c>
      <c r="C69" s="16">
        <f>IF(C55="Spiralwound",C65-swg_database!AW41*swg_database!AT41/swg_database!AU41,0)</f>
        <v>0</v>
      </c>
      <c r="D69" s="55" t="s">
        <v>540</v>
      </c>
    </row>
    <row r="70" spans="2:4" ht="18" x14ac:dyDescent="0.25">
      <c r="B70" s="23" t="s">
        <v>398</v>
      </c>
      <c r="C70" s="42">
        <f>+C69*PI()/4*(C61^2-C62^2)/2</f>
        <v>0</v>
      </c>
      <c r="D70" s="55" t="s">
        <v>541</v>
      </c>
    </row>
    <row r="72" spans="2:4" x14ac:dyDescent="0.25">
      <c r="B72" s="202" t="s">
        <v>64</v>
      </c>
      <c r="C72" s="203"/>
      <c r="D72" s="204"/>
    </row>
    <row r="73" spans="2:4" ht="18" x14ac:dyDescent="0.25">
      <c r="B73" s="20" t="s">
        <v>22</v>
      </c>
      <c r="C73" s="42">
        <f>C21*C10*IF(C15*C16&lt;&gt;0,MIN(C25,C24),C25)</f>
        <v>921177.7978855992</v>
      </c>
      <c r="D73" s="55" t="s">
        <v>522</v>
      </c>
    </row>
    <row r="74" spans="2:4" ht="18" x14ac:dyDescent="0.25">
      <c r="B74" s="20" t="s">
        <v>538</v>
      </c>
      <c r="C74" s="42">
        <f>C73+C27*C131</f>
        <v>924582.93155566626</v>
      </c>
      <c r="D74" s="55" t="s">
        <v>535</v>
      </c>
    </row>
    <row r="75" spans="2:4" ht="18" x14ac:dyDescent="0.25">
      <c r="B75" s="23" t="s">
        <v>35</v>
      </c>
      <c r="C75" s="33">
        <f>C74/C27</f>
        <v>0.36963310711120345</v>
      </c>
      <c r="D75" s="55" t="s">
        <v>253</v>
      </c>
    </row>
    <row r="76" spans="2:4" ht="18" x14ac:dyDescent="0.25">
      <c r="B76" s="23" t="s">
        <v>36</v>
      </c>
      <c r="C76" s="33">
        <f>-C74/C50</f>
        <v>-8.6367318523699901E-2</v>
      </c>
      <c r="D76" s="55" t="s">
        <v>252</v>
      </c>
    </row>
    <row r="77" spans="2:4" ht="18" x14ac:dyDescent="0.25">
      <c r="B77" s="20" t="s">
        <v>537</v>
      </c>
      <c r="C77" s="42">
        <f>C73+C27*C165</f>
        <v>936768.59065280564</v>
      </c>
      <c r="D77" s="55" t="s">
        <v>539</v>
      </c>
    </row>
    <row r="78" spans="2:4" ht="18" x14ac:dyDescent="0.25">
      <c r="B78" s="23" t="s">
        <v>35</v>
      </c>
      <c r="C78" s="33">
        <f>C77/C27</f>
        <v>0.37450473396104689</v>
      </c>
      <c r="D78" s="55" t="s">
        <v>253</v>
      </c>
    </row>
    <row r="79" spans="2:4" ht="18" x14ac:dyDescent="0.25">
      <c r="B79" s="23" t="s">
        <v>36</v>
      </c>
      <c r="C79" s="33">
        <f>-C77/C50</f>
        <v>-8.750560765358148E-2</v>
      </c>
      <c r="D79" s="55" t="s">
        <v>252</v>
      </c>
    </row>
    <row r="81" spans="2:20" x14ac:dyDescent="0.25">
      <c r="B81" s="202" t="s">
        <v>65</v>
      </c>
      <c r="C81" s="203"/>
      <c r="D81" s="204"/>
    </row>
    <row r="82" spans="2:20" ht="18" x14ac:dyDescent="0.25">
      <c r="B82" s="20" t="s">
        <v>88</v>
      </c>
      <c r="C82" s="42">
        <f>+C27*C50/(C27+C50)*(C4-C3)*C26*(C40-C13)</f>
        <v>41362.882013704599</v>
      </c>
      <c r="D82" s="56" t="s">
        <v>530</v>
      </c>
    </row>
    <row r="83" spans="2:20" ht="18" x14ac:dyDescent="0.25">
      <c r="B83" s="23" t="s">
        <v>35</v>
      </c>
      <c r="C83" s="32">
        <f>C82/C27</f>
        <v>1.6536202514656994E-2</v>
      </c>
      <c r="D83" s="55" t="s">
        <v>251</v>
      </c>
    </row>
    <row r="84" spans="2:20" ht="18" x14ac:dyDescent="0.25">
      <c r="B84" s="23" t="s">
        <v>36</v>
      </c>
      <c r="C84" s="32">
        <f>-C82/C50</f>
        <v>-3.8637974853430006E-3</v>
      </c>
      <c r="D84" s="55" t="s">
        <v>249</v>
      </c>
    </row>
    <row r="85" spans="2:20" ht="18" x14ac:dyDescent="0.25">
      <c r="B85" s="24" t="s">
        <v>37</v>
      </c>
      <c r="C85" s="16">
        <f>C21*C10</f>
        <v>579.20000000000005</v>
      </c>
      <c r="D85" s="55" t="s">
        <v>250</v>
      </c>
    </row>
    <row r="87" spans="2:20" x14ac:dyDescent="0.25">
      <c r="B87" s="202" t="s">
        <v>510</v>
      </c>
      <c r="C87" s="203"/>
      <c r="D87" s="204"/>
    </row>
    <row r="88" spans="2:20" ht="18" x14ac:dyDescent="0.25">
      <c r="B88" s="20" t="s">
        <v>83</v>
      </c>
      <c r="C88" s="42">
        <f>(C46^2-C47^2)*PI()/4*(C5/10)*(1+(C47^2-C48^2)/(C46^2-C47^2))</f>
        <v>5984085.1091259569</v>
      </c>
      <c r="D88" s="56" t="s">
        <v>243</v>
      </c>
    </row>
    <row r="89" spans="2:20" ht="18" x14ac:dyDescent="0.25">
      <c r="B89" s="20" t="s">
        <v>89</v>
      </c>
      <c r="C89" s="42">
        <f>(C46^2-C49^2)*PI()/4*(C6/10)*(1+(C47^2-C49^2)/(C46^2-C47^2))</f>
        <v>13472074.626023477</v>
      </c>
      <c r="D89" s="55" t="s">
        <v>244</v>
      </c>
    </row>
    <row r="90" spans="2:20" ht="18" x14ac:dyDescent="0.25">
      <c r="B90" s="20" t="s">
        <v>90</v>
      </c>
      <c r="C90" s="42">
        <f>C88/$C$20</f>
        <v>299204.25545629783</v>
      </c>
      <c r="D90" s="55" t="s">
        <v>245</v>
      </c>
    </row>
    <row r="91" spans="2:20" ht="18" x14ac:dyDescent="0.25">
      <c r="B91" s="20" t="s">
        <v>91</v>
      </c>
      <c r="C91" s="42">
        <f>C89/$C$20</f>
        <v>673603.7313011738</v>
      </c>
      <c r="D91" s="55" t="s">
        <v>246</v>
      </c>
    </row>
    <row r="92" spans="2:20" ht="18" x14ac:dyDescent="0.25">
      <c r="B92" s="23" t="s">
        <v>84</v>
      </c>
      <c r="C92" s="32">
        <f>C90/(C50+C27)</f>
        <v>2.2655671830563381E-2</v>
      </c>
      <c r="D92" s="55" t="s">
        <v>247</v>
      </c>
    </row>
    <row r="93" spans="2:20" ht="18" x14ac:dyDescent="0.25">
      <c r="B93" s="23" t="s">
        <v>85</v>
      </c>
      <c r="C93" s="32">
        <f>C91/(C50+C27)</f>
        <v>5.1005107052802E-2</v>
      </c>
      <c r="D93" s="55" t="s">
        <v>248</v>
      </c>
    </row>
    <row r="94" spans="2:20" x14ac:dyDescent="0.25">
      <c r="C94" s="129"/>
    </row>
    <row r="95" spans="2:20" x14ac:dyDescent="0.25">
      <c r="B95" s="202" t="s">
        <v>551</v>
      </c>
      <c r="C95" s="203"/>
      <c r="D95" s="204"/>
      <c r="L95" s="133"/>
      <c r="M95" s="133"/>
      <c r="N95" s="133"/>
      <c r="O95" s="133"/>
      <c r="P95" s="133"/>
      <c r="Q95" s="133"/>
      <c r="R95" s="133"/>
      <c r="S95" s="133"/>
      <c r="T95" s="18"/>
    </row>
    <row r="96" spans="2:20" hidden="1" outlineLevel="1" x14ac:dyDescent="0.25">
      <c r="B96" s="202" t="s">
        <v>552</v>
      </c>
      <c r="C96" s="203"/>
      <c r="D96" s="204"/>
      <c r="L96" s="133"/>
      <c r="M96" s="133"/>
      <c r="N96" s="133"/>
      <c r="O96" s="133"/>
      <c r="P96" s="133"/>
      <c r="Q96" s="133"/>
      <c r="R96" s="133"/>
      <c r="S96" s="133"/>
    </row>
    <row r="97" spans="2:19" ht="18" hidden="1" outlineLevel="1" x14ac:dyDescent="0.25">
      <c r="B97" s="20" t="s">
        <v>488</v>
      </c>
      <c r="C97" s="130">
        <f>C5/10</f>
        <v>27.8</v>
      </c>
      <c r="D97" s="55" t="s">
        <v>483</v>
      </c>
      <c r="K97" s="133"/>
      <c r="Q97" s="133"/>
      <c r="R97" s="133"/>
      <c r="S97" s="133"/>
    </row>
    <row r="98" spans="2:19" hidden="1" outlineLevel="1" x14ac:dyDescent="0.25">
      <c r="B98" s="20" t="s">
        <v>503</v>
      </c>
      <c r="C98" s="132" cm="1">
        <f t="array" ref="C98">(flat_plate_roark_P(0,C125/2,C47/2,C35*1000,C125/2,C47/2,C38,C97,C31)+IF(C125&gt;C62,flat_plate_roark_P(0,C125/2,C47/2,C35*1000,C125/2,C62/2,C38,-C97,C31),0))</f>
        <v>-1.1275702593849246E-17</v>
      </c>
      <c r="D98" s="55" t="s">
        <v>497</v>
      </c>
      <c r="K98" s="133"/>
      <c r="Q98" s="133"/>
      <c r="R98" s="133"/>
      <c r="S98" s="133"/>
    </row>
    <row r="99" spans="2:19" hidden="1" outlineLevel="1" x14ac:dyDescent="0.25">
      <c r="B99" s="20" t="s">
        <v>504</v>
      </c>
      <c r="C99" s="132" cm="1">
        <f t="array" ref="C99">(flat_plate_roark_P(1,C125/2,C47/2,C35*1000,C125/2,C47/2,C38,C97,C31)+IF(C125&gt;C62,flat_plate_roark_P(1,C125/2,C47/2,C35*1000,C125/2,C62/2,C38,-C97,C31),0))*180/PI()</f>
        <v>0</v>
      </c>
      <c r="D99" s="55" t="s">
        <v>497</v>
      </c>
      <c r="K99" s="133"/>
      <c r="Q99" s="133"/>
      <c r="R99" s="133"/>
      <c r="S99" s="133"/>
    </row>
    <row r="100" spans="2:19" ht="18" hidden="1" outlineLevel="1" x14ac:dyDescent="0.25">
      <c r="B100" s="20" t="s">
        <v>500</v>
      </c>
      <c r="C100" s="132" cm="1">
        <f t="array" ref="C100">flat_plate_roark_P(2,C125/2,C47/2,C35*1000,C125/2,C47/2,C38,C97,C31)+IF(C125&gt;C62,flat_plate_roark_P(2,C125/2,C47/2,C35*1000,C125/2,C62/2,C38,-C97,C31),0)</f>
        <v>-254212.86068465264</v>
      </c>
      <c r="D100" s="55" t="s">
        <v>497</v>
      </c>
      <c r="K100" s="133"/>
      <c r="Q100" s="134"/>
      <c r="R100" s="134"/>
      <c r="S100" s="134"/>
    </row>
    <row r="101" spans="2:19" hidden="1" outlineLevel="1" x14ac:dyDescent="0.25">
      <c r="B101" s="20" t="s">
        <v>505</v>
      </c>
      <c r="C101" s="132" cm="1">
        <f t="array" ref="C101">IF(C125&lt;C41,0,flat_plate_roark_P(0,C125/2,C47/2,C35*1000,C41/2,C47/2,C38,C97,C31)+IF(C125&gt;C62,flat_plate_roark_P(0,C125/2,C47/2,C35*1000,C41/2,C62/2,C38,-C97,C31),0))</f>
        <v>-4.6552179014289615E-3</v>
      </c>
      <c r="D101" s="55" t="s">
        <v>496</v>
      </c>
      <c r="K101" s="18"/>
    </row>
    <row r="102" spans="2:19" hidden="1" outlineLevel="1" x14ac:dyDescent="0.25">
      <c r="B102" s="20" t="s">
        <v>508</v>
      </c>
      <c r="C102" s="132" cm="1">
        <f t="array" ref="C102">IF(C125&lt;C41,0,flat_plate_roark_P(0,C125/2,C47/2,C35*1000,C46/2,C47/2,C38,C97,C31)+IF(C125&gt;C62,flat_plate_roark_P(0,C125/2,C47/2,C35*1000,C46/2,C62/2,C38,-C97,C31),0))</f>
        <v>-4.415201357501438E-2</v>
      </c>
      <c r="D102" s="55" t="s">
        <v>509</v>
      </c>
      <c r="K102" s="133"/>
      <c r="M102" s="133"/>
      <c r="N102" s="133"/>
      <c r="O102" s="133"/>
      <c r="P102" s="133"/>
      <c r="Q102" s="133"/>
      <c r="R102" s="133"/>
      <c r="S102" s="133"/>
    </row>
    <row r="103" spans="2:19" hidden="1" outlineLevel="1" x14ac:dyDescent="0.25">
      <c r="B103" s="202" t="s">
        <v>553</v>
      </c>
      <c r="C103" s="203"/>
      <c r="D103" s="204"/>
      <c r="L103" s="133"/>
      <c r="M103" s="133"/>
      <c r="N103" s="133"/>
      <c r="O103" s="133"/>
      <c r="P103" s="133"/>
      <c r="Q103" s="133"/>
      <c r="R103" s="133"/>
      <c r="S103" s="133"/>
    </row>
    <row r="104" spans="2:19" ht="18" hidden="1" outlineLevel="1" x14ac:dyDescent="0.25">
      <c r="B104" s="20" t="s">
        <v>491</v>
      </c>
      <c r="C104" s="42">
        <f>C82/(PI()*C41)*C20</f>
        <v>387.24159605929037</v>
      </c>
      <c r="D104" s="55" t="s">
        <v>531</v>
      </c>
      <c r="L104" s="133"/>
      <c r="M104" s="133"/>
      <c r="N104" s="133"/>
      <c r="O104" s="133"/>
      <c r="P104" s="133"/>
      <c r="Q104" s="133"/>
      <c r="R104" s="133"/>
      <c r="S104" s="133"/>
    </row>
    <row r="105" spans="2:19" hidden="1" outlineLevel="1" x14ac:dyDescent="0.25">
      <c r="B105" s="20" t="s">
        <v>503</v>
      </c>
      <c r="C105" s="132" cm="1">
        <f t="array" ref="C105">+flat_plate_roark_F(0,C125/2,C47/2,C35*1000,C125/2,C41/2,C38,C104,C31)</f>
        <v>-4.87890977618477E-19</v>
      </c>
      <c r="D105" s="55" t="s">
        <v>495</v>
      </c>
      <c r="L105" s="133"/>
      <c r="M105" s="133"/>
      <c r="N105" s="133"/>
      <c r="O105" s="133"/>
      <c r="P105" s="133"/>
      <c r="Q105" s="133"/>
      <c r="R105" s="133"/>
      <c r="S105" s="133"/>
    </row>
    <row r="106" spans="2:19" hidden="1" outlineLevel="1" x14ac:dyDescent="0.25">
      <c r="B106" s="20" t="s">
        <v>504</v>
      </c>
      <c r="C106" s="132" cm="1">
        <f t="array" ref="C106">+flat_plate_roark_F(1,C125/2,C47/2,C35*1000,C125/2,C41/2,C38,C104,C31)*180/PI()</f>
        <v>0</v>
      </c>
      <c r="D106" s="55" t="s">
        <v>495</v>
      </c>
      <c r="L106" s="133"/>
      <c r="M106" s="133"/>
      <c r="N106" s="133"/>
      <c r="O106" s="133"/>
      <c r="P106" s="133"/>
      <c r="Q106" s="133"/>
      <c r="R106" s="133"/>
      <c r="S106" s="133"/>
    </row>
    <row r="107" spans="2:19" ht="18" hidden="1" outlineLevel="1" x14ac:dyDescent="0.25">
      <c r="B107" s="20" t="s">
        <v>500</v>
      </c>
      <c r="C107" s="132" cm="1">
        <f t="array" ref="C107">+flat_plate_roark_F(2,C125/2,C47/2,C35*1000,C125/2,C41/2,C38,C104,C31)</f>
        <v>-10885.679534303557</v>
      </c>
      <c r="D107" s="55" t="s">
        <v>495</v>
      </c>
      <c r="L107" s="133"/>
      <c r="M107" s="133"/>
      <c r="N107" s="134"/>
      <c r="O107" s="134"/>
      <c r="P107" s="134"/>
      <c r="Q107" s="134"/>
      <c r="R107" s="134"/>
      <c r="S107" s="134"/>
    </row>
    <row r="108" spans="2:19" hidden="1" outlineLevel="1" x14ac:dyDescent="0.25">
      <c r="B108" s="20" t="s">
        <v>505</v>
      </c>
      <c r="C108" s="132" cm="1">
        <f t="array" ref="C108">IF(C125&lt;C41,0,flat_plate_roark_F(0,C125/2,C47/2,C35*1000,C41/2,C41/2,C38,C104,C31))</f>
        <v>-1.4104854219899854E-4</v>
      </c>
      <c r="D108" s="55" t="s">
        <v>496</v>
      </c>
    </row>
    <row r="109" spans="2:19" hidden="1" outlineLevel="1" x14ac:dyDescent="0.25">
      <c r="B109" s="20" t="s">
        <v>508</v>
      </c>
      <c r="C109" s="132" cm="1">
        <f t="array" ref="C109">IF(C125&lt;C41,0,flat_plate_roark_F(0,C125/2,C47/2,C35*1000,C46/2,C41/2,C38,C104,C31))</f>
        <v>-6.049170949088417E-4</v>
      </c>
      <c r="D109" s="55" t="s">
        <v>509</v>
      </c>
    </row>
    <row r="110" spans="2:19" hidden="1" outlineLevel="1" x14ac:dyDescent="0.25">
      <c r="B110" s="202" t="s">
        <v>554</v>
      </c>
      <c r="C110" s="203"/>
      <c r="D110" s="204"/>
    </row>
    <row r="111" spans="2:19" ht="18" hidden="1" outlineLevel="1" x14ac:dyDescent="0.25">
      <c r="B111" s="20" t="s">
        <v>492</v>
      </c>
      <c r="C111" s="42">
        <f>C74/(PI()*C41)*C20</f>
        <v>8655.9966973811661</v>
      </c>
      <c r="D111" s="55" t="s">
        <v>525</v>
      </c>
    </row>
    <row r="112" spans="2:19" hidden="1" outlineLevel="1" x14ac:dyDescent="0.25">
      <c r="B112" s="20" t="s">
        <v>503</v>
      </c>
      <c r="C112" s="132" cm="1">
        <f t="array" ref="C112">+flat_plate_roark_F(0,C125/2,C47/2,C35*1000,C125/2,C41/2,C38,C111,C31)</f>
        <v>-1.5178830414797062E-18</v>
      </c>
      <c r="D112" s="55" t="s">
        <v>495</v>
      </c>
    </row>
    <row r="113" spans="2:9" hidden="1" outlineLevel="1" x14ac:dyDescent="0.25">
      <c r="B113" s="20" t="s">
        <v>504</v>
      </c>
      <c r="C113" s="132" cm="1">
        <f t="array" ref="C113">+flat_plate_roark_F(1,C125/2,C47/2,C35*1000,C125/2,C41/2,C38,C111,C31)*180/PI()</f>
        <v>0</v>
      </c>
      <c r="D113" s="55" t="s">
        <v>495</v>
      </c>
    </row>
    <row r="114" spans="2:9" ht="18" hidden="1" outlineLevel="1" x14ac:dyDescent="0.25">
      <c r="B114" s="20" t="s">
        <v>500</v>
      </c>
      <c r="C114" s="132" cm="1">
        <f t="array" ref="C114">+flat_plate_roark_F(2,C125/2,C47/2,C35*1000,C125/2,C41/2,C38,C111,C31)</f>
        <v>-243327.18141997946</v>
      </c>
      <c r="D114" s="55" t="s">
        <v>495</v>
      </c>
      <c r="H114" s="43"/>
      <c r="I114" s="43"/>
    </row>
    <row r="115" spans="2:9" hidden="1" outlineLevel="1" x14ac:dyDescent="0.25">
      <c r="B115" s="20" t="s">
        <v>505</v>
      </c>
      <c r="C115" s="132" cm="1">
        <f t="array" ref="C115">IF(C125&lt;C41,0,flat_plate_roark_F(0,C125/2,C47/2,C35*1000,C41/2,C41/2,C38,C111,C31))</f>
        <v>-3.152852709702253E-3</v>
      </c>
      <c r="D115" s="55" t="s">
        <v>496</v>
      </c>
      <c r="H115" s="43"/>
      <c r="I115" s="43"/>
    </row>
    <row r="116" spans="2:9" hidden="1" outlineLevel="1" x14ac:dyDescent="0.25">
      <c r="B116" s="20" t="s">
        <v>508</v>
      </c>
      <c r="C116" s="132" cm="1">
        <f t="array" ref="C116">IF(C125&lt;C41,0,flat_plate_roark_F(0,C125/2,C47/2,C35*1000,C46/2,C41/2,C38,C111,C31))</f>
        <v>-1.3521688860404956E-2</v>
      </c>
      <c r="D116" s="55" t="s">
        <v>509</v>
      </c>
      <c r="H116" s="43"/>
      <c r="I116" s="43"/>
    </row>
    <row r="117" spans="2:9" hidden="1" outlineLevel="1" x14ac:dyDescent="0.25">
      <c r="B117" s="202" t="s">
        <v>475</v>
      </c>
      <c r="C117" s="203"/>
      <c r="D117" s="204"/>
      <c r="H117" s="43"/>
      <c r="I117" s="43"/>
    </row>
    <row r="118" spans="2:9" ht="18" hidden="1" outlineLevel="1" x14ac:dyDescent="0.25">
      <c r="B118" s="20" t="s">
        <v>490</v>
      </c>
      <c r="C118" s="42">
        <f>C68/(PI()*C63)</f>
        <v>0</v>
      </c>
      <c r="D118" s="55" t="s">
        <v>532</v>
      </c>
      <c r="H118" s="43"/>
      <c r="I118" s="43"/>
    </row>
    <row r="119" spans="2:9" hidden="1" outlineLevel="1" x14ac:dyDescent="0.25">
      <c r="B119" s="20" t="s">
        <v>503</v>
      </c>
      <c r="C119" s="132" cm="1">
        <f t="array" ref="C119">+flat_plate_roark_F(0,C125/2,C47/2,C35*1000,C125/2,C63/2,C38,C118,C31)</f>
        <v>0</v>
      </c>
      <c r="D119" s="55" t="s">
        <v>495</v>
      </c>
      <c r="H119" s="43"/>
      <c r="I119" s="43"/>
    </row>
    <row r="120" spans="2:9" hidden="1" outlineLevel="1" x14ac:dyDescent="0.25">
      <c r="B120" s="20" t="s">
        <v>504</v>
      </c>
      <c r="C120" s="132" cm="1">
        <f t="array" ref="C120">+flat_plate_roark_F(1,C125/2,C47/2,C35*1000,C125/2,C63/2,C38,C118,C31)*180/PI()</f>
        <v>0</v>
      </c>
      <c r="D120" s="55" t="s">
        <v>495</v>
      </c>
      <c r="H120" s="43"/>
      <c r="I120" s="43"/>
    </row>
    <row r="121" spans="2:9" ht="18" hidden="1" outlineLevel="1" x14ac:dyDescent="0.25">
      <c r="B121" s="20" t="s">
        <v>500</v>
      </c>
      <c r="C121" s="132" cm="1">
        <f t="array" ref="C121">+flat_plate_roark_F(2,C125/2,C47/2,C35*1000,C125/2,C63/2,C38,C118,C31)</f>
        <v>0</v>
      </c>
      <c r="D121" s="55" t="s">
        <v>495</v>
      </c>
      <c r="H121" s="43"/>
      <c r="I121" s="43"/>
    </row>
    <row r="122" spans="2:9" hidden="1" outlineLevel="1" x14ac:dyDescent="0.25">
      <c r="B122" s="20" t="s">
        <v>505</v>
      </c>
      <c r="C122" s="132" cm="1">
        <f t="array" ref="C122">flat_plate_roark_F(0,C125/2,C47/2,C35*1000,C41/2,C63/2,C38,C118,C31)</f>
        <v>0</v>
      </c>
      <c r="D122" s="55" t="s">
        <v>496</v>
      </c>
      <c r="H122" s="43"/>
      <c r="I122" s="43"/>
    </row>
    <row r="123" spans="2:9" hidden="1" outlineLevel="1" x14ac:dyDescent="0.25">
      <c r="B123" s="20" t="s">
        <v>508</v>
      </c>
      <c r="C123" s="132" cm="1">
        <f t="array" ref="C123">flat_plate_roark_F(0,C125/2,C47/2,C35*1000,C46/2,C63/2,C38,C118,C31)</f>
        <v>0</v>
      </c>
      <c r="D123" s="55" t="s">
        <v>509</v>
      </c>
      <c r="H123" s="43"/>
      <c r="I123" s="43"/>
    </row>
    <row r="124" spans="2:9" hidden="1" outlineLevel="1" x14ac:dyDescent="0.25">
      <c r="B124" s="202" t="s">
        <v>555</v>
      </c>
      <c r="C124" s="203"/>
      <c r="D124" s="204"/>
      <c r="I124" s="43"/>
    </row>
    <row r="125" spans="2:9" collapsed="1" x14ac:dyDescent="0.25">
      <c r="B125" s="23" t="s">
        <v>486</v>
      </c>
      <c r="C125" s="115">
        <v>742.72957522034949</v>
      </c>
      <c r="D125" s="55" t="s">
        <v>529</v>
      </c>
      <c r="I125" s="43"/>
    </row>
    <row r="126" spans="2:9" x14ac:dyDescent="0.25">
      <c r="B126" s="20" t="s">
        <v>503</v>
      </c>
      <c r="C126" s="132">
        <f>-C98+C105+C112-C119</f>
        <v>9.2699285747510629E-18</v>
      </c>
      <c r="D126" s="55" t="s">
        <v>494</v>
      </c>
      <c r="I126" s="43"/>
    </row>
    <row r="127" spans="2:9" x14ac:dyDescent="0.25">
      <c r="B127" s="20" t="s">
        <v>504</v>
      </c>
      <c r="C127" s="132">
        <f>-C99+C106+C113-C120</f>
        <v>0</v>
      </c>
      <c r="D127" s="55" t="s">
        <v>494</v>
      </c>
      <c r="I127" s="43"/>
    </row>
    <row r="128" spans="2:9" ht="18" x14ac:dyDescent="0.25">
      <c r="B128" s="20" t="s">
        <v>500</v>
      </c>
      <c r="C128" s="132">
        <f>-C100+C107+C114-C121</f>
        <v>-2.6963037089444697E-4</v>
      </c>
      <c r="D128" s="55" t="s">
        <v>494</v>
      </c>
      <c r="I128" s="43"/>
    </row>
    <row r="129" spans="2:10" ht="18" x14ac:dyDescent="0.25">
      <c r="B129" s="20" t="s">
        <v>561</v>
      </c>
      <c r="C129" s="132">
        <f t="shared" ref="C129:C130" si="7">-C101+C108+C115-C122</f>
        <v>1.3613166495277098E-3</v>
      </c>
      <c r="D129" s="55" t="s">
        <v>498</v>
      </c>
      <c r="I129" s="43"/>
    </row>
    <row r="130" spans="2:10" ht="18" x14ac:dyDescent="0.25">
      <c r="B130" s="20" t="s">
        <v>562</v>
      </c>
      <c r="C130" s="132">
        <f t="shared" si="7"/>
        <v>3.0025407619700583E-2</v>
      </c>
      <c r="D130" s="55" t="s">
        <v>519</v>
      </c>
      <c r="I130" s="41"/>
      <c r="J130" s="41"/>
    </row>
    <row r="131" spans="2:10" ht="18" x14ac:dyDescent="0.25">
      <c r="B131" s="20" t="s">
        <v>563</v>
      </c>
      <c r="C131" s="132">
        <v>1.3613166495277098E-3</v>
      </c>
      <c r="D131" s="55" t="s">
        <v>498</v>
      </c>
      <c r="G131" s="41"/>
      <c r="H131" s="41"/>
      <c r="I131" s="41"/>
      <c r="J131" s="41"/>
    </row>
    <row r="132" spans="2:10" ht="18" x14ac:dyDescent="0.25">
      <c r="B132" s="20" t="s">
        <v>564</v>
      </c>
      <c r="C132" s="132">
        <v>3.0025407619700583E-2</v>
      </c>
      <c r="D132" s="55" t="s">
        <v>519</v>
      </c>
      <c r="G132" s="41"/>
      <c r="H132" s="41"/>
      <c r="I132" s="41"/>
      <c r="J132" s="41"/>
    </row>
    <row r="133" spans="2:10" ht="18" x14ac:dyDescent="0.25">
      <c r="B133" s="20" t="s">
        <v>565</v>
      </c>
      <c r="C133" s="137">
        <f>+(C129-C131)/C129</f>
        <v>0</v>
      </c>
      <c r="D133" s="55" t="s">
        <v>498</v>
      </c>
      <c r="G133" s="41"/>
      <c r="H133" s="41"/>
      <c r="I133" s="41"/>
      <c r="J133" s="41"/>
    </row>
    <row r="134" spans="2:10" ht="18" x14ac:dyDescent="0.25">
      <c r="B134" s="20" t="s">
        <v>566</v>
      </c>
      <c r="C134" s="137">
        <f>+(C130-C132)/C130</f>
        <v>0</v>
      </c>
      <c r="D134" s="55" t="s">
        <v>519</v>
      </c>
      <c r="G134" s="41"/>
      <c r="H134" s="41"/>
      <c r="I134" s="41"/>
      <c r="J134" s="41"/>
    </row>
    <row r="135" spans="2:10" x14ac:dyDescent="0.25">
      <c r="G135" s="41"/>
      <c r="H135" s="41"/>
      <c r="I135" s="41"/>
      <c r="J135" s="41"/>
    </row>
    <row r="136" spans="2:10" x14ac:dyDescent="0.25">
      <c r="B136" s="202" t="s">
        <v>536</v>
      </c>
      <c r="C136" s="203"/>
      <c r="D136" s="204"/>
      <c r="G136" s="41"/>
      <c r="H136" s="41"/>
      <c r="I136" s="41"/>
      <c r="J136" s="41"/>
    </row>
    <row r="137" spans="2:10" hidden="1" outlineLevel="1" x14ac:dyDescent="0.25">
      <c r="B137" s="202" t="s">
        <v>556</v>
      </c>
      <c r="C137" s="203"/>
      <c r="D137" s="204"/>
      <c r="G137" s="41"/>
      <c r="H137" s="41"/>
      <c r="I137" s="41"/>
      <c r="J137" s="41"/>
    </row>
    <row r="138" spans="2:10" ht="18" hidden="1" outlineLevel="1" x14ac:dyDescent="0.25">
      <c r="B138" s="20" t="s">
        <v>489</v>
      </c>
      <c r="C138" s="130">
        <f>C6/10</f>
        <v>41.7</v>
      </c>
      <c r="D138" s="55" t="s">
        <v>484</v>
      </c>
      <c r="G138" s="41"/>
      <c r="H138" s="41"/>
      <c r="I138" s="41"/>
      <c r="J138" s="41"/>
    </row>
    <row r="139" spans="2:10" hidden="1" outlineLevel="1" x14ac:dyDescent="0.25">
      <c r="B139" s="20" t="s">
        <v>503</v>
      </c>
      <c r="C139" s="132" cm="1">
        <f t="array" ref="C139">(flat_plate_roark_P(0,C159/2,C47/2,C35*1000,C159/2,C47/2,C38,C138,C31)+IF(C159&gt;C62,flat_plate_roark_P(0,C159/2,C47/2,C35*1000,C159/2,C62/2,C38,-C138,C31),0))</f>
        <v>1.0755285551056204E-16</v>
      </c>
      <c r="D139" s="55" t="s">
        <v>497</v>
      </c>
      <c r="G139" s="41"/>
      <c r="H139" s="41"/>
      <c r="I139" s="41"/>
      <c r="J139" s="41"/>
    </row>
    <row r="140" spans="2:10" hidden="1" outlineLevel="1" x14ac:dyDescent="0.25">
      <c r="B140" s="20" t="s">
        <v>504</v>
      </c>
      <c r="C140" s="132" cm="1">
        <f t="array" ref="C140">(flat_plate_roark_P(1,C159/2,C47/2,C35*1000,C159/2,C47/2,C38,C138,C31)+IF(C159&gt;C62,flat_plate_roark_P(1,C159/2,C47/2,C35*1000,C159/2,C62/2,C38,-C138,C31),0))*180/PI()</f>
        <v>0</v>
      </c>
      <c r="D140" s="55" t="s">
        <v>497</v>
      </c>
      <c r="G140" s="41"/>
      <c r="H140" s="41"/>
      <c r="I140" s="41"/>
      <c r="J140" s="41"/>
    </row>
    <row r="141" spans="2:10" ht="18" hidden="1" outlineLevel="1" x14ac:dyDescent="0.25">
      <c r="B141" s="20" t="s">
        <v>500</v>
      </c>
      <c r="C141" s="132" cm="1">
        <f t="array" ref="C141">flat_plate_roark_P(2,C159/2,C47/2,C35*1000,C159/2,C47/2,C38,C138,C31)+IF(C159&gt;C62,flat_plate_roark_P(2,C159/2,C47/2,C35*1000,C159/2,C62/2,C38,-C138,C31),0)</f>
        <v>-406789.28986732883</v>
      </c>
      <c r="D141" s="55" t="s">
        <v>497</v>
      </c>
      <c r="G141" s="41"/>
      <c r="H141" s="41"/>
      <c r="I141" s="41"/>
      <c r="J141" s="41"/>
    </row>
    <row r="142" spans="2:10" hidden="1" outlineLevel="1" x14ac:dyDescent="0.25">
      <c r="B142" s="20" t="s">
        <v>505</v>
      </c>
      <c r="C142" s="132" cm="1">
        <f t="array" ref="C142">IF(C159&lt;C41,0,flat_plate_roark_P(0,C159/2,C47/2,C35*1000,C41/2,C47/2,C38,C138,C31)+IF(C159&gt;C62,flat_plate_roark_P(0,C159/2,C47/2,C35*1000,C41/2,C62/2,C38,-C138,C31),0))</f>
        <v>-2.3268325762040479E-2</v>
      </c>
      <c r="D142" s="55" t="s">
        <v>496</v>
      </c>
      <c r="G142" s="41"/>
      <c r="H142" s="41"/>
      <c r="I142" s="41"/>
      <c r="J142" s="41"/>
    </row>
    <row r="143" spans="2:10" hidden="1" outlineLevel="1" x14ac:dyDescent="0.25">
      <c r="B143" s="20" t="s">
        <v>508</v>
      </c>
      <c r="C143" s="132" cm="1">
        <f t="array" ref="C143">IF(C159&lt;C41,0,flat_plate_roark_P(0,C159/2,C47/2,C35*1000,C46/2,C47/2,C38,C138,C31)+IF(C159&gt;C62,flat_plate_roark_P(0,C159/2,C47/2,C35*1000,C46/2,C62/2,C38,-C138,C31),0))</f>
        <v>-0.1073616185120978</v>
      </c>
      <c r="D143" s="55" t="s">
        <v>509</v>
      </c>
      <c r="G143" s="41"/>
      <c r="H143" s="41"/>
      <c r="I143" s="41"/>
      <c r="J143" s="41"/>
    </row>
    <row r="144" spans="2:10" hidden="1" outlineLevel="1" x14ac:dyDescent="0.25">
      <c r="B144" s="202" t="s">
        <v>554</v>
      </c>
      <c r="C144" s="203"/>
      <c r="D144" s="204"/>
      <c r="G144" s="41"/>
      <c r="H144" s="41"/>
      <c r="I144" s="41"/>
      <c r="J144" s="41"/>
    </row>
    <row r="145" spans="2:10" ht="18" hidden="1" outlineLevel="1" x14ac:dyDescent="0.25">
      <c r="B145" s="20" t="s">
        <v>492</v>
      </c>
      <c r="C145" s="42">
        <f>C77/(PI()*C41)*C20</f>
        <v>8770.0795138601352</v>
      </c>
      <c r="D145" s="55" t="s">
        <v>525</v>
      </c>
      <c r="G145" s="41"/>
      <c r="H145" s="41"/>
      <c r="I145" s="41"/>
      <c r="J145" s="41"/>
    </row>
    <row r="146" spans="2:10" hidden="1" outlineLevel="1" x14ac:dyDescent="0.25">
      <c r="B146" s="20" t="s">
        <v>503</v>
      </c>
      <c r="C146" s="132" cm="1">
        <f t="array" ref="C146">+flat_plate_roark_F(0,C159/2,C47/2,C35*1000,C159/2,C41/2,C38,C145,C31)</f>
        <v>0</v>
      </c>
      <c r="D146" s="55" t="s">
        <v>495</v>
      </c>
      <c r="G146" s="41"/>
      <c r="H146" s="41"/>
      <c r="I146" s="41"/>
      <c r="J146" s="41"/>
    </row>
    <row r="147" spans="2:10" hidden="1" outlineLevel="1" x14ac:dyDescent="0.25">
      <c r="B147" s="20" t="s">
        <v>504</v>
      </c>
      <c r="C147" s="132" cm="1">
        <f t="array" ref="C147">+flat_plate_roark_F(1,C159/2,C47/2,C35*1000,C159/2,C41/2,C38,C145,C31)*180/PI()</f>
        <v>0</v>
      </c>
      <c r="D147" s="55" t="s">
        <v>495</v>
      </c>
      <c r="G147" s="41"/>
      <c r="H147" s="41"/>
      <c r="I147" s="41"/>
      <c r="J147" s="41"/>
    </row>
    <row r="148" spans="2:10" ht="18" hidden="1" outlineLevel="1" x14ac:dyDescent="0.25">
      <c r="B148" s="20" t="s">
        <v>500</v>
      </c>
      <c r="C148" s="132" cm="1">
        <f t="array" ref="C148">+flat_plate_roark_F(2,C159/2,C47/2,C35*1000,C159/2,C41/2,C38,C145,C31)</f>
        <v>-406789.28994249151</v>
      </c>
      <c r="D148" s="55" t="s">
        <v>495</v>
      </c>
      <c r="G148" s="41"/>
      <c r="H148" s="41"/>
      <c r="I148" s="41"/>
      <c r="J148" s="41"/>
    </row>
    <row r="149" spans="2:10" hidden="1" outlineLevel="1" x14ac:dyDescent="0.25">
      <c r="B149" s="20" t="s">
        <v>505</v>
      </c>
      <c r="C149" s="132" cm="1">
        <f t="array" ref="C149">IF(C159&lt;C41,0,flat_plate_roark_F(0,C159/2,C47/2,C35*1000,C41/2,C41/2,C38,C145,C31))</f>
        <v>-1.703538226266936E-2</v>
      </c>
      <c r="D149" s="55" t="s">
        <v>496</v>
      </c>
      <c r="G149" s="41"/>
      <c r="H149" s="41"/>
      <c r="I149" s="41"/>
      <c r="J149" s="41"/>
    </row>
    <row r="150" spans="2:10" hidden="1" outlineLevel="1" x14ac:dyDescent="0.25">
      <c r="B150" s="20" t="s">
        <v>508</v>
      </c>
      <c r="C150" s="132" cm="1">
        <f t="array" ref="C150">IF(C159&lt;C41,0,flat_plate_roark_F(0,C159/2,C47/2,C35*1000,C46/2,C41/2,C38,C145,C31))</f>
        <v>-4.8233878486483042E-2</v>
      </c>
      <c r="D150" s="55" t="s">
        <v>509</v>
      </c>
      <c r="G150" s="41"/>
      <c r="H150" s="41"/>
      <c r="I150" s="41"/>
      <c r="J150" s="41"/>
    </row>
    <row r="151" spans="2:10" hidden="1" outlineLevel="1" x14ac:dyDescent="0.25">
      <c r="B151" s="202" t="s">
        <v>475</v>
      </c>
      <c r="C151" s="203"/>
      <c r="D151" s="204"/>
      <c r="G151" s="41"/>
      <c r="H151" s="41"/>
      <c r="I151" s="41"/>
      <c r="J151" s="41"/>
    </row>
    <row r="152" spans="2:10" ht="18" hidden="1" outlineLevel="1" x14ac:dyDescent="0.25">
      <c r="B152" s="20" t="s">
        <v>490</v>
      </c>
      <c r="C152" s="42">
        <f>C70/(PI()*C63)</f>
        <v>0</v>
      </c>
      <c r="D152" s="55" t="s">
        <v>532</v>
      </c>
      <c r="G152" s="43"/>
    </row>
    <row r="153" spans="2:10" hidden="1" outlineLevel="1" x14ac:dyDescent="0.25">
      <c r="B153" s="20" t="s">
        <v>503</v>
      </c>
      <c r="C153" s="132" cm="1">
        <f t="array" ref="C153">+flat_plate_roark_F(0,C159/2,C47/2,C35*1000,C159/2,C63/2,C38,C152,C31)</f>
        <v>0</v>
      </c>
      <c r="D153" s="55" t="s">
        <v>495</v>
      </c>
      <c r="G153" s="43"/>
    </row>
    <row r="154" spans="2:10" hidden="1" outlineLevel="1" x14ac:dyDescent="0.25">
      <c r="B154" s="20" t="s">
        <v>504</v>
      </c>
      <c r="C154" s="132" cm="1">
        <f t="array" ref="C154">+flat_plate_roark_F(1,C159/2,C47/2,C35*1000,C159/2,C63/2,C38,C152,C31)*180/PI()</f>
        <v>0</v>
      </c>
      <c r="D154" s="55" t="s">
        <v>495</v>
      </c>
      <c r="G154" s="43"/>
    </row>
    <row r="155" spans="2:10" ht="18" hidden="1" outlineLevel="1" x14ac:dyDescent="0.25">
      <c r="B155" s="20" t="s">
        <v>500</v>
      </c>
      <c r="C155" s="132" cm="1">
        <f t="array" ref="C155">+flat_plate_roark_F(2,C159/2,C47/2,C35*1000,C159/2,C63/2,C38,C152,C31)</f>
        <v>0</v>
      </c>
      <c r="D155" s="55" t="s">
        <v>495</v>
      </c>
      <c r="G155" s="43"/>
    </row>
    <row r="156" spans="2:10" hidden="1" outlineLevel="1" x14ac:dyDescent="0.25">
      <c r="B156" s="20" t="s">
        <v>505</v>
      </c>
      <c r="C156" s="132" cm="1">
        <f t="array" ref="C156">flat_plate_roark_F(0,C159/2,C47/2,C35*1000,C41/2,C63/2,C38,C152,C31)</f>
        <v>0</v>
      </c>
      <c r="D156" s="55" t="s">
        <v>496</v>
      </c>
      <c r="G156" s="43"/>
    </row>
    <row r="157" spans="2:10" hidden="1" outlineLevel="1" x14ac:dyDescent="0.25">
      <c r="B157" s="20" t="s">
        <v>508</v>
      </c>
      <c r="C157" s="132" cm="1">
        <f t="array" ref="C157">flat_plate_roark_F(0,C159/2,C47/2,C35*1000,C46/2,C63/2,C38,C152,C31)</f>
        <v>0</v>
      </c>
      <c r="D157" s="55" t="s">
        <v>509</v>
      </c>
      <c r="G157" s="43"/>
    </row>
    <row r="158" spans="2:10" hidden="1" outlineLevel="1" x14ac:dyDescent="0.25">
      <c r="B158" s="202" t="s">
        <v>555</v>
      </c>
      <c r="C158" s="203"/>
      <c r="D158" s="204"/>
      <c r="G158" s="43"/>
    </row>
    <row r="159" spans="2:10" collapsed="1" x14ac:dyDescent="0.25">
      <c r="B159" s="23" t="s">
        <v>486</v>
      </c>
      <c r="C159" s="115">
        <v>792.36988987583925</v>
      </c>
      <c r="D159" s="55" t="s">
        <v>529</v>
      </c>
      <c r="G159" s="43"/>
    </row>
    <row r="160" spans="2:10" x14ac:dyDescent="0.25">
      <c r="B160" s="20" t="s">
        <v>503</v>
      </c>
      <c r="C160" s="132">
        <f>-C139+C146-C153</f>
        <v>-1.0755285551056204E-16</v>
      </c>
      <c r="D160" s="55" t="s">
        <v>494</v>
      </c>
      <c r="G160" s="43"/>
    </row>
    <row r="161" spans="2:7" x14ac:dyDescent="0.25">
      <c r="B161" s="20" t="s">
        <v>504</v>
      </c>
      <c r="C161" s="132">
        <f t="shared" ref="C161:C162" si="8">-C140+C147-C154</f>
        <v>0</v>
      </c>
      <c r="D161" s="55" t="s">
        <v>494</v>
      </c>
      <c r="G161" s="43"/>
    </row>
    <row r="162" spans="2:7" ht="18" x14ac:dyDescent="0.25">
      <c r="B162" s="20" t="s">
        <v>500</v>
      </c>
      <c r="C162" s="132">
        <f t="shared" si="8"/>
        <v>-7.5162679422646761E-5</v>
      </c>
      <c r="D162" s="55" t="s">
        <v>494</v>
      </c>
      <c r="G162" s="43"/>
    </row>
    <row r="163" spans="2:7" ht="18" x14ac:dyDescent="0.25">
      <c r="B163" s="20" t="s">
        <v>561</v>
      </c>
      <c r="C163" s="132">
        <f>-C142+C149-C156</f>
        <v>6.2329434993711186E-3</v>
      </c>
      <c r="D163" s="55" t="s">
        <v>498</v>
      </c>
      <c r="G163" s="43"/>
    </row>
    <row r="164" spans="2:7" ht="18" x14ac:dyDescent="0.25">
      <c r="B164" s="20" t="s">
        <v>562</v>
      </c>
      <c r="C164" s="132">
        <f>-C143+C150-C157</f>
        <v>5.9127740025614758E-2</v>
      </c>
      <c r="D164" s="55" t="s">
        <v>519</v>
      </c>
      <c r="G164" s="43"/>
    </row>
    <row r="165" spans="2:7" ht="18" x14ac:dyDescent="0.25">
      <c r="B165" s="20" t="s">
        <v>563</v>
      </c>
      <c r="C165" s="132">
        <v>6.2329434993711186E-3</v>
      </c>
      <c r="D165" s="55" t="s">
        <v>498</v>
      </c>
      <c r="G165" s="43"/>
    </row>
    <row r="166" spans="2:7" ht="18" x14ac:dyDescent="0.25">
      <c r="B166" s="20" t="s">
        <v>564</v>
      </c>
      <c r="C166" s="132">
        <v>5.9127740025614758E-2</v>
      </c>
      <c r="D166" s="55" t="s">
        <v>519</v>
      </c>
      <c r="G166" s="43"/>
    </row>
    <row r="167" spans="2:7" ht="18" x14ac:dyDescent="0.25">
      <c r="B167" s="20" t="s">
        <v>565</v>
      </c>
      <c r="C167" s="137">
        <f>+(C163-C165)/C163</f>
        <v>0</v>
      </c>
      <c r="D167" s="55" t="s">
        <v>498</v>
      </c>
    </row>
    <row r="168" spans="2:7" ht="17.25" customHeight="1" x14ac:dyDescent="0.25">
      <c r="B168" s="20" t="s">
        <v>566</v>
      </c>
      <c r="C168" s="137">
        <f>+(C164-C166)/C164</f>
        <v>0</v>
      </c>
      <c r="D168" s="55" t="s">
        <v>519</v>
      </c>
    </row>
    <row r="170" spans="2:7" hidden="1" outlineLevel="1" x14ac:dyDescent="0.25">
      <c r="B170" s="202" t="s">
        <v>242</v>
      </c>
      <c r="C170" s="203"/>
      <c r="D170" s="204"/>
    </row>
    <row r="171" spans="2:7" hidden="1" outlineLevel="1" x14ac:dyDescent="0.25">
      <c r="B171" s="20" t="s">
        <v>97</v>
      </c>
      <c r="C171" s="60">
        <f>+C46</f>
        <v>536</v>
      </c>
      <c r="D171" s="55" t="s">
        <v>98</v>
      </c>
    </row>
    <row r="172" spans="2:7" hidden="1" outlineLevel="1" x14ac:dyDescent="0.25">
      <c r="B172" s="20" t="s">
        <v>102</v>
      </c>
      <c r="C172" s="60">
        <f>+C41</f>
        <v>680</v>
      </c>
      <c r="D172" s="55" t="s">
        <v>103</v>
      </c>
    </row>
    <row r="173" spans="2:7" hidden="1" outlineLevel="1" x14ac:dyDescent="0.25">
      <c r="B173" s="20" t="s">
        <v>179</v>
      </c>
      <c r="C173" s="60">
        <f>+C20</f>
        <v>20</v>
      </c>
      <c r="D173" s="55" t="s">
        <v>104</v>
      </c>
    </row>
    <row r="174" spans="2:7" hidden="1" outlineLevel="1" x14ac:dyDescent="0.25">
      <c r="B174" s="20" t="s">
        <v>8</v>
      </c>
      <c r="C174" s="60">
        <f>+C36</f>
        <v>56</v>
      </c>
      <c r="D174" s="55" t="s">
        <v>105</v>
      </c>
    </row>
    <row r="175" spans="2:7" ht="18" hidden="1" outlineLevel="1" x14ac:dyDescent="0.25">
      <c r="B175" s="20" t="s">
        <v>120</v>
      </c>
      <c r="C175" s="60">
        <f>+C37</f>
        <v>435</v>
      </c>
      <c r="D175" s="55" t="s">
        <v>119</v>
      </c>
    </row>
    <row r="176" spans="2:7" ht="18" hidden="1" outlineLevel="1" x14ac:dyDescent="0.25">
      <c r="B176" s="20" t="s">
        <v>155</v>
      </c>
      <c r="C176" s="16">
        <f>+C38</f>
        <v>110</v>
      </c>
      <c r="D176" s="55" t="s">
        <v>156</v>
      </c>
    </row>
    <row r="177" spans="2:6" ht="18" hidden="1" outlineLevel="1" x14ac:dyDescent="0.25">
      <c r="B177" s="20" t="s">
        <v>19</v>
      </c>
      <c r="C177" s="42">
        <f>IF(C24=0,C25,MIN(C24,C25))*C173</f>
        <v>31808.625617596656</v>
      </c>
      <c r="D177" s="55" t="s">
        <v>184</v>
      </c>
    </row>
    <row r="178" spans="2:6" ht="18" hidden="1" outlineLevel="1" x14ac:dyDescent="0.25">
      <c r="B178" s="20" t="s">
        <v>385</v>
      </c>
      <c r="C178" s="16">
        <f>+C43/C44</f>
        <v>1.9565217391304348</v>
      </c>
      <c r="D178" s="55" t="s">
        <v>100</v>
      </c>
    </row>
    <row r="179" spans="2:6" ht="18" hidden="1" outlineLevel="1" x14ac:dyDescent="0.25">
      <c r="B179" s="20" t="s">
        <v>386</v>
      </c>
      <c r="C179" s="16">
        <f>+(C171*C44)^0.5</f>
        <v>192.31224609992989</v>
      </c>
      <c r="D179" s="55" t="s">
        <v>100</v>
      </c>
    </row>
    <row r="180" spans="2:6" ht="18" hidden="1" outlineLevel="1" x14ac:dyDescent="0.25">
      <c r="B180" s="20" t="s">
        <v>387</v>
      </c>
      <c r="C180" s="16">
        <f>+C45/C179</f>
        <v>0.64998460854670226</v>
      </c>
      <c r="D180" s="55" t="s">
        <v>100</v>
      </c>
    </row>
    <row r="181" spans="2:6" hidden="1" outlineLevel="1" x14ac:dyDescent="0.25">
      <c r="B181" s="20" t="s">
        <v>110</v>
      </c>
      <c r="C181" s="16">
        <f>+(C172-C171)/2-C43</f>
        <v>-63</v>
      </c>
      <c r="D181" s="55" t="s">
        <v>152</v>
      </c>
    </row>
    <row r="182" spans="2:6" ht="18" hidden="1" outlineLevel="1" x14ac:dyDescent="0.25">
      <c r="B182" s="20" t="s">
        <v>388</v>
      </c>
      <c r="C182" s="16">
        <f>+(C172-C171)/2</f>
        <v>72</v>
      </c>
      <c r="D182" s="55" t="s">
        <v>109</v>
      </c>
    </row>
    <row r="183" spans="2:6" ht="18" hidden="1" outlineLevel="1" x14ac:dyDescent="0.25">
      <c r="B183" s="20" t="s">
        <v>389</v>
      </c>
      <c r="C183" s="16">
        <f>+(C42-C172)/2</f>
        <v>60</v>
      </c>
      <c r="D183" s="55" t="s">
        <v>111</v>
      </c>
    </row>
    <row r="184" spans="2:6" ht="18" hidden="1" outlineLevel="1" x14ac:dyDescent="0.25">
      <c r="B184" s="20" t="s">
        <v>390</v>
      </c>
      <c r="C184" s="16">
        <f>+(C42-C172)/2</f>
        <v>60</v>
      </c>
      <c r="D184" s="55" t="s">
        <v>112</v>
      </c>
    </row>
    <row r="185" spans="2:6" hidden="1" outlineLevel="1" x14ac:dyDescent="0.25">
      <c r="B185" s="20" t="s">
        <v>177</v>
      </c>
      <c r="C185" s="16">
        <f>+(C42+C172)/2/C190</f>
        <v>1.1028315946348732</v>
      </c>
      <c r="D185" s="55" t="s">
        <v>113</v>
      </c>
    </row>
    <row r="186" spans="2:6" hidden="1" outlineLevel="1" x14ac:dyDescent="0.25">
      <c r="B186" s="38" t="s">
        <v>178</v>
      </c>
      <c r="C186" s="16">
        <f>+(C172+C190)/2/C190</f>
        <v>1.0067064083457526</v>
      </c>
      <c r="D186" s="55" t="s">
        <v>118</v>
      </c>
      <c r="F186" s="43"/>
    </row>
    <row r="187" spans="2:6" ht="18" hidden="1" outlineLevel="1" x14ac:dyDescent="0.25">
      <c r="B187" s="20" t="s">
        <v>130</v>
      </c>
      <c r="C187" s="42">
        <f>+C35*10^9*(C175/1000)^3</f>
        <v>17285703750</v>
      </c>
      <c r="D187" s="55" t="s">
        <v>100</v>
      </c>
      <c r="F187" s="43"/>
    </row>
    <row r="188" spans="2:6" hidden="1" outlineLevel="1" x14ac:dyDescent="0.25">
      <c r="B188" s="20" t="s">
        <v>180</v>
      </c>
      <c r="C188" s="16">
        <f>+C173*C174/PI()/C172</f>
        <v>0.52427510665565524</v>
      </c>
      <c r="D188" s="55" t="s">
        <v>106</v>
      </c>
      <c r="F188" s="43"/>
    </row>
    <row r="189" spans="2:6" ht="18" hidden="1" outlineLevel="1" x14ac:dyDescent="0.25">
      <c r="B189" s="20" t="s">
        <v>391</v>
      </c>
      <c r="C189" s="16">
        <f>1/C173*(4/(1-C188^2)^0.5*ATAN(((1+C188)/(1-C188))^0.5)-PI()-2*C188)</f>
        <v>3.9763313115167925E-2</v>
      </c>
      <c r="D189" s="55" t="s">
        <v>107</v>
      </c>
      <c r="F189" s="43"/>
    </row>
    <row r="190" spans="2:6" ht="18" hidden="1" outlineLevel="1" x14ac:dyDescent="0.25">
      <c r="B190" s="20" t="s">
        <v>392</v>
      </c>
      <c r="C190" s="16">
        <f>IF(C286&lt;1,C171+C43,C171+C44)</f>
        <v>671</v>
      </c>
      <c r="D190" s="55" t="s">
        <v>127</v>
      </c>
      <c r="F190" s="43"/>
    </row>
    <row r="191" spans="2:6" ht="18" hidden="1" outlineLevel="1" x14ac:dyDescent="0.25">
      <c r="B191" s="20" t="s">
        <v>393</v>
      </c>
      <c r="C191" s="32">
        <f>1/C190*(2*C182/C186+C183/C185)+PI()*C189</f>
        <v>0.41917663905674207</v>
      </c>
      <c r="D191" s="55"/>
      <c r="F191" s="43"/>
    </row>
    <row r="192" spans="2:6" ht="18" hidden="1" outlineLevel="1" x14ac:dyDescent="0.25">
      <c r="B192" s="20" t="s">
        <v>394</v>
      </c>
      <c r="C192" s="32">
        <f>1/C190*(C182/C186+C183/C185)+PI()*C189</f>
        <v>0.31258892625141266</v>
      </c>
      <c r="D192" s="55"/>
      <c r="F192" s="43"/>
    </row>
    <row r="193" spans="2:6" ht="18" hidden="1" outlineLevel="1" x14ac:dyDescent="0.25">
      <c r="B193" s="20" t="s">
        <v>395</v>
      </c>
      <c r="C193" s="16">
        <f>+(C172-C63)/2</f>
        <v>62</v>
      </c>
      <c r="D193" s="55" t="s">
        <v>123</v>
      </c>
      <c r="F193" s="43"/>
    </row>
    <row r="194" spans="2:6" ht="18" hidden="1" outlineLevel="1" x14ac:dyDescent="0.25">
      <c r="B194" s="20" t="s">
        <v>396</v>
      </c>
      <c r="C194" s="16">
        <f>+(C182+C193)/2</f>
        <v>67</v>
      </c>
      <c r="D194" s="55" t="s">
        <v>151</v>
      </c>
      <c r="F194" s="43"/>
    </row>
    <row r="195" spans="2:6" hidden="1" outlineLevel="1" x14ac:dyDescent="0.25">
      <c r="B195" s="20" t="s">
        <v>149</v>
      </c>
      <c r="C195" s="42">
        <f>+PI()/4*C63^2*C5/10</f>
        <v>6749696.7365929335</v>
      </c>
      <c r="D195" s="55" t="s">
        <v>150</v>
      </c>
      <c r="F195" s="43"/>
    </row>
    <row r="196" spans="2:6" ht="18" hidden="1" outlineLevel="1" x14ac:dyDescent="0.25">
      <c r="B196" s="20" t="s">
        <v>397</v>
      </c>
      <c r="C196" s="42">
        <f>+C195-C198</f>
        <v>476856.06570308749</v>
      </c>
      <c r="D196" s="55" t="s">
        <v>148</v>
      </c>
      <c r="F196" s="43"/>
    </row>
    <row r="197" spans="2:6" ht="18" hidden="1" outlineLevel="1" x14ac:dyDescent="0.25">
      <c r="B197" s="20" t="s">
        <v>398</v>
      </c>
      <c r="C197" s="115">
        <f>C66</f>
        <v>0</v>
      </c>
      <c r="D197" s="55" t="s">
        <v>124</v>
      </c>
      <c r="F197" s="43"/>
    </row>
    <row r="198" spans="2:6" ht="18" hidden="1" outlineLevel="1" x14ac:dyDescent="0.25">
      <c r="B198" s="20" t="s">
        <v>399</v>
      </c>
      <c r="C198" s="42">
        <f>+PI()/4*C171^2*C5/10</f>
        <v>6272840.670889846</v>
      </c>
      <c r="D198" s="55" t="s">
        <v>125</v>
      </c>
      <c r="F198" s="43"/>
    </row>
    <row r="199" spans="2:6" ht="18" hidden="1" outlineLevel="1" x14ac:dyDescent="0.25">
      <c r="B199" s="20" t="s">
        <v>400</v>
      </c>
      <c r="C199" s="42">
        <f>(C198*C182+C197*C193+C196*C194)/1000</f>
        <v>483593.88470617583</v>
      </c>
      <c r="D199" s="55" t="s">
        <v>128</v>
      </c>
      <c r="F199" s="43"/>
    </row>
    <row r="200" spans="2:6" ht="18" hidden="1" outlineLevel="1" x14ac:dyDescent="0.25">
      <c r="B200" s="20" t="s">
        <v>401</v>
      </c>
      <c r="C200" s="42">
        <f>C44^2*(C179+C175*C284)/C285</f>
        <v>16578847.899533838</v>
      </c>
      <c r="D200" s="55" t="s">
        <v>129</v>
      </c>
      <c r="F200" s="43"/>
    </row>
    <row r="201" spans="2:6" ht="18" hidden="1" outlineLevel="1" x14ac:dyDescent="0.25">
      <c r="B201" s="20" t="s">
        <v>402</v>
      </c>
      <c r="C201" s="16">
        <f>-(0.748-1.567*C191*LOG10(C42/C190))/(1+1.3*C191)</f>
        <v>-0.45169568328184023</v>
      </c>
      <c r="D201" s="55" t="s">
        <v>292</v>
      </c>
      <c r="F201" s="43"/>
    </row>
    <row r="202" spans="2:6" ht="18" hidden="1" outlineLevel="1" x14ac:dyDescent="0.25">
      <c r="B202" s="20" t="s">
        <v>403</v>
      </c>
      <c r="C202" s="42">
        <f>+(PI()/32*(C5*10^5*(C190/1000)^3)-1.3*C192*C199)/(1+1.3*C191)</f>
        <v>406507.2331881526</v>
      </c>
      <c r="D202" s="55" t="s">
        <v>293</v>
      </c>
      <c r="F202" s="43"/>
    </row>
    <row r="203" spans="2:6" ht="18" hidden="1" outlineLevel="1" x14ac:dyDescent="0.25">
      <c r="B203" s="20" t="s">
        <v>404</v>
      </c>
      <c r="C203" s="16">
        <f>IF(C200=0,0,-(0.575-1.206*C191*LOG10(C42/C190))/(C191+C175^3/C200))</f>
        <v>-9.9625412871356664E-2</v>
      </c>
      <c r="D203" s="55" t="s">
        <v>294</v>
      </c>
      <c r="F203" s="43"/>
    </row>
    <row r="204" spans="2:6" ht="18" hidden="1" outlineLevel="1" x14ac:dyDescent="0.25">
      <c r="B204" s="20" t="s">
        <v>405</v>
      </c>
      <c r="C204" s="42">
        <f>IF(C200=0,0,-C192*C199/(C191+C175^3/C200))</f>
        <v>-28076.338187738875</v>
      </c>
      <c r="D204" s="55" t="s">
        <v>295</v>
      </c>
      <c r="E204" s="43"/>
      <c r="F204" s="43"/>
    </row>
    <row r="205" spans="2:6" hidden="1" outlineLevel="1" x14ac:dyDescent="0.25">
      <c r="B205" s="20" t="s">
        <v>181</v>
      </c>
      <c r="C205" s="16">
        <f>+C187/(C187+C208)</f>
        <v>0.9840872986814635</v>
      </c>
      <c r="D205" s="55" t="s">
        <v>100</v>
      </c>
      <c r="E205" s="43"/>
      <c r="F205" s="43"/>
    </row>
    <row r="206" spans="2:6" ht="18" hidden="1" outlineLevel="1" x14ac:dyDescent="0.25">
      <c r="B206" s="20" t="s">
        <v>406</v>
      </c>
      <c r="C206" s="16">
        <f>+C35/C9</f>
        <v>1</v>
      </c>
      <c r="D206" s="55" t="s">
        <v>185</v>
      </c>
      <c r="E206" s="43"/>
      <c r="F206" s="43"/>
    </row>
    <row r="207" spans="2:6" hidden="1" outlineLevel="1" x14ac:dyDescent="0.25">
      <c r="B207" s="20" t="s">
        <v>182</v>
      </c>
      <c r="C207" s="16">
        <f>+C175+C176+C17/2</f>
        <v>571</v>
      </c>
      <c r="D207" s="55" t="s">
        <v>159</v>
      </c>
      <c r="E207" s="43"/>
      <c r="F207" s="43"/>
    </row>
    <row r="208" spans="2:6" ht="18" hidden="1" outlineLevel="1" x14ac:dyDescent="0.25">
      <c r="B208" s="20" t="s">
        <v>131</v>
      </c>
      <c r="C208" s="42">
        <f>+C35*10^9*(C176/1000)^3</f>
        <v>279510000</v>
      </c>
      <c r="D208" s="55" t="s">
        <v>100</v>
      </c>
      <c r="E208" s="43"/>
      <c r="F208" s="43"/>
    </row>
    <row r="209" spans="2:7" ht="18" hidden="1" outlineLevel="1" x14ac:dyDescent="0.25">
      <c r="B209" s="20" t="s">
        <v>132</v>
      </c>
      <c r="C209" s="42">
        <f>+C205*(C204-C202)/(1.206*LOG10(C42/C190)-C205*C203-(1-C205)*C201)</f>
        <v>-2167307.2844051071</v>
      </c>
      <c r="D209" s="55" t="s">
        <v>290</v>
      </c>
      <c r="E209" s="43"/>
      <c r="F209" s="43"/>
    </row>
    <row r="210" spans="2:7" ht="18" hidden="1" outlineLevel="1" x14ac:dyDescent="0.25">
      <c r="B210" s="20" t="s">
        <v>176</v>
      </c>
      <c r="C210" s="16">
        <f>-C209*C208/C187</f>
        <v>35045.380149134602</v>
      </c>
      <c r="D210" s="55" t="s">
        <v>291</v>
      </c>
      <c r="E210" s="43"/>
      <c r="F210" s="43"/>
    </row>
    <row r="211" spans="2:7" ht="18" hidden="1" outlineLevel="1" x14ac:dyDescent="0.25">
      <c r="B211" s="20" t="s">
        <v>135</v>
      </c>
      <c r="C211" s="16">
        <f>+C203*C209+C204</f>
        <v>187842.54484021873</v>
      </c>
      <c r="D211" s="55" t="s">
        <v>133</v>
      </c>
      <c r="E211" s="43"/>
      <c r="F211" s="43"/>
    </row>
    <row r="212" spans="2:7" ht="18" hidden="1" outlineLevel="1" x14ac:dyDescent="0.25">
      <c r="B212" s="20" t="s">
        <v>134</v>
      </c>
      <c r="C212" s="16">
        <f>+C201*C210+C202</f>
        <v>390677.38625581743</v>
      </c>
      <c r="D212" s="55" t="s">
        <v>136</v>
      </c>
      <c r="E212" s="43"/>
      <c r="F212" s="43"/>
      <c r="G212" s="62"/>
    </row>
    <row r="213" spans="2:7" ht="18" hidden="1" outlineLevel="1" x14ac:dyDescent="0.25">
      <c r="B213" s="20" t="s">
        <v>138</v>
      </c>
      <c r="C213" s="16">
        <f>1.206*C209*LOG10(C42/C190)</f>
        <v>-199607.19116715947</v>
      </c>
      <c r="D213" s="55" t="s">
        <v>137</v>
      </c>
      <c r="E213" s="43"/>
      <c r="F213" s="43"/>
    </row>
    <row r="214" spans="2:7" ht="18" hidden="1" outlineLevel="1" x14ac:dyDescent="0.25">
      <c r="B214" s="20" t="s">
        <v>175</v>
      </c>
      <c r="C214" s="16">
        <f>1.206*C210*LOG10(C42/C190)</f>
        <v>3227.6502484391326</v>
      </c>
      <c r="D214" s="55" t="s">
        <v>183</v>
      </c>
      <c r="E214" s="43"/>
      <c r="F214" s="43"/>
    </row>
    <row r="215" spans="2:7" ht="18" hidden="1" outlineLevel="1" x14ac:dyDescent="0.25">
      <c r="B215" s="20" t="s">
        <v>139</v>
      </c>
      <c r="C215" s="16">
        <f>+C211-C213</f>
        <v>387449.7360073782</v>
      </c>
      <c r="D215" s="55" t="s">
        <v>141</v>
      </c>
      <c r="E215" s="43"/>
      <c r="F215" s="43"/>
    </row>
    <row r="216" spans="2:7" ht="18" hidden="1" outlineLevel="1" x14ac:dyDescent="0.25">
      <c r="B216" s="20" t="s">
        <v>140</v>
      </c>
      <c r="C216" s="16">
        <f>+C212-C214</f>
        <v>387449.73600737832</v>
      </c>
      <c r="D216" s="55" t="s">
        <v>142</v>
      </c>
      <c r="E216" s="43"/>
      <c r="F216" s="43"/>
    </row>
    <row r="217" spans="2:7" ht="18" hidden="1" outlineLevel="1" x14ac:dyDescent="0.25">
      <c r="B217" s="20" t="s">
        <v>146</v>
      </c>
      <c r="C217" s="16">
        <f>(5.46/PI()/(C175/1000)^3*(C191*C215+C192*C199)+C209/(C175/1000)^3)/10^6</f>
        <v>-19.709201423545256</v>
      </c>
      <c r="D217" s="55" t="s">
        <v>143</v>
      </c>
      <c r="E217" s="43"/>
      <c r="F217" s="43"/>
    </row>
    <row r="218" spans="2:7" ht="18" hidden="1" outlineLevel="1" x14ac:dyDescent="0.25">
      <c r="B218" s="20" t="s">
        <v>145</v>
      </c>
      <c r="C218" s="16">
        <f>(-1.337/(C176/1000)^3*(C212-PI()*(C5*10^5)*(C190/1000)^3/32))/10^6</f>
        <v>435.81941341702884</v>
      </c>
      <c r="D218" s="55" t="s">
        <v>144</v>
      </c>
      <c r="E218" s="43"/>
      <c r="F218" s="43"/>
    </row>
    <row r="219" spans="2:7" ht="18" hidden="1" outlineLevel="1" x14ac:dyDescent="0.25">
      <c r="B219" s="20" t="s">
        <v>407</v>
      </c>
      <c r="C219" s="42">
        <f>+(C199+C215)/(C183/1000)</f>
        <v>14517393.678559236</v>
      </c>
      <c r="D219" s="55" t="s">
        <v>147</v>
      </c>
      <c r="E219" s="43"/>
      <c r="F219" s="43"/>
    </row>
    <row r="220" spans="2:7" ht="18" hidden="1" outlineLevel="1" x14ac:dyDescent="0.25">
      <c r="B220" s="20" t="s">
        <v>408</v>
      </c>
      <c r="C220" s="42">
        <f>+C195+C197+C219</f>
        <v>21267090.41515217</v>
      </c>
      <c r="D220" s="55" t="s">
        <v>153</v>
      </c>
      <c r="E220" s="43"/>
      <c r="F220" s="43"/>
    </row>
    <row r="221" spans="2:7" ht="18" hidden="1" outlineLevel="1" x14ac:dyDescent="0.25">
      <c r="B221" s="20" t="s">
        <v>154</v>
      </c>
      <c r="C221" s="16">
        <f>+C220/C177</f>
        <v>668.59507451925663</v>
      </c>
      <c r="D221" s="55" t="s">
        <v>157</v>
      </c>
      <c r="E221" s="43"/>
      <c r="F221" s="43"/>
    </row>
    <row r="222" spans="2:7" ht="18" hidden="1" outlineLevel="1" x14ac:dyDescent="0.25">
      <c r="B222" s="20" t="s">
        <v>160</v>
      </c>
      <c r="C222" s="16">
        <f>+C221-1.159*(C183/1000)^2*(C199+C215)/(2*(1-C205)*C185*(C175/1000)^3*C207*C206*C190/1000)/10^6</f>
        <v>668.59179117564338</v>
      </c>
      <c r="D222" s="55" t="s">
        <v>158</v>
      </c>
      <c r="E222" s="43"/>
      <c r="F222" s="43"/>
    </row>
    <row r="223" spans="2:7" ht="18" hidden="1" outlineLevel="1" x14ac:dyDescent="0.25">
      <c r="B223" s="20" t="s">
        <v>161</v>
      </c>
      <c r="C223" s="16">
        <f>6*(C199+C211)/(C175/1000)^2/(PI()*C172/1000-C173*C174)/10^6</f>
        <v>-1.904534204906886E-2</v>
      </c>
      <c r="D223" s="55" t="s">
        <v>162</v>
      </c>
      <c r="E223" s="43"/>
      <c r="F223" s="43"/>
    </row>
    <row r="224" spans="2:7" ht="18" hidden="1" outlineLevel="1" x14ac:dyDescent="0.25">
      <c r="B224" s="20" t="s">
        <v>161</v>
      </c>
      <c r="C224" s="16">
        <f>-(2*C284*C175/(C179+C175*C284)+6)*C211/(PI()*C190/1000*C175^2)</f>
        <v>-3.4389383674722267</v>
      </c>
      <c r="D224" s="55" t="s">
        <v>186</v>
      </c>
      <c r="E224" s="43"/>
      <c r="F224" s="43"/>
    </row>
    <row r="225" spans="2:6" ht="18" hidden="1" outlineLevel="1" x14ac:dyDescent="0.25">
      <c r="B225" s="20" t="s">
        <v>163</v>
      </c>
      <c r="C225" s="16">
        <f>C175*C217/C190+(2*C284*C175*C238/(C179+C284*C175)-1.8)*C211/(PI()*C190/1000*C175^2)</f>
        <v>-12.012038828604602</v>
      </c>
      <c r="D225" s="55" t="s">
        <v>364</v>
      </c>
      <c r="E225" s="43"/>
      <c r="F225" s="43"/>
    </row>
    <row r="226" spans="2:6" ht="18" hidden="1" outlineLevel="1" x14ac:dyDescent="0.25">
      <c r="B226" s="20" t="s">
        <v>164</v>
      </c>
      <c r="C226" s="16">
        <f>+C179*C217*C287/(0.91*C178^2*C190*C285)</f>
        <v>-10.237733926074347</v>
      </c>
      <c r="D226" s="55" t="s">
        <v>187</v>
      </c>
      <c r="E226" s="43"/>
      <c r="F226" s="43"/>
    </row>
    <row r="227" spans="2:6" ht="18" hidden="1" outlineLevel="1" x14ac:dyDescent="0.25">
      <c r="B227" s="20" t="s">
        <v>166</v>
      </c>
      <c r="C227" s="16">
        <f>6*(C199+C212)/(C176/1000)^2/(PI()*C172/1000-C173*C174/1000)/10^6</f>
        <v>426.57698926797036</v>
      </c>
      <c r="D227" s="55" t="s">
        <v>165</v>
      </c>
      <c r="E227" s="43"/>
      <c r="F227" s="43"/>
    </row>
    <row r="228" spans="2:6" ht="18" hidden="1" outlineLevel="1" x14ac:dyDescent="0.25">
      <c r="B228" s="20" t="s">
        <v>166</v>
      </c>
      <c r="C228" s="16">
        <f>6*C212/(PI()*C190/1000*C176^2)</f>
        <v>91.899206330999789</v>
      </c>
      <c r="D228" s="55" t="s">
        <v>167</v>
      </c>
      <c r="E228" s="43"/>
      <c r="F228" s="43"/>
    </row>
    <row r="229" spans="2:6" ht="18" hidden="1" outlineLevel="1" x14ac:dyDescent="0.25">
      <c r="B229" s="20" t="s">
        <v>168</v>
      </c>
      <c r="C229" s="16">
        <f>+C176*C218/C190</f>
        <v>71.44580547820145</v>
      </c>
      <c r="D229" s="55" t="s">
        <v>365</v>
      </c>
      <c r="E229" s="43"/>
      <c r="F229" s="43"/>
    </row>
    <row r="230" spans="2:6" ht="18" hidden="1" outlineLevel="1" x14ac:dyDescent="0.25">
      <c r="B230" s="20" t="s">
        <v>166</v>
      </c>
      <c r="C230" s="16">
        <f>(0.3094*C5*C190^2/C176^2)/10-6*C212/(PI()*C190/1000*C176^2)</f>
        <v>228.15591086900019</v>
      </c>
      <c r="D230" s="55" t="s">
        <v>169</v>
      </c>
      <c r="E230" s="43"/>
      <c r="F230" s="43"/>
    </row>
    <row r="231" spans="2:6" ht="18" hidden="1" outlineLevel="1" x14ac:dyDescent="0.25">
      <c r="B231" s="20" t="s">
        <v>168</v>
      </c>
      <c r="C231" s="16">
        <f>+C230</f>
        <v>228.15591086900019</v>
      </c>
      <c r="D231" s="55" t="s">
        <v>170</v>
      </c>
      <c r="E231" s="43"/>
      <c r="F231" s="43"/>
    </row>
    <row r="232" spans="2:6" hidden="1" outlineLevel="1" x14ac:dyDescent="0.25">
      <c r="B232" s="17"/>
      <c r="C232" s="17"/>
      <c r="D232" s="17"/>
      <c r="E232" s="43"/>
      <c r="F232" s="43"/>
    </row>
    <row r="233" spans="2:6" hidden="1" outlineLevel="1" x14ac:dyDescent="0.25">
      <c r="B233" s="202" t="s">
        <v>240</v>
      </c>
      <c r="C233" s="203"/>
      <c r="D233" s="204"/>
      <c r="E233" s="43"/>
      <c r="F233" s="43"/>
    </row>
    <row r="234" spans="2:6" hidden="1" outlineLevel="1" x14ac:dyDescent="0.25">
      <c r="B234" s="20" t="s">
        <v>189</v>
      </c>
      <c r="C234" s="16">
        <f>+C42/C171</f>
        <v>1.4925373134328359</v>
      </c>
      <c r="D234" s="55" t="s">
        <v>239</v>
      </c>
      <c r="E234" s="43"/>
      <c r="F234" s="43"/>
    </row>
    <row r="235" spans="2:6" hidden="1" outlineLevel="1" x14ac:dyDescent="0.25">
      <c r="B235" s="20" t="s">
        <v>190</v>
      </c>
      <c r="C235" s="16">
        <f>+(C234^2*(1+8.55246*LOG10(C234))-1)/(1.0472+1.9448*C234^2)/(C234-1)</f>
        <v>1.7139311850019681</v>
      </c>
      <c r="D235" s="55" t="s">
        <v>239</v>
      </c>
      <c r="E235" s="43"/>
      <c r="F235" s="43"/>
    </row>
    <row r="236" spans="2:6" hidden="1" outlineLevel="1" x14ac:dyDescent="0.25">
      <c r="B236" s="20" t="s">
        <v>191</v>
      </c>
      <c r="C236" s="16">
        <f>+(C234^2*(1+8.55246*LOG10(C234))-1)/1.36136/(C234^2-1)/(C234-1)</f>
        <v>5.5167968493895865</v>
      </c>
      <c r="D236" s="55" t="s">
        <v>239</v>
      </c>
      <c r="E236" s="43"/>
      <c r="F236" s="43"/>
    </row>
    <row r="237" spans="2:6" hidden="1" outlineLevel="1" x14ac:dyDescent="0.25">
      <c r="B237" s="20" t="s">
        <v>192</v>
      </c>
      <c r="C237" s="16">
        <f>1/(C234-1)*(0.66845+5.7169*(C234^2*LOG10(C234))/(C234^2-1))</f>
        <v>5.0202963557434019</v>
      </c>
      <c r="D237" s="55" t="s">
        <v>239</v>
      </c>
      <c r="E237" s="43"/>
      <c r="F237" s="43"/>
    </row>
    <row r="238" spans="2:6" hidden="1" outlineLevel="1" x14ac:dyDescent="0.25">
      <c r="B238" s="20" t="s">
        <v>188</v>
      </c>
      <c r="C238" s="16">
        <f>(C234^2+1)/(C234^2-1)</f>
        <v>2.6291054255126109</v>
      </c>
      <c r="D238" s="55" t="s">
        <v>239</v>
      </c>
      <c r="E238" s="43"/>
      <c r="F238" s="43"/>
    </row>
    <row r="239" spans="2:6" hidden="1" outlineLevel="1" x14ac:dyDescent="0.25">
      <c r="B239" s="20" t="s">
        <v>114</v>
      </c>
      <c r="C239" s="16">
        <f>+C178-1</f>
        <v>0.95652173913043481</v>
      </c>
      <c r="D239" s="55" t="s">
        <v>193</v>
      </c>
      <c r="E239" s="43"/>
      <c r="F239" s="43"/>
    </row>
    <row r="240" spans="2:6" hidden="1" outlineLevel="1" x14ac:dyDescent="0.25">
      <c r="B240" s="20" t="s">
        <v>115</v>
      </c>
      <c r="C240" s="16">
        <f>43.68*C180^2</f>
        <v>18.453926022063595</v>
      </c>
      <c r="D240" s="55" t="s">
        <v>194</v>
      </c>
      <c r="E240" s="43"/>
      <c r="F240" s="43"/>
    </row>
    <row r="241" spans="2:6" ht="18" hidden="1" outlineLevel="1" x14ac:dyDescent="0.25">
      <c r="B241" s="20" t="s">
        <v>409</v>
      </c>
      <c r="C241" s="16">
        <f>1/3+C239/12</f>
        <v>0.41304347826086957</v>
      </c>
      <c r="D241" s="55" t="s">
        <v>195</v>
      </c>
      <c r="E241" s="43"/>
      <c r="F241" s="43"/>
    </row>
    <row r="242" spans="2:6" ht="18" hidden="1" outlineLevel="1" x14ac:dyDescent="0.25">
      <c r="B242" s="20" t="s">
        <v>410</v>
      </c>
      <c r="C242" s="16">
        <f>5/42+17*C239/336</f>
        <v>0.16744306418219462</v>
      </c>
      <c r="D242" s="55" t="s">
        <v>196</v>
      </c>
      <c r="E242" s="43"/>
      <c r="F242" s="43"/>
    </row>
    <row r="243" spans="2:6" ht="18" hidden="1" outlineLevel="1" x14ac:dyDescent="0.25">
      <c r="B243" s="20" t="s">
        <v>411</v>
      </c>
      <c r="C243" s="16">
        <f>1/210+C239/360</f>
        <v>7.4189095928226369E-3</v>
      </c>
      <c r="D243" s="55" t="s">
        <v>197</v>
      </c>
      <c r="E243" s="43"/>
      <c r="F243" s="43"/>
    </row>
    <row r="244" spans="2:6" ht="18" hidden="1" outlineLevel="1" x14ac:dyDescent="0.25">
      <c r="B244" s="20" t="s">
        <v>412</v>
      </c>
      <c r="C244" s="16">
        <f>11/360+59*C239/5040+(1+3*C239)/C240</f>
        <v>0.25144084514519299</v>
      </c>
      <c r="D244" s="55" t="s">
        <v>198</v>
      </c>
      <c r="E244" s="43"/>
      <c r="F244" s="43"/>
    </row>
    <row r="245" spans="2:6" ht="18" hidden="1" outlineLevel="1" x14ac:dyDescent="0.25">
      <c r="B245" s="20" t="s">
        <v>413</v>
      </c>
      <c r="C245" s="16">
        <f>1/90+5*C239/1008-(1 + C239 )^3/C240</f>
        <v>-0.38999396423782062</v>
      </c>
      <c r="D245" s="55" t="s">
        <v>199</v>
      </c>
      <c r="E245" s="43"/>
      <c r="F245" s="43"/>
    </row>
    <row r="246" spans="2:6" ht="18" hidden="1" outlineLevel="1" x14ac:dyDescent="0.25">
      <c r="B246" s="20" t="s">
        <v>414</v>
      </c>
      <c r="C246" s="16">
        <f>1/120+17*C239/5040+1/C240</f>
        <v>6.5748707331316034E-2</v>
      </c>
      <c r="D246" s="55" t="s">
        <v>200</v>
      </c>
      <c r="E246" s="43"/>
      <c r="F246" s="43"/>
    </row>
    <row r="247" spans="2:6" ht="18" hidden="1" outlineLevel="1" x14ac:dyDescent="0.25">
      <c r="B247" s="20" t="s">
        <v>415</v>
      </c>
      <c r="C247" s="16">
        <f>215/2772+51*C239 /1232+(60/7 + 225*C239/14+75*C239^2/7 + 5*C239^3/2)/C240</f>
        <v>2.0644314299137414</v>
      </c>
      <c r="D247" s="55" t="s">
        <v>201</v>
      </c>
      <c r="E247" s="43"/>
      <c r="F247" s="43"/>
    </row>
    <row r="248" spans="2:6" ht="18" hidden="1" outlineLevel="1" x14ac:dyDescent="0.25">
      <c r="B248" s="20" t="s">
        <v>416</v>
      </c>
      <c r="C248" s="16">
        <f>31/6930 +128*C239 /45045+(6/7+15*C239 /7+12*C239^2/7 + 5*C239^3/11)/C240</f>
        <v>0.27125915826904218</v>
      </c>
      <c r="D248" s="55" t="s">
        <v>202</v>
      </c>
      <c r="E248" s="43"/>
      <c r="F248" s="43"/>
    </row>
    <row r="249" spans="2:6" ht="18" hidden="1" outlineLevel="1" x14ac:dyDescent="0.25">
      <c r="B249" s="20" t="s">
        <v>417</v>
      </c>
      <c r="C249" s="16">
        <f>533/30240+653*C239/73920+(1/2+33*C239/14+39*C239^2/28+25*C239^3/84)/C240</f>
        <v>0.25851884020601273</v>
      </c>
      <c r="D249" s="55" t="s">
        <v>203</v>
      </c>
      <c r="E249" s="43"/>
      <c r="F249" s="43"/>
    </row>
    <row r="250" spans="2:6" ht="18" hidden="1" outlineLevel="1" x14ac:dyDescent="0.25">
      <c r="B250" s="20" t="s">
        <v>418</v>
      </c>
      <c r="C250" s="16">
        <f>29/3780+3*C239/704-(1/2+33*C239/14 + 81*C239^2/28+13*C239^3/12)/C240</f>
        <v>-0.33232588730869866</v>
      </c>
      <c r="D250" s="55" t="s">
        <v>204</v>
      </c>
      <c r="E250" s="43"/>
      <c r="F250" s="43"/>
    </row>
    <row r="251" spans="2:6" ht="18" hidden="1" outlineLevel="1" x14ac:dyDescent="0.25">
      <c r="B251" s="20" t="s">
        <v>419</v>
      </c>
      <c r="C251" s="16">
        <f>31/6048+1763*C239/665280+(1/2+ 6*C239/7+15*C239^2/28+5*C239^3/42)/C240</f>
        <v>0.11138927253320989</v>
      </c>
      <c r="D251" s="55" t="s">
        <v>205</v>
      </c>
      <c r="E251" s="43"/>
      <c r="F251" s="43"/>
    </row>
    <row r="252" spans="2:6" ht="18" hidden="1" outlineLevel="1" x14ac:dyDescent="0.25">
      <c r="B252" s="20" t="s">
        <v>420</v>
      </c>
      <c r="C252" s="16">
        <f>1/2925+71*C239/300300+(8/35+18*C239/35+156*C239^2/385+6*C239^3/55)/C240</f>
        <v>6.4873842566351356E-2</v>
      </c>
      <c r="D252" s="55" t="s">
        <v>206</v>
      </c>
      <c r="E252" s="43"/>
      <c r="F252" s="43"/>
    </row>
    <row r="253" spans="2:6" ht="18" hidden="1" outlineLevel="1" x14ac:dyDescent="0.25">
      <c r="B253" s="20" t="s">
        <v>421</v>
      </c>
      <c r="C253" s="16">
        <f>761/831600+937*C239/1663200+(1/35+6*C239/35+11*C239^2/70+3*C239^3/70)/C240</f>
        <v>2.1711377803940595E-2</v>
      </c>
      <c r="D253" s="55" t="s">
        <v>207</v>
      </c>
      <c r="E253" s="43"/>
      <c r="F253" s="43"/>
    </row>
    <row r="254" spans="2:6" ht="18" hidden="1" outlineLevel="1" x14ac:dyDescent="0.25">
      <c r="B254" s="20" t="s">
        <v>422</v>
      </c>
      <c r="C254" s="16">
        <f>197/415800+103*C239/332640-(1/35+6*C239/35+17*C239^2/70+C239^3/10)/C240</f>
        <v>-2.6447017401837823E-2</v>
      </c>
      <c r="D254" s="55" t="s">
        <v>208</v>
      </c>
      <c r="E254" s="43"/>
      <c r="F254" s="43"/>
    </row>
    <row r="255" spans="2:6" ht="18" hidden="1" outlineLevel="1" x14ac:dyDescent="0.25">
      <c r="B255" s="20" t="s">
        <v>423</v>
      </c>
      <c r="C255" s="16">
        <f>233/831600+97*C239/554400+(1/35+3*C239/35+C239^2/14+2*C239^3/105)/C240</f>
        <v>1.088331486758708E-2</v>
      </c>
      <c r="D255" s="55" t="s">
        <v>209</v>
      </c>
      <c r="E255" s="43"/>
      <c r="F255" s="43"/>
    </row>
    <row r="256" spans="2:6" ht="18" hidden="1" outlineLevel="1" x14ac:dyDescent="0.25">
      <c r="B256" s="20" t="s">
        <v>424</v>
      </c>
      <c r="C256" s="16">
        <f>+C241*C247*C252+C242*C248*C243+C243*C248*C242-(C243^2*C247+C248^2*C241+C242^2*C252)</f>
        <v>2.3666984383653542E-2</v>
      </c>
      <c r="D256" s="55" t="s">
        <v>210</v>
      </c>
      <c r="E256" s="43"/>
      <c r="F256" s="43"/>
    </row>
    <row r="257" spans="2:6" ht="18" hidden="1" outlineLevel="1" x14ac:dyDescent="0.25">
      <c r="B257" s="20" t="s">
        <v>425</v>
      </c>
      <c r="C257" s="16">
        <f>+(C244*C247*C252+C242*C248*C253+C243*C248*C249-(C253*C247*C243+C248^2*C244+C252*C242*C249))/C256</f>
        <v>0.5720681917603182</v>
      </c>
      <c r="D257" s="55" t="s">
        <v>211</v>
      </c>
      <c r="E257" s="43"/>
      <c r="F257" s="43"/>
    </row>
    <row r="258" spans="2:6" ht="18" hidden="1" outlineLevel="1" x14ac:dyDescent="0.25">
      <c r="B258" s="20" t="s">
        <v>426</v>
      </c>
      <c r="C258" s="16">
        <f>+(C245*C247*C252+C242*C248*C254+C243*C248*C250-(C254*C247*C243+C248^2*C245+C252*C242*C250))/C256</f>
        <v>-0.90377464934573304</v>
      </c>
      <c r="D258" s="55" t="s">
        <v>212</v>
      </c>
      <c r="E258" s="43"/>
      <c r="F258" s="43"/>
    </row>
    <row r="259" spans="2:6" ht="18" hidden="1" outlineLevel="1" x14ac:dyDescent="0.25">
      <c r="B259" s="20" t="s">
        <v>427</v>
      </c>
      <c r="C259" s="16">
        <f>+(C246*C252+C242*C248*C255+C243*C248*C251-(C255*C247*C243+C248^2*C246+C252*C242*C251))/C256</f>
        <v>-5.2000772734929639E-2</v>
      </c>
      <c r="D259" s="55" t="s">
        <v>213</v>
      </c>
      <c r="E259" s="43"/>
      <c r="F259" s="43"/>
    </row>
    <row r="260" spans="2:6" ht="18" hidden="1" outlineLevel="1" x14ac:dyDescent="0.25">
      <c r="B260" s="20" t="s">
        <v>428</v>
      </c>
      <c r="C260" s="16">
        <f>+(C241*C249*C252+C244*C248*C243+C243*C253*C242-(C243^2*C249+C253*C248*C241+C252*C244*C242))/C256</f>
        <v>9.6423292892366466E-2</v>
      </c>
      <c r="D260" s="55" t="s">
        <v>214</v>
      </c>
      <c r="E260" s="43"/>
      <c r="F260" s="43"/>
    </row>
    <row r="261" spans="2:6" ht="18" hidden="1" outlineLevel="1" x14ac:dyDescent="0.25">
      <c r="B261" s="20" t="s">
        <v>429</v>
      </c>
      <c r="C261" s="16">
        <f>+(C241*C250*C252+C245*C248*C243+C243*C254*C242-(C243^2*C250+C254*C248*C241+C252*C245*C242))/C256</f>
        <v>-0.10583373899127116</v>
      </c>
      <c r="D261" s="55" t="s">
        <v>215</v>
      </c>
      <c r="E261" s="43"/>
      <c r="F261" s="43"/>
    </row>
    <row r="262" spans="2:6" ht="18" hidden="1" outlineLevel="1" x14ac:dyDescent="0.25">
      <c r="B262" s="20" t="s">
        <v>430</v>
      </c>
      <c r="C262" s="16">
        <f>+(C241*C251*C252+C246*C248*C243+C243*C255*C242-(C243^2*C251+C255*C248*C241+C252*C246*C242))/C256</f>
        <v>5.0317641254029585E-2</v>
      </c>
      <c r="D262" s="55" t="s">
        <v>216</v>
      </c>
      <c r="E262" s="43"/>
      <c r="F262" s="43"/>
    </row>
    <row r="263" spans="2:6" ht="18" hidden="1" outlineLevel="1" x14ac:dyDescent="0.25">
      <c r="B263" s="20" t="s">
        <v>431</v>
      </c>
      <c r="C263" s="16">
        <f>+(C241*C247*C253+C242*C249*C243+C244*C248*C242-(C243*C247*C244+C248*C249*C241+C242^2*C253))/C256</f>
        <v>-0.13392833406291701</v>
      </c>
      <c r="D263" s="55" t="s">
        <v>217</v>
      </c>
      <c r="E263" s="43"/>
      <c r="F263" s="43"/>
    </row>
    <row r="264" spans="2:6" ht="18" hidden="1" outlineLevel="1" x14ac:dyDescent="0.25">
      <c r="B264" s="20" t="s">
        <v>432</v>
      </c>
      <c r="C264" s="16">
        <f>+(C241*C247*C254+C242*C250*C243+C245*C248*C242-(C243*C247*C245+C248*C250*C241+C242^2*C254))/C256</f>
        <v>0.13821250005362792</v>
      </c>
      <c r="D264" s="55" t="s">
        <v>218</v>
      </c>
      <c r="E264" s="43"/>
      <c r="F264" s="43"/>
    </row>
    <row r="265" spans="2:6" ht="18" hidden="1" outlineLevel="1" x14ac:dyDescent="0.25">
      <c r="B265" s="20" t="s">
        <v>433</v>
      </c>
      <c r="C265" s="16">
        <f>+(C241*C247*C255+C242*C251*C243+C246*C248*C242-(C243*C247*C246+C248*C251*C241-C242^2*C255))/C256</f>
        <v>-3.283918928815939E-2</v>
      </c>
      <c r="D265" s="55" t="s">
        <v>219</v>
      </c>
      <c r="E265" s="43"/>
      <c r="F265" s="43"/>
    </row>
    <row r="266" spans="2:6" ht="18" hidden="1" outlineLevel="1" x14ac:dyDescent="0.25">
      <c r="B266" s="20" t="s">
        <v>434</v>
      </c>
      <c r="C266" s="16">
        <f>-((C240/4)^(1/4))</f>
        <v>-1.4655721243707736</v>
      </c>
      <c r="D266" s="55" t="s">
        <v>220</v>
      </c>
      <c r="E266" s="43"/>
    </row>
    <row r="267" spans="2:6" ht="18" hidden="1" outlineLevel="1" x14ac:dyDescent="0.25">
      <c r="B267" s="20" t="s">
        <v>435</v>
      </c>
      <c r="C267" s="16">
        <f>+C260-C257-5/12+C257*C266</f>
        <v>-1.730718760617735</v>
      </c>
      <c r="D267" s="55" t="s">
        <v>221</v>
      </c>
      <c r="E267" s="43"/>
    </row>
    <row r="268" spans="2:6" ht="18" hidden="1" outlineLevel="1" x14ac:dyDescent="0.25">
      <c r="B268" s="20" t="s">
        <v>436</v>
      </c>
      <c r="C268" s="16">
        <f>+C262-C259-1/12+C259*C266</f>
        <v>9.5195963621678523E-2</v>
      </c>
      <c r="D268" s="55" t="s">
        <v>222</v>
      </c>
      <c r="E268" s="43"/>
    </row>
    <row r="269" spans="2:6" ht="18" hidden="1" outlineLevel="1" x14ac:dyDescent="0.25">
      <c r="B269" s="20" t="s">
        <v>437</v>
      </c>
      <c r="C269" s="16">
        <f>+-((C240/4)^(1/2))</f>
        <v>-2.1479016517326621</v>
      </c>
      <c r="D269" s="55" t="s">
        <v>223</v>
      </c>
      <c r="E269" s="43"/>
    </row>
    <row r="270" spans="2:6" ht="18" hidden="1" outlineLevel="1" x14ac:dyDescent="0.25">
      <c r="B270" s="20" t="s">
        <v>438</v>
      </c>
      <c r="C270" s="16">
        <f>-((C240/4)^(3/4))</f>
        <v>-3.1479047866693315</v>
      </c>
      <c r="D270" s="55" t="s">
        <v>224</v>
      </c>
      <c r="E270" s="43"/>
    </row>
    <row r="271" spans="2:6" ht="18" hidden="1" outlineLevel="1" x14ac:dyDescent="0.25">
      <c r="B271" s="20" t="s">
        <v>439</v>
      </c>
      <c r="C271" s="16">
        <f>3*C239/2-C257*C270</f>
        <v>3.235598807839227</v>
      </c>
      <c r="D271" s="55" t="s">
        <v>225</v>
      </c>
      <c r="E271" s="43"/>
    </row>
    <row r="272" spans="2:6" ht="18" hidden="1" outlineLevel="1" x14ac:dyDescent="0.25">
      <c r="B272" s="20" t="s">
        <v>440</v>
      </c>
      <c r="C272" s="16">
        <f>1/2-C259*C270</f>
        <v>0.33630651859721095</v>
      </c>
      <c r="D272" s="55" t="s">
        <v>226</v>
      </c>
      <c r="E272" s="43"/>
    </row>
    <row r="273" spans="2:5" ht="18" hidden="1" outlineLevel="1" x14ac:dyDescent="0.25">
      <c r="B273" s="20" t="s">
        <v>441</v>
      </c>
      <c r="C273" s="16">
        <f>0.5*C266/C272+C268*C271*C269-(0.5*C270*C268-C272*C267*C269)</f>
        <v>-1.4404867506734094</v>
      </c>
      <c r="D273" s="55" t="s">
        <v>227</v>
      </c>
      <c r="E273" s="43"/>
    </row>
    <row r="274" spans="2:5" ht="18" hidden="1" outlineLevel="1" x14ac:dyDescent="0.25">
      <c r="B274" s="20" t="s">
        <v>442</v>
      </c>
      <c r="C274" s="16">
        <f>1/12+C258-C261-C258*C266</f>
        <v>-2.0391545098152055</v>
      </c>
      <c r="D274" s="55" t="s">
        <v>228</v>
      </c>
      <c r="E274" s="43"/>
    </row>
    <row r="275" spans="2:5" ht="18" hidden="1" outlineLevel="1" x14ac:dyDescent="0.25">
      <c r="B275" s="20" t="s">
        <v>443</v>
      </c>
      <c r="C275" s="16">
        <f>-C258*((C240/4)^(3/4))</f>
        <v>2.8449965447458294</v>
      </c>
      <c r="D275" s="55" t="s">
        <v>229</v>
      </c>
      <c r="E275" s="43"/>
    </row>
    <row r="276" spans="2:5" ht="18" hidden="1" outlineLevel="1" x14ac:dyDescent="0.25">
      <c r="B276" s="20" t="s">
        <v>444</v>
      </c>
      <c r="C276" s="16">
        <f>+(C268*C275*C269-C272*C274*C269)/C273</f>
        <v>1.4264004483691215</v>
      </c>
      <c r="D276" s="55" t="s">
        <v>230</v>
      </c>
      <c r="E276" s="43"/>
    </row>
    <row r="277" spans="2:5" ht="18" hidden="1" outlineLevel="1" x14ac:dyDescent="0.25">
      <c r="B277" s="20" t="s">
        <v>445</v>
      </c>
      <c r="C277" s="16">
        <f>+(0.5*C266*C275+C274*C271*C269-(0.5*C270*C274+C275*C267*C269))/C273</f>
        <v>1.1792715196961161</v>
      </c>
      <c r="D277" s="55" t="s">
        <v>231</v>
      </c>
      <c r="E277" s="43"/>
    </row>
    <row r="278" spans="2:5" ht="18" hidden="1" outlineLevel="1" x14ac:dyDescent="0.25">
      <c r="B278" s="20" t="s">
        <v>446</v>
      </c>
      <c r="C278" s="16">
        <f>+C257*C276+C258+C259*C277</f>
        <v>-0.14909935440959543</v>
      </c>
      <c r="D278" s="55" t="s">
        <v>232</v>
      </c>
      <c r="E278" s="43"/>
    </row>
    <row r="279" spans="2:5" ht="18" hidden="1" outlineLevel="1" x14ac:dyDescent="0.25">
      <c r="B279" s="20" t="s">
        <v>447</v>
      </c>
      <c r="C279" s="16">
        <f>+C260*C276+C261+C262*C277</f>
        <v>9.1042650492790964E-2</v>
      </c>
      <c r="D279" s="55" t="s">
        <v>233</v>
      </c>
      <c r="E279" s="43"/>
    </row>
    <row r="280" spans="2:5" ht="18" hidden="1" outlineLevel="1" x14ac:dyDescent="0.25">
      <c r="B280" s="20" t="s">
        <v>448</v>
      </c>
      <c r="C280" s="16">
        <f>+C263*C276+C264+C265*C277</f>
        <v>-9.1549256360482528E-2</v>
      </c>
      <c r="D280" s="55" t="s">
        <v>234</v>
      </c>
      <c r="E280" s="43"/>
    </row>
    <row r="281" spans="2:5" ht="18" hidden="1" outlineLevel="1" x14ac:dyDescent="0.25">
      <c r="B281" s="20" t="s">
        <v>449</v>
      </c>
      <c r="C281" s="16">
        <f>1/4+C277/12+C276/4-C280/5-3*C279/2-C278</f>
        <v>0.73571796867612882</v>
      </c>
      <c r="D281" s="55" t="s">
        <v>235</v>
      </c>
      <c r="E281" s="43"/>
    </row>
    <row r="282" spans="2:5" ht="18" hidden="1" outlineLevel="1" x14ac:dyDescent="0.25">
      <c r="B282" s="20" t="s">
        <v>450</v>
      </c>
      <c r="C282" s="16">
        <f>+C278*(1/2+C239/6)+C279*(1/4+11*C239/84)+C280*(1/70+C239/105)</f>
        <v>-6.6296419408925958E-2</v>
      </c>
      <c r="D282" s="55" t="s">
        <v>236</v>
      </c>
      <c r="E282" s="43"/>
    </row>
    <row r="283" spans="2:5" ht="18" hidden="1" outlineLevel="1" x14ac:dyDescent="0.25">
      <c r="B283" s="20" t="s">
        <v>451</v>
      </c>
      <c r="C283" s="16">
        <f>+C282-C276*(7/120+C239/36+3*C239/C240)-1/40-C239/72-C277*(1/60+C239/120+1/C240)</f>
        <v>-0.54044944049732591</v>
      </c>
      <c r="D283" s="55" t="s">
        <v>237</v>
      </c>
      <c r="E283" s="43"/>
    </row>
    <row r="284" spans="2:5" hidden="1" outlineLevel="1" x14ac:dyDescent="0.25">
      <c r="B284" s="20" t="s">
        <v>75</v>
      </c>
      <c r="C284" s="63">
        <f>IF(C178=1,0.90892,-C283/((C240/2.73)^(1/4)*(1+C239)^3/C240))</f>
        <v>0.8258635173730462</v>
      </c>
      <c r="D284" s="55" t="s">
        <v>238</v>
      </c>
    </row>
    <row r="285" spans="2:5" hidden="1" outlineLevel="1" x14ac:dyDescent="0.25">
      <c r="B285" s="20" t="s">
        <v>116</v>
      </c>
      <c r="C285" s="63">
        <f>IF(C178=1,0.550103,C281/((2.73/C240)^(1/4)*(1+C239)^3))</f>
        <v>0.15839404941149682</v>
      </c>
      <c r="D285" s="55" t="s">
        <v>238</v>
      </c>
    </row>
    <row r="286" spans="2:5" hidden="1" outlineLevel="1" x14ac:dyDescent="0.25">
      <c r="B286" s="20" t="s">
        <v>117</v>
      </c>
      <c r="C286" s="16">
        <f>IF(C178=1,1,C276/(C239+1))</f>
        <v>0.72904911805532879</v>
      </c>
      <c r="D286" s="55" t="s">
        <v>238</v>
      </c>
    </row>
    <row r="287" spans="2:5" hidden="1" outlineLevel="1" x14ac:dyDescent="0.25">
      <c r="B287" s="20" t="s">
        <v>99</v>
      </c>
      <c r="C287" s="16">
        <f>+IF(C286&lt;1,1,C286)</f>
        <v>1</v>
      </c>
      <c r="D287" s="55" t="s">
        <v>238</v>
      </c>
    </row>
    <row r="288" spans="2:5" hidden="1" outlineLevel="1" x14ac:dyDescent="0.25"/>
    <row r="289" spans="2:4" collapsed="1" x14ac:dyDescent="0.25">
      <c r="B289" s="202" t="s">
        <v>241</v>
      </c>
      <c r="C289" s="203"/>
      <c r="D289" s="204"/>
    </row>
    <row r="290" spans="2:4" ht="18" x14ac:dyDescent="0.25">
      <c r="B290" s="20" t="s">
        <v>174</v>
      </c>
      <c r="C290" s="16">
        <f>+MIN(C34/3.5,C33*0.666666666666667)</f>
        <v>197.14285714285714</v>
      </c>
      <c r="D290" s="55" t="s">
        <v>173</v>
      </c>
    </row>
    <row r="291" spans="2:4" ht="18" x14ac:dyDescent="0.25">
      <c r="B291" s="20" t="s">
        <v>171</v>
      </c>
      <c r="C291" s="16">
        <f>C11</f>
        <v>724</v>
      </c>
      <c r="D291" s="55" t="s">
        <v>172</v>
      </c>
    </row>
    <row r="292" spans="2:4" ht="18" x14ac:dyDescent="0.25">
      <c r="B292" s="20" t="s">
        <v>358</v>
      </c>
      <c r="C292" s="16">
        <f>ABS(C221)/C291</f>
        <v>0.92347385983322738</v>
      </c>
      <c r="D292" s="55" t="s">
        <v>359</v>
      </c>
    </row>
    <row r="293" spans="2:4" ht="18" x14ac:dyDescent="0.25">
      <c r="B293" s="20" t="s">
        <v>367</v>
      </c>
      <c r="C293" s="16">
        <f>ABS(C226)/C290</f>
        <v>5.1930534407623498E-2</v>
      </c>
      <c r="D293" s="55" t="s">
        <v>360</v>
      </c>
    </row>
    <row r="294" spans="2:4" ht="18" x14ac:dyDescent="0.25">
      <c r="B294" s="20" t="s">
        <v>368</v>
      </c>
      <c r="C294" s="16">
        <f>+ABS(C223)/C290</f>
        <v>9.6606807495276824E-5</v>
      </c>
      <c r="D294" s="55" t="s">
        <v>362</v>
      </c>
    </row>
    <row r="295" spans="2:4" ht="18" x14ac:dyDescent="0.25">
      <c r="B295" s="20" t="s">
        <v>368</v>
      </c>
      <c r="C295" s="16">
        <f>+ABS(C224)/C290</f>
        <v>1.7443890269786658E-2</v>
      </c>
      <c r="D295" s="55" t="s">
        <v>361</v>
      </c>
    </row>
    <row r="296" spans="2:4" ht="18" x14ac:dyDescent="0.25">
      <c r="B296" s="20" t="s">
        <v>369</v>
      </c>
      <c r="C296" s="16">
        <f>ABS(C227)/C290</f>
        <v>2.1637963223737628</v>
      </c>
      <c r="D296" s="55" t="s">
        <v>363</v>
      </c>
    </row>
    <row r="297" spans="2:4" ht="18" x14ac:dyDescent="0.25">
      <c r="B297" s="20" t="s">
        <v>369</v>
      </c>
      <c r="C297" s="16">
        <f>ABS(C228)/C290</f>
        <v>0.46615539443260762</v>
      </c>
      <c r="D297" s="55" t="s">
        <v>366</v>
      </c>
    </row>
    <row r="298" spans="2:4" ht="18" x14ac:dyDescent="0.25">
      <c r="B298" s="20" t="s">
        <v>370</v>
      </c>
      <c r="C298" s="16">
        <f>ABS(C225)/C290</f>
        <v>6.0930631739298712E-2</v>
      </c>
      <c r="D298" s="55" t="s">
        <v>375</v>
      </c>
    </row>
    <row r="299" spans="2:4" ht="18" x14ac:dyDescent="0.25">
      <c r="B299" s="20" t="s">
        <v>371</v>
      </c>
      <c r="C299" s="16">
        <f>ABS(C229)/C290</f>
        <v>0.36240625967203632</v>
      </c>
      <c r="D299" s="55" t="s">
        <v>374</v>
      </c>
    </row>
    <row r="300" spans="2:4" ht="18" x14ac:dyDescent="0.25">
      <c r="B300" s="20" t="s">
        <v>372</v>
      </c>
      <c r="C300" s="16">
        <f>+(ABS(C226)+MAX(ABS(C223),ABS(C224)))/2/C290</f>
        <v>3.468721233870508E-2</v>
      </c>
      <c r="D300" s="55" t="s">
        <v>376</v>
      </c>
    </row>
    <row r="301" spans="2:4" ht="18" x14ac:dyDescent="0.25">
      <c r="B301" s="20" t="s">
        <v>377</v>
      </c>
      <c r="C301" s="16">
        <f>+(C227+ABS(C225))/2/C291</f>
        <v>0.30289297520481695</v>
      </c>
      <c r="D301" s="55" t="s">
        <v>378</v>
      </c>
    </row>
    <row r="302" spans="2:4" ht="18" x14ac:dyDescent="0.25">
      <c r="B302" s="20" t="s">
        <v>369</v>
      </c>
      <c r="C302" s="16">
        <f>ABS(C230)/C290</f>
        <v>1.1573125913644937</v>
      </c>
      <c r="D302" s="55" t="s">
        <v>379</v>
      </c>
    </row>
    <row r="303" spans="2:4" ht="18" x14ac:dyDescent="0.25">
      <c r="B303" s="20" t="s">
        <v>371</v>
      </c>
      <c r="C303" s="16">
        <f>ABS(C231)/C290</f>
        <v>1.1573125913644937</v>
      </c>
      <c r="D303" s="55" t="s">
        <v>373</v>
      </c>
    </row>
    <row r="304" spans="2:4" x14ac:dyDescent="0.25">
      <c r="C304" s="43"/>
      <c r="D304" s="43"/>
    </row>
    <row r="305" spans="2:5" x14ac:dyDescent="0.25">
      <c r="B305" s="202" t="s">
        <v>286</v>
      </c>
      <c r="C305" s="203"/>
      <c r="D305" s="204"/>
    </row>
    <row r="306" spans="2:5" ht="18" x14ac:dyDescent="0.25">
      <c r="B306" s="38" t="s">
        <v>452</v>
      </c>
      <c r="C306" s="42">
        <f>+C199</f>
        <v>483593.88470617583</v>
      </c>
      <c r="D306" s="55" t="s">
        <v>302</v>
      </c>
    </row>
    <row r="307" spans="2:5" x14ac:dyDescent="0.25">
      <c r="B307" s="38" t="s">
        <v>288</v>
      </c>
      <c r="C307" s="16">
        <f>C284/C179</f>
        <v>4.2943886004217762E-3</v>
      </c>
      <c r="D307" s="55" t="s">
        <v>304</v>
      </c>
    </row>
    <row r="308" spans="2:5" x14ac:dyDescent="0.25">
      <c r="B308" s="38" t="s">
        <v>289</v>
      </c>
      <c r="C308" s="42">
        <f>+C236*C179*C44/C285</f>
        <v>462172.56402892561</v>
      </c>
      <c r="D308" s="55" t="s">
        <v>304</v>
      </c>
    </row>
    <row r="309" spans="2:5" x14ac:dyDescent="0.25">
      <c r="B309" s="38" t="s">
        <v>287</v>
      </c>
      <c r="C309" s="16">
        <f>+(C38*C307+1)/C235+C38^3/C308</f>
        <v>3.7389443010777663</v>
      </c>
      <c r="D309" s="55" t="s">
        <v>304</v>
      </c>
    </row>
    <row r="310" spans="2:5" x14ac:dyDescent="0.25">
      <c r="B310" s="38" t="s">
        <v>285</v>
      </c>
      <c r="C310" s="16">
        <f>52.14*C285*C306/(C309*C35*C44^2*0.3*C179)</f>
        <v>1.8518082831829298E-2</v>
      </c>
      <c r="D310" s="55" t="s">
        <v>303</v>
      </c>
    </row>
    <row r="312" spans="2:5" x14ac:dyDescent="0.25">
      <c r="B312" s="202" t="s">
        <v>296</v>
      </c>
      <c r="C312" s="203"/>
      <c r="D312" s="204"/>
    </row>
    <row r="313" spans="2:5" ht="18" x14ac:dyDescent="0.25">
      <c r="B313" s="38" t="s">
        <v>454</v>
      </c>
      <c r="C313" s="16">
        <f>+C44</f>
        <v>69</v>
      </c>
      <c r="D313" s="55" t="s">
        <v>453</v>
      </c>
      <c r="E313" s="17" t="str">
        <f>+B313&amp;" = "&amp;C313</f>
        <v>tbarrel [mm] = 69</v>
      </c>
    </row>
    <row r="314" spans="2:5" x14ac:dyDescent="0.25">
      <c r="B314" s="38" t="s">
        <v>298</v>
      </c>
      <c r="C314" s="59">
        <v>1</v>
      </c>
      <c r="D314" s="55" t="s">
        <v>301</v>
      </c>
    </row>
    <row r="315" spans="2:5" x14ac:dyDescent="0.25">
      <c r="B315" s="38" t="s">
        <v>380</v>
      </c>
      <c r="C315" s="59">
        <v>3</v>
      </c>
      <c r="D315" s="55" t="s">
        <v>456</v>
      </c>
    </row>
    <row r="316" spans="2:5" x14ac:dyDescent="0.25">
      <c r="B316" s="38" t="s">
        <v>312</v>
      </c>
      <c r="C316" s="16">
        <f>+C5</f>
        <v>278</v>
      </c>
      <c r="D316" s="55" t="s">
        <v>297</v>
      </c>
    </row>
    <row r="317" spans="2:5" x14ac:dyDescent="0.25">
      <c r="B317" s="38" t="s">
        <v>110</v>
      </c>
      <c r="C317" s="16">
        <f>+C46/2</f>
        <v>268</v>
      </c>
      <c r="D317" s="55" t="s">
        <v>299</v>
      </c>
    </row>
    <row r="318" spans="2:5" x14ac:dyDescent="0.25">
      <c r="B318" s="38" t="s">
        <v>305</v>
      </c>
      <c r="C318" s="16">
        <f>+C32</f>
        <v>450</v>
      </c>
      <c r="D318" s="55" t="s">
        <v>300</v>
      </c>
    </row>
    <row r="319" spans="2:5" ht="18" x14ac:dyDescent="0.25">
      <c r="B319" s="38" t="s">
        <v>306</v>
      </c>
      <c r="C319" s="16">
        <f>+C316*C317/(C318*10*C314-0.6*C316)*C315</f>
        <v>51.581279423982274</v>
      </c>
      <c r="D319" s="55" t="s">
        <v>307</v>
      </c>
    </row>
    <row r="320" spans="2:5" ht="18" x14ac:dyDescent="0.25">
      <c r="B320" s="38" t="s">
        <v>381</v>
      </c>
      <c r="C320" s="16">
        <f>C319/C313</f>
        <v>0.74755477426061268</v>
      </c>
      <c r="D320" s="55" t="s">
        <v>455</v>
      </c>
    </row>
  </sheetData>
  <mergeCells count="30">
    <mergeCell ref="AQ5:AQ8"/>
    <mergeCell ref="B54:D54"/>
    <mergeCell ref="AK2:AN2"/>
    <mergeCell ref="B29:D29"/>
    <mergeCell ref="B2:D2"/>
    <mergeCell ref="B8:D8"/>
    <mergeCell ref="AD2:AI2"/>
    <mergeCell ref="M11:T11"/>
    <mergeCell ref="M9:T9"/>
    <mergeCell ref="M10:T10"/>
    <mergeCell ref="L8:T8"/>
    <mergeCell ref="B312:D312"/>
    <mergeCell ref="B305:D305"/>
    <mergeCell ref="B289:D289"/>
    <mergeCell ref="B233:D233"/>
    <mergeCell ref="B170:D170"/>
    <mergeCell ref="B158:D158"/>
    <mergeCell ref="B137:D137"/>
    <mergeCell ref="B87:D87"/>
    <mergeCell ref="B81:D81"/>
    <mergeCell ref="B72:D72"/>
    <mergeCell ref="B95:D95"/>
    <mergeCell ref="B136:D136"/>
    <mergeCell ref="B96:D96"/>
    <mergeCell ref="B124:D124"/>
    <mergeCell ref="B103:D103"/>
    <mergeCell ref="B110:D110"/>
    <mergeCell ref="B117:D117"/>
    <mergeCell ref="B144:D144"/>
    <mergeCell ref="B151:D151"/>
  </mergeCells>
  <phoneticPr fontId="29" type="noConversion"/>
  <conditionalFormatting sqref="C292">
    <cfRule type="iconSet" priority="8">
      <iconSet iconSet="3Symbols" reverse="1">
        <cfvo type="percent" val="0"/>
        <cfvo type="formula" val="0.95"/>
        <cfvo type="formula" val="1" gte="0"/>
      </iconSet>
    </cfRule>
  </conditionalFormatting>
  <conditionalFormatting sqref="C293:C303">
    <cfRule type="iconSet" priority="16">
      <iconSet iconSet="3Symbols" reverse="1">
        <cfvo type="percent" val="0"/>
        <cfvo type="formula" val="0.95"/>
        <cfvo type="formula" val="1" gte="0"/>
      </iconSet>
    </cfRule>
  </conditionalFormatting>
  <conditionalFormatting sqref="C320">
    <cfRule type="iconSet" priority="5">
      <iconSet iconSet="3Symbols" reverse="1">
        <cfvo type="percent" val="0"/>
        <cfvo type="formula" val="0.95"/>
        <cfvo type="formula" val="1" gte="0"/>
      </iconSet>
    </cfRule>
  </conditionalFormatting>
  <conditionalFormatting sqref="L9:L11">
    <cfRule type="iconSet" priority="4">
      <iconSet iconSet="3Symbols">
        <cfvo type="percent" val="0"/>
        <cfvo type="num" val="0.5"/>
        <cfvo type="num" val="1"/>
      </iconSet>
    </cfRule>
  </conditionalFormatting>
  <conditionalFormatting sqref="H16:I16">
    <cfRule type="iconSet" priority="17">
      <iconSet iconSet="3Symbols" reverse="1">
        <cfvo type="percent" val="0"/>
        <cfvo type="num" val="0.85"/>
        <cfvo type="num" val="0.9"/>
      </iconSet>
    </cfRule>
  </conditionalFormatting>
  <conditionalFormatting sqref="H17:I17">
    <cfRule type="iconSet" priority="19">
      <iconSet iconSet="3Symbols" reverse="1">
        <cfvo type="percent" val="0"/>
        <cfvo type="num" val="0.5"/>
        <cfvo type="num" val="0.6"/>
      </iconSet>
    </cfRule>
  </conditionalFormatting>
  <conditionalFormatting sqref="H18:I18">
    <cfRule type="iconSet" priority="21">
      <iconSet iconSet="3Symbols" reverse="1">
        <cfvo type="percent" val="0"/>
        <cfvo type="num" val="0.7"/>
        <cfvo type="num" val="0.8"/>
      </iconSet>
    </cfRule>
  </conditionalFormatting>
  <dataValidations count="5">
    <dataValidation type="decimal" operator="greaterThanOrEqual" allowBlank="1" showInputMessage="1" showErrorMessage="1" sqref="C315" xr:uid="{0FE6BDBE-A74C-4D4B-AD28-C851B154D740}">
      <formula1>2.5</formula1>
    </dataValidation>
    <dataValidation type="list" allowBlank="1" showInputMessage="1" showErrorMessage="1" sqref="C55" xr:uid="{41E7743F-9FCC-4D50-B9BF-C4647EDBDBAC}">
      <formula1>"Cring,Oring,Spiralwound"</formula1>
    </dataValidation>
    <dataValidation type="list" allowBlank="1" showInputMessage="1" showErrorMessage="1" sqref="C56" xr:uid="{6B33C773-AA0A-46C7-9740-97423A664D51}">
      <formula1>INDIRECT($C$55)</formula1>
    </dataValidation>
    <dataValidation type="list" allowBlank="1" showInputMessage="1" showErrorMessage="1" sqref="C57" xr:uid="{EE94756A-250D-44D4-A6CA-BF614B78FAA1}">
      <formula1>INDIRECT($C$56)</formula1>
    </dataValidation>
    <dataValidation type="decimal" operator="lessThanOrEqual" allowBlank="1" showInputMessage="1" showErrorMessage="1" errorTitle="Error" error="Efficiency E shall be lower or equal to 1." sqref="C314" xr:uid="{8F49E3E2-125B-4F43-8536-31E5921D081B}">
      <formula1>1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2059" r:id="rId4" name="CommandButton1">
          <controlPr defaultSize="0" autoLine="0" autoPict="0" r:id="rId5">
            <anchor moveWithCells="1">
              <from>
                <xdr:col>11</xdr:col>
                <xdr:colOff>0</xdr:colOff>
                <xdr:row>13</xdr:row>
                <xdr:rowOff>228600</xdr:rowOff>
              </from>
              <to>
                <xdr:col>15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2059" r:id="rId4" name="CommandButton1"/>
      </mc:Fallback>
    </mc:AlternateContent>
    <mc:AlternateContent xmlns:mc="http://schemas.openxmlformats.org/markup-compatibility/2006">
      <mc:Choice Requires="x14">
        <control shapeId="2054" r:id="rId6" name="Option Button 6">
          <controlPr defaultSize="0" autoFill="0" autoLine="0" autoPict="0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7" name="Option Button 7">
          <controlPr defaultSize="0" autoFill="0" autoLine="0" autoPict="0">
            <anchor moveWithCells="1">
              <from>
                <xdr:col>7</xdr:col>
                <xdr:colOff>1590675</xdr:colOff>
                <xdr:row>2</xdr:row>
                <xdr:rowOff>0</xdr:rowOff>
              </from>
              <to>
                <xdr:col>9</xdr:col>
                <xdr:colOff>0</xdr:colOff>
                <xdr:row>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" id="{26AE8AD0-884F-499E-B912-5CDAEB8B9764}">
            <x14:iconSet iconSet="3Symbols" custom="1">
              <x14:cfvo type="percent">
                <xm:f>0</xm:f>
              </x14:cfvo>
              <x14:cfvo type="num" gte="0">
                <xm:f>1</xm:f>
              </x14:cfvo>
              <x14:cfvo type="num" gte="0">
                <xm:f>1</xm:f>
              </x14:cfvo>
              <x14:cfIcon iconSet="3Symbols" iconId="2"/>
              <x14:cfIcon iconSet="3Symbols" iconId="0"/>
              <x14:cfIcon iconSet="3Symbols" iconId="0"/>
            </x14:iconSet>
          </x14:cfRule>
          <xm:sqref>C310</xm:sqref>
        </x14:conditionalFormatting>
        <x14:conditionalFormatting xmlns:xm="http://schemas.microsoft.com/office/excel/2006/main">
          <x14:cfRule type="iconSet" priority="2" id="{8149DD41-6726-4F67-884E-89A68C091408}">
            <x14:iconSet iconSet="3Symbols" custom="1">
              <x14:cfvo type="percent">
                <xm:f>0</xm:f>
              </x14:cfvo>
              <x14:cfvo type="formula">
                <xm:f>$C$41</xm:f>
              </x14:cfvo>
              <x14:cfvo type="formula" gte="0">
                <xm:f>$C$42</xm:f>
              </x14:cfvo>
              <x14:cfIcon iconSet="3Symbols" iconId="2"/>
              <x14:cfIcon iconSet="3Symbols" iconId="1"/>
              <x14:cfIcon iconSet="3Symbols" iconId="0"/>
            </x14:iconSet>
          </x14:cfRule>
          <xm:sqref>C125</xm:sqref>
        </x14:conditionalFormatting>
        <x14:conditionalFormatting xmlns:xm="http://schemas.microsoft.com/office/excel/2006/main">
          <x14:cfRule type="iconSet" priority="1" id="{961B9582-7543-423F-821C-F6F288F1FE3A}">
            <x14:iconSet iconSet="3Symbols" custom="1">
              <x14:cfvo type="percent">
                <xm:f>0</xm:f>
              </x14:cfvo>
              <x14:cfvo type="formula">
                <xm:f>$C$41</xm:f>
              </x14:cfvo>
              <x14:cfvo type="formula" gte="0">
                <xm:f>$C$42</xm:f>
              </x14:cfvo>
              <x14:cfIcon iconSet="3Symbols" iconId="2"/>
              <x14:cfIcon iconSet="3Symbols" iconId="1"/>
              <x14:cfIcon iconSet="3Symbols" iconId="0"/>
            </x14:iconSet>
          </x14:cfRule>
          <xm:sqref>C159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187D05-C247-40B0-AEFF-0B58E376A853}">
          <x14:formula1>
            <xm:f>INDIRECT(swg_database!$X$13)</xm:f>
          </x14:formula1>
          <xm:sqref>C59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622AF-5E7E-4924-BDDA-57ABA9EA9D18}">
  <sheetPr codeName="Foglio3"/>
  <dimension ref="B2:BE221"/>
  <sheetViews>
    <sheetView zoomScaleNormal="100" workbookViewId="0">
      <selection activeCell="BJ8" sqref="BJ8"/>
    </sheetView>
  </sheetViews>
  <sheetFormatPr defaultRowHeight="15" outlineLevelRow="1" outlineLevelCol="1" x14ac:dyDescent="0.25"/>
  <cols>
    <col min="1" max="1" width="2.7109375" customWidth="1"/>
    <col min="2" max="2" width="17" bestFit="1" customWidth="1"/>
    <col min="3" max="3" width="33.5703125" bestFit="1" customWidth="1"/>
    <col min="4" max="4" width="18.7109375" bestFit="1" customWidth="1"/>
    <col min="5" max="5" width="12.140625" bestFit="1" customWidth="1"/>
    <col min="6" max="7" width="12" bestFit="1" customWidth="1"/>
    <col min="8" max="22" width="9.7109375" hidden="1" customWidth="1" outlineLevel="1"/>
    <col min="23" max="23" width="9.140625" hidden="1" customWidth="1" outlineLevel="1"/>
    <col min="24" max="24" width="17" hidden="1" customWidth="1" outlineLevel="1"/>
    <col min="25" max="25" width="9.7109375" hidden="1" customWidth="1" outlineLevel="1"/>
    <col min="26" max="26" width="28.5703125" hidden="1" customWidth="1" outlineLevel="1"/>
    <col min="27" max="27" width="21.5703125" hidden="1" customWidth="1" outlineLevel="1"/>
    <col min="28" max="30" width="26.140625" hidden="1" customWidth="1" outlineLevel="1"/>
    <col min="31" max="31" width="9.140625" hidden="1" customWidth="1" outlineLevel="1"/>
    <col min="32" max="32" width="17" hidden="1" customWidth="1" outlineLevel="1"/>
    <col min="33" max="33" width="28.5703125" hidden="1" customWidth="1" outlineLevel="1"/>
    <col min="34" max="36" width="14.7109375" hidden="1" customWidth="1" outlineLevel="1"/>
    <col min="37" max="37" width="15.28515625" hidden="1" customWidth="1" outlineLevel="1"/>
    <col min="38" max="44" width="9.140625" hidden="1" customWidth="1" outlineLevel="1"/>
    <col min="45" max="45" width="30.7109375" style="17" hidden="1" customWidth="1" outlineLevel="1"/>
    <col min="46" max="46" width="27.85546875" style="17" hidden="1" customWidth="1" outlineLevel="1"/>
    <col min="47" max="47" width="30.28515625" style="17" hidden="1" customWidth="1" outlineLevel="1"/>
    <col min="48" max="48" width="21.140625" style="17" hidden="1" customWidth="1" outlineLevel="1"/>
    <col min="49" max="49" width="30.7109375" style="17" hidden="1" customWidth="1" outlineLevel="1"/>
    <col min="50" max="50" width="34.42578125" style="17" hidden="1" customWidth="1" outlineLevel="1"/>
    <col min="51" max="51" width="37.42578125" style="17" hidden="1" customWidth="1" outlineLevel="1"/>
    <col min="52" max="53" width="11.42578125" hidden="1" customWidth="1" outlineLevel="1"/>
    <col min="54" max="54" width="9.42578125" hidden="1" customWidth="1" outlineLevel="1"/>
    <col min="55" max="55" width="9.28515625" hidden="1" customWidth="1" outlineLevel="1"/>
    <col min="56" max="56" width="9.140625" collapsed="1"/>
  </cols>
  <sheetData>
    <row r="2" spans="2:57" x14ac:dyDescent="0.25">
      <c r="E2" s="224" t="s">
        <v>313</v>
      </c>
      <c r="F2" s="225"/>
      <c r="G2" s="226"/>
      <c r="H2" s="224" t="s">
        <v>314</v>
      </c>
      <c r="I2" s="225"/>
      <c r="J2" s="226"/>
      <c r="K2" s="224" t="s">
        <v>315</v>
      </c>
      <c r="L2" s="225"/>
      <c r="M2" s="226"/>
      <c r="N2" s="224" t="s">
        <v>316</v>
      </c>
      <c r="O2" s="225"/>
      <c r="P2" s="226"/>
      <c r="Q2" s="224" t="s">
        <v>317</v>
      </c>
      <c r="R2" s="225"/>
      <c r="S2" s="226"/>
      <c r="T2" s="224" t="s">
        <v>318</v>
      </c>
      <c r="U2" s="225"/>
      <c r="V2" s="226"/>
      <c r="AF2" s="64" t="s">
        <v>319</v>
      </c>
      <c r="AG2" s="67" t="s">
        <v>320</v>
      </c>
      <c r="AH2" s="67" t="s">
        <v>330</v>
      </c>
      <c r="AI2" s="67" t="s">
        <v>331</v>
      </c>
      <c r="AJ2" s="67" t="s">
        <v>332</v>
      </c>
      <c r="AK2" s="65" t="s">
        <v>333</v>
      </c>
      <c r="AL2" s="67" t="s">
        <v>313</v>
      </c>
      <c r="AM2" s="65" t="s">
        <v>314</v>
      </c>
      <c r="AN2" s="67" t="s">
        <v>315</v>
      </c>
      <c r="AO2" s="65" t="s">
        <v>316</v>
      </c>
      <c r="AP2" s="67" t="s">
        <v>317</v>
      </c>
      <c r="AQ2" s="66" t="s">
        <v>318</v>
      </c>
      <c r="AS2" s="217" t="s">
        <v>461</v>
      </c>
      <c r="AT2" s="217"/>
      <c r="AU2" s="217"/>
      <c r="AV2" s="217"/>
      <c r="AW2" s="217"/>
      <c r="AX2" s="217"/>
      <c r="AY2" s="217"/>
      <c r="AZ2" s="217" t="s">
        <v>506</v>
      </c>
      <c r="BA2" s="217"/>
      <c r="BB2" s="217"/>
      <c r="BC2" s="217"/>
    </row>
    <row r="3" spans="2:57" ht="18" customHeight="1" x14ac:dyDescent="0.25">
      <c r="B3" s="64" t="s">
        <v>319</v>
      </c>
      <c r="C3" s="67" t="s">
        <v>320</v>
      </c>
      <c r="D3" s="67" t="s">
        <v>321</v>
      </c>
      <c r="E3" s="68" t="s">
        <v>322</v>
      </c>
      <c r="F3" s="69" t="s">
        <v>323</v>
      </c>
      <c r="G3" s="70" t="s">
        <v>324</v>
      </c>
      <c r="H3" s="68" t="s">
        <v>322</v>
      </c>
      <c r="I3" s="69" t="s">
        <v>323</v>
      </c>
      <c r="J3" s="70" t="s">
        <v>324</v>
      </c>
      <c r="K3" s="68" t="s">
        <v>322</v>
      </c>
      <c r="L3" s="69" t="s">
        <v>323</v>
      </c>
      <c r="M3" s="70" t="s">
        <v>324</v>
      </c>
      <c r="N3" s="68" t="s">
        <v>322</v>
      </c>
      <c r="O3" s="69" t="s">
        <v>323</v>
      </c>
      <c r="P3" s="70" t="s">
        <v>324</v>
      </c>
      <c r="Q3" s="68" t="s">
        <v>322</v>
      </c>
      <c r="R3" s="69" t="s">
        <v>323</v>
      </c>
      <c r="S3" s="70" t="s">
        <v>324</v>
      </c>
      <c r="T3" s="68" t="s">
        <v>322</v>
      </c>
      <c r="U3" s="69" t="s">
        <v>323</v>
      </c>
      <c r="V3" s="70" t="s">
        <v>324</v>
      </c>
      <c r="X3" s="67" t="s">
        <v>319</v>
      </c>
      <c r="Z3" s="67" t="str">
        <f>+X5</f>
        <v>Flexitallic</v>
      </c>
      <c r="AA3" s="67" t="str">
        <f>+user</f>
        <v>user</v>
      </c>
      <c r="AB3" s="67" t="str">
        <f>+X7</f>
        <v>P.J.Schulz</v>
      </c>
      <c r="AC3" s="67" t="str">
        <f>+X8</f>
        <v>Moeller</v>
      </c>
      <c r="AD3" s="67" t="str">
        <f>+X9</f>
        <v>Kempchen</v>
      </c>
      <c r="AF3" s="97" t="str">
        <f>Z3</f>
        <v>Flexitallic</v>
      </c>
      <c r="AG3" s="98" t="str">
        <f>+Z4</f>
        <v>PTFE/316L</v>
      </c>
      <c r="AH3" s="98" t="s">
        <v>341</v>
      </c>
      <c r="AI3" s="98">
        <f t="shared" ref="AI3:AI13" si="0">COUNTIF(C:C,AG3)</f>
        <v>27</v>
      </c>
      <c r="AJ3" s="98">
        <v>15</v>
      </c>
      <c r="AK3" s="86">
        <f t="shared" ref="AK3:AK13" si="1">+VLOOKUP(AG3,C:D,2,FALSE)</f>
        <v>4.5999999999999996</v>
      </c>
      <c r="AL3" s="77">
        <v>23</v>
      </c>
      <c r="AM3" s="86">
        <v>150</v>
      </c>
      <c r="AN3" s="77">
        <v>250</v>
      </c>
      <c r="AO3" s="86"/>
      <c r="AP3" s="94"/>
      <c r="AQ3" s="80"/>
      <c r="AS3" s="100" t="s">
        <v>516</v>
      </c>
      <c r="AT3" s="100" t="s">
        <v>457</v>
      </c>
      <c r="AU3" s="100" t="s">
        <v>458</v>
      </c>
      <c r="AV3" s="100" t="s">
        <v>460</v>
      </c>
      <c r="AW3" s="100" t="s">
        <v>515</v>
      </c>
      <c r="AX3" s="100" t="s">
        <v>520</v>
      </c>
      <c r="AY3" s="100" t="s">
        <v>521</v>
      </c>
      <c r="AZ3" s="222" t="s">
        <v>460</v>
      </c>
      <c r="BA3" s="223"/>
      <c r="BB3" s="222" t="s">
        <v>517</v>
      </c>
      <c r="BC3" s="223"/>
      <c r="BD3" s="86"/>
      <c r="BE3" s="86"/>
    </row>
    <row r="4" spans="2:57" ht="18" x14ac:dyDescent="0.25">
      <c r="B4" s="76" t="s">
        <v>325</v>
      </c>
      <c r="C4" s="76" t="s">
        <v>325</v>
      </c>
      <c r="D4" s="87">
        <v>1</v>
      </c>
      <c r="E4" s="88">
        <v>0</v>
      </c>
      <c r="F4" s="88">
        <v>0</v>
      </c>
      <c r="G4" s="89">
        <v>1.04</v>
      </c>
      <c r="H4" s="116" t="e">
        <f>NA()</f>
        <v>#N/A</v>
      </c>
      <c r="I4" s="117" t="e">
        <f>NA()</f>
        <v>#N/A</v>
      </c>
      <c r="J4" s="118" t="e">
        <f>NA()</f>
        <v>#N/A</v>
      </c>
      <c r="K4" s="116" t="e">
        <f>NA()</f>
        <v>#N/A</v>
      </c>
      <c r="L4" s="117" t="e">
        <f>NA()</f>
        <v>#N/A</v>
      </c>
      <c r="M4" s="118" t="e">
        <f>NA()</f>
        <v>#N/A</v>
      </c>
      <c r="N4" s="116" t="e">
        <f>NA()</f>
        <v>#N/A</v>
      </c>
      <c r="O4" s="117" t="e">
        <f>NA()</f>
        <v>#N/A</v>
      </c>
      <c r="P4" s="118" t="e">
        <f>NA()</f>
        <v>#N/A</v>
      </c>
      <c r="Q4" s="116" t="e">
        <f>NA()</f>
        <v>#N/A</v>
      </c>
      <c r="R4" s="117" t="e">
        <f>NA()</f>
        <v>#N/A</v>
      </c>
      <c r="S4" s="118" t="e">
        <f>NA()</f>
        <v>#N/A</v>
      </c>
      <c r="T4" s="116" t="e">
        <f>NA()</f>
        <v>#N/A</v>
      </c>
      <c r="U4" s="117" t="e">
        <f>NA()</f>
        <v>#N/A</v>
      </c>
      <c r="V4" s="118" t="e">
        <f>NA()</f>
        <v>#N/A</v>
      </c>
      <c r="X4" s="93" t="str" cm="1">
        <f t="array" ref="X4:X9">_xlfn.UNIQUE(B4:B220)</f>
        <v>user</v>
      </c>
      <c r="Z4" s="93" t="str">
        <f>C18</f>
        <v>PTFE/316L</v>
      </c>
      <c r="AA4" s="93" t="str">
        <f>C86</f>
        <v>BPG 9336SIC</v>
      </c>
      <c r="AB4" s="93" t="str">
        <f>+C147</f>
        <v>PJS S1ZG with graphite filler</v>
      </c>
      <c r="AC4" s="93" t="str">
        <f>+C166</f>
        <v>MMSIA with mica</v>
      </c>
      <c r="AD4" s="93" t="str">
        <f>+C204</f>
        <v>SpV2I - Graphite (1.4541 / 0.5 mm)</v>
      </c>
      <c r="AF4" s="97" t="str">
        <f>+AF3</f>
        <v>Flexitallic</v>
      </c>
      <c r="AG4" s="99" t="str">
        <f t="shared" ref="AG4:AG5" si="2">+Z5</f>
        <v>Graphite filler and 321/1.4541</v>
      </c>
      <c r="AH4" s="99" t="s">
        <v>342</v>
      </c>
      <c r="AI4" s="99">
        <f t="shared" si="0"/>
        <v>14</v>
      </c>
      <c r="AJ4" s="99">
        <f>AI3+AJ3</f>
        <v>42</v>
      </c>
      <c r="AK4" s="86">
        <f t="shared" si="1"/>
        <v>4.5999999999999996</v>
      </c>
      <c r="AL4" s="77">
        <v>23</v>
      </c>
      <c r="AM4" s="86">
        <v>200</v>
      </c>
      <c r="AN4" s="77">
        <v>400</v>
      </c>
      <c r="AO4" s="86"/>
      <c r="AP4" s="94"/>
      <c r="AQ4" s="80"/>
      <c r="AS4" s="101" t="s">
        <v>322</v>
      </c>
      <c r="AT4" s="101" t="s">
        <v>323</v>
      </c>
      <c r="AU4" s="101" t="s">
        <v>324</v>
      </c>
      <c r="AV4" s="101" t="s">
        <v>350</v>
      </c>
      <c r="AW4" s="101" t="s">
        <v>512</v>
      </c>
      <c r="AX4" s="101" t="s">
        <v>514</v>
      </c>
      <c r="AY4" s="101" t="s">
        <v>511</v>
      </c>
      <c r="AZ4" s="218" t="s">
        <v>507</v>
      </c>
      <c r="BA4" s="219"/>
      <c r="BB4" s="220" t="s">
        <v>513</v>
      </c>
      <c r="BC4" s="221"/>
      <c r="BD4" s="86"/>
      <c r="BE4" s="86"/>
    </row>
    <row r="5" spans="2:57" x14ac:dyDescent="0.25">
      <c r="B5" s="76" t="s">
        <v>325</v>
      </c>
      <c r="C5" s="76" t="s">
        <v>325</v>
      </c>
      <c r="D5" s="87">
        <v>1</v>
      </c>
      <c r="E5" s="88">
        <v>1</v>
      </c>
      <c r="F5" s="88">
        <v>0</v>
      </c>
      <c r="G5" s="89">
        <v>1.038</v>
      </c>
      <c r="H5" s="119" t="e">
        <f>NA()</f>
        <v>#N/A</v>
      </c>
      <c r="I5" t="e">
        <f>NA()</f>
        <v>#N/A</v>
      </c>
      <c r="J5" s="120" t="e">
        <f>NA()</f>
        <v>#N/A</v>
      </c>
      <c r="K5" s="119" t="e">
        <f>NA()</f>
        <v>#N/A</v>
      </c>
      <c r="L5" t="e">
        <f>NA()</f>
        <v>#N/A</v>
      </c>
      <c r="M5" s="120" t="e">
        <f>NA()</f>
        <v>#N/A</v>
      </c>
      <c r="N5" s="119" t="e">
        <f>NA()</f>
        <v>#N/A</v>
      </c>
      <c r="O5" t="e">
        <f>NA()</f>
        <v>#N/A</v>
      </c>
      <c r="P5" s="120" t="e">
        <f>NA()</f>
        <v>#N/A</v>
      </c>
      <c r="Q5" s="119" t="e">
        <f>NA()</f>
        <v>#N/A</v>
      </c>
      <c r="R5" t="e">
        <f>NA()</f>
        <v>#N/A</v>
      </c>
      <c r="S5" s="120" t="e">
        <f>NA()</f>
        <v>#N/A</v>
      </c>
      <c r="T5" s="119" t="e">
        <f>NA()</f>
        <v>#N/A</v>
      </c>
      <c r="U5" t="e">
        <f>NA()</f>
        <v>#N/A</v>
      </c>
      <c r="V5" s="120" t="e">
        <f>NA()</f>
        <v>#N/A</v>
      </c>
      <c r="X5" s="93" t="str">
        <v>Flexitallic</v>
      </c>
      <c r="Z5" s="93" t="str">
        <f>C45</f>
        <v>Graphite filler and 321/1.4541</v>
      </c>
      <c r="AA5" s="93" t="str">
        <f>C105</f>
        <v>Spiraltherm 9594/GIA</v>
      </c>
      <c r="AB5" s="93"/>
      <c r="AC5" s="93" t="str">
        <f>+C185</f>
        <v>MMSIA graphite</v>
      </c>
      <c r="AD5" s="93"/>
      <c r="AF5" s="97" t="str">
        <f>+AF4</f>
        <v>Flexitallic</v>
      </c>
      <c r="AG5" s="98" t="str">
        <f t="shared" si="2"/>
        <v>TH835/321L</v>
      </c>
      <c r="AH5" s="98" t="s">
        <v>343</v>
      </c>
      <c r="AI5" s="98">
        <f t="shared" si="0"/>
        <v>27</v>
      </c>
      <c r="AJ5" s="98">
        <f>AI4+AJ4</f>
        <v>56</v>
      </c>
      <c r="AK5" s="86">
        <f t="shared" si="1"/>
        <v>4.8</v>
      </c>
      <c r="AL5" s="77">
        <v>23</v>
      </c>
      <c r="AM5" s="86">
        <v>200</v>
      </c>
      <c r="AN5" s="77">
        <v>400</v>
      </c>
      <c r="AO5" s="86"/>
      <c r="AP5" s="94"/>
      <c r="AQ5" s="80"/>
      <c r="AS5" s="103" t="e" cm="1">
        <f t="array" aca="1" ref="AS5" ca="1">OFFSET(swg_database!E3,swg_database!Y18,(swg_database!Y16-1)*3,swg_database!Y17,3)</f>
        <v>#N/A</v>
      </c>
      <c r="AT5" s="104"/>
      <c r="AU5" s="105"/>
      <c r="AV5" s="106" t="e">
        <f t="shared" ref="AV5:AV9" si="3">IF(NOT(ISBLANK(AU5)),$AU$5-AU5,NA())</f>
        <v>#N/A</v>
      </c>
      <c r="AW5" s="106" t="e">
        <f ca="1">+AS5/AT5*AU5</f>
        <v>#N/A</v>
      </c>
      <c r="AX5" s="106" t="e">
        <f ca="1">+AW5+AU5</f>
        <v>#N/A</v>
      </c>
      <c r="AY5" s="106" t="e">
        <f ca="1">+$AU$5-AX5</f>
        <v>#N/A</v>
      </c>
      <c r="AZ5" s="106" t="e">
        <f ca="1">VLOOKUP(BC5,swg_database!$AS$5:$AY$34,7,FALSE)</f>
        <v>#N/A</v>
      </c>
      <c r="BA5" s="106" t="e" cm="1">
        <f t="array" ref="BA5:BA34">_xlfn.CHOOSECOLS(swg_database!$AS$5:$AV$34,4)</f>
        <v>#N/A</v>
      </c>
      <c r="BB5" s="106">
        <v>0</v>
      </c>
      <c r="BC5" s="106" t="e" cm="1">
        <f t="array" aca="1" ref="BC5:BC34" ca="1">_xlfn.CHOOSECOLS(swg_database!$AS$5:$AV$34,1)</f>
        <v>#N/A</v>
      </c>
      <c r="BD5" s="86"/>
    </row>
    <row r="6" spans="2:57" x14ac:dyDescent="0.25">
      <c r="B6" s="76" t="s">
        <v>325</v>
      </c>
      <c r="C6" s="76" t="s">
        <v>325</v>
      </c>
      <c r="D6" s="87">
        <v>1</v>
      </c>
      <c r="E6" s="88">
        <v>20</v>
      </c>
      <c r="F6" s="88">
        <v>468</v>
      </c>
      <c r="G6" s="89">
        <v>0.70299999999999996</v>
      </c>
      <c r="H6" s="119" t="e">
        <f>NA()</f>
        <v>#N/A</v>
      </c>
      <c r="I6" t="e">
        <f>NA()</f>
        <v>#N/A</v>
      </c>
      <c r="J6" s="120" t="e">
        <f>NA()</f>
        <v>#N/A</v>
      </c>
      <c r="K6" s="119" t="e">
        <f>NA()</f>
        <v>#N/A</v>
      </c>
      <c r="L6" t="e">
        <f>NA()</f>
        <v>#N/A</v>
      </c>
      <c r="M6" s="120" t="e">
        <f>NA()</f>
        <v>#N/A</v>
      </c>
      <c r="N6" s="119" t="e">
        <f>NA()</f>
        <v>#N/A</v>
      </c>
      <c r="O6" t="e">
        <f>NA()</f>
        <v>#N/A</v>
      </c>
      <c r="P6" s="120" t="e">
        <f>NA()</f>
        <v>#N/A</v>
      </c>
      <c r="Q6" s="119" t="e">
        <f>NA()</f>
        <v>#N/A</v>
      </c>
      <c r="R6" t="e">
        <f>NA()</f>
        <v>#N/A</v>
      </c>
      <c r="S6" s="120" t="e">
        <f>NA()</f>
        <v>#N/A</v>
      </c>
      <c r="T6" s="119" t="e">
        <f>NA()</f>
        <v>#N/A</v>
      </c>
      <c r="U6" t="e">
        <f>NA()</f>
        <v>#N/A</v>
      </c>
      <c r="V6" s="120" t="e">
        <f>NA()</f>
        <v>#N/A</v>
      </c>
      <c r="X6" s="93" t="str">
        <v>Burgmann</v>
      </c>
      <c r="Z6" s="93" t="str">
        <f>C59</f>
        <v>TH835/321L</v>
      </c>
      <c r="AA6" s="93" t="str">
        <f>C123</f>
        <v>BPG 9470F</v>
      </c>
      <c r="AB6" s="93"/>
      <c r="AC6" s="93"/>
      <c r="AD6" s="93"/>
      <c r="AF6" s="97" t="str">
        <f>AA3</f>
        <v>user</v>
      </c>
      <c r="AG6" s="98" t="str">
        <f>+AA4</f>
        <v>BPG 9336SIC</v>
      </c>
      <c r="AH6" s="98" t="s">
        <v>344</v>
      </c>
      <c r="AI6" s="98">
        <f t="shared" si="0"/>
        <v>19</v>
      </c>
      <c r="AJ6" s="98">
        <f t="shared" ref="AJ6:AJ11" si="4">AI5+AJ5</f>
        <v>83</v>
      </c>
      <c r="AK6" s="86">
        <f t="shared" si="1"/>
        <v>4.5</v>
      </c>
      <c r="AL6" s="77">
        <v>23</v>
      </c>
      <c r="AM6" s="86">
        <v>200</v>
      </c>
      <c r="AN6" s="77">
        <v>400</v>
      </c>
      <c r="AO6" s="86"/>
      <c r="AP6" s="94"/>
      <c r="AQ6" s="80"/>
      <c r="AS6" s="107"/>
      <c r="AT6" s="108"/>
      <c r="AU6" s="109"/>
      <c r="AV6" s="110" t="e">
        <f t="shared" si="3"/>
        <v>#N/A</v>
      </c>
      <c r="AW6" s="110" t="e">
        <f t="shared" ref="AW6:AW9" si="5">+AS6/AT6*AU6</f>
        <v>#DIV/0!</v>
      </c>
      <c r="AX6" s="110" t="e">
        <f t="shared" ref="AX6:AX9" si="6">+AW6+AU6</f>
        <v>#DIV/0!</v>
      </c>
      <c r="AY6" s="110" t="e">
        <f t="shared" ref="AY6:AY9" si="7">+$AU$5-AX6</f>
        <v>#DIV/0!</v>
      </c>
      <c r="AZ6" s="110" t="e">
        <f ca="1">VLOOKUP(BC6,swg_database!$AS$5:$AY$34,7,FALSE)</f>
        <v>#N/A</v>
      </c>
      <c r="BA6" s="110" t="e">
        <v>#N/A</v>
      </c>
      <c r="BB6" s="110">
        <v>0</v>
      </c>
      <c r="BC6" s="110">
        <f ca="1"/>
        <v>0</v>
      </c>
      <c r="BD6" s="86"/>
    </row>
    <row r="7" spans="2:57" x14ac:dyDescent="0.25">
      <c r="B7" s="76" t="s">
        <v>325</v>
      </c>
      <c r="C7" s="76" t="s">
        <v>325</v>
      </c>
      <c r="D7" s="87">
        <v>1</v>
      </c>
      <c r="E7" s="88">
        <v>30</v>
      </c>
      <c r="F7" s="88">
        <v>669</v>
      </c>
      <c r="G7" s="89">
        <v>0.65800000000000003</v>
      </c>
      <c r="H7" s="119" t="e">
        <f>NA()</f>
        <v>#N/A</v>
      </c>
      <c r="I7" t="e">
        <f>NA()</f>
        <v>#N/A</v>
      </c>
      <c r="J7" s="120" t="e">
        <f>NA()</f>
        <v>#N/A</v>
      </c>
      <c r="K7" s="119" t="e">
        <f>NA()</f>
        <v>#N/A</v>
      </c>
      <c r="L7" t="e">
        <f>NA()</f>
        <v>#N/A</v>
      </c>
      <c r="M7" s="120" t="e">
        <f>NA()</f>
        <v>#N/A</v>
      </c>
      <c r="N7" s="119" t="e">
        <f>NA()</f>
        <v>#N/A</v>
      </c>
      <c r="O7" t="e">
        <f>NA()</f>
        <v>#N/A</v>
      </c>
      <c r="P7" s="120" t="e">
        <f>NA()</f>
        <v>#N/A</v>
      </c>
      <c r="Q7" s="119" t="e">
        <f>NA()</f>
        <v>#N/A</v>
      </c>
      <c r="R7" t="e">
        <f>NA()</f>
        <v>#N/A</v>
      </c>
      <c r="S7" s="120" t="e">
        <f>NA()</f>
        <v>#N/A</v>
      </c>
      <c r="T7" s="119" t="e">
        <f>NA()</f>
        <v>#N/A</v>
      </c>
      <c r="U7" t="e">
        <f>NA()</f>
        <v>#N/A</v>
      </c>
      <c r="V7" s="120" t="e">
        <f>NA()</f>
        <v>#N/A</v>
      </c>
      <c r="X7" s="93" t="str">
        <v>P.J.Schulz</v>
      </c>
      <c r="Z7" s="93"/>
      <c r="AA7" s="93"/>
      <c r="AB7" s="93"/>
      <c r="AC7" s="93"/>
      <c r="AD7" s="93"/>
      <c r="AF7" s="97" t="str">
        <f>+AF6</f>
        <v>user</v>
      </c>
      <c r="AG7" s="98" t="str">
        <f t="shared" ref="AG7" si="8">+AA5</f>
        <v>Spiraltherm 9594/GIA</v>
      </c>
      <c r="AH7" s="98" t="s">
        <v>345</v>
      </c>
      <c r="AI7" s="98">
        <f t="shared" si="0"/>
        <v>18</v>
      </c>
      <c r="AJ7" s="98">
        <f t="shared" si="4"/>
        <v>102</v>
      </c>
      <c r="AK7" s="86">
        <f t="shared" si="1"/>
        <v>5</v>
      </c>
      <c r="AL7" s="77">
        <v>23</v>
      </c>
      <c r="AM7" s="86">
        <v>200</v>
      </c>
      <c r="AN7" s="77">
        <v>400</v>
      </c>
      <c r="AO7" s="86"/>
      <c r="AP7" s="94"/>
      <c r="AQ7" s="80"/>
      <c r="AS7" s="111"/>
      <c r="AT7" s="112"/>
      <c r="AU7" s="113"/>
      <c r="AV7" s="114" t="e">
        <f t="shared" si="3"/>
        <v>#N/A</v>
      </c>
      <c r="AW7" s="114" t="e">
        <f t="shared" si="5"/>
        <v>#DIV/0!</v>
      </c>
      <c r="AX7" s="114" t="e">
        <f t="shared" si="6"/>
        <v>#DIV/0!</v>
      </c>
      <c r="AY7" s="114" t="e">
        <f>+$AU$5-AX7</f>
        <v>#DIV/0!</v>
      </c>
      <c r="AZ7" s="114" t="e">
        <f ca="1">VLOOKUP(BC7,swg_database!$AS$5:$AY$34,7,FALSE)</f>
        <v>#N/A</v>
      </c>
      <c r="BA7" s="114" t="e">
        <v>#N/A</v>
      </c>
      <c r="BB7" s="114">
        <v>0</v>
      </c>
      <c r="BC7" s="114">
        <f ca="1"/>
        <v>0</v>
      </c>
      <c r="BD7" s="86"/>
    </row>
    <row r="8" spans="2:57" x14ac:dyDescent="0.25">
      <c r="B8" s="76" t="s">
        <v>325</v>
      </c>
      <c r="C8" s="76" t="s">
        <v>325</v>
      </c>
      <c r="D8" s="87">
        <v>1</v>
      </c>
      <c r="E8" s="88">
        <v>40</v>
      </c>
      <c r="F8" s="88">
        <v>1546</v>
      </c>
      <c r="G8" s="89">
        <v>0.63800000000000001</v>
      </c>
      <c r="H8" s="119" t="e">
        <f>NA()</f>
        <v>#N/A</v>
      </c>
      <c r="I8" t="e">
        <f>NA()</f>
        <v>#N/A</v>
      </c>
      <c r="J8" s="120" t="e">
        <f>NA()</f>
        <v>#N/A</v>
      </c>
      <c r="K8" s="119" t="e">
        <f>NA()</f>
        <v>#N/A</v>
      </c>
      <c r="L8" t="e">
        <f>NA()</f>
        <v>#N/A</v>
      </c>
      <c r="M8" s="120" t="e">
        <f>NA()</f>
        <v>#N/A</v>
      </c>
      <c r="N8" s="119" t="e">
        <f>NA()</f>
        <v>#N/A</v>
      </c>
      <c r="O8" t="e">
        <f>NA()</f>
        <v>#N/A</v>
      </c>
      <c r="P8" s="120" t="e">
        <f>NA()</f>
        <v>#N/A</v>
      </c>
      <c r="Q8" s="119" t="e">
        <f>NA()</f>
        <v>#N/A</v>
      </c>
      <c r="R8" t="e">
        <f>NA()</f>
        <v>#N/A</v>
      </c>
      <c r="S8" s="120" t="e">
        <f>NA()</f>
        <v>#N/A</v>
      </c>
      <c r="T8" s="119" t="e">
        <f>NA()</f>
        <v>#N/A</v>
      </c>
      <c r="U8" t="e">
        <f>NA()</f>
        <v>#N/A</v>
      </c>
      <c r="V8" s="120" t="e">
        <f>NA()</f>
        <v>#N/A</v>
      </c>
      <c r="X8" s="93" t="str">
        <v>Moeller</v>
      </c>
      <c r="Z8" s="93"/>
      <c r="AA8" s="93"/>
      <c r="AB8" s="93"/>
      <c r="AC8" s="93"/>
      <c r="AD8" s="93"/>
      <c r="AF8" s="97" t="str">
        <f>+AF7</f>
        <v>user</v>
      </c>
      <c r="AG8" s="98" t="str">
        <f>+AA6</f>
        <v>BPG 9470F</v>
      </c>
      <c r="AH8" s="98" t="s">
        <v>346</v>
      </c>
      <c r="AI8" s="98">
        <f t="shared" si="0"/>
        <v>24</v>
      </c>
      <c r="AJ8" s="98">
        <f t="shared" si="4"/>
        <v>120</v>
      </c>
      <c r="AK8" s="86">
        <f t="shared" si="1"/>
        <v>5</v>
      </c>
      <c r="AL8" s="77">
        <v>23</v>
      </c>
      <c r="AM8" s="86">
        <v>200</v>
      </c>
      <c r="AN8" s="77">
        <v>400</v>
      </c>
      <c r="AO8" s="86"/>
      <c r="AP8" s="94"/>
      <c r="AQ8" s="80"/>
      <c r="AS8" s="107"/>
      <c r="AT8" s="108"/>
      <c r="AU8" s="109"/>
      <c r="AV8" s="110" t="e">
        <f t="shared" si="3"/>
        <v>#N/A</v>
      </c>
      <c r="AW8" s="110" t="e">
        <f t="shared" si="5"/>
        <v>#DIV/0!</v>
      </c>
      <c r="AX8" s="110" t="e">
        <f t="shared" si="6"/>
        <v>#DIV/0!</v>
      </c>
      <c r="AY8" s="110" t="e">
        <f t="shared" si="7"/>
        <v>#DIV/0!</v>
      </c>
      <c r="AZ8" s="110" t="e">
        <f ca="1">VLOOKUP(BC8,swg_database!$AS$5:$AY$34,7,FALSE)</f>
        <v>#N/A</v>
      </c>
      <c r="BA8" s="110" t="e">
        <v>#N/A</v>
      </c>
      <c r="BB8" s="110">
        <v>0</v>
      </c>
      <c r="BC8" s="110">
        <f ca="1"/>
        <v>0</v>
      </c>
      <c r="BD8" s="136"/>
    </row>
    <row r="9" spans="2:57" x14ac:dyDescent="0.25">
      <c r="B9" s="76" t="s">
        <v>325</v>
      </c>
      <c r="C9" s="76" t="s">
        <v>325</v>
      </c>
      <c r="D9" s="87">
        <v>1</v>
      </c>
      <c r="E9" s="88">
        <v>50</v>
      </c>
      <c r="F9" s="88">
        <v>1430</v>
      </c>
      <c r="G9" s="89">
        <v>0.62</v>
      </c>
      <c r="H9" s="119" t="e">
        <f>NA()</f>
        <v>#N/A</v>
      </c>
      <c r="I9" t="e">
        <f>NA()</f>
        <v>#N/A</v>
      </c>
      <c r="J9" s="120" t="e">
        <f>NA()</f>
        <v>#N/A</v>
      </c>
      <c r="K9" s="119" t="e">
        <f>NA()</f>
        <v>#N/A</v>
      </c>
      <c r="L9" t="e">
        <f>NA()</f>
        <v>#N/A</v>
      </c>
      <c r="M9" s="120" t="e">
        <f>NA()</f>
        <v>#N/A</v>
      </c>
      <c r="N9" s="119" t="e">
        <f>NA()</f>
        <v>#N/A</v>
      </c>
      <c r="O9" t="e">
        <f>NA()</f>
        <v>#N/A</v>
      </c>
      <c r="P9" s="120" t="e">
        <f>NA()</f>
        <v>#N/A</v>
      </c>
      <c r="Q9" s="119" t="e">
        <f>NA()</f>
        <v>#N/A</v>
      </c>
      <c r="R9" t="e">
        <f>NA()</f>
        <v>#N/A</v>
      </c>
      <c r="S9" s="120" t="e">
        <f>NA()</f>
        <v>#N/A</v>
      </c>
      <c r="T9" s="119" t="e">
        <f>NA()</f>
        <v>#N/A</v>
      </c>
      <c r="U9" t="e">
        <f>NA()</f>
        <v>#N/A</v>
      </c>
      <c r="V9" s="120" t="e">
        <f>NA()</f>
        <v>#N/A</v>
      </c>
      <c r="X9" s="93" t="str">
        <v>Kempchen</v>
      </c>
      <c r="Z9" s="93"/>
      <c r="AA9" s="93"/>
      <c r="AB9" s="93"/>
      <c r="AC9" s="93"/>
      <c r="AD9" s="93"/>
      <c r="AF9" s="97" t="str">
        <f>+AB3</f>
        <v>P.J.Schulz</v>
      </c>
      <c r="AG9" s="98" t="str">
        <f>+AB4</f>
        <v>PJS S1ZG with graphite filler</v>
      </c>
      <c r="AH9" s="98" t="s">
        <v>465</v>
      </c>
      <c r="AI9" s="98">
        <f t="shared" si="0"/>
        <v>19</v>
      </c>
      <c r="AJ9" s="98">
        <f t="shared" si="4"/>
        <v>144</v>
      </c>
      <c r="AK9" s="86">
        <f t="shared" si="1"/>
        <v>5</v>
      </c>
      <c r="AL9" s="77">
        <v>23</v>
      </c>
      <c r="AM9" s="86">
        <v>200</v>
      </c>
      <c r="AN9" s="77">
        <v>400</v>
      </c>
      <c r="AO9" s="86"/>
      <c r="AP9" s="94"/>
      <c r="AQ9" s="80"/>
      <c r="AS9" s="111"/>
      <c r="AT9" s="112"/>
      <c r="AU9" s="113"/>
      <c r="AV9" s="114" t="e">
        <f t="shared" si="3"/>
        <v>#N/A</v>
      </c>
      <c r="AW9" s="114" t="e">
        <f t="shared" si="5"/>
        <v>#DIV/0!</v>
      </c>
      <c r="AX9" s="114" t="e">
        <f t="shared" si="6"/>
        <v>#DIV/0!</v>
      </c>
      <c r="AY9" s="114" t="e">
        <f t="shared" si="7"/>
        <v>#DIV/0!</v>
      </c>
      <c r="AZ9" s="114" t="e">
        <f ca="1">VLOOKUP(BC9,swg_database!$AS$5:$AY$34,7,FALSE)</f>
        <v>#N/A</v>
      </c>
      <c r="BA9" s="114" t="e">
        <v>#N/A</v>
      </c>
      <c r="BB9" s="114">
        <v>0</v>
      </c>
      <c r="BC9" s="114">
        <f ca="1"/>
        <v>0</v>
      </c>
      <c r="BD9" s="86"/>
    </row>
    <row r="10" spans="2:57" x14ac:dyDescent="0.25">
      <c r="B10" s="76" t="s">
        <v>325</v>
      </c>
      <c r="C10" s="76" t="s">
        <v>325</v>
      </c>
      <c r="D10" s="87">
        <v>1</v>
      </c>
      <c r="E10" s="88">
        <v>60</v>
      </c>
      <c r="F10" s="88">
        <v>2117</v>
      </c>
      <c r="G10" s="89">
        <v>0.60699999999999998</v>
      </c>
      <c r="H10" s="119" t="e">
        <f>NA()</f>
        <v>#N/A</v>
      </c>
      <c r="I10" t="e">
        <f>NA()</f>
        <v>#N/A</v>
      </c>
      <c r="J10" s="120" t="e">
        <f>NA()</f>
        <v>#N/A</v>
      </c>
      <c r="K10" s="119" t="e">
        <f>NA()</f>
        <v>#N/A</v>
      </c>
      <c r="L10" t="e">
        <f>NA()</f>
        <v>#N/A</v>
      </c>
      <c r="M10" s="120" t="e">
        <f>NA()</f>
        <v>#N/A</v>
      </c>
      <c r="N10" s="119" t="e">
        <f>NA()</f>
        <v>#N/A</v>
      </c>
      <c r="O10" t="e">
        <f>NA()</f>
        <v>#N/A</v>
      </c>
      <c r="P10" s="120" t="e">
        <f>NA()</f>
        <v>#N/A</v>
      </c>
      <c r="Q10" s="119" t="e">
        <f>NA()</f>
        <v>#N/A</v>
      </c>
      <c r="R10" t="e">
        <f>NA()</f>
        <v>#N/A</v>
      </c>
      <c r="S10" s="120" t="e">
        <f>NA()</f>
        <v>#N/A</v>
      </c>
      <c r="T10" s="119" t="e">
        <f>NA()</f>
        <v>#N/A</v>
      </c>
      <c r="U10" t="e">
        <f>NA()</f>
        <v>#N/A</v>
      </c>
      <c r="V10" s="120" t="e">
        <f>NA()</f>
        <v>#N/A</v>
      </c>
      <c r="X10" s="86"/>
      <c r="AF10" s="97" t="str">
        <f>+AC3</f>
        <v>Moeller</v>
      </c>
      <c r="AG10" s="98" t="str">
        <f>+AC4</f>
        <v>MMSIA with mica</v>
      </c>
      <c r="AH10" s="98" t="s">
        <v>466</v>
      </c>
      <c r="AI10" s="98">
        <f t="shared" si="0"/>
        <v>19</v>
      </c>
      <c r="AJ10" s="98">
        <f t="shared" si="4"/>
        <v>163</v>
      </c>
      <c r="AK10" s="86">
        <f t="shared" si="1"/>
        <v>5</v>
      </c>
      <c r="AL10" s="77">
        <v>23</v>
      </c>
      <c r="AM10" s="86">
        <v>200</v>
      </c>
      <c r="AN10" s="77">
        <v>450</v>
      </c>
      <c r="AO10" s="86"/>
      <c r="AP10" s="94"/>
      <c r="AQ10" s="80"/>
      <c r="AS10" s="107"/>
      <c r="AT10" s="108"/>
      <c r="AU10" s="109"/>
      <c r="AV10" s="110" t="e">
        <f t="shared" ref="AV10:AV34" si="9">IF(NOT(ISBLANK(AU10)),$AU$5-AU10,NA())</f>
        <v>#N/A</v>
      </c>
      <c r="AW10" s="110" t="e">
        <f t="shared" ref="AW10:AW34" si="10">+AS10/AT10*AU10</f>
        <v>#DIV/0!</v>
      </c>
      <c r="AX10" s="110" t="e">
        <f t="shared" ref="AX10:AX34" si="11">+AW10+AU10</f>
        <v>#DIV/0!</v>
      </c>
      <c r="AY10" s="110" t="e">
        <f t="shared" ref="AY10:AY34" si="12">+$AU$5-AX10</f>
        <v>#DIV/0!</v>
      </c>
      <c r="AZ10" s="110" t="e">
        <f ca="1">VLOOKUP(BC10,swg_database!$AS$5:$AY$34,7,FALSE)</f>
        <v>#N/A</v>
      </c>
      <c r="BA10" s="110" t="e">
        <v>#N/A</v>
      </c>
      <c r="BB10" s="110">
        <v>0</v>
      </c>
      <c r="BC10" s="110">
        <f ca="1"/>
        <v>0</v>
      </c>
    </row>
    <row r="11" spans="2:57" x14ac:dyDescent="0.25">
      <c r="B11" s="76" t="s">
        <v>325</v>
      </c>
      <c r="C11" s="76" t="s">
        <v>325</v>
      </c>
      <c r="D11" s="87">
        <v>1</v>
      </c>
      <c r="E11" s="88">
        <v>80</v>
      </c>
      <c r="F11" s="88">
        <v>3749</v>
      </c>
      <c r="G11" s="89">
        <v>0.58699999999999997</v>
      </c>
      <c r="H11" s="119" t="e">
        <f>NA()</f>
        <v>#N/A</v>
      </c>
      <c r="I11" t="e">
        <f>NA()</f>
        <v>#N/A</v>
      </c>
      <c r="J11" s="120" t="e">
        <f>NA()</f>
        <v>#N/A</v>
      </c>
      <c r="K11" s="119" t="e">
        <f>NA()</f>
        <v>#N/A</v>
      </c>
      <c r="L11" t="e">
        <f>NA()</f>
        <v>#N/A</v>
      </c>
      <c r="M11" s="120" t="e">
        <f>NA()</f>
        <v>#N/A</v>
      </c>
      <c r="N11" s="119" t="e">
        <f>NA()</f>
        <v>#N/A</v>
      </c>
      <c r="O11" t="e">
        <f>NA()</f>
        <v>#N/A</v>
      </c>
      <c r="P11" s="120" t="e">
        <f>NA()</f>
        <v>#N/A</v>
      </c>
      <c r="Q11" s="119" t="e">
        <f>NA()</f>
        <v>#N/A</v>
      </c>
      <c r="R11" t="e">
        <f>NA()</f>
        <v>#N/A</v>
      </c>
      <c r="S11" s="120" t="e">
        <f>NA()</f>
        <v>#N/A</v>
      </c>
      <c r="T11" s="119" t="e">
        <f>NA()</f>
        <v>#N/A</v>
      </c>
      <c r="U11" t="e">
        <f>NA()</f>
        <v>#N/A</v>
      </c>
      <c r="V11" s="120" t="e">
        <f>NA()</f>
        <v>#N/A</v>
      </c>
      <c r="X11" s="86"/>
      <c r="AF11" s="76" t="str">
        <f>+AF10</f>
        <v>Moeller</v>
      </c>
      <c r="AG11" s="98" t="str">
        <f>+AC5</f>
        <v>MMSIA graphite</v>
      </c>
      <c r="AH11" s="98" t="s">
        <v>467</v>
      </c>
      <c r="AI11" s="98">
        <f t="shared" si="0"/>
        <v>19</v>
      </c>
      <c r="AJ11" s="98">
        <f t="shared" si="4"/>
        <v>182</v>
      </c>
      <c r="AK11" s="86">
        <f t="shared" si="1"/>
        <v>5</v>
      </c>
      <c r="AL11" s="77">
        <v>23</v>
      </c>
      <c r="AM11" s="86">
        <v>200</v>
      </c>
      <c r="AN11" s="77">
        <v>450</v>
      </c>
      <c r="AO11" s="86"/>
      <c r="AP11" s="94"/>
      <c r="AQ11" s="80"/>
      <c r="AS11" s="111"/>
      <c r="AT11" s="112"/>
      <c r="AU11" s="113"/>
      <c r="AV11" s="114" t="e">
        <f t="shared" si="9"/>
        <v>#N/A</v>
      </c>
      <c r="AW11" s="114" t="e">
        <f t="shared" si="10"/>
        <v>#DIV/0!</v>
      </c>
      <c r="AX11" s="114" t="e">
        <f t="shared" si="11"/>
        <v>#DIV/0!</v>
      </c>
      <c r="AY11" s="114" t="e">
        <f t="shared" si="12"/>
        <v>#DIV/0!</v>
      </c>
      <c r="AZ11" s="114" t="e">
        <f ca="1">VLOOKUP(BC11,swg_database!$AS$5:$AY$34,7,FALSE)</f>
        <v>#N/A</v>
      </c>
      <c r="BA11" s="114" t="e">
        <v>#N/A</v>
      </c>
      <c r="BB11" s="114">
        <v>0</v>
      </c>
      <c r="BC11" s="114">
        <f ca="1"/>
        <v>0</v>
      </c>
    </row>
    <row r="12" spans="2:57" x14ac:dyDescent="0.25">
      <c r="B12" s="76" t="s">
        <v>325</v>
      </c>
      <c r="C12" s="76" t="s">
        <v>325</v>
      </c>
      <c r="D12" s="87">
        <v>1</v>
      </c>
      <c r="E12" s="88">
        <v>100</v>
      </c>
      <c r="F12" s="88">
        <v>5414</v>
      </c>
      <c r="G12" s="89">
        <v>0.57299999999999995</v>
      </c>
      <c r="H12" s="119" t="e">
        <f>NA()</f>
        <v>#N/A</v>
      </c>
      <c r="I12" t="e">
        <f>NA()</f>
        <v>#N/A</v>
      </c>
      <c r="J12" s="120" t="e">
        <f>NA()</f>
        <v>#N/A</v>
      </c>
      <c r="K12" s="119" t="e">
        <f>NA()</f>
        <v>#N/A</v>
      </c>
      <c r="L12" t="e">
        <f>NA()</f>
        <v>#N/A</v>
      </c>
      <c r="M12" s="120" t="e">
        <f>NA()</f>
        <v>#N/A</v>
      </c>
      <c r="N12" s="119" t="e">
        <f>NA()</f>
        <v>#N/A</v>
      </c>
      <c r="O12" t="e">
        <f>NA()</f>
        <v>#N/A</v>
      </c>
      <c r="P12" s="120" t="e">
        <f>NA()</f>
        <v>#N/A</v>
      </c>
      <c r="Q12" s="119" t="e">
        <f>NA()</f>
        <v>#N/A</v>
      </c>
      <c r="R12" t="e">
        <f>NA()</f>
        <v>#N/A</v>
      </c>
      <c r="S12" s="120" t="e">
        <f>NA()</f>
        <v>#N/A</v>
      </c>
      <c r="T12" s="119" t="e">
        <f>NA()</f>
        <v>#N/A</v>
      </c>
      <c r="U12" t="e">
        <f>NA()</f>
        <v>#N/A</v>
      </c>
      <c r="V12" s="120" t="e">
        <f>NA()</f>
        <v>#N/A</v>
      </c>
      <c r="AF12" s="76" t="str">
        <f>+AD3</f>
        <v>Kempchen</v>
      </c>
      <c r="AG12" s="98" t="str">
        <f>+AD4</f>
        <v>SpV2I - Graphite (1.4541 / 0.5 mm)</v>
      </c>
      <c r="AH12" s="98" t="s">
        <v>471</v>
      </c>
      <c r="AI12" s="98">
        <f t="shared" si="0"/>
        <v>17</v>
      </c>
      <c r="AJ12" s="98">
        <f>AI11+AJ11</f>
        <v>201</v>
      </c>
      <c r="AK12" s="86">
        <f t="shared" si="1"/>
        <v>4.8499999999999996</v>
      </c>
      <c r="AL12" s="77">
        <v>23</v>
      </c>
      <c r="AM12" s="86">
        <v>100</v>
      </c>
      <c r="AN12" s="77">
        <v>200</v>
      </c>
      <c r="AO12" s="86">
        <v>300</v>
      </c>
      <c r="AP12" s="94">
        <v>400</v>
      </c>
      <c r="AQ12" s="80">
        <v>500</v>
      </c>
      <c r="AS12" s="107"/>
      <c r="AT12" s="108"/>
      <c r="AU12" s="109"/>
      <c r="AV12" s="110" t="e">
        <f t="shared" si="9"/>
        <v>#N/A</v>
      </c>
      <c r="AW12" s="110" t="e">
        <f t="shared" si="10"/>
        <v>#DIV/0!</v>
      </c>
      <c r="AX12" s="110" t="e">
        <f t="shared" si="11"/>
        <v>#DIV/0!</v>
      </c>
      <c r="AY12" s="110" t="e">
        <f t="shared" si="12"/>
        <v>#DIV/0!</v>
      </c>
      <c r="AZ12" s="110" t="e">
        <f ca="1">VLOOKUP(BC12,swg_database!$AS$5:$AY$34,7,FALSE)</f>
        <v>#N/A</v>
      </c>
      <c r="BA12" s="110" t="e">
        <v>#N/A</v>
      </c>
      <c r="BB12" s="110">
        <v>0</v>
      </c>
      <c r="BC12" s="110">
        <f ca="1"/>
        <v>0</v>
      </c>
    </row>
    <row r="13" spans="2:57" x14ac:dyDescent="0.25">
      <c r="B13" s="76" t="s">
        <v>325</v>
      </c>
      <c r="C13" s="76" t="s">
        <v>325</v>
      </c>
      <c r="D13" s="87">
        <v>1</v>
      </c>
      <c r="E13" s="88">
        <v>120</v>
      </c>
      <c r="F13" s="88">
        <v>4437</v>
      </c>
      <c r="G13" s="89">
        <v>0.56100000000000005</v>
      </c>
      <c r="H13" s="119" t="e">
        <f>NA()</f>
        <v>#N/A</v>
      </c>
      <c r="I13" t="e">
        <f>NA()</f>
        <v>#N/A</v>
      </c>
      <c r="J13" s="120" t="e">
        <f>NA()</f>
        <v>#N/A</v>
      </c>
      <c r="K13" s="119" t="e">
        <f>NA()</f>
        <v>#N/A</v>
      </c>
      <c r="L13" t="e">
        <f>NA()</f>
        <v>#N/A</v>
      </c>
      <c r="M13" s="120" t="e">
        <f>NA()</f>
        <v>#N/A</v>
      </c>
      <c r="N13" s="119" t="e">
        <f>NA()</f>
        <v>#N/A</v>
      </c>
      <c r="O13" t="e">
        <f>NA()</f>
        <v>#N/A</v>
      </c>
      <c r="P13" s="120" t="e">
        <f>NA()</f>
        <v>#N/A</v>
      </c>
      <c r="Q13" s="119" t="e">
        <f>NA()</f>
        <v>#N/A</v>
      </c>
      <c r="R13" t="e">
        <f>NA()</f>
        <v>#N/A</v>
      </c>
      <c r="S13" s="120" t="e">
        <f>NA()</f>
        <v>#N/A</v>
      </c>
      <c r="T13" s="119" t="e">
        <f>NA()</f>
        <v>#N/A</v>
      </c>
      <c r="U13" t="e">
        <f>NA()</f>
        <v>#N/A</v>
      </c>
      <c r="V13" s="120" t="e">
        <f>NA()</f>
        <v>#N/A</v>
      </c>
      <c r="X13" s="95" t="e">
        <f>VLOOKUP(bolted_design!C57,AG3:AK15,2,FALSE)</f>
        <v>#N/A</v>
      </c>
      <c r="Y13" s="95"/>
      <c r="AF13" s="76"/>
      <c r="AG13" s="98" t="s">
        <v>325</v>
      </c>
      <c r="AH13" s="98" t="s">
        <v>325</v>
      </c>
      <c r="AI13" s="98">
        <f t="shared" si="0"/>
        <v>14</v>
      </c>
      <c r="AJ13" s="98">
        <f>AI12+AJ12</f>
        <v>218</v>
      </c>
      <c r="AK13" s="86">
        <f t="shared" si="1"/>
        <v>1</v>
      </c>
      <c r="AL13" s="77" t="s">
        <v>325</v>
      </c>
      <c r="AM13" s="86"/>
      <c r="AN13" s="77"/>
      <c r="AO13" s="86"/>
      <c r="AP13" s="94"/>
      <c r="AQ13" s="80"/>
      <c r="AS13" s="111"/>
      <c r="AT13" s="112"/>
      <c r="AU13" s="113"/>
      <c r="AV13" s="114" t="e">
        <f t="shared" si="9"/>
        <v>#N/A</v>
      </c>
      <c r="AW13" s="114" t="e">
        <f t="shared" si="10"/>
        <v>#DIV/0!</v>
      </c>
      <c r="AX13" s="114" t="e">
        <f t="shared" si="11"/>
        <v>#DIV/0!</v>
      </c>
      <c r="AY13" s="114" t="e">
        <f t="shared" si="12"/>
        <v>#DIV/0!</v>
      </c>
      <c r="AZ13" s="114" t="e">
        <f ca="1">VLOOKUP(BC13,swg_database!$AS$5:$AY$34,7,FALSE)</f>
        <v>#N/A</v>
      </c>
      <c r="BA13" s="114" t="e">
        <v>#N/A</v>
      </c>
      <c r="BB13" s="114">
        <v>0</v>
      </c>
      <c r="BC13" s="114">
        <f ca="1"/>
        <v>0</v>
      </c>
    </row>
    <row r="14" spans="2:57" x14ac:dyDescent="0.25">
      <c r="B14" s="76" t="s">
        <v>325</v>
      </c>
      <c r="C14" s="76" t="s">
        <v>325</v>
      </c>
      <c r="D14" s="87">
        <v>1</v>
      </c>
      <c r="E14" s="88">
        <v>140</v>
      </c>
      <c r="F14" s="88">
        <v>7482</v>
      </c>
      <c r="G14" s="89">
        <v>0.55400000000000005</v>
      </c>
      <c r="H14" s="119" t="e">
        <f>NA()</f>
        <v>#N/A</v>
      </c>
      <c r="I14" t="e">
        <f>NA()</f>
        <v>#N/A</v>
      </c>
      <c r="J14" s="120" t="e">
        <f>NA()</f>
        <v>#N/A</v>
      </c>
      <c r="K14" s="119" t="e">
        <f>NA()</f>
        <v>#N/A</v>
      </c>
      <c r="L14" t="e">
        <f>NA()</f>
        <v>#N/A</v>
      </c>
      <c r="M14" s="120" t="e">
        <f>NA()</f>
        <v>#N/A</v>
      </c>
      <c r="N14" s="119" t="e">
        <f>NA()</f>
        <v>#N/A</v>
      </c>
      <c r="O14" t="e">
        <f>NA()</f>
        <v>#N/A</v>
      </c>
      <c r="P14" s="120" t="e">
        <f>NA()</f>
        <v>#N/A</v>
      </c>
      <c r="Q14" s="119" t="e">
        <f>NA()</f>
        <v>#N/A</v>
      </c>
      <c r="R14" t="e">
        <f>NA()</f>
        <v>#N/A</v>
      </c>
      <c r="S14" s="120" t="e">
        <f>NA()</f>
        <v>#N/A</v>
      </c>
      <c r="T14" s="119" t="e">
        <f>NA()</f>
        <v>#N/A</v>
      </c>
      <c r="U14" t="e">
        <f>NA()</f>
        <v>#N/A</v>
      </c>
      <c r="V14" s="120" t="e">
        <f>NA()</f>
        <v>#N/A</v>
      </c>
      <c r="X14" s="95" t="s">
        <v>334</v>
      </c>
      <c r="Y14" s="95" t="e">
        <f>MATCH(bolted_design!C56,gasket_mfr,0)</f>
        <v>#N/A</v>
      </c>
      <c r="AF14" s="76" t="s">
        <v>550</v>
      </c>
      <c r="AG14" s="98" t="s">
        <v>547</v>
      </c>
      <c r="AH14" s="98" t="s">
        <v>549</v>
      </c>
      <c r="AI14" s="98"/>
      <c r="AJ14" s="98"/>
      <c r="AK14" s="86"/>
      <c r="AL14" s="77" t="s">
        <v>548</v>
      </c>
      <c r="AM14" s="86"/>
      <c r="AN14" s="77"/>
      <c r="AO14" s="86"/>
      <c r="AP14" s="94"/>
      <c r="AQ14" s="80"/>
      <c r="AS14" s="107"/>
      <c r="AT14" s="108"/>
      <c r="AU14" s="109"/>
      <c r="AV14" s="110" t="e">
        <f t="shared" si="9"/>
        <v>#N/A</v>
      </c>
      <c r="AW14" s="110" t="e">
        <f t="shared" si="10"/>
        <v>#DIV/0!</v>
      </c>
      <c r="AX14" s="110" t="e">
        <f t="shared" si="11"/>
        <v>#DIV/0!</v>
      </c>
      <c r="AY14" s="110" t="e">
        <f t="shared" si="12"/>
        <v>#DIV/0!</v>
      </c>
      <c r="AZ14" s="110" t="e">
        <f ca="1">VLOOKUP(BC14,swg_database!$AS$5:$AY$34,7,FALSE)</f>
        <v>#N/A</v>
      </c>
      <c r="BA14" s="110" t="e">
        <v>#N/A</v>
      </c>
      <c r="BB14" s="110">
        <v>0</v>
      </c>
      <c r="BC14" s="110">
        <f ca="1"/>
        <v>0</v>
      </c>
    </row>
    <row r="15" spans="2:57" x14ac:dyDescent="0.25">
      <c r="B15" s="76" t="s">
        <v>325</v>
      </c>
      <c r="C15" s="76" t="s">
        <v>325</v>
      </c>
      <c r="D15" s="87">
        <v>1</v>
      </c>
      <c r="E15" s="88">
        <v>160</v>
      </c>
      <c r="F15" s="88">
        <v>8967</v>
      </c>
      <c r="G15" s="89">
        <v>0.54800000000000004</v>
      </c>
      <c r="H15" s="119" t="e">
        <f>NA()</f>
        <v>#N/A</v>
      </c>
      <c r="I15" t="e">
        <f>NA()</f>
        <v>#N/A</v>
      </c>
      <c r="J15" s="120" t="e">
        <f>NA()</f>
        <v>#N/A</v>
      </c>
      <c r="K15" s="119" t="e">
        <f>NA()</f>
        <v>#N/A</v>
      </c>
      <c r="L15" t="e">
        <f>NA()</f>
        <v>#N/A</v>
      </c>
      <c r="M15" s="120" t="e">
        <f>NA()</f>
        <v>#N/A</v>
      </c>
      <c r="N15" s="119" t="e">
        <f>NA()</f>
        <v>#N/A</v>
      </c>
      <c r="O15" t="e">
        <f>NA()</f>
        <v>#N/A</v>
      </c>
      <c r="P15" s="120" t="e">
        <f>NA()</f>
        <v>#N/A</v>
      </c>
      <c r="Q15" s="119" t="e">
        <f>NA()</f>
        <v>#N/A</v>
      </c>
      <c r="R15" t="e">
        <f>NA()</f>
        <v>#N/A</v>
      </c>
      <c r="S15" s="120" t="e">
        <f>NA()</f>
        <v>#N/A</v>
      </c>
      <c r="T15" s="119" t="e">
        <f>NA()</f>
        <v>#N/A</v>
      </c>
      <c r="U15" t="e">
        <f>NA()</f>
        <v>#N/A</v>
      </c>
      <c r="V15" s="120" t="e">
        <f>NA()</f>
        <v>#N/A</v>
      </c>
      <c r="X15" s="95" t="s">
        <v>320</v>
      </c>
      <c r="Y15" s="95" t="e">
        <f ca="1">MATCH(bolted_design!C57,INDIRECT(bolted_design!C56),0)</f>
        <v>#N/A</v>
      </c>
      <c r="AA15" s="86"/>
      <c r="AF15" s="81"/>
      <c r="AG15" s="154"/>
      <c r="AH15" s="154"/>
      <c r="AI15" s="154"/>
      <c r="AJ15" s="154"/>
      <c r="AK15" s="124"/>
      <c r="AL15" s="82"/>
      <c r="AM15" s="124"/>
      <c r="AN15" s="82"/>
      <c r="AO15" s="124"/>
      <c r="AP15" s="125"/>
      <c r="AQ15" s="85"/>
      <c r="AS15" s="111"/>
      <c r="AT15" s="112"/>
      <c r="AU15" s="113"/>
      <c r="AV15" s="114" t="e">
        <f t="shared" si="9"/>
        <v>#N/A</v>
      </c>
      <c r="AW15" s="114" t="e">
        <f t="shared" si="10"/>
        <v>#DIV/0!</v>
      </c>
      <c r="AX15" s="114" t="e">
        <f t="shared" si="11"/>
        <v>#DIV/0!</v>
      </c>
      <c r="AY15" s="114" t="e">
        <f t="shared" si="12"/>
        <v>#DIV/0!</v>
      </c>
      <c r="AZ15" s="114" t="e">
        <f ca="1">VLOOKUP(BC15,swg_database!$AS$5:$AY$34,7,FALSE)</f>
        <v>#N/A</v>
      </c>
      <c r="BA15" s="114" t="e">
        <v>#N/A</v>
      </c>
      <c r="BB15" s="114">
        <v>0</v>
      </c>
      <c r="BC15" s="114">
        <f ca="1"/>
        <v>0</v>
      </c>
    </row>
    <row r="16" spans="2:57" x14ac:dyDescent="0.25">
      <c r="B16" s="76" t="s">
        <v>325</v>
      </c>
      <c r="C16" s="76" t="s">
        <v>325</v>
      </c>
      <c r="D16" s="87">
        <v>1</v>
      </c>
      <c r="E16" s="88">
        <v>180</v>
      </c>
      <c r="F16" s="88">
        <v>8236</v>
      </c>
      <c r="G16" s="89">
        <v>0.54200000000000004</v>
      </c>
      <c r="H16" s="119" t="e">
        <f>NA()</f>
        <v>#N/A</v>
      </c>
      <c r="I16" t="e">
        <f>NA()</f>
        <v>#N/A</v>
      </c>
      <c r="J16" s="120" t="e">
        <f>NA()</f>
        <v>#N/A</v>
      </c>
      <c r="K16" s="119" t="e">
        <f>NA()</f>
        <v>#N/A</v>
      </c>
      <c r="L16" t="e">
        <f>NA()</f>
        <v>#N/A</v>
      </c>
      <c r="M16" s="120" t="e">
        <f>NA()</f>
        <v>#N/A</v>
      </c>
      <c r="N16" s="119" t="e">
        <f>NA()</f>
        <v>#N/A</v>
      </c>
      <c r="O16" t="e">
        <f>NA()</f>
        <v>#N/A</v>
      </c>
      <c r="P16" s="120" t="e">
        <f>NA()</f>
        <v>#N/A</v>
      </c>
      <c r="Q16" s="119" t="e">
        <f>NA()</f>
        <v>#N/A</v>
      </c>
      <c r="R16" t="e">
        <f>NA()</f>
        <v>#N/A</v>
      </c>
      <c r="S16" s="120" t="e">
        <f>NA()</f>
        <v>#N/A</v>
      </c>
      <c r="T16" s="119" t="e">
        <f>NA()</f>
        <v>#N/A</v>
      </c>
      <c r="U16" t="e">
        <f>NA()</f>
        <v>#N/A</v>
      </c>
      <c r="V16" s="120" t="e">
        <f>NA()</f>
        <v>#N/A</v>
      </c>
      <c r="X16" s="95" t="s">
        <v>335</v>
      </c>
      <c r="Y16" s="95" t="e">
        <f ca="1">MATCH(bolted_design!C59,INDIRECT(X13),0)</f>
        <v>#N/A</v>
      </c>
      <c r="AA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S16" s="107"/>
      <c r="AT16" s="108"/>
      <c r="AU16" s="109"/>
      <c r="AV16" s="110" t="e">
        <f t="shared" si="9"/>
        <v>#N/A</v>
      </c>
      <c r="AW16" s="110" t="e">
        <f t="shared" si="10"/>
        <v>#DIV/0!</v>
      </c>
      <c r="AX16" s="110" t="e">
        <f t="shared" si="11"/>
        <v>#DIV/0!</v>
      </c>
      <c r="AY16" s="110" t="e">
        <f t="shared" si="12"/>
        <v>#DIV/0!</v>
      </c>
      <c r="AZ16" s="110" t="e">
        <f ca="1">VLOOKUP(BC16,swg_database!$AS$5:$AY$34,7,FALSE)</f>
        <v>#N/A</v>
      </c>
      <c r="BA16" s="110" t="e">
        <v>#N/A</v>
      </c>
      <c r="BB16" s="110">
        <v>0</v>
      </c>
      <c r="BC16" s="110">
        <f ca="1"/>
        <v>0</v>
      </c>
    </row>
    <row r="17" spans="2:55" x14ac:dyDescent="0.25">
      <c r="B17" s="81" t="s">
        <v>325</v>
      </c>
      <c r="C17" s="81" t="s">
        <v>325</v>
      </c>
      <c r="D17" s="90">
        <v>1</v>
      </c>
      <c r="E17" s="91">
        <v>200</v>
      </c>
      <c r="F17" s="91">
        <v>8651</v>
      </c>
      <c r="G17" s="92">
        <v>0.53600000000000003</v>
      </c>
      <c r="H17" s="121" t="e">
        <f>NA()</f>
        <v>#N/A</v>
      </c>
      <c r="I17" s="122" t="e">
        <f>NA()</f>
        <v>#N/A</v>
      </c>
      <c r="J17" s="123" t="e">
        <f>NA()</f>
        <v>#N/A</v>
      </c>
      <c r="K17" s="121" t="e">
        <f>NA()</f>
        <v>#N/A</v>
      </c>
      <c r="L17" s="122" t="e">
        <f>NA()</f>
        <v>#N/A</v>
      </c>
      <c r="M17" s="123" t="e">
        <f>NA()</f>
        <v>#N/A</v>
      </c>
      <c r="N17" s="121" t="e">
        <f>NA()</f>
        <v>#N/A</v>
      </c>
      <c r="O17" s="122" t="e">
        <f>NA()</f>
        <v>#N/A</v>
      </c>
      <c r="P17" s="123" t="e">
        <f>NA()</f>
        <v>#N/A</v>
      </c>
      <c r="Q17" s="121" t="e">
        <f>NA()</f>
        <v>#N/A</v>
      </c>
      <c r="R17" s="122" t="e">
        <f>NA()</f>
        <v>#N/A</v>
      </c>
      <c r="S17" s="123" t="e">
        <f>NA()</f>
        <v>#N/A</v>
      </c>
      <c r="T17" s="121" t="e">
        <f>NA()</f>
        <v>#N/A</v>
      </c>
      <c r="U17" s="122" t="e">
        <f>NA()</f>
        <v>#N/A</v>
      </c>
      <c r="V17" s="123" t="e">
        <f>NA()</f>
        <v>#N/A</v>
      </c>
      <c r="X17" s="95" t="s">
        <v>336</v>
      </c>
      <c r="Y17" s="96" t="e">
        <f>VLOOKUP(bolted_design!C57,swg_database!AG3:AK15,3,FALSE)</f>
        <v>#N/A</v>
      </c>
      <c r="AA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S17" s="111"/>
      <c r="AT17" s="112"/>
      <c r="AU17" s="113"/>
      <c r="AV17" s="114" t="e">
        <f t="shared" si="9"/>
        <v>#N/A</v>
      </c>
      <c r="AW17" s="114" t="e">
        <f t="shared" si="10"/>
        <v>#DIV/0!</v>
      </c>
      <c r="AX17" s="114" t="e">
        <f t="shared" si="11"/>
        <v>#DIV/0!</v>
      </c>
      <c r="AY17" s="114" t="e">
        <f t="shared" si="12"/>
        <v>#DIV/0!</v>
      </c>
      <c r="AZ17" s="114" t="e">
        <f ca="1">VLOOKUP(BC17,swg_database!$AS$5:$AY$34,7,FALSE)</f>
        <v>#N/A</v>
      </c>
      <c r="BA17" s="114" t="e">
        <v>#N/A</v>
      </c>
      <c r="BB17" s="114">
        <v>0</v>
      </c>
      <c r="BC17" s="114">
        <f ca="1"/>
        <v>0</v>
      </c>
    </row>
    <row r="18" spans="2:55" hidden="1" outlineLevel="1" x14ac:dyDescent="0.25">
      <c r="B18" s="71" t="s">
        <v>326</v>
      </c>
      <c r="C18" s="72" t="s">
        <v>328</v>
      </c>
      <c r="D18" s="72">
        <v>4.5999999999999996</v>
      </c>
      <c r="E18" s="73">
        <v>0</v>
      </c>
      <c r="F18" s="74">
        <v>0</v>
      </c>
      <c r="G18" s="75">
        <v>4.66</v>
      </c>
      <c r="H18" s="73">
        <v>0</v>
      </c>
      <c r="I18" s="74">
        <v>0</v>
      </c>
      <c r="J18" s="75">
        <v>4.835</v>
      </c>
      <c r="K18" s="73">
        <v>0</v>
      </c>
      <c r="L18" s="74">
        <v>0</v>
      </c>
      <c r="M18" s="75">
        <v>4.7450000000000001</v>
      </c>
      <c r="N18" s="73" t="e">
        <f>NA()</f>
        <v>#N/A</v>
      </c>
      <c r="O18" s="74" t="e">
        <f>NA()</f>
        <v>#N/A</v>
      </c>
      <c r="P18" s="75" t="e">
        <f>NA()</f>
        <v>#N/A</v>
      </c>
      <c r="Q18" s="73" t="e">
        <f>NA()</f>
        <v>#N/A</v>
      </c>
      <c r="R18" s="74" t="e">
        <f>NA()</f>
        <v>#N/A</v>
      </c>
      <c r="S18" s="75" t="e">
        <f>NA()</f>
        <v>#N/A</v>
      </c>
      <c r="T18" s="73" t="e">
        <f>NA()</f>
        <v>#N/A</v>
      </c>
      <c r="U18" s="74" t="e">
        <f>NA()</f>
        <v>#N/A</v>
      </c>
      <c r="V18" s="75" t="e">
        <f>NA()</f>
        <v>#N/A</v>
      </c>
      <c r="X18" s="95" t="s">
        <v>332</v>
      </c>
      <c r="Y18" s="96" t="e">
        <f>VLOOKUP(bolted_design!C57,swg_database!AG3:AK15,4,FALSE)</f>
        <v>#N/A</v>
      </c>
      <c r="AA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S18" s="107"/>
      <c r="AT18" s="108"/>
      <c r="AU18" s="109"/>
      <c r="AV18" s="110" t="e">
        <f t="shared" si="9"/>
        <v>#N/A</v>
      </c>
      <c r="AW18" s="110" t="e">
        <f t="shared" si="10"/>
        <v>#DIV/0!</v>
      </c>
      <c r="AX18" s="110" t="e">
        <f t="shared" si="11"/>
        <v>#DIV/0!</v>
      </c>
      <c r="AY18" s="110" t="e">
        <f t="shared" si="12"/>
        <v>#DIV/0!</v>
      </c>
      <c r="AZ18" s="110" t="e">
        <f ca="1">VLOOKUP(BC18,swg_database!$AS$5:$AY$34,7,FALSE)</f>
        <v>#N/A</v>
      </c>
      <c r="BA18" s="110" t="e">
        <v>#N/A</v>
      </c>
      <c r="BB18" s="110">
        <v>0</v>
      </c>
      <c r="BC18" s="110">
        <f ca="1"/>
        <v>0</v>
      </c>
    </row>
    <row r="19" spans="2:55" hidden="1" outlineLevel="1" x14ac:dyDescent="0.25">
      <c r="B19" s="76" t="s">
        <v>326</v>
      </c>
      <c r="C19" s="77" t="s">
        <v>328</v>
      </c>
      <c r="D19" s="77">
        <v>4.5999999999999996</v>
      </c>
      <c r="E19" s="78">
        <v>1</v>
      </c>
      <c r="F19" s="79">
        <v>0</v>
      </c>
      <c r="G19" s="80">
        <v>4.5839999999999996</v>
      </c>
      <c r="H19" s="78">
        <v>1</v>
      </c>
      <c r="I19" s="79">
        <v>0</v>
      </c>
      <c r="J19" s="80">
        <v>4.7590000000000003</v>
      </c>
      <c r="K19" s="78">
        <v>1</v>
      </c>
      <c r="L19" s="79">
        <v>0</v>
      </c>
      <c r="M19" s="80">
        <v>4.6529999999999996</v>
      </c>
      <c r="N19" s="78" t="e">
        <f>NA()</f>
        <v>#N/A</v>
      </c>
      <c r="O19" s="79" t="e">
        <f>NA()</f>
        <v>#N/A</v>
      </c>
      <c r="P19" s="80" t="e">
        <f>NA()</f>
        <v>#N/A</v>
      </c>
      <c r="Q19" s="78" t="e">
        <f>NA()</f>
        <v>#N/A</v>
      </c>
      <c r="R19" s="79" t="e">
        <f>NA()</f>
        <v>#N/A</v>
      </c>
      <c r="S19" s="80" t="e">
        <f>NA()</f>
        <v>#N/A</v>
      </c>
      <c r="T19" s="78" t="e">
        <f>NA()</f>
        <v>#N/A</v>
      </c>
      <c r="U19" s="79" t="e">
        <f>NA()</f>
        <v>#N/A</v>
      </c>
      <c r="V19" s="80" t="e">
        <f>NA()</f>
        <v>#N/A</v>
      </c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S19" s="111"/>
      <c r="AT19" s="112"/>
      <c r="AU19" s="113"/>
      <c r="AV19" s="114" t="e">
        <f t="shared" si="9"/>
        <v>#N/A</v>
      </c>
      <c r="AW19" s="114" t="e">
        <f t="shared" si="10"/>
        <v>#DIV/0!</v>
      </c>
      <c r="AX19" s="114" t="e">
        <f t="shared" si="11"/>
        <v>#DIV/0!</v>
      </c>
      <c r="AY19" s="114" t="e">
        <f t="shared" si="12"/>
        <v>#DIV/0!</v>
      </c>
      <c r="AZ19" s="114" t="e">
        <f ca="1">VLOOKUP(BC19,swg_database!$AS$5:$AY$34,7,FALSE)</f>
        <v>#N/A</v>
      </c>
      <c r="BA19" s="114" t="e">
        <v>#N/A</v>
      </c>
      <c r="BB19" s="114">
        <v>0</v>
      </c>
      <c r="BC19" s="114">
        <f ca="1"/>
        <v>0</v>
      </c>
    </row>
    <row r="20" spans="2:55" hidden="1" outlineLevel="1" x14ac:dyDescent="0.25">
      <c r="B20" s="76" t="s">
        <v>326</v>
      </c>
      <c r="C20" s="77" t="s">
        <v>328</v>
      </c>
      <c r="D20" s="77">
        <v>4.5999999999999996</v>
      </c>
      <c r="E20" s="78">
        <v>20</v>
      </c>
      <c r="F20" s="79">
        <v>2837</v>
      </c>
      <c r="G20" s="80">
        <v>4.4359999999999999</v>
      </c>
      <c r="H20" s="78">
        <v>20</v>
      </c>
      <c r="I20" s="79">
        <v>4279</v>
      </c>
      <c r="J20" s="80">
        <v>4.5730000000000004</v>
      </c>
      <c r="K20" s="78">
        <v>20</v>
      </c>
      <c r="L20" s="79">
        <v>3507</v>
      </c>
      <c r="M20" s="80">
        <v>4.4720000000000004</v>
      </c>
      <c r="N20" s="78" t="e">
        <f>NA()</f>
        <v>#N/A</v>
      </c>
      <c r="O20" s="79" t="e">
        <f>NA()</f>
        <v>#N/A</v>
      </c>
      <c r="P20" s="80" t="e">
        <f>NA()</f>
        <v>#N/A</v>
      </c>
      <c r="Q20" s="78" t="e">
        <f>NA()</f>
        <v>#N/A</v>
      </c>
      <c r="R20" s="79" t="e">
        <f>NA()</f>
        <v>#N/A</v>
      </c>
      <c r="S20" s="80" t="e">
        <f>NA()</f>
        <v>#N/A</v>
      </c>
      <c r="T20" s="78" t="e">
        <f>NA()</f>
        <v>#N/A</v>
      </c>
      <c r="U20" s="79" t="e">
        <f>NA()</f>
        <v>#N/A</v>
      </c>
      <c r="V20" s="80" t="e">
        <f>NA()</f>
        <v>#N/A</v>
      </c>
      <c r="X20" s="153" t="s">
        <v>547</v>
      </c>
      <c r="AG20" s="86"/>
      <c r="AH20" s="86"/>
      <c r="AI20" s="86"/>
      <c r="AJ20" s="86"/>
      <c r="AK20" s="86"/>
      <c r="AL20" s="86"/>
      <c r="AM20" s="86"/>
      <c r="AN20" s="86"/>
      <c r="AO20" s="86"/>
      <c r="AP20" s="86"/>
      <c r="AQ20" s="86"/>
      <c r="AS20" s="107"/>
      <c r="AT20" s="108"/>
      <c r="AU20" s="109"/>
      <c r="AV20" s="110" t="e">
        <f t="shared" si="9"/>
        <v>#N/A</v>
      </c>
      <c r="AW20" s="110" t="e">
        <f t="shared" si="10"/>
        <v>#DIV/0!</v>
      </c>
      <c r="AX20" s="110" t="e">
        <f t="shared" si="11"/>
        <v>#DIV/0!</v>
      </c>
      <c r="AY20" s="110" t="e">
        <f t="shared" si="12"/>
        <v>#DIV/0!</v>
      </c>
      <c r="AZ20" s="110" t="e">
        <f ca="1">VLOOKUP(BC20,swg_database!$AS$5:$AY$34,7,FALSE)</f>
        <v>#N/A</v>
      </c>
      <c r="BA20" s="110" t="e">
        <v>#N/A</v>
      </c>
      <c r="BB20" s="110">
        <v>0</v>
      </c>
      <c r="BC20" s="110">
        <f ca="1"/>
        <v>0</v>
      </c>
    </row>
    <row r="21" spans="2:55" hidden="1" outlineLevel="1" x14ac:dyDescent="0.25">
      <c r="B21" s="76" t="s">
        <v>326</v>
      </c>
      <c r="C21" s="77" t="s">
        <v>328</v>
      </c>
      <c r="D21" s="77">
        <v>4.5999999999999996</v>
      </c>
      <c r="E21" s="78">
        <v>30</v>
      </c>
      <c r="F21" s="79">
        <v>2307</v>
      </c>
      <c r="G21" s="80">
        <v>4.3460000000000001</v>
      </c>
      <c r="H21" s="78">
        <v>30</v>
      </c>
      <c r="I21" s="79">
        <v>3230</v>
      </c>
      <c r="J21" s="80">
        <v>4.49</v>
      </c>
      <c r="K21" s="78">
        <v>30</v>
      </c>
      <c r="L21" s="79">
        <v>3100</v>
      </c>
      <c r="M21" s="80">
        <v>4.4160000000000004</v>
      </c>
      <c r="N21" s="78" t="e">
        <f>NA()</f>
        <v>#N/A</v>
      </c>
      <c r="O21" s="79" t="e">
        <f>NA()</f>
        <v>#N/A</v>
      </c>
      <c r="P21" s="80" t="e">
        <f>NA()</f>
        <v>#N/A</v>
      </c>
      <c r="Q21" s="78" t="e">
        <f>NA()</f>
        <v>#N/A</v>
      </c>
      <c r="R21" s="79" t="e">
        <f>NA()</f>
        <v>#N/A</v>
      </c>
      <c r="S21" s="80" t="e">
        <f>NA()</f>
        <v>#N/A</v>
      </c>
      <c r="T21" s="78" t="e">
        <f>NA()</f>
        <v>#N/A</v>
      </c>
      <c r="U21" s="79" t="e">
        <f>NA()</f>
        <v>#N/A</v>
      </c>
      <c r="V21" s="80" t="e">
        <f>NA()</f>
        <v>#N/A</v>
      </c>
      <c r="AS21" s="111"/>
      <c r="AT21" s="112"/>
      <c r="AU21" s="113"/>
      <c r="AV21" s="114" t="e">
        <f t="shared" si="9"/>
        <v>#N/A</v>
      </c>
      <c r="AW21" s="114" t="e">
        <f t="shared" si="10"/>
        <v>#DIV/0!</v>
      </c>
      <c r="AX21" s="114" t="e">
        <f t="shared" si="11"/>
        <v>#DIV/0!</v>
      </c>
      <c r="AY21" s="114" t="e">
        <f t="shared" si="12"/>
        <v>#DIV/0!</v>
      </c>
      <c r="AZ21" s="114" t="e">
        <f ca="1">VLOOKUP(BC21,swg_database!$AS$5:$AY$34,7,FALSE)</f>
        <v>#N/A</v>
      </c>
      <c r="BA21" s="114" t="e">
        <v>#N/A</v>
      </c>
      <c r="BB21" s="114">
        <v>0</v>
      </c>
      <c r="BC21" s="114">
        <f ca="1"/>
        <v>0</v>
      </c>
    </row>
    <row r="22" spans="2:55" hidden="1" outlineLevel="1" x14ac:dyDescent="0.25">
      <c r="B22" s="76" t="s">
        <v>326</v>
      </c>
      <c r="C22" s="77" t="s">
        <v>328</v>
      </c>
      <c r="D22" s="77">
        <v>4.5999999999999996</v>
      </c>
      <c r="E22" s="78">
        <v>40</v>
      </c>
      <c r="F22" s="79">
        <v>2914</v>
      </c>
      <c r="G22" s="80">
        <v>4.2549999999999999</v>
      </c>
      <c r="H22" s="78">
        <v>40</v>
      </c>
      <c r="I22" s="79">
        <v>4225</v>
      </c>
      <c r="J22" s="80">
        <v>4.4039999999999999</v>
      </c>
      <c r="K22" s="78">
        <v>40</v>
      </c>
      <c r="L22" s="79">
        <v>4046</v>
      </c>
      <c r="M22" s="80">
        <v>4.3380000000000001</v>
      </c>
      <c r="N22" s="78" t="e">
        <f>NA()</f>
        <v>#N/A</v>
      </c>
      <c r="O22" s="79" t="e">
        <f>NA()</f>
        <v>#N/A</v>
      </c>
      <c r="P22" s="80" t="e">
        <f>NA()</f>
        <v>#N/A</v>
      </c>
      <c r="Q22" s="78" t="e">
        <f>NA()</f>
        <v>#N/A</v>
      </c>
      <c r="R22" s="79" t="e">
        <f>NA()</f>
        <v>#N/A</v>
      </c>
      <c r="S22" s="80" t="e">
        <f>NA()</f>
        <v>#N/A</v>
      </c>
      <c r="T22" s="78" t="e">
        <f>NA()</f>
        <v>#N/A</v>
      </c>
      <c r="U22" s="79" t="e">
        <f>NA()</f>
        <v>#N/A</v>
      </c>
      <c r="V22" s="80" t="e">
        <f>NA()</f>
        <v>#N/A</v>
      </c>
      <c r="AS22" s="107"/>
      <c r="AT22" s="108"/>
      <c r="AU22" s="109"/>
      <c r="AV22" s="110" t="e">
        <f t="shared" si="9"/>
        <v>#N/A</v>
      </c>
      <c r="AW22" s="110" t="e">
        <f t="shared" si="10"/>
        <v>#DIV/0!</v>
      </c>
      <c r="AX22" s="110" t="e">
        <f t="shared" si="11"/>
        <v>#DIV/0!</v>
      </c>
      <c r="AY22" s="110" t="e">
        <f t="shared" si="12"/>
        <v>#DIV/0!</v>
      </c>
      <c r="AZ22" s="110" t="e">
        <f ca="1">VLOOKUP(BC22,swg_database!$AS$5:$AY$34,7,FALSE)</f>
        <v>#N/A</v>
      </c>
      <c r="BA22" s="110" t="e">
        <v>#N/A</v>
      </c>
      <c r="BB22" s="110">
        <v>0</v>
      </c>
      <c r="BC22" s="110">
        <f ca="1"/>
        <v>0</v>
      </c>
    </row>
    <row r="23" spans="2:55" hidden="1" outlineLevel="1" x14ac:dyDescent="0.25">
      <c r="B23" s="76" t="s">
        <v>326</v>
      </c>
      <c r="C23" s="77" t="s">
        <v>328</v>
      </c>
      <c r="D23" s="77">
        <v>4.5999999999999996</v>
      </c>
      <c r="E23" s="78">
        <v>50</v>
      </c>
      <c r="F23" s="79">
        <v>3836</v>
      </c>
      <c r="G23" s="80">
        <v>4.194</v>
      </c>
      <c r="H23" s="78">
        <v>50</v>
      </c>
      <c r="I23" s="79">
        <v>5378</v>
      </c>
      <c r="J23" s="80">
        <v>4.3579999999999997</v>
      </c>
      <c r="K23" s="78">
        <v>50</v>
      </c>
      <c r="L23" s="79">
        <v>5092</v>
      </c>
      <c r="M23" s="80">
        <v>4.29</v>
      </c>
      <c r="N23" s="78" t="e">
        <f>NA()</f>
        <v>#N/A</v>
      </c>
      <c r="O23" s="79" t="e">
        <f>NA()</f>
        <v>#N/A</v>
      </c>
      <c r="P23" s="80" t="e">
        <f>NA()</f>
        <v>#N/A</v>
      </c>
      <c r="Q23" s="78" t="e">
        <f>NA()</f>
        <v>#N/A</v>
      </c>
      <c r="R23" s="79" t="e">
        <f>NA()</f>
        <v>#N/A</v>
      </c>
      <c r="S23" s="80" t="e">
        <f>NA()</f>
        <v>#N/A</v>
      </c>
      <c r="T23" s="78" t="e">
        <f>NA()</f>
        <v>#N/A</v>
      </c>
      <c r="U23" s="79" t="e">
        <f>NA()</f>
        <v>#N/A</v>
      </c>
      <c r="V23" s="80" t="e">
        <f>NA()</f>
        <v>#N/A</v>
      </c>
      <c r="AS23" s="111"/>
      <c r="AT23" s="112"/>
      <c r="AU23" s="113"/>
      <c r="AV23" s="114" t="e">
        <f t="shared" si="9"/>
        <v>#N/A</v>
      </c>
      <c r="AW23" s="114" t="e">
        <f t="shared" si="10"/>
        <v>#DIV/0!</v>
      </c>
      <c r="AX23" s="114" t="e">
        <f t="shared" si="11"/>
        <v>#DIV/0!</v>
      </c>
      <c r="AY23" s="114" t="e">
        <f t="shared" si="12"/>
        <v>#DIV/0!</v>
      </c>
      <c r="AZ23" s="114" t="e">
        <f ca="1">VLOOKUP(BC23,swg_database!$AS$5:$AY$34,7,FALSE)</f>
        <v>#N/A</v>
      </c>
      <c r="BA23" s="114" t="e">
        <v>#N/A</v>
      </c>
      <c r="BB23" s="114">
        <v>0</v>
      </c>
      <c r="BC23" s="114">
        <f ca="1"/>
        <v>0</v>
      </c>
    </row>
    <row r="24" spans="2:55" hidden="1" outlineLevel="1" x14ac:dyDescent="0.25">
      <c r="B24" s="76" t="s">
        <v>326</v>
      </c>
      <c r="C24" s="77" t="s">
        <v>328</v>
      </c>
      <c r="D24" s="77">
        <v>4.5999999999999996</v>
      </c>
      <c r="E24" s="78">
        <v>60</v>
      </c>
      <c r="F24" s="79">
        <v>4774</v>
      </c>
      <c r="G24" s="80">
        <v>4.1459999999999999</v>
      </c>
      <c r="H24" s="78">
        <v>60</v>
      </c>
      <c r="I24" s="79">
        <v>6440</v>
      </c>
      <c r="J24" s="80">
        <v>4.3230000000000004</v>
      </c>
      <c r="K24" s="78">
        <v>60</v>
      </c>
      <c r="L24" s="79">
        <v>6184</v>
      </c>
      <c r="M24" s="80">
        <v>4.2539999999999996</v>
      </c>
      <c r="N24" s="78" t="e">
        <f>NA()</f>
        <v>#N/A</v>
      </c>
      <c r="O24" s="79" t="e">
        <f>NA()</f>
        <v>#N/A</v>
      </c>
      <c r="P24" s="80" t="e">
        <f>NA()</f>
        <v>#N/A</v>
      </c>
      <c r="Q24" s="78" t="e">
        <f>NA()</f>
        <v>#N/A</v>
      </c>
      <c r="R24" s="79" t="e">
        <f>NA()</f>
        <v>#N/A</v>
      </c>
      <c r="S24" s="80" t="e">
        <f>NA()</f>
        <v>#N/A</v>
      </c>
      <c r="T24" s="78" t="e">
        <f>NA()</f>
        <v>#N/A</v>
      </c>
      <c r="U24" s="79" t="e">
        <f>NA()</f>
        <v>#N/A</v>
      </c>
      <c r="V24" s="80" t="e">
        <f>NA()</f>
        <v>#N/A</v>
      </c>
      <c r="AS24" s="107"/>
      <c r="AT24" s="108"/>
      <c r="AU24" s="109"/>
      <c r="AV24" s="110" t="e">
        <f t="shared" si="9"/>
        <v>#N/A</v>
      </c>
      <c r="AW24" s="110" t="e">
        <f t="shared" si="10"/>
        <v>#DIV/0!</v>
      </c>
      <c r="AX24" s="110" t="e">
        <f t="shared" si="11"/>
        <v>#DIV/0!</v>
      </c>
      <c r="AY24" s="110" t="e">
        <f t="shared" si="12"/>
        <v>#DIV/0!</v>
      </c>
      <c r="AZ24" s="110" t="e">
        <f ca="1">VLOOKUP(BC24,swg_database!$AS$5:$AY$34,7,FALSE)</f>
        <v>#N/A</v>
      </c>
      <c r="BA24" s="110" t="e">
        <v>#N/A</v>
      </c>
      <c r="BB24" s="110">
        <v>0</v>
      </c>
      <c r="BC24" s="110">
        <f ca="1"/>
        <v>0</v>
      </c>
    </row>
    <row r="25" spans="2:55" hidden="1" outlineLevel="1" x14ac:dyDescent="0.25">
      <c r="B25" s="76" t="s">
        <v>326</v>
      </c>
      <c r="C25" s="77" t="s">
        <v>328</v>
      </c>
      <c r="D25" s="77">
        <v>4.5999999999999996</v>
      </c>
      <c r="E25" s="78">
        <v>80</v>
      </c>
      <c r="F25" s="79">
        <v>5543</v>
      </c>
      <c r="G25" s="80">
        <v>4.0549999999999997</v>
      </c>
      <c r="H25" s="78">
        <v>80</v>
      </c>
      <c r="I25" s="79">
        <v>7134</v>
      </c>
      <c r="J25" s="80">
        <v>4.2519999999999998</v>
      </c>
      <c r="K25" s="78">
        <v>80</v>
      </c>
      <c r="L25" s="79">
        <v>7075</v>
      </c>
      <c r="M25" s="80">
        <v>4.1890000000000001</v>
      </c>
      <c r="N25" s="78" t="e">
        <f>NA()</f>
        <v>#N/A</v>
      </c>
      <c r="O25" s="79" t="e">
        <f>NA()</f>
        <v>#N/A</v>
      </c>
      <c r="P25" s="80" t="e">
        <f>NA()</f>
        <v>#N/A</v>
      </c>
      <c r="Q25" s="78" t="e">
        <f>NA()</f>
        <v>#N/A</v>
      </c>
      <c r="R25" s="79" t="e">
        <f>NA()</f>
        <v>#N/A</v>
      </c>
      <c r="S25" s="80" t="e">
        <f>NA()</f>
        <v>#N/A</v>
      </c>
      <c r="T25" s="78" t="e">
        <f>NA()</f>
        <v>#N/A</v>
      </c>
      <c r="U25" s="79" t="e">
        <f>NA()</f>
        <v>#N/A</v>
      </c>
      <c r="V25" s="80" t="e">
        <f>NA()</f>
        <v>#N/A</v>
      </c>
      <c r="AS25" s="111"/>
      <c r="AT25" s="112"/>
      <c r="AU25" s="113"/>
      <c r="AV25" s="114" t="e">
        <f t="shared" si="9"/>
        <v>#N/A</v>
      </c>
      <c r="AW25" s="114" t="e">
        <f t="shared" si="10"/>
        <v>#DIV/0!</v>
      </c>
      <c r="AX25" s="114" t="e">
        <f t="shared" si="11"/>
        <v>#DIV/0!</v>
      </c>
      <c r="AY25" s="114" t="e">
        <f t="shared" si="12"/>
        <v>#DIV/0!</v>
      </c>
      <c r="AZ25" s="114" t="e">
        <f ca="1">VLOOKUP(BC25,swg_database!$AS$5:$AY$34,7,FALSE)</f>
        <v>#N/A</v>
      </c>
      <c r="BA25" s="114" t="e">
        <v>#N/A</v>
      </c>
      <c r="BB25" s="114">
        <v>0</v>
      </c>
      <c r="BC25" s="114">
        <f ca="1"/>
        <v>0</v>
      </c>
    </row>
    <row r="26" spans="2:55" hidden="1" outlineLevel="1" x14ac:dyDescent="0.25">
      <c r="B26" s="76" t="s">
        <v>326</v>
      </c>
      <c r="C26" s="77" t="s">
        <v>328</v>
      </c>
      <c r="D26" s="77">
        <v>4.5999999999999996</v>
      </c>
      <c r="E26" s="78">
        <v>100</v>
      </c>
      <c r="F26" s="79">
        <v>5796</v>
      </c>
      <c r="G26" s="80">
        <v>3.9630000000000001</v>
      </c>
      <c r="H26" s="78">
        <v>100</v>
      </c>
      <c r="I26" s="79">
        <v>7643</v>
      </c>
      <c r="J26" s="80">
        <v>4.1719999999999997</v>
      </c>
      <c r="K26" s="78">
        <v>100</v>
      </c>
      <c r="L26" s="79">
        <v>7746</v>
      </c>
      <c r="M26" s="80">
        <v>4.1289999999999996</v>
      </c>
      <c r="N26" s="78" t="e">
        <f>NA()</f>
        <v>#N/A</v>
      </c>
      <c r="O26" s="79" t="e">
        <f>NA()</f>
        <v>#N/A</v>
      </c>
      <c r="P26" s="80" t="e">
        <f>NA()</f>
        <v>#N/A</v>
      </c>
      <c r="Q26" s="78" t="e">
        <f>NA()</f>
        <v>#N/A</v>
      </c>
      <c r="R26" s="79" t="e">
        <f>NA()</f>
        <v>#N/A</v>
      </c>
      <c r="S26" s="80" t="e">
        <f>NA()</f>
        <v>#N/A</v>
      </c>
      <c r="T26" s="78" t="e">
        <f>NA()</f>
        <v>#N/A</v>
      </c>
      <c r="U26" s="79" t="e">
        <f>NA()</f>
        <v>#N/A</v>
      </c>
      <c r="V26" s="80" t="e">
        <f>NA()</f>
        <v>#N/A</v>
      </c>
      <c r="AS26" s="107"/>
      <c r="AT26" s="108"/>
      <c r="AU26" s="109"/>
      <c r="AV26" s="110" t="e">
        <f t="shared" si="9"/>
        <v>#N/A</v>
      </c>
      <c r="AW26" s="110" t="e">
        <f t="shared" si="10"/>
        <v>#DIV/0!</v>
      </c>
      <c r="AX26" s="110" t="e">
        <f t="shared" si="11"/>
        <v>#DIV/0!</v>
      </c>
      <c r="AY26" s="110" t="e">
        <f t="shared" si="12"/>
        <v>#DIV/0!</v>
      </c>
      <c r="AZ26" s="110" t="e">
        <f ca="1">VLOOKUP(BC26,swg_database!$AS$5:$AY$34,7,FALSE)</f>
        <v>#N/A</v>
      </c>
      <c r="BA26" s="110" t="e">
        <v>#N/A</v>
      </c>
      <c r="BB26" s="110">
        <v>0</v>
      </c>
      <c r="BC26" s="110">
        <f ca="1"/>
        <v>0</v>
      </c>
    </row>
    <row r="27" spans="2:55" hidden="1" outlineLevel="1" x14ac:dyDescent="0.25">
      <c r="B27" s="76" t="s">
        <v>326</v>
      </c>
      <c r="C27" s="77" t="s">
        <v>328</v>
      </c>
      <c r="D27" s="77">
        <v>4.5999999999999996</v>
      </c>
      <c r="E27" s="78">
        <v>120</v>
      </c>
      <c r="F27" s="79">
        <v>5969</v>
      </c>
      <c r="G27" s="80">
        <v>3.8420000000000001</v>
      </c>
      <c r="H27" s="78">
        <v>120</v>
      </c>
      <c r="I27" s="79">
        <v>8156</v>
      </c>
      <c r="J27" s="80">
        <v>4.0529999999999999</v>
      </c>
      <c r="K27" s="78">
        <v>120</v>
      </c>
      <c r="L27" s="79">
        <v>8573</v>
      </c>
      <c r="M27" s="80">
        <v>4.0570000000000004</v>
      </c>
      <c r="N27" s="78" t="e">
        <f>NA()</f>
        <v>#N/A</v>
      </c>
      <c r="O27" s="79" t="e">
        <f>NA()</f>
        <v>#N/A</v>
      </c>
      <c r="P27" s="80" t="e">
        <f>NA()</f>
        <v>#N/A</v>
      </c>
      <c r="Q27" s="78" t="e">
        <f>NA()</f>
        <v>#N/A</v>
      </c>
      <c r="R27" s="79" t="e">
        <f>NA()</f>
        <v>#N/A</v>
      </c>
      <c r="S27" s="80" t="e">
        <f>NA()</f>
        <v>#N/A</v>
      </c>
      <c r="T27" s="78" t="e">
        <f>NA()</f>
        <v>#N/A</v>
      </c>
      <c r="U27" s="79" t="e">
        <f>NA()</f>
        <v>#N/A</v>
      </c>
      <c r="V27" s="80" t="e">
        <f>NA()</f>
        <v>#N/A</v>
      </c>
      <c r="AS27" s="111"/>
      <c r="AT27" s="112"/>
      <c r="AU27" s="113"/>
      <c r="AV27" s="114" t="e">
        <f t="shared" si="9"/>
        <v>#N/A</v>
      </c>
      <c r="AW27" s="114" t="e">
        <f t="shared" si="10"/>
        <v>#DIV/0!</v>
      </c>
      <c r="AX27" s="114" t="e">
        <f t="shared" si="11"/>
        <v>#DIV/0!</v>
      </c>
      <c r="AY27" s="114" t="e">
        <f t="shared" si="12"/>
        <v>#DIV/0!</v>
      </c>
      <c r="AZ27" s="114" t="e">
        <f ca="1">VLOOKUP(BC27,swg_database!$AS$5:$AY$34,7,FALSE)</f>
        <v>#N/A</v>
      </c>
      <c r="BA27" s="114" t="e">
        <v>#N/A</v>
      </c>
      <c r="BB27" s="114">
        <v>0</v>
      </c>
      <c r="BC27" s="114">
        <f ca="1"/>
        <v>0</v>
      </c>
    </row>
    <row r="28" spans="2:55" hidden="1" outlineLevel="1" x14ac:dyDescent="0.25">
      <c r="B28" s="76" t="s">
        <v>326</v>
      </c>
      <c r="C28" s="77" t="s">
        <v>328</v>
      </c>
      <c r="D28" s="77">
        <v>4.5999999999999996</v>
      </c>
      <c r="E28" s="78">
        <v>140</v>
      </c>
      <c r="F28" s="79">
        <v>6211</v>
      </c>
      <c r="G28" s="80">
        <v>3.6539999999999999</v>
      </c>
      <c r="H28" s="78">
        <v>140</v>
      </c>
      <c r="I28" s="79">
        <v>8956</v>
      </c>
      <c r="J28" s="80">
        <v>3.9060000000000001</v>
      </c>
      <c r="K28" s="78">
        <v>140</v>
      </c>
      <c r="L28" s="79">
        <v>9185</v>
      </c>
      <c r="M28" s="80">
        <v>3.956</v>
      </c>
      <c r="N28" s="78" t="e">
        <f>NA()</f>
        <v>#N/A</v>
      </c>
      <c r="O28" s="79" t="e">
        <f>NA()</f>
        <v>#N/A</v>
      </c>
      <c r="P28" s="80" t="e">
        <f>NA()</f>
        <v>#N/A</v>
      </c>
      <c r="Q28" s="78" t="e">
        <f>NA()</f>
        <v>#N/A</v>
      </c>
      <c r="R28" s="79" t="e">
        <f>NA()</f>
        <v>#N/A</v>
      </c>
      <c r="S28" s="80" t="e">
        <f>NA()</f>
        <v>#N/A</v>
      </c>
      <c r="T28" s="78" t="e">
        <f>NA()</f>
        <v>#N/A</v>
      </c>
      <c r="U28" s="79" t="e">
        <f>NA()</f>
        <v>#N/A</v>
      </c>
      <c r="V28" s="80" t="e">
        <f>NA()</f>
        <v>#N/A</v>
      </c>
      <c r="AS28" s="107"/>
      <c r="AT28" s="108"/>
      <c r="AU28" s="109"/>
      <c r="AV28" s="110" t="e">
        <f t="shared" si="9"/>
        <v>#N/A</v>
      </c>
      <c r="AW28" s="110" t="e">
        <f t="shared" si="10"/>
        <v>#DIV/0!</v>
      </c>
      <c r="AX28" s="110" t="e">
        <f t="shared" si="11"/>
        <v>#DIV/0!</v>
      </c>
      <c r="AY28" s="110" t="e">
        <f t="shared" si="12"/>
        <v>#DIV/0!</v>
      </c>
      <c r="AZ28" s="110" t="e">
        <f ca="1">VLOOKUP(BC28,swg_database!$AS$5:$AY$34,7,FALSE)</f>
        <v>#N/A</v>
      </c>
      <c r="BA28" s="110" t="e">
        <v>#N/A</v>
      </c>
      <c r="BB28" s="110">
        <v>0</v>
      </c>
      <c r="BC28" s="110">
        <f ca="1"/>
        <v>0</v>
      </c>
    </row>
    <row r="29" spans="2:55" hidden="1" outlineLevel="1" x14ac:dyDescent="0.25">
      <c r="B29" s="76" t="s">
        <v>326</v>
      </c>
      <c r="C29" s="77" t="s">
        <v>328</v>
      </c>
      <c r="D29" s="77">
        <v>4.5999999999999996</v>
      </c>
      <c r="E29" s="78">
        <v>160</v>
      </c>
      <c r="F29" s="79">
        <v>6470</v>
      </c>
      <c r="G29" s="80">
        <v>3.4060000000000001</v>
      </c>
      <c r="H29" s="78">
        <v>160</v>
      </c>
      <c r="I29" s="79">
        <v>9483</v>
      </c>
      <c r="J29" s="80">
        <v>3.7639999999999998</v>
      </c>
      <c r="K29" s="78">
        <v>160</v>
      </c>
      <c r="L29" s="79">
        <v>10315</v>
      </c>
      <c r="M29" s="80">
        <v>3.8260000000000001</v>
      </c>
      <c r="N29" s="78" t="e">
        <f>NA()</f>
        <v>#N/A</v>
      </c>
      <c r="O29" s="79" t="e">
        <f>NA()</f>
        <v>#N/A</v>
      </c>
      <c r="P29" s="80" t="e">
        <f>NA()</f>
        <v>#N/A</v>
      </c>
      <c r="Q29" s="78" t="e">
        <f>NA()</f>
        <v>#N/A</v>
      </c>
      <c r="R29" s="79" t="e">
        <f>NA()</f>
        <v>#N/A</v>
      </c>
      <c r="S29" s="80" t="e">
        <f>NA()</f>
        <v>#N/A</v>
      </c>
      <c r="T29" s="78" t="e">
        <f>NA()</f>
        <v>#N/A</v>
      </c>
      <c r="U29" s="79" t="e">
        <f>NA()</f>
        <v>#N/A</v>
      </c>
      <c r="V29" s="80" t="e">
        <f>NA()</f>
        <v>#N/A</v>
      </c>
      <c r="AS29" s="111"/>
      <c r="AT29" s="112"/>
      <c r="AU29" s="113"/>
      <c r="AV29" s="114" t="e">
        <f t="shared" si="9"/>
        <v>#N/A</v>
      </c>
      <c r="AW29" s="114" t="e">
        <f t="shared" si="10"/>
        <v>#DIV/0!</v>
      </c>
      <c r="AX29" s="114" t="e">
        <f t="shared" si="11"/>
        <v>#DIV/0!</v>
      </c>
      <c r="AY29" s="114" t="e">
        <f t="shared" si="12"/>
        <v>#DIV/0!</v>
      </c>
      <c r="AZ29" s="114" t="e">
        <f ca="1">VLOOKUP(BC29,swg_database!$AS$5:$AY$34,7,FALSE)</f>
        <v>#N/A</v>
      </c>
      <c r="BA29" s="114" t="e">
        <v>#N/A</v>
      </c>
      <c r="BB29" s="114">
        <v>0</v>
      </c>
      <c r="BC29" s="114">
        <f ca="1"/>
        <v>0</v>
      </c>
    </row>
    <row r="30" spans="2:55" hidden="1" outlineLevel="1" x14ac:dyDescent="0.25">
      <c r="B30" s="76" t="s">
        <v>326</v>
      </c>
      <c r="C30" s="77" t="s">
        <v>328</v>
      </c>
      <c r="D30" s="77">
        <v>4.5999999999999996</v>
      </c>
      <c r="E30" s="78">
        <v>180</v>
      </c>
      <c r="F30" s="79">
        <v>7336</v>
      </c>
      <c r="G30" s="80">
        <v>3.25</v>
      </c>
      <c r="H30" s="78">
        <v>180</v>
      </c>
      <c r="I30" s="79">
        <v>10670</v>
      </c>
      <c r="J30" s="80">
        <v>3.633</v>
      </c>
      <c r="K30" s="78">
        <v>180</v>
      </c>
      <c r="L30" s="79">
        <v>10801</v>
      </c>
      <c r="M30" s="80">
        <v>3.6739999999999999</v>
      </c>
      <c r="N30" s="78" t="e">
        <f>NA()</f>
        <v>#N/A</v>
      </c>
      <c r="O30" s="79" t="e">
        <f>NA()</f>
        <v>#N/A</v>
      </c>
      <c r="P30" s="80" t="e">
        <f>NA()</f>
        <v>#N/A</v>
      </c>
      <c r="Q30" s="78" t="e">
        <f>NA()</f>
        <v>#N/A</v>
      </c>
      <c r="R30" s="79" t="e">
        <f>NA()</f>
        <v>#N/A</v>
      </c>
      <c r="S30" s="80" t="e">
        <f>NA()</f>
        <v>#N/A</v>
      </c>
      <c r="T30" s="78" t="e">
        <f>NA()</f>
        <v>#N/A</v>
      </c>
      <c r="U30" s="79" t="e">
        <f>NA()</f>
        <v>#N/A</v>
      </c>
      <c r="V30" s="80" t="e">
        <f>NA()</f>
        <v>#N/A</v>
      </c>
      <c r="AS30" s="107"/>
      <c r="AT30" s="108"/>
      <c r="AU30" s="109"/>
      <c r="AV30" s="110" t="e">
        <f t="shared" si="9"/>
        <v>#N/A</v>
      </c>
      <c r="AW30" s="110" t="e">
        <f t="shared" si="10"/>
        <v>#DIV/0!</v>
      </c>
      <c r="AX30" s="110" t="e">
        <f t="shared" si="11"/>
        <v>#DIV/0!</v>
      </c>
      <c r="AY30" s="110" t="e">
        <f t="shared" si="12"/>
        <v>#DIV/0!</v>
      </c>
      <c r="AZ30" s="110" t="e">
        <f ca="1">VLOOKUP(BC30,swg_database!$AS$5:$AY$34,7,FALSE)</f>
        <v>#N/A</v>
      </c>
      <c r="BA30" s="110" t="e">
        <v>#N/A</v>
      </c>
      <c r="BB30" s="110">
        <v>0</v>
      </c>
      <c r="BC30" s="110">
        <f ca="1"/>
        <v>0</v>
      </c>
    </row>
    <row r="31" spans="2:55" hidden="1" outlineLevel="1" x14ac:dyDescent="0.25">
      <c r="B31" s="76" t="s">
        <v>326</v>
      </c>
      <c r="C31" s="77" t="s">
        <v>328</v>
      </c>
      <c r="D31" s="77">
        <v>4.5999999999999996</v>
      </c>
      <c r="E31" s="78">
        <v>200</v>
      </c>
      <c r="F31" s="79">
        <v>8483</v>
      </c>
      <c r="G31" s="80">
        <v>3.1619999999999999</v>
      </c>
      <c r="H31" s="78">
        <v>200</v>
      </c>
      <c r="I31" s="79">
        <v>11767</v>
      </c>
      <c r="J31" s="80">
        <v>3.54</v>
      </c>
      <c r="K31" s="78">
        <v>200</v>
      </c>
      <c r="L31" s="79">
        <v>10923</v>
      </c>
      <c r="M31" s="80">
        <v>3.5219999999999998</v>
      </c>
      <c r="N31" s="78" t="e">
        <f>NA()</f>
        <v>#N/A</v>
      </c>
      <c r="O31" s="79" t="e">
        <f>NA()</f>
        <v>#N/A</v>
      </c>
      <c r="P31" s="80" t="e">
        <f>NA()</f>
        <v>#N/A</v>
      </c>
      <c r="Q31" s="78" t="e">
        <f>NA()</f>
        <v>#N/A</v>
      </c>
      <c r="R31" s="79" t="e">
        <f>NA()</f>
        <v>#N/A</v>
      </c>
      <c r="S31" s="80" t="e">
        <f>NA()</f>
        <v>#N/A</v>
      </c>
      <c r="T31" s="78" t="e">
        <f>NA()</f>
        <v>#N/A</v>
      </c>
      <c r="U31" s="79" t="e">
        <f>NA()</f>
        <v>#N/A</v>
      </c>
      <c r="V31" s="80" t="e">
        <f>NA()</f>
        <v>#N/A</v>
      </c>
      <c r="AS31" s="111"/>
      <c r="AT31" s="112"/>
      <c r="AU31" s="113"/>
      <c r="AV31" s="114" t="e">
        <f t="shared" si="9"/>
        <v>#N/A</v>
      </c>
      <c r="AW31" s="114" t="e">
        <f t="shared" si="10"/>
        <v>#DIV/0!</v>
      </c>
      <c r="AX31" s="114" t="e">
        <f t="shared" si="11"/>
        <v>#DIV/0!</v>
      </c>
      <c r="AY31" s="114" t="e">
        <f t="shared" si="12"/>
        <v>#DIV/0!</v>
      </c>
      <c r="AZ31" s="114" t="e">
        <f ca="1">VLOOKUP(BC31,swg_database!$AS$5:$AY$34,7,FALSE)</f>
        <v>#N/A</v>
      </c>
      <c r="BA31" s="114" t="e">
        <v>#N/A</v>
      </c>
      <c r="BB31" s="114">
        <v>0</v>
      </c>
      <c r="BC31" s="114">
        <f ca="1"/>
        <v>0</v>
      </c>
    </row>
    <row r="32" spans="2:55" hidden="1" outlineLevel="1" x14ac:dyDescent="0.25">
      <c r="B32" s="76" t="s">
        <v>326</v>
      </c>
      <c r="C32" s="77" t="s">
        <v>328</v>
      </c>
      <c r="D32" s="77">
        <v>4.5999999999999996</v>
      </c>
      <c r="E32" s="78">
        <v>220</v>
      </c>
      <c r="F32" s="79">
        <v>9869</v>
      </c>
      <c r="G32" s="80">
        <v>3.1240000000000001</v>
      </c>
      <c r="H32" s="78">
        <v>220</v>
      </c>
      <c r="I32" s="79">
        <v>12506</v>
      </c>
      <c r="J32" s="80">
        <v>3.4660000000000002</v>
      </c>
      <c r="K32" s="78">
        <v>220</v>
      </c>
      <c r="L32" s="79">
        <v>11581</v>
      </c>
      <c r="M32" s="80">
        <v>3.4119999999999999</v>
      </c>
      <c r="N32" s="78" t="e">
        <f>NA()</f>
        <v>#N/A</v>
      </c>
      <c r="O32" s="79" t="e">
        <f>NA()</f>
        <v>#N/A</v>
      </c>
      <c r="P32" s="80" t="e">
        <f>NA()</f>
        <v>#N/A</v>
      </c>
      <c r="Q32" s="78" t="e">
        <f>NA()</f>
        <v>#N/A</v>
      </c>
      <c r="R32" s="79" t="e">
        <f>NA()</f>
        <v>#N/A</v>
      </c>
      <c r="S32" s="80" t="e">
        <f>NA()</f>
        <v>#N/A</v>
      </c>
      <c r="T32" s="78" t="e">
        <f>NA()</f>
        <v>#N/A</v>
      </c>
      <c r="U32" s="79" t="e">
        <f>NA()</f>
        <v>#N/A</v>
      </c>
      <c r="V32" s="80" t="e">
        <f>NA()</f>
        <v>#N/A</v>
      </c>
      <c r="AS32" s="107"/>
      <c r="AT32" s="108"/>
      <c r="AU32" s="109"/>
      <c r="AV32" s="110" t="e">
        <f t="shared" si="9"/>
        <v>#N/A</v>
      </c>
      <c r="AW32" s="110" t="e">
        <f t="shared" si="10"/>
        <v>#DIV/0!</v>
      </c>
      <c r="AX32" s="110" t="e">
        <f t="shared" si="11"/>
        <v>#DIV/0!</v>
      </c>
      <c r="AY32" s="110" t="e">
        <f t="shared" si="12"/>
        <v>#DIV/0!</v>
      </c>
      <c r="AZ32" s="110" t="e">
        <f ca="1">VLOOKUP(BC32,swg_database!$AS$5:$AY$34,7,FALSE)</f>
        <v>#N/A</v>
      </c>
      <c r="BA32" s="110" t="e">
        <v>#N/A</v>
      </c>
      <c r="BB32" s="110">
        <v>0</v>
      </c>
      <c r="BC32" s="110">
        <f ca="1"/>
        <v>0</v>
      </c>
    </row>
    <row r="33" spans="2:55" hidden="1" outlineLevel="1" x14ac:dyDescent="0.25">
      <c r="B33" s="76" t="s">
        <v>326</v>
      </c>
      <c r="C33" s="77" t="s">
        <v>328</v>
      </c>
      <c r="D33" s="77">
        <v>4.5999999999999996</v>
      </c>
      <c r="E33" s="78">
        <v>240</v>
      </c>
      <c r="F33" s="79">
        <v>11567</v>
      </c>
      <c r="G33" s="80">
        <v>3.11</v>
      </c>
      <c r="H33" s="78">
        <v>240</v>
      </c>
      <c r="I33" s="79">
        <v>14622</v>
      </c>
      <c r="J33" s="80">
        <v>3.3940000000000001</v>
      </c>
      <c r="K33" s="78">
        <v>240</v>
      </c>
      <c r="L33" s="79">
        <v>13134</v>
      </c>
      <c r="M33" s="80">
        <v>3.3170000000000002</v>
      </c>
      <c r="N33" s="78" t="e">
        <f>NA()</f>
        <v>#N/A</v>
      </c>
      <c r="O33" s="79" t="e">
        <f>NA()</f>
        <v>#N/A</v>
      </c>
      <c r="P33" s="80" t="e">
        <f>NA()</f>
        <v>#N/A</v>
      </c>
      <c r="Q33" s="78" t="e">
        <f>NA()</f>
        <v>#N/A</v>
      </c>
      <c r="R33" s="79" t="e">
        <f>NA()</f>
        <v>#N/A</v>
      </c>
      <c r="S33" s="80" t="e">
        <f>NA()</f>
        <v>#N/A</v>
      </c>
      <c r="T33" s="78" t="e">
        <f>NA()</f>
        <v>#N/A</v>
      </c>
      <c r="U33" s="79" t="e">
        <f>NA()</f>
        <v>#N/A</v>
      </c>
      <c r="V33" s="80" t="e">
        <f>NA()</f>
        <v>#N/A</v>
      </c>
      <c r="AS33" s="111"/>
      <c r="AT33" s="112"/>
      <c r="AU33" s="113"/>
      <c r="AV33" s="114" t="e">
        <f t="shared" si="9"/>
        <v>#N/A</v>
      </c>
      <c r="AW33" s="114" t="e">
        <f t="shared" si="10"/>
        <v>#DIV/0!</v>
      </c>
      <c r="AX33" s="114" t="e">
        <f t="shared" si="11"/>
        <v>#DIV/0!</v>
      </c>
      <c r="AY33" s="114" t="e">
        <f t="shared" si="12"/>
        <v>#DIV/0!</v>
      </c>
      <c r="AZ33" s="114" t="e">
        <f ca="1">VLOOKUP(BC33,swg_database!$AS$5:$AY$34,7,FALSE)</f>
        <v>#N/A</v>
      </c>
      <c r="BA33" s="114" t="e">
        <v>#N/A</v>
      </c>
      <c r="BB33" s="114">
        <v>0</v>
      </c>
      <c r="BC33" s="114">
        <f ca="1"/>
        <v>0</v>
      </c>
    </row>
    <row r="34" spans="2:55" hidden="1" outlineLevel="1" x14ac:dyDescent="0.25">
      <c r="B34" s="76" t="s">
        <v>326</v>
      </c>
      <c r="C34" s="77" t="s">
        <v>328</v>
      </c>
      <c r="D34" s="77">
        <v>4.5999999999999996</v>
      </c>
      <c r="E34" s="78">
        <v>260</v>
      </c>
      <c r="F34" s="79">
        <v>13254</v>
      </c>
      <c r="G34" s="80">
        <v>3.1019999999999999</v>
      </c>
      <c r="H34" s="78">
        <v>260</v>
      </c>
      <c r="I34" s="79">
        <v>15735</v>
      </c>
      <c r="J34" s="80">
        <v>3.3380000000000001</v>
      </c>
      <c r="K34" s="78">
        <v>260</v>
      </c>
      <c r="L34" s="79">
        <v>13905</v>
      </c>
      <c r="M34" s="80">
        <v>3.254</v>
      </c>
      <c r="N34" s="78" t="e">
        <f>NA()</f>
        <v>#N/A</v>
      </c>
      <c r="O34" s="79" t="e">
        <f>NA()</f>
        <v>#N/A</v>
      </c>
      <c r="P34" s="80" t="e">
        <f>NA()</f>
        <v>#N/A</v>
      </c>
      <c r="Q34" s="78" t="e">
        <f>NA()</f>
        <v>#N/A</v>
      </c>
      <c r="R34" s="79" t="e">
        <f>NA()</f>
        <v>#N/A</v>
      </c>
      <c r="S34" s="80" t="e">
        <f>NA()</f>
        <v>#N/A</v>
      </c>
      <c r="T34" s="78" t="e">
        <f>NA()</f>
        <v>#N/A</v>
      </c>
      <c r="U34" s="79" t="e">
        <f>NA()</f>
        <v>#N/A</v>
      </c>
      <c r="V34" s="80" t="e">
        <f>NA()</f>
        <v>#N/A</v>
      </c>
      <c r="AS34" s="107"/>
      <c r="AT34" s="108"/>
      <c r="AU34" s="109"/>
      <c r="AV34" s="110" t="e">
        <f t="shared" si="9"/>
        <v>#N/A</v>
      </c>
      <c r="AW34" s="110" t="e">
        <f t="shared" si="10"/>
        <v>#DIV/0!</v>
      </c>
      <c r="AX34" s="110" t="e">
        <f t="shared" si="11"/>
        <v>#DIV/0!</v>
      </c>
      <c r="AY34" s="110" t="e">
        <f t="shared" si="12"/>
        <v>#DIV/0!</v>
      </c>
      <c r="AZ34" s="110" t="e">
        <f ca="1">VLOOKUP(BC34,swg_database!$AS$5:$AY$34,7,FALSE)</f>
        <v>#N/A</v>
      </c>
      <c r="BA34" s="110" t="e">
        <v>#N/A</v>
      </c>
      <c r="BB34" s="110">
        <v>0</v>
      </c>
      <c r="BC34" s="110">
        <f ca="1"/>
        <v>0</v>
      </c>
    </row>
    <row r="35" spans="2:55" hidden="1" outlineLevel="1" x14ac:dyDescent="0.25">
      <c r="B35" s="76" t="s">
        <v>326</v>
      </c>
      <c r="C35" s="77" t="s">
        <v>328</v>
      </c>
      <c r="D35" s="77">
        <v>4.5999999999999996</v>
      </c>
      <c r="E35" s="78">
        <v>280</v>
      </c>
      <c r="F35" s="79">
        <v>14996</v>
      </c>
      <c r="G35" s="80">
        <v>3.0960000000000001</v>
      </c>
      <c r="H35" s="78">
        <v>280</v>
      </c>
      <c r="I35" s="79">
        <v>15865</v>
      </c>
      <c r="J35" s="80">
        <v>3.298</v>
      </c>
      <c r="K35" s="78">
        <v>280</v>
      </c>
      <c r="L35" s="79">
        <v>15060</v>
      </c>
      <c r="M35" s="80">
        <v>3.202</v>
      </c>
      <c r="N35" s="78" t="e">
        <f>NA()</f>
        <v>#N/A</v>
      </c>
      <c r="O35" s="79" t="e">
        <f>NA()</f>
        <v>#N/A</v>
      </c>
      <c r="P35" s="80" t="e">
        <f>NA()</f>
        <v>#N/A</v>
      </c>
      <c r="Q35" s="78" t="e">
        <f>NA()</f>
        <v>#N/A</v>
      </c>
      <c r="R35" s="79" t="e">
        <f>NA()</f>
        <v>#N/A</v>
      </c>
      <c r="S35" s="80" t="e">
        <f>NA()</f>
        <v>#N/A</v>
      </c>
      <c r="T35" s="78" t="e">
        <f>NA()</f>
        <v>#N/A</v>
      </c>
      <c r="U35" s="79" t="e">
        <f>NA()</f>
        <v>#N/A</v>
      </c>
      <c r="V35" s="80" t="e">
        <f>NA()</f>
        <v>#N/A</v>
      </c>
    </row>
    <row r="36" spans="2:55" hidden="1" outlineLevel="1" x14ac:dyDescent="0.25">
      <c r="B36" s="76" t="s">
        <v>326</v>
      </c>
      <c r="C36" s="77" t="s">
        <v>328</v>
      </c>
      <c r="D36" s="77">
        <v>4.5999999999999996</v>
      </c>
      <c r="E36" s="78">
        <v>300</v>
      </c>
      <c r="F36" s="79">
        <v>16722</v>
      </c>
      <c r="G36" s="80">
        <v>3.09</v>
      </c>
      <c r="H36" s="78">
        <v>300</v>
      </c>
      <c r="I36" s="79">
        <v>17456</v>
      </c>
      <c r="J36" s="80">
        <v>3.2759999999999998</v>
      </c>
      <c r="K36" s="78">
        <v>300</v>
      </c>
      <c r="L36" s="79">
        <v>16634</v>
      </c>
      <c r="M36" s="80">
        <v>3.1749999999999998</v>
      </c>
      <c r="N36" s="78" t="e">
        <f>NA()</f>
        <v>#N/A</v>
      </c>
      <c r="O36" s="79" t="e">
        <f>NA()</f>
        <v>#N/A</v>
      </c>
      <c r="P36" s="80" t="e">
        <f>NA()</f>
        <v>#N/A</v>
      </c>
      <c r="Q36" s="78" t="e">
        <f>NA()</f>
        <v>#N/A</v>
      </c>
      <c r="R36" s="79" t="e">
        <f>NA()</f>
        <v>#N/A</v>
      </c>
      <c r="S36" s="80" t="e">
        <f>NA()</f>
        <v>#N/A</v>
      </c>
      <c r="T36" s="78" t="e">
        <f>NA()</f>
        <v>#N/A</v>
      </c>
      <c r="U36" s="79" t="e">
        <f>NA()</f>
        <v>#N/A</v>
      </c>
      <c r="V36" s="80" t="e">
        <f>NA()</f>
        <v>#N/A</v>
      </c>
    </row>
    <row r="37" spans="2:55" hidden="1" outlineLevel="1" x14ac:dyDescent="0.25">
      <c r="B37" s="76" t="s">
        <v>326</v>
      </c>
      <c r="C37" s="77" t="s">
        <v>328</v>
      </c>
      <c r="D37" s="77">
        <v>4.5999999999999996</v>
      </c>
      <c r="E37" s="78">
        <v>320</v>
      </c>
      <c r="F37" s="79">
        <v>18221</v>
      </c>
      <c r="G37" s="80">
        <v>3.0830000000000002</v>
      </c>
      <c r="H37" s="78">
        <v>320</v>
      </c>
      <c r="I37" s="79">
        <v>18498</v>
      </c>
      <c r="J37" s="80">
        <v>3.2610000000000001</v>
      </c>
      <c r="K37" s="78" t="e">
        <f>NA()</f>
        <v>#N/A</v>
      </c>
      <c r="L37" s="79" t="e">
        <f>NA()</f>
        <v>#N/A</v>
      </c>
      <c r="M37" s="80" t="e">
        <f>NA()</f>
        <v>#N/A</v>
      </c>
      <c r="N37" s="78" t="e">
        <f>NA()</f>
        <v>#N/A</v>
      </c>
      <c r="O37" s="79" t="e">
        <f>NA()</f>
        <v>#N/A</v>
      </c>
      <c r="P37" s="80" t="e">
        <f>NA()</f>
        <v>#N/A</v>
      </c>
      <c r="Q37" s="78" t="e">
        <f>NA()</f>
        <v>#N/A</v>
      </c>
      <c r="R37" s="79" t="e">
        <f>NA()</f>
        <v>#N/A</v>
      </c>
      <c r="S37" s="80" t="e">
        <f>NA()</f>
        <v>#N/A</v>
      </c>
      <c r="T37" s="78" t="e">
        <f>NA()</f>
        <v>#N/A</v>
      </c>
      <c r="U37" s="79" t="e">
        <f>NA()</f>
        <v>#N/A</v>
      </c>
      <c r="V37" s="80" t="e">
        <f>NA()</f>
        <v>#N/A</v>
      </c>
    </row>
    <row r="38" spans="2:55" hidden="1" outlineLevel="1" x14ac:dyDescent="0.25">
      <c r="B38" s="76" t="s">
        <v>326</v>
      </c>
      <c r="C38" s="77" t="s">
        <v>328</v>
      </c>
      <c r="D38" s="77">
        <v>4.5999999999999996</v>
      </c>
      <c r="E38" s="78">
        <v>340</v>
      </c>
      <c r="F38" s="79">
        <v>19246</v>
      </c>
      <c r="G38" s="80">
        <v>3.0760000000000001</v>
      </c>
      <c r="H38" s="78">
        <v>340</v>
      </c>
      <c r="I38" s="79">
        <v>19560</v>
      </c>
      <c r="J38" s="80">
        <v>3.25</v>
      </c>
      <c r="K38" s="78" t="e">
        <f>NA()</f>
        <v>#N/A</v>
      </c>
      <c r="L38" s="79" t="e">
        <f>NA()</f>
        <v>#N/A</v>
      </c>
      <c r="M38" s="80" t="e">
        <f>NA()</f>
        <v>#N/A</v>
      </c>
      <c r="N38" s="78" t="e">
        <f>NA()</f>
        <v>#N/A</v>
      </c>
      <c r="O38" s="79" t="e">
        <f>NA()</f>
        <v>#N/A</v>
      </c>
      <c r="P38" s="80" t="e">
        <f>NA()</f>
        <v>#N/A</v>
      </c>
      <c r="Q38" s="78" t="e">
        <f>NA()</f>
        <v>#N/A</v>
      </c>
      <c r="R38" s="79" t="e">
        <f>NA()</f>
        <v>#N/A</v>
      </c>
      <c r="S38" s="80" t="e">
        <f>NA()</f>
        <v>#N/A</v>
      </c>
      <c r="T38" s="78" t="e">
        <f>NA()</f>
        <v>#N/A</v>
      </c>
      <c r="U38" s="79" t="e">
        <f>NA()</f>
        <v>#N/A</v>
      </c>
      <c r="V38" s="80" t="e">
        <f>NA()</f>
        <v>#N/A</v>
      </c>
      <c r="AS38" s="217" t="s">
        <v>518</v>
      </c>
      <c r="AT38" s="217"/>
      <c r="AU38" s="217"/>
      <c r="AV38" s="217"/>
      <c r="AW38" s="217"/>
      <c r="AX38" s="217"/>
      <c r="AY38" s="217"/>
      <c r="AZ38" s="217" t="s">
        <v>526</v>
      </c>
      <c r="BA38" s="217"/>
      <c r="BB38" s="217"/>
      <c r="BC38" s="217"/>
    </row>
    <row r="39" spans="2:55" ht="18" hidden="1" outlineLevel="1" x14ac:dyDescent="0.25">
      <c r="B39" s="76" t="s">
        <v>326</v>
      </c>
      <c r="C39" s="77" t="s">
        <v>328</v>
      </c>
      <c r="D39" s="77">
        <v>4.5999999999999996</v>
      </c>
      <c r="E39" s="78">
        <v>360</v>
      </c>
      <c r="F39" s="79">
        <v>20190</v>
      </c>
      <c r="G39" s="80">
        <v>3.069</v>
      </c>
      <c r="H39" s="78">
        <v>360</v>
      </c>
      <c r="I39" s="79">
        <v>22626</v>
      </c>
      <c r="J39" s="80">
        <v>3.2440000000000002</v>
      </c>
      <c r="K39" s="78" t="e">
        <f>NA()</f>
        <v>#N/A</v>
      </c>
      <c r="L39" s="79" t="e">
        <f>NA()</f>
        <v>#N/A</v>
      </c>
      <c r="M39" s="80" t="e">
        <f>NA()</f>
        <v>#N/A</v>
      </c>
      <c r="N39" s="78" t="e">
        <f>NA()</f>
        <v>#N/A</v>
      </c>
      <c r="O39" s="79" t="e">
        <f>NA()</f>
        <v>#N/A</v>
      </c>
      <c r="P39" s="80" t="e">
        <f>NA()</f>
        <v>#N/A</v>
      </c>
      <c r="Q39" s="78" t="e">
        <f>NA()</f>
        <v>#N/A</v>
      </c>
      <c r="R39" s="79" t="e">
        <f>NA()</f>
        <v>#N/A</v>
      </c>
      <c r="S39" s="80" t="e">
        <f>NA()</f>
        <v>#N/A</v>
      </c>
      <c r="T39" s="78" t="e">
        <f>NA()</f>
        <v>#N/A</v>
      </c>
      <c r="U39" s="79" t="e">
        <f>NA()</f>
        <v>#N/A</v>
      </c>
      <c r="V39" s="80" t="e">
        <f>NA()</f>
        <v>#N/A</v>
      </c>
      <c r="AS39" s="101" t="s">
        <v>322</v>
      </c>
      <c r="AT39" s="101" t="s">
        <v>323</v>
      </c>
      <c r="AU39" s="101" t="s">
        <v>324</v>
      </c>
      <c r="AV39" s="101" t="s">
        <v>350</v>
      </c>
      <c r="AW39" s="101" t="s">
        <v>512</v>
      </c>
      <c r="AX39" s="101" t="s">
        <v>514</v>
      </c>
      <c r="AY39" s="101" t="s">
        <v>511</v>
      </c>
      <c r="AZ39" s="218" t="s">
        <v>507</v>
      </c>
      <c r="BA39" s="219"/>
      <c r="BB39" s="220" t="s">
        <v>513</v>
      </c>
      <c r="BC39" s="221"/>
    </row>
    <row r="40" spans="2:55" hidden="1" outlineLevel="1" x14ac:dyDescent="0.25">
      <c r="B40" s="76" t="s">
        <v>326</v>
      </c>
      <c r="C40" s="77" t="s">
        <v>328</v>
      </c>
      <c r="D40" s="77">
        <v>4.5999999999999996</v>
      </c>
      <c r="E40" s="78">
        <v>380</v>
      </c>
      <c r="F40" s="79">
        <v>20778</v>
      </c>
      <c r="G40" s="80">
        <v>3.0619999999999998</v>
      </c>
      <c r="H40" s="78">
        <v>380</v>
      </c>
      <c r="I40" s="79">
        <v>22765</v>
      </c>
      <c r="J40" s="80">
        <v>3.2349999999999999</v>
      </c>
      <c r="K40" s="78" t="e">
        <f>NA()</f>
        <v>#N/A</v>
      </c>
      <c r="L40" s="79" t="e">
        <f>NA()</f>
        <v>#N/A</v>
      </c>
      <c r="M40" s="80" t="e">
        <f>NA()</f>
        <v>#N/A</v>
      </c>
      <c r="N40" s="78" t="e">
        <f>NA()</f>
        <v>#N/A</v>
      </c>
      <c r="O40" s="79" t="e">
        <f>NA()</f>
        <v>#N/A</v>
      </c>
      <c r="P40" s="80" t="e">
        <f>NA()</f>
        <v>#N/A</v>
      </c>
      <c r="Q40" s="78" t="e">
        <f>NA()</f>
        <v>#N/A</v>
      </c>
      <c r="R40" s="79" t="e">
        <f>NA()</f>
        <v>#N/A</v>
      </c>
      <c r="S40" s="80" t="e">
        <f>NA()</f>
        <v>#N/A</v>
      </c>
      <c r="T40" s="78" t="e">
        <f>NA()</f>
        <v>#N/A</v>
      </c>
      <c r="U40" s="79" t="e">
        <f>NA()</f>
        <v>#N/A</v>
      </c>
      <c r="V40" s="80" t="e">
        <f>NA()</f>
        <v>#N/A</v>
      </c>
      <c r="AR40" s="135" t="s">
        <v>542</v>
      </c>
      <c r="AS40" s="135">
        <f>+bolted_design!C65</f>
        <v>0</v>
      </c>
      <c r="AT40" s="135" t="e" cm="1">
        <f t="array" aca="1" ref="AT40" ca="1">+interpol(BC40,AS5:AS29,AT5:AT29)</f>
        <v>#NAME?</v>
      </c>
      <c r="AU40" s="106" t="e" cm="1">
        <f t="array" aca="1" ref="AU40" ca="1">+interpol(AS40,AS5:AS29,AU5:AU29)</f>
        <v>#NAME?</v>
      </c>
      <c r="AV40" s="106" t="e">
        <f>bolted_design!C58-bolted_design!C60</f>
        <v>#N/A</v>
      </c>
      <c r="AW40" s="106">
        <f>+bolted_design!C132</f>
        <v>3.0025407619700583E-2</v>
      </c>
      <c r="AX40" s="106" t="e">
        <f ca="1">+AW40+AU40</f>
        <v>#NAME?</v>
      </c>
      <c r="AY40" s="106" t="e">
        <f ca="1">+$AU$5-AX40</f>
        <v>#NAME?</v>
      </c>
      <c r="AZ40" s="106" t="e">
        <f ca="1">+AY40</f>
        <v>#NAME?</v>
      </c>
      <c r="BA40" s="106" t="e">
        <f>+bolted_design!C58-bolted_design!C60</f>
        <v>#N/A</v>
      </c>
      <c r="BB40" s="135" t="e">
        <f ca="1">+BC40-AT40*AW40/AU40</f>
        <v>#NAME?</v>
      </c>
      <c r="BC40" s="135">
        <f>+AS40</f>
        <v>0</v>
      </c>
    </row>
    <row r="41" spans="2:55" hidden="1" outlineLevel="1" x14ac:dyDescent="0.25">
      <c r="B41" s="76" t="s">
        <v>326</v>
      </c>
      <c r="C41" s="77" t="s">
        <v>328</v>
      </c>
      <c r="D41" s="77">
        <v>4.5999999999999996</v>
      </c>
      <c r="E41" s="78">
        <v>400</v>
      </c>
      <c r="F41" s="79">
        <v>21746</v>
      </c>
      <c r="G41" s="80">
        <v>3.056</v>
      </c>
      <c r="H41" s="78" t="e">
        <f>NA()</f>
        <v>#N/A</v>
      </c>
      <c r="I41" s="79" t="e">
        <f>NA()</f>
        <v>#N/A</v>
      </c>
      <c r="J41" s="80" t="e">
        <f>NA()</f>
        <v>#N/A</v>
      </c>
      <c r="K41" s="78" t="e">
        <f>NA()</f>
        <v>#N/A</v>
      </c>
      <c r="L41" s="79" t="e">
        <f>NA()</f>
        <v>#N/A</v>
      </c>
      <c r="M41" s="80" t="e">
        <f>NA()</f>
        <v>#N/A</v>
      </c>
      <c r="N41" s="78" t="e">
        <f>NA()</f>
        <v>#N/A</v>
      </c>
      <c r="O41" s="79" t="e">
        <f>NA()</f>
        <v>#N/A</v>
      </c>
      <c r="P41" s="80" t="e">
        <f>NA()</f>
        <v>#N/A</v>
      </c>
      <c r="Q41" s="78" t="e">
        <f>NA()</f>
        <v>#N/A</v>
      </c>
      <c r="R41" s="79" t="e">
        <f>NA()</f>
        <v>#N/A</v>
      </c>
      <c r="S41" s="80" t="e">
        <f>NA()</f>
        <v>#N/A</v>
      </c>
      <c r="T41" s="78" t="e">
        <f>NA()</f>
        <v>#N/A</v>
      </c>
      <c r="U41" s="79" t="e">
        <f>NA()</f>
        <v>#N/A</v>
      </c>
      <c r="V41" s="80" t="e">
        <f>NA()</f>
        <v>#N/A</v>
      </c>
      <c r="AR41" s="144" t="s">
        <v>543</v>
      </c>
      <c r="AS41" s="147">
        <f>+AS40</f>
        <v>0</v>
      </c>
      <c r="AT41" s="146" t="e">
        <f ca="1">+AT40</f>
        <v>#NAME?</v>
      </c>
      <c r="AU41" s="145" t="e">
        <f ca="1">+AU40</f>
        <v>#NAME?</v>
      </c>
      <c r="AV41" s="145" t="e">
        <f>+AV40</f>
        <v>#N/A</v>
      </c>
      <c r="AW41" s="145">
        <f>+bolted_design!C166</f>
        <v>5.9127740025614758E-2</v>
      </c>
      <c r="AX41" s="145" t="e">
        <f ca="1">+AW41+AU41</f>
        <v>#NAME?</v>
      </c>
      <c r="AY41" s="145" t="e">
        <f ca="1">+$AU$5-AX41</f>
        <v>#NAME?</v>
      </c>
      <c r="AZ41" s="145" t="e">
        <f ca="1">+AZ40</f>
        <v>#NAME?</v>
      </c>
      <c r="BA41" s="145" t="e">
        <f>+BA40</f>
        <v>#N/A</v>
      </c>
      <c r="BB41" s="148" t="e">
        <f ca="1">+BC41-AT41*AW41/AU41</f>
        <v>#NAME?</v>
      </c>
      <c r="BC41" s="148">
        <f>+AS41</f>
        <v>0</v>
      </c>
    </row>
    <row r="42" spans="2:55" hidden="1" outlineLevel="1" x14ac:dyDescent="0.25">
      <c r="B42" s="76" t="s">
        <v>326</v>
      </c>
      <c r="C42" s="77" t="s">
        <v>328</v>
      </c>
      <c r="D42" s="77">
        <v>4.5999999999999996</v>
      </c>
      <c r="E42" s="78">
        <v>420</v>
      </c>
      <c r="F42" s="79">
        <v>22887</v>
      </c>
      <c r="G42" s="80">
        <v>3.0510000000000002</v>
      </c>
      <c r="H42" s="78" t="e">
        <f>NA()</f>
        <v>#N/A</v>
      </c>
      <c r="I42" s="79" t="e">
        <f>NA()</f>
        <v>#N/A</v>
      </c>
      <c r="J42" s="80" t="e">
        <f>NA()</f>
        <v>#N/A</v>
      </c>
      <c r="K42" s="78" t="e">
        <f>NA()</f>
        <v>#N/A</v>
      </c>
      <c r="L42" s="79" t="e">
        <f>NA()</f>
        <v>#N/A</v>
      </c>
      <c r="M42" s="80" t="e">
        <f>NA()</f>
        <v>#N/A</v>
      </c>
      <c r="N42" s="78" t="e">
        <f>NA()</f>
        <v>#N/A</v>
      </c>
      <c r="O42" s="79" t="e">
        <f>NA()</f>
        <v>#N/A</v>
      </c>
      <c r="P42" s="80" t="e">
        <f>NA()</f>
        <v>#N/A</v>
      </c>
      <c r="Q42" s="78" t="e">
        <f>NA()</f>
        <v>#N/A</v>
      </c>
      <c r="R42" s="79" t="e">
        <f>NA()</f>
        <v>#N/A</v>
      </c>
      <c r="S42" s="80" t="e">
        <f>NA()</f>
        <v>#N/A</v>
      </c>
      <c r="T42" s="78" t="e">
        <f>NA()</f>
        <v>#N/A</v>
      </c>
      <c r="U42" s="79" t="e">
        <f>NA()</f>
        <v>#N/A</v>
      </c>
      <c r="V42" s="80" t="e">
        <f>NA()</f>
        <v>#N/A</v>
      </c>
    </row>
    <row r="43" spans="2:55" hidden="1" outlineLevel="1" x14ac:dyDescent="0.25">
      <c r="B43" s="76" t="s">
        <v>326</v>
      </c>
      <c r="C43" s="77" t="s">
        <v>328</v>
      </c>
      <c r="D43" s="77">
        <v>4.5999999999999996</v>
      </c>
      <c r="E43" s="78">
        <v>440</v>
      </c>
      <c r="F43" s="79">
        <v>24564</v>
      </c>
      <c r="G43" s="80">
        <v>3.0470000000000002</v>
      </c>
      <c r="H43" s="78" t="e">
        <f>NA()</f>
        <v>#N/A</v>
      </c>
      <c r="I43" s="79" t="e">
        <f>NA()</f>
        <v>#N/A</v>
      </c>
      <c r="J43" s="80" t="e">
        <f>NA()</f>
        <v>#N/A</v>
      </c>
      <c r="K43" s="78" t="e">
        <f>NA()</f>
        <v>#N/A</v>
      </c>
      <c r="L43" s="79" t="e">
        <f>NA()</f>
        <v>#N/A</v>
      </c>
      <c r="M43" s="80" t="e">
        <f>NA()</f>
        <v>#N/A</v>
      </c>
      <c r="N43" s="78" t="e">
        <f>NA()</f>
        <v>#N/A</v>
      </c>
      <c r="O43" s="79" t="e">
        <f>NA()</f>
        <v>#N/A</v>
      </c>
      <c r="P43" s="80" t="e">
        <f>NA()</f>
        <v>#N/A</v>
      </c>
      <c r="Q43" s="78" t="e">
        <f>NA()</f>
        <v>#N/A</v>
      </c>
      <c r="R43" s="79" t="e">
        <f>NA()</f>
        <v>#N/A</v>
      </c>
      <c r="S43" s="80" t="e">
        <f>NA()</f>
        <v>#N/A</v>
      </c>
      <c r="T43" s="78" t="e">
        <f>NA()</f>
        <v>#N/A</v>
      </c>
      <c r="U43" s="79" t="e">
        <f>NA()</f>
        <v>#N/A</v>
      </c>
      <c r="V43" s="80" t="e">
        <f>NA()</f>
        <v>#N/A</v>
      </c>
    </row>
    <row r="44" spans="2:55" hidden="1" outlineLevel="1" x14ac:dyDescent="0.25">
      <c r="B44" s="81" t="s">
        <v>326</v>
      </c>
      <c r="C44" s="82" t="s">
        <v>328</v>
      </c>
      <c r="D44" s="82">
        <v>4.5999999999999996</v>
      </c>
      <c r="E44" s="83">
        <v>460</v>
      </c>
      <c r="F44" s="84">
        <v>26654</v>
      </c>
      <c r="G44" s="85">
        <v>3.044</v>
      </c>
      <c r="H44" s="83" t="e">
        <f>NA()</f>
        <v>#N/A</v>
      </c>
      <c r="I44" s="84" t="e">
        <f>NA()</f>
        <v>#N/A</v>
      </c>
      <c r="J44" s="85" t="e">
        <f>NA()</f>
        <v>#N/A</v>
      </c>
      <c r="K44" s="83" t="e">
        <f>NA()</f>
        <v>#N/A</v>
      </c>
      <c r="L44" s="84" t="e">
        <f>NA()</f>
        <v>#N/A</v>
      </c>
      <c r="M44" s="85" t="e">
        <f>NA()</f>
        <v>#N/A</v>
      </c>
      <c r="N44" s="83" t="e">
        <f>NA()</f>
        <v>#N/A</v>
      </c>
      <c r="O44" s="84" t="e">
        <f>NA()</f>
        <v>#N/A</v>
      </c>
      <c r="P44" s="85" t="e">
        <f>NA()</f>
        <v>#N/A</v>
      </c>
      <c r="Q44" s="83" t="e">
        <f>NA()</f>
        <v>#N/A</v>
      </c>
      <c r="R44" s="84" t="e">
        <f>NA()</f>
        <v>#N/A</v>
      </c>
      <c r="S44" s="85" t="e">
        <f>NA()</f>
        <v>#N/A</v>
      </c>
      <c r="T44" s="83" t="e">
        <f>NA()</f>
        <v>#N/A</v>
      </c>
      <c r="U44" s="84" t="e">
        <f>NA()</f>
        <v>#N/A</v>
      </c>
      <c r="V44" s="85" t="e">
        <f>NA()</f>
        <v>#N/A</v>
      </c>
    </row>
    <row r="45" spans="2:55" hidden="1" outlineLevel="1" x14ac:dyDescent="0.25">
      <c r="B45" s="76" t="s">
        <v>326</v>
      </c>
      <c r="C45" s="77" t="s">
        <v>327</v>
      </c>
      <c r="D45" s="77">
        <v>4.5999999999999996</v>
      </c>
      <c r="E45" s="78">
        <v>0</v>
      </c>
      <c r="F45" s="79">
        <v>0</v>
      </c>
      <c r="G45" s="80">
        <v>4.67</v>
      </c>
      <c r="H45" s="78">
        <v>0</v>
      </c>
      <c r="I45" s="79">
        <v>0</v>
      </c>
      <c r="J45" s="80">
        <v>4.6449999999999996</v>
      </c>
      <c r="K45" s="78">
        <v>0</v>
      </c>
      <c r="L45" s="79">
        <v>0</v>
      </c>
      <c r="M45" s="80">
        <v>4.6500000000000004</v>
      </c>
      <c r="N45" s="78" t="e">
        <f>NA()</f>
        <v>#N/A</v>
      </c>
      <c r="O45" s="79" t="e">
        <f>NA()</f>
        <v>#N/A</v>
      </c>
      <c r="P45" s="80" t="e">
        <f>NA()</f>
        <v>#N/A</v>
      </c>
      <c r="Q45" s="78" t="e">
        <f>NA()</f>
        <v>#N/A</v>
      </c>
      <c r="R45" s="79" t="e">
        <f>NA()</f>
        <v>#N/A</v>
      </c>
      <c r="S45" s="80" t="e">
        <f>NA()</f>
        <v>#N/A</v>
      </c>
      <c r="T45" s="78" t="e">
        <f>NA()</f>
        <v>#N/A</v>
      </c>
      <c r="U45" s="79" t="e">
        <f>NA()</f>
        <v>#N/A</v>
      </c>
      <c r="V45" s="80" t="e">
        <f>NA()</f>
        <v>#N/A</v>
      </c>
    </row>
    <row r="46" spans="2:55" hidden="1" outlineLevel="1" x14ac:dyDescent="0.25">
      <c r="B46" s="76" t="s">
        <v>326</v>
      </c>
      <c r="C46" s="77" t="s">
        <v>327</v>
      </c>
      <c r="D46" s="77">
        <v>4.5999999999999996</v>
      </c>
      <c r="E46" s="78">
        <v>1</v>
      </c>
      <c r="F46" s="79">
        <v>0</v>
      </c>
      <c r="G46" s="80">
        <v>4.6269999999999998</v>
      </c>
      <c r="H46" s="78">
        <v>1</v>
      </c>
      <c r="I46" s="79">
        <v>0</v>
      </c>
      <c r="J46" s="80">
        <v>4.6280000000000001</v>
      </c>
      <c r="K46" s="78">
        <v>1</v>
      </c>
      <c r="L46" s="79">
        <v>0</v>
      </c>
      <c r="M46" s="80">
        <v>4.625</v>
      </c>
      <c r="N46" s="78" t="e">
        <f>NA()</f>
        <v>#N/A</v>
      </c>
      <c r="O46" s="79" t="e">
        <f>NA()</f>
        <v>#N/A</v>
      </c>
      <c r="P46" s="80" t="e">
        <f>NA()</f>
        <v>#N/A</v>
      </c>
      <c r="Q46" s="78" t="e">
        <f>NA()</f>
        <v>#N/A</v>
      </c>
      <c r="R46" s="79" t="e">
        <f>NA()</f>
        <v>#N/A</v>
      </c>
      <c r="S46" s="80" t="e">
        <f>NA()</f>
        <v>#N/A</v>
      </c>
      <c r="T46" s="78" t="e">
        <f>NA()</f>
        <v>#N/A</v>
      </c>
      <c r="U46" s="79" t="e">
        <f>NA()</f>
        <v>#N/A</v>
      </c>
      <c r="V46" s="80" t="e">
        <f>NA()</f>
        <v>#N/A</v>
      </c>
    </row>
    <row r="47" spans="2:55" hidden="1" outlineLevel="1" x14ac:dyDescent="0.25">
      <c r="B47" s="76" t="s">
        <v>326</v>
      </c>
      <c r="C47" s="77" t="s">
        <v>327</v>
      </c>
      <c r="D47" s="77">
        <v>4.5999999999999996</v>
      </c>
      <c r="E47" s="78">
        <v>20</v>
      </c>
      <c r="F47" s="79">
        <v>1202</v>
      </c>
      <c r="G47" s="80">
        <v>4.4329999999999998</v>
      </c>
      <c r="H47" s="78">
        <v>20</v>
      </c>
      <c r="I47" s="79">
        <v>1434</v>
      </c>
      <c r="J47" s="80">
        <v>4.4050000000000002</v>
      </c>
      <c r="K47" s="78">
        <v>20</v>
      </c>
      <c r="L47" s="79">
        <v>2371</v>
      </c>
      <c r="M47" s="80">
        <v>4.4029999999999996</v>
      </c>
      <c r="N47" s="78" t="e">
        <f>NA()</f>
        <v>#N/A</v>
      </c>
      <c r="O47" s="79" t="e">
        <f>NA()</f>
        <v>#N/A</v>
      </c>
      <c r="P47" s="80" t="e">
        <f>NA()</f>
        <v>#N/A</v>
      </c>
      <c r="Q47" s="78" t="e">
        <f>NA()</f>
        <v>#N/A</v>
      </c>
      <c r="R47" s="79" t="e">
        <f>NA()</f>
        <v>#N/A</v>
      </c>
      <c r="S47" s="80" t="e">
        <f>NA()</f>
        <v>#N/A</v>
      </c>
      <c r="T47" s="78" t="e">
        <f>NA()</f>
        <v>#N/A</v>
      </c>
      <c r="U47" s="79" t="e">
        <f>NA()</f>
        <v>#N/A</v>
      </c>
      <c r="V47" s="80" t="e">
        <f>NA()</f>
        <v>#N/A</v>
      </c>
    </row>
    <row r="48" spans="2:55" hidden="1" outlineLevel="1" x14ac:dyDescent="0.25">
      <c r="B48" s="76" t="s">
        <v>326</v>
      </c>
      <c r="C48" s="77" t="s">
        <v>327</v>
      </c>
      <c r="D48" s="77">
        <v>4.5999999999999996</v>
      </c>
      <c r="E48" s="78">
        <v>30</v>
      </c>
      <c r="F48" s="79">
        <v>1641</v>
      </c>
      <c r="G48" s="80">
        <v>4.3650000000000002</v>
      </c>
      <c r="H48" s="78">
        <v>30</v>
      </c>
      <c r="I48" s="79">
        <v>2411</v>
      </c>
      <c r="J48" s="80">
        <v>4.359</v>
      </c>
      <c r="K48" s="78">
        <v>30</v>
      </c>
      <c r="L48" s="79">
        <v>4764</v>
      </c>
      <c r="M48" s="80">
        <v>4.3769999999999998</v>
      </c>
      <c r="N48" s="78" t="e">
        <f>NA()</f>
        <v>#N/A</v>
      </c>
      <c r="O48" s="79" t="e">
        <f>NA()</f>
        <v>#N/A</v>
      </c>
      <c r="P48" s="80" t="e">
        <f>NA()</f>
        <v>#N/A</v>
      </c>
      <c r="Q48" s="78" t="e">
        <f>NA()</f>
        <v>#N/A</v>
      </c>
      <c r="R48" s="79" t="e">
        <f>NA()</f>
        <v>#N/A</v>
      </c>
      <c r="S48" s="80" t="e">
        <f>NA()</f>
        <v>#N/A</v>
      </c>
      <c r="T48" s="78" t="e">
        <f>NA()</f>
        <v>#N/A</v>
      </c>
      <c r="U48" s="79" t="e">
        <f>NA()</f>
        <v>#N/A</v>
      </c>
      <c r="V48" s="80" t="e">
        <f>NA()</f>
        <v>#N/A</v>
      </c>
    </row>
    <row r="49" spans="2:22" hidden="1" outlineLevel="1" x14ac:dyDescent="0.25">
      <c r="B49" s="76" t="s">
        <v>326</v>
      </c>
      <c r="C49" s="77" t="s">
        <v>327</v>
      </c>
      <c r="D49" s="77">
        <v>4.5999999999999996</v>
      </c>
      <c r="E49" s="78">
        <v>40</v>
      </c>
      <c r="F49" s="79">
        <v>2275</v>
      </c>
      <c r="G49" s="80">
        <v>4.3019999999999996</v>
      </c>
      <c r="H49" s="78">
        <v>40</v>
      </c>
      <c r="I49" s="79">
        <v>3568</v>
      </c>
      <c r="J49" s="80">
        <v>4.3019999999999996</v>
      </c>
      <c r="K49" s="78">
        <v>40</v>
      </c>
      <c r="L49" s="79">
        <v>7066</v>
      </c>
      <c r="M49" s="80">
        <v>4.335</v>
      </c>
      <c r="N49" s="78" t="e">
        <f>NA()</f>
        <v>#N/A</v>
      </c>
      <c r="O49" s="79" t="e">
        <f>NA()</f>
        <v>#N/A</v>
      </c>
      <c r="P49" s="80" t="e">
        <f>NA()</f>
        <v>#N/A</v>
      </c>
      <c r="Q49" s="78" t="e">
        <f>NA()</f>
        <v>#N/A</v>
      </c>
      <c r="R49" s="79" t="e">
        <f>NA()</f>
        <v>#N/A</v>
      </c>
      <c r="S49" s="80" t="e">
        <f>NA()</f>
        <v>#N/A</v>
      </c>
      <c r="T49" s="78" t="e">
        <f>NA()</f>
        <v>#N/A</v>
      </c>
      <c r="U49" s="79" t="e">
        <f>NA()</f>
        <v>#N/A</v>
      </c>
      <c r="V49" s="80" t="e">
        <f>NA()</f>
        <v>#N/A</v>
      </c>
    </row>
    <row r="50" spans="2:22" hidden="1" outlineLevel="1" x14ac:dyDescent="0.25">
      <c r="B50" s="76" t="s">
        <v>326</v>
      </c>
      <c r="C50" s="77" t="s">
        <v>327</v>
      </c>
      <c r="D50" s="77">
        <v>4.5999999999999996</v>
      </c>
      <c r="E50" s="78">
        <v>50</v>
      </c>
      <c r="F50" s="79">
        <v>2899</v>
      </c>
      <c r="G50" s="80">
        <v>4.2389999999999999</v>
      </c>
      <c r="H50" s="78">
        <v>50</v>
      </c>
      <c r="I50" s="79">
        <v>4630</v>
      </c>
      <c r="J50" s="80">
        <v>4.2450000000000001</v>
      </c>
      <c r="K50" s="78">
        <v>50</v>
      </c>
      <c r="L50" s="79">
        <v>7512</v>
      </c>
      <c r="M50" s="80">
        <v>4.2859999999999996</v>
      </c>
      <c r="N50" s="78" t="e">
        <f>NA()</f>
        <v>#N/A</v>
      </c>
      <c r="O50" s="79" t="e">
        <f>NA()</f>
        <v>#N/A</v>
      </c>
      <c r="P50" s="80" t="e">
        <f>NA()</f>
        <v>#N/A</v>
      </c>
      <c r="Q50" s="78" t="e">
        <f>NA()</f>
        <v>#N/A</v>
      </c>
      <c r="R50" s="79" t="e">
        <f>NA()</f>
        <v>#N/A</v>
      </c>
      <c r="S50" s="80" t="e">
        <f>NA()</f>
        <v>#N/A</v>
      </c>
      <c r="T50" s="78" t="e">
        <f>NA()</f>
        <v>#N/A</v>
      </c>
      <c r="U50" s="79" t="e">
        <f>NA()</f>
        <v>#N/A</v>
      </c>
      <c r="V50" s="80" t="e">
        <f>NA()</f>
        <v>#N/A</v>
      </c>
    </row>
    <row r="51" spans="2:22" hidden="1" outlineLevel="1" x14ac:dyDescent="0.25">
      <c r="B51" s="76" t="s">
        <v>326</v>
      </c>
      <c r="C51" s="77" t="s">
        <v>327</v>
      </c>
      <c r="D51" s="77">
        <v>4.5999999999999996</v>
      </c>
      <c r="E51" s="78">
        <v>60</v>
      </c>
      <c r="F51" s="79">
        <v>3395</v>
      </c>
      <c r="G51" s="80">
        <v>4.1680000000000001</v>
      </c>
      <c r="H51" s="78">
        <v>60</v>
      </c>
      <c r="I51" s="79">
        <v>5269</v>
      </c>
      <c r="J51" s="80">
        <v>4.1859999999999999</v>
      </c>
      <c r="K51" s="78">
        <v>60</v>
      </c>
      <c r="L51" s="79">
        <v>7595</v>
      </c>
      <c r="M51" s="80">
        <v>4.2320000000000002</v>
      </c>
      <c r="N51" s="78" t="e">
        <f>NA()</f>
        <v>#N/A</v>
      </c>
      <c r="O51" s="79" t="e">
        <f>NA()</f>
        <v>#N/A</v>
      </c>
      <c r="P51" s="80" t="e">
        <f>NA()</f>
        <v>#N/A</v>
      </c>
      <c r="Q51" s="78" t="e">
        <f>NA()</f>
        <v>#N/A</v>
      </c>
      <c r="R51" s="79" t="e">
        <f>NA()</f>
        <v>#N/A</v>
      </c>
      <c r="S51" s="80" t="e">
        <f>NA()</f>
        <v>#N/A</v>
      </c>
      <c r="T51" s="78" t="e">
        <f>NA()</f>
        <v>#N/A</v>
      </c>
      <c r="U51" s="79" t="e">
        <f>NA()</f>
        <v>#N/A</v>
      </c>
      <c r="V51" s="80" t="e">
        <f>NA()</f>
        <v>#N/A</v>
      </c>
    </row>
    <row r="52" spans="2:22" hidden="1" outlineLevel="1" x14ac:dyDescent="0.25">
      <c r="B52" s="76" t="s">
        <v>326</v>
      </c>
      <c r="C52" s="77" t="s">
        <v>327</v>
      </c>
      <c r="D52" s="77">
        <v>4.5999999999999996</v>
      </c>
      <c r="E52" s="78">
        <v>80</v>
      </c>
      <c r="F52" s="79">
        <v>4232</v>
      </c>
      <c r="G52" s="80">
        <v>4.03</v>
      </c>
      <c r="H52" s="78">
        <v>80</v>
      </c>
      <c r="I52" s="79">
        <v>6028</v>
      </c>
      <c r="J52" s="80">
        <v>4.05</v>
      </c>
      <c r="K52" s="78">
        <v>80</v>
      </c>
      <c r="L52" s="79">
        <v>7552</v>
      </c>
      <c r="M52" s="80">
        <v>4.0990000000000002</v>
      </c>
      <c r="N52" s="78" t="e">
        <f>NA()</f>
        <v>#N/A</v>
      </c>
      <c r="O52" s="79" t="e">
        <f>NA()</f>
        <v>#N/A</v>
      </c>
      <c r="P52" s="80" t="e">
        <f>NA()</f>
        <v>#N/A</v>
      </c>
      <c r="Q52" s="78" t="e">
        <f>NA()</f>
        <v>#N/A</v>
      </c>
      <c r="R52" s="79" t="e">
        <f>NA()</f>
        <v>#N/A</v>
      </c>
      <c r="S52" s="80" t="e">
        <f>NA()</f>
        <v>#N/A</v>
      </c>
      <c r="T52" s="78" t="e">
        <f>NA()</f>
        <v>#N/A</v>
      </c>
      <c r="U52" s="79" t="e">
        <f>NA()</f>
        <v>#N/A</v>
      </c>
      <c r="V52" s="80" t="e">
        <f>NA()</f>
        <v>#N/A</v>
      </c>
    </row>
    <row r="53" spans="2:22" hidden="1" outlineLevel="1" x14ac:dyDescent="0.25">
      <c r="B53" s="76" t="s">
        <v>326</v>
      </c>
      <c r="C53" s="77" t="s">
        <v>327</v>
      </c>
      <c r="D53" s="77">
        <v>4.5999999999999996</v>
      </c>
      <c r="E53" s="78">
        <v>100</v>
      </c>
      <c r="F53" s="79">
        <v>4994</v>
      </c>
      <c r="G53" s="80">
        <v>3.8860000000000001</v>
      </c>
      <c r="H53" s="78">
        <v>100</v>
      </c>
      <c r="I53" s="79">
        <v>6856</v>
      </c>
      <c r="J53" s="80">
        <v>3.9169999999999998</v>
      </c>
      <c r="K53" s="78">
        <v>100</v>
      </c>
      <c r="L53" s="79">
        <v>8032</v>
      </c>
      <c r="M53" s="80">
        <v>3.9550000000000001</v>
      </c>
      <c r="N53" s="78" t="e">
        <f>NA()</f>
        <v>#N/A</v>
      </c>
      <c r="O53" s="79" t="e">
        <f>NA()</f>
        <v>#N/A</v>
      </c>
      <c r="P53" s="80" t="e">
        <f>NA()</f>
        <v>#N/A</v>
      </c>
      <c r="Q53" s="78" t="e">
        <f>NA()</f>
        <v>#N/A</v>
      </c>
      <c r="R53" s="79" t="e">
        <f>NA()</f>
        <v>#N/A</v>
      </c>
      <c r="S53" s="80" t="e">
        <f>NA()</f>
        <v>#N/A</v>
      </c>
      <c r="T53" s="78" t="e">
        <f>NA()</f>
        <v>#N/A</v>
      </c>
      <c r="U53" s="79" t="e">
        <f>NA()</f>
        <v>#N/A</v>
      </c>
      <c r="V53" s="80" t="e">
        <f>NA()</f>
        <v>#N/A</v>
      </c>
    </row>
    <row r="54" spans="2:22" hidden="1" outlineLevel="1" x14ac:dyDescent="0.25">
      <c r="B54" s="76" t="s">
        <v>326</v>
      </c>
      <c r="C54" s="77" t="s">
        <v>327</v>
      </c>
      <c r="D54" s="77">
        <v>4.5999999999999996</v>
      </c>
      <c r="E54" s="78">
        <v>120</v>
      </c>
      <c r="F54" s="79">
        <v>5737</v>
      </c>
      <c r="G54" s="80">
        <v>3.786</v>
      </c>
      <c r="H54" s="78">
        <v>120</v>
      </c>
      <c r="I54" s="79">
        <v>7704</v>
      </c>
      <c r="J54" s="80">
        <v>3.8039999999999998</v>
      </c>
      <c r="K54" s="78">
        <v>120</v>
      </c>
      <c r="L54" s="79">
        <v>8748</v>
      </c>
      <c r="M54" s="80">
        <v>3.8450000000000002</v>
      </c>
      <c r="N54" s="78" t="e">
        <f>NA()</f>
        <v>#N/A</v>
      </c>
      <c r="O54" s="79" t="e">
        <f>NA()</f>
        <v>#N/A</v>
      </c>
      <c r="P54" s="80" t="e">
        <f>NA()</f>
        <v>#N/A</v>
      </c>
      <c r="Q54" s="78" t="e">
        <f>NA()</f>
        <v>#N/A</v>
      </c>
      <c r="R54" s="79" t="e">
        <f>NA()</f>
        <v>#N/A</v>
      </c>
      <c r="S54" s="80" t="e">
        <f>NA()</f>
        <v>#N/A</v>
      </c>
      <c r="T54" s="78" t="e">
        <f>NA()</f>
        <v>#N/A</v>
      </c>
      <c r="U54" s="79" t="e">
        <f>NA()</f>
        <v>#N/A</v>
      </c>
      <c r="V54" s="80" t="e">
        <f>NA()</f>
        <v>#N/A</v>
      </c>
    </row>
    <row r="55" spans="2:22" hidden="1" outlineLevel="1" x14ac:dyDescent="0.25">
      <c r="B55" s="76" t="s">
        <v>326</v>
      </c>
      <c r="C55" s="77" t="s">
        <v>327</v>
      </c>
      <c r="D55" s="77">
        <v>4.5999999999999996</v>
      </c>
      <c r="E55" s="78">
        <v>140</v>
      </c>
      <c r="F55" s="79">
        <v>6457</v>
      </c>
      <c r="G55" s="80">
        <v>3.6909999999999998</v>
      </c>
      <c r="H55" s="78">
        <v>140</v>
      </c>
      <c r="I55" s="79">
        <v>8512</v>
      </c>
      <c r="J55" s="80">
        <v>3.718</v>
      </c>
      <c r="K55" s="78">
        <v>140</v>
      </c>
      <c r="L55" s="79">
        <v>9539</v>
      </c>
      <c r="M55" s="80">
        <v>3.7639999999999998</v>
      </c>
      <c r="N55" s="78" t="e">
        <f>NA()</f>
        <v>#N/A</v>
      </c>
      <c r="O55" s="79" t="e">
        <f>NA()</f>
        <v>#N/A</v>
      </c>
      <c r="P55" s="80" t="e">
        <f>NA()</f>
        <v>#N/A</v>
      </c>
      <c r="Q55" s="78" t="e">
        <f>NA()</f>
        <v>#N/A</v>
      </c>
      <c r="R55" s="79" t="e">
        <f>NA()</f>
        <v>#N/A</v>
      </c>
      <c r="S55" s="80" t="e">
        <f>NA()</f>
        <v>#N/A</v>
      </c>
      <c r="T55" s="78" t="e">
        <f>NA()</f>
        <v>#N/A</v>
      </c>
      <c r="U55" s="79" t="e">
        <f>NA()</f>
        <v>#N/A</v>
      </c>
      <c r="V55" s="80" t="e">
        <f>NA()</f>
        <v>#N/A</v>
      </c>
    </row>
    <row r="56" spans="2:22" hidden="1" outlineLevel="1" x14ac:dyDescent="0.25">
      <c r="B56" s="76" t="s">
        <v>326</v>
      </c>
      <c r="C56" s="77" t="s">
        <v>327</v>
      </c>
      <c r="D56" s="77">
        <v>4.5999999999999996</v>
      </c>
      <c r="E56" s="78">
        <v>160</v>
      </c>
      <c r="F56" s="79">
        <v>7273</v>
      </c>
      <c r="G56" s="80">
        <v>3.6059999999999999</v>
      </c>
      <c r="H56" s="78">
        <v>160</v>
      </c>
      <c r="I56" s="79">
        <v>9309</v>
      </c>
      <c r="J56" s="80">
        <v>3.6520000000000001</v>
      </c>
      <c r="K56" s="78">
        <v>160</v>
      </c>
      <c r="L56" s="79">
        <v>10409</v>
      </c>
      <c r="M56" s="80">
        <v>3.6989999999999998</v>
      </c>
      <c r="N56" s="78" t="e">
        <f>NA()</f>
        <v>#N/A</v>
      </c>
      <c r="O56" s="79" t="e">
        <f>NA()</f>
        <v>#N/A</v>
      </c>
      <c r="P56" s="80" t="e">
        <f>NA()</f>
        <v>#N/A</v>
      </c>
      <c r="Q56" s="78" t="e">
        <f>NA()</f>
        <v>#N/A</v>
      </c>
      <c r="R56" s="79" t="e">
        <f>NA()</f>
        <v>#N/A</v>
      </c>
      <c r="S56" s="80" t="e">
        <f>NA()</f>
        <v>#N/A</v>
      </c>
      <c r="T56" s="78" t="e">
        <f>NA()</f>
        <v>#N/A</v>
      </c>
      <c r="U56" s="79" t="e">
        <f>NA()</f>
        <v>#N/A</v>
      </c>
      <c r="V56" s="80" t="e">
        <f>NA()</f>
        <v>#N/A</v>
      </c>
    </row>
    <row r="57" spans="2:22" hidden="1" outlineLevel="1" x14ac:dyDescent="0.25">
      <c r="B57" s="76" t="s">
        <v>326</v>
      </c>
      <c r="C57" s="77" t="s">
        <v>327</v>
      </c>
      <c r="D57" s="77">
        <v>4.5999999999999996</v>
      </c>
      <c r="E57" s="78">
        <v>180</v>
      </c>
      <c r="F57" s="79">
        <v>8252</v>
      </c>
      <c r="G57" s="80">
        <v>3.5249999999999999</v>
      </c>
      <c r="H57" s="78">
        <v>180</v>
      </c>
      <c r="I57" s="79">
        <v>10164</v>
      </c>
      <c r="J57" s="80">
        <v>3.5979999999999999</v>
      </c>
      <c r="K57" s="78">
        <v>180</v>
      </c>
      <c r="L57" s="79">
        <v>11174</v>
      </c>
      <c r="M57" s="80">
        <v>3.6440000000000001</v>
      </c>
      <c r="N57" s="78" t="e">
        <f>NA()</f>
        <v>#N/A</v>
      </c>
      <c r="O57" s="79" t="e">
        <f>NA()</f>
        <v>#N/A</v>
      </c>
      <c r="P57" s="80" t="e">
        <f>NA()</f>
        <v>#N/A</v>
      </c>
      <c r="Q57" s="78" t="e">
        <f>NA()</f>
        <v>#N/A</v>
      </c>
      <c r="R57" s="79" t="e">
        <f>NA()</f>
        <v>#N/A</v>
      </c>
      <c r="S57" s="80" t="e">
        <f>NA()</f>
        <v>#N/A</v>
      </c>
      <c r="T57" s="78" t="e">
        <f>NA()</f>
        <v>#N/A</v>
      </c>
      <c r="U57" s="79" t="e">
        <f>NA()</f>
        <v>#N/A</v>
      </c>
      <c r="V57" s="80" t="e">
        <f>NA()</f>
        <v>#N/A</v>
      </c>
    </row>
    <row r="58" spans="2:22" hidden="1" outlineLevel="1" x14ac:dyDescent="0.25">
      <c r="B58" s="81" t="s">
        <v>326</v>
      </c>
      <c r="C58" s="82" t="s">
        <v>327</v>
      </c>
      <c r="D58" s="82">
        <v>4.5999999999999996</v>
      </c>
      <c r="E58" s="83">
        <v>200</v>
      </c>
      <c r="F58" s="84">
        <v>9176</v>
      </c>
      <c r="G58" s="85">
        <v>3.4449999999999998</v>
      </c>
      <c r="H58" s="83">
        <v>200</v>
      </c>
      <c r="I58" s="84">
        <v>11025</v>
      </c>
      <c r="J58" s="85">
        <v>3.55</v>
      </c>
      <c r="K58" s="83">
        <v>200</v>
      </c>
      <c r="L58" s="84">
        <v>11934</v>
      </c>
      <c r="M58" s="85">
        <v>3.5950000000000002</v>
      </c>
      <c r="N58" s="83" t="e">
        <f>NA()</f>
        <v>#N/A</v>
      </c>
      <c r="O58" s="84" t="e">
        <f>NA()</f>
        <v>#N/A</v>
      </c>
      <c r="P58" s="85" t="e">
        <f>NA()</f>
        <v>#N/A</v>
      </c>
      <c r="Q58" s="83" t="e">
        <f>NA()</f>
        <v>#N/A</v>
      </c>
      <c r="R58" s="84" t="e">
        <f>NA()</f>
        <v>#N/A</v>
      </c>
      <c r="S58" s="85" t="e">
        <f>NA()</f>
        <v>#N/A</v>
      </c>
      <c r="T58" s="83" t="e">
        <f>NA()</f>
        <v>#N/A</v>
      </c>
      <c r="U58" s="84" t="e">
        <f>NA()</f>
        <v>#N/A</v>
      </c>
      <c r="V58" s="85" t="e">
        <f>NA()</f>
        <v>#N/A</v>
      </c>
    </row>
    <row r="59" spans="2:22" hidden="1" outlineLevel="1" x14ac:dyDescent="0.25">
      <c r="B59" s="76" t="s">
        <v>326</v>
      </c>
      <c r="C59" s="77" t="s">
        <v>329</v>
      </c>
      <c r="D59" s="77">
        <v>4.8</v>
      </c>
      <c r="E59" s="78">
        <v>0</v>
      </c>
      <c r="F59" s="79">
        <v>0</v>
      </c>
      <c r="G59" s="80">
        <v>4.87</v>
      </c>
      <c r="H59" s="78">
        <v>0</v>
      </c>
      <c r="I59" s="79">
        <v>0</v>
      </c>
      <c r="J59" s="80">
        <v>4.87</v>
      </c>
      <c r="K59" s="78">
        <v>0</v>
      </c>
      <c r="L59" s="79">
        <v>0</v>
      </c>
      <c r="M59" s="80">
        <v>4.87</v>
      </c>
      <c r="N59" s="78" t="e">
        <f>NA()</f>
        <v>#N/A</v>
      </c>
      <c r="O59" s="79" t="e">
        <f>NA()</f>
        <v>#N/A</v>
      </c>
      <c r="P59" s="80" t="e">
        <f>NA()</f>
        <v>#N/A</v>
      </c>
      <c r="Q59" s="78" t="e">
        <f>NA()</f>
        <v>#N/A</v>
      </c>
      <c r="R59" s="79" t="e">
        <f>NA()</f>
        <v>#N/A</v>
      </c>
      <c r="S59" s="80" t="e">
        <f>NA()</f>
        <v>#N/A</v>
      </c>
      <c r="T59" s="78" t="e">
        <f>NA()</f>
        <v>#N/A</v>
      </c>
      <c r="U59" s="79" t="e">
        <f>NA()</f>
        <v>#N/A</v>
      </c>
      <c r="V59" s="80" t="e">
        <f>NA()</f>
        <v>#N/A</v>
      </c>
    </row>
    <row r="60" spans="2:22" hidden="1" outlineLevel="1" x14ac:dyDescent="0.25">
      <c r="B60" s="76" t="s">
        <v>326</v>
      </c>
      <c r="C60" s="77" t="s">
        <v>329</v>
      </c>
      <c r="D60" s="77">
        <v>4.8</v>
      </c>
      <c r="E60" s="78">
        <v>1</v>
      </c>
      <c r="F60" s="79">
        <v>0</v>
      </c>
      <c r="G60" s="80">
        <v>4.7640000000000002</v>
      </c>
      <c r="H60" s="78">
        <v>1</v>
      </c>
      <c r="I60" s="79">
        <v>0</v>
      </c>
      <c r="J60" s="80">
        <v>4.7610000000000001</v>
      </c>
      <c r="K60" s="78">
        <v>1</v>
      </c>
      <c r="L60" s="79">
        <v>0</v>
      </c>
      <c r="M60" s="80">
        <v>4.7880000000000003</v>
      </c>
      <c r="N60" s="78" t="e">
        <f>NA()</f>
        <v>#N/A</v>
      </c>
      <c r="O60" s="79" t="e">
        <f>NA()</f>
        <v>#N/A</v>
      </c>
      <c r="P60" s="80" t="e">
        <f>NA()</f>
        <v>#N/A</v>
      </c>
      <c r="Q60" s="78" t="e">
        <f>NA()</f>
        <v>#N/A</v>
      </c>
      <c r="R60" s="79" t="e">
        <f>NA()</f>
        <v>#N/A</v>
      </c>
      <c r="S60" s="80" t="e">
        <f>NA()</f>
        <v>#N/A</v>
      </c>
      <c r="T60" s="78" t="e">
        <f>NA()</f>
        <v>#N/A</v>
      </c>
      <c r="U60" s="79" t="e">
        <f>NA()</f>
        <v>#N/A</v>
      </c>
      <c r="V60" s="80" t="e">
        <f>NA()</f>
        <v>#N/A</v>
      </c>
    </row>
    <row r="61" spans="2:22" hidden="1" outlineLevel="1" x14ac:dyDescent="0.25">
      <c r="B61" s="76" t="s">
        <v>326</v>
      </c>
      <c r="C61" s="77" t="s">
        <v>329</v>
      </c>
      <c r="D61" s="77">
        <v>4.8</v>
      </c>
      <c r="E61" s="78">
        <v>20</v>
      </c>
      <c r="F61" s="79">
        <v>2265</v>
      </c>
      <c r="G61" s="80">
        <v>4.5410000000000004</v>
      </c>
      <c r="H61" s="78">
        <v>20</v>
      </c>
      <c r="I61" s="79">
        <v>3724</v>
      </c>
      <c r="J61" s="80">
        <v>4.5199999999999996</v>
      </c>
      <c r="K61" s="78">
        <v>20</v>
      </c>
      <c r="L61" s="79">
        <v>2151</v>
      </c>
      <c r="M61" s="80">
        <v>4.5339999999999998</v>
      </c>
      <c r="N61" s="78" t="e">
        <f>NA()</f>
        <v>#N/A</v>
      </c>
      <c r="O61" s="79" t="e">
        <f>NA()</f>
        <v>#N/A</v>
      </c>
      <c r="P61" s="80" t="e">
        <f>NA()</f>
        <v>#N/A</v>
      </c>
      <c r="Q61" s="78" t="e">
        <f>NA()</f>
        <v>#N/A</v>
      </c>
      <c r="R61" s="79" t="e">
        <f>NA()</f>
        <v>#N/A</v>
      </c>
      <c r="S61" s="80" t="e">
        <f>NA()</f>
        <v>#N/A</v>
      </c>
      <c r="T61" s="78" t="e">
        <f>NA()</f>
        <v>#N/A</v>
      </c>
      <c r="U61" s="79" t="e">
        <f>NA()</f>
        <v>#N/A</v>
      </c>
      <c r="V61" s="80" t="e">
        <f>NA()</f>
        <v>#N/A</v>
      </c>
    </row>
    <row r="62" spans="2:22" hidden="1" outlineLevel="1" x14ac:dyDescent="0.25">
      <c r="B62" s="76" t="s">
        <v>326</v>
      </c>
      <c r="C62" s="77" t="s">
        <v>329</v>
      </c>
      <c r="D62" s="77">
        <v>4.8</v>
      </c>
      <c r="E62" s="78">
        <v>30</v>
      </c>
      <c r="F62" s="79">
        <v>2851</v>
      </c>
      <c r="G62" s="80">
        <v>4.4710000000000001</v>
      </c>
      <c r="H62" s="78">
        <v>30</v>
      </c>
      <c r="I62" s="79">
        <v>5129</v>
      </c>
      <c r="J62" s="80">
        <v>4.4989999999999997</v>
      </c>
      <c r="K62" s="78">
        <v>30</v>
      </c>
      <c r="L62" s="79">
        <v>4603</v>
      </c>
      <c r="M62" s="80">
        <v>4.5220000000000002</v>
      </c>
      <c r="N62" s="78" t="e">
        <f>NA()</f>
        <v>#N/A</v>
      </c>
      <c r="O62" s="79" t="e">
        <f>NA()</f>
        <v>#N/A</v>
      </c>
      <c r="P62" s="80" t="e">
        <f>NA()</f>
        <v>#N/A</v>
      </c>
      <c r="Q62" s="78" t="e">
        <f>NA()</f>
        <v>#N/A</v>
      </c>
      <c r="R62" s="79" t="e">
        <f>NA()</f>
        <v>#N/A</v>
      </c>
      <c r="S62" s="80" t="e">
        <f>NA()</f>
        <v>#N/A</v>
      </c>
      <c r="T62" s="78" t="e">
        <f>NA()</f>
        <v>#N/A</v>
      </c>
      <c r="U62" s="79" t="e">
        <f>NA()</f>
        <v>#N/A</v>
      </c>
      <c r="V62" s="80" t="e">
        <f>NA()</f>
        <v>#N/A</v>
      </c>
    </row>
    <row r="63" spans="2:22" hidden="1" outlineLevel="1" x14ac:dyDescent="0.25">
      <c r="B63" s="76" t="s">
        <v>326</v>
      </c>
      <c r="C63" s="77" t="s">
        <v>329</v>
      </c>
      <c r="D63" s="77">
        <v>4.8</v>
      </c>
      <c r="E63" s="78">
        <v>40</v>
      </c>
      <c r="F63" s="79">
        <v>3326</v>
      </c>
      <c r="G63" s="80">
        <v>4.3970000000000002</v>
      </c>
      <c r="H63" s="78">
        <v>40</v>
      </c>
      <c r="I63" s="79">
        <v>5151</v>
      </c>
      <c r="J63" s="80">
        <v>4.4489999999999998</v>
      </c>
      <c r="K63" s="78">
        <v>40</v>
      </c>
      <c r="L63" s="79">
        <v>6143</v>
      </c>
      <c r="M63" s="80">
        <v>4.4960000000000004</v>
      </c>
      <c r="N63" s="78" t="e">
        <f>NA()</f>
        <v>#N/A</v>
      </c>
      <c r="O63" s="79" t="e">
        <f>NA()</f>
        <v>#N/A</v>
      </c>
      <c r="P63" s="80" t="e">
        <f>NA()</f>
        <v>#N/A</v>
      </c>
      <c r="Q63" s="78" t="e">
        <f>NA()</f>
        <v>#N/A</v>
      </c>
      <c r="R63" s="79" t="e">
        <f>NA()</f>
        <v>#N/A</v>
      </c>
      <c r="S63" s="80" t="e">
        <f>NA()</f>
        <v>#N/A</v>
      </c>
      <c r="T63" s="78" t="e">
        <f>NA()</f>
        <v>#N/A</v>
      </c>
      <c r="U63" s="79" t="e">
        <f>NA()</f>
        <v>#N/A</v>
      </c>
      <c r="V63" s="80" t="e">
        <f>NA()</f>
        <v>#N/A</v>
      </c>
    </row>
    <row r="64" spans="2:22" hidden="1" outlineLevel="1" x14ac:dyDescent="0.25">
      <c r="B64" s="76" t="s">
        <v>326</v>
      </c>
      <c r="C64" s="77" t="s">
        <v>329</v>
      </c>
      <c r="D64" s="77">
        <v>4.8</v>
      </c>
      <c r="E64" s="78">
        <v>50</v>
      </c>
      <c r="F64" s="79">
        <v>3845</v>
      </c>
      <c r="G64" s="80">
        <v>4.3</v>
      </c>
      <c r="H64" s="78">
        <v>50</v>
      </c>
      <c r="I64" s="79">
        <v>5905</v>
      </c>
      <c r="J64" s="80">
        <v>4.3550000000000004</v>
      </c>
      <c r="K64" s="78">
        <v>50</v>
      </c>
      <c r="L64" s="79">
        <v>6142</v>
      </c>
      <c r="M64" s="80">
        <v>4.4450000000000003</v>
      </c>
      <c r="N64" s="78" t="e">
        <f>NA()</f>
        <v>#N/A</v>
      </c>
      <c r="O64" s="79" t="e">
        <f>NA()</f>
        <v>#N/A</v>
      </c>
      <c r="P64" s="80" t="e">
        <f>NA()</f>
        <v>#N/A</v>
      </c>
      <c r="Q64" s="78" t="e">
        <f>NA()</f>
        <v>#N/A</v>
      </c>
      <c r="R64" s="79" t="e">
        <f>NA()</f>
        <v>#N/A</v>
      </c>
      <c r="S64" s="80" t="e">
        <f>NA()</f>
        <v>#N/A</v>
      </c>
      <c r="T64" s="78" t="e">
        <f>NA()</f>
        <v>#N/A</v>
      </c>
      <c r="U64" s="79" t="e">
        <f>NA()</f>
        <v>#N/A</v>
      </c>
      <c r="V64" s="80" t="e">
        <f>NA()</f>
        <v>#N/A</v>
      </c>
    </row>
    <row r="65" spans="2:22" hidden="1" outlineLevel="1" x14ac:dyDescent="0.25">
      <c r="B65" s="76" t="s">
        <v>326</v>
      </c>
      <c r="C65" s="77" t="s">
        <v>329</v>
      </c>
      <c r="D65" s="77">
        <v>4.8</v>
      </c>
      <c r="E65" s="78">
        <v>60</v>
      </c>
      <c r="F65" s="79">
        <v>5125</v>
      </c>
      <c r="G65" s="80">
        <v>4.2350000000000003</v>
      </c>
      <c r="H65" s="78">
        <v>60</v>
      </c>
      <c r="I65" s="79">
        <v>6249</v>
      </c>
      <c r="J65" s="80">
        <v>4.2279999999999998</v>
      </c>
      <c r="K65" s="78">
        <v>60</v>
      </c>
      <c r="L65" s="79">
        <v>6525</v>
      </c>
      <c r="M65" s="80">
        <v>4.3419999999999996</v>
      </c>
      <c r="N65" s="78" t="e">
        <f>NA()</f>
        <v>#N/A</v>
      </c>
      <c r="O65" s="79" t="e">
        <f>NA()</f>
        <v>#N/A</v>
      </c>
      <c r="P65" s="80" t="e">
        <f>NA()</f>
        <v>#N/A</v>
      </c>
      <c r="Q65" s="78" t="e">
        <f>NA()</f>
        <v>#N/A</v>
      </c>
      <c r="R65" s="79" t="e">
        <f>NA()</f>
        <v>#N/A</v>
      </c>
      <c r="S65" s="80" t="e">
        <f>NA()</f>
        <v>#N/A</v>
      </c>
      <c r="T65" s="78" t="e">
        <f>NA()</f>
        <v>#N/A</v>
      </c>
      <c r="U65" s="79" t="e">
        <f>NA()</f>
        <v>#N/A</v>
      </c>
      <c r="V65" s="80" t="e">
        <f>NA()</f>
        <v>#N/A</v>
      </c>
    </row>
    <row r="66" spans="2:22" hidden="1" outlineLevel="1" x14ac:dyDescent="0.25">
      <c r="B66" s="76" t="s">
        <v>326</v>
      </c>
      <c r="C66" s="77" t="s">
        <v>329</v>
      </c>
      <c r="D66" s="77">
        <v>4.8</v>
      </c>
      <c r="E66" s="78">
        <v>80</v>
      </c>
      <c r="F66" s="79">
        <v>7282</v>
      </c>
      <c r="G66" s="80">
        <v>4.157</v>
      </c>
      <c r="H66" s="78">
        <v>80</v>
      </c>
      <c r="I66" s="79">
        <v>8468</v>
      </c>
      <c r="J66" s="80">
        <v>4.1150000000000002</v>
      </c>
      <c r="K66" s="78">
        <v>80</v>
      </c>
      <c r="L66" s="79">
        <v>7761</v>
      </c>
      <c r="M66" s="80">
        <v>4.181</v>
      </c>
      <c r="N66" s="78" t="e">
        <f>NA()</f>
        <v>#N/A</v>
      </c>
      <c r="O66" s="79" t="e">
        <f>NA()</f>
        <v>#N/A</v>
      </c>
      <c r="P66" s="80" t="e">
        <f>NA()</f>
        <v>#N/A</v>
      </c>
      <c r="Q66" s="78" t="e">
        <f>NA()</f>
        <v>#N/A</v>
      </c>
      <c r="R66" s="79" t="e">
        <f>NA()</f>
        <v>#N/A</v>
      </c>
      <c r="S66" s="80" t="e">
        <f>NA()</f>
        <v>#N/A</v>
      </c>
      <c r="T66" s="78" t="e">
        <f>NA()</f>
        <v>#N/A</v>
      </c>
      <c r="U66" s="79" t="e">
        <f>NA()</f>
        <v>#N/A</v>
      </c>
      <c r="V66" s="80" t="e">
        <f>NA()</f>
        <v>#N/A</v>
      </c>
    </row>
    <row r="67" spans="2:22" hidden="1" outlineLevel="1" x14ac:dyDescent="0.25">
      <c r="B67" s="76" t="s">
        <v>326</v>
      </c>
      <c r="C67" s="77" t="s">
        <v>329</v>
      </c>
      <c r="D67" s="77">
        <v>4.8</v>
      </c>
      <c r="E67" s="78">
        <v>100</v>
      </c>
      <c r="F67" s="79">
        <v>8020</v>
      </c>
      <c r="G67" s="80">
        <v>4.09</v>
      </c>
      <c r="H67" s="78">
        <v>100</v>
      </c>
      <c r="I67" s="79">
        <v>9662</v>
      </c>
      <c r="J67" s="80">
        <v>4.0339999999999998</v>
      </c>
      <c r="K67" s="78">
        <v>100</v>
      </c>
      <c r="L67" s="79">
        <v>8906</v>
      </c>
      <c r="M67" s="80">
        <v>4.0880000000000001</v>
      </c>
      <c r="N67" s="78" t="e">
        <f>NA()</f>
        <v>#N/A</v>
      </c>
      <c r="O67" s="79" t="e">
        <f>NA()</f>
        <v>#N/A</v>
      </c>
      <c r="P67" s="80" t="e">
        <f>NA()</f>
        <v>#N/A</v>
      </c>
      <c r="Q67" s="78" t="e">
        <f>NA()</f>
        <v>#N/A</v>
      </c>
      <c r="R67" s="79" t="e">
        <f>NA()</f>
        <v>#N/A</v>
      </c>
      <c r="S67" s="80" t="e">
        <f>NA()</f>
        <v>#N/A</v>
      </c>
      <c r="T67" s="78" t="e">
        <f>NA()</f>
        <v>#N/A</v>
      </c>
      <c r="U67" s="79" t="e">
        <f>NA()</f>
        <v>#N/A</v>
      </c>
      <c r="V67" s="80" t="e">
        <f>NA()</f>
        <v>#N/A</v>
      </c>
    </row>
    <row r="68" spans="2:22" hidden="1" outlineLevel="1" x14ac:dyDescent="0.25">
      <c r="B68" s="76" t="s">
        <v>326</v>
      </c>
      <c r="C68" s="77" t="s">
        <v>329</v>
      </c>
      <c r="D68" s="77">
        <v>4.8</v>
      </c>
      <c r="E68" s="78">
        <v>120</v>
      </c>
      <c r="F68" s="79">
        <v>8343</v>
      </c>
      <c r="G68" s="80">
        <v>4.0220000000000002</v>
      </c>
      <c r="H68" s="78">
        <v>120</v>
      </c>
      <c r="I68" s="79">
        <v>9397</v>
      </c>
      <c r="J68" s="80">
        <v>3.9470000000000001</v>
      </c>
      <c r="K68" s="78">
        <v>120</v>
      </c>
      <c r="L68" s="79">
        <v>8787</v>
      </c>
      <c r="M68" s="80">
        <v>3.9849999999999999</v>
      </c>
      <c r="N68" s="78" t="e">
        <f>NA()</f>
        <v>#N/A</v>
      </c>
      <c r="O68" s="79" t="e">
        <f>NA()</f>
        <v>#N/A</v>
      </c>
      <c r="P68" s="80" t="e">
        <f>NA()</f>
        <v>#N/A</v>
      </c>
      <c r="Q68" s="78" t="e">
        <f>NA()</f>
        <v>#N/A</v>
      </c>
      <c r="R68" s="79" t="e">
        <f>NA()</f>
        <v>#N/A</v>
      </c>
      <c r="S68" s="80" t="e">
        <f>NA()</f>
        <v>#N/A</v>
      </c>
      <c r="T68" s="78" t="e">
        <f>NA()</f>
        <v>#N/A</v>
      </c>
      <c r="U68" s="79" t="e">
        <f>NA()</f>
        <v>#N/A</v>
      </c>
      <c r="V68" s="80" t="e">
        <f>NA()</f>
        <v>#N/A</v>
      </c>
    </row>
    <row r="69" spans="2:22" hidden="1" outlineLevel="1" x14ac:dyDescent="0.25">
      <c r="B69" s="76" t="s">
        <v>326</v>
      </c>
      <c r="C69" s="77" t="s">
        <v>329</v>
      </c>
      <c r="D69" s="77">
        <v>4.8</v>
      </c>
      <c r="E69" s="78">
        <v>140</v>
      </c>
      <c r="F69" s="79">
        <v>8672</v>
      </c>
      <c r="G69" s="80">
        <v>3.9289999999999998</v>
      </c>
      <c r="H69" s="78">
        <v>140</v>
      </c>
      <c r="I69" s="79">
        <v>10429</v>
      </c>
      <c r="J69" s="80">
        <v>3.8559999999999999</v>
      </c>
      <c r="K69" s="78">
        <v>140</v>
      </c>
      <c r="L69" s="79">
        <v>10899</v>
      </c>
      <c r="M69" s="80">
        <v>3.859</v>
      </c>
      <c r="N69" s="78" t="e">
        <f>NA()</f>
        <v>#N/A</v>
      </c>
      <c r="O69" s="79" t="e">
        <f>NA()</f>
        <v>#N/A</v>
      </c>
      <c r="P69" s="80" t="e">
        <f>NA()</f>
        <v>#N/A</v>
      </c>
      <c r="Q69" s="78" t="e">
        <f>NA()</f>
        <v>#N/A</v>
      </c>
      <c r="R69" s="79" t="e">
        <f>NA()</f>
        <v>#N/A</v>
      </c>
      <c r="S69" s="80" t="e">
        <f>NA()</f>
        <v>#N/A</v>
      </c>
      <c r="T69" s="78" t="e">
        <f>NA()</f>
        <v>#N/A</v>
      </c>
      <c r="U69" s="79" t="e">
        <f>NA()</f>
        <v>#N/A</v>
      </c>
      <c r="V69" s="80" t="e">
        <f>NA()</f>
        <v>#N/A</v>
      </c>
    </row>
    <row r="70" spans="2:22" hidden="1" outlineLevel="1" x14ac:dyDescent="0.25">
      <c r="B70" s="76" t="s">
        <v>326</v>
      </c>
      <c r="C70" s="77" t="s">
        <v>329</v>
      </c>
      <c r="D70" s="77">
        <v>4.8</v>
      </c>
      <c r="E70" s="78">
        <v>160</v>
      </c>
      <c r="F70" s="79">
        <v>9369</v>
      </c>
      <c r="G70" s="80">
        <v>3.8109999999999999</v>
      </c>
      <c r="H70" s="78">
        <v>160</v>
      </c>
      <c r="I70" s="79">
        <v>10994</v>
      </c>
      <c r="J70" s="80">
        <v>3.7450000000000001</v>
      </c>
      <c r="K70" s="78">
        <v>160</v>
      </c>
      <c r="L70" s="79">
        <v>12023</v>
      </c>
      <c r="M70" s="80">
        <v>3.7320000000000002</v>
      </c>
      <c r="N70" s="78" t="e">
        <f>NA()</f>
        <v>#N/A</v>
      </c>
      <c r="O70" s="79" t="e">
        <f>NA()</f>
        <v>#N/A</v>
      </c>
      <c r="P70" s="80" t="e">
        <f>NA()</f>
        <v>#N/A</v>
      </c>
      <c r="Q70" s="78" t="e">
        <f>NA()</f>
        <v>#N/A</v>
      </c>
      <c r="R70" s="79" t="e">
        <f>NA()</f>
        <v>#N/A</v>
      </c>
      <c r="S70" s="80" t="e">
        <f>NA()</f>
        <v>#N/A</v>
      </c>
      <c r="T70" s="78" t="e">
        <f>NA()</f>
        <v>#N/A</v>
      </c>
      <c r="U70" s="79" t="e">
        <f>NA()</f>
        <v>#N/A</v>
      </c>
      <c r="V70" s="80" t="e">
        <f>NA()</f>
        <v>#N/A</v>
      </c>
    </row>
    <row r="71" spans="2:22" hidden="1" outlineLevel="1" x14ac:dyDescent="0.25">
      <c r="B71" s="76" t="s">
        <v>326</v>
      </c>
      <c r="C71" s="77" t="s">
        <v>329</v>
      </c>
      <c r="D71" s="77">
        <v>4.8</v>
      </c>
      <c r="E71" s="78">
        <v>180</v>
      </c>
      <c r="F71" s="79">
        <v>10285</v>
      </c>
      <c r="G71" s="80">
        <v>3.6920000000000002</v>
      </c>
      <c r="H71" s="78">
        <v>180</v>
      </c>
      <c r="I71" s="79">
        <v>11933</v>
      </c>
      <c r="J71" s="80">
        <v>3.633</v>
      </c>
      <c r="K71" s="78">
        <v>180</v>
      </c>
      <c r="L71" s="79">
        <v>13539</v>
      </c>
      <c r="M71" s="80">
        <v>3.6309999999999998</v>
      </c>
      <c r="N71" s="78" t="e">
        <f>NA()</f>
        <v>#N/A</v>
      </c>
      <c r="O71" s="79" t="e">
        <f>NA()</f>
        <v>#N/A</v>
      </c>
      <c r="P71" s="80" t="e">
        <f>NA()</f>
        <v>#N/A</v>
      </c>
      <c r="Q71" s="78" t="e">
        <f>NA()</f>
        <v>#N/A</v>
      </c>
      <c r="R71" s="79" t="e">
        <f>NA()</f>
        <v>#N/A</v>
      </c>
      <c r="S71" s="80" t="e">
        <f>NA()</f>
        <v>#N/A</v>
      </c>
      <c r="T71" s="78" t="e">
        <f>NA()</f>
        <v>#N/A</v>
      </c>
      <c r="U71" s="79" t="e">
        <f>NA()</f>
        <v>#N/A</v>
      </c>
      <c r="V71" s="80" t="e">
        <f>NA()</f>
        <v>#N/A</v>
      </c>
    </row>
    <row r="72" spans="2:22" hidden="1" outlineLevel="1" x14ac:dyDescent="0.25">
      <c r="B72" s="76" t="s">
        <v>326</v>
      </c>
      <c r="C72" s="77" t="s">
        <v>329</v>
      </c>
      <c r="D72" s="77">
        <v>4.8</v>
      </c>
      <c r="E72" s="78">
        <v>200</v>
      </c>
      <c r="F72" s="79">
        <v>11132</v>
      </c>
      <c r="G72" s="80">
        <v>3.5760000000000001</v>
      </c>
      <c r="H72" s="78">
        <v>200</v>
      </c>
      <c r="I72" s="79">
        <v>12880</v>
      </c>
      <c r="J72" s="80">
        <v>3.54</v>
      </c>
      <c r="K72" s="78">
        <v>200</v>
      </c>
      <c r="L72" s="79">
        <v>14366</v>
      </c>
      <c r="M72" s="80">
        <v>3.5430000000000001</v>
      </c>
      <c r="N72" s="78" t="e">
        <f>NA()</f>
        <v>#N/A</v>
      </c>
      <c r="O72" s="79" t="e">
        <f>NA()</f>
        <v>#N/A</v>
      </c>
      <c r="P72" s="80" t="e">
        <f>NA()</f>
        <v>#N/A</v>
      </c>
      <c r="Q72" s="78" t="e">
        <f>NA()</f>
        <v>#N/A</v>
      </c>
      <c r="R72" s="79" t="e">
        <f>NA()</f>
        <v>#N/A</v>
      </c>
      <c r="S72" s="80" t="e">
        <f>NA()</f>
        <v>#N/A</v>
      </c>
      <c r="T72" s="78" t="e">
        <f>NA()</f>
        <v>#N/A</v>
      </c>
      <c r="U72" s="79" t="e">
        <f>NA()</f>
        <v>#N/A</v>
      </c>
      <c r="V72" s="80" t="e">
        <f>NA()</f>
        <v>#N/A</v>
      </c>
    </row>
    <row r="73" spans="2:22" hidden="1" outlineLevel="1" x14ac:dyDescent="0.25">
      <c r="B73" s="76" t="s">
        <v>326</v>
      </c>
      <c r="C73" s="77" t="s">
        <v>329</v>
      </c>
      <c r="D73" s="77">
        <v>4.8</v>
      </c>
      <c r="E73" s="78">
        <v>220</v>
      </c>
      <c r="F73" s="79">
        <v>12260</v>
      </c>
      <c r="G73" s="80">
        <v>3.4740000000000002</v>
      </c>
      <c r="H73" s="78">
        <v>220</v>
      </c>
      <c r="I73" s="79">
        <v>15162</v>
      </c>
      <c r="J73" s="80">
        <v>3.448</v>
      </c>
      <c r="K73" s="78">
        <v>220</v>
      </c>
      <c r="L73" s="79">
        <v>14036</v>
      </c>
      <c r="M73" s="80">
        <v>3.464</v>
      </c>
      <c r="N73" s="78" t="e">
        <f>NA()</f>
        <v>#N/A</v>
      </c>
      <c r="O73" s="79" t="e">
        <f>NA()</f>
        <v>#N/A</v>
      </c>
      <c r="P73" s="80" t="e">
        <f>NA()</f>
        <v>#N/A</v>
      </c>
      <c r="Q73" s="78" t="e">
        <f>NA()</f>
        <v>#N/A</v>
      </c>
      <c r="R73" s="79" t="e">
        <f>NA()</f>
        <v>#N/A</v>
      </c>
      <c r="S73" s="80" t="e">
        <f>NA()</f>
        <v>#N/A</v>
      </c>
      <c r="T73" s="78" t="e">
        <f>NA()</f>
        <v>#N/A</v>
      </c>
      <c r="U73" s="79" t="e">
        <f>NA()</f>
        <v>#N/A</v>
      </c>
      <c r="V73" s="80" t="e">
        <f>NA()</f>
        <v>#N/A</v>
      </c>
    </row>
    <row r="74" spans="2:22" hidden="1" outlineLevel="1" x14ac:dyDescent="0.25">
      <c r="B74" s="76" t="s">
        <v>326</v>
      </c>
      <c r="C74" s="77" t="s">
        <v>329</v>
      </c>
      <c r="D74" s="77">
        <v>4.8</v>
      </c>
      <c r="E74" s="78">
        <v>240</v>
      </c>
      <c r="F74" s="79">
        <v>13385</v>
      </c>
      <c r="G74" s="80">
        <v>3.3679999999999999</v>
      </c>
      <c r="H74" s="78">
        <v>240</v>
      </c>
      <c r="I74" s="79">
        <v>15319</v>
      </c>
      <c r="J74" s="80">
        <v>3.3639999999999999</v>
      </c>
      <c r="K74" s="78">
        <v>240</v>
      </c>
      <c r="L74" s="79">
        <v>16597</v>
      </c>
      <c r="M74" s="80">
        <v>3.3940000000000001</v>
      </c>
      <c r="N74" s="78" t="e">
        <f>NA()</f>
        <v>#N/A</v>
      </c>
      <c r="O74" s="79" t="e">
        <f>NA()</f>
        <v>#N/A</v>
      </c>
      <c r="P74" s="80" t="e">
        <f>NA()</f>
        <v>#N/A</v>
      </c>
      <c r="Q74" s="78" t="e">
        <f>NA()</f>
        <v>#N/A</v>
      </c>
      <c r="R74" s="79" t="e">
        <f>NA()</f>
        <v>#N/A</v>
      </c>
      <c r="S74" s="80" t="e">
        <f>NA()</f>
        <v>#N/A</v>
      </c>
      <c r="T74" s="78" t="e">
        <f>NA()</f>
        <v>#N/A</v>
      </c>
      <c r="U74" s="79" t="e">
        <f>NA()</f>
        <v>#N/A</v>
      </c>
      <c r="V74" s="80" t="e">
        <f>NA()</f>
        <v>#N/A</v>
      </c>
    </row>
    <row r="75" spans="2:22" hidden="1" outlineLevel="1" x14ac:dyDescent="0.25">
      <c r="B75" s="76" t="s">
        <v>326</v>
      </c>
      <c r="C75" s="77" t="s">
        <v>329</v>
      </c>
      <c r="D75" s="77">
        <v>4.8</v>
      </c>
      <c r="E75" s="78">
        <v>260</v>
      </c>
      <c r="F75" s="79">
        <v>14504</v>
      </c>
      <c r="G75" s="80">
        <v>3.258</v>
      </c>
      <c r="H75" s="78">
        <v>260</v>
      </c>
      <c r="I75" s="79">
        <v>15964</v>
      </c>
      <c r="J75" s="80">
        <v>3.2850000000000001</v>
      </c>
      <c r="K75" s="78">
        <v>260</v>
      </c>
      <c r="L75" s="79">
        <v>16861</v>
      </c>
      <c r="M75" s="80">
        <v>3.3250000000000002</v>
      </c>
      <c r="N75" s="78" t="e">
        <f>NA()</f>
        <v>#N/A</v>
      </c>
      <c r="O75" s="79" t="e">
        <f>NA()</f>
        <v>#N/A</v>
      </c>
      <c r="P75" s="80" t="e">
        <f>NA()</f>
        <v>#N/A</v>
      </c>
      <c r="Q75" s="78" t="e">
        <f>NA()</f>
        <v>#N/A</v>
      </c>
      <c r="R75" s="79" t="e">
        <f>NA()</f>
        <v>#N/A</v>
      </c>
      <c r="S75" s="80" t="e">
        <f>NA()</f>
        <v>#N/A</v>
      </c>
      <c r="T75" s="78" t="e">
        <f>NA()</f>
        <v>#N/A</v>
      </c>
      <c r="U75" s="79" t="e">
        <f>NA()</f>
        <v>#N/A</v>
      </c>
      <c r="V75" s="80" t="e">
        <f>NA()</f>
        <v>#N/A</v>
      </c>
    </row>
    <row r="76" spans="2:22" hidden="1" outlineLevel="1" x14ac:dyDescent="0.25">
      <c r="B76" s="76" t="s">
        <v>326</v>
      </c>
      <c r="C76" s="77" t="s">
        <v>329</v>
      </c>
      <c r="D76" s="77">
        <v>4.8</v>
      </c>
      <c r="E76" s="78">
        <v>280</v>
      </c>
      <c r="F76" s="79">
        <v>15659</v>
      </c>
      <c r="G76" s="80">
        <v>3.1760000000000002</v>
      </c>
      <c r="H76" s="78">
        <v>280</v>
      </c>
      <c r="I76" s="79">
        <v>15549</v>
      </c>
      <c r="J76" s="80">
        <v>3.2029999999999998</v>
      </c>
      <c r="K76" s="78">
        <v>280</v>
      </c>
      <c r="L76" s="79">
        <v>19154</v>
      </c>
      <c r="M76" s="80">
        <v>3.2570000000000001</v>
      </c>
      <c r="N76" s="78" t="e">
        <f>NA()</f>
        <v>#N/A</v>
      </c>
      <c r="O76" s="79" t="e">
        <f>NA()</f>
        <v>#N/A</v>
      </c>
      <c r="P76" s="80" t="e">
        <f>NA()</f>
        <v>#N/A</v>
      </c>
      <c r="Q76" s="78" t="e">
        <f>NA()</f>
        <v>#N/A</v>
      </c>
      <c r="R76" s="79" t="e">
        <f>NA()</f>
        <v>#N/A</v>
      </c>
      <c r="S76" s="80" t="e">
        <f>NA()</f>
        <v>#N/A</v>
      </c>
      <c r="T76" s="78" t="e">
        <f>NA()</f>
        <v>#N/A</v>
      </c>
      <c r="U76" s="79" t="e">
        <f>NA()</f>
        <v>#N/A</v>
      </c>
      <c r="V76" s="80" t="e">
        <f>NA()</f>
        <v>#N/A</v>
      </c>
    </row>
    <row r="77" spans="2:22" hidden="1" outlineLevel="1" x14ac:dyDescent="0.25">
      <c r="B77" s="76" t="s">
        <v>326</v>
      </c>
      <c r="C77" s="77" t="s">
        <v>329</v>
      </c>
      <c r="D77" s="77">
        <v>4.8</v>
      </c>
      <c r="E77" s="78">
        <v>300</v>
      </c>
      <c r="F77" s="79">
        <v>17140</v>
      </c>
      <c r="G77" s="80">
        <v>3.1349999999999998</v>
      </c>
      <c r="H77" s="78">
        <v>300</v>
      </c>
      <c r="I77" s="79">
        <v>17577</v>
      </c>
      <c r="J77" s="80">
        <v>3.1459999999999999</v>
      </c>
      <c r="K77" s="78">
        <v>300</v>
      </c>
      <c r="L77" s="79">
        <v>22016</v>
      </c>
      <c r="M77" s="80">
        <v>3.1970000000000001</v>
      </c>
      <c r="N77" s="78" t="e">
        <f>NA()</f>
        <v>#N/A</v>
      </c>
      <c r="O77" s="79" t="e">
        <f>NA()</f>
        <v>#N/A</v>
      </c>
      <c r="P77" s="80" t="e">
        <f>NA()</f>
        <v>#N/A</v>
      </c>
      <c r="Q77" s="78" t="e">
        <f>NA()</f>
        <v>#N/A</v>
      </c>
      <c r="R77" s="79" t="e">
        <f>NA()</f>
        <v>#N/A</v>
      </c>
      <c r="S77" s="80" t="e">
        <f>NA()</f>
        <v>#N/A</v>
      </c>
      <c r="T77" s="78" t="e">
        <f>NA()</f>
        <v>#N/A</v>
      </c>
      <c r="U77" s="79" t="e">
        <f>NA()</f>
        <v>#N/A</v>
      </c>
      <c r="V77" s="80" t="e">
        <f>NA()</f>
        <v>#N/A</v>
      </c>
    </row>
    <row r="78" spans="2:22" hidden="1" outlineLevel="1" x14ac:dyDescent="0.25">
      <c r="B78" s="76" t="s">
        <v>326</v>
      </c>
      <c r="C78" s="77" t="s">
        <v>329</v>
      </c>
      <c r="D78" s="77">
        <v>4.8</v>
      </c>
      <c r="E78" s="78">
        <v>320</v>
      </c>
      <c r="F78" s="79">
        <v>18466</v>
      </c>
      <c r="G78" s="80">
        <v>3.1110000000000002</v>
      </c>
      <c r="H78" s="78">
        <v>320</v>
      </c>
      <c r="I78" s="79">
        <v>19363</v>
      </c>
      <c r="J78" s="80">
        <v>3.1070000000000002</v>
      </c>
      <c r="K78" s="78">
        <v>320</v>
      </c>
      <c r="L78" s="79">
        <v>23229</v>
      </c>
      <c r="M78" s="80">
        <v>3.1669999999999998</v>
      </c>
      <c r="N78" s="78" t="e">
        <f>NA()</f>
        <v>#N/A</v>
      </c>
      <c r="O78" s="79" t="e">
        <f>NA()</f>
        <v>#N/A</v>
      </c>
      <c r="P78" s="80" t="e">
        <f>NA()</f>
        <v>#N/A</v>
      </c>
      <c r="Q78" s="78" t="e">
        <f>NA()</f>
        <v>#N/A</v>
      </c>
      <c r="R78" s="79" t="e">
        <f>NA()</f>
        <v>#N/A</v>
      </c>
      <c r="S78" s="80" t="e">
        <f>NA()</f>
        <v>#N/A</v>
      </c>
      <c r="T78" s="78" t="e">
        <f>NA()</f>
        <v>#N/A</v>
      </c>
      <c r="U78" s="79" t="e">
        <f>NA()</f>
        <v>#N/A</v>
      </c>
      <c r="V78" s="80" t="e">
        <f>NA()</f>
        <v>#N/A</v>
      </c>
    </row>
    <row r="79" spans="2:22" hidden="1" outlineLevel="1" x14ac:dyDescent="0.25">
      <c r="B79" s="76" t="s">
        <v>326</v>
      </c>
      <c r="C79" s="77" t="s">
        <v>329</v>
      </c>
      <c r="D79" s="77">
        <v>4.8</v>
      </c>
      <c r="E79" s="78">
        <v>340</v>
      </c>
      <c r="F79" s="79">
        <v>20028</v>
      </c>
      <c r="G79" s="80">
        <v>3.0950000000000002</v>
      </c>
      <c r="H79" s="78">
        <v>340</v>
      </c>
      <c r="I79" s="79">
        <v>21361</v>
      </c>
      <c r="J79" s="80">
        <v>3.081</v>
      </c>
      <c r="K79" s="78">
        <v>340</v>
      </c>
      <c r="L79" s="79">
        <v>22408</v>
      </c>
      <c r="M79" s="80">
        <v>3.1469999999999998</v>
      </c>
      <c r="N79" s="78" t="e">
        <f>NA()</f>
        <v>#N/A</v>
      </c>
      <c r="O79" s="79" t="e">
        <f>NA()</f>
        <v>#N/A</v>
      </c>
      <c r="P79" s="80" t="e">
        <f>NA()</f>
        <v>#N/A</v>
      </c>
      <c r="Q79" s="78" t="e">
        <f>NA()</f>
        <v>#N/A</v>
      </c>
      <c r="R79" s="79" t="e">
        <f>NA()</f>
        <v>#N/A</v>
      </c>
      <c r="S79" s="80" t="e">
        <f>NA()</f>
        <v>#N/A</v>
      </c>
      <c r="T79" s="78" t="e">
        <f>NA()</f>
        <v>#N/A</v>
      </c>
      <c r="U79" s="79" t="e">
        <f>NA()</f>
        <v>#N/A</v>
      </c>
      <c r="V79" s="80" t="e">
        <f>NA()</f>
        <v>#N/A</v>
      </c>
    </row>
    <row r="80" spans="2:22" hidden="1" outlineLevel="1" x14ac:dyDescent="0.25">
      <c r="B80" s="76" t="s">
        <v>326</v>
      </c>
      <c r="C80" s="77" t="s">
        <v>329</v>
      </c>
      <c r="D80" s="77">
        <v>4.8</v>
      </c>
      <c r="E80" s="78">
        <v>360</v>
      </c>
      <c r="F80" s="79">
        <v>21235</v>
      </c>
      <c r="G80" s="80">
        <v>3.0819999999999999</v>
      </c>
      <c r="H80" s="78">
        <v>360</v>
      </c>
      <c r="I80" s="79">
        <v>23638</v>
      </c>
      <c r="J80" s="80">
        <v>3.0659999999999998</v>
      </c>
      <c r="K80" s="78">
        <v>360</v>
      </c>
      <c r="L80" s="79">
        <v>28183</v>
      </c>
      <c r="M80" s="80">
        <v>3.1389999999999998</v>
      </c>
      <c r="N80" s="78" t="e">
        <f>NA()</f>
        <v>#N/A</v>
      </c>
      <c r="O80" s="79" t="e">
        <f>NA()</f>
        <v>#N/A</v>
      </c>
      <c r="P80" s="80" t="e">
        <f>NA()</f>
        <v>#N/A</v>
      </c>
      <c r="Q80" s="78" t="e">
        <f>NA()</f>
        <v>#N/A</v>
      </c>
      <c r="R80" s="79" t="e">
        <f>NA()</f>
        <v>#N/A</v>
      </c>
      <c r="S80" s="80" t="e">
        <f>NA()</f>
        <v>#N/A</v>
      </c>
      <c r="T80" s="78" t="e">
        <f>NA()</f>
        <v>#N/A</v>
      </c>
      <c r="U80" s="79" t="e">
        <f>NA()</f>
        <v>#N/A</v>
      </c>
      <c r="V80" s="80" t="e">
        <f>NA()</f>
        <v>#N/A</v>
      </c>
    </row>
    <row r="81" spans="2:22" hidden="1" outlineLevel="1" x14ac:dyDescent="0.25">
      <c r="B81" s="76" t="s">
        <v>326</v>
      </c>
      <c r="C81" s="77" t="s">
        <v>329</v>
      </c>
      <c r="D81" s="77">
        <v>4.8</v>
      </c>
      <c r="E81" s="78">
        <v>380</v>
      </c>
      <c r="F81" s="79">
        <v>22406</v>
      </c>
      <c r="G81" s="80">
        <v>3.0720000000000001</v>
      </c>
      <c r="H81" s="78">
        <v>380</v>
      </c>
      <c r="I81" s="79">
        <v>25381</v>
      </c>
      <c r="J81" s="80">
        <v>3.0569999999999999</v>
      </c>
      <c r="K81" s="78">
        <v>380</v>
      </c>
      <c r="L81" s="79">
        <v>26692</v>
      </c>
      <c r="M81" s="80">
        <v>3.129</v>
      </c>
      <c r="N81" s="78" t="e">
        <f>NA()</f>
        <v>#N/A</v>
      </c>
      <c r="O81" s="79" t="e">
        <f>NA()</f>
        <v>#N/A</v>
      </c>
      <c r="P81" s="80" t="e">
        <f>NA()</f>
        <v>#N/A</v>
      </c>
      <c r="Q81" s="78" t="e">
        <f>NA()</f>
        <v>#N/A</v>
      </c>
      <c r="R81" s="79" t="e">
        <f>NA()</f>
        <v>#N/A</v>
      </c>
      <c r="S81" s="80" t="e">
        <f>NA()</f>
        <v>#N/A</v>
      </c>
      <c r="T81" s="78" t="e">
        <f>NA()</f>
        <v>#N/A</v>
      </c>
      <c r="U81" s="79" t="e">
        <f>NA()</f>
        <v>#N/A</v>
      </c>
      <c r="V81" s="80" t="e">
        <f>NA()</f>
        <v>#N/A</v>
      </c>
    </row>
    <row r="82" spans="2:22" hidden="1" outlineLevel="1" x14ac:dyDescent="0.25">
      <c r="B82" s="76" t="s">
        <v>326</v>
      </c>
      <c r="C82" s="77" t="s">
        <v>329</v>
      </c>
      <c r="D82" s="77">
        <v>4.8</v>
      </c>
      <c r="E82" s="78">
        <v>400</v>
      </c>
      <c r="F82" s="79">
        <v>23170</v>
      </c>
      <c r="G82" s="80">
        <v>3.0619999999999998</v>
      </c>
      <c r="H82" s="78">
        <v>400</v>
      </c>
      <c r="I82" s="79">
        <v>27627</v>
      </c>
      <c r="J82" s="80">
        <v>3.05</v>
      </c>
      <c r="K82" s="78">
        <v>400</v>
      </c>
      <c r="L82" s="79">
        <v>31063</v>
      </c>
      <c r="M82" s="80">
        <v>3.1230000000000002</v>
      </c>
      <c r="N82" s="78" t="e">
        <f>NA()</f>
        <v>#N/A</v>
      </c>
      <c r="O82" s="79" t="e">
        <f>NA()</f>
        <v>#N/A</v>
      </c>
      <c r="P82" s="80" t="e">
        <f>NA()</f>
        <v>#N/A</v>
      </c>
      <c r="Q82" s="78" t="e">
        <f>NA()</f>
        <v>#N/A</v>
      </c>
      <c r="R82" s="79" t="e">
        <f>NA()</f>
        <v>#N/A</v>
      </c>
      <c r="S82" s="80" t="e">
        <f>NA()</f>
        <v>#N/A</v>
      </c>
      <c r="T82" s="78" t="e">
        <f>NA()</f>
        <v>#N/A</v>
      </c>
      <c r="U82" s="79" t="e">
        <f>NA()</f>
        <v>#N/A</v>
      </c>
      <c r="V82" s="80" t="e">
        <f>NA()</f>
        <v>#N/A</v>
      </c>
    </row>
    <row r="83" spans="2:22" hidden="1" outlineLevel="1" x14ac:dyDescent="0.25">
      <c r="B83" s="76" t="s">
        <v>326</v>
      </c>
      <c r="C83" s="77" t="s">
        <v>329</v>
      </c>
      <c r="D83" s="77">
        <v>4.8</v>
      </c>
      <c r="E83" s="78">
        <v>420</v>
      </c>
      <c r="F83" s="79">
        <v>24342</v>
      </c>
      <c r="G83" s="80">
        <v>3.0539999999999998</v>
      </c>
      <c r="H83" s="78">
        <v>420</v>
      </c>
      <c r="I83" s="79">
        <v>29613</v>
      </c>
      <c r="J83" s="80">
        <v>3.0430000000000001</v>
      </c>
      <c r="K83" s="78">
        <v>420</v>
      </c>
      <c r="L83" s="79">
        <v>33495</v>
      </c>
      <c r="M83" s="80">
        <v>3.117</v>
      </c>
      <c r="N83" s="78" t="e">
        <f>NA()</f>
        <v>#N/A</v>
      </c>
      <c r="O83" s="79" t="e">
        <f>NA()</f>
        <v>#N/A</v>
      </c>
      <c r="P83" s="80" t="e">
        <f>NA()</f>
        <v>#N/A</v>
      </c>
      <c r="Q83" s="78" t="e">
        <f>NA()</f>
        <v>#N/A</v>
      </c>
      <c r="R83" s="79" t="e">
        <f>NA()</f>
        <v>#N/A</v>
      </c>
      <c r="S83" s="80" t="e">
        <f>NA()</f>
        <v>#N/A</v>
      </c>
      <c r="T83" s="78" t="e">
        <f>NA()</f>
        <v>#N/A</v>
      </c>
      <c r="U83" s="79" t="e">
        <f>NA()</f>
        <v>#N/A</v>
      </c>
      <c r="V83" s="80" t="e">
        <f>NA()</f>
        <v>#N/A</v>
      </c>
    </row>
    <row r="84" spans="2:22" hidden="1" outlineLevel="1" x14ac:dyDescent="0.25">
      <c r="B84" s="76" t="s">
        <v>326</v>
      </c>
      <c r="C84" s="77" t="s">
        <v>329</v>
      </c>
      <c r="D84" s="77">
        <v>4.8</v>
      </c>
      <c r="E84" s="78">
        <v>440</v>
      </c>
      <c r="F84" s="79">
        <v>25525</v>
      </c>
      <c r="G84" s="80">
        <v>3.0459999999999998</v>
      </c>
      <c r="H84" s="78">
        <v>440</v>
      </c>
      <c r="I84" s="79">
        <v>33806</v>
      </c>
      <c r="J84" s="80">
        <v>3.0409999999999999</v>
      </c>
      <c r="K84" s="78">
        <v>440</v>
      </c>
      <c r="L84" s="79">
        <v>34806</v>
      </c>
      <c r="M84" s="80">
        <v>3.113</v>
      </c>
      <c r="N84" s="78" t="e">
        <f>NA()</f>
        <v>#N/A</v>
      </c>
      <c r="O84" s="79" t="e">
        <f>NA()</f>
        <v>#N/A</v>
      </c>
      <c r="P84" s="80" t="e">
        <f>NA()</f>
        <v>#N/A</v>
      </c>
      <c r="Q84" s="78" t="e">
        <f>NA()</f>
        <v>#N/A</v>
      </c>
      <c r="R84" s="79" t="e">
        <f>NA()</f>
        <v>#N/A</v>
      </c>
      <c r="S84" s="80" t="e">
        <f>NA()</f>
        <v>#N/A</v>
      </c>
      <c r="T84" s="78" t="e">
        <f>NA()</f>
        <v>#N/A</v>
      </c>
      <c r="U84" s="79" t="e">
        <f>NA()</f>
        <v>#N/A</v>
      </c>
      <c r="V84" s="80" t="e">
        <f>NA()</f>
        <v>#N/A</v>
      </c>
    </row>
    <row r="85" spans="2:22" hidden="1" outlineLevel="1" x14ac:dyDescent="0.25">
      <c r="B85" s="81" t="s">
        <v>326</v>
      </c>
      <c r="C85" s="82" t="s">
        <v>329</v>
      </c>
      <c r="D85" s="82">
        <v>4.8</v>
      </c>
      <c r="E85" s="83">
        <v>460</v>
      </c>
      <c r="F85" s="84">
        <v>26888</v>
      </c>
      <c r="G85" s="85">
        <v>3.0390000000000001</v>
      </c>
      <c r="H85" s="83">
        <v>460</v>
      </c>
      <c r="I85" s="84">
        <v>36212</v>
      </c>
      <c r="J85" s="85">
        <v>3.036</v>
      </c>
      <c r="K85" s="83">
        <v>460</v>
      </c>
      <c r="L85" s="84">
        <v>39543</v>
      </c>
      <c r="M85" s="85">
        <v>3.1080000000000001</v>
      </c>
      <c r="N85" s="83" t="e">
        <f>NA()</f>
        <v>#N/A</v>
      </c>
      <c r="O85" s="84" t="e">
        <f>NA()</f>
        <v>#N/A</v>
      </c>
      <c r="P85" s="85" t="e">
        <f>NA()</f>
        <v>#N/A</v>
      </c>
      <c r="Q85" s="83" t="e">
        <f>NA()</f>
        <v>#N/A</v>
      </c>
      <c r="R85" s="84" t="e">
        <f>NA()</f>
        <v>#N/A</v>
      </c>
      <c r="S85" s="85" t="e">
        <f>NA()</f>
        <v>#N/A</v>
      </c>
      <c r="T85" s="83" t="e">
        <f>NA()</f>
        <v>#N/A</v>
      </c>
      <c r="U85" s="84" t="e">
        <f>NA()</f>
        <v>#N/A</v>
      </c>
      <c r="V85" s="85" t="e">
        <f>NA()</f>
        <v>#N/A</v>
      </c>
    </row>
    <row r="86" spans="2:22" hidden="1" outlineLevel="1" x14ac:dyDescent="0.25">
      <c r="B86" s="76" t="s">
        <v>337</v>
      </c>
      <c r="C86" s="77" t="s">
        <v>338</v>
      </c>
      <c r="D86" s="77">
        <v>4.5</v>
      </c>
      <c r="E86" s="78">
        <v>0</v>
      </c>
      <c r="F86" s="79">
        <v>0</v>
      </c>
      <c r="G86" s="80">
        <v>5.1379999999999999</v>
      </c>
      <c r="H86" s="78">
        <v>0</v>
      </c>
      <c r="I86" s="79">
        <v>0</v>
      </c>
      <c r="J86" s="80">
        <v>5.157</v>
      </c>
      <c r="K86" s="78">
        <v>0</v>
      </c>
      <c r="L86" s="79">
        <v>0</v>
      </c>
      <c r="M86" s="80">
        <v>5.1369999999999996</v>
      </c>
      <c r="N86" s="78" t="e">
        <f>NA()</f>
        <v>#N/A</v>
      </c>
      <c r="O86" s="79" t="e">
        <f>NA()</f>
        <v>#N/A</v>
      </c>
      <c r="P86" s="80" t="e">
        <f>NA()</f>
        <v>#N/A</v>
      </c>
      <c r="Q86" s="78" t="e">
        <f>NA()</f>
        <v>#N/A</v>
      </c>
      <c r="R86" s="79" t="e">
        <f>NA()</f>
        <v>#N/A</v>
      </c>
      <c r="S86" s="80" t="e">
        <f>NA()</f>
        <v>#N/A</v>
      </c>
      <c r="T86" s="78" t="e">
        <f>NA()</f>
        <v>#N/A</v>
      </c>
      <c r="U86" s="79" t="e">
        <f>NA()</f>
        <v>#N/A</v>
      </c>
      <c r="V86" s="80" t="e">
        <f>NA()</f>
        <v>#N/A</v>
      </c>
    </row>
    <row r="87" spans="2:22" hidden="1" outlineLevel="1" x14ac:dyDescent="0.25">
      <c r="B87" s="76" t="s">
        <v>337</v>
      </c>
      <c r="C87" s="77" t="s">
        <v>338</v>
      </c>
      <c r="D87" s="77">
        <v>4.5</v>
      </c>
      <c r="E87" s="78">
        <v>1</v>
      </c>
      <c r="F87" s="79">
        <v>0</v>
      </c>
      <c r="G87" s="80">
        <v>5.1589999999999998</v>
      </c>
      <c r="H87" s="78">
        <v>1</v>
      </c>
      <c r="I87" s="79">
        <v>0</v>
      </c>
      <c r="J87" s="80">
        <v>5.157</v>
      </c>
      <c r="K87" s="78">
        <v>1</v>
      </c>
      <c r="L87" s="79">
        <v>0</v>
      </c>
      <c r="M87" s="80">
        <v>5.1520000000000001</v>
      </c>
      <c r="N87" s="78" t="e">
        <f>NA()</f>
        <v>#N/A</v>
      </c>
      <c r="O87" s="79" t="e">
        <f>NA()</f>
        <v>#N/A</v>
      </c>
      <c r="P87" s="80" t="e">
        <f>NA()</f>
        <v>#N/A</v>
      </c>
      <c r="Q87" s="78" t="e">
        <f>NA()</f>
        <v>#N/A</v>
      </c>
      <c r="R87" s="79" t="e">
        <f>NA()</f>
        <v>#N/A</v>
      </c>
      <c r="S87" s="80" t="e">
        <f>NA()</f>
        <v>#N/A</v>
      </c>
      <c r="T87" s="78" t="e">
        <f>NA()</f>
        <v>#N/A</v>
      </c>
      <c r="U87" s="79" t="e">
        <f>NA()</f>
        <v>#N/A</v>
      </c>
      <c r="V87" s="80" t="e">
        <f>NA()</f>
        <v>#N/A</v>
      </c>
    </row>
    <row r="88" spans="2:22" hidden="1" outlineLevel="1" x14ac:dyDescent="0.25">
      <c r="B88" s="76" t="s">
        <v>337</v>
      </c>
      <c r="C88" s="77" t="s">
        <v>338</v>
      </c>
      <c r="D88" s="77">
        <v>4.5</v>
      </c>
      <c r="E88" s="78">
        <v>20</v>
      </c>
      <c r="F88" s="79">
        <v>1367</v>
      </c>
      <c r="G88" s="80">
        <v>4.819</v>
      </c>
      <c r="H88" s="78">
        <v>20</v>
      </c>
      <c r="I88" s="79">
        <v>1788</v>
      </c>
      <c r="J88" s="80">
        <v>4.7510000000000003</v>
      </c>
      <c r="K88" s="78">
        <v>20</v>
      </c>
      <c r="L88" s="79">
        <v>2605</v>
      </c>
      <c r="M88" s="80">
        <v>4.8600000000000003</v>
      </c>
      <c r="N88" s="78" t="e">
        <f>NA()</f>
        <v>#N/A</v>
      </c>
      <c r="O88" s="79" t="e">
        <f>NA()</f>
        <v>#N/A</v>
      </c>
      <c r="P88" s="80" t="e">
        <f>NA()</f>
        <v>#N/A</v>
      </c>
      <c r="Q88" s="78" t="e">
        <f>NA()</f>
        <v>#N/A</v>
      </c>
      <c r="R88" s="79" t="e">
        <f>NA()</f>
        <v>#N/A</v>
      </c>
      <c r="S88" s="80" t="e">
        <f>NA()</f>
        <v>#N/A</v>
      </c>
      <c r="T88" s="78" t="e">
        <f>NA()</f>
        <v>#N/A</v>
      </c>
      <c r="U88" s="79" t="e">
        <f>NA()</f>
        <v>#N/A</v>
      </c>
      <c r="V88" s="80" t="e">
        <f>NA()</f>
        <v>#N/A</v>
      </c>
    </row>
    <row r="89" spans="2:22" hidden="1" outlineLevel="1" x14ac:dyDescent="0.25">
      <c r="B89" s="76" t="s">
        <v>337</v>
      </c>
      <c r="C89" s="77" t="s">
        <v>338</v>
      </c>
      <c r="D89" s="77">
        <v>4.5</v>
      </c>
      <c r="E89" s="78">
        <v>30</v>
      </c>
      <c r="F89" s="79">
        <v>1907</v>
      </c>
      <c r="G89" s="80">
        <v>4.6849999999999996</v>
      </c>
      <c r="H89" s="78">
        <v>30</v>
      </c>
      <c r="I89" s="79">
        <v>2515</v>
      </c>
      <c r="J89" s="80">
        <v>4.6399999999999997</v>
      </c>
      <c r="K89" s="78">
        <v>30</v>
      </c>
      <c r="L89" s="79">
        <v>2881</v>
      </c>
      <c r="M89" s="80">
        <v>4.7690000000000001</v>
      </c>
      <c r="N89" s="78" t="e">
        <f>NA()</f>
        <v>#N/A</v>
      </c>
      <c r="O89" s="79" t="e">
        <f>NA()</f>
        <v>#N/A</v>
      </c>
      <c r="P89" s="80" t="e">
        <f>NA()</f>
        <v>#N/A</v>
      </c>
      <c r="Q89" s="78" t="e">
        <f>NA()</f>
        <v>#N/A</v>
      </c>
      <c r="R89" s="79" t="e">
        <f>NA()</f>
        <v>#N/A</v>
      </c>
      <c r="S89" s="80" t="e">
        <f>NA()</f>
        <v>#N/A</v>
      </c>
      <c r="T89" s="78" t="e">
        <f>NA()</f>
        <v>#N/A</v>
      </c>
      <c r="U89" s="79" t="e">
        <f>NA()</f>
        <v>#N/A</v>
      </c>
      <c r="V89" s="80" t="e">
        <f>NA()</f>
        <v>#N/A</v>
      </c>
    </row>
    <row r="90" spans="2:22" hidden="1" outlineLevel="1" x14ac:dyDescent="0.25">
      <c r="B90" s="76" t="s">
        <v>337</v>
      </c>
      <c r="C90" s="77" t="s">
        <v>338</v>
      </c>
      <c r="D90" s="77">
        <v>4.5</v>
      </c>
      <c r="E90" s="78">
        <v>40</v>
      </c>
      <c r="F90" s="79">
        <v>2515</v>
      </c>
      <c r="G90" s="80">
        <v>4.5789999999999997</v>
      </c>
      <c r="H90" s="78">
        <v>40</v>
      </c>
      <c r="I90" s="79">
        <v>3114</v>
      </c>
      <c r="J90" s="80">
        <v>4.5350000000000001</v>
      </c>
      <c r="K90" s="78">
        <v>40</v>
      </c>
      <c r="L90" s="79">
        <v>3587</v>
      </c>
      <c r="M90" s="80">
        <v>4.6879999999999997</v>
      </c>
      <c r="N90" s="78" t="e">
        <f>NA()</f>
        <v>#N/A</v>
      </c>
      <c r="O90" s="79" t="e">
        <f>NA()</f>
        <v>#N/A</v>
      </c>
      <c r="P90" s="80" t="e">
        <f>NA()</f>
        <v>#N/A</v>
      </c>
      <c r="Q90" s="78" t="e">
        <f>NA()</f>
        <v>#N/A</v>
      </c>
      <c r="R90" s="79" t="e">
        <f>NA()</f>
        <v>#N/A</v>
      </c>
      <c r="S90" s="80" t="e">
        <f>NA()</f>
        <v>#N/A</v>
      </c>
      <c r="T90" s="78" t="e">
        <f>NA()</f>
        <v>#N/A</v>
      </c>
      <c r="U90" s="79" t="e">
        <f>NA()</f>
        <v>#N/A</v>
      </c>
      <c r="V90" s="80" t="e">
        <f>NA()</f>
        <v>#N/A</v>
      </c>
    </row>
    <row r="91" spans="2:22" hidden="1" outlineLevel="1" x14ac:dyDescent="0.25">
      <c r="B91" s="76" t="s">
        <v>337</v>
      </c>
      <c r="C91" s="77" t="s">
        <v>338</v>
      </c>
      <c r="D91" s="77">
        <v>4.5</v>
      </c>
      <c r="E91" s="78">
        <v>50</v>
      </c>
      <c r="F91" s="79">
        <v>3068</v>
      </c>
      <c r="G91" s="80">
        <v>4.4980000000000002</v>
      </c>
      <c r="H91" s="78">
        <v>50</v>
      </c>
      <c r="I91" s="79">
        <v>3661</v>
      </c>
      <c r="J91" s="80">
        <v>4.46</v>
      </c>
      <c r="K91" s="78">
        <v>50</v>
      </c>
      <c r="L91" s="79">
        <v>4404</v>
      </c>
      <c r="M91" s="80">
        <v>4.6360000000000001</v>
      </c>
      <c r="N91" s="78" t="e">
        <f>NA()</f>
        <v>#N/A</v>
      </c>
      <c r="O91" s="79" t="e">
        <f>NA()</f>
        <v>#N/A</v>
      </c>
      <c r="P91" s="80" t="e">
        <f>NA()</f>
        <v>#N/A</v>
      </c>
      <c r="Q91" s="78" t="e">
        <f>NA()</f>
        <v>#N/A</v>
      </c>
      <c r="R91" s="79" t="e">
        <f>NA()</f>
        <v>#N/A</v>
      </c>
      <c r="S91" s="80" t="e">
        <f>NA()</f>
        <v>#N/A</v>
      </c>
      <c r="T91" s="78" t="e">
        <f>NA()</f>
        <v>#N/A</v>
      </c>
      <c r="U91" s="79" t="e">
        <f>NA()</f>
        <v>#N/A</v>
      </c>
      <c r="V91" s="80" t="e">
        <f>NA()</f>
        <v>#N/A</v>
      </c>
    </row>
    <row r="92" spans="2:22" hidden="1" outlineLevel="1" x14ac:dyDescent="0.25">
      <c r="B92" s="76" t="s">
        <v>337</v>
      </c>
      <c r="C92" s="77" t="s">
        <v>338</v>
      </c>
      <c r="D92" s="77">
        <v>4.5</v>
      </c>
      <c r="E92" s="78">
        <v>60</v>
      </c>
      <c r="F92" s="79">
        <v>3816</v>
      </c>
      <c r="G92" s="80">
        <v>4.4390000000000001</v>
      </c>
      <c r="H92" s="78">
        <v>60</v>
      </c>
      <c r="I92" s="79">
        <v>4528</v>
      </c>
      <c r="J92" s="80">
        <v>4.4009999999999998</v>
      </c>
      <c r="K92" s="78">
        <v>60</v>
      </c>
      <c r="L92" s="79">
        <v>5703</v>
      </c>
      <c r="M92" s="80">
        <v>4.5919999999999996</v>
      </c>
      <c r="N92" s="78" t="e">
        <f>NA()</f>
        <v>#N/A</v>
      </c>
      <c r="O92" s="79" t="e">
        <f>NA()</f>
        <v>#N/A</v>
      </c>
      <c r="P92" s="80" t="e">
        <f>NA()</f>
        <v>#N/A</v>
      </c>
      <c r="Q92" s="78" t="e">
        <f>NA()</f>
        <v>#N/A</v>
      </c>
      <c r="R92" s="79" t="e">
        <f>NA()</f>
        <v>#N/A</v>
      </c>
      <c r="S92" s="80" t="e">
        <f>NA()</f>
        <v>#N/A</v>
      </c>
      <c r="T92" s="78" t="e">
        <f>NA()</f>
        <v>#N/A</v>
      </c>
      <c r="U92" s="79" t="e">
        <f>NA()</f>
        <v>#N/A</v>
      </c>
      <c r="V92" s="80" t="e">
        <f>NA()</f>
        <v>#N/A</v>
      </c>
    </row>
    <row r="93" spans="2:22" hidden="1" outlineLevel="1" x14ac:dyDescent="0.25">
      <c r="B93" s="76" t="s">
        <v>337</v>
      </c>
      <c r="C93" s="77" t="s">
        <v>338</v>
      </c>
      <c r="D93" s="77">
        <v>4.5</v>
      </c>
      <c r="E93" s="78">
        <v>80</v>
      </c>
      <c r="F93" s="79">
        <v>4754</v>
      </c>
      <c r="G93" s="80">
        <v>4.3319999999999999</v>
      </c>
      <c r="H93" s="78">
        <v>80</v>
      </c>
      <c r="I93" s="79">
        <v>5626</v>
      </c>
      <c r="J93" s="80">
        <v>4.2990000000000004</v>
      </c>
      <c r="K93" s="78">
        <v>80</v>
      </c>
      <c r="L93" s="79">
        <v>7545</v>
      </c>
      <c r="M93" s="80">
        <v>4.5019999999999998</v>
      </c>
      <c r="N93" s="78" t="e">
        <f>NA()</f>
        <v>#N/A</v>
      </c>
      <c r="O93" s="79" t="e">
        <f>NA()</f>
        <v>#N/A</v>
      </c>
      <c r="P93" s="80" t="e">
        <f>NA()</f>
        <v>#N/A</v>
      </c>
      <c r="Q93" s="78" t="e">
        <f>NA()</f>
        <v>#N/A</v>
      </c>
      <c r="R93" s="79" t="e">
        <f>NA()</f>
        <v>#N/A</v>
      </c>
      <c r="S93" s="80" t="e">
        <f>NA()</f>
        <v>#N/A</v>
      </c>
      <c r="T93" s="78" t="e">
        <f>NA()</f>
        <v>#N/A</v>
      </c>
      <c r="U93" s="79" t="e">
        <f>NA()</f>
        <v>#N/A</v>
      </c>
      <c r="V93" s="80" t="e">
        <f>NA()</f>
        <v>#N/A</v>
      </c>
    </row>
    <row r="94" spans="2:22" hidden="1" outlineLevel="1" x14ac:dyDescent="0.25">
      <c r="B94" s="76" t="s">
        <v>337</v>
      </c>
      <c r="C94" s="77" t="s">
        <v>338</v>
      </c>
      <c r="D94" s="77">
        <v>4.5</v>
      </c>
      <c r="E94" s="78">
        <v>100</v>
      </c>
      <c r="F94" s="79">
        <v>5403</v>
      </c>
      <c r="G94" s="80">
        <v>4.2290000000000001</v>
      </c>
      <c r="H94" s="78">
        <v>100</v>
      </c>
      <c r="I94" s="79">
        <v>6086</v>
      </c>
      <c r="J94" s="80">
        <v>4.1970000000000001</v>
      </c>
      <c r="K94" s="78">
        <v>100</v>
      </c>
      <c r="L94" s="79">
        <v>8663</v>
      </c>
      <c r="M94" s="80">
        <v>4.415</v>
      </c>
      <c r="N94" s="78" t="e">
        <f>NA()</f>
        <v>#N/A</v>
      </c>
      <c r="O94" s="79" t="e">
        <f>NA()</f>
        <v>#N/A</v>
      </c>
      <c r="P94" s="80" t="e">
        <f>NA()</f>
        <v>#N/A</v>
      </c>
      <c r="Q94" s="78" t="e">
        <f>NA()</f>
        <v>#N/A</v>
      </c>
      <c r="R94" s="79" t="e">
        <f>NA()</f>
        <v>#N/A</v>
      </c>
      <c r="S94" s="80" t="e">
        <f>NA()</f>
        <v>#N/A</v>
      </c>
      <c r="T94" s="78" t="e">
        <f>NA()</f>
        <v>#N/A</v>
      </c>
      <c r="U94" s="79" t="e">
        <f>NA()</f>
        <v>#N/A</v>
      </c>
      <c r="V94" s="80" t="e">
        <f>NA()</f>
        <v>#N/A</v>
      </c>
    </row>
    <row r="95" spans="2:22" hidden="1" outlineLevel="1" x14ac:dyDescent="0.25">
      <c r="B95" s="76" t="s">
        <v>337</v>
      </c>
      <c r="C95" s="77" t="s">
        <v>338</v>
      </c>
      <c r="D95" s="77">
        <v>4.5</v>
      </c>
      <c r="E95" s="78">
        <v>120</v>
      </c>
      <c r="F95" s="79">
        <v>5708</v>
      </c>
      <c r="G95" s="80">
        <v>4.0880000000000001</v>
      </c>
      <c r="H95" s="78">
        <v>120</v>
      </c>
      <c r="I95" s="79">
        <v>6671</v>
      </c>
      <c r="J95" s="80">
        <v>4.0209999999999999</v>
      </c>
      <c r="K95" s="78">
        <v>120</v>
      </c>
      <c r="L95" s="79">
        <v>10048</v>
      </c>
      <c r="M95" s="80">
        <v>4.3159999999999998</v>
      </c>
      <c r="N95" s="78" t="e">
        <f>NA()</f>
        <v>#N/A</v>
      </c>
      <c r="O95" s="79" t="e">
        <f>NA()</f>
        <v>#N/A</v>
      </c>
      <c r="P95" s="80" t="e">
        <f>NA()</f>
        <v>#N/A</v>
      </c>
      <c r="Q95" s="78" t="e">
        <f>NA()</f>
        <v>#N/A</v>
      </c>
      <c r="R95" s="79" t="e">
        <f>NA()</f>
        <v>#N/A</v>
      </c>
      <c r="S95" s="80" t="e">
        <f>NA()</f>
        <v>#N/A</v>
      </c>
      <c r="T95" s="78" t="e">
        <f>NA()</f>
        <v>#N/A</v>
      </c>
      <c r="U95" s="79" t="e">
        <f>NA()</f>
        <v>#N/A</v>
      </c>
      <c r="V95" s="80" t="e">
        <f>NA()</f>
        <v>#N/A</v>
      </c>
    </row>
    <row r="96" spans="2:22" hidden="1" outlineLevel="1" x14ac:dyDescent="0.25">
      <c r="B96" s="76" t="s">
        <v>337</v>
      </c>
      <c r="C96" s="77" t="s">
        <v>338</v>
      </c>
      <c r="D96" s="77">
        <v>4.5</v>
      </c>
      <c r="E96" s="78">
        <v>140</v>
      </c>
      <c r="F96" s="79">
        <v>5757</v>
      </c>
      <c r="G96" s="80">
        <v>3.8660000000000001</v>
      </c>
      <c r="H96" s="78">
        <v>140</v>
      </c>
      <c r="I96" s="79">
        <v>7342</v>
      </c>
      <c r="J96" s="80">
        <v>3.8650000000000002</v>
      </c>
      <c r="K96" s="78">
        <v>140</v>
      </c>
      <c r="L96" s="79">
        <v>10683</v>
      </c>
      <c r="M96" s="80">
        <v>4.1479999999999997</v>
      </c>
      <c r="N96" s="78" t="e">
        <f>NA()</f>
        <v>#N/A</v>
      </c>
      <c r="O96" s="79" t="e">
        <f>NA()</f>
        <v>#N/A</v>
      </c>
      <c r="P96" s="80" t="e">
        <f>NA()</f>
        <v>#N/A</v>
      </c>
      <c r="Q96" s="78" t="e">
        <f>NA()</f>
        <v>#N/A</v>
      </c>
      <c r="R96" s="79" t="e">
        <f>NA()</f>
        <v>#N/A</v>
      </c>
      <c r="S96" s="80" t="e">
        <f>NA()</f>
        <v>#N/A</v>
      </c>
      <c r="T96" s="78" t="e">
        <f>NA()</f>
        <v>#N/A</v>
      </c>
      <c r="U96" s="79" t="e">
        <f>NA()</f>
        <v>#N/A</v>
      </c>
      <c r="V96" s="80" t="e">
        <f>NA()</f>
        <v>#N/A</v>
      </c>
    </row>
    <row r="97" spans="2:22" hidden="1" outlineLevel="1" x14ac:dyDescent="0.25">
      <c r="B97" s="76" t="s">
        <v>337</v>
      </c>
      <c r="C97" s="77" t="s">
        <v>338</v>
      </c>
      <c r="D97" s="77">
        <v>4.5</v>
      </c>
      <c r="E97" s="78">
        <v>160</v>
      </c>
      <c r="F97" s="79">
        <v>6167</v>
      </c>
      <c r="G97" s="80">
        <v>3.6509999999999998</v>
      </c>
      <c r="H97" s="78">
        <v>160</v>
      </c>
      <c r="I97" s="79">
        <v>8185</v>
      </c>
      <c r="J97" s="80">
        <v>3.734</v>
      </c>
      <c r="K97" s="78">
        <v>160</v>
      </c>
      <c r="L97" s="79">
        <v>11639</v>
      </c>
      <c r="M97" s="80">
        <v>3.99</v>
      </c>
      <c r="N97" s="78" t="e">
        <f>NA()</f>
        <v>#N/A</v>
      </c>
      <c r="O97" s="79" t="e">
        <f>NA()</f>
        <v>#N/A</v>
      </c>
      <c r="P97" s="80" t="e">
        <f>NA()</f>
        <v>#N/A</v>
      </c>
      <c r="Q97" s="78" t="e">
        <f>NA()</f>
        <v>#N/A</v>
      </c>
      <c r="R97" s="79" t="e">
        <f>NA()</f>
        <v>#N/A</v>
      </c>
      <c r="S97" s="80" t="e">
        <f>NA()</f>
        <v>#N/A</v>
      </c>
      <c r="T97" s="78" t="e">
        <f>NA()</f>
        <v>#N/A</v>
      </c>
      <c r="U97" s="79" t="e">
        <f>NA()</f>
        <v>#N/A</v>
      </c>
      <c r="V97" s="80" t="e">
        <f>NA()</f>
        <v>#N/A</v>
      </c>
    </row>
    <row r="98" spans="2:22" hidden="1" outlineLevel="1" x14ac:dyDescent="0.25">
      <c r="B98" s="76" t="s">
        <v>337</v>
      </c>
      <c r="C98" s="77" t="s">
        <v>338</v>
      </c>
      <c r="D98" s="77">
        <v>4.5</v>
      </c>
      <c r="E98" s="78">
        <v>180</v>
      </c>
      <c r="F98" s="79">
        <v>7143</v>
      </c>
      <c r="G98" s="80">
        <v>3.5310000000000001</v>
      </c>
      <c r="H98" s="78">
        <v>180</v>
      </c>
      <c r="I98" s="79">
        <v>9047</v>
      </c>
      <c r="J98" s="80">
        <v>3.6139999999999999</v>
      </c>
      <c r="K98" s="78">
        <v>180</v>
      </c>
      <c r="L98" s="79">
        <v>12084</v>
      </c>
      <c r="M98" s="80">
        <v>3.887</v>
      </c>
      <c r="N98" s="78" t="e">
        <f>NA()</f>
        <v>#N/A</v>
      </c>
      <c r="O98" s="79" t="e">
        <f>NA()</f>
        <v>#N/A</v>
      </c>
      <c r="P98" s="80" t="e">
        <f>NA()</f>
        <v>#N/A</v>
      </c>
      <c r="Q98" s="78" t="e">
        <f>NA()</f>
        <v>#N/A</v>
      </c>
      <c r="R98" s="79" t="e">
        <f>NA()</f>
        <v>#N/A</v>
      </c>
      <c r="S98" s="80" t="e">
        <f>NA()</f>
        <v>#N/A</v>
      </c>
      <c r="T98" s="78" t="e">
        <f>NA()</f>
        <v>#N/A</v>
      </c>
      <c r="U98" s="79" t="e">
        <f>NA()</f>
        <v>#N/A</v>
      </c>
      <c r="V98" s="80" t="e">
        <f>NA()</f>
        <v>#N/A</v>
      </c>
    </row>
    <row r="99" spans="2:22" hidden="1" outlineLevel="1" x14ac:dyDescent="0.25">
      <c r="B99" s="76" t="s">
        <v>337</v>
      </c>
      <c r="C99" s="77" t="s">
        <v>338</v>
      </c>
      <c r="D99" s="77">
        <v>4.5</v>
      </c>
      <c r="E99" s="78">
        <v>200</v>
      </c>
      <c r="F99" s="79">
        <v>8182</v>
      </c>
      <c r="G99" s="80">
        <v>3.4409999999999998</v>
      </c>
      <c r="H99" s="78">
        <v>200</v>
      </c>
      <c r="I99" s="79">
        <v>10124</v>
      </c>
      <c r="J99" s="80">
        <v>3.5139999999999998</v>
      </c>
      <c r="K99" s="78">
        <v>200</v>
      </c>
      <c r="L99" s="79">
        <v>13323</v>
      </c>
      <c r="M99" s="80">
        <v>3.8079999999999998</v>
      </c>
      <c r="N99" s="78" t="e">
        <f>NA()</f>
        <v>#N/A</v>
      </c>
      <c r="O99" s="79" t="e">
        <f>NA()</f>
        <v>#N/A</v>
      </c>
      <c r="P99" s="80" t="e">
        <f>NA()</f>
        <v>#N/A</v>
      </c>
      <c r="Q99" s="78" t="e">
        <f>NA()</f>
        <v>#N/A</v>
      </c>
      <c r="R99" s="79" t="e">
        <f>NA()</f>
        <v>#N/A</v>
      </c>
      <c r="S99" s="80" t="e">
        <f>NA()</f>
        <v>#N/A</v>
      </c>
      <c r="T99" s="78" t="e">
        <f>NA()</f>
        <v>#N/A</v>
      </c>
      <c r="U99" s="79" t="e">
        <f>NA()</f>
        <v>#N/A</v>
      </c>
      <c r="V99" s="80" t="e">
        <f>NA()</f>
        <v>#N/A</v>
      </c>
    </row>
    <row r="100" spans="2:22" hidden="1" outlineLevel="1" x14ac:dyDescent="0.25">
      <c r="B100" s="76" t="s">
        <v>337</v>
      </c>
      <c r="C100" s="77" t="s">
        <v>338</v>
      </c>
      <c r="D100" s="77">
        <v>4.5</v>
      </c>
      <c r="E100" s="78">
        <v>220</v>
      </c>
      <c r="F100" s="79">
        <v>9431</v>
      </c>
      <c r="G100" s="80">
        <v>3.3620000000000001</v>
      </c>
      <c r="H100" s="78">
        <v>220</v>
      </c>
      <c r="I100" s="79">
        <v>11493</v>
      </c>
      <c r="J100" s="80">
        <v>3.4510000000000001</v>
      </c>
      <c r="K100" s="78">
        <v>220</v>
      </c>
      <c r="L100" s="79">
        <v>14166</v>
      </c>
      <c r="M100" s="80">
        <v>3.7290000000000001</v>
      </c>
      <c r="N100" s="78" t="e">
        <f>NA()</f>
        <v>#N/A</v>
      </c>
      <c r="O100" s="79" t="e">
        <f>NA()</f>
        <v>#N/A</v>
      </c>
      <c r="P100" s="80" t="e">
        <f>NA()</f>
        <v>#N/A</v>
      </c>
      <c r="Q100" s="78" t="e">
        <f>NA()</f>
        <v>#N/A</v>
      </c>
      <c r="R100" s="79" t="e">
        <f>NA()</f>
        <v>#N/A</v>
      </c>
      <c r="S100" s="80" t="e">
        <f>NA()</f>
        <v>#N/A</v>
      </c>
      <c r="T100" s="78" t="e">
        <f>NA()</f>
        <v>#N/A</v>
      </c>
      <c r="U100" s="79" t="e">
        <f>NA()</f>
        <v>#N/A</v>
      </c>
      <c r="V100" s="80" t="e">
        <f>NA()</f>
        <v>#N/A</v>
      </c>
    </row>
    <row r="101" spans="2:22" hidden="1" outlineLevel="1" x14ac:dyDescent="0.25">
      <c r="B101" s="76" t="s">
        <v>337</v>
      </c>
      <c r="C101" s="77" t="s">
        <v>338</v>
      </c>
      <c r="D101" s="77">
        <v>4.5</v>
      </c>
      <c r="E101" s="78">
        <v>240</v>
      </c>
      <c r="F101" s="79">
        <v>10564</v>
      </c>
      <c r="G101" s="80">
        <v>3.2810000000000001</v>
      </c>
      <c r="H101" s="78">
        <v>240</v>
      </c>
      <c r="I101" s="79">
        <v>12555</v>
      </c>
      <c r="J101" s="80">
        <v>3.399</v>
      </c>
      <c r="K101" s="78">
        <v>240</v>
      </c>
      <c r="L101" s="79">
        <v>14412</v>
      </c>
      <c r="M101" s="80">
        <v>3.6589999999999998</v>
      </c>
      <c r="N101" s="78" t="e">
        <f>NA()</f>
        <v>#N/A</v>
      </c>
      <c r="O101" s="79" t="e">
        <f>NA()</f>
        <v>#N/A</v>
      </c>
      <c r="P101" s="80" t="e">
        <f>NA()</f>
        <v>#N/A</v>
      </c>
      <c r="Q101" s="78" t="e">
        <f>NA()</f>
        <v>#N/A</v>
      </c>
      <c r="R101" s="79" t="e">
        <f>NA()</f>
        <v>#N/A</v>
      </c>
      <c r="S101" s="80" t="e">
        <f>NA()</f>
        <v>#N/A</v>
      </c>
      <c r="T101" s="78" t="e">
        <f>NA()</f>
        <v>#N/A</v>
      </c>
      <c r="U101" s="79" t="e">
        <f>NA()</f>
        <v>#N/A</v>
      </c>
      <c r="V101" s="80" t="e">
        <f>NA()</f>
        <v>#N/A</v>
      </c>
    </row>
    <row r="102" spans="2:22" hidden="1" outlineLevel="1" x14ac:dyDescent="0.25">
      <c r="B102" s="76" t="s">
        <v>337</v>
      </c>
      <c r="C102" s="77" t="s">
        <v>338</v>
      </c>
      <c r="D102" s="77">
        <v>4.5</v>
      </c>
      <c r="E102" s="78">
        <v>260</v>
      </c>
      <c r="F102" s="79">
        <v>12448</v>
      </c>
      <c r="G102" s="80">
        <v>3.2440000000000002</v>
      </c>
      <c r="H102" s="78">
        <v>260</v>
      </c>
      <c r="I102" s="79">
        <v>14002</v>
      </c>
      <c r="J102" s="80">
        <v>3.3570000000000002</v>
      </c>
      <c r="K102" s="78">
        <v>260</v>
      </c>
      <c r="L102" s="79">
        <v>14554</v>
      </c>
      <c r="M102" s="80">
        <v>3.5910000000000002</v>
      </c>
      <c r="N102" s="78" t="e">
        <f>NA()</f>
        <v>#N/A</v>
      </c>
      <c r="O102" s="79" t="e">
        <f>NA()</f>
        <v>#N/A</v>
      </c>
      <c r="P102" s="80" t="e">
        <f>NA()</f>
        <v>#N/A</v>
      </c>
      <c r="Q102" s="78" t="e">
        <f>NA()</f>
        <v>#N/A</v>
      </c>
      <c r="R102" s="79" t="e">
        <f>NA()</f>
        <v>#N/A</v>
      </c>
      <c r="S102" s="80" t="e">
        <f>NA()</f>
        <v>#N/A</v>
      </c>
      <c r="T102" s="78" t="e">
        <f>NA()</f>
        <v>#N/A</v>
      </c>
      <c r="U102" s="79" t="e">
        <f>NA()</f>
        <v>#N/A</v>
      </c>
      <c r="V102" s="80" t="e">
        <f>NA()</f>
        <v>#N/A</v>
      </c>
    </row>
    <row r="103" spans="2:22" hidden="1" outlineLevel="1" x14ac:dyDescent="0.25">
      <c r="B103" s="76" t="s">
        <v>337</v>
      </c>
      <c r="C103" s="77" t="s">
        <v>338</v>
      </c>
      <c r="D103" s="77">
        <v>4.5</v>
      </c>
      <c r="E103" s="78">
        <v>280</v>
      </c>
      <c r="F103" s="79">
        <v>14733</v>
      </c>
      <c r="G103" s="80">
        <v>3.2240000000000002</v>
      </c>
      <c r="H103" s="78">
        <v>280</v>
      </c>
      <c r="I103" s="79">
        <v>15056</v>
      </c>
      <c r="J103" s="80">
        <v>3.3260000000000001</v>
      </c>
      <c r="K103" s="78">
        <v>280</v>
      </c>
      <c r="L103" s="79">
        <v>16004</v>
      </c>
      <c r="M103" s="80">
        <v>3.5350000000000001</v>
      </c>
      <c r="N103" s="78" t="e">
        <f>NA()</f>
        <v>#N/A</v>
      </c>
      <c r="O103" s="79" t="e">
        <f>NA()</f>
        <v>#N/A</v>
      </c>
      <c r="P103" s="80" t="e">
        <f>NA()</f>
        <v>#N/A</v>
      </c>
      <c r="Q103" s="78" t="e">
        <f>NA()</f>
        <v>#N/A</v>
      </c>
      <c r="R103" s="79" t="e">
        <f>NA()</f>
        <v>#N/A</v>
      </c>
      <c r="S103" s="80" t="e">
        <f>NA()</f>
        <v>#N/A</v>
      </c>
      <c r="T103" s="78" t="e">
        <f>NA()</f>
        <v>#N/A</v>
      </c>
      <c r="U103" s="79" t="e">
        <f>NA()</f>
        <v>#N/A</v>
      </c>
      <c r="V103" s="80" t="e">
        <f>NA()</f>
        <v>#N/A</v>
      </c>
    </row>
    <row r="104" spans="2:22" hidden="1" outlineLevel="1" x14ac:dyDescent="0.25">
      <c r="B104" s="81" t="s">
        <v>337</v>
      </c>
      <c r="C104" s="82" t="s">
        <v>338</v>
      </c>
      <c r="D104" s="82">
        <v>4.5</v>
      </c>
      <c r="E104" s="83">
        <v>300</v>
      </c>
      <c r="F104" s="84">
        <v>17434</v>
      </c>
      <c r="G104" s="85">
        <v>3.2109999999999999</v>
      </c>
      <c r="H104" s="83">
        <v>300</v>
      </c>
      <c r="I104" s="84">
        <v>16843</v>
      </c>
      <c r="J104" s="85">
        <v>3.2970000000000002</v>
      </c>
      <c r="K104" s="83">
        <v>300</v>
      </c>
      <c r="L104" s="84">
        <v>16572</v>
      </c>
      <c r="M104" s="85">
        <v>3.4809999999999999</v>
      </c>
      <c r="N104" s="83" t="e">
        <f>NA()</f>
        <v>#N/A</v>
      </c>
      <c r="O104" s="84" t="e">
        <f>NA()</f>
        <v>#N/A</v>
      </c>
      <c r="P104" s="85" t="e">
        <f>NA()</f>
        <v>#N/A</v>
      </c>
      <c r="Q104" s="83" t="e">
        <f>NA()</f>
        <v>#N/A</v>
      </c>
      <c r="R104" s="84" t="e">
        <f>NA()</f>
        <v>#N/A</v>
      </c>
      <c r="S104" s="85" t="e">
        <f>NA()</f>
        <v>#N/A</v>
      </c>
      <c r="T104" s="83" t="e">
        <f>NA()</f>
        <v>#N/A</v>
      </c>
      <c r="U104" s="84" t="e">
        <f>NA()</f>
        <v>#N/A</v>
      </c>
      <c r="V104" s="85" t="e">
        <f>NA()</f>
        <v>#N/A</v>
      </c>
    </row>
    <row r="105" spans="2:22" hidden="1" outlineLevel="1" x14ac:dyDescent="0.25">
      <c r="B105" s="76" t="s">
        <v>337</v>
      </c>
      <c r="C105" s="77" t="s">
        <v>339</v>
      </c>
      <c r="D105" s="77">
        <v>5</v>
      </c>
      <c r="E105" s="78">
        <v>0</v>
      </c>
      <c r="F105" s="79">
        <v>0</v>
      </c>
      <c r="G105" s="80">
        <v>4.8570000000000002</v>
      </c>
      <c r="H105" s="78">
        <v>0</v>
      </c>
      <c r="I105" s="79">
        <v>0</v>
      </c>
      <c r="J105" s="80">
        <v>4.8520000000000003</v>
      </c>
      <c r="K105" s="78">
        <v>0</v>
      </c>
      <c r="L105" s="79">
        <v>0</v>
      </c>
      <c r="M105" s="80">
        <v>4.87</v>
      </c>
      <c r="N105" s="78" t="e">
        <f>NA()</f>
        <v>#N/A</v>
      </c>
      <c r="O105" s="79" t="e">
        <f>NA()</f>
        <v>#N/A</v>
      </c>
      <c r="P105" s="80" t="e">
        <f>NA()</f>
        <v>#N/A</v>
      </c>
      <c r="Q105" s="78" t="e">
        <f>NA()</f>
        <v>#N/A</v>
      </c>
      <c r="R105" s="79" t="e">
        <f>NA()</f>
        <v>#N/A</v>
      </c>
      <c r="S105" s="80" t="e">
        <f>NA()</f>
        <v>#N/A</v>
      </c>
      <c r="T105" s="78" t="e">
        <f>NA()</f>
        <v>#N/A</v>
      </c>
      <c r="U105" s="79" t="e">
        <f>NA()</f>
        <v>#N/A</v>
      </c>
      <c r="V105" s="80" t="e">
        <f>NA()</f>
        <v>#N/A</v>
      </c>
    </row>
    <row r="106" spans="2:22" hidden="1" outlineLevel="1" x14ac:dyDescent="0.25">
      <c r="B106" s="76" t="s">
        <v>337</v>
      </c>
      <c r="C106" s="77" t="s">
        <v>339</v>
      </c>
      <c r="D106" s="77">
        <v>5</v>
      </c>
      <c r="E106" s="78">
        <v>1</v>
      </c>
      <c r="F106" s="79">
        <v>0</v>
      </c>
      <c r="G106" s="80">
        <v>4.8609999999999998</v>
      </c>
      <c r="H106" s="78">
        <v>1</v>
      </c>
      <c r="I106" s="79">
        <v>0</v>
      </c>
      <c r="J106" s="80">
        <v>4.8550000000000004</v>
      </c>
      <c r="K106" s="78">
        <v>1</v>
      </c>
      <c r="L106" s="79">
        <v>0</v>
      </c>
      <c r="M106" s="80">
        <v>4.8440000000000003</v>
      </c>
      <c r="N106" s="78" t="e">
        <f>NA()</f>
        <v>#N/A</v>
      </c>
      <c r="O106" s="79" t="e">
        <f>NA()</f>
        <v>#N/A</v>
      </c>
      <c r="P106" s="80" t="e">
        <f>NA()</f>
        <v>#N/A</v>
      </c>
      <c r="Q106" s="78" t="e">
        <f>NA()</f>
        <v>#N/A</v>
      </c>
      <c r="R106" s="79" t="e">
        <f>NA()</f>
        <v>#N/A</v>
      </c>
      <c r="S106" s="80" t="e">
        <f>NA()</f>
        <v>#N/A</v>
      </c>
      <c r="T106" s="78" t="e">
        <f>NA()</f>
        <v>#N/A</v>
      </c>
      <c r="U106" s="79" t="e">
        <f>NA()</f>
        <v>#N/A</v>
      </c>
      <c r="V106" s="80" t="e">
        <f>NA()</f>
        <v>#N/A</v>
      </c>
    </row>
    <row r="107" spans="2:22" hidden="1" outlineLevel="1" x14ac:dyDescent="0.25">
      <c r="B107" s="76" t="s">
        <v>337</v>
      </c>
      <c r="C107" s="77" t="s">
        <v>339</v>
      </c>
      <c r="D107" s="77">
        <v>5</v>
      </c>
      <c r="E107" s="78">
        <v>20</v>
      </c>
      <c r="F107" s="79">
        <v>3209</v>
      </c>
      <c r="G107" s="80">
        <v>4.516</v>
      </c>
      <c r="H107" s="78">
        <v>20</v>
      </c>
      <c r="I107" s="79">
        <v>6314</v>
      </c>
      <c r="J107" s="80">
        <v>4.5129999999999999</v>
      </c>
      <c r="K107" s="78">
        <v>20</v>
      </c>
      <c r="L107" s="79">
        <v>9997</v>
      </c>
      <c r="M107" s="80">
        <v>4.4710000000000001</v>
      </c>
      <c r="N107" s="78" t="e">
        <f>NA()</f>
        <v>#N/A</v>
      </c>
      <c r="O107" s="79" t="e">
        <f>NA()</f>
        <v>#N/A</v>
      </c>
      <c r="P107" s="80" t="e">
        <f>NA()</f>
        <v>#N/A</v>
      </c>
      <c r="Q107" s="78" t="e">
        <f>NA()</f>
        <v>#N/A</v>
      </c>
      <c r="R107" s="79" t="e">
        <f>NA()</f>
        <v>#N/A</v>
      </c>
      <c r="S107" s="80" t="e">
        <f>NA()</f>
        <v>#N/A</v>
      </c>
      <c r="T107" s="78" t="e">
        <f>NA()</f>
        <v>#N/A</v>
      </c>
      <c r="U107" s="79" t="e">
        <f>NA()</f>
        <v>#N/A</v>
      </c>
      <c r="V107" s="80" t="e">
        <f>NA()</f>
        <v>#N/A</v>
      </c>
    </row>
    <row r="108" spans="2:22" hidden="1" outlineLevel="1" x14ac:dyDescent="0.25">
      <c r="B108" s="76" t="s">
        <v>337</v>
      </c>
      <c r="C108" s="77" t="s">
        <v>339</v>
      </c>
      <c r="D108" s="77">
        <v>5</v>
      </c>
      <c r="E108" s="78">
        <v>30</v>
      </c>
      <c r="F108" s="79">
        <v>3661</v>
      </c>
      <c r="G108" s="80">
        <v>4.4580000000000002</v>
      </c>
      <c r="H108" s="78">
        <v>30</v>
      </c>
      <c r="I108" s="79">
        <v>7688</v>
      </c>
      <c r="J108" s="80">
        <v>4.4749999999999996</v>
      </c>
      <c r="K108" s="78">
        <v>30</v>
      </c>
      <c r="L108" s="79">
        <v>11915</v>
      </c>
      <c r="M108" s="80">
        <v>4.452</v>
      </c>
      <c r="N108" s="78" t="e">
        <f>NA()</f>
        <v>#N/A</v>
      </c>
      <c r="O108" s="79" t="e">
        <f>NA()</f>
        <v>#N/A</v>
      </c>
      <c r="P108" s="80" t="e">
        <f>NA()</f>
        <v>#N/A</v>
      </c>
      <c r="Q108" s="78" t="e">
        <f>NA()</f>
        <v>#N/A</v>
      </c>
      <c r="R108" s="79" t="e">
        <f>NA()</f>
        <v>#N/A</v>
      </c>
      <c r="S108" s="80" t="e">
        <f>NA()</f>
        <v>#N/A</v>
      </c>
      <c r="T108" s="78" t="e">
        <f>NA()</f>
        <v>#N/A</v>
      </c>
      <c r="U108" s="79" t="e">
        <f>NA()</f>
        <v>#N/A</v>
      </c>
      <c r="V108" s="80" t="e">
        <f>NA()</f>
        <v>#N/A</v>
      </c>
    </row>
    <row r="109" spans="2:22" hidden="1" outlineLevel="1" x14ac:dyDescent="0.25">
      <c r="B109" s="76" t="s">
        <v>337</v>
      </c>
      <c r="C109" s="77" t="s">
        <v>339</v>
      </c>
      <c r="D109" s="77">
        <v>5</v>
      </c>
      <c r="E109" s="78">
        <v>40</v>
      </c>
      <c r="F109" s="79">
        <v>7167</v>
      </c>
      <c r="G109" s="80">
        <v>4.4050000000000002</v>
      </c>
      <c r="H109" s="78">
        <v>40</v>
      </c>
      <c r="I109" s="79">
        <v>7411</v>
      </c>
      <c r="J109" s="80">
        <v>4.4260000000000002</v>
      </c>
      <c r="K109" s="78">
        <v>40</v>
      </c>
      <c r="L109" s="79">
        <v>9166</v>
      </c>
      <c r="M109" s="80">
        <v>4.423</v>
      </c>
      <c r="N109" s="78" t="e">
        <f>NA()</f>
        <v>#N/A</v>
      </c>
      <c r="O109" s="79" t="e">
        <f>NA()</f>
        <v>#N/A</v>
      </c>
      <c r="P109" s="80" t="e">
        <f>NA()</f>
        <v>#N/A</v>
      </c>
      <c r="Q109" s="78" t="e">
        <f>NA()</f>
        <v>#N/A</v>
      </c>
      <c r="R109" s="79" t="e">
        <f>NA()</f>
        <v>#N/A</v>
      </c>
      <c r="S109" s="80" t="e">
        <f>NA()</f>
        <v>#N/A</v>
      </c>
      <c r="T109" s="78" t="e">
        <f>NA()</f>
        <v>#N/A</v>
      </c>
      <c r="U109" s="79" t="e">
        <f>NA()</f>
        <v>#N/A</v>
      </c>
      <c r="V109" s="80" t="e">
        <f>NA()</f>
        <v>#N/A</v>
      </c>
    </row>
    <row r="110" spans="2:22" hidden="1" outlineLevel="1" x14ac:dyDescent="0.25">
      <c r="B110" s="76" t="s">
        <v>337</v>
      </c>
      <c r="C110" s="77" t="s">
        <v>339</v>
      </c>
      <c r="D110" s="77">
        <v>5</v>
      </c>
      <c r="E110" s="78">
        <v>50</v>
      </c>
      <c r="F110" s="79">
        <v>5021</v>
      </c>
      <c r="G110" s="80">
        <v>4.3259999999999996</v>
      </c>
      <c r="H110" s="78">
        <v>50</v>
      </c>
      <c r="I110" s="79">
        <v>9816</v>
      </c>
      <c r="J110" s="80">
        <v>4.3819999999999997</v>
      </c>
      <c r="K110" s="78">
        <v>50</v>
      </c>
      <c r="L110" s="79">
        <v>12848</v>
      </c>
      <c r="M110" s="80">
        <v>4.3840000000000003</v>
      </c>
      <c r="N110" s="78" t="e">
        <f>NA()</f>
        <v>#N/A</v>
      </c>
      <c r="O110" s="79" t="e">
        <f>NA()</f>
        <v>#N/A</v>
      </c>
      <c r="P110" s="80" t="e">
        <f>NA()</f>
        <v>#N/A</v>
      </c>
      <c r="Q110" s="78" t="e">
        <f>NA()</f>
        <v>#N/A</v>
      </c>
      <c r="R110" s="79" t="e">
        <f>NA()</f>
        <v>#N/A</v>
      </c>
      <c r="S110" s="80" t="e">
        <f>NA()</f>
        <v>#N/A</v>
      </c>
      <c r="T110" s="78" t="e">
        <f>NA()</f>
        <v>#N/A</v>
      </c>
      <c r="U110" s="79" t="e">
        <f>NA()</f>
        <v>#N/A</v>
      </c>
      <c r="V110" s="80" t="e">
        <f>NA()</f>
        <v>#N/A</v>
      </c>
    </row>
    <row r="111" spans="2:22" hidden="1" outlineLevel="1" x14ac:dyDescent="0.25">
      <c r="B111" s="76" t="s">
        <v>337</v>
      </c>
      <c r="C111" s="77" t="s">
        <v>339</v>
      </c>
      <c r="D111" s="77">
        <v>5</v>
      </c>
      <c r="E111" s="78">
        <v>60</v>
      </c>
      <c r="F111" s="79">
        <v>6534</v>
      </c>
      <c r="G111" s="80">
        <v>4.2750000000000004</v>
      </c>
      <c r="H111" s="78">
        <v>60</v>
      </c>
      <c r="I111" s="79">
        <v>10186</v>
      </c>
      <c r="J111" s="80">
        <v>4.3319999999999999</v>
      </c>
      <c r="K111" s="78">
        <v>60</v>
      </c>
      <c r="L111" s="79">
        <v>23614</v>
      </c>
      <c r="M111" s="80">
        <v>4.3570000000000002</v>
      </c>
      <c r="N111" s="78" t="e">
        <f>NA()</f>
        <v>#N/A</v>
      </c>
      <c r="O111" s="79" t="e">
        <f>NA()</f>
        <v>#N/A</v>
      </c>
      <c r="P111" s="80" t="e">
        <f>NA()</f>
        <v>#N/A</v>
      </c>
      <c r="Q111" s="78" t="e">
        <f>NA()</f>
        <v>#N/A</v>
      </c>
      <c r="R111" s="79" t="e">
        <f>NA()</f>
        <v>#N/A</v>
      </c>
      <c r="S111" s="80" t="e">
        <f>NA()</f>
        <v>#N/A</v>
      </c>
      <c r="T111" s="78" t="e">
        <f>NA()</f>
        <v>#N/A</v>
      </c>
      <c r="U111" s="79" t="e">
        <f>NA()</f>
        <v>#N/A</v>
      </c>
      <c r="V111" s="80" t="e">
        <f>NA()</f>
        <v>#N/A</v>
      </c>
    </row>
    <row r="112" spans="2:22" hidden="1" outlineLevel="1" x14ac:dyDescent="0.25">
      <c r="B112" s="76" t="s">
        <v>337</v>
      </c>
      <c r="C112" s="77" t="s">
        <v>339</v>
      </c>
      <c r="D112" s="77">
        <v>5</v>
      </c>
      <c r="E112" s="78">
        <v>80</v>
      </c>
      <c r="F112" s="79">
        <v>13175</v>
      </c>
      <c r="G112" s="80">
        <v>4.0460000000000003</v>
      </c>
      <c r="H112" s="78">
        <v>80</v>
      </c>
      <c r="I112" s="79">
        <v>16749</v>
      </c>
      <c r="J112" s="80">
        <v>4.1769999999999996</v>
      </c>
      <c r="K112" s="78">
        <v>80</v>
      </c>
      <c r="L112" s="79">
        <v>21476</v>
      </c>
      <c r="M112" s="80">
        <v>4.266</v>
      </c>
      <c r="N112" s="78" t="e">
        <f>NA()</f>
        <v>#N/A</v>
      </c>
      <c r="O112" s="79" t="e">
        <f>NA()</f>
        <v>#N/A</v>
      </c>
      <c r="P112" s="80" t="e">
        <f>NA()</f>
        <v>#N/A</v>
      </c>
      <c r="Q112" s="78" t="e">
        <f>NA()</f>
        <v>#N/A</v>
      </c>
      <c r="R112" s="79" t="e">
        <f>NA()</f>
        <v>#N/A</v>
      </c>
      <c r="S112" s="80" t="e">
        <f>NA()</f>
        <v>#N/A</v>
      </c>
      <c r="T112" s="78" t="e">
        <f>NA()</f>
        <v>#N/A</v>
      </c>
      <c r="U112" s="79" t="e">
        <f>NA()</f>
        <v>#N/A</v>
      </c>
      <c r="V112" s="80" t="e">
        <f>NA()</f>
        <v>#N/A</v>
      </c>
    </row>
    <row r="113" spans="2:22" hidden="1" outlineLevel="1" x14ac:dyDescent="0.25">
      <c r="B113" s="76" t="s">
        <v>337</v>
      </c>
      <c r="C113" s="77" t="s">
        <v>339</v>
      </c>
      <c r="D113" s="77">
        <v>5</v>
      </c>
      <c r="E113" s="78">
        <v>100</v>
      </c>
      <c r="F113" s="79">
        <v>7677</v>
      </c>
      <c r="G113" s="80">
        <v>3.851</v>
      </c>
      <c r="H113" s="78">
        <v>100</v>
      </c>
      <c r="I113" s="79">
        <v>14482</v>
      </c>
      <c r="J113" s="80">
        <v>3.895</v>
      </c>
      <c r="K113" s="78">
        <v>100</v>
      </c>
      <c r="L113" s="79">
        <v>14984</v>
      </c>
      <c r="M113" s="80">
        <v>3.9580000000000002</v>
      </c>
      <c r="N113" s="78" t="e">
        <f>NA()</f>
        <v>#N/A</v>
      </c>
      <c r="O113" s="79" t="e">
        <f>NA()</f>
        <v>#N/A</v>
      </c>
      <c r="P113" s="80" t="e">
        <f>NA()</f>
        <v>#N/A</v>
      </c>
      <c r="Q113" s="78" t="e">
        <f>NA()</f>
        <v>#N/A</v>
      </c>
      <c r="R113" s="79" t="e">
        <f>NA()</f>
        <v>#N/A</v>
      </c>
      <c r="S113" s="80" t="e">
        <f>NA()</f>
        <v>#N/A</v>
      </c>
      <c r="T113" s="78" t="e">
        <f>NA()</f>
        <v>#N/A</v>
      </c>
      <c r="U113" s="79" t="e">
        <f>NA()</f>
        <v>#N/A</v>
      </c>
      <c r="V113" s="80" t="e">
        <f>NA()</f>
        <v>#N/A</v>
      </c>
    </row>
    <row r="114" spans="2:22" hidden="1" outlineLevel="1" x14ac:dyDescent="0.25">
      <c r="B114" s="76" t="s">
        <v>337</v>
      </c>
      <c r="C114" s="77" t="s">
        <v>339</v>
      </c>
      <c r="D114" s="77">
        <v>5</v>
      </c>
      <c r="E114" s="78">
        <v>120</v>
      </c>
      <c r="F114" s="79">
        <v>8064</v>
      </c>
      <c r="G114" s="80">
        <v>3.6070000000000002</v>
      </c>
      <c r="H114" s="78">
        <v>120</v>
      </c>
      <c r="I114" s="79">
        <v>12407</v>
      </c>
      <c r="J114" s="80">
        <v>3.7080000000000002</v>
      </c>
      <c r="K114" s="78">
        <v>120</v>
      </c>
      <c r="L114" s="79">
        <v>19685</v>
      </c>
      <c r="M114" s="80">
        <v>3.7519999999999998</v>
      </c>
      <c r="N114" s="78" t="e">
        <f>NA()</f>
        <v>#N/A</v>
      </c>
      <c r="O114" s="79" t="e">
        <f>NA()</f>
        <v>#N/A</v>
      </c>
      <c r="P114" s="80" t="e">
        <f>NA()</f>
        <v>#N/A</v>
      </c>
      <c r="Q114" s="78" t="e">
        <f>NA()</f>
        <v>#N/A</v>
      </c>
      <c r="R114" s="79" t="e">
        <f>NA()</f>
        <v>#N/A</v>
      </c>
      <c r="S114" s="80" t="e">
        <f>NA()</f>
        <v>#N/A</v>
      </c>
      <c r="T114" s="78" t="e">
        <f>NA()</f>
        <v>#N/A</v>
      </c>
      <c r="U114" s="79" t="e">
        <f>NA()</f>
        <v>#N/A</v>
      </c>
      <c r="V114" s="80" t="e">
        <f>NA()</f>
        <v>#N/A</v>
      </c>
    </row>
    <row r="115" spans="2:22" hidden="1" outlineLevel="1" x14ac:dyDescent="0.25">
      <c r="B115" s="76" t="s">
        <v>337</v>
      </c>
      <c r="C115" s="77" t="s">
        <v>339</v>
      </c>
      <c r="D115" s="77">
        <v>5</v>
      </c>
      <c r="E115" s="78">
        <v>140</v>
      </c>
      <c r="F115" s="79">
        <v>7443</v>
      </c>
      <c r="G115" s="80">
        <v>3.2440000000000002</v>
      </c>
      <c r="H115" s="78">
        <v>140</v>
      </c>
      <c r="I115" s="79">
        <v>16726</v>
      </c>
      <c r="J115" s="80">
        <v>3.5289999999999999</v>
      </c>
      <c r="K115" s="78">
        <v>140</v>
      </c>
      <c r="L115" s="79">
        <v>20662</v>
      </c>
      <c r="M115" s="80">
        <v>3.5990000000000002</v>
      </c>
      <c r="N115" s="78" t="e">
        <f>NA()</f>
        <v>#N/A</v>
      </c>
      <c r="O115" s="79" t="e">
        <f>NA()</f>
        <v>#N/A</v>
      </c>
      <c r="P115" s="80" t="e">
        <f>NA()</f>
        <v>#N/A</v>
      </c>
      <c r="Q115" s="78" t="e">
        <f>NA()</f>
        <v>#N/A</v>
      </c>
      <c r="R115" s="79" t="e">
        <f>NA()</f>
        <v>#N/A</v>
      </c>
      <c r="S115" s="80" t="e">
        <f>NA()</f>
        <v>#N/A</v>
      </c>
      <c r="T115" s="78" t="e">
        <f>NA()</f>
        <v>#N/A</v>
      </c>
      <c r="U115" s="79" t="e">
        <f>NA()</f>
        <v>#N/A</v>
      </c>
      <c r="V115" s="80" t="e">
        <f>NA()</f>
        <v>#N/A</v>
      </c>
    </row>
    <row r="116" spans="2:22" hidden="1" outlineLevel="1" x14ac:dyDescent="0.25">
      <c r="B116" s="76" t="s">
        <v>337</v>
      </c>
      <c r="C116" s="77" t="s">
        <v>339</v>
      </c>
      <c r="D116" s="77">
        <v>5</v>
      </c>
      <c r="E116" s="78">
        <v>160</v>
      </c>
      <c r="F116" s="79">
        <v>11013</v>
      </c>
      <c r="G116" s="80">
        <v>3.1</v>
      </c>
      <c r="H116" s="78">
        <v>160</v>
      </c>
      <c r="I116" s="79">
        <v>20805</v>
      </c>
      <c r="J116" s="80">
        <v>3.4239999999999999</v>
      </c>
      <c r="K116" s="78">
        <v>160</v>
      </c>
      <c r="L116" s="79">
        <v>23211</v>
      </c>
      <c r="M116" s="80">
        <v>3.4820000000000002</v>
      </c>
      <c r="N116" s="78" t="e">
        <f>NA()</f>
        <v>#N/A</v>
      </c>
      <c r="O116" s="79" t="e">
        <f>NA()</f>
        <v>#N/A</v>
      </c>
      <c r="P116" s="80" t="e">
        <f>NA()</f>
        <v>#N/A</v>
      </c>
      <c r="Q116" s="78" t="e">
        <f>NA()</f>
        <v>#N/A</v>
      </c>
      <c r="R116" s="79" t="e">
        <f>NA()</f>
        <v>#N/A</v>
      </c>
      <c r="S116" s="80" t="e">
        <f>NA()</f>
        <v>#N/A</v>
      </c>
      <c r="T116" s="78" t="e">
        <f>NA()</f>
        <v>#N/A</v>
      </c>
      <c r="U116" s="79" t="e">
        <f>NA()</f>
        <v>#N/A</v>
      </c>
      <c r="V116" s="80" t="e">
        <f>NA()</f>
        <v>#N/A</v>
      </c>
    </row>
    <row r="117" spans="2:22" hidden="1" outlineLevel="1" x14ac:dyDescent="0.25">
      <c r="B117" s="76" t="s">
        <v>337</v>
      </c>
      <c r="C117" s="77" t="s">
        <v>339</v>
      </c>
      <c r="D117" s="77">
        <v>5</v>
      </c>
      <c r="E117" s="78">
        <v>180</v>
      </c>
      <c r="F117" s="79">
        <v>14396</v>
      </c>
      <c r="G117" s="80">
        <v>3.03</v>
      </c>
      <c r="H117" s="78">
        <v>180</v>
      </c>
      <c r="I117" s="79">
        <v>21159</v>
      </c>
      <c r="J117" s="80">
        <v>3.3530000000000002</v>
      </c>
      <c r="K117" s="78">
        <v>180</v>
      </c>
      <c r="L117" s="79">
        <v>30442</v>
      </c>
      <c r="M117" s="80">
        <v>3.387</v>
      </c>
      <c r="N117" s="78" t="e">
        <f>NA()</f>
        <v>#N/A</v>
      </c>
      <c r="O117" s="79" t="e">
        <f>NA()</f>
        <v>#N/A</v>
      </c>
      <c r="P117" s="80" t="e">
        <f>NA()</f>
        <v>#N/A</v>
      </c>
      <c r="Q117" s="78" t="e">
        <f>NA()</f>
        <v>#N/A</v>
      </c>
      <c r="R117" s="79" t="e">
        <f>NA()</f>
        <v>#N/A</v>
      </c>
      <c r="S117" s="80" t="e">
        <f>NA()</f>
        <v>#N/A</v>
      </c>
      <c r="T117" s="78" t="e">
        <f>NA()</f>
        <v>#N/A</v>
      </c>
      <c r="U117" s="79" t="e">
        <f>NA()</f>
        <v>#N/A</v>
      </c>
      <c r="V117" s="80" t="e">
        <f>NA()</f>
        <v>#N/A</v>
      </c>
    </row>
    <row r="118" spans="2:22" hidden="1" outlineLevel="1" x14ac:dyDescent="0.25">
      <c r="B118" s="76" t="s">
        <v>337</v>
      </c>
      <c r="C118" s="77" t="s">
        <v>339</v>
      </c>
      <c r="D118" s="77">
        <v>5</v>
      </c>
      <c r="E118" s="78">
        <v>200</v>
      </c>
      <c r="F118" s="79">
        <v>16124</v>
      </c>
      <c r="G118" s="80">
        <v>3.004</v>
      </c>
      <c r="H118" s="78">
        <v>200</v>
      </c>
      <c r="I118" s="79">
        <v>43794</v>
      </c>
      <c r="J118" s="80">
        <v>3.2839999999999998</v>
      </c>
      <c r="K118" s="78">
        <v>200</v>
      </c>
      <c r="L118" s="79">
        <v>25485</v>
      </c>
      <c r="M118" s="80">
        <v>3.3069999999999999</v>
      </c>
      <c r="N118" s="78" t="e">
        <f>NA()</f>
        <v>#N/A</v>
      </c>
      <c r="O118" s="79" t="e">
        <f>NA()</f>
        <v>#N/A</v>
      </c>
      <c r="P118" s="80" t="e">
        <f>NA()</f>
        <v>#N/A</v>
      </c>
      <c r="Q118" s="78" t="e">
        <f>NA()</f>
        <v>#N/A</v>
      </c>
      <c r="R118" s="79" t="e">
        <f>NA()</f>
        <v>#N/A</v>
      </c>
      <c r="S118" s="80" t="e">
        <f>NA()</f>
        <v>#N/A</v>
      </c>
      <c r="T118" s="78" t="e">
        <f>NA()</f>
        <v>#N/A</v>
      </c>
      <c r="U118" s="79" t="e">
        <f>NA()</f>
        <v>#N/A</v>
      </c>
      <c r="V118" s="80" t="e">
        <f>NA()</f>
        <v>#N/A</v>
      </c>
    </row>
    <row r="119" spans="2:22" hidden="1" outlineLevel="1" x14ac:dyDescent="0.25">
      <c r="B119" s="76" t="s">
        <v>337</v>
      </c>
      <c r="C119" s="77" t="s">
        <v>339</v>
      </c>
      <c r="D119" s="77">
        <v>5</v>
      </c>
      <c r="E119" s="78">
        <v>220</v>
      </c>
      <c r="F119" s="79">
        <v>18551</v>
      </c>
      <c r="G119" s="80">
        <v>2.9969999999999999</v>
      </c>
      <c r="H119" s="78">
        <v>220</v>
      </c>
      <c r="I119" s="79">
        <v>21609</v>
      </c>
      <c r="J119" s="80">
        <v>3.2120000000000002</v>
      </c>
      <c r="K119" s="78">
        <v>220</v>
      </c>
      <c r="L119" s="79">
        <v>34935</v>
      </c>
      <c r="M119" s="80">
        <v>3.2450000000000001</v>
      </c>
      <c r="N119" s="78" t="e">
        <f>NA()</f>
        <v>#N/A</v>
      </c>
      <c r="O119" s="79" t="e">
        <f>NA()</f>
        <v>#N/A</v>
      </c>
      <c r="P119" s="80" t="e">
        <f>NA()</f>
        <v>#N/A</v>
      </c>
      <c r="Q119" s="78" t="e">
        <f>NA()</f>
        <v>#N/A</v>
      </c>
      <c r="R119" s="79" t="e">
        <f>NA()</f>
        <v>#N/A</v>
      </c>
      <c r="S119" s="80" t="e">
        <f>NA()</f>
        <v>#N/A</v>
      </c>
      <c r="T119" s="78" t="e">
        <f>NA()</f>
        <v>#N/A</v>
      </c>
      <c r="U119" s="79" t="e">
        <f>NA()</f>
        <v>#N/A</v>
      </c>
      <c r="V119" s="80" t="e">
        <f>NA()</f>
        <v>#N/A</v>
      </c>
    </row>
    <row r="120" spans="2:22" hidden="1" outlineLevel="1" x14ac:dyDescent="0.25">
      <c r="B120" s="76" t="s">
        <v>337</v>
      </c>
      <c r="C120" s="77" t="s">
        <v>339</v>
      </c>
      <c r="D120" s="77">
        <v>5</v>
      </c>
      <c r="E120" s="78">
        <v>240</v>
      </c>
      <c r="F120" s="79">
        <v>25468</v>
      </c>
      <c r="G120" s="80">
        <v>2.9950000000000001</v>
      </c>
      <c r="H120" s="78">
        <v>240</v>
      </c>
      <c r="I120" s="79">
        <v>42250</v>
      </c>
      <c r="J120" s="80">
        <v>3.1579999999999999</v>
      </c>
      <c r="K120" s="78">
        <v>240</v>
      </c>
      <c r="L120" s="79">
        <v>39187</v>
      </c>
      <c r="M120" s="80">
        <v>3.1989999999999998</v>
      </c>
      <c r="N120" s="78" t="e">
        <f>NA()</f>
        <v>#N/A</v>
      </c>
      <c r="O120" s="79" t="e">
        <f>NA()</f>
        <v>#N/A</v>
      </c>
      <c r="P120" s="80" t="e">
        <f>NA()</f>
        <v>#N/A</v>
      </c>
      <c r="Q120" s="78" t="e">
        <f>NA()</f>
        <v>#N/A</v>
      </c>
      <c r="R120" s="79" t="e">
        <f>NA()</f>
        <v>#N/A</v>
      </c>
      <c r="S120" s="80" t="e">
        <f>NA()</f>
        <v>#N/A</v>
      </c>
      <c r="T120" s="78" t="e">
        <f>NA()</f>
        <v>#N/A</v>
      </c>
      <c r="U120" s="79" t="e">
        <f>NA()</f>
        <v>#N/A</v>
      </c>
      <c r="V120" s="80" t="e">
        <f>NA()</f>
        <v>#N/A</v>
      </c>
    </row>
    <row r="121" spans="2:22" hidden="1" outlineLevel="1" x14ac:dyDescent="0.25">
      <c r="B121" s="76" t="s">
        <v>337</v>
      </c>
      <c r="C121" s="77" t="s">
        <v>339</v>
      </c>
      <c r="D121" s="77">
        <v>5</v>
      </c>
      <c r="E121" s="78">
        <v>260</v>
      </c>
      <c r="F121" s="79">
        <v>40020</v>
      </c>
      <c r="G121" s="80">
        <v>2.9950000000000001</v>
      </c>
      <c r="H121" s="78">
        <v>260</v>
      </c>
      <c r="I121" s="79">
        <v>39548</v>
      </c>
      <c r="J121" s="80">
        <v>3.1120000000000001</v>
      </c>
      <c r="K121" s="78">
        <v>260</v>
      </c>
      <c r="L121" s="79">
        <v>24640</v>
      </c>
      <c r="M121" s="80">
        <v>3.1469999999999998</v>
      </c>
      <c r="N121" s="78" t="e">
        <f>NA()</f>
        <v>#N/A</v>
      </c>
      <c r="O121" s="79" t="e">
        <f>NA()</f>
        <v>#N/A</v>
      </c>
      <c r="P121" s="80" t="e">
        <f>NA()</f>
        <v>#N/A</v>
      </c>
      <c r="Q121" s="78" t="e">
        <f>NA()</f>
        <v>#N/A</v>
      </c>
      <c r="R121" s="79" t="e">
        <f>NA()</f>
        <v>#N/A</v>
      </c>
      <c r="S121" s="80" t="e">
        <f>NA()</f>
        <v>#N/A</v>
      </c>
      <c r="T121" s="78" t="e">
        <f>NA()</f>
        <v>#N/A</v>
      </c>
      <c r="U121" s="79" t="e">
        <f>NA()</f>
        <v>#N/A</v>
      </c>
      <c r="V121" s="80" t="e">
        <f>NA()</f>
        <v>#N/A</v>
      </c>
    </row>
    <row r="122" spans="2:22" hidden="1" outlineLevel="1" x14ac:dyDescent="0.25">
      <c r="B122" s="81" t="s">
        <v>337</v>
      </c>
      <c r="C122" s="82" t="s">
        <v>339</v>
      </c>
      <c r="D122" s="82">
        <v>5</v>
      </c>
      <c r="E122" s="83">
        <v>280</v>
      </c>
      <c r="F122" s="84">
        <v>53364</v>
      </c>
      <c r="G122" s="85">
        <v>2.9929999999999999</v>
      </c>
      <c r="H122" s="83">
        <v>280</v>
      </c>
      <c r="I122" s="84">
        <v>45686</v>
      </c>
      <c r="J122" s="85">
        <v>3.0779999999999998</v>
      </c>
      <c r="K122" s="83">
        <v>280</v>
      </c>
      <c r="L122" s="84">
        <v>56433</v>
      </c>
      <c r="M122" s="85">
        <v>3.1110000000000002</v>
      </c>
      <c r="N122" s="83" t="e">
        <f>NA()</f>
        <v>#N/A</v>
      </c>
      <c r="O122" s="84" t="e">
        <f>NA()</f>
        <v>#N/A</v>
      </c>
      <c r="P122" s="85" t="e">
        <f>NA()</f>
        <v>#N/A</v>
      </c>
      <c r="Q122" s="83" t="e">
        <f>NA()</f>
        <v>#N/A</v>
      </c>
      <c r="R122" s="84" t="e">
        <f>NA()</f>
        <v>#N/A</v>
      </c>
      <c r="S122" s="85" t="e">
        <f>NA()</f>
        <v>#N/A</v>
      </c>
      <c r="T122" s="83" t="e">
        <f>NA()</f>
        <v>#N/A</v>
      </c>
      <c r="U122" s="84" t="e">
        <f>NA()</f>
        <v>#N/A</v>
      </c>
      <c r="V122" s="85" t="e">
        <f>NA()</f>
        <v>#N/A</v>
      </c>
    </row>
    <row r="123" spans="2:22" hidden="1" outlineLevel="1" x14ac:dyDescent="0.25">
      <c r="B123" s="76" t="s">
        <v>337</v>
      </c>
      <c r="C123" s="77" t="s">
        <v>340</v>
      </c>
      <c r="D123" s="77">
        <v>5</v>
      </c>
      <c r="E123" s="78">
        <v>0</v>
      </c>
      <c r="F123" s="79">
        <v>0</v>
      </c>
      <c r="G123" s="80">
        <v>4.83</v>
      </c>
      <c r="H123" s="78">
        <v>0</v>
      </c>
      <c r="I123" s="79">
        <v>0</v>
      </c>
      <c r="J123" s="80">
        <v>4.8310000000000004</v>
      </c>
      <c r="K123" s="78">
        <v>0</v>
      </c>
      <c r="L123" s="79">
        <v>0</v>
      </c>
      <c r="M123" s="80">
        <v>4.8029999999999999</v>
      </c>
      <c r="N123" s="78" t="e">
        <f>NA()</f>
        <v>#N/A</v>
      </c>
      <c r="O123" s="79" t="e">
        <f>NA()</f>
        <v>#N/A</v>
      </c>
      <c r="P123" s="80" t="e">
        <f>NA()</f>
        <v>#N/A</v>
      </c>
      <c r="Q123" s="78" t="e">
        <f>NA()</f>
        <v>#N/A</v>
      </c>
      <c r="R123" s="79" t="e">
        <f>NA()</f>
        <v>#N/A</v>
      </c>
      <c r="S123" s="80" t="e">
        <f>NA()</f>
        <v>#N/A</v>
      </c>
      <c r="T123" s="78" t="e">
        <f>NA()</f>
        <v>#N/A</v>
      </c>
      <c r="U123" s="79" t="e">
        <f>NA()</f>
        <v>#N/A</v>
      </c>
      <c r="V123" s="80" t="e">
        <f>NA()</f>
        <v>#N/A</v>
      </c>
    </row>
    <row r="124" spans="2:22" hidden="1" outlineLevel="1" x14ac:dyDescent="0.25">
      <c r="B124" s="76" t="s">
        <v>337</v>
      </c>
      <c r="C124" s="77" t="s">
        <v>340</v>
      </c>
      <c r="D124" s="77">
        <v>5</v>
      </c>
      <c r="E124" s="78">
        <v>1</v>
      </c>
      <c r="F124" s="79">
        <v>0</v>
      </c>
      <c r="G124" s="80">
        <v>4.8170000000000002</v>
      </c>
      <c r="H124" s="78">
        <v>1</v>
      </c>
      <c r="I124" s="79">
        <v>0</v>
      </c>
      <c r="J124" s="80">
        <v>4.7930000000000001</v>
      </c>
      <c r="K124" s="78">
        <v>1</v>
      </c>
      <c r="L124" s="79">
        <v>0</v>
      </c>
      <c r="M124" s="80">
        <v>4.78</v>
      </c>
      <c r="N124" s="78" t="e">
        <f>NA()</f>
        <v>#N/A</v>
      </c>
      <c r="O124" s="79" t="e">
        <f>NA()</f>
        <v>#N/A</v>
      </c>
      <c r="P124" s="80" t="e">
        <f>NA()</f>
        <v>#N/A</v>
      </c>
      <c r="Q124" s="78" t="e">
        <f>NA()</f>
        <v>#N/A</v>
      </c>
      <c r="R124" s="79" t="e">
        <f>NA()</f>
        <v>#N/A</v>
      </c>
      <c r="S124" s="80" t="e">
        <f>NA()</f>
        <v>#N/A</v>
      </c>
      <c r="T124" s="78" t="e">
        <f>NA()</f>
        <v>#N/A</v>
      </c>
      <c r="U124" s="79" t="e">
        <f>NA()</f>
        <v>#N/A</v>
      </c>
      <c r="V124" s="80" t="e">
        <f>NA()</f>
        <v>#N/A</v>
      </c>
    </row>
    <row r="125" spans="2:22" hidden="1" outlineLevel="1" x14ac:dyDescent="0.25">
      <c r="B125" s="76" t="s">
        <v>337</v>
      </c>
      <c r="C125" s="77" t="s">
        <v>340</v>
      </c>
      <c r="D125" s="77">
        <v>5</v>
      </c>
      <c r="E125" s="78">
        <v>20</v>
      </c>
      <c r="F125" s="79">
        <v>3038</v>
      </c>
      <c r="G125" s="80">
        <v>4.2839999999999998</v>
      </c>
      <c r="H125" s="78">
        <v>20</v>
      </c>
      <c r="I125" s="79">
        <v>15306</v>
      </c>
      <c r="J125" s="80">
        <v>4.2569999999999997</v>
      </c>
      <c r="K125" s="78">
        <v>20</v>
      </c>
      <c r="L125" s="79">
        <v>24471</v>
      </c>
      <c r="M125" s="80">
        <v>4.1539999999999999</v>
      </c>
      <c r="N125" s="78" t="e">
        <f>NA()</f>
        <v>#N/A</v>
      </c>
      <c r="O125" s="79" t="e">
        <f>NA()</f>
        <v>#N/A</v>
      </c>
      <c r="P125" s="80" t="e">
        <f>NA()</f>
        <v>#N/A</v>
      </c>
      <c r="Q125" s="78" t="e">
        <f>NA()</f>
        <v>#N/A</v>
      </c>
      <c r="R125" s="79" t="e">
        <f>NA()</f>
        <v>#N/A</v>
      </c>
      <c r="S125" s="80" t="e">
        <f>NA()</f>
        <v>#N/A</v>
      </c>
      <c r="T125" s="78" t="e">
        <f>NA()</f>
        <v>#N/A</v>
      </c>
      <c r="U125" s="79" t="e">
        <f>NA()</f>
        <v>#N/A</v>
      </c>
      <c r="V125" s="80" t="e">
        <f>NA()</f>
        <v>#N/A</v>
      </c>
    </row>
    <row r="126" spans="2:22" hidden="1" outlineLevel="1" x14ac:dyDescent="0.25">
      <c r="B126" s="76" t="s">
        <v>337</v>
      </c>
      <c r="C126" s="77" t="s">
        <v>340</v>
      </c>
      <c r="D126" s="77">
        <v>5</v>
      </c>
      <c r="E126" s="78">
        <v>30</v>
      </c>
      <c r="F126" s="79">
        <v>6337</v>
      </c>
      <c r="G126" s="80">
        <v>4.1779999999999999</v>
      </c>
      <c r="H126" s="78">
        <v>30</v>
      </c>
      <c r="I126" s="79">
        <v>10145</v>
      </c>
      <c r="J126" s="80">
        <v>4.165</v>
      </c>
      <c r="K126" s="78">
        <v>30</v>
      </c>
      <c r="L126" s="79">
        <v>16791</v>
      </c>
      <c r="M126" s="80">
        <v>4.0880000000000001</v>
      </c>
      <c r="N126" s="78" t="e">
        <f>NA()</f>
        <v>#N/A</v>
      </c>
      <c r="O126" s="79" t="e">
        <f>NA()</f>
        <v>#N/A</v>
      </c>
      <c r="P126" s="80" t="e">
        <f>NA()</f>
        <v>#N/A</v>
      </c>
      <c r="Q126" s="78" t="e">
        <f>NA()</f>
        <v>#N/A</v>
      </c>
      <c r="R126" s="79" t="e">
        <f>NA()</f>
        <v>#N/A</v>
      </c>
      <c r="S126" s="80" t="e">
        <f>NA()</f>
        <v>#N/A</v>
      </c>
      <c r="T126" s="78" t="e">
        <f>NA()</f>
        <v>#N/A</v>
      </c>
      <c r="U126" s="79" t="e">
        <f>NA()</f>
        <v>#N/A</v>
      </c>
      <c r="V126" s="80" t="e">
        <f>NA()</f>
        <v>#N/A</v>
      </c>
    </row>
    <row r="127" spans="2:22" hidden="1" outlineLevel="1" x14ac:dyDescent="0.25">
      <c r="B127" s="76" t="s">
        <v>337</v>
      </c>
      <c r="C127" s="77" t="s">
        <v>340</v>
      </c>
      <c r="D127" s="77">
        <v>5</v>
      </c>
      <c r="E127" s="78">
        <v>40</v>
      </c>
      <c r="F127" s="79">
        <v>7077</v>
      </c>
      <c r="G127" s="80">
        <v>4.1100000000000003</v>
      </c>
      <c r="H127" s="78">
        <v>40</v>
      </c>
      <c r="I127" s="79">
        <v>7770</v>
      </c>
      <c r="J127" s="80">
        <v>4.1130000000000004</v>
      </c>
      <c r="K127" s="78">
        <v>40</v>
      </c>
      <c r="L127" s="79">
        <v>9545</v>
      </c>
      <c r="M127" s="80">
        <v>4.048</v>
      </c>
      <c r="N127" s="78" t="e">
        <f>NA()</f>
        <v>#N/A</v>
      </c>
      <c r="O127" s="79" t="e">
        <f>NA()</f>
        <v>#N/A</v>
      </c>
      <c r="P127" s="80" t="e">
        <f>NA()</f>
        <v>#N/A</v>
      </c>
      <c r="Q127" s="78" t="e">
        <f>NA()</f>
        <v>#N/A</v>
      </c>
      <c r="R127" s="79" t="e">
        <f>NA()</f>
        <v>#N/A</v>
      </c>
      <c r="S127" s="80" t="e">
        <f>NA()</f>
        <v>#N/A</v>
      </c>
      <c r="T127" s="78" t="e">
        <f>NA()</f>
        <v>#N/A</v>
      </c>
      <c r="U127" s="79" t="e">
        <f>NA()</f>
        <v>#N/A</v>
      </c>
      <c r="V127" s="80" t="e">
        <f>NA()</f>
        <v>#N/A</v>
      </c>
    </row>
    <row r="128" spans="2:22" hidden="1" outlineLevel="1" x14ac:dyDescent="0.25">
      <c r="B128" s="76" t="s">
        <v>337</v>
      </c>
      <c r="C128" s="77" t="s">
        <v>340</v>
      </c>
      <c r="D128" s="77">
        <v>5</v>
      </c>
      <c r="E128" s="78">
        <v>50</v>
      </c>
      <c r="F128" s="79">
        <v>8006</v>
      </c>
      <c r="G128" s="80">
        <v>4.085</v>
      </c>
      <c r="H128" s="78">
        <v>50</v>
      </c>
      <c r="I128" s="79">
        <v>8239</v>
      </c>
      <c r="J128" s="80">
        <v>4.085</v>
      </c>
      <c r="K128" s="78">
        <v>50</v>
      </c>
      <c r="L128" s="79">
        <v>8667</v>
      </c>
      <c r="M128" s="80">
        <v>4.0259999999999998</v>
      </c>
      <c r="N128" s="78" t="e">
        <f>NA()</f>
        <v>#N/A</v>
      </c>
      <c r="O128" s="79" t="e">
        <f>NA()</f>
        <v>#N/A</v>
      </c>
      <c r="P128" s="80" t="e">
        <f>NA()</f>
        <v>#N/A</v>
      </c>
      <c r="Q128" s="78" t="e">
        <f>NA()</f>
        <v>#N/A</v>
      </c>
      <c r="R128" s="79" t="e">
        <f>NA()</f>
        <v>#N/A</v>
      </c>
      <c r="S128" s="80" t="e">
        <f>NA()</f>
        <v>#N/A</v>
      </c>
      <c r="T128" s="78" t="e">
        <f>NA()</f>
        <v>#N/A</v>
      </c>
      <c r="U128" s="79" t="e">
        <f>NA()</f>
        <v>#N/A</v>
      </c>
      <c r="V128" s="80" t="e">
        <f>NA()</f>
        <v>#N/A</v>
      </c>
    </row>
    <row r="129" spans="2:22" hidden="1" outlineLevel="1" x14ac:dyDescent="0.25">
      <c r="B129" s="76" t="s">
        <v>337</v>
      </c>
      <c r="C129" s="77" t="s">
        <v>340</v>
      </c>
      <c r="D129" s="77">
        <v>5</v>
      </c>
      <c r="E129" s="78">
        <v>60</v>
      </c>
      <c r="F129" s="79">
        <v>8632</v>
      </c>
      <c r="G129" s="80">
        <v>4.069</v>
      </c>
      <c r="H129" s="78">
        <v>60</v>
      </c>
      <c r="I129" s="79">
        <v>9159</v>
      </c>
      <c r="J129" s="80">
        <v>4.069</v>
      </c>
      <c r="K129" s="78">
        <v>60</v>
      </c>
      <c r="L129" s="79">
        <v>9441</v>
      </c>
      <c r="M129" s="80">
        <v>4.0110000000000001</v>
      </c>
      <c r="N129" s="78" t="e">
        <f>NA()</f>
        <v>#N/A</v>
      </c>
      <c r="O129" s="79" t="e">
        <f>NA()</f>
        <v>#N/A</v>
      </c>
      <c r="P129" s="80" t="e">
        <f>NA()</f>
        <v>#N/A</v>
      </c>
      <c r="Q129" s="78" t="e">
        <f>NA()</f>
        <v>#N/A</v>
      </c>
      <c r="R129" s="79" t="e">
        <f>NA()</f>
        <v>#N/A</v>
      </c>
      <c r="S129" s="80" t="e">
        <f>NA()</f>
        <v>#N/A</v>
      </c>
      <c r="T129" s="78" t="e">
        <f>NA()</f>
        <v>#N/A</v>
      </c>
      <c r="U129" s="79" t="e">
        <f>NA()</f>
        <v>#N/A</v>
      </c>
      <c r="V129" s="80" t="e">
        <f>NA()</f>
        <v>#N/A</v>
      </c>
    </row>
    <row r="130" spans="2:22" hidden="1" outlineLevel="1" x14ac:dyDescent="0.25">
      <c r="B130" s="76" t="s">
        <v>337</v>
      </c>
      <c r="C130" s="77" t="s">
        <v>340</v>
      </c>
      <c r="D130" s="77">
        <v>5</v>
      </c>
      <c r="E130" s="78">
        <v>80</v>
      </c>
      <c r="F130" s="79">
        <v>10118</v>
      </c>
      <c r="G130" s="80">
        <v>4.0460000000000003</v>
      </c>
      <c r="H130" s="78">
        <v>80</v>
      </c>
      <c r="I130" s="79">
        <v>10818</v>
      </c>
      <c r="J130" s="80">
        <v>4.048</v>
      </c>
      <c r="K130" s="78">
        <v>80</v>
      </c>
      <c r="L130" s="79">
        <v>10312</v>
      </c>
      <c r="M130" s="80">
        <v>3.9870000000000001</v>
      </c>
      <c r="N130" s="78" t="e">
        <f>NA()</f>
        <v>#N/A</v>
      </c>
      <c r="O130" s="79" t="e">
        <f>NA()</f>
        <v>#N/A</v>
      </c>
      <c r="P130" s="80" t="e">
        <f>NA()</f>
        <v>#N/A</v>
      </c>
      <c r="Q130" s="78" t="e">
        <f>NA()</f>
        <v>#N/A</v>
      </c>
      <c r="R130" s="79" t="e">
        <f>NA()</f>
        <v>#N/A</v>
      </c>
      <c r="S130" s="80" t="e">
        <f>NA()</f>
        <v>#N/A</v>
      </c>
      <c r="T130" s="78" t="e">
        <f>NA()</f>
        <v>#N/A</v>
      </c>
      <c r="U130" s="79" t="e">
        <f>NA()</f>
        <v>#N/A</v>
      </c>
      <c r="V130" s="80" t="e">
        <f>NA()</f>
        <v>#N/A</v>
      </c>
    </row>
    <row r="131" spans="2:22" hidden="1" outlineLevel="1" x14ac:dyDescent="0.25">
      <c r="B131" s="76" t="s">
        <v>337</v>
      </c>
      <c r="C131" s="77" t="s">
        <v>340</v>
      </c>
      <c r="D131" s="77">
        <v>5</v>
      </c>
      <c r="E131" s="78">
        <v>100</v>
      </c>
      <c r="F131" s="79">
        <v>11370</v>
      </c>
      <c r="G131" s="80">
        <v>4.03</v>
      </c>
      <c r="H131" s="78">
        <v>100</v>
      </c>
      <c r="I131" s="79">
        <v>11995</v>
      </c>
      <c r="J131" s="80">
        <v>4.0309999999999997</v>
      </c>
      <c r="K131" s="78">
        <v>100</v>
      </c>
      <c r="L131" s="79">
        <v>10984</v>
      </c>
      <c r="M131" s="80">
        <v>3.9710000000000001</v>
      </c>
      <c r="N131" s="78" t="e">
        <f>NA()</f>
        <v>#N/A</v>
      </c>
      <c r="O131" s="79" t="e">
        <f>NA()</f>
        <v>#N/A</v>
      </c>
      <c r="P131" s="80" t="e">
        <f>NA()</f>
        <v>#N/A</v>
      </c>
      <c r="Q131" s="78" t="e">
        <f>NA()</f>
        <v>#N/A</v>
      </c>
      <c r="R131" s="79" t="e">
        <f>NA()</f>
        <v>#N/A</v>
      </c>
      <c r="S131" s="80" t="e">
        <f>NA()</f>
        <v>#N/A</v>
      </c>
      <c r="T131" s="78" t="e">
        <f>NA()</f>
        <v>#N/A</v>
      </c>
      <c r="U131" s="79" t="e">
        <f>NA()</f>
        <v>#N/A</v>
      </c>
      <c r="V131" s="80" t="e">
        <f>NA()</f>
        <v>#N/A</v>
      </c>
    </row>
    <row r="132" spans="2:22" hidden="1" outlineLevel="1" x14ac:dyDescent="0.25">
      <c r="B132" s="76" t="s">
        <v>337</v>
      </c>
      <c r="C132" s="77" t="s">
        <v>340</v>
      </c>
      <c r="D132" s="77">
        <v>5</v>
      </c>
      <c r="E132" s="78">
        <v>120</v>
      </c>
      <c r="F132" s="79">
        <v>12734</v>
      </c>
      <c r="G132" s="80">
        <v>4.016</v>
      </c>
      <c r="H132" s="78">
        <v>120</v>
      </c>
      <c r="I132" s="79">
        <v>12964</v>
      </c>
      <c r="J132" s="80">
        <v>4.0149999999999997</v>
      </c>
      <c r="K132" s="78">
        <v>120</v>
      </c>
      <c r="L132" s="79">
        <v>13083</v>
      </c>
      <c r="M132" s="80">
        <v>3.9569999999999999</v>
      </c>
      <c r="N132" s="78" t="e">
        <f>NA()</f>
        <v>#N/A</v>
      </c>
      <c r="O132" s="79" t="e">
        <f>NA()</f>
        <v>#N/A</v>
      </c>
      <c r="P132" s="80" t="e">
        <f>NA()</f>
        <v>#N/A</v>
      </c>
      <c r="Q132" s="78" t="e">
        <f>NA()</f>
        <v>#N/A</v>
      </c>
      <c r="R132" s="79" t="e">
        <f>NA()</f>
        <v>#N/A</v>
      </c>
      <c r="S132" s="80" t="e">
        <f>NA()</f>
        <v>#N/A</v>
      </c>
      <c r="T132" s="78" t="e">
        <f>NA()</f>
        <v>#N/A</v>
      </c>
      <c r="U132" s="79" t="e">
        <f>NA()</f>
        <v>#N/A</v>
      </c>
      <c r="V132" s="80" t="e">
        <f>NA()</f>
        <v>#N/A</v>
      </c>
    </row>
    <row r="133" spans="2:22" hidden="1" outlineLevel="1" x14ac:dyDescent="0.25">
      <c r="B133" s="76" t="s">
        <v>337</v>
      </c>
      <c r="C133" s="77" t="s">
        <v>340</v>
      </c>
      <c r="D133" s="77">
        <v>5</v>
      </c>
      <c r="E133" s="78">
        <v>140</v>
      </c>
      <c r="F133" s="79">
        <v>13814</v>
      </c>
      <c r="G133" s="80">
        <v>4.0030000000000001</v>
      </c>
      <c r="H133" s="78">
        <v>140</v>
      </c>
      <c r="I133" s="79">
        <v>14231</v>
      </c>
      <c r="J133" s="80">
        <v>4</v>
      </c>
      <c r="K133" s="78">
        <v>140</v>
      </c>
      <c r="L133" s="79">
        <v>14475</v>
      </c>
      <c r="M133" s="80">
        <v>3.9369999999999998</v>
      </c>
      <c r="N133" s="78" t="e">
        <f>NA()</f>
        <v>#N/A</v>
      </c>
      <c r="O133" s="79" t="e">
        <f>NA()</f>
        <v>#N/A</v>
      </c>
      <c r="P133" s="80" t="e">
        <f>NA()</f>
        <v>#N/A</v>
      </c>
      <c r="Q133" s="78" t="e">
        <f>NA()</f>
        <v>#N/A</v>
      </c>
      <c r="R133" s="79" t="e">
        <f>NA()</f>
        <v>#N/A</v>
      </c>
      <c r="S133" s="80" t="e">
        <f>NA()</f>
        <v>#N/A</v>
      </c>
      <c r="T133" s="78" t="e">
        <f>NA()</f>
        <v>#N/A</v>
      </c>
      <c r="U133" s="79" t="e">
        <f>NA()</f>
        <v>#N/A</v>
      </c>
      <c r="V133" s="80" t="e">
        <f>NA()</f>
        <v>#N/A</v>
      </c>
    </row>
    <row r="134" spans="2:22" hidden="1" outlineLevel="1" x14ac:dyDescent="0.25">
      <c r="B134" s="76" t="s">
        <v>337</v>
      </c>
      <c r="C134" s="77" t="s">
        <v>340</v>
      </c>
      <c r="D134" s="77">
        <v>5</v>
      </c>
      <c r="E134" s="78">
        <v>160</v>
      </c>
      <c r="F134" s="79">
        <v>14948</v>
      </c>
      <c r="G134" s="80">
        <v>3.9889999999999999</v>
      </c>
      <c r="H134" s="78">
        <v>160</v>
      </c>
      <c r="I134" s="79">
        <v>14483</v>
      </c>
      <c r="J134" s="80">
        <v>3.9790000000000001</v>
      </c>
      <c r="K134" s="78">
        <v>160</v>
      </c>
      <c r="L134" s="79">
        <v>15084</v>
      </c>
      <c r="M134" s="80">
        <v>3.9180000000000001</v>
      </c>
      <c r="N134" s="78" t="e">
        <f>NA()</f>
        <v>#N/A</v>
      </c>
      <c r="O134" s="79" t="e">
        <f>NA()</f>
        <v>#N/A</v>
      </c>
      <c r="P134" s="80" t="e">
        <f>NA()</f>
        <v>#N/A</v>
      </c>
      <c r="Q134" s="78" t="e">
        <f>NA()</f>
        <v>#N/A</v>
      </c>
      <c r="R134" s="79" t="e">
        <f>NA()</f>
        <v>#N/A</v>
      </c>
      <c r="S134" s="80" t="e">
        <f>NA()</f>
        <v>#N/A</v>
      </c>
      <c r="T134" s="78" t="e">
        <f>NA()</f>
        <v>#N/A</v>
      </c>
      <c r="U134" s="79" t="e">
        <f>NA()</f>
        <v>#N/A</v>
      </c>
      <c r="V134" s="80" t="e">
        <f>NA()</f>
        <v>#N/A</v>
      </c>
    </row>
    <row r="135" spans="2:22" hidden="1" outlineLevel="1" x14ac:dyDescent="0.25">
      <c r="B135" s="76" t="s">
        <v>337</v>
      </c>
      <c r="C135" s="77" t="s">
        <v>340</v>
      </c>
      <c r="D135" s="77">
        <v>5</v>
      </c>
      <c r="E135" s="78">
        <v>180</v>
      </c>
      <c r="F135" s="79">
        <v>16177</v>
      </c>
      <c r="G135" s="80">
        <v>3.9740000000000002</v>
      </c>
      <c r="H135" s="78">
        <v>180</v>
      </c>
      <c r="I135" s="79">
        <v>16985</v>
      </c>
      <c r="J135" s="80">
        <v>3.9609999999999999</v>
      </c>
      <c r="K135" s="78">
        <v>180</v>
      </c>
      <c r="L135" s="79">
        <v>16456</v>
      </c>
      <c r="M135" s="80">
        <v>3.8980000000000001</v>
      </c>
      <c r="N135" s="78" t="e">
        <f>NA()</f>
        <v>#N/A</v>
      </c>
      <c r="O135" s="79" t="e">
        <f>NA()</f>
        <v>#N/A</v>
      </c>
      <c r="P135" s="80" t="e">
        <f>NA()</f>
        <v>#N/A</v>
      </c>
      <c r="Q135" s="78" t="e">
        <f>NA()</f>
        <v>#N/A</v>
      </c>
      <c r="R135" s="79" t="e">
        <f>NA()</f>
        <v>#N/A</v>
      </c>
      <c r="S135" s="80" t="e">
        <f>NA()</f>
        <v>#N/A</v>
      </c>
      <c r="T135" s="78" t="e">
        <f>NA()</f>
        <v>#N/A</v>
      </c>
      <c r="U135" s="79" t="e">
        <f>NA()</f>
        <v>#N/A</v>
      </c>
      <c r="V135" s="80" t="e">
        <f>NA()</f>
        <v>#N/A</v>
      </c>
    </row>
    <row r="136" spans="2:22" hidden="1" outlineLevel="1" x14ac:dyDescent="0.25">
      <c r="B136" s="76" t="s">
        <v>337</v>
      </c>
      <c r="C136" s="77" t="s">
        <v>340</v>
      </c>
      <c r="D136" s="77">
        <v>5</v>
      </c>
      <c r="E136" s="78">
        <v>200</v>
      </c>
      <c r="F136" s="79">
        <v>17228</v>
      </c>
      <c r="G136" s="80">
        <v>3.9569999999999999</v>
      </c>
      <c r="H136" s="78">
        <v>200</v>
      </c>
      <c r="I136" s="79">
        <v>17215</v>
      </c>
      <c r="J136" s="80">
        <v>3.9340000000000002</v>
      </c>
      <c r="K136" s="78">
        <v>200</v>
      </c>
      <c r="L136" s="79">
        <v>17398</v>
      </c>
      <c r="M136" s="80">
        <v>3.88</v>
      </c>
      <c r="N136" s="78" t="e">
        <f>NA()</f>
        <v>#N/A</v>
      </c>
      <c r="O136" s="79" t="e">
        <f>NA()</f>
        <v>#N/A</v>
      </c>
      <c r="P136" s="80" t="e">
        <f>NA()</f>
        <v>#N/A</v>
      </c>
      <c r="Q136" s="78" t="e">
        <f>NA()</f>
        <v>#N/A</v>
      </c>
      <c r="R136" s="79" t="e">
        <f>NA()</f>
        <v>#N/A</v>
      </c>
      <c r="S136" s="80" t="e">
        <f>NA()</f>
        <v>#N/A</v>
      </c>
      <c r="T136" s="78" t="e">
        <f>NA()</f>
        <v>#N/A</v>
      </c>
      <c r="U136" s="79" t="e">
        <f>NA()</f>
        <v>#N/A</v>
      </c>
      <c r="V136" s="80" t="e">
        <f>NA()</f>
        <v>#N/A</v>
      </c>
    </row>
    <row r="137" spans="2:22" hidden="1" outlineLevel="1" x14ac:dyDescent="0.25">
      <c r="B137" s="76" t="s">
        <v>337</v>
      </c>
      <c r="C137" s="77" t="s">
        <v>340</v>
      </c>
      <c r="D137" s="77">
        <v>5</v>
      </c>
      <c r="E137" s="78">
        <v>220</v>
      </c>
      <c r="F137" s="79">
        <v>18109</v>
      </c>
      <c r="G137" s="80">
        <v>3.9390000000000001</v>
      </c>
      <c r="H137" s="78">
        <v>220</v>
      </c>
      <c r="I137" s="79">
        <v>17889</v>
      </c>
      <c r="J137" s="80">
        <v>3.9089999999999998</v>
      </c>
      <c r="K137" s="78">
        <v>220</v>
      </c>
      <c r="L137" s="79">
        <v>18525</v>
      </c>
      <c r="M137" s="80">
        <v>3.86</v>
      </c>
      <c r="N137" s="78" t="e">
        <f>NA()</f>
        <v>#N/A</v>
      </c>
      <c r="O137" s="79" t="e">
        <f>NA()</f>
        <v>#N/A</v>
      </c>
      <c r="P137" s="80" t="e">
        <f>NA()</f>
        <v>#N/A</v>
      </c>
      <c r="Q137" s="78" t="e">
        <f>NA()</f>
        <v>#N/A</v>
      </c>
      <c r="R137" s="79" t="e">
        <f>NA()</f>
        <v>#N/A</v>
      </c>
      <c r="S137" s="80" t="e">
        <f>NA()</f>
        <v>#N/A</v>
      </c>
      <c r="T137" s="78" t="e">
        <f>NA()</f>
        <v>#N/A</v>
      </c>
      <c r="U137" s="79" t="e">
        <f>NA()</f>
        <v>#N/A</v>
      </c>
      <c r="V137" s="80" t="e">
        <f>NA()</f>
        <v>#N/A</v>
      </c>
    </row>
    <row r="138" spans="2:22" hidden="1" outlineLevel="1" x14ac:dyDescent="0.25">
      <c r="B138" s="76" t="s">
        <v>337</v>
      </c>
      <c r="C138" s="77" t="s">
        <v>340</v>
      </c>
      <c r="D138" s="77">
        <v>5</v>
      </c>
      <c r="E138" s="78">
        <v>240</v>
      </c>
      <c r="F138" s="79">
        <v>19013</v>
      </c>
      <c r="G138" s="80">
        <v>3.923</v>
      </c>
      <c r="H138" s="78">
        <v>240</v>
      </c>
      <c r="I138" s="79">
        <v>18536</v>
      </c>
      <c r="J138" s="80">
        <v>3.883</v>
      </c>
      <c r="K138" s="78">
        <v>240</v>
      </c>
      <c r="L138" s="79">
        <v>19589</v>
      </c>
      <c r="M138" s="80">
        <v>3.84</v>
      </c>
      <c r="N138" s="78" t="e">
        <f>NA()</f>
        <v>#N/A</v>
      </c>
      <c r="O138" s="79" t="e">
        <f>NA()</f>
        <v>#N/A</v>
      </c>
      <c r="P138" s="80" t="e">
        <f>NA()</f>
        <v>#N/A</v>
      </c>
      <c r="Q138" s="78" t="e">
        <f>NA()</f>
        <v>#N/A</v>
      </c>
      <c r="R138" s="79" t="e">
        <f>NA()</f>
        <v>#N/A</v>
      </c>
      <c r="S138" s="80" t="e">
        <f>NA()</f>
        <v>#N/A</v>
      </c>
      <c r="T138" s="78" t="e">
        <f>NA()</f>
        <v>#N/A</v>
      </c>
      <c r="U138" s="79" t="e">
        <f>NA()</f>
        <v>#N/A</v>
      </c>
      <c r="V138" s="80" t="e">
        <f>NA()</f>
        <v>#N/A</v>
      </c>
    </row>
    <row r="139" spans="2:22" hidden="1" outlineLevel="1" x14ac:dyDescent="0.25">
      <c r="B139" s="76" t="s">
        <v>337</v>
      </c>
      <c r="C139" s="77" t="s">
        <v>340</v>
      </c>
      <c r="D139" s="77">
        <v>5</v>
      </c>
      <c r="E139" s="78">
        <v>260</v>
      </c>
      <c r="F139" s="79">
        <v>19663</v>
      </c>
      <c r="G139" s="80">
        <v>3.9039999999999999</v>
      </c>
      <c r="H139" s="78">
        <v>260</v>
      </c>
      <c r="I139" s="79">
        <v>18490</v>
      </c>
      <c r="J139" s="80">
        <v>3.8570000000000002</v>
      </c>
      <c r="K139" s="78">
        <v>260</v>
      </c>
      <c r="L139" s="79">
        <v>19604</v>
      </c>
      <c r="M139" s="80">
        <v>3.8170000000000002</v>
      </c>
      <c r="N139" s="78" t="e">
        <f>NA()</f>
        <v>#N/A</v>
      </c>
      <c r="O139" s="79" t="e">
        <f>NA()</f>
        <v>#N/A</v>
      </c>
      <c r="P139" s="80" t="e">
        <f>NA()</f>
        <v>#N/A</v>
      </c>
      <c r="Q139" s="78" t="e">
        <f>NA()</f>
        <v>#N/A</v>
      </c>
      <c r="R139" s="79" t="e">
        <f>NA()</f>
        <v>#N/A</v>
      </c>
      <c r="S139" s="80" t="e">
        <f>NA()</f>
        <v>#N/A</v>
      </c>
      <c r="T139" s="78" t="e">
        <f>NA()</f>
        <v>#N/A</v>
      </c>
      <c r="U139" s="79" t="e">
        <f>NA()</f>
        <v>#N/A</v>
      </c>
      <c r="V139" s="80" t="e">
        <f>NA()</f>
        <v>#N/A</v>
      </c>
    </row>
    <row r="140" spans="2:22" hidden="1" outlineLevel="1" x14ac:dyDescent="0.25">
      <c r="B140" s="76" t="s">
        <v>337</v>
      </c>
      <c r="C140" s="77" t="s">
        <v>340</v>
      </c>
      <c r="D140" s="77">
        <v>5</v>
      </c>
      <c r="E140" s="78">
        <v>280</v>
      </c>
      <c r="F140" s="79">
        <v>20344</v>
      </c>
      <c r="G140" s="80">
        <v>3.8849999999999998</v>
      </c>
      <c r="H140" s="78">
        <v>280</v>
      </c>
      <c r="I140" s="79">
        <v>19193</v>
      </c>
      <c r="J140" s="80">
        <v>3.8319999999999999</v>
      </c>
      <c r="K140" s="78">
        <v>280</v>
      </c>
      <c r="L140" s="79">
        <v>20069</v>
      </c>
      <c r="M140" s="80">
        <v>3.7959999999999998</v>
      </c>
      <c r="N140" s="78" t="e">
        <f>NA()</f>
        <v>#N/A</v>
      </c>
      <c r="O140" s="79" t="e">
        <f>NA()</f>
        <v>#N/A</v>
      </c>
      <c r="P140" s="80" t="e">
        <f>NA()</f>
        <v>#N/A</v>
      </c>
      <c r="Q140" s="78" t="e">
        <f>NA()</f>
        <v>#N/A</v>
      </c>
      <c r="R140" s="79" t="e">
        <f>NA()</f>
        <v>#N/A</v>
      </c>
      <c r="S140" s="80" t="e">
        <f>NA()</f>
        <v>#N/A</v>
      </c>
      <c r="T140" s="78" t="e">
        <f>NA()</f>
        <v>#N/A</v>
      </c>
      <c r="U140" s="79" t="e">
        <f>NA()</f>
        <v>#N/A</v>
      </c>
      <c r="V140" s="80" t="e">
        <f>NA()</f>
        <v>#N/A</v>
      </c>
    </row>
    <row r="141" spans="2:22" hidden="1" outlineLevel="1" x14ac:dyDescent="0.25">
      <c r="B141" s="76" t="s">
        <v>337</v>
      </c>
      <c r="C141" s="77" t="s">
        <v>340</v>
      </c>
      <c r="D141" s="77">
        <v>5</v>
      </c>
      <c r="E141" s="78">
        <v>300</v>
      </c>
      <c r="F141" s="79">
        <v>21155</v>
      </c>
      <c r="G141" s="80">
        <v>3.8650000000000002</v>
      </c>
      <c r="H141" s="78">
        <v>300</v>
      </c>
      <c r="I141" s="79">
        <v>20640</v>
      </c>
      <c r="J141" s="80">
        <v>3.8079999999999998</v>
      </c>
      <c r="K141" s="78">
        <v>300</v>
      </c>
      <c r="L141" s="79">
        <v>20098</v>
      </c>
      <c r="M141" s="80">
        <v>3.7709999999999999</v>
      </c>
      <c r="N141" s="78" t="e">
        <f>NA()</f>
        <v>#N/A</v>
      </c>
      <c r="O141" s="79" t="e">
        <f>NA()</f>
        <v>#N/A</v>
      </c>
      <c r="P141" s="80" t="e">
        <f>NA()</f>
        <v>#N/A</v>
      </c>
      <c r="Q141" s="78" t="e">
        <f>NA()</f>
        <v>#N/A</v>
      </c>
      <c r="R141" s="79" t="e">
        <f>NA()</f>
        <v>#N/A</v>
      </c>
      <c r="S141" s="80" t="e">
        <f>NA()</f>
        <v>#N/A</v>
      </c>
      <c r="T141" s="78" t="e">
        <f>NA()</f>
        <v>#N/A</v>
      </c>
      <c r="U141" s="79" t="e">
        <f>NA()</f>
        <v>#N/A</v>
      </c>
      <c r="V141" s="80" t="e">
        <f>NA()</f>
        <v>#N/A</v>
      </c>
    </row>
    <row r="142" spans="2:22" hidden="1" outlineLevel="1" x14ac:dyDescent="0.25">
      <c r="B142" s="76" t="s">
        <v>337</v>
      </c>
      <c r="C142" s="77" t="s">
        <v>340</v>
      </c>
      <c r="D142" s="77">
        <v>5</v>
      </c>
      <c r="E142" s="78">
        <v>320</v>
      </c>
      <c r="F142" s="79">
        <v>21911</v>
      </c>
      <c r="G142" s="80">
        <v>3.8460000000000001</v>
      </c>
      <c r="H142" s="78">
        <v>320</v>
      </c>
      <c r="I142" s="79">
        <v>21108</v>
      </c>
      <c r="J142" s="80">
        <v>3.7850000000000001</v>
      </c>
      <c r="K142" s="78">
        <v>320</v>
      </c>
      <c r="L142" s="79">
        <v>21232</v>
      </c>
      <c r="M142" s="80">
        <v>3.7469999999999999</v>
      </c>
      <c r="N142" s="78" t="e">
        <f>NA()</f>
        <v>#N/A</v>
      </c>
      <c r="O142" s="79" t="e">
        <f>NA()</f>
        <v>#N/A</v>
      </c>
      <c r="P142" s="80" t="e">
        <f>NA()</f>
        <v>#N/A</v>
      </c>
      <c r="Q142" s="78" t="e">
        <f>NA()</f>
        <v>#N/A</v>
      </c>
      <c r="R142" s="79" t="e">
        <f>NA()</f>
        <v>#N/A</v>
      </c>
      <c r="S142" s="80" t="e">
        <f>NA()</f>
        <v>#N/A</v>
      </c>
      <c r="T142" s="78" t="e">
        <f>NA()</f>
        <v>#N/A</v>
      </c>
      <c r="U142" s="79" t="e">
        <f>NA()</f>
        <v>#N/A</v>
      </c>
      <c r="V142" s="80" t="e">
        <f>NA()</f>
        <v>#N/A</v>
      </c>
    </row>
    <row r="143" spans="2:22" hidden="1" outlineLevel="1" x14ac:dyDescent="0.25">
      <c r="B143" s="76" t="s">
        <v>337</v>
      </c>
      <c r="C143" s="77" t="s">
        <v>340</v>
      </c>
      <c r="D143" s="77">
        <v>5</v>
      </c>
      <c r="E143" s="78">
        <v>340</v>
      </c>
      <c r="F143" s="79">
        <v>22387</v>
      </c>
      <c r="G143" s="80">
        <v>3.8260000000000001</v>
      </c>
      <c r="H143" s="78">
        <v>340</v>
      </c>
      <c r="I143" s="79">
        <v>21688</v>
      </c>
      <c r="J143" s="80">
        <v>3.7589999999999999</v>
      </c>
      <c r="K143" s="78">
        <v>340</v>
      </c>
      <c r="L143" s="79">
        <v>21590</v>
      </c>
      <c r="M143" s="80">
        <v>3.718</v>
      </c>
      <c r="N143" s="78" t="e">
        <f>NA()</f>
        <v>#N/A</v>
      </c>
      <c r="O143" s="79" t="e">
        <f>NA()</f>
        <v>#N/A</v>
      </c>
      <c r="P143" s="80" t="e">
        <f>NA()</f>
        <v>#N/A</v>
      </c>
      <c r="Q143" s="78" t="e">
        <f>NA()</f>
        <v>#N/A</v>
      </c>
      <c r="R143" s="79" t="e">
        <f>NA()</f>
        <v>#N/A</v>
      </c>
      <c r="S143" s="80" t="e">
        <f>NA()</f>
        <v>#N/A</v>
      </c>
      <c r="T143" s="78" t="e">
        <f>NA()</f>
        <v>#N/A</v>
      </c>
      <c r="U143" s="79" t="e">
        <f>NA()</f>
        <v>#N/A</v>
      </c>
      <c r="V143" s="80" t="e">
        <f>NA()</f>
        <v>#N/A</v>
      </c>
    </row>
    <row r="144" spans="2:22" hidden="1" outlineLevel="1" x14ac:dyDescent="0.25">
      <c r="B144" s="76" t="s">
        <v>337</v>
      </c>
      <c r="C144" s="77" t="s">
        <v>340</v>
      </c>
      <c r="D144" s="77">
        <v>5</v>
      </c>
      <c r="E144" s="78">
        <v>360</v>
      </c>
      <c r="F144" s="79">
        <v>23099</v>
      </c>
      <c r="G144" s="80">
        <v>3.8050000000000002</v>
      </c>
      <c r="H144" s="78">
        <v>360</v>
      </c>
      <c r="I144" s="79">
        <v>22485</v>
      </c>
      <c r="J144" s="80">
        <v>3.7320000000000002</v>
      </c>
      <c r="K144" s="78" t="e">
        <f>NA()</f>
        <v>#N/A</v>
      </c>
      <c r="L144" s="79" t="e">
        <f>NA()</f>
        <v>#N/A</v>
      </c>
      <c r="M144" s="80" t="e">
        <f>NA()</f>
        <v>#N/A</v>
      </c>
      <c r="N144" s="78" t="e">
        <f>NA()</f>
        <v>#N/A</v>
      </c>
      <c r="O144" s="79" t="e">
        <f>NA()</f>
        <v>#N/A</v>
      </c>
      <c r="P144" s="80" t="e">
        <f>NA()</f>
        <v>#N/A</v>
      </c>
      <c r="Q144" s="78" t="e">
        <f>NA()</f>
        <v>#N/A</v>
      </c>
      <c r="R144" s="79" t="e">
        <f>NA()</f>
        <v>#N/A</v>
      </c>
      <c r="S144" s="80" t="e">
        <f>NA()</f>
        <v>#N/A</v>
      </c>
      <c r="T144" s="78" t="e">
        <f>NA()</f>
        <v>#N/A</v>
      </c>
      <c r="U144" s="79" t="e">
        <f>NA()</f>
        <v>#N/A</v>
      </c>
      <c r="V144" s="80" t="e">
        <f>NA()</f>
        <v>#N/A</v>
      </c>
    </row>
    <row r="145" spans="2:22" hidden="1" outlineLevel="1" x14ac:dyDescent="0.25">
      <c r="B145" s="76" t="s">
        <v>337</v>
      </c>
      <c r="C145" s="77" t="s">
        <v>340</v>
      </c>
      <c r="D145" s="77">
        <v>5</v>
      </c>
      <c r="E145" s="78">
        <v>380</v>
      </c>
      <c r="F145" s="79">
        <v>23705</v>
      </c>
      <c r="G145" s="80">
        <v>3.7850000000000001</v>
      </c>
      <c r="H145" s="78" t="e">
        <f>NA()</f>
        <v>#N/A</v>
      </c>
      <c r="I145" s="79" t="e">
        <f>NA()</f>
        <v>#N/A</v>
      </c>
      <c r="J145" s="80" t="e">
        <f>NA()</f>
        <v>#N/A</v>
      </c>
      <c r="K145" s="78" t="e">
        <f>NA()</f>
        <v>#N/A</v>
      </c>
      <c r="L145" s="79" t="e">
        <f>NA()</f>
        <v>#N/A</v>
      </c>
      <c r="M145" s="80" t="e">
        <f>NA()</f>
        <v>#N/A</v>
      </c>
      <c r="N145" s="78" t="e">
        <f>NA()</f>
        <v>#N/A</v>
      </c>
      <c r="O145" s="79" t="e">
        <f>NA()</f>
        <v>#N/A</v>
      </c>
      <c r="P145" s="80" t="e">
        <f>NA()</f>
        <v>#N/A</v>
      </c>
      <c r="Q145" s="78" t="e">
        <f>NA()</f>
        <v>#N/A</v>
      </c>
      <c r="R145" s="79" t="e">
        <f>NA()</f>
        <v>#N/A</v>
      </c>
      <c r="S145" s="80" t="e">
        <f>NA()</f>
        <v>#N/A</v>
      </c>
      <c r="T145" s="78" t="e">
        <f>NA()</f>
        <v>#N/A</v>
      </c>
      <c r="U145" s="79" t="e">
        <f>NA()</f>
        <v>#N/A</v>
      </c>
      <c r="V145" s="80" t="e">
        <f>NA()</f>
        <v>#N/A</v>
      </c>
    </row>
    <row r="146" spans="2:22" hidden="1" outlineLevel="1" x14ac:dyDescent="0.25">
      <c r="B146" s="81" t="s">
        <v>337</v>
      </c>
      <c r="C146" s="82" t="s">
        <v>340</v>
      </c>
      <c r="D146" s="82">
        <v>5</v>
      </c>
      <c r="E146" s="83">
        <v>400</v>
      </c>
      <c r="F146" s="84">
        <v>23961</v>
      </c>
      <c r="G146" s="85">
        <v>3.7629999999999999</v>
      </c>
      <c r="H146" s="83" t="e">
        <f>NA()</f>
        <v>#N/A</v>
      </c>
      <c r="I146" s="84" t="e">
        <f>NA()</f>
        <v>#N/A</v>
      </c>
      <c r="J146" s="85" t="e">
        <f>NA()</f>
        <v>#N/A</v>
      </c>
      <c r="K146" s="83" t="e">
        <f>NA()</f>
        <v>#N/A</v>
      </c>
      <c r="L146" s="84" t="e">
        <f>NA()</f>
        <v>#N/A</v>
      </c>
      <c r="M146" s="85" t="e">
        <f>NA()</f>
        <v>#N/A</v>
      </c>
      <c r="N146" s="83" t="e">
        <f>NA()</f>
        <v>#N/A</v>
      </c>
      <c r="O146" s="84" t="e">
        <f>NA()</f>
        <v>#N/A</v>
      </c>
      <c r="P146" s="85" t="e">
        <f>NA()</f>
        <v>#N/A</v>
      </c>
      <c r="Q146" s="83" t="e">
        <f>NA()</f>
        <v>#N/A</v>
      </c>
      <c r="R146" s="84" t="e">
        <f>NA()</f>
        <v>#N/A</v>
      </c>
      <c r="S146" s="85" t="e">
        <f>NA()</f>
        <v>#N/A</v>
      </c>
      <c r="T146" s="83" t="e">
        <f>NA()</f>
        <v>#N/A</v>
      </c>
      <c r="U146" s="84" t="e">
        <f>NA()</f>
        <v>#N/A</v>
      </c>
      <c r="V146" s="85" t="e">
        <f>NA()</f>
        <v>#N/A</v>
      </c>
    </row>
    <row r="147" spans="2:22" hidden="1" outlineLevel="1" x14ac:dyDescent="0.25">
      <c r="B147" s="76" t="s">
        <v>487</v>
      </c>
      <c r="C147" s="77" t="s">
        <v>462</v>
      </c>
      <c r="D147" s="77">
        <v>5</v>
      </c>
      <c r="E147" s="78">
        <v>0</v>
      </c>
      <c r="F147" s="79">
        <v>0</v>
      </c>
      <c r="G147" s="80">
        <v>5.1379999999999999</v>
      </c>
      <c r="H147" s="78">
        <v>0</v>
      </c>
      <c r="I147" s="79">
        <v>0</v>
      </c>
      <c r="J147" s="80">
        <v>5.157</v>
      </c>
      <c r="K147" s="78">
        <v>0</v>
      </c>
      <c r="L147" s="79">
        <v>0</v>
      </c>
      <c r="M147" s="80">
        <v>5.1369999999999996</v>
      </c>
      <c r="N147" s="78" t="e">
        <f>NA()</f>
        <v>#N/A</v>
      </c>
      <c r="O147" s="79" t="e">
        <f>NA()</f>
        <v>#N/A</v>
      </c>
      <c r="P147" s="80" t="e">
        <f>NA()</f>
        <v>#N/A</v>
      </c>
      <c r="Q147" s="78" t="e">
        <f>NA()</f>
        <v>#N/A</v>
      </c>
      <c r="R147" s="79" t="e">
        <f>NA()</f>
        <v>#N/A</v>
      </c>
      <c r="S147" s="80" t="e">
        <f>NA()</f>
        <v>#N/A</v>
      </c>
      <c r="T147" s="78" t="e">
        <f>NA()</f>
        <v>#N/A</v>
      </c>
      <c r="U147" s="79" t="e">
        <f>NA()</f>
        <v>#N/A</v>
      </c>
      <c r="V147" s="80" t="e">
        <f>NA()</f>
        <v>#N/A</v>
      </c>
    </row>
    <row r="148" spans="2:22" hidden="1" outlineLevel="1" x14ac:dyDescent="0.25">
      <c r="B148" s="76" t="s">
        <v>487</v>
      </c>
      <c r="C148" s="77" t="s">
        <v>462</v>
      </c>
      <c r="D148" s="77">
        <v>5</v>
      </c>
      <c r="E148" s="78">
        <v>1</v>
      </c>
      <c r="F148" s="79">
        <v>0</v>
      </c>
      <c r="G148" s="80">
        <v>5.1589999999999998</v>
      </c>
      <c r="H148" s="78">
        <v>1</v>
      </c>
      <c r="I148" s="79">
        <v>0</v>
      </c>
      <c r="J148" s="80">
        <v>5.157</v>
      </c>
      <c r="K148" s="78">
        <v>1</v>
      </c>
      <c r="L148" s="79">
        <v>0</v>
      </c>
      <c r="M148" s="80">
        <v>5.1520000000000001</v>
      </c>
      <c r="N148" s="78" t="e">
        <f>NA()</f>
        <v>#N/A</v>
      </c>
      <c r="O148" s="79" t="e">
        <f>NA()</f>
        <v>#N/A</v>
      </c>
      <c r="P148" s="80" t="e">
        <f>NA()</f>
        <v>#N/A</v>
      </c>
      <c r="Q148" s="78" t="e">
        <f>NA()</f>
        <v>#N/A</v>
      </c>
      <c r="R148" s="79" t="e">
        <f>NA()</f>
        <v>#N/A</v>
      </c>
      <c r="S148" s="80" t="e">
        <f>NA()</f>
        <v>#N/A</v>
      </c>
      <c r="T148" s="78" t="e">
        <f>NA()</f>
        <v>#N/A</v>
      </c>
      <c r="U148" s="79" t="e">
        <f>NA()</f>
        <v>#N/A</v>
      </c>
      <c r="V148" s="80" t="e">
        <f>NA()</f>
        <v>#N/A</v>
      </c>
    </row>
    <row r="149" spans="2:22" hidden="1" outlineLevel="1" x14ac:dyDescent="0.25">
      <c r="B149" s="76" t="s">
        <v>487</v>
      </c>
      <c r="C149" s="77" t="s">
        <v>462</v>
      </c>
      <c r="D149" s="77">
        <v>5</v>
      </c>
      <c r="E149" s="78">
        <v>20</v>
      </c>
      <c r="F149" s="79">
        <v>1367</v>
      </c>
      <c r="G149" s="80">
        <v>4.819</v>
      </c>
      <c r="H149" s="78">
        <v>20</v>
      </c>
      <c r="I149" s="79">
        <v>1788</v>
      </c>
      <c r="J149" s="80">
        <v>4.7510000000000003</v>
      </c>
      <c r="K149" s="78">
        <v>20</v>
      </c>
      <c r="L149" s="79">
        <v>2605</v>
      </c>
      <c r="M149" s="80">
        <v>4.8600000000000003</v>
      </c>
      <c r="N149" s="78" t="e">
        <f>NA()</f>
        <v>#N/A</v>
      </c>
      <c r="O149" s="79" t="e">
        <f>NA()</f>
        <v>#N/A</v>
      </c>
      <c r="P149" s="80" t="e">
        <f>NA()</f>
        <v>#N/A</v>
      </c>
      <c r="Q149" s="78" t="e">
        <f>NA()</f>
        <v>#N/A</v>
      </c>
      <c r="R149" s="79" t="e">
        <f>NA()</f>
        <v>#N/A</v>
      </c>
      <c r="S149" s="80" t="e">
        <f>NA()</f>
        <v>#N/A</v>
      </c>
      <c r="T149" s="78" t="e">
        <f>NA()</f>
        <v>#N/A</v>
      </c>
      <c r="U149" s="79" t="e">
        <f>NA()</f>
        <v>#N/A</v>
      </c>
      <c r="V149" s="80" t="e">
        <f>NA()</f>
        <v>#N/A</v>
      </c>
    </row>
    <row r="150" spans="2:22" hidden="1" outlineLevel="1" x14ac:dyDescent="0.25">
      <c r="B150" s="76" t="s">
        <v>487</v>
      </c>
      <c r="C150" s="77" t="s">
        <v>462</v>
      </c>
      <c r="D150" s="77">
        <v>5</v>
      </c>
      <c r="E150" s="78">
        <v>30</v>
      </c>
      <c r="F150" s="79">
        <v>1907</v>
      </c>
      <c r="G150" s="80">
        <v>4.6849999999999996</v>
      </c>
      <c r="H150" s="78">
        <v>30</v>
      </c>
      <c r="I150" s="79">
        <v>2515</v>
      </c>
      <c r="J150" s="80">
        <v>4.6399999999999997</v>
      </c>
      <c r="K150" s="78">
        <v>30</v>
      </c>
      <c r="L150" s="79">
        <v>2881</v>
      </c>
      <c r="M150" s="80">
        <v>4.7690000000000001</v>
      </c>
      <c r="N150" s="78" t="e">
        <f>NA()</f>
        <v>#N/A</v>
      </c>
      <c r="O150" s="79" t="e">
        <f>NA()</f>
        <v>#N/A</v>
      </c>
      <c r="P150" s="80" t="e">
        <f>NA()</f>
        <v>#N/A</v>
      </c>
      <c r="Q150" s="78" t="e">
        <f>NA()</f>
        <v>#N/A</v>
      </c>
      <c r="R150" s="79" t="e">
        <f>NA()</f>
        <v>#N/A</v>
      </c>
      <c r="S150" s="80" t="e">
        <f>NA()</f>
        <v>#N/A</v>
      </c>
      <c r="T150" s="78" t="e">
        <f>NA()</f>
        <v>#N/A</v>
      </c>
      <c r="U150" s="79" t="e">
        <f>NA()</f>
        <v>#N/A</v>
      </c>
      <c r="V150" s="80" t="e">
        <f>NA()</f>
        <v>#N/A</v>
      </c>
    </row>
    <row r="151" spans="2:22" hidden="1" outlineLevel="1" x14ac:dyDescent="0.25">
      <c r="B151" s="76" t="s">
        <v>487</v>
      </c>
      <c r="C151" s="77" t="s">
        <v>462</v>
      </c>
      <c r="D151" s="77">
        <v>5</v>
      </c>
      <c r="E151" s="78">
        <v>40</v>
      </c>
      <c r="F151" s="79">
        <v>2515</v>
      </c>
      <c r="G151" s="80">
        <v>4.5789999999999997</v>
      </c>
      <c r="H151" s="78">
        <v>40</v>
      </c>
      <c r="I151" s="79">
        <v>3114</v>
      </c>
      <c r="J151" s="80">
        <v>4.5350000000000001</v>
      </c>
      <c r="K151" s="78">
        <v>40</v>
      </c>
      <c r="L151" s="79">
        <v>3587</v>
      </c>
      <c r="M151" s="80">
        <v>4.6879999999999997</v>
      </c>
      <c r="N151" s="78" t="e">
        <f>NA()</f>
        <v>#N/A</v>
      </c>
      <c r="O151" s="79" t="e">
        <f>NA()</f>
        <v>#N/A</v>
      </c>
      <c r="P151" s="80" t="e">
        <f>NA()</f>
        <v>#N/A</v>
      </c>
      <c r="Q151" s="78" t="e">
        <f>NA()</f>
        <v>#N/A</v>
      </c>
      <c r="R151" s="79" t="e">
        <f>NA()</f>
        <v>#N/A</v>
      </c>
      <c r="S151" s="80" t="e">
        <f>NA()</f>
        <v>#N/A</v>
      </c>
      <c r="T151" s="78" t="e">
        <f>NA()</f>
        <v>#N/A</v>
      </c>
      <c r="U151" s="79" t="e">
        <f>NA()</f>
        <v>#N/A</v>
      </c>
      <c r="V151" s="80" t="e">
        <f>NA()</f>
        <v>#N/A</v>
      </c>
    </row>
    <row r="152" spans="2:22" hidden="1" outlineLevel="1" x14ac:dyDescent="0.25">
      <c r="B152" s="76" t="s">
        <v>487</v>
      </c>
      <c r="C152" s="77" t="s">
        <v>462</v>
      </c>
      <c r="D152" s="77">
        <v>5</v>
      </c>
      <c r="E152" s="78">
        <v>50</v>
      </c>
      <c r="F152" s="79">
        <v>3068</v>
      </c>
      <c r="G152" s="80">
        <v>4.4980000000000002</v>
      </c>
      <c r="H152" s="78">
        <v>50</v>
      </c>
      <c r="I152" s="79">
        <v>3661</v>
      </c>
      <c r="J152" s="80">
        <v>4.46</v>
      </c>
      <c r="K152" s="78">
        <v>50</v>
      </c>
      <c r="L152" s="79">
        <v>4404</v>
      </c>
      <c r="M152" s="80">
        <v>4.6360000000000001</v>
      </c>
      <c r="N152" s="78" t="e">
        <f>NA()</f>
        <v>#N/A</v>
      </c>
      <c r="O152" s="79" t="e">
        <f>NA()</f>
        <v>#N/A</v>
      </c>
      <c r="P152" s="80" t="e">
        <f>NA()</f>
        <v>#N/A</v>
      </c>
      <c r="Q152" s="78" t="e">
        <f>NA()</f>
        <v>#N/A</v>
      </c>
      <c r="R152" s="79" t="e">
        <f>NA()</f>
        <v>#N/A</v>
      </c>
      <c r="S152" s="80" t="e">
        <f>NA()</f>
        <v>#N/A</v>
      </c>
      <c r="T152" s="78" t="e">
        <f>NA()</f>
        <v>#N/A</v>
      </c>
      <c r="U152" s="79" t="e">
        <f>NA()</f>
        <v>#N/A</v>
      </c>
      <c r="V152" s="80" t="e">
        <f>NA()</f>
        <v>#N/A</v>
      </c>
    </row>
    <row r="153" spans="2:22" hidden="1" outlineLevel="1" x14ac:dyDescent="0.25">
      <c r="B153" s="76" t="s">
        <v>487</v>
      </c>
      <c r="C153" s="77" t="s">
        <v>462</v>
      </c>
      <c r="D153" s="77">
        <v>5</v>
      </c>
      <c r="E153" s="78">
        <v>60</v>
      </c>
      <c r="F153" s="79">
        <v>3816</v>
      </c>
      <c r="G153" s="80">
        <v>4.4390000000000001</v>
      </c>
      <c r="H153" s="78">
        <v>60</v>
      </c>
      <c r="I153" s="79">
        <v>4528</v>
      </c>
      <c r="J153" s="80">
        <v>4.4009999999999998</v>
      </c>
      <c r="K153" s="78">
        <v>60</v>
      </c>
      <c r="L153" s="79">
        <v>5703</v>
      </c>
      <c r="M153" s="80">
        <v>4.5919999999999996</v>
      </c>
      <c r="N153" s="78" t="e">
        <f>NA()</f>
        <v>#N/A</v>
      </c>
      <c r="O153" s="79" t="e">
        <f>NA()</f>
        <v>#N/A</v>
      </c>
      <c r="P153" s="80" t="e">
        <f>NA()</f>
        <v>#N/A</v>
      </c>
      <c r="Q153" s="78" t="e">
        <f>NA()</f>
        <v>#N/A</v>
      </c>
      <c r="R153" s="79" t="e">
        <f>NA()</f>
        <v>#N/A</v>
      </c>
      <c r="S153" s="80" t="e">
        <f>NA()</f>
        <v>#N/A</v>
      </c>
      <c r="T153" s="78" t="e">
        <f>NA()</f>
        <v>#N/A</v>
      </c>
      <c r="U153" s="79" t="e">
        <f>NA()</f>
        <v>#N/A</v>
      </c>
      <c r="V153" s="80" t="e">
        <f>NA()</f>
        <v>#N/A</v>
      </c>
    </row>
    <row r="154" spans="2:22" hidden="1" outlineLevel="1" x14ac:dyDescent="0.25">
      <c r="B154" s="76" t="s">
        <v>487</v>
      </c>
      <c r="C154" s="77" t="s">
        <v>462</v>
      </c>
      <c r="D154" s="77">
        <v>5</v>
      </c>
      <c r="E154" s="78">
        <v>80</v>
      </c>
      <c r="F154" s="79">
        <v>4754</v>
      </c>
      <c r="G154" s="80">
        <v>4.3319999999999999</v>
      </c>
      <c r="H154" s="78">
        <v>80</v>
      </c>
      <c r="I154" s="79">
        <v>5626</v>
      </c>
      <c r="J154" s="80">
        <v>4.2990000000000004</v>
      </c>
      <c r="K154" s="78">
        <v>80</v>
      </c>
      <c r="L154" s="79">
        <v>7545</v>
      </c>
      <c r="M154" s="80">
        <v>4.5019999999999998</v>
      </c>
      <c r="N154" s="78" t="e">
        <f>NA()</f>
        <v>#N/A</v>
      </c>
      <c r="O154" s="79" t="e">
        <f>NA()</f>
        <v>#N/A</v>
      </c>
      <c r="P154" s="80" t="e">
        <f>NA()</f>
        <v>#N/A</v>
      </c>
      <c r="Q154" s="78" t="e">
        <f>NA()</f>
        <v>#N/A</v>
      </c>
      <c r="R154" s="79" t="e">
        <f>NA()</f>
        <v>#N/A</v>
      </c>
      <c r="S154" s="80" t="e">
        <f>NA()</f>
        <v>#N/A</v>
      </c>
      <c r="T154" s="78" t="e">
        <f>NA()</f>
        <v>#N/A</v>
      </c>
      <c r="U154" s="79" t="e">
        <f>NA()</f>
        <v>#N/A</v>
      </c>
      <c r="V154" s="80" t="e">
        <f>NA()</f>
        <v>#N/A</v>
      </c>
    </row>
    <row r="155" spans="2:22" hidden="1" outlineLevel="1" x14ac:dyDescent="0.25">
      <c r="B155" s="76" t="s">
        <v>487</v>
      </c>
      <c r="C155" s="77" t="s">
        <v>462</v>
      </c>
      <c r="D155" s="77">
        <v>5</v>
      </c>
      <c r="E155" s="78">
        <v>100</v>
      </c>
      <c r="F155" s="79">
        <v>5403</v>
      </c>
      <c r="G155" s="80">
        <v>4.2290000000000001</v>
      </c>
      <c r="H155" s="78">
        <v>100</v>
      </c>
      <c r="I155" s="79">
        <v>6086</v>
      </c>
      <c r="J155" s="80">
        <v>4.1970000000000001</v>
      </c>
      <c r="K155" s="78">
        <v>100</v>
      </c>
      <c r="L155" s="79">
        <v>8663</v>
      </c>
      <c r="M155" s="80">
        <v>4.415</v>
      </c>
      <c r="N155" s="78" t="e">
        <f>NA()</f>
        <v>#N/A</v>
      </c>
      <c r="O155" s="79" t="e">
        <f>NA()</f>
        <v>#N/A</v>
      </c>
      <c r="P155" s="80" t="e">
        <f>NA()</f>
        <v>#N/A</v>
      </c>
      <c r="Q155" s="78" t="e">
        <f>NA()</f>
        <v>#N/A</v>
      </c>
      <c r="R155" s="79" t="e">
        <f>NA()</f>
        <v>#N/A</v>
      </c>
      <c r="S155" s="80" t="e">
        <f>NA()</f>
        <v>#N/A</v>
      </c>
      <c r="T155" s="78" t="e">
        <f>NA()</f>
        <v>#N/A</v>
      </c>
      <c r="U155" s="79" t="e">
        <f>NA()</f>
        <v>#N/A</v>
      </c>
      <c r="V155" s="80" t="e">
        <f>NA()</f>
        <v>#N/A</v>
      </c>
    </row>
    <row r="156" spans="2:22" hidden="1" outlineLevel="1" x14ac:dyDescent="0.25">
      <c r="B156" s="76" t="s">
        <v>487</v>
      </c>
      <c r="C156" s="77" t="s">
        <v>462</v>
      </c>
      <c r="D156" s="77">
        <v>5</v>
      </c>
      <c r="E156" s="78">
        <v>120</v>
      </c>
      <c r="F156" s="79">
        <v>5708</v>
      </c>
      <c r="G156" s="80">
        <v>4.0880000000000001</v>
      </c>
      <c r="H156" s="78">
        <v>120</v>
      </c>
      <c r="I156" s="79">
        <v>6671</v>
      </c>
      <c r="J156" s="80">
        <v>4.0209999999999999</v>
      </c>
      <c r="K156" s="78">
        <v>120</v>
      </c>
      <c r="L156" s="79">
        <v>10048</v>
      </c>
      <c r="M156" s="80">
        <v>4.3159999999999998</v>
      </c>
      <c r="N156" s="78" t="e">
        <f>NA()</f>
        <v>#N/A</v>
      </c>
      <c r="O156" s="79" t="e">
        <f>NA()</f>
        <v>#N/A</v>
      </c>
      <c r="P156" s="80" t="e">
        <f>NA()</f>
        <v>#N/A</v>
      </c>
      <c r="Q156" s="78" t="e">
        <f>NA()</f>
        <v>#N/A</v>
      </c>
      <c r="R156" s="79" t="e">
        <f>NA()</f>
        <v>#N/A</v>
      </c>
      <c r="S156" s="80" t="e">
        <f>NA()</f>
        <v>#N/A</v>
      </c>
      <c r="T156" s="78" t="e">
        <f>NA()</f>
        <v>#N/A</v>
      </c>
      <c r="U156" s="79" t="e">
        <f>NA()</f>
        <v>#N/A</v>
      </c>
      <c r="V156" s="80" t="e">
        <f>NA()</f>
        <v>#N/A</v>
      </c>
    </row>
    <row r="157" spans="2:22" hidden="1" outlineLevel="1" x14ac:dyDescent="0.25">
      <c r="B157" s="76" t="s">
        <v>487</v>
      </c>
      <c r="C157" s="77" t="s">
        <v>462</v>
      </c>
      <c r="D157" s="77">
        <v>5</v>
      </c>
      <c r="E157" s="78">
        <v>140</v>
      </c>
      <c r="F157" s="79">
        <v>5757</v>
      </c>
      <c r="G157" s="80">
        <v>3.8660000000000001</v>
      </c>
      <c r="H157" s="78">
        <v>140</v>
      </c>
      <c r="I157" s="79">
        <v>7342</v>
      </c>
      <c r="J157" s="80">
        <v>3.8650000000000002</v>
      </c>
      <c r="K157" s="78">
        <v>140</v>
      </c>
      <c r="L157" s="79">
        <v>10683</v>
      </c>
      <c r="M157" s="80">
        <v>4.1479999999999997</v>
      </c>
      <c r="N157" s="78" t="e">
        <f>NA()</f>
        <v>#N/A</v>
      </c>
      <c r="O157" s="79" t="e">
        <f>NA()</f>
        <v>#N/A</v>
      </c>
      <c r="P157" s="80" t="e">
        <f>NA()</f>
        <v>#N/A</v>
      </c>
      <c r="Q157" s="78" t="e">
        <f>NA()</f>
        <v>#N/A</v>
      </c>
      <c r="R157" s="79" t="e">
        <f>NA()</f>
        <v>#N/A</v>
      </c>
      <c r="S157" s="80" t="e">
        <f>NA()</f>
        <v>#N/A</v>
      </c>
      <c r="T157" s="78" t="e">
        <f>NA()</f>
        <v>#N/A</v>
      </c>
      <c r="U157" s="79" t="e">
        <f>NA()</f>
        <v>#N/A</v>
      </c>
      <c r="V157" s="80" t="e">
        <f>NA()</f>
        <v>#N/A</v>
      </c>
    </row>
    <row r="158" spans="2:22" hidden="1" outlineLevel="1" x14ac:dyDescent="0.25">
      <c r="B158" s="76" t="s">
        <v>487</v>
      </c>
      <c r="C158" s="77" t="s">
        <v>462</v>
      </c>
      <c r="D158" s="77">
        <v>5</v>
      </c>
      <c r="E158" s="78">
        <v>160</v>
      </c>
      <c r="F158" s="79">
        <v>6167</v>
      </c>
      <c r="G158" s="80">
        <v>3.6509999999999998</v>
      </c>
      <c r="H158" s="78">
        <v>160</v>
      </c>
      <c r="I158" s="79">
        <v>8185</v>
      </c>
      <c r="J158" s="80">
        <v>3.734</v>
      </c>
      <c r="K158" s="78">
        <v>160</v>
      </c>
      <c r="L158" s="79">
        <v>11639</v>
      </c>
      <c r="M158" s="80">
        <v>3.99</v>
      </c>
      <c r="N158" s="78" t="e">
        <f>NA()</f>
        <v>#N/A</v>
      </c>
      <c r="O158" s="79" t="e">
        <f>NA()</f>
        <v>#N/A</v>
      </c>
      <c r="P158" s="80" t="e">
        <f>NA()</f>
        <v>#N/A</v>
      </c>
      <c r="Q158" s="78" t="e">
        <f>NA()</f>
        <v>#N/A</v>
      </c>
      <c r="R158" s="79" t="e">
        <f>NA()</f>
        <v>#N/A</v>
      </c>
      <c r="S158" s="80" t="e">
        <f>NA()</f>
        <v>#N/A</v>
      </c>
      <c r="T158" s="78" t="e">
        <f>NA()</f>
        <v>#N/A</v>
      </c>
      <c r="U158" s="79" t="e">
        <f>NA()</f>
        <v>#N/A</v>
      </c>
      <c r="V158" s="80" t="e">
        <f>NA()</f>
        <v>#N/A</v>
      </c>
    </row>
    <row r="159" spans="2:22" hidden="1" outlineLevel="1" x14ac:dyDescent="0.25">
      <c r="B159" s="76" t="s">
        <v>487</v>
      </c>
      <c r="C159" s="77" t="s">
        <v>462</v>
      </c>
      <c r="D159" s="77">
        <v>5</v>
      </c>
      <c r="E159" s="78">
        <v>180</v>
      </c>
      <c r="F159" s="79">
        <v>7143</v>
      </c>
      <c r="G159" s="80">
        <v>3.5310000000000001</v>
      </c>
      <c r="H159" s="78">
        <v>180</v>
      </c>
      <c r="I159" s="79">
        <v>9047</v>
      </c>
      <c r="J159" s="80">
        <v>3.6139999999999999</v>
      </c>
      <c r="K159" s="78">
        <v>180</v>
      </c>
      <c r="L159" s="79">
        <v>12084</v>
      </c>
      <c r="M159" s="80">
        <v>3.887</v>
      </c>
      <c r="N159" s="78" t="e">
        <f>NA()</f>
        <v>#N/A</v>
      </c>
      <c r="O159" s="79" t="e">
        <f>NA()</f>
        <v>#N/A</v>
      </c>
      <c r="P159" s="80" t="e">
        <f>NA()</f>
        <v>#N/A</v>
      </c>
      <c r="Q159" s="78" t="e">
        <f>NA()</f>
        <v>#N/A</v>
      </c>
      <c r="R159" s="79" t="e">
        <f>NA()</f>
        <v>#N/A</v>
      </c>
      <c r="S159" s="80" t="e">
        <f>NA()</f>
        <v>#N/A</v>
      </c>
      <c r="T159" s="78" t="e">
        <f>NA()</f>
        <v>#N/A</v>
      </c>
      <c r="U159" s="79" t="e">
        <f>NA()</f>
        <v>#N/A</v>
      </c>
      <c r="V159" s="80" t="e">
        <f>NA()</f>
        <v>#N/A</v>
      </c>
    </row>
    <row r="160" spans="2:22" hidden="1" outlineLevel="1" x14ac:dyDescent="0.25">
      <c r="B160" s="76" t="s">
        <v>487</v>
      </c>
      <c r="C160" s="77" t="s">
        <v>462</v>
      </c>
      <c r="D160" s="77">
        <v>5</v>
      </c>
      <c r="E160" s="78">
        <v>200</v>
      </c>
      <c r="F160" s="79">
        <v>8182</v>
      </c>
      <c r="G160" s="80">
        <v>3.4409999999999998</v>
      </c>
      <c r="H160" s="78">
        <v>200</v>
      </c>
      <c r="I160" s="79">
        <v>10124</v>
      </c>
      <c r="J160" s="80">
        <v>3.5139999999999998</v>
      </c>
      <c r="K160" s="78">
        <v>200</v>
      </c>
      <c r="L160" s="79">
        <v>13323</v>
      </c>
      <c r="M160" s="80">
        <v>3.8079999999999998</v>
      </c>
      <c r="N160" s="78" t="e">
        <f>NA()</f>
        <v>#N/A</v>
      </c>
      <c r="O160" s="79" t="e">
        <f>NA()</f>
        <v>#N/A</v>
      </c>
      <c r="P160" s="80" t="e">
        <f>NA()</f>
        <v>#N/A</v>
      </c>
      <c r="Q160" s="78" t="e">
        <f>NA()</f>
        <v>#N/A</v>
      </c>
      <c r="R160" s="79" t="e">
        <f>NA()</f>
        <v>#N/A</v>
      </c>
      <c r="S160" s="80" t="e">
        <f>NA()</f>
        <v>#N/A</v>
      </c>
      <c r="T160" s="78" t="e">
        <f>NA()</f>
        <v>#N/A</v>
      </c>
      <c r="U160" s="79" t="e">
        <f>NA()</f>
        <v>#N/A</v>
      </c>
      <c r="V160" s="80" t="e">
        <f>NA()</f>
        <v>#N/A</v>
      </c>
    </row>
    <row r="161" spans="2:22" hidden="1" outlineLevel="1" x14ac:dyDescent="0.25">
      <c r="B161" s="76" t="s">
        <v>487</v>
      </c>
      <c r="C161" s="77" t="s">
        <v>462</v>
      </c>
      <c r="D161" s="77">
        <v>5</v>
      </c>
      <c r="E161" s="78">
        <v>220</v>
      </c>
      <c r="F161" s="79">
        <v>9431</v>
      </c>
      <c r="G161" s="80">
        <v>3.3620000000000001</v>
      </c>
      <c r="H161" s="78">
        <v>220</v>
      </c>
      <c r="I161" s="79">
        <v>11493</v>
      </c>
      <c r="J161" s="80">
        <v>3.4510000000000001</v>
      </c>
      <c r="K161" s="78">
        <v>220</v>
      </c>
      <c r="L161" s="79">
        <v>14166</v>
      </c>
      <c r="M161" s="80">
        <v>3.7290000000000001</v>
      </c>
      <c r="N161" s="78" t="e">
        <f>NA()</f>
        <v>#N/A</v>
      </c>
      <c r="O161" s="79" t="e">
        <f>NA()</f>
        <v>#N/A</v>
      </c>
      <c r="P161" s="80" t="e">
        <f>NA()</f>
        <v>#N/A</v>
      </c>
      <c r="Q161" s="78" t="e">
        <f>NA()</f>
        <v>#N/A</v>
      </c>
      <c r="R161" s="79" t="e">
        <f>NA()</f>
        <v>#N/A</v>
      </c>
      <c r="S161" s="80" t="e">
        <f>NA()</f>
        <v>#N/A</v>
      </c>
      <c r="T161" s="78" t="e">
        <f>NA()</f>
        <v>#N/A</v>
      </c>
      <c r="U161" s="79" t="e">
        <f>NA()</f>
        <v>#N/A</v>
      </c>
      <c r="V161" s="80" t="e">
        <f>NA()</f>
        <v>#N/A</v>
      </c>
    </row>
    <row r="162" spans="2:22" hidden="1" outlineLevel="1" x14ac:dyDescent="0.25">
      <c r="B162" s="76" t="s">
        <v>487</v>
      </c>
      <c r="C162" s="77" t="s">
        <v>462</v>
      </c>
      <c r="D162" s="77">
        <v>5</v>
      </c>
      <c r="E162" s="78">
        <v>240</v>
      </c>
      <c r="F162" s="79">
        <v>10564</v>
      </c>
      <c r="G162" s="80">
        <v>3.2810000000000001</v>
      </c>
      <c r="H162" s="78">
        <v>240</v>
      </c>
      <c r="I162" s="79">
        <v>12555</v>
      </c>
      <c r="J162" s="80">
        <v>3.399</v>
      </c>
      <c r="K162" s="78">
        <v>240</v>
      </c>
      <c r="L162" s="79">
        <v>14412</v>
      </c>
      <c r="M162" s="80">
        <v>3.6589999999999998</v>
      </c>
      <c r="N162" s="78" t="e">
        <f>NA()</f>
        <v>#N/A</v>
      </c>
      <c r="O162" s="79" t="e">
        <f>NA()</f>
        <v>#N/A</v>
      </c>
      <c r="P162" s="80" t="e">
        <f>NA()</f>
        <v>#N/A</v>
      </c>
      <c r="Q162" s="78" t="e">
        <f>NA()</f>
        <v>#N/A</v>
      </c>
      <c r="R162" s="79" t="e">
        <f>NA()</f>
        <v>#N/A</v>
      </c>
      <c r="S162" s="80" t="e">
        <f>NA()</f>
        <v>#N/A</v>
      </c>
      <c r="T162" s="78" t="e">
        <f>NA()</f>
        <v>#N/A</v>
      </c>
      <c r="U162" s="79" t="e">
        <f>NA()</f>
        <v>#N/A</v>
      </c>
      <c r="V162" s="80" t="e">
        <f>NA()</f>
        <v>#N/A</v>
      </c>
    </row>
    <row r="163" spans="2:22" hidden="1" outlineLevel="1" x14ac:dyDescent="0.25">
      <c r="B163" s="76" t="s">
        <v>487</v>
      </c>
      <c r="C163" s="77" t="s">
        <v>462</v>
      </c>
      <c r="D163" s="77">
        <v>5</v>
      </c>
      <c r="E163" s="78">
        <v>260</v>
      </c>
      <c r="F163" s="79">
        <v>12448</v>
      </c>
      <c r="G163" s="80">
        <v>3.2440000000000002</v>
      </c>
      <c r="H163" s="78">
        <v>260</v>
      </c>
      <c r="I163" s="79">
        <v>14002</v>
      </c>
      <c r="J163" s="80">
        <v>3.3570000000000002</v>
      </c>
      <c r="K163" s="78">
        <v>260</v>
      </c>
      <c r="L163" s="79">
        <v>14554</v>
      </c>
      <c r="M163" s="80">
        <v>3.5910000000000002</v>
      </c>
      <c r="N163" s="78" t="e">
        <f>NA()</f>
        <v>#N/A</v>
      </c>
      <c r="O163" s="79" t="e">
        <f>NA()</f>
        <v>#N/A</v>
      </c>
      <c r="P163" s="80" t="e">
        <f>NA()</f>
        <v>#N/A</v>
      </c>
      <c r="Q163" s="78" t="e">
        <f>NA()</f>
        <v>#N/A</v>
      </c>
      <c r="R163" s="79" t="e">
        <f>NA()</f>
        <v>#N/A</v>
      </c>
      <c r="S163" s="80" t="e">
        <f>NA()</f>
        <v>#N/A</v>
      </c>
      <c r="T163" s="78" t="e">
        <f>NA()</f>
        <v>#N/A</v>
      </c>
      <c r="U163" s="79" t="e">
        <f>NA()</f>
        <v>#N/A</v>
      </c>
      <c r="V163" s="80" t="e">
        <f>NA()</f>
        <v>#N/A</v>
      </c>
    </row>
    <row r="164" spans="2:22" hidden="1" outlineLevel="1" x14ac:dyDescent="0.25">
      <c r="B164" s="76" t="s">
        <v>487</v>
      </c>
      <c r="C164" s="77" t="s">
        <v>462</v>
      </c>
      <c r="D164" s="77">
        <v>5</v>
      </c>
      <c r="E164" s="78">
        <v>280</v>
      </c>
      <c r="F164" s="79">
        <v>14733</v>
      </c>
      <c r="G164" s="80">
        <v>3.2240000000000002</v>
      </c>
      <c r="H164" s="78">
        <v>280</v>
      </c>
      <c r="I164" s="79">
        <v>15056</v>
      </c>
      <c r="J164" s="80">
        <v>3.3260000000000001</v>
      </c>
      <c r="K164" s="78">
        <v>280</v>
      </c>
      <c r="L164" s="79">
        <v>16004</v>
      </c>
      <c r="M164" s="80">
        <v>3.5350000000000001</v>
      </c>
      <c r="N164" s="78" t="e">
        <f>NA()</f>
        <v>#N/A</v>
      </c>
      <c r="O164" s="79" t="e">
        <f>NA()</f>
        <v>#N/A</v>
      </c>
      <c r="P164" s="80" t="e">
        <f>NA()</f>
        <v>#N/A</v>
      </c>
      <c r="Q164" s="78" t="e">
        <f>NA()</f>
        <v>#N/A</v>
      </c>
      <c r="R164" s="79" t="e">
        <f>NA()</f>
        <v>#N/A</v>
      </c>
      <c r="S164" s="80" t="e">
        <f>NA()</f>
        <v>#N/A</v>
      </c>
      <c r="T164" s="78" t="e">
        <f>NA()</f>
        <v>#N/A</v>
      </c>
      <c r="U164" s="79" t="e">
        <f>NA()</f>
        <v>#N/A</v>
      </c>
      <c r="V164" s="80" t="e">
        <f>NA()</f>
        <v>#N/A</v>
      </c>
    </row>
    <row r="165" spans="2:22" hidden="1" outlineLevel="1" x14ac:dyDescent="0.25">
      <c r="B165" s="81" t="s">
        <v>487</v>
      </c>
      <c r="C165" s="82" t="s">
        <v>462</v>
      </c>
      <c r="D165" s="82">
        <v>5</v>
      </c>
      <c r="E165" s="83">
        <v>300</v>
      </c>
      <c r="F165" s="84">
        <v>17434</v>
      </c>
      <c r="G165" s="85">
        <v>3.2109999999999999</v>
      </c>
      <c r="H165" s="83"/>
      <c r="I165" s="84">
        <v>16843</v>
      </c>
      <c r="J165" s="85">
        <v>3.2970000000000002</v>
      </c>
      <c r="K165" s="83"/>
      <c r="L165" s="84">
        <v>16572</v>
      </c>
      <c r="M165" s="85">
        <v>3.4809999999999999</v>
      </c>
      <c r="N165" s="83" t="e">
        <f>NA()</f>
        <v>#N/A</v>
      </c>
      <c r="O165" s="84" t="e">
        <f>NA()</f>
        <v>#N/A</v>
      </c>
      <c r="P165" s="85" t="e">
        <f>NA()</f>
        <v>#N/A</v>
      </c>
      <c r="Q165" s="83" t="e">
        <f>NA()</f>
        <v>#N/A</v>
      </c>
      <c r="R165" s="84" t="e">
        <f>NA()</f>
        <v>#N/A</v>
      </c>
      <c r="S165" s="85" t="e">
        <f>NA()</f>
        <v>#N/A</v>
      </c>
      <c r="T165" s="83" t="e">
        <f>NA()</f>
        <v>#N/A</v>
      </c>
      <c r="U165" s="84" t="e">
        <f>NA()</f>
        <v>#N/A</v>
      </c>
      <c r="V165" s="85" t="e">
        <f>NA()</f>
        <v>#N/A</v>
      </c>
    </row>
    <row r="166" spans="2:22" hidden="1" outlineLevel="1" x14ac:dyDescent="0.25">
      <c r="B166" s="76" t="s">
        <v>468</v>
      </c>
      <c r="C166" s="77" t="s">
        <v>463</v>
      </c>
      <c r="D166" s="77">
        <v>5</v>
      </c>
      <c r="E166" s="78">
        <v>0</v>
      </c>
      <c r="F166" s="79">
        <v>0</v>
      </c>
      <c r="G166" s="80">
        <v>5.0549999999999997</v>
      </c>
      <c r="H166" s="78">
        <v>0</v>
      </c>
      <c r="I166" s="79">
        <v>0</v>
      </c>
      <c r="J166" s="80">
        <v>4.9720000000000004</v>
      </c>
      <c r="K166" s="78">
        <v>0</v>
      </c>
      <c r="L166" s="79">
        <v>0</v>
      </c>
      <c r="M166" s="80">
        <v>5.0830000000000002</v>
      </c>
      <c r="N166" s="78" t="e">
        <f>NA()</f>
        <v>#N/A</v>
      </c>
      <c r="O166" s="79" t="e">
        <f>NA()</f>
        <v>#N/A</v>
      </c>
      <c r="P166" s="80" t="e">
        <f>NA()</f>
        <v>#N/A</v>
      </c>
      <c r="Q166" s="78" t="e">
        <f>NA()</f>
        <v>#N/A</v>
      </c>
      <c r="R166" s="79" t="e">
        <f>NA()</f>
        <v>#N/A</v>
      </c>
      <c r="S166" s="80" t="e">
        <f>NA()</f>
        <v>#N/A</v>
      </c>
      <c r="T166" s="78" t="e">
        <f>NA()</f>
        <v>#N/A</v>
      </c>
      <c r="U166" s="79" t="e">
        <f>NA()</f>
        <v>#N/A</v>
      </c>
      <c r="V166" s="80" t="e">
        <f>NA()</f>
        <v>#N/A</v>
      </c>
    </row>
    <row r="167" spans="2:22" hidden="1" outlineLevel="1" x14ac:dyDescent="0.25">
      <c r="B167" s="76" t="s">
        <v>468</v>
      </c>
      <c r="C167" s="77" t="s">
        <v>463</v>
      </c>
      <c r="D167" s="77">
        <v>5</v>
      </c>
      <c r="E167" s="78">
        <v>1</v>
      </c>
      <c r="F167" s="79">
        <v>0</v>
      </c>
      <c r="G167" s="80">
        <v>4.8490000000000002</v>
      </c>
      <c r="H167" s="78">
        <v>1</v>
      </c>
      <c r="I167" s="79">
        <v>0</v>
      </c>
      <c r="J167" s="80">
        <v>4.835</v>
      </c>
      <c r="K167" s="78">
        <v>1</v>
      </c>
      <c r="L167" s="79">
        <v>0</v>
      </c>
      <c r="M167" s="80">
        <v>4.827</v>
      </c>
      <c r="N167" s="78" t="e">
        <f>NA()</f>
        <v>#N/A</v>
      </c>
      <c r="O167" s="79" t="e">
        <f>NA()</f>
        <v>#N/A</v>
      </c>
      <c r="P167" s="80" t="e">
        <f>NA()</f>
        <v>#N/A</v>
      </c>
      <c r="Q167" s="78" t="e">
        <f>NA()</f>
        <v>#N/A</v>
      </c>
      <c r="R167" s="79" t="e">
        <f>NA()</f>
        <v>#N/A</v>
      </c>
      <c r="S167" s="80" t="e">
        <f>NA()</f>
        <v>#N/A</v>
      </c>
      <c r="T167" s="78" t="e">
        <f>NA()</f>
        <v>#N/A</v>
      </c>
      <c r="U167" s="79" t="e">
        <f>NA()</f>
        <v>#N/A</v>
      </c>
      <c r="V167" s="80" t="e">
        <f>NA()</f>
        <v>#N/A</v>
      </c>
    </row>
    <row r="168" spans="2:22" hidden="1" outlineLevel="1" x14ac:dyDescent="0.25">
      <c r="B168" s="76" t="s">
        <v>468</v>
      </c>
      <c r="C168" s="77" t="s">
        <v>463</v>
      </c>
      <c r="D168" s="77">
        <v>5</v>
      </c>
      <c r="E168" s="78">
        <v>20</v>
      </c>
      <c r="F168" s="79">
        <v>3389</v>
      </c>
      <c r="G168" s="80">
        <v>4.641</v>
      </c>
      <c r="H168" s="78">
        <v>20</v>
      </c>
      <c r="I168" s="79">
        <v>4248</v>
      </c>
      <c r="J168" s="80">
        <v>4.6219999999999999</v>
      </c>
      <c r="K168" s="78">
        <v>20</v>
      </c>
      <c r="L168" s="79">
        <v>5565</v>
      </c>
      <c r="M168" s="80">
        <v>4.601</v>
      </c>
      <c r="N168" s="78" t="e">
        <f>NA()</f>
        <v>#N/A</v>
      </c>
      <c r="O168" s="79" t="e">
        <f>NA()</f>
        <v>#N/A</v>
      </c>
      <c r="P168" s="80" t="e">
        <f>NA()</f>
        <v>#N/A</v>
      </c>
      <c r="Q168" s="78" t="e">
        <f>NA()</f>
        <v>#N/A</v>
      </c>
      <c r="R168" s="79" t="e">
        <f>NA()</f>
        <v>#N/A</v>
      </c>
      <c r="S168" s="80" t="e">
        <f>NA()</f>
        <v>#N/A</v>
      </c>
      <c r="T168" s="78" t="e">
        <f>NA()</f>
        <v>#N/A</v>
      </c>
      <c r="U168" s="79" t="e">
        <f>NA()</f>
        <v>#N/A</v>
      </c>
      <c r="V168" s="80" t="e">
        <f>NA()</f>
        <v>#N/A</v>
      </c>
    </row>
    <row r="169" spans="2:22" hidden="1" outlineLevel="1" x14ac:dyDescent="0.25">
      <c r="B169" s="76" t="s">
        <v>468</v>
      </c>
      <c r="C169" s="77" t="s">
        <v>463</v>
      </c>
      <c r="D169" s="77">
        <v>5</v>
      </c>
      <c r="E169" s="78">
        <v>30</v>
      </c>
      <c r="F169" s="79">
        <v>3072</v>
      </c>
      <c r="G169" s="80">
        <v>4.58</v>
      </c>
      <c r="H169" s="78">
        <v>30</v>
      </c>
      <c r="I169" s="79">
        <v>4056</v>
      </c>
      <c r="J169" s="80">
        <v>4.5869999999999997</v>
      </c>
      <c r="K169" s="78">
        <v>30</v>
      </c>
      <c r="L169" s="79">
        <v>4945</v>
      </c>
      <c r="M169" s="80">
        <v>4.577</v>
      </c>
      <c r="N169" s="78" t="e">
        <f>NA()</f>
        <v>#N/A</v>
      </c>
      <c r="O169" s="79" t="e">
        <f>NA()</f>
        <v>#N/A</v>
      </c>
      <c r="P169" s="80" t="e">
        <f>NA()</f>
        <v>#N/A</v>
      </c>
      <c r="Q169" s="78" t="e">
        <f>NA()</f>
        <v>#N/A</v>
      </c>
      <c r="R169" s="79" t="e">
        <f>NA()</f>
        <v>#N/A</v>
      </c>
      <c r="S169" s="80" t="e">
        <f>NA()</f>
        <v>#N/A</v>
      </c>
      <c r="T169" s="78" t="e">
        <f>NA()</f>
        <v>#N/A</v>
      </c>
      <c r="U169" s="79" t="e">
        <f>NA()</f>
        <v>#N/A</v>
      </c>
      <c r="V169" s="80" t="e">
        <f>NA()</f>
        <v>#N/A</v>
      </c>
    </row>
    <row r="170" spans="2:22" hidden="1" outlineLevel="1" x14ac:dyDescent="0.25">
      <c r="B170" s="76" t="s">
        <v>468</v>
      </c>
      <c r="C170" s="77" t="s">
        <v>463</v>
      </c>
      <c r="D170" s="77">
        <v>5</v>
      </c>
      <c r="E170" s="78">
        <v>40</v>
      </c>
      <c r="F170" s="79">
        <v>3466</v>
      </c>
      <c r="G170" s="80">
        <v>4.524</v>
      </c>
      <c r="H170" s="78">
        <v>40</v>
      </c>
      <c r="I170" s="79">
        <v>4874</v>
      </c>
      <c r="J170" s="80">
        <v>4.5359999999999996</v>
      </c>
      <c r="K170" s="78">
        <v>40</v>
      </c>
      <c r="L170" s="79">
        <v>5806</v>
      </c>
      <c r="M170" s="80">
        <v>4.5430000000000001</v>
      </c>
      <c r="N170" s="78" t="e">
        <f>NA()</f>
        <v>#N/A</v>
      </c>
      <c r="O170" s="79" t="e">
        <f>NA()</f>
        <v>#N/A</v>
      </c>
      <c r="P170" s="80" t="e">
        <f>NA()</f>
        <v>#N/A</v>
      </c>
      <c r="Q170" s="78" t="e">
        <f>NA()</f>
        <v>#N/A</v>
      </c>
      <c r="R170" s="79" t="e">
        <f>NA()</f>
        <v>#N/A</v>
      </c>
      <c r="S170" s="80" t="e">
        <f>NA()</f>
        <v>#N/A</v>
      </c>
      <c r="T170" s="78" t="e">
        <f>NA()</f>
        <v>#N/A</v>
      </c>
      <c r="U170" s="79" t="e">
        <f>NA()</f>
        <v>#N/A</v>
      </c>
      <c r="V170" s="80" t="e">
        <f>NA()</f>
        <v>#N/A</v>
      </c>
    </row>
    <row r="171" spans="2:22" hidden="1" outlineLevel="1" x14ac:dyDescent="0.25">
      <c r="B171" s="76" t="s">
        <v>468</v>
      </c>
      <c r="C171" s="77" t="s">
        <v>463</v>
      </c>
      <c r="D171" s="77">
        <v>5</v>
      </c>
      <c r="E171" s="78">
        <v>50</v>
      </c>
      <c r="F171" s="79">
        <v>4443</v>
      </c>
      <c r="G171" s="80">
        <v>4.4720000000000004</v>
      </c>
      <c r="H171" s="78">
        <v>50</v>
      </c>
      <c r="I171" s="79">
        <v>5857</v>
      </c>
      <c r="J171" s="80">
        <v>4.4740000000000002</v>
      </c>
      <c r="K171" s="78">
        <v>50</v>
      </c>
      <c r="L171" s="79">
        <v>5902</v>
      </c>
      <c r="M171" s="80">
        <v>4.4969999999999999</v>
      </c>
      <c r="N171" s="78" t="e">
        <f>NA()</f>
        <v>#N/A</v>
      </c>
      <c r="O171" s="79" t="e">
        <f>NA()</f>
        <v>#N/A</v>
      </c>
      <c r="P171" s="80" t="e">
        <f>NA()</f>
        <v>#N/A</v>
      </c>
      <c r="Q171" s="78" t="e">
        <f>NA()</f>
        <v>#N/A</v>
      </c>
      <c r="R171" s="79" t="e">
        <f>NA()</f>
        <v>#N/A</v>
      </c>
      <c r="S171" s="80" t="e">
        <f>NA()</f>
        <v>#N/A</v>
      </c>
      <c r="T171" s="78" t="e">
        <f>NA()</f>
        <v>#N/A</v>
      </c>
      <c r="U171" s="79" t="e">
        <f>NA()</f>
        <v>#N/A</v>
      </c>
      <c r="V171" s="80" t="e">
        <f>NA()</f>
        <v>#N/A</v>
      </c>
    </row>
    <row r="172" spans="2:22" hidden="1" outlineLevel="1" x14ac:dyDescent="0.25">
      <c r="B172" s="76" t="s">
        <v>468</v>
      </c>
      <c r="C172" s="77" t="s">
        <v>463</v>
      </c>
      <c r="D172" s="77">
        <v>5</v>
      </c>
      <c r="E172" s="78">
        <v>60</v>
      </c>
      <c r="F172" s="79">
        <v>4917</v>
      </c>
      <c r="G172" s="80">
        <v>4.41</v>
      </c>
      <c r="H172" s="78">
        <v>60</v>
      </c>
      <c r="I172" s="79">
        <v>6393</v>
      </c>
      <c r="J172" s="80">
        <v>4.4029999999999996</v>
      </c>
      <c r="K172" s="78">
        <v>60</v>
      </c>
      <c r="L172" s="79">
        <v>7532</v>
      </c>
      <c r="M172" s="80">
        <v>4.4489999999999998</v>
      </c>
      <c r="N172" s="78" t="e">
        <f>NA()</f>
        <v>#N/A</v>
      </c>
      <c r="O172" s="79" t="e">
        <f>NA()</f>
        <v>#N/A</v>
      </c>
      <c r="P172" s="80" t="e">
        <f>NA()</f>
        <v>#N/A</v>
      </c>
      <c r="Q172" s="78" t="e">
        <f>NA()</f>
        <v>#N/A</v>
      </c>
      <c r="R172" s="79" t="e">
        <f>NA()</f>
        <v>#N/A</v>
      </c>
      <c r="S172" s="80" t="e">
        <f>NA()</f>
        <v>#N/A</v>
      </c>
      <c r="T172" s="78" t="e">
        <f>NA()</f>
        <v>#N/A</v>
      </c>
      <c r="U172" s="79" t="e">
        <f>NA()</f>
        <v>#N/A</v>
      </c>
      <c r="V172" s="80" t="e">
        <f>NA()</f>
        <v>#N/A</v>
      </c>
    </row>
    <row r="173" spans="2:22" hidden="1" outlineLevel="1" x14ac:dyDescent="0.25">
      <c r="B173" s="76" t="s">
        <v>468</v>
      </c>
      <c r="C173" s="77" t="s">
        <v>463</v>
      </c>
      <c r="D173" s="77">
        <v>5</v>
      </c>
      <c r="E173" s="78">
        <v>80</v>
      </c>
      <c r="F173" s="79">
        <v>5548</v>
      </c>
      <c r="G173" s="80">
        <v>4.22</v>
      </c>
      <c r="H173" s="78">
        <v>80</v>
      </c>
      <c r="I173" s="79">
        <v>5195</v>
      </c>
      <c r="J173" s="80">
        <v>3.9</v>
      </c>
      <c r="K173" s="78">
        <v>80</v>
      </c>
      <c r="L173" s="79">
        <v>6867</v>
      </c>
      <c r="M173" s="80">
        <v>4.2039999999999997</v>
      </c>
      <c r="N173" s="78" t="e">
        <f>NA()</f>
        <v>#N/A</v>
      </c>
      <c r="O173" s="79" t="e">
        <f>NA()</f>
        <v>#N/A</v>
      </c>
      <c r="P173" s="80" t="e">
        <f>NA()</f>
        <v>#N/A</v>
      </c>
      <c r="Q173" s="78" t="e">
        <f>NA()</f>
        <v>#N/A</v>
      </c>
      <c r="R173" s="79" t="e">
        <f>NA()</f>
        <v>#N/A</v>
      </c>
      <c r="S173" s="80" t="e">
        <f>NA()</f>
        <v>#N/A</v>
      </c>
      <c r="T173" s="78" t="e">
        <f>NA()</f>
        <v>#N/A</v>
      </c>
      <c r="U173" s="79" t="e">
        <f>NA()</f>
        <v>#N/A</v>
      </c>
      <c r="V173" s="80" t="e">
        <f>NA()</f>
        <v>#N/A</v>
      </c>
    </row>
    <row r="174" spans="2:22" hidden="1" outlineLevel="1" x14ac:dyDescent="0.25">
      <c r="B174" s="76" t="s">
        <v>468</v>
      </c>
      <c r="C174" s="77" t="s">
        <v>463</v>
      </c>
      <c r="D174" s="77">
        <v>5</v>
      </c>
      <c r="E174" s="78">
        <v>100</v>
      </c>
      <c r="F174" s="79">
        <v>4894</v>
      </c>
      <c r="G174" s="80">
        <v>3.7789999999999999</v>
      </c>
      <c r="H174" s="78">
        <v>100</v>
      </c>
      <c r="I174" s="79">
        <v>5989</v>
      </c>
      <c r="J174" s="80">
        <v>3.4359999999999999</v>
      </c>
      <c r="K174" s="78">
        <v>100</v>
      </c>
      <c r="L174" s="79">
        <v>6741</v>
      </c>
      <c r="M174" s="80">
        <v>3.7469999999999999</v>
      </c>
      <c r="N174" s="78" t="e">
        <f>NA()</f>
        <v>#N/A</v>
      </c>
      <c r="O174" s="79" t="e">
        <f>NA()</f>
        <v>#N/A</v>
      </c>
      <c r="P174" s="80" t="e">
        <f>NA()</f>
        <v>#N/A</v>
      </c>
      <c r="Q174" s="78" t="e">
        <f>NA()</f>
        <v>#N/A</v>
      </c>
      <c r="R174" s="79" t="e">
        <f>NA()</f>
        <v>#N/A</v>
      </c>
      <c r="S174" s="80" t="e">
        <f>NA()</f>
        <v>#N/A</v>
      </c>
      <c r="T174" s="78" t="e">
        <f>NA()</f>
        <v>#N/A</v>
      </c>
      <c r="U174" s="79" t="e">
        <f>NA()</f>
        <v>#N/A</v>
      </c>
      <c r="V174" s="80" t="e">
        <f>NA()</f>
        <v>#N/A</v>
      </c>
    </row>
    <row r="175" spans="2:22" hidden="1" outlineLevel="1" x14ac:dyDescent="0.25">
      <c r="B175" s="76" t="s">
        <v>468</v>
      </c>
      <c r="C175" s="77" t="s">
        <v>463</v>
      </c>
      <c r="D175" s="77">
        <v>5</v>
      </c>
      <c r="E175" s="78">
        <v>120</v>
      </c>
      <c r="F175" s="79">
        <v>4851</v>
      </c>
      <c r="G175" s="80">
        <v>3.581</v>
      </c>
      <c r="H175" s="78">
        <v>120</v>
      </c>
      <c r="I175" s="79">
        <v>7706</v>
      </c>
      <c r="J175" s="80">
        <v>3.319</v>
      </c>
      <c r="K175" s="78">
        <v>120</v>
      </c>
      <c r="L175" s="79">
        <v>6981</v>
      </c>
      <c r="M175" s="80">
        <v>3.5310000000000001</v>
      </c>
      <c r="N175" s="78" t="e">
        <f>NA()</f>
        <v>#N/A</v>
      </c>
      <c r="O175" s="79" t="e">
        <f>NA()</f>
        <v>#N/A</v>
      </c>
      <c r="P175" s="80" t="e">
        <f>NA()</f>
        <v>#N/A</v>
      </c>
      <c r="Q175" s="78" t="e">
        <f>NA()</f>
        <v>#N/A</v>
      </c>
      <c r="R175" s="79" t="e">
        <f>NA()</f>
        <v>#N/A</v>
      </c>
      <c r="S175" s="80" t="e">
        <f>NA()</f>
        <v>#N/A</v>
      </c>
      <c r="T175" s="78" t="e">
        <f>NA()</f>
        <v>#N/A</v>
      </c>
      <c r="U175" s="79" t="e">
        <f>NA()</f>
        <v>#N/A</v>
      </c>
      <c r="V175" s="80" t="e">
        <f>NA()</f>
        <v>#N/A</v>
      </c>
    </row>
    <row r="176" spans="2:22" hidden="1" outlineLevel="1" x14ac:dyDescent="0.25">
      <c r="B176" s="76" t="s">
        <v>468</v>
      </c>
      <c r="C176" s="77" t="s">
        <v>463</v>
      </c>
      <c r="D176" s="77">
        <v>5</v>
      </c>
      <c r="E176" s="78">
        <v>140</v>
      </c>
      <c r="F176" s="79">
        <v>6056</v>
      </c>
      <c r="G176" s="80">
        <v>3.4359999999999999</v>
      </c>
      <c r="H176" s="78">
        <v>140</v>
      </c>
      <c r="I176" s="79">
        <v>10484</v>
      </c>
      <c r="J176" s="80">
        <v>3.2290000000000001</v>
      </c>
      <c r="K176" s="78">
        <v>140</v>
      </c>
      <c r="L176" s="79">
        <v>8740</v>
      </c>
      <c r="M176" s="80">
        <v>3.3969999999999998</v>
      </c>
      <c r="N176" s="78" t="e">
        <f>NA()</f>
        <v>#N/A</v>
      </c>
      <c r="O176" s="79" t="e">
        <f>NA()</f>
        <v>#N/A</v>
      </c>
      <c r="P176" s="80" t="e">
        <f>NA()</f>
        <v>#N/A</v>
      </c>
      <c r="Q176" s="78" t="e">
        <f>NA()</f>
        <v>#N/A</v>
      </c>
      <c r="R176" s="79" t="e">
        <f>NA()</f>
        <v>#N/A</v>
      </c>
      <c r="S176" s="80" t="e">
        <f>NA()</f>
        <v>#N/A</v>
      </c>
      <c r="T176" s="78" t="e">
        <f>NA()</f>
        <v>#N/A</v>
      </c>
      <c r="U176" s="79" t="e">
        <f>NA()</f>
        <v>#N/A</v>
      </c>
      <c r="V176" s="80" t="e">
        <f>NA()</f>
        <v>#N/A</v>
      </c>
    </row>
    <row r="177" spans="2:22" hidden="1" outlineLevel="1" x14ac:dyDescent="0.25">
      <c r="B177" s="76" t="s">
        <v>468</v>
      </c>
      <c r="C177" s="77" t="s">
        <v>463</v>
      </c>
      <c r="D177" s="77">
        <v>5</v>
      </c>
      <c r="E177" s="78">
        <v>160</v>
      </c>
      <c r="F177" s="79">
        <v>8285</v>
      </c>
      <c r="G177" s="80">
        <v>3.3380000000000001</v>
      </c>
      <c r="H177" s="78">
        <v>160</v>
      </c>
      <c r="I177" s="79">
        <v>13106</v>
      </c>
      <c r="J177" s="80">
        <v>3.1629999999999998</v>
      </c>
      <c r="K177" s="78">
        <v>160</v>
      </c>
      <c r="L177" s="79">
        <v>10028</v>
      </c>
      <c r="M177" s="80">
        <v>3.3069999999999999</v>
      </c>
      <c r="N177" s="78" t="e">
        <f>NA()</f>
        <v>#N/A</v>
      </c>
      <c r="O177" s="79" t="e">
        <f>NA()</f>
        <v>#N/A</v>
      </c>
      <c r="P177" s="80" t="e">
        <f>NA()</f>
        <v>#N/A</v>
      </c>
      <c r="Q177" s="78" t="e">
        <f>NA()</f>
        <v>#N/A</v>
      </c>
      <c r="R177" s="79" t="e">
        <f>NA()</f>
        <v>#N/A</v>
      </c>
      <c r="S177" s="80" t="e">
        <f>NA()</f>
        <v>#N/A</v>
      </c>
      <c r="T177" s="78" t="e">
        <f>NA()</f>
        <v>#N/A</v>
      </c>
      <c r="U177" s="79" t="e">
        <f>NA()</f>
        <v>#N/A</v>
      </c>
      <c r="V177" s="80" t="e">
        <f>NA()</f>
        <v>#N/A</v>
      </c>
    </row>
    <row r="178" spans="2:22" hidden="1" outlineLevel="1" x14ac:dyDescent="0.25">
      <c r="B178" s="76" t="s">
        <v>468</v>
      </c>
      <c r="C178" s="77" t="s">
        <v>463</v>
      </c>
      <c r="D178" s="77">
        <v>5</v>
      </c>
      <c r="E178" s="78">
        <v>180</v>
      </c>
      <c r="F178" s="79">
        <v>12297</v>
      </c>
      <c r="G178" s="80">
        <v>3.28</v>
      </c>
      <c r="H178" s="78">
        <v>180</v>
      </c>
      <c r="I178" s="79">
        <v>14045</v>
      </c>
      <c r="J178" s="80">
        <v>3.1139999999999999</v>
      </c>
      <c r="K178" s="78">
        <v>180</v>
      </c>
      <c r="L178" s="79">
        <v>12167</v>
      </c>
      <c r="M178" s="80">
        <v>3.254</v>
      </c>
      <c r="N178" s="78" t="e">
        <f>NA()</f>
        <v>#N/A</v>
      </c>
      <c r="O178" s="79" t="e">
        <f>NA()</f>
        <v>#N/A</v>
      </c>
      <c r="P178" s="80" t="e">
        <f>NA()</f>
        <v>#N/A</v>
      </c>
      <c r="Q178" s="78" t="e">
        <f>NA()</f>
        <v>#N/A</v>
      </c>
      <c r="R178" s="79" t="e">
        <f>NA()</f>
        <v>#N/A</v>
      </c>
      <c r="S178" s="80" t="e">
        <f>NA()</f>
        <v>#N/A</v>
      </c>
      <c r="T178" s="78" t="e">
        <f>NA()</f>
        <v>#N/A</v>
      </c>
      <c r="U178" s="79" t="e">
        <f>NA()</f>
        <v>#N/A</v>
      </c>
      <c r="V178" s="80" t="e">
        <f>NA()</f>
        <v>#N/A</v>
      </c>
    </row>
    <row r="179" spans="2:22" hidden="1" outlineLevel="1" x14ac:dyDescent="0.25">
      <c r="B179" s="76" t="s">
        <v>468</v>
      </c>
      <c r="C179" s="77" t="s">
        <v>463</v>
      </c>
      <c r="D179" s="77">
        <v>5</v>
      </c>
      <c r="E179" s="78">
        <v>200</v>
      </c>
      <c r="F179" s="79">
        <v>11566</v>
      </c>
      <c r="G179" s="80">
        <v>3.21</v>
      </c>
      <c r="H179" s="78">
        <v>200</v>
      </c>
      <c r="I179" s="79">
        <v>18604</v>
      </c>
      <c r="J179" s="80">
        <v>3.0710000000000002</v>
      </c>
      <c r="K179" s="78">
        <v>200</v>
      </c>
      <c r="L179" s="79">
        <v>11929</v>
      </c>
      <c r="M179" s="80">
        <v>3.1960000000000002</v>
      </c>
      <c r="N179" s="78" t="e">
        <f>NA()</f>
        <v>#N/A</v>
      </c>
      <c r="O179" s="79" t="e">
        <f>NA()</f>
        <v>#N/A</v>
      </c>
      <c r="P179" s="80" t="e">
        <f>NA()</f>
        <v>#N/A</v>
      </c>
      <c r="Q179" s="78" t="e">
        <f>NA()</f>
        <v>#N/A</v>
      </c>
      <c r="R179" s="79" t="e">
        <f>NA()</f>
        <v>#N/A</v>
      </c>
      <c r="S179" s="80" t="e">
        <f>NA()</f>
        <v>#N/A</v>
      </c>
      <c r="T179" s="78" t="e">
        <f>NA()</f>
        <v>#N/A</v>
      </c>
      <c r="U179" s="79" t="e">
        <f>NA()</f>
        <v>#N/A</v>
      </c>
      <c r="V179" s="80" t="e">
        <f>NA()</f>
        <v>#N/A</v>
      </c>
    </row>
    <row r="180" spans="2:22" hidden="1" outlineLevel="1" x14ac:dyDescent="0.25">
      <c r="B180" s="76" t="s">
        <v>468</v>
      </c>
      <c r="C180" s="77" t="s">
        <v>463</v>
      </c>
      <c r="D180" s="77">
        <v>5</v>
      </c>
      <c r="E180" s="78">
        <v>220</v>
      </c>
      <c r="F180" s="79">
        <v>13418</v>
      </c>
      <c r="G180" s="80">
        <v>3.1419999999999999</v>
      </c>
      <c r="H180" s="78">
        <v>220</v>
      </c>
      <c r="I180" s="79">
        <v>22278</v>
      </c>
      <c r="J180" s="80">
        <v>3.0379999999999998</v>
      </c>
      <c r="K180" s="78">
        <v>220</v>
      </c>
      <c r="L180" s="79">
        <v>16272</v>
      </c>
      <c r="M180" s="80">
        <v>3.1579999999999999</v>
      </c>
      <c r="N180" s="78" t="e">
        <f>NA()</f>
        <v>#N/A</v>
      </c>
      <c r="O180" s="79" t="e">
        <f>NA()</f>
        <v>#N/A</v>
      </c>
      <c r="P180" s="80" t="e">
        <f>NA()</f>
        <v>#N/A</v>
      </c>
      <c r="Q180" s="78" t="e">
        <f>NA()</f>
        <v>#N/A</v>
      </c>
      <c r="R180" s="79" t="e">
        <f>NA()</f>
        <v>#N/A</v>
      </c>
      <c r="S180" s="80" t="e">
        <f>NA()</f>
        <v>#N/A</v>
      </c>
      <c r="T180" s="78" t="e">
        <f>NA()</f>
        <v>#N/A</v>
      </c>
      <c r="U180" s="79" t="e">
        <f>NA()</f>
        <v>#N/A</v>
      </c>
      <c r="V180" s="80" t="e">
        <f>NA()</f>
        <v>#N/A</v>
      </c>
    </row>
    <row r="181" spans="2:22" hidden="1" outlineLevel="1" x14ac:dyDescent="0.25">
      <c r="B181" s="76" t="s">
        <v>468</v>
      </c>
      <c r="C181" s="77" t="s">
        <v>463</v>
      </c>
      <c r="D181" s="77">
        <v>5</v>
      </c>
      <c r="E181" s="78">
        <v>240</v>
      </c>
      <c r="F181" s="79">
        <v>18763</v>
      </c>
      <c r="G181" s="80">
        <v>3.0790000000000002</v>
      </c>
      <c r="H181" s="78">
        <v>240</v>
      </c>
      <c r="I181" s="79">
        <v>19421</v>
      </c>
      <c r="J181" s="80">
        <v>3.01</v>
      </c>
      <c r="K181" s="78">
        <v>240</v>
      </c>
      <c r="L181" s="79">
        <v>12873</v>
      </c>
      <c r="M181" s="80">
        <v>3.1160000000000001</v>
      </c>
      <c r="N181" s="78" t="e">
        <f>NA()</f>
        <v>#N/A</v>
      </c>
      <c r="O181" s="79" t="e">
        <f>NA()</f>
        <v>#N/A</v>
      </c>
      <c r="P181" s="80" t="e">
        <f>NA()</f>
        <v>#N/A</v>
      </c>
      <c r="Q181" s="78" t="e">
        <f>NA()</f>
        <v>#N/A</v>
      </c>
      <c r="R181" s="79" t="e">
        <f>NA()</f>
        <v>#N/A</v>
      </c>
      <c r="S181" s="80" t="e">
        <f>NA()</f>
        <v>#N/A</v>
      </c>
      <c r="T181" s="78" t="e">
        <f>NA()</f>
        <v>#N/A</v>
      </c>
      <c r="U181" s="79" t="e">
        <f>NA()</f>
        <v>#N/A</v>
      </c>
      <c r="V181" s="80" t="e">
        <f>NA()</f>
        <v>#N/A</v>
      </c>
    </row>
    <row r="182" spans="2:22" hidden="1" outlineLevel="1" x14ac:dyDescent="0.25">
      <c r="B182" s="76" t="s">
        <v>468</v>
      </c>
      <c r="C182" s="77" t="s">
        <v>463</v>
      </c>
      <c r="D182" s="77">
        <v>5</v>
      </c>
      <c r="E182" s="78">
        <v>260</v>
      </c>
      <c r="F182" s="79">
        <v>17188</v>
      </c>
      <c r="G182" s="80">
        <v>3.03</v>
      </c>
      <c r="H182" s="78">
        <v>260</v>
      </c>
      <c r="I182" s="79">
        <v>23846</v>
      </c>
      <c r="J182" s="80">
        <v>2.9889999999999999</v>
      </c>
      <c r="K182" s="78">
        <v>260</v>
      </c>
      <c r="L182" s="79">
        <v>13590</v>
      </c>
      <c r="M182" s="80">
        <v>3.081</v>
      </c>
      <c r="N182" s="78" t="e">
        <f>NA()</f>
        <v>#N/A</v>
      </c>
      <c r="O182" s="79" t="e">
        <f>NA()</f>
        <v>#N/A</v>
      </c>
      <c r="P182" s="80" t="e">
        <f>NA()</f>
        <v>#N/A</v>
      </c>
      <c r="Q182" s="78" t="e">
        <f>NA()</f>
        <v>#N/A</v>
      </c>
      <c r="R182" s="79" t="e">
        <f>NA()</f>
        <v>#N/A</v>
      </c>
      <c r="S182" s="80" t="e">
        <f>NA()</f>
        <v>#N/A</v>
      </c>
      <c r="T182" s="78" t="e">
        <f>NA()</f>
        <v>#N/A</v>
      </c>
      <c r="U182" s="79" t="e">
        <f>NA()</f>
        <v>#N/A</v>
      </c>
      <c r="V182" s="80" t="e">
        <f>NA()</f>
        <v>#N/A</v>
      </c>
    </row>
    <row r="183" spans="2:22" hidden="1" outlineLevel="1" x14ac:dyDescent="0.25">
      <c r="B183" s="76" t="s">
        <v>468</v>
      </c>
      <c r="C183" s="77" t="s">
        <v>463</v>
      </c>
      <c r="D183" s="77">
        <v>5</v>
      </c>
      <c r="E183" s="78">
        <v>280</v>
      </c>
      <c r="F183" s="79">
        <v>17776</v>
      </c>
      <c r="G183" s="80">
        <v>2.9950000000000001</v>
      </c>
      <c r="H183" s="78">
        <v>280</v>
      </c>
      <c r="I183" s="79">
        <v>32220</v>
      </c>
      <c r="J183" s="80">
        <v>2.976</v>
      </c>
      <c r="K183" s="78">
        <v>280</v>
      </c>
      <c r="L183" s="79">
        <v>19745</v>
      </c>
      <c r="M183" s="80">
        <v>3.06</v>
      </c>
      <c r="N183" s="78" t="e">
        <f>NA()</f>
        <v>#N/A</v>
      </c>
      <c r="O183" s="79" t="e">
        <f>NA()</f>
        <v>#N/A</v>
      </c>
      <c r="P183" s="80" t="e">
        <f>NA()</f>
        <v>#N/A</v>
      </c>
      <c r="Q183" s="78" t="e">
        <f>NA()</f>
        <v>#N/A</v>
      </c>
      <c r="R183" s="79" t="e">
        <f>NA()</f>
        <v>#N/A</v>
      </c>
      <c r="S183" s="80" t="e">
        <f>NA()</f>
        <v>#N/A</v>
      </c>
      <c r="T183" s="78" t="e">
        <f>NA()</f>
        <v>#N/A</v>
      </c>
      <c r="U183" s="79" t="e">
        <f>NA()</f>
        <v>#N/A</v>
      </c>
      <c r="V183" s="80" t="e">
        <f>NA()</f>
        <v>#N/A</v>
      </c>
    </row>
    <row r="184" spans="2:22" hidden="1" outlineLevel="1" x14ac:dyDescent="0.25">
      <c r="B184" s="81" t="s">
        <v>468</v>
      </c>
      <c r="C184" s="82" t="s">
        <v>463</v>
      </c>
      <c r="D184" s="82">
        <v>5</v>
      </c>
      <c r="E184" s="83">
        <v>300</v>
      </c>
      <c r="F184" s="84">
        <v>23129</v>
      </c>
      <c r="G184" s="85">
        <v>2.9750000000000001</v>
      </c>
      <c r="H184" s="83">
        <v>300</v>
      </c>
      <c r="I184" s="84">
        <v>34671</v>
      </c>
      <c r="J184" s="85">
        <v>2.9670000000000001</v>
      </c>
      <c r="K184" s="83">
        <v>300</v>
      </c>
      <c r="L184" s="84">
        <v>18661</v>
      </c>
      <c r="M184" s="85">
        <v>3.0350000000000001</v>
      </c>
      <c r="N184" s="83" t="e">
        <f>NA()</f>
        <v>#N/A</v>
      </c>
      <c r="O184" s="84" t="e">
        <f>NA()</f>
        <v>#N/A</v>
      </c>
      <c r="P184" s="85" t="e">
        <f>NA()</f>
        <v>#N/A</v>
      </c>
      <c r="Q184" s="83" t="e">
        <f>NA()</f>
        <v>#N/A</v>
      </c>
      <c r="R184" s="84" t="e">
        <f>NA()</f>
        <v>#N/A</v>
      </c>
      <c r="S184" s="85" t="e">
        <f>NA()</f>
        <v>#N/A</v>
      </c>
      <c r="T184" s="83" t="e">
        <f>NA()</f>
        <v>#N/A</v>
      </c>
      <c r="U184" s="84" t="e">
        <f>NA()</f>
        <v>#N/A</v>
      </c>
      <c r="V184" s="85" t="e">
        <f>NA()</f>
        <v>#N/A</v>
      </c>
    </row>
    <row r="185" spans="2:22" hidden="1" outlineLevel="1" x14ac:dyDescent="0.25">
      <c r="B185" s="76" t="s">
        <v>468</v>
      </c>
      <c r="C185" s="77" t="s">
        <v>464</v>
      </c>
      <c r="D185" s="77">
        <v>5</v>
      </c>
      <c r="E185" s="78">
        <v>0</v>
      </c>
      <c r="F185" s="79">
        <v>0</v>
      </c>
      <c r="G185" s="80">
        <v>5.0910000000000002</v>
      </c>
      <c r="H185" s="78">
        <v>0</v>
      </c>
      <c r="I185" s="79">
        <v>0</v>
      </c>
      <c r="J185" s="80">
        <v>5.1239999999999997</v>
      </c>
      <c r="K185" s="78">
        <v>0</v>
      </c>
      <c r="L185" s="79">
        <v>0</v>
      </c>
      <c r="M185" s="80">
        <v>5.069</v>
      </c>
      <c r="N185" s="78" t="e">
        <f>NA()</f>
        <v>#N/A</v>
      </c>
      <c r="O185" s="79" t="e">
        <f>NA()</f>
        <v>#N/A</v>
      </c>
      <c r="P185" s="80" t="e">
        <f>NA()</f>
        <v>#N/A</v>
      </c>
      <c r="Q185" s="78" t="e">
        <f>NA()</f>
        <v>#N/A</v>
      </c>
      <c r="R185" s="79" t="e">
        <f>NA()</f>
        <v>#N/A</v>
      </c>
      <c r="S185" s="80" t="e">
        <f>NA()</f>
        <v>#N/A</v>
      </c>
      <c r="T185" s="78" t="e">
        <f>NA()</f>
        <v>#N/A</v>
      </c>
      <c r="U185" s="79" t="e">
        <f>NA()</f>
        <v>#N/A</v>
      </c>
      <c r="V185" s="80" t="e">
        <f>NA()</f>
        <v>#N/A</v>
      </c>
    </row>
    <row r="186" spans="2:22" hidden="1" outlineLevel="1" x14ac:dyDescent="0.25">
      <c r="B186" s="76" t="s">
        <v>468</v>
      </c>
      <c r="C186" s="77" t="s">
        <v>464</v>
      </c>
      <c r="D186" s="77">
        <v>5</v>
      </c>
      <c r="E186" s="78">
        <v>1</v>
      </c>
      <c r="F186" s="79">
        <v>0</v>
      </c>
      <c r="G186" s="80">
        <v>5.0599999999999996</v>
      </c>
      <c r="H186" s="78">
        <v>1</v>
      </c>
      <c r="I186" s="79">
        <v>0</v>
      </c>
      <c r="J186" s="80">
        <v>5.0579999999999998</v>
      </c>
      <c r="K186" s="78">
        <v>1</v>
      </c>
      <c r="L186" s="79">
        <v>0</v>
      </c>
      <c r="M186" s="80">
        <v>5.0259999999999998</v>
      </c>
      <c r="N186" s="78" t="e">
        <f>NA()</f>
        <v>#N/A</v>
      </c>
      <c r="O186" s="79" t="e">
        <f>NA()</f>
        <v>#N/A</v>
      </c>
      <c r="P186" s="80" t="e">
        <f>NA()</f>
        <v>#N/A</v>
      </c>
      <c r="Q186" s="78" t="e">
        <f>NA()</f>
        <v>#N/A</v>
      </c>
      <c r="R186" s="79" t="e">
        <f>NA()</f>
        <v>#N/A</v>
      </c>
      <c r="S186" s="80" t="e">
        <f>NA()</f>
        <v>#N/A</v>
      </c>
      <c r="T186" s="78" t="e">
        <f>NA()</f>
        <v>#N/A</v>
      </c>
      <c r="U186" s="79" t="e">
        <f>NA()</f>
        <v>#N/A</v>
      </c>
      <c r="V186" s="80" t="e">
        <f>NA()</f>
        <v>#N/A</v>
      </c>
    </row>
    <row r="187" spans="2:22" hidden="1" outlineLevel="1" x14ac:dyDescent="0.25">
      <c r="B187" s="76" t="s">
        <v>468</v>
      </c>
      <c r="C187" s="77" t="s">
        <v>464</v>
      </c>
      <c r="D187" s="77">
        <v>5</v>
      </c>
      <c r="E187" s="78">
        <v>20</v>
      </c>
      <c r="F187" s="79">
        <v>1422</v>
      </c>
      <c r="G187" s="80">
        <v>4.6719999999999997</v>
      </c>
      <c r="H187" s="78">
        <v>20</v>
      </c>
      <c r="I187" s="79">
        <v>1872</v>
      </c>
      <c r="J187" s="80">
        <v>4.6289999999999996</v>
      </c>
      <c r="K187" s="78">
        <v>20</v>
      </c>
      <c r="L187" s="79">
        <v>2395</v>
      </c>
      <c r="M187" s="80">
        <v>4.6319999999999997</v>
      </c>
      <c r="N187" s="78" t="e">
        <f>NA()</f>
        <v>#N/A</v>
      </c>
      <c r="O187" s="79" t="e">
        <f>NA()</f>
        <v>#N/A</v>
      </c>
      <c r="P187" s="80" t="e">
        <f>NA()</f>
        <v>#N/A</v>
      </c>
      <c r="Q187" s="78" t="e">
        <f>NA()</f>
        <v>#N/A</v>
      </c>
      <c r="R187" s="79" t="e">
        <f>NA()</f>
        <v>#N/A</v>
      </c>
      <c r="S187" s="80" t="e">
        <f>NA()</f>
        <v>#N/A</v>
      </c>
      <c r="T187" s="78" t="e">
        <f>NA()</f>
        <v>#N/A</v>
      </c>
      <c r="U187" s="79" t="e">
        <f>NA()</f>
        <v>#N/A</v>
      </c>
      <c r="V187" s="80" t="e">
        <f>NA()</f>
        <v>#N/A</v>
      </c>
    </row>
    <row r="188" spans="2:22" hidden="1" outlineLevel="1" x14ac:dyDescent="0.25">
      <c r="B188" s="76" t="s">
        <v>468</v>
      </c>
      <c r="C188" s="77" t="s">
        <v>464</v>
      </c>
      <c r="D188" s="77">
        <v>5</v>
      </c>
      <c r="E188" s="78">
        <v>30</v>
      </c>
      <c r="F188" s="79">
        <v>2784</v>
      </c>
      <c r="G188" s="80">
        <v>4.5860000000000003</v>
      </c>
      <c r="H188" s="78">
        <v>30</v>
      </c>
      <c r="I188" s="79">
        <v>2720</v>
      </c>
      <c r="J188" s="80">
        <v>4.5439999999999996</v>
      </c>
      <c r="K188" s="78">
        <v>30</v>
      </c>
      <c r="L188" s="79">
        <v>5065</v>
      </c>
      <c r="M188" s="80">
        <v>4.6059999999999999</v>
      </c>
      <c r="N188" s="78" t="e">
        <f>NA()</f>
        <v>#N/A</v>
      </c>
      <c r="O188" s="79" t="e">
        <f>NA()</f>
        <v>#N/A</v>
      </c>
      <c r="P188" s="80" t="e">
        <f>NA()</f>
        <v>#N/A</v>
      </c>
      <c r="Q188" s="78" t="e">
        <f>NA()</f>
        <v>#N/A</v>
      </c>
      <c r="R188" s="79" t="e">
        <f>NA()</f>
        <v>#N/A</v>
      </c>
      <c r="S188" s="80" t="e">
        <f>NA()</f>
        <v>#N/A</v>
      </c>
      <c r="T188" s="78" t="e">
        <f>NA()</f>
        <v>#N/A</v>
      </c>
      <c r="U188" s="79" t="e">
        <f>NA()</f>
        <v>#N/A</v>
      </c>
      <c r="V188" s="80" t="e">
        <f>NA()</f>
        <v>#N/A</v>
      </c>
    </row>
    <row r="189" spans="2:22" hidden="1" outlineLevel="1" x14ac:dyDescent="0.25">
      <c r="B189" s="76" t="s">
        <v>468</v>
      </c>
      <c r="C189" s="77" t="s">
        <v>464</v>
      </c>
      <c r="D189" s="77">
        <v>5</v>
      </c>
      <c r="E189" s="78">
        <v>40</v>
      </c>
      <c r="F189" s="79">
        <v>3486</v>
      </c>
      <c r="G189" s="80">
        <v>4.5209999999999999</v>
      </c>
      <c r="H189" s="78">
        <v>40</v>
      </c>
      <c r="I189" s="79">
        <v>2770</v>
      </c>
      <c r="J189" s="80">
        <v>4.4470000000000001</v>
      </c>
      <c r="K189" s="78">
        <v>40</v>
      </c>
      <c r="L189" s="79">
        <v>4387</v>
      </c>
      <c r="M189" s="80">
        <v>4.5590000000000002</v>
      </c>
      <c r="N189" s="78" t="e">
        <f>NA()</f>
        <v>#N/A</v>
      </c>
      <c r="O189" s="79" t="e">
        <f>NA()</f>
        <v>#N/A</v>
      </c>
      <c r="P189" s="80" t="e">
        <f>NA()</f>
        <v>#N/A</v>
      </c>
      <c r="Q189" s="78" t="e">
        <f>NA()</f>
        <v>#N/A</v>
      </c>
      <c r="R189" s="79" t="e">
        <f>NA()</f>
        <v>#N/A</v>
      </c>
      <c r="S189" s="80" t="e">
        <f>NA()</f>
        <v>#N/A</v>
      </c>
      <c r="T189" s="78" t="e">
        <f>NA()</f>
        <v>#N/A</v>
      </c>
      <c r="U189" s="79" t="e">
        <f>NA()</f>
        <v>#N/A</v>
      </c>
      <c r="V189" s="80" t="e">
        <f>NA()</f>
        <v>#N/A</v>
      </c>
    </row>
    <row r="190" spans="2:22" hidden="1" outlineLevel="1" x14ac:dyDescent="0.25">
      <c r="B190" s="76" t="s">
        <v>468</v>
      </c>
      <c r="C190" s="77" t="s">
        <v>464</v>
      </c>
      <c r="D190" s="77">
        <v>5</v>
      </c>
      <c r="E190" s="78">
        <v>50</v>
      </c>
      <c r="F190" s="79">
        <v>3007</v>
      </c>
      <c r="G190" s="80">
        <v>4.4530000000000003</v>
      </c>
      <c r="H190" s="78">
        <v>50</v>
      </c>
      <c r="I190" s="79">
        <v>3341</v>
      </c>
      <c r="J190" s="80">
        <v>4.3520000000000003</v>
      </c>
      <c r="K190" s="78">
        <v>50</v>
      </c>
      <c r="L190" s="79">
        <v>5539</v>
      </c>
      <c r="M190" s="80">
        <v>4.51</v>
      </c>
      <c r="N190" s="78" t="e">
        <f>NA()</f>
        <v>#N/A</v>
      </c>
      <c r="O190" s="79" t="e">
        <f>NA()</f>
        <v>#N/A</v>
      </c>
      <c r="P190" s="80" t="e">
        <f>NA()</f>
        <v>#N/A</v>
      </c>
      <c r="Q190" s="78" t="e">
        <f>NA()</f>
        <v>#N/A</v>
      </c>
      <c r="R190" s="79" t="e">
        <f>NA()</f>
        <v>#N/A</v>
      </c>
      <c r="S190" s="80" t="e">
        <f>NA()</f>
        <v>#N/A</v>
      </c>
      <c r="T190" s="78" t="e">
        <f>NA()</f>
        <v>#N/A</v>
      </c>
      <c r="U190" s="79" t="e">
        <f>NA()</f>
        <v>#N/A</v>
      </c>
      <c r="V190" s="80" t="e">
        <f>NA()</f>
        <v>#N/A</v>
      </c>
    </row>
    <row r="191" spans="2:22" hidden="1" outlineLevel="1" x14ac:dyDescent="0.25">
      <c r="B191" s="76" t="s">
        <v>468</v>
      </c>
      <c r="C191" s="77" t="s">
        <v>464</v>
      </c>
      <c r="D191" s="77">
        <v>5</v>
      </c>
      <c r="E191" s="78">
        <v>60</v>
      </c>
      <c r="F191" s="79">
        <v>3823</v>
      </c>
      <c r="G191" s="80">
        <v>4.359</v>
      </c>
      <c r="H191" s="78">
        <v>60</v>
      </c>
      <c r="I191" s="79">
        <v>3580</v>
      </c>
      <c r="J191" s="80">
        <v>4.2030000000000003</v>
      </c>
      <c r="K191" s="78">
        <v>60</v>
      </c>
      <c r="L191" s="79">
        <v>4664</v>
      </c>
      <c r="M191" s="80">
        <v>4.4210000000000003</v>
      </c>
      <c r="N191" s="78" t="e">
        <f>NA()</f>
        <v>#N/A</v>
      </c>
      <c r="O191" s="79" t="e">
        <f>NA()</f>
        <v>#N/A</v>
      </c>
      <c r="P191" s="80" t="e">
        <f>NA()</f>
        <v>#N/A</v>
      </c>
      <c r="Q191" s="78" t="e">
        <f>NA()</f>
        <v>#N/A</v>
      </c>
      <c r="R191" s="79" t="e">
        <f>NA()</f>
        <v>#N/A</v>
      </c>
      <c r="S191" s="80" t="e">
        <f>NA()</f>
        <v>#N/A</v>
      </c>
      <c r="T191" s="78" t="e">
        <f>NA()</f>
        <v>#N/A</v>
      </c>
      <c r="U191" s="79" t="e">
        <f>NA()</f>
        <v>#N/A</v>
      </c>
      <c r="V191" s="80" t="e">
        <f>NA()</f>
        <v>#N/A</v>
      </c>
    </row>
    <row r="192" spans="2:22" hidden="1" outlineLevel="1" x14ac:dyDescent="0.25">
      <c r="B192" s="76" t="s">
        <v>468</v>
      </c>
      <c r="C192" s="77" t="s">
        <v>464</v>
      </c>
      <c r="D192" s="77">
        <v>5</v>
      </c>
      <c r="E192" s="78">
        <v>80</v>
      </c>
      <c r="F192" s="79">
        <v>3652</v>
      </c>
      <c r="G192" s="80">
        <v>3.988</v>
      </c>
      <c r="H192" s="78">
        <v>80</v>
      </c>
      <c r="I192" s="79">
        <v>3534</v>
      </c>
      <c r="J192" s="80">
        <v>3.83</v>
      </c>
      <c r="K192" s="78">
        <v>80</v>
      </c>
      <c r="L192" s="79">
        <v>4510</v>
      </c>
      <c r="M192" s="80">
        <v>3.988</v>
      </c>
      <c r="N192" s="78" t="e">
        <f>NA()</f>
        <v>#N/A</v>
      </c>
      <c r="O192" s="79" t="e">
        <f>NA()</f>
        <v>#N/A</v>
      </c>
      <c r="P192" s="80" t="e">
        <f>NA()</f>
        <v>#N/A</v>
      </c>
      <c r="Q192" s="78" t="e">
        <f>NA()</f>
        <v>#N/A</v>
      </c>
      <c r="R192" s="79" t="e">
        <f>NA()</f>
        <v>#N/A</v>
      </c>
      <c r="S192" s="80" t="e">
        <f>NA()</f>
        <v>#N/A</v>
      </c>
      <c r="T192" s="78" t="e">
        <f>NA()</f>
        <v>#N/A</v>
      </c>
      <c r="U192" s="79" t="e">
        <f>NA()</f>
        <v>#N/A</v>
      </c>
      <c r="V192" s="80" t="e">
        <f>NA()</f>
        <v>#N/A</v>
      </c>
    </row>
    <row r="193" spans="2:22" hidden="1" outlineLevel="1" x14ac:dyDescent="0.25">
      <c r="B193" s="76" t="s">
        <v>468</v>
      </c>
      <c r="C193" s="77" t="s">
        <v>464</v>
      </c>
      <c r="D193" s="77">
        <v>5</v>
      </c>
      <c r="E193" s="78">
        <v>100</v>
      </c>
      <c r="F193" s="79">
        <v>3245</v>
      </c>
      <c r="G193" s="80">
        <v>3.718</v>
      </c>
      <c r="H193" s="78">
        <v>100</v>
      </c>
      <c r="I193" s="79">
        <v>4233</v>
      </c>
      <c r="J193" s="80">
        <v>3.613</v>
      </c>
      <c r="K193" s="78">
        <v>100</v>
      </c>
      <c r="L193" s="79">
        <v>5190</v>
      </c>
      <c r="M193" s="80">
        <v>3.778</v>
      </c>
      <c r="N193" s="78" t="e">
        <f>NA()</f>
        <v>#N/A</v>
      </c>
      <c r="O193" s="79" t="e">
        <f>NA()</f>
        <v>#N/A</v>
      </c>
      <c r="P193" s="80" t="e">
        <f>NA()</f>
        <v>#N/A</v>
      </c>
      <c r="Q193" s="78" t="e">
        <f>NA()</f>
        <v>#N/A</v>
      </c>
      <c r="R193" s="79" t="e">
        <f>NA()</f>
        <v>#N/A</v>
      </c>
      <c r="S193" s="80" t="e">
        <f>NA()</f>
        <v>#N/A</v>
      </c>
      <c r="T193" s="78" t="e">
        <f>NA()</f>
        <v>#N/A</v>
      </c>
      <c r="U193" s="79" t="e">
        <f>NA()</f>
        <v>#N/A</v>
      </c>
      <c r="V193" s="80" t="e">
        <f>NA()</f>
        <v>#N/A</v>
      </c>
    </row>
    <row r="194" spans="2:22" hidden="1" outlineLevel="1" x14ac:dyDescent="0.25">
      <c r="B194" s="76" t="s">
        <v>468</v>
      </c>
      <c r="C194" s="77" t="s">
        <v>464</v>
      </c>
      <c r="D194" s="77">
        <v>5</v>
      </c>
      <c r="E194" s="78">
        <v>120</v>
      </c>
      <c r="F194" s="79">
        <v>4222</v>
      </c>
      <c r="G194" s="80">
        <v>3.617</v>
      </c>
      <c r="H194" s="78">
        <v>120</v>
      </c>
      <c r="I194" s="79">
        <v>5894</v>
      </c>
      <c r="J194" s="80">
        <v>3.4929999999999999</v>
      </c>
      <c r="K194" s="78">
        <v>120</v>
      </c>
      <c r="L194" s="79">
        <v>6353</v>
      </c>
      <c r="M194" s="80">
        <v>3.673</v>
      </c>
      <c r="N194" s="78" t="e">
        <f>NA()</f>
        <v>#N/A</v>
      </c>
      <c r="O194" s="79" t="e">
        <f>NA()</f>
        <v>#N/A</v>
      </c>
      <c r="P194" s="80" t="e">
        <f>NA()</f>
        <v>#N/A</v>
      </c>
      <c r="Q194" s="78" t="e">
        <f>NA()</f>
        <v>#N/A</v>
      </c>
      <c r="R194" s="79" t="e">
        <f>NA()</f>
        <v>#N/A</v>
      </c>
      <c r="S194" s="80" t="e">
        <f>NA()</f>
        <v>#N/A</v>
      </c>
      <c r="T194" s="78" t="e">
        <f>NA()</f>
        <v>#N/A</v>
      </c>
      <c r="U194" s="79" t="e">
        <f>NA()</f>
        <v>#N/A</v>
      </c>
      <c r="V194" s="80" t="e">
        <f>NA()</f>
        <v>#N/A</v>
      </c>
    </row>
    <row r="195" spans="2:22" hidden="1" outlineLevel="1" x14ac:dyDescent="0.25">
      <c r="B195" s="76" t="s">
        <v>468</v>
      </c>
      <c r="C195" s="77" t="s">
        <v>464</v>
      </c>
      <c r="D195" s="77">
        <v>5</v>
      </c>
      <c r="E195" s="78">
        <v>140</v>
      </c>
      <c r="F195" s="79">
        <v>5016</v>
      </c>
      <c r="G195" s="80">
        <v>3.4849999999999999</v>
      </c>
      <c r="H195" s="78">
        <v>140</v>
      </c>
      <c r="I195" s="79">
        <v>5644</v>
      </c>
      <c r="J195" s="80">
        <v>3.4009999999999998</v>
      </c>
      <c r="K195" s="78">
        <v>140</v>
      </c>
      <c r="L195" s="79">
        <v>9651</v>
      </c>
      <c r="M195" s="80">
        <v>3.597</v>
      </c>
      <c r="N195" s="78" t="e">
        <f>NA()</f>
        <v>#N/A</v>
      </c>
      <c r="O195" s="79" t="e">
        <f>NA()</f>
        <v>#N/A</v>
      </c>
      <c r="P195" s="80" t="e">
        <f>NA()</f>
        <v>#N/A</v>
      </c>
      <c r="Q195" s="78" t="e">
        <f>NA()</f>
        <v>#N/A</v>
      </c>
      <c r="R195" s="79" t="e">
        <f>NA()</f>
        <v>#N/A</v>
      </c>
      <c r="S195" s="80" t="e">
        <f>NA()</f>
        <v>#N/A</v>
      </c>
      <c r="T195" s="78" t="e">
        <f>NA()</f>
        <v>#N/A</v>
      </c>
      <c r="U195" s="79" t="e">
        <f>NA()</f>
        <v>#N/A</v>
      </c>
      <c r="V195" s="80" t="e">
        <f>NA()</f>
        <v>#N/A</v>
      </c>
    </row>
    <row r="196" spans="2:22" hidden="1" outlineLevel="1" x14ac:dyDescent="0.25">
      <c r="B196" s="76" t="s">
        <v>468</v>
      </c>
      <c r="C196" s="77" t="s">
        <v>464</v>
      </c>
      <c r="D196" s="77">
        <v>5</v>
      </c>
      <c r="E196" s="78">
        <v>160</v>
      </c>
      <c r="F196" s="79">
        <v>5577</v>
      </c>
      <c r="G196" s="80">
        <v>3.3439999999999999</v>
      </c>
      <c r="H196" s="78">
        <v>160</v>
      </c>
      <c r="I196" s="79">
        <v>7585</v>
      </c>
      <c r="J196" s="80">
        <v>3.32</v>
      </c>
      <c r="K196" s="78">
        <v>160</v>
      </c>
      <c r="L196" s="79">
        <v>10907</v>
      </c>
      <c r="M196" s="80">
        <v>3.5270000000000001</v>
      </c>
      <c r="N196" s="78" t="e">
        <f>NA()</f>
        <v>#N/A</v>
      </c>
      <c r="O196" s="79" t="e">
        <f>NA()</f>
        <v>#N/A</v>
      </c>
      <c r="P196" s="80" t="e">
        <f>NA()</f>
        <v>#N/A</v>
      </c>
      <c r="Q196" s="78" t="e">
        <f>NA()</f>
        <v>#N/A</v>
      </c>
      <c r="R196" s="79" t="e">
        <f>NA()</f>
        <v>#N/A</v>
      </c>
      <c r="S196" s="80" t="e">
        <f>NA()</f>
        <v>#N/A</v>
      </c>
      <c r="T196" s="78" t="e">
        <f>NA()</f>
        <v>#N/A</v>
      </c>
      <c r="U196" s="79" t="e">
        <f>NA()</f>
        <v>#N/A</v>
      </c>
      <c r="V196" s="80" t="e">
        <f>NA()</f>
        <v>#N/A</v>
      </c>
    </row>
    <row r="197" spans="2:22" hidden="1" outlineLevel="1" x14ac:dyDescent="0.25">
      <c r="B197" s="76" t="s">
        <v>468</v>
      </c>
      <c r="C197" s="77" t="s">
        <v>464</v>
      </c>
      <c r="D197" s="77">
        <v>5</v>
      </c>
      <c r="E197" s="78">
        <v>180</v>
      </c>
      <c r="F197" s="79">
        <v>6549</v>
      </c>
      <c r="G197" s="80">
        <v>3.2280000000000002</v>
      </c>
      <c r="H197" s="78">
        <v>180</v>
      </c>
      <c r="I197" s="79">
        <v>8710</v>
      </c>
      <c r="J197" s="80">
        <v>3.2450000000000001</v>
      </c>
      <c r="K197" s="78">
        <v>180</v>
      </c>
      <c r="L197" s="79">
        <v>11487</v>
      </c>
      <c r="M197" s="80">
        <v>3.4569999999999999</v>
      </c>
      <c r="N197" s="78" t="e">
        <f>NA()</f>
        <v>#N/A</v>
      </c>
      <c r="O197" s="79" t="e">
        <f>NA()</f>
        <v>#N/A</v>
      </c>
      <c r="P197" s="80" t="e">
        <f>NA()</f>
        <v>#N/A</v>
      </c>
      <c r="Q197" s="78" t="e">
        <f>NA()</f>
        <v>#N/A</v>
      </c>
      <c r="R197" s="79" t="e">
        <f>NA()</f>
        <v>#N/A</v>
      </c>
      <c r="S197" s="80" t="e">
        <f>NA()</f>
        <v>#N/A</v>
      </c>
      <c r="T197" s="78" t="e">
        <f>NA()</f>
        <v>#N/A</v>
      </c>
      <c r="U197" s="79" t="e">
        <f>NA()</f>
        <v>#N/A</v>
      </c>
      <c r="V197" s="80" t="e">
        <f>NA()</f>
        <v>#N/A</v>
      </c>
    </row>
    <row r="198" spans="2:22" hidden="1" outlineLevel="1" x14ac:dyDescent="0.25">
      <c r="B198" s="76" t="s">
        <v>468</v>
      </c>
      <c r="C198" s="77" t="s">
        <v>464</v>
      </c>
      <c r="D198" s="77">
        <v>5</v>
      </c>
      <c r="E198" s="78">
        <v>200</v>
      </c>
      <c r="F198" s="79">
        <v>7288</v>
      </c>
      <c r="G198" s="80">
        <v>3.1190000000000002</v>
      </c>
      <c r="H198" s="78">
        <v>200</v>
      </c>
      <c r="I198" s="79">
        <v>9763</v>
      </c>
      <c r="J198" s="80">
        <v>3.18</v>
      </c>
      <c r="K198" s="78">
        <v>200</v>
      </c>
      <c r="L198" s="79">
        <v>13191</v>
      </c>
      <c r="M198" s="80">
        <v>3.4009999999999998</v>
      </c>
      <c r="N198" s="78" t="e">
        <f>NA()</f>
        <v>#N/A</v>
      </c>
      <c r="O198" s="79" t="e">
        <f>NA()</f>
        <v>#N/A</v>
      </c>
      <c r="P198" s="80" t="e">
        <f>NA()</f>
        <v>#N/A</v>
      </c>
      <c r="Q198" s="78" t="e">
        <f>NA()</f>
        <v>#N/A</v>
      </c>
      <c r="R198" s="79" t="e">
        <f>NA()</f>
        <v>#N/A</v>
      </c>
      <c r="S198" s="80" t="e">
        <f>NA()</f>
        <v>#N/A</v>
      </c>
      <c r="T198" s="78" t="e">
        <f>NA()</f>
        <v>#N/A</v>
      </c>
      <c r="U198" s="79" t="e">
        <f>NA()</f>
        <v>#N/A</v>
      </c>
      <c r="V198" s="80" t="e">
        <f>NA()</f>
        <v>#N/A</v>
      </c>
    </row>
    <row r="199" spans="2:22" hidden="1" outlineLevel="1" x14ac:dyDescent="0.25">
      <c r="B199" s="76" t="s">
        <v>468</v>
      </c>
      <c r="C199" s="77" t="s">
        <v>464</v>
      </c>
      <c r="D199" s="77">
        <v>5</v>
      </c>
      <c r="E199" s="78">
        <v>220</v>
      </c>
      <c r="F199" s="79">
        <v>10104</v>
      </c>
      <c r="G199" s="80">
        <v>3.0419999999999998</v>
      </c>
      <c r="H199" s="78">
        <v>220</v>
      </c>
      <c r="I199" s="79">
        <v>11733</v>
      </c>
      <c r="J199" s="80">
        <v>3.117</v>
      </c>
      <c r="K199" s="78">
        <v>220</v>
      </c>
      <c r="L199" s="79">
        <v>13073</v>
      </c>
      <c r="M199" s="80">
        <v>3.343</v>
      </c>
      <c r="N199" s="78" t="e">
        <f>NA()</f>
        <v>#N/A</v>
      </c>
      <c r="O199" s="79" t="e">
        <f>NA()</f>
        <v>#N/A</v>
      </c>
      <c r="P199" s="80" t="e">
        <f>NA()</f>
        <v>#N/A</v>
      </c>
      <c r="Q199" s="78" t="e">
        <f>NA()</f>
        <v>#N/A</v>
      </c>
      <c r="R199" s="79" t="e">
        <f>NA()</f>
        <v>#N/A</v>
      </c>
      <c r="S199" s="80" t="e">
        <f>NA()</f>
        <v>#N/A</v>
      </c>
      <c r="T199" s="78" t="e">
        <f>NA()</f>
        <v>#N/A</v>
      </c>
      <c r="U199" s="79" t="e">
        <f>NA()</f>
        <v>#N/A</v>
      </c>
      <c r="V199" s="80" t="e">
        <f>NA()</f>
        <v>#N/A</v>
      </c>
    </row>
    <row r="200" spans="2:22" hidden="1" outlineLevel="1" x14ac:dyDescent="0.25">
      <c r="B200" s="76" t="s">
        <v>468</v>
      </c>
      <c r="C200" s="77" t="s">
        <v>464</v>
      </c>
      <c r="D200" s="77">
        <v>5</v>
      </c>
      <c r="E200" s="78">
        <v>240</v>
      </c>
      <c r="F200" s="79">
        <v>9857</v>
      </c>
      <c r="G200" s="80">
        <v>3.0030000000000001</v>
      </c>
      <c r="H200" s="78">
        <v>240</v>
      </c>
      <c r="I200" s="79">
        <v>11547</v>
      </c>
      <c r="J200" s="80">
        <v>3.0680000000000001</v>
      </c>
      <c r="K200" s="78">
        <v>240</v>
      </c>
      <c r="L200" s="79">
        <v>13415</v>
      </c>
      <c r="M200" s="80">
        <v>3.294</v>
      </c>
      <c r="N200" s="78" t="e">
        <f>NA()</f>
        <v>#N/A</v>
      </c>
      <c r="O200" s="79" t="e">
        <f>NA()</f>
        <v>#N/A</v>
      </c>
      <c r="P200" s="80" t="e">
        <f>NA()</f>
        <v>#N/A</v>
      </c>
      <c r="Q200" s="78" t="e">
        <f>NA()</f>
        <v>#N/A</v>
      </c>
      <c r="R200" s="79" t="e">
        <f>NA()</f>
        <v>#N/A</v>
      </c>
      <c r="S200" s="80" t="e">
        <f>NA()</f>
        <v>#N/A</v>
      </c>
      <c r="T200" s="78" t="e">
        <f>NA()</f>
        <v>#N/A</v>
      </c>
      <c r="U200" s="79" t="e">
        <f>NA()</f>
        <v>#N/A</v>
      </c>
      <c r="V200" s="80" t="e">
        <f>NA()</f>
        <v>#N/A</v>
      </c>
    </row>
    <row r="201" spans="2:22" hidden="1" outlineLevel="1" x14ac:dyDescent="0.25">
      <c r="B201" s="76" t="s">
        <v>468</v>
      </c>
      <c r="C201" s="77" t="s">
        <v>464</v>
      </c>
      <c r="D201" s="77">
        <v>5</v>
      </c>
      <c r="E201" s="78">
        <v>260</v>
      </c>
      <c r="F201" s="79">
        <v>11961</v>
      </c>
      <c r="G201" s="80">
        <v>2.992</v>
      </c>
      <c r="H201" s="78">
        <v>260</v>
      </c>
      <c r="I201" s="79">
        <v>13842</v>
      </c>
      <c r="J201" s="80">
        <v>3.032</v>
      </c>
      <c r="K201" s="78">
        <v>260</v>
      </c>
      <c r="L201" s="79">
        <v>14409</v>
      </c>
      <c r="M201" s="80">
        <v>3.2530000000000001</v>
      </c>
      <c r="N201" s="78" t="e">
        <f>NA()</f>
        <v>#N/A</v>
      </c>
      <c r="O201" s="79" t="e">
        <f>NA()</f>
        <v>#N/A</v>
      </c>
      <c r="P201" s="80" t="e">
        <f>NA()</f>
        <v>#N/A</v>
      </c>
      <c r="Q201" s="78" t="e">
        <f>NA()</f>
        <v>#N/A</v>
      </c>
      <c r="R201" s="79" t="e">
        <f>NA()</f>
        <v>#N/A</v>
      </c>
      <c r="S201" s="80" t="e">
        <f>NA()</f>
        <v>#N/A</v>
      </c>
      <c r="T201" s="78" t="e">
        <f>NA()</f>
        <v>#N/A</v>
      </c>
      <c r="U201" s="79" t="e">
        <f>NA()</f>
        <v>#N/A</v>
      </c>
      <c r="V201" s="80" t="e">
        <f>NA()</f>
        <v>#N/A</v>
      </c>
    </row>
    <row r="202" spans="2:22" hidden="1" outlineLevel="1" x14ac:dyDescent="0.25">
      <c r="B202" s="76" t="s">
        <v>468</v>
      </c>
      <c r="C202" s="77" t="s">
        <v>464</v>
      </c>
      <c r="D202" s="77">
        <v>5</v>
      </c>
      <c r="E202" s="78">
        <v>280</v>
      </c>
      <c r="F202" s="79">
        <v>13876</v>
      </c>
      <c r="G202" s="80">
        <v>2.9860000000000002</v>
      </c>
      <c r="H202" s="78">
        <v>280</v>
      </c>
      <c r="I202" s="79">
        <v>18181</v>
      </c>
      <c r="J202" s="80">
        <v>3.008</v>
      </c>
      <c r="K202" s="78">
        <v>280</v>
      </c>
      <c r="L202" s="79">
        <v>17472</v>
      </c>
      <c r="M202" s="80">
        <v>3.2189999999999999</v>
      </c>
      <c r="N202" s="78" t="e">
        <f>NA()</f>
        <v>#N/A</v>
      </c>
      <c r="O202" s="79" t="e">
        <f>NA()</f>
        <v>#N/A</v>
      </c>
      <c r="P202" s="80" t="e">
        <f>NA()</f>
        <v>#N/A</v>
      </c>
      <c r="Q202" s="78" t="e">
        <f>NA()</f>
        <v>#N/A</v>
      </c>
      <c r="R202" s="79" t="e">
        <f>NA()</f>
        <v>#N/A</v>
      </c>
      <c r="S202" s="80" t="e">
        <f>NA()</f>
        <v>#N/A</v>
      </c>
      <c r="T202" s="78" t="e">
        <f>NA()</f>
        <v>#N/A</v>
      </c>
      <c r="U202" s="79" t="e">
        <f>NA()</f>
        <v>#N/A</v>
      </c>
      <c r="V202" s="80" t="e">
        <f>NA()</f>
        <v>#N/A</v>
      </c>
    </row>
    <row r="203" spans="2:22" hidden="1" outlineLevel="1" x14ac:dyDescent="0.25">
      <c r="B203" s="81" t="s">
        <v>468</v>
      </c>
      <c r="C203" s="82" t="s">
        <v>464</v>
      </c>
      <c r="D203" s="82">
        <v>5</v>
      </c>
      <c r="E203" s="83">
        <v>300</v>
      </c>
      <c r="F203" s="84">
        <v>14811</v>
      </c>
      <c r="G203" s="85">
        <v>2.9769999999999999</v>
      </c>
      <c r="H203" s="83">
        <v>300</v>
      </c>
      <c r="I203" s="84">
        <v>21267</v>
      </c>
      <c r="J203" s="85">
        <v>2.988</v>
      </c>
      <c r="K203" s="83">
        <v>300</v>
      </c>
      <c r="L203" s="84">
        <v>16404</v>
      </c>
      <c r="M203" s="85">
        <v>3.181</v>
      </c>
      <c r="N203" s="83" t="e">
        <f>NA()</f>
        <v>#N/A</v>
      </c>
      <c r="O203" s="84" t="e">
        <f>NA()</f>
        <v>#N/A</v>
      </c>
      <c r="P203" s="85" t="e">
        <f>NA()</f>
        <v>#N/A</v>
      </c>
      <c r="Q203" s="83" t="e">
        <f>NA()</f>
        <v>#N/A</v>
      </c>
      <c r="R203" s="84" t="e">
        <f>NA()</f>
        <v>#N/A</v>
      </c>
      <c r="S203" s="85" t="e">
        <f>NA()</f>
        <v>#N/A</v>
      </c>
      <c r="T203" s="83" t="e">
        <f>NA()</f>
        <v>#N/A</v>
      </c>
      <c r="U203" s="84" t="e">
        <f>NA()</f>
        <v>#N/A</v>
      </c>
      <c r="V203" s="85" t="e">
        <f>NA()</f>
        <v>#N/A</v>
      </c>
    </row>
    <row r="204" spans="2:22" hidden="1" outlineLevel="1" x14ac:dyDescent="0.25">
      <c r="B204" s="76" t="s">
        <v>469</v>
      </c>
      <c r="C204" s="77" t="s">
        <v>470</v>
      </c>
      <c r="D204" s="77">
        <v>4.8499999999999996</v>
      </c>
      <c r="E204" s="78">
        <v>0</v>
      </c>
      <c r="F204" s="79">
        <v>0</v>
      </c>
      <c r="G204" s="80">
        <v>4.9850000000000003</v>
      </c>
      <c r="H204" s="78">
        <v>0</v>
      </c>
      <c r="I204" s="79">
        <v>0</v>
      </c>
      <c r="J204" s="80">
        <v>4.9950000000000001</v>
      </c>
      <c r="K204" s="78">
        <v>0</v>
      </c>
      <c r="L204" s="79">
        <v>0</v>
      </c>
      <c r="M204" s="80">
        <v>5</v>
      </c>
      <c r="N204" s="78">
        <v>0</v>
      </c>
      <c r="O204" s="79">
        <v>0</v>
      </c>
      <c r="P204" s="80">
        <v>4.99</v>
      </c>
      <c r="Q204" s="78">
        <v>0</v>
      </c>
      <c r="R204" s="79">
        <v>0</v>
      </c>
      <c r="S204" s="80">
        <v>4.9749999999999996</v>
      </c>
      <c r="T204" s="78">
        <v>0</v>
      </c>
      <c r="U204" s="79">
        <v>0</v>
      </c>
      <c r="V204" s="80">
        <v>5.0449999999999999</v>
      </c>
    </row>
    <row r="205" spans="2:22" hidden="1" outlineLevel="1" x14ac:dyDescent="0.25">
      <c r="B205" s="76" t="s">
        <v>469</v>
      </c>
      <c r="C205" s="77" t="s">
        <v>470</v>
      </c>
      <c r="D205" s="77">
        <v>4.8499999999999996</v>
      </c>
      <c r="E205" s="78">
        <v>1</v>
      </c>
      <c r="F205" s="79">
        <v>0</v>
      </c>
      <c r="G205" s="80">
        <v>4.93</v>
      </c>
      <c r="H205" s="78">
        <v>1</v>
      </c>
      <c r="I205" s="79">
        <v>0</v>
      </c>
      <c r="J205" s="80">
        <v>4.9470000000000001</v>
      </c>
      <c r="K205" s="78">
        <v>1</v>
      </c>
      <c r="L205" s="79">
        <v>0</v>
      </c>
      <c r="M205" s="80">
        <v>4.9400000000000004</v>
      </c>
      <c r="N205" s="78">
        <v>1</v>
      </c>
      <c r="O205" s="79">
        <v>0</v>
      </c>
      <c r="P205" s="80">
        <v>4.9649999999999999</v>
      </c>
      <c r="Q205" s="78">
        <v>1</v>
      </c>
      <c r="R205" s="79">
        <v>0</v>
      </c>
      <c r="S205" s="80">
        <v>4.931</v>
      </c>
      <c r="T205" s="78">
        <v>1</v>
      </c>
      <c r="U205" s="79">
        <v>0</v>
      </c>
      <c r="V205" s="80">
        <v>5.024</v>
      </c>
    </row>
    <row r="206" spans="2:22" hidden="1" outlineLevel="1" x14ac:dyDescent="0.25">
      <c r="B206" s="76" t="s">
        <v>469</v>
      </c>
      <c r="C206" s="77" t="s">
        <v>470</v>
      </c>
      <c r="D206" s="77">
        <v>4.8499999999999996</v>
      </c>
      <c r="E206" s="78">
        <v>20</v>
      </c>
      <c r="F206" s="79">
        <v>1148</v>
      </c>
      <c r="G206" s="80">
        <v>4.5579999999999998</v>
      </c>
      <c r="H206" s="78">
        <v>20</v>
      </c>
      <c r="I206" s="79">
        <v>1496</v>
      </c>
      <c r="J206" s="80">
        <v>4.4489999999999998</v>
      </c>
      <c r="K206" s="78">
        <v>20</v>
      </c>
      <c r="L206" s="79">
        <v>1206</v>
      </c>
      <c r="M206" s="80">
        <v>4.7480000000000002</v>
      </c>
      <c r="N206" s="78">
        <v>20</v>
      </c>
      <c r="O206" s="79">
        <v>1336</v>
      </c>
      <c r="P206" s="80">
        <v>4.5350000000000001</v>
      </c>
      <c r="Q206" s="78">
        <v>20</v>
      </c>
      <c r="R206" s="79">
        <v>1485</v>
      </c>
      <c r="S206" s="80">
        <v>4.3559999999999999</v>
      </c>
      <c r="T206" s="78">
        <v>20</v>
      </c>
      <c r="U206" s="79">
        <v>1553</v>
      </c>
      <c r="V206" s="80">
        <v>4.45</v>
      </c>
    </row>
    <row r="207" spans="2:22" hidden="1" outlineLevel="1" x14ac:dyDescent="0.25">
      <c r="B207" s="76" t="s">
        <v>469</v>
      </c>
      <c r="C207" s="77" t="s">
        <v>470</v>
      </c>
      <c r="D207" s="77">
        <v>4.8499999999999996</v>
      </c>
      <c r="E207" s="78">
        <v>30</v>
      </c>
      <c r="F207" s="79">
        <v>1679</v>
      </c>
      <c r="G207" s="80">
        <v>4.423</v>
      </c>
      <c r="H207" s="78">
        <v>30</v>
      </c>
      <c r="I207" s="79">
        <v>1777</v>
      </c>
      <c r="J207" s="80">
        <v>4.1219999999999999</v>
      </c>
      <c r="K207" s="78">
        <v>30</v>
      </c>
      <c r="L207" s="79">
        <v>1835</v>
      </c>
      <c r="M207" s="80">
        <v>4.6749999999999998</v>
      </c>
      <c r="N207" s="78">
        <v>30</v>
      </c>
      <c r="O207" s="79">
        <v>2068</v>
      </c>
      <c r="P207" s="80">
        <v>4.37</v>
      </c>
      <c r="Q207" s="78">
        <v>30</v>
      </c>
      <c r="R207" s="79">
        <v>1950</v>
      </c>
      <c r="S207" s="80">
        <v>4.133</v>
      </c>
      <c r="T207" s="78">
        <v>30</v>
      </c>
      <c r="U207" s="79">
        <v>2454</v>
      </c>
      <c r="V207" s="80">
        <v>4.3540000000000001</v>
      </c>
    </row>
    <row r="208" spans="2:22" hidden="1" outlineLevel="1" x14ac:dyDescent="0.25">
      <c r="B208" s="76" t="s">
        <v>469</v>
      </c>
      <c r="C208" s="77" t="s">
        <v>470</v>
      </c>
      <c r="D208" s="77">
        <v>4.8499999999999996</v>
      </c>
      <c r="E208" s="78">
        <v>40</v>
      </c>
      <c r="F208" s="79">
        <v>2327</v>
      </c>
      <c r="G208" s="80">
        <v>4.32</v>
      </c>
      <c r="H208" s="78">
        <v>40</v>
      </c>
      <c r="I208" s="79">
        <v>2185</v>
      </c>
      <c r="J208" s="80">
        <v>3.9740000000000002</v>
      </c>
      <c r="K208" s="78">
        <v>40</v>
      </c>
      <c r="L208" s="79">
        <v>2265</v>
      </c>
      <c r="M208" s="80">
        <v>4.5330000000000004</v>
      </c>
      <c r="N208" s="78">
        <v>40</v>
      </c>
      <c r="O208" s="79">
        <v>2511</v>
      </c>
      <c r="P208" s="80">
        <v>4.2220000000000004</v>
      </c>
      <c r="Q208" s="78">
        <v>40</v>
      </c>
      <c r="R208" s="79">
        <v>2649</v>
      </c>
      <c r="S208" s="80">
        <v>4.0090000000000003</v>
      </c>
      <c r="T208" s="78">
        <v>40</v>
      </c>
      <c r="U208" s="79">
        <v>3628</v>
      </c>
      <c r="V208" s="80">
        <v>4.226</v>
      </c>
    </row>
    <row r="209" spans="2:22" hidden="1" outlineLevel="1" x14ac:dyDescent="0.25">
      <c r="B209" s="76" t="s">
        <v>469</v>
      </c>
      <c r="C209" s="77" t="s">
        <v>470</v>
      </c>
      <c r="D209" s="77">
        <v>4.8499999999999996</v>
      </c>
      <c r="E209" s="78">
        <v>50</v>
      </c>
      <c r="F209" s="79">
        <v>2683</v>
      </c>
      <c r="G209" s="80">
        <v>4.1959999999999997</v>
      </c>
      <c r="H209" s="78">
        <v>50</v>
      </c>
      <c r="I209" s="79">
        <v>2897</v>
      </c>
      <c r="J209" s="80">
        <v>3.8860000000000001</v>
      </c>
      <c r="K209" s="78">
        <v>50</v>
      </c>
      <c r="L209" s="79">
        <v>3337</v>
      </c>
      <c r="M209" s="80">
        <v>4.3819999999999997</v>
      </c>
      <c r="N209" s="78">
        <v>50</v>
      </c>
      <c r="O209" s="79">
        <v>2990</v>
      </c>
      <c r="P209" s="80">
        <v>4.109</v>
      </c>
      <c r="Q209" s="78">
        <v>50</v>
      </c>
      <c r="R209" s="79">
        <v>3278</v>
      </c>
      <c r="S209" s="80">
        <v>3.9220000000000002</v>
      </c>
      <c r="T209" s="78">
        <v>50</v>
      </c>
      <c r="U209" s="79">
        <v>4654</v>
      </c>
      <c r="V209" s="80">
        <v>4.0940000000000003</v>
      </c>
    </row>
    <row r="210" spans="2:22" hidden="1" outlineLevel="1" x14ac:dyDescent="0.25">
      <c r="B210" s="76" t="s">
        <v>469</v>
      </c>
      <c r="C210" s="77" t="s">
        <v>470</v>
      </c>
      <c r="D210" s="77">
        <v>4.8499999999999996</v>
      </c>
      <c r="E210" s="78">
        <v>60</v>
      </c>
      <c r="F210" s="79">
        <v>2995</v>
      </c>
      <c r="G210" s="80">
        <v>4.0510000000000002</v>
      </c>
      <c r="H210" s="78">
        <v>60</v>
      </c>
      <c r="I210" s="79">
        <v>3725</v>
      </c>
      <c r="J210" s="80">
        <v>3.802</v>
      </c>
      <c r="K210" s="78">
        <v>60</v>
      </c>
      <c r="L210" s="79">
        <v>3297</v>
      </c>
      <c r="M210" s="80">
        <v>4.274</v>
      </c>
      <c r="N210" s="78">
        <v>60</v>
      </c>
      <c r="O210" s="79">
        <v>3478</v>
      </c>
      <c r="P210" s="80">
        <v>3.9950000000000001</v>
      </c>
      <c r="Q210" s="78">
        <v>60</v>
      </c>
      <c r="R210" s="79">
        <v>3319</v>
      </c>
      <c r="S210" s="80">
        <v>3.8079999999999998</v>
      </c>
      <c r="T210" s="78">
        <v>60</v>
      </c>
      <c r="U210" s="79">
        <v>4340</v>
      </c>
      <c r="V210" s="80">
        <v>3.9159999999999999</v>
      </c>
    </row>
    <row r="211" spans="2:22" hidden="1" outlineLevel="1" x14ac:dyDescent="0.25">
      <c r="B211" s="76" t="s">
        <v>469</v>
      </c>
      <c r="C211" s="77" t="s">
        <v>470</v>
      </c>
      <c r="D211" s="77">
        <v>4.8499999999999996</v>
      </c>
      <c r="E211" s="78">
        <v>80</v>
      </c>
      <c r="F211" s="79">
        <v>3267</v>
      </c>
      <c r="G211" s="80">
        <v>3.9119999999999999</v>
      </c>
      <c r="H211" s="78">
        <v>80</v>
      </c>
      <c r="I211" s="79">
        <v>3462</v>
      </c>
      <c r="J211" s="80">
        <v>3.613</v>
      </c>
      <c r="K211" s="78">
        <v>80</v>
      </c>
      <c r="L211" s="79">
        <v>4390</v>
      </c>
      <c r="M211" s="80">
        <v>4.1180000000000003</v>
      </c>
      <c r="N211" s="78">
        <v>80</v>
      </c>
      <c r="O211" s="79">
        <v>4281</v>
      </c>
      <c r="P211" s="80">
        <v>3.8380000000000001</v>
      </c>
      <c r="Q211" s="78">
        <v>80</v>
      </c>
      <c r="R211" s="79">
        <v>4281</v>
      </c>
      <c r="S211" s="80">
        <v>3.5550000000000002</v>
      </c>
      <c r="T211" s="78">
        <v>80</v>
      </c>
      <c r="U211" s="79">
        <v>5245</v>
      </c>
      <c r="V211" s="80">
        <v>3.57</v>
      </c>
    </row>
    <row r="212" spans="2:22" hidden="1" outlineLevel="1" x14ac:dyDescent="0.25">
      <c r="B212" s="76" t="s">
        <v>469</v>
      </c>
      <c r="C212" s="77" t="s">
        <v>470</v>
      </c>
      <c r="D212" s="77">
        <v>4.8499999999999996</v>
      </c>
      <c r="E212" s="78">
        <v>100</v>
      </c>
      <c r="F212" s="79">
        <v>4223</v>
      </c>
      <c r="G212" s="80">
        <v>3.7839999999999998</v>
      </c>
      <c r="H212" s="78">
        <v>100</v>
      </c>
      <c r="I212" s="79">
        <v>4575</v>
      </c>
      <c r="J212" s="80">
        <v>3.403</v>
      </c>
      <c r="K212" s="78">
        <v>100</v>
      </c>
      <c r="L212" s="79">
        <v>4600</v>
      </c>
      <c r="M212" s="80">
        <v>3.9289999999999998</v>
      </c>
      <c r="N212" s="78">
        <v>100</v>
      </c>
      <c r="O212" s="79">
        <v>4350</v>
      </c>
      <c r="P212" s="80">
        <v>3.64</v>
      </c>
      <c r="Q212" s="78">
        <v>100</v>
      </c>
      <c r="R212" s="79">
        <v>6018</v>
      </c>
      <c r="S212" s="80">
        <v>3.448</v>
      </c>
      <c r="T212" s="78">
        <v>100</v>
      </c>
      <c r="U212" s="79">
        <v>6569</v>
      </c>
      <c r="V212" s="80">
        <v>3.4319999999999999</v>
      </c>
    </row>
    <row r="213" spans="2:22" hidden="1" outlineLevel="1" x14ac:dyDescent="0.25">
      <c r="B213" s="76" t="s">
        <v>469</v>
      </c>
      <c r="C213" s="77" t="s">
        <v>470</v>
      </c>
      <c r="D213" s="77">
        <v>4.8499999999999996</v>
      </c>
      <c r="E213" s="78">
        <v>120</v>
      </c>
      <c r="F213" s="79">
        <v>4851</v>
      </c>
      <c r="G213" s="80">
        <v>3.5950000000000002</v>
      </c>
      <c r="H213" s="78">
        <v>120</v>
      </c>
      <c r="I213" s="79">
        <v>5142</v>
      </c>
      <c r="J213" s="80">
        <v>3.2959999999999998</v>
      </c>
      <c r="K213" s="78">
        <v>120</v>
      </c>
      <c r="L213" s="79">
        <v>5952</v>
      </c>
      <c r="M213" s="80">
        <v>3.7639999999999998</v>
      </c>
      <c r="N213" s="78">
        <v>120</v>
      </c>
      <c r="O213" s="79">
        <v>5745</v>
      </c>
      <c r="P213" s="80">
        <v>3.4449999999999998</v>
      </c>
      <c r="Q213" s="78">
        <v>120</v>
      </c>
      <c r="R213" s="79">
        <v>6945</v>
      </c>
      <c r="S213" s="80">
        <v>3.371</v>
      </c>
      <c r="T213" s="78">
        <v>120</v>
      </c>
      <c r="U213" s="79">
        <v>8074</v>
      </c>
      <c r="V213" s="80">
        <v>3.3540000000000001</v>
      </c>
    </row>
    <row r="214" spans="2:22" hidden="1" outlineLevel="1" x14ac:dyDescent="0.25">
      <c r="B214" s="76" t="s">
        <v>469</v>
      </c>
      <c r="C214" s="77" t="s">
        <v>470</v>
      </c>
      <c r="D214" s="77">
        <v>4.8499999999999996</v>
      </c>
      <c r="E214" s="78">
        <v>140</v>
      </c>
      <c r="F214" s="79">
        <v>4413</v>
      </c>
      <c r="G214" s="80">
        <v>3.4470000000000001</v>
      </c>
      <c r="H214" s="78">
        <v>140</v>
      </c>
      <c r="I214" s="79">
        <v>6140</v>
      </c>
      <c r="J214" s="80">
        <v>3.2109999999999999</v>
      </c>
      <c r="K214" s="78">
        <v>140</v>
      </c>
      <c r="L214" s="79">
        <v>5421</v>
      </c>
      <c r="M214" s="80">
        <v>3.625</v>
      </c>
      <c r="N214" s="78">
        <v>140</v>
      </c>
      <c r="O214" s="79">
        <v>5954</v>
      </c>
      <c r="P214" s="80">
        <v>3.266</v>
      </c>
      <c r="Q214" s="78">
        <v>140</v>
      </c>
      <c r="R214" s="79">
        <v>8912</v>
      </c>
      <c r="S214" s="80">
        <v>3.3090000000000002</v>
      </c>
      <c r="T214" s="78">
        <v>140</v>
      </c>
      <c r="U214" s="79">
        <v>9706</v>
      </c>
      <c r="V214" s="80">
        <v>3.298</v>
      </c>
    </row>
    <row r="215" spans="2:22" hidden="1" outlineLevel="1" x14ac:dyDescent="0.25">
      <c r="B215" s="76" t="s">
        <v>469</v>
      </c>
      <c r="C215" s="77" t="s">
        <v>470</v>
      </c>
      <c r="D215" s="77">
        <v>4.8499999999999996</v>
      </c>
      <c r="E215" s="78">
        <v>160</v>
      </c>
      <c r="F215" s="79">
        <v>5053</v>
      </c>
      <c r="G215" s="80">
        <v>3.3620000000000001</v>
      </c>
      <c r="H215" s="78">
        <v>160</v>
      </c>
      <c r="I215" s="79">
        <v>6433</v>
      </c>
      <c r="J215" s="80">
        <v>3.14</v>
      </c>
      <c r="K215" s="78">
        <v>160</v>
      </c>
      <c r="L215" s="79">
        <v>6000</v>
      </c>
      <c r="M215" s="80">
        <v>3.5150000000000001</v>
      </c>
      <c r="N215" s="78">
        <v>160</v>
      </c>
      <c r="O215" s="79">
        <v>6674</v>
      </c>
      <c r="P215" s="80">
        <v>3.1240000000000001</v>
      </c>
      <c r="Q215" s="78">
        <v>160</v>
      </c>
      <c r="R215" s="79">
        <v>10207</v>
      </c>
      <c r="S215" s="80">
        <v>3.26</v>
      </c>
      <c r="T215" s="78">
        <v>160</v>
      </c>
      <c r="U215" s="79">
        <v>9549</v>
      </c>
      <c r="V215" s="80">
        <v>3.2490000000000001</v>
      </c>
    </row>
    <row r="216" spans="2:22" hidden="1" outlineLevel="1" x14ac:dyDescent="0.25">
      <c r="B216" s="76" t="s">
        <v>469</v>
      </c>
      <c r="C216" s="77" t="s">
        <v>470</v>
      </c>
      <c r="D216" s="77">
        <v>4.8499999999999996</v>
      </c>
      <c r="E216" s="78">
        <v>180</v>
      </c>
      <c r="F216" s="79">
        <v>5805</v>
      </c>
      <c r="G216" s="80">
        <v>3.294</v>
      </c>
      <c r="H216" s="78">
        <v>180</v>
      </c>
      <c r="I216" s="79">
        <v>9877</v>
      </c>
      <c r="J216" s="80">
        <v>3.101</v>
      </c>
      <c r="K216" s="78">
        <v>180</v>
      </c>
      <c r="L216" s="79">
        <v>6719</v>
      </c>
      <c r="M216" s="80">
        <v>3.4319999999999999</v>
      </c>
      <c r="N216" s="78">
        <v>180</v>
      </c>
      <c r="O216" s="79">
        <v>6896</v>
      </c>
      <c r="P216" s="80">
        <v>3.0019999999999998</v>
      </c>
      <c r="Q216" s="78">
        <v>180</v>
      </c>
      <c r="R216" s="79">
        <v>10990</v>
      </c>
      <c r="S216" s="80">
        <v>3.2170000000000001</v>
      </c>
      <c r="T216" s="78">
        <v>180</v>
      </c>
      <c r="U216" s="79">
        <v>10802</v>
      </c>
      <c r="V216" s="80">
        <v>3.2109999999999999</v>
      </c>
    </row>
    <row r="217" spans="2:22" hidden="1" outlineLevel="1" x14ac:dyDescent="0.25">
      <c r="B217" s="76" t="s">
        <v>469</v>
      </c>
      <c r="C217" s="77" t="s">
        <v>470</v>
      </c>
      <c r="D217" s="77">
        <v>4.8499999999999996</v>
      </c>
      <c r="E217" s="78">
        <v>200</v>
      </c>
      <c r="F217" s="79">
        <v>6096</v>
      </c>
      <c r="G217" s="80">
        <v>3.2309999999999999</v>
      </c>
      <c r="H217" s="78">
        <v>200</v>
      </c>
      <c r="I217" s="79">
        <v>12913</v>
      </c>
      <c r="J217" s="80">
        <v>3.089</v>
      </c>
      <c r="K217" s="78">
        <v>200</v>
      </c>
      <c r="L217" s="79">
        <v>6882</v>
      </c>
      <c r="M217" s="80">
        <v>3.355</v>
      </c>
      <c r="N217" s="78">
        <v>200</v>
      </c>
      <c r="O217" s="79">
        <v>9523</v>
      </c>
      <c r="P217" s="80">
        <v>2.8980000000000001</v>
      </c>
      <c r="Q217" s="78">
        <v>200</v>
      </c>
      <c r="R217" s="79">
        <v>10581</v>
      </c>
      <c r="S217" s="80">
        <v>3.1749999999999998</v>
      </c>
      <c r="T217" s="78">
        <v>200</v>
      </c>
      <c r="U217" s="79">
        <v>11341</v>
      </c>
      <c r="V217" s="80">
        <v>3.1760000000000002</v>
      </c>
    </row>
    <row r="218" spans="2:22" hidden="1" outlineLevel="1" x14ac:dyDescent="0.25">
      <c r="B218" s="76" t="s">
        <v>469</v>
      </c>
      <c r="C218" s="77" t="s">
        <v>470</v>
      </c>
      <c r="D218" s="77">
        <v>4.8499999999999996</v>
      </c>
      <c r="E218" s="78">
        <v>300</v>
      </c>
      <c r="F218" s="79">
        <v>9223</v>
      </c>
      <c r="G218" s="80">
        <v>3.2050000000000001</v>
      </c>
      <c r="H218" s="78">
        <v>300</v>
      </c>
      <c r="I218" s="79">
        <v>52451</v>
      </c>
      <c r="J218" s="80">
        <v>3.0760000000000001</v>
      </c>
      <c r="K218" s="78">
        <v>300</v>
      </c>
      <c r="L218" s="79">
        <v>10586</v>
      </c>
      <c r="M218" s="80">
        <v>3.31</v>
      </c>
      <c r="N218" s="78">
        <v>300</v>
      </c>
      <c r="O218" s="79">
        <v>10514</v>
      </c>
      <c r="P218" s="80">
        <v>2.827</v>
      </c>
      <c r="Q218" s="78">
        <v>300</v>
      </c>
      <c r="R218" s="79">
        <v>25384</v>
      </c>
      <c r="S218" s="80">
        <v>3.073</v>
      </c>
      <c r="T218" s="78">
        <v>300</v>
      </c>
      <c r="U218" s="79">
        <v>16447</v>
      </c>
      <c r="V218" s="80">
        <v>3.1480000000000001</v>
      </c>
    </row>
    <row r="219" spans="2:22" hidden="1" outlineLevel="1" x14ac:dyDescent="0.25">
      <c r="B219" s="76" t="s">
        <v>469</v>
      </c>
      <c r="C219" s="77" t="s">
        <v>470</v>
      </c>
      <c r="D219" s="77">
        <v>4.8499999999999996</v>
      </c>
      <c r="E219" s="78">
        <v>400</v>
      </c>
      <c r="F219" s="79">
        <v>11258</v>
      </c>
      <c r="G219" s="80">
        <v>3.1840000000000002</v>
      </c>
      <c r="H219" s="78">
        <v>400</v>
      </c>
      <c r="I219" s="79">
        <v>29998</v>
      </c>
      <c r="J219" s="80">
        <v>3.077</v>
      </c>
      <c r="K219" s="78">
        <v>400</v>
      </c>
      <c r="L219" s="79">
        <v>12240</v>
      </c>
      <c r="M219" s="80">
        <v>3.2829999999999999</v>
      </c>
      <c r="N219" s="78">
        <v>400</v>
      </c>
      <c r="O219" s="79">
        <v>10431</v>
      </c>
      <c r="P219" s="80">
        <v>2.77</v>
      </c>
      <c r="Q219" s="78">
        <v>400</v>
      </c>
      <c r="R219" s="79">
        <v>33973</v>
      </c>
      <c r="S219" s="80">
        <v>3.0569999999999999</v>
      </c>
      <c r="T219" s="78">
        <v>400</v>
      </c>
      <c r="U219" s="79">
        <v>21553</v>
      </c>
      <c r="V219" s="80">
        <v>3.129</v>
      </c>
    </row>
    <row r="220" spans="2:22" hidden="1" outlineLevel="1" x14ac:dyDescent="0.25">
      <c r="B220" s="81" t="s">
        <v>469</v>
      </c>
      <c r="C220" s="82" t="s">
        <v>470</v>
      </c>
      <c r="D220" s="82">
        <v>4.8499999999999996</v>
      </c>
      <c r="E220" s="83">
        <v>480</v>
      </c>
      <c r="F220" s="84">
        <v>13604</v>
      </c>
      <c r="G220" s="85">
        <v>3.1720000000000002</v>
      </c>
      <c r="H220" s="83">
        <v>480</v>
      </c>
      <c r="I220" s="84">
        <v>15995</v>
      </c>
      <c r="J220" s="85">
        <v>3.08</v>
      </c>
      <c r="K220" s="83">
        <v>480</v>
      </c>
      <c r="L220" s="84">
        <v>14427</v>
      </c>
      <c r="M220" s="85">
        <v>3.266</v>
      </c>
      <c r="N220" s="83">
        <v>480</v>
      </c>
      <c r="O220" s="84">
        <v>15227</v>
      </c>
      <c r="P220" s="85">
        <v>2.7330000000000001</v>
      </c>
      <c r="Q220" s="83">
        <v>480</v>
      </c>
      <c r="R220" s="84">
        <v>54097</v>
      </c>
      <c r="S220" s="85">
        <v>3.06</v>
      </c>
      <c r="T220" s="83">
        <v>480</v>
      </c>
      <c r="U220" s="84">
        <v>26659</v>
      </c>
      <c r="V220" s="85">
        <v>3.1230000000000002</v>
      </c>
    </row>
    <row r="221" spans="2:22" collapsed="1" x14ac:dyDescent="0.25"/>
  </sheetData>
  <mergeCells count="16">
    <mergeCell ref="AZ2:BC2"/>
    <mergeCell ref="T2:V2"/>
    <mergeCell ref="E2:G2"/>
    <mergeCell ref="H2:J2"/>
    <mergeCell ref="K2:M2"/>
    <mergeCell ref="N2:P2"/>
    <mergeCell ref="Q2:S2"/>
    <mergeCell ref="AS2:AY2"/>
    <mergeCell ref="AS38:AY38"/>
    <mergeCell ref="AZ39:BA39"/>
    <mergeCell ref="BB39:BC39"/>
    <mergeCell ref="BB3:BC3"/>
    <mergeCell ref="AZ3:BA3"/>
    <mergeCell ref="BB4:BC4"/>
    <mergeCell ref="AZ4:BA4"/>
    <mergeCell ref="AZ38:BC38"/>
  </mergeCells>
  <phoneticPr fontId="29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4D86C8-A100-4551-817A-EB52061F86D6}">
  <ds:schemaRefs>
    <ds:schemaRef ds:uri="http://schemas.openxmlformats.org/package/2006/metadata/core-properties"/>
    <ds:schemaRef ds:uri="http://purl.org/dc/elements/1.1/"/>
    <ds:schemaRef ds:uri="http://purl.org/dc/dcmitype/"/>
    <ds:schemaRef ds:uri="f16ae08e-32aa-43c4-955b-813e13c9303e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2710bc8b-17c9-4e36-a567-5a8748d28b44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8F72CBDE-8A2D-4AEE-9F17-70BF3597C07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4284A90-B513-49FD-BDD7-0351B958CF2A}"/>
</file>

<file path=docMetadata/LabelInfo.xml><?xml version="1.0" encoding="utf-8"?>
<clbl:labelList xmlns:clbl="http://schemas.microsoft.com/office/2020/mipLabelMetadata">
  <clbl:label id="{ac69433e-9fbc-4566-9c7b-2629ed8b780f}" enabled="0" method="" siteId="{ac69433e-9fbc-4566-9c7b-2629ed8b78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22</vt:i4>
      </vt:variant>
    </vt:vector>
  </HeadingPairs>
  <TitlesOfParts>
    <vt:vector size="25" baseType="lpstr">
      <vt:lpstr>content</vt:lpstr>
      <vt:lpstr>bolted_design</vt:lpstr>
      <vt:lpstr>swg_database</vt:lpstr>
      <vt:lpstr>Burgmann</vt:lpstr>
      <vt:lpstr>Cring</vt:lpstr>
      <vt:lpstr>EBG_1</vt:lpstr>
      <vt:lpstr>EBG_2</vt:lpstr>
      <vt:lpstr>EBG_3</vt:lpstr>
      <vt:lpstr>Flexitallic</vt:lpstr>
      <vt:lpstr>FLX_1</vt:lpstr>
      <vt:lpstr>FLX_2</vt:lpstr>
      <vt:lpstr>FLX_3</vt:lpstr>
      <vt:lpstr>gasket_mfr</vt:lpstr>
      <vt:lpstr>generic</vt:lpstr>
      <vt:lpstr>KEM_1</vt:lpstr>
      <vt:lpstr>Kempchen</vt:lpstr>
      <vt:lpstr>Moeller</vt:lpstr>
      <vt:lpstr>MOL_1</vt:lpstr>
      <vt:lpstr>MOL_2</vt:lpstr>
      <vt:lpstr>ORG_1</vt:lpstr>
      <vt:lpstr>Oring</vt:lpstr>
      <vt:lpstr>P.J.Schulz</vt:lpstr>
      <vt:lpstr>SCH_1</vt:lpstr>
      <vt:lpstr>Spiralwound</vt:lpstr>
      <vt:lpstr>user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Fabrizio Cademartori</dc:creator>
  <cp:keywords/>
  <dc:description/>
  <cp:lastModifiedBy>Jose Omonte Rossi</cp:lastModifiedBy>
  <cp:revision/>
  <dcterms:created xsi:type="dcterms:W3CDTF">2023-11-28T17:35:28Z</dcterms:created>
  <dcterms:modified xsi:type="dcterms:W3CDTF">2025-09-25T09:39:42Z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