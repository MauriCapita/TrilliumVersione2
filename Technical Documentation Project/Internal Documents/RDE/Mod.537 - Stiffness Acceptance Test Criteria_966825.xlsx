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Da Gestire - Verificatore 1\2. Noemi\nuova SOPMOD da emettere in EDM (Cademartori)\"/>
    </mc:Choice>
  </mc:AlternateContent>
  <xr:revisionPtr revIDLastSave="0" documentId="13_ncr:1_{6D8AA2E8-469D-4698-A2BC-02E95FC8D790}" xr6:coauthVersionLast="47" xr6:coauthVersionMax="47" xr10:uidLastSave="{00000000-0000-0000-0000-000000000000}"/>
  <bookViews>
    <workbookView xWindow="-120" yWindow="-120" windowWidth="19440" windowHeight="14880" xr2:uid="{10A45668-07F7-410A-9F52-DF7D72CCDF29}"/>
  </bookViews>
  <sheets>
    <sheet name="content" sheetId="2" r:id="rId1"/>
    <sheet name="displacem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AC16" i="1" s="1"/>
  <c r="C3" i="1"/>
  <c r="AD10" i="1" s="1"/>
  <c r="AC17" i="1"/>
  <c r="AD15" i="1"/>
  <c r="AD14" i="1"/>
  <c r="AC13" i="1"/>
  <c r="AC12" i="1"/>
  <c r="AD11" i="1"/>
  <c r="AD13" i="1"/>
  <c r="AC7" i="1"/>
  <c r="AC6" i="1"/>
  <c r="AD5" i="1"/>
  <c r="AD4" i="1"/>
  <c r="D3" i="1" s="1"/>
  <c r="E3" i="1" s="1"/>
  <c r="AC15" i="1"/>
  <c r="AC14" i="1"/>
  <c r="AD17" i="1"/>
  <c r="AD16" i="1"/>
  <c r="V5" i="1"/>
  <c r="X5" i="1" s="1"/>
  <c r="W5" i="1"/>
  <c r="V6" i="1"/>
  <c r="X6" i="1" s="1"/>
  <c r="W6" i="1"/>
  <c r="Y6" i="1" s="1"/>
  <c r="V7" i="1"/>
  <c r="X7" i="1" s="1"/>
  <c r="W7" i="1"/>
  <c r="V8" i="1"/>
  <c r="X8" i="1" s="1"/>
  <c r="W8" i="1"/>
  <c r="Y8" i="1" s="1"/>
  <c r="V9" i="1"/>
  <c r="X9" i="1" s="1"/>
  <c r="W9" i="1"/>
  <c r="Y9" i="1" s="1"/>
  <c r="V10" i="1"/>
  <c r="X10" i="1" s="1"/>
  <c r="W10" i="1"/>
  <c r="Y10" i="1" s="1"/>
  <c r="V11" i="1"/>
  <c r="X11" i="1" s="1"/>
  <c r="W11" i="1"/>
  <c r="Y11" i="1" s="1"/>
  <c r="V12" i="1"/>
  <c r="X12" i="1" s="1"/>
  <c r="W12" i="1"/>
  <c r="V13" i="1"/>
  <c r="X13" i="1" s="1"/>
  <c r="W13" i="1"/>
  <c r="Y13" i="1" s="1"/>
  <c r="V14" i="1"/>
  <c r="X14" i="1" s="1"/>
  <c r="W14" i="1"/>
  <c r="Y14" i="1" s="1"/>
  <c r="V15" i="1"/>
  <c r="X15" i="1" s="1"/>
  <c r="W15" i="1"/>
  <c r="Y15" i="1" s="1"/>
  <c r="V16" i="1"/>
  <c r="X16" i="1" s="1"/>
  <c r="W16" i="1"/>
  <c r="Y16" i="1" s="1"/>
  <c r="V17" i="1"/>
  <c r="X17" i="1" s="1"/>
  <c r="W17" i="1"/>
  <c r="Y17" i="1" s="1"/>
  <c r="V18" i="1"/>
  <c r="X18" i="1" s="1"/>
  <c r="W18" i="1"/>
  <c r="Y18" i="1" s="1"/>
  <c r="V19" i="1"/>
  <c r="X19" i="1" s="1"/>
  <c r="W19" i="1"/>
  <c r="Y19" i="1" s="1"/>
  <c r="V20" i="1"/>
  <c r="X20" i="1" s="1"/>
  <c r="W20" i="1"/>
  <c r="Y20" i="1" s="1"/>
  <c r="V21" i="1"/>
  <c r="X21" i="1" s="1"/>
  <c r="W21" i="1"/>
  <c r="Y21" i="1" s="1"/>
  <c r="V22" i="1"/>
  <c r="X22" i="1" s="1"/>
  <c r="W22" i="1"/>
  <c r="Y22" i="1" s="1"/>
  <c r="V23" i="1"/>
  <c r="X23" i="1" s="1"/>
  <c r="W23" i="1"/>
  <c r="Y23" i="1" s="1"/>
  <c r="V24" i="1"/>
  <c r="X24" i="1" s="1"/>
  <c r="W24" i="1"/>
  <c r="Y24" i="1" s="1"/>
  <c r="V25" i="1"/>
  <c r="X25" i="1" s="1"/>
  <c r="W25" i="1"/>
  <c r="Y25" i="1" s="1"/>
  <c r="V26" i="1"/>
  <c r="X26" i="1" s="1"/>
  <c r="W26" i="1"/>
  <c r="Y26" i="1" s="1"/>
  <c r="V27" i="1"/>
  <c r="X27" i="1" s="1"/>
  <c r="W27" i="1"/>
  <c r="Y27" i="1" s="1"/>
  <c r="V28" i="1"/>
  <c r="X28" i="1" s="1"/>
  <c r="W28" i="1"/>
  <c r="Y28" i="1" s="1"/>
  <c r="W4" i="1"/>
  <c r="Y4" i="1" s="1"/>
  <c r="V4" i="1"/>
  <c r="X4" i="1" s="1"/>
  <c r="Y12" i="1" l="1"/>
  <c r="AD12" i="1"/>
  <c r="Y7" i="1"/>
  <c r="Y5" i="1"/>
  <c r="D4" i="1"/>
  <c r="E4" i="1" s="1"/>
  <c r="AA28" i="1"/>
  <c r="AA27" i="1"/>
  <c r="AA20" i="1"/>
  <c r="AA19" i="1"/>
  <c r="AA12" i="1"/>
  <c r="AA11" i="1"/>
  <c r="AA26" i="1"/>
  <c r="AA18" i="1"/>
  <c r="AA10" i="1"/>
  <c r="AA25" i="1"/>
  <c r="AA17" i="1"/>
  <c r="AA9" i="1"/>
  <c r="AA24" i="1"/>
  <c r="AA16" i="1"/>
  <c r="AA8" i="1"/>
  <c r="AA23" i="1"/>
  <c r="AA15" i="1"/>
  <c r="AA7" i="1"/>
  <c r="AA22" i="1"/>
  <c r="AA14" i="1"/>
  <c r="AA6" i="1"/>
  <c r="AA4" i="1"/>
  <c r="AA21" i="1"/>
  <c r="AA13" i="1"/>
  <c r="AA5" i="1"/>
  <c r="Z16" i="1"/>
  <c r="Z24" i="1"/>
  <c r="Z14" i="1"/>
  <c r="Z12" i="1"/>
  <c r="Z22" i="1"/>
  <c r="Z20" i="1"/>
  <c r="Z10" i="1"/>
  <c r="Z26" i="1"/>
  <c r="Z8" i="1"/>
  <c r="Z28" i="1"/>
  <c r="Z18" i="1"/>
  <c r="Z27" i="1"/>
  <c r="Z23" i="1"/>
  <c r="Z19" i="1"/>
  <c r="Z15" i="1"/>
  <c r="Z11" i="1"/>
  <c r="Z7" i="1"/>
  <c r="Z6" i="1"/>
  <c r="Z25" i="1"/>
  <c r="Z21" i="1"/>
  <c r="Z17" i="1"/>
  <c r="Z13" i="1"/>
  <c r="Z9" i="1"/>
  <c r="Z5" i="1"/>
  <c r="Z4" i="1"/>
</calcChain>
</file>

<file path=xl/sharedStrings.xml><?xml version="1.0" encoding="utf-8"?>
<sst xmlns="http://schemas.openxmlformats.org/spreadsheetml/2006/main" count="43" uniqueCount="35">
  <si>
    <t>r [mm]</t>
  </si>
  <si>
    <t>θ [°]</t>
  </si>
  <si>
    <t>Y [mm]</t>
  </si>
  <si>
    <t>Z [mm]</t>
  </si>
  <si>
    <t>calculated</t>
  </si>
  <si>
    <t>control</t>
  </si>
  <si>
    <t>description</t>
  </si>
  <si>
    <t>Legend</t>
  </si>
  <si>
    <t>input data</t>
  </si>
  <si>
    <t>descriptor</t>
  </si>
  <si>
    <t>annotation</t>
  </si>
  <si>
    <r>
      <t>(z component of shaf displacement for loadcase M</t>
    </r>
    <r>
      <rPr>
        <vertAlign val="subscript"/>
        <sz val="11"/>
        <color theme="0" tint="-0.499984740745262"/>
        <rFont val="Aptos Narrow"/>
        <family val="2"/>
        <scheme val="minor"/>
      </rPr>
      <t>Y</t>
    </r>
    <r>
      <rPr>
        <sz val="11"/>
        <color theme="0" tint="-0.499984740745262"/>
        <rFont val="Aptos Narrow"/>
        <family val="2"/>
        <scheme val="minor"/>
      </rPr>
      <t>)</t>
    </r>
  </si>
  <si>
    <r>
      <t>(y component of shaf displacement for loadcase M</t>
    </r>
    <r>
      <rPr>
        <vertAlign val="subscript"/>
        <sz val="11"/>
        <color theme="0" tint="-0.499984740745262"/>
        <rFont val="Aptos Narrow"/>
        <family val="2"/>
        <scheme val="minor"/>
      </rPr>
      <t>Z</t>
    </r>
    <r>
      <rPr>
        <sz val="11"/>
        <color theme="0" tint="-0.499984740745262"/>
        <rFont val="Aptos Narrow"/>
        <family val="2"/>
        <scheme val="minor"/>
      </rPr>
      <t>)</t>
    </r>
  </si>
  <si>
    <t>Warnings legend</t>
  </si>
  <si>
    <t>not allowable</t>
  </si>
  <si>
    <t>near to limit</t>
  </si>
  <si>
    <t>allowable</t>
  </si>
  <si>
    <t>First issue</t>
  </si>
  <si>
    <t>Rev.</t>
  </si>
  <si>
    <t>Date</t>
  </si>
  <si>
    <t>Description</t>
  </si>
  <si>
    <t>Prepared</t>
  </si>
  <si>
    <t>Checked</t>
  </si>
  <si>
    <t>Approved</t>
  </si>
  <si>
    <t>calculated [mm]</t>
  </si>
  <si>
    <t>limit [mm]</t>
  </si>
  <si>
    <r>
      <t>δ</t>
    </r>
    <r>
      <rPr>
        <b/>
        <vertAlign val="subscript"/>
        <sz val="11"/>
        <color theme="0"/>
        <rFont val="Aptos Narrow"/>
        <family val="2"/>
        <scheme val="minor"/>
      </rPr>
      <t>Z</t>
    </r>
  </si>
  <si>
    <r>
      <t>δ</t>
    </r>
    <r>
      <rPr>
        <b/>
        <vertAlign val="subscript"/>
        <sz val="11"/>
        <color theme="0"/>
        <rFont val="Aptos Narrow"/>
        <family val="2"/>
        <scheme val="minor"/>
      </rPr>
      <t>Y</t>
    </r>
  </si>
  <si>
    <r>
      <t>M</t>
    </r>
    <r>
      <rPr>
        <b/>
        <vertAlign val="subscript"/>
        <sz val="18"/>
        <color theme="1"/>
        <rFont val="Aptos Narrow"/>
        <family val="2"/>
        <scheme val="minor"/>
      </rPr>
      <t>y</t>
    </r>
  </si>
  <si>
    <r>
      <t>M</t>
    </r>
    <r>
      <rPr>
        <b/>
        <vertAlign val="subscript"/>
        <sz val="18"/>
        <color theme="1"/>
        <rFont val="Aptos Narrow"/>
        <family val="2"/>
        <scheme val="minor"/>
      </rPr>
      <t>z</t>
    </r>
  </si>
  <si>
    <t>Mod.537-0</t>
  </si>
  <si>
    <t>QA/ HSE - N.Legato/ T.Morelli Stefani</t>
  </si>
  <si>
    <t xml:space="preserve">R&amp;D &amp; Prod.Eng. Manager - M. Borghetti </t>
  </si>
  <si>
    <t>Advance Mechanical Design Manager/F. Cademartori</t>
  </si>
  <si>
    <r>
      <t xml:space="preserve">Automatic stud creation
linked to </t>
    </r>
    <r>
      <rPr>
        <b/>
        <sz val="26"/>
        <rFont val="Arial"/>
        <family val="2"/>
      </rPr>
      <t>SOP-554</t>
    </r>
    <r>
      <rPr>
        <sz val="26"/>
        <rFont val="Arial"/>
        <family val="2"/>
      </rPr>
      <t xml:space="preserve"> Rev.0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</si>
</sst>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&quot;$&quot;#,##0.00;[Red]\-&quot;$&quot;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8"/>
      <color rgb="FF000000"/>
      <name val="Segoe U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808080"/>
      <name val="Calibri"/>
      <family val="2"/>
    </font>
    <font>
      <i/>
      <sz val="11"/>
      <color theme="1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vertAlign val="subscript"/>
      <sz val="11"/>
      <color theme="0" tint="-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8"/>
      <color theme="1"/>
      <name val="Aptos Narrow"/>
      <family val="2"/>
      <scheme val="minor"/>
    </font>
    <font>
      <b/>
      <vertAlign val="subscript"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8" fillId="0" borderId="0"/>
    <xf numFmtId="164" fontId="19" fillId="0" borderId="0"/>
    <xf numFmtId="165" fontId="2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5" fillId="0" borderId="0" xfId="0" quotePrefix="1" applyFont="1" applyAlignment="1">
      <alignment horizontal="center"/>
    </xf>
    <xf numFmtId="0" fontId="15" fillId="0" borderId="0" xfId="0" quotePrefix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3" xfId="2" applyBorder="1" applyAlignment="1">
      <alignment horizontal="center" vertical="center"/>
    </xf>
    <xf numFmtId="0" fontId="18" fillId="0" borderId="4" xfId="2" applyBorder="1" applyAlignment="1">
      <alignment horizontal="center" vertical="center"/>
    </xf>
    <xf numFmtId="0" fontId="18" fillId="0" borderId="5" xfId="2" applyBorder="1" applyAlignment="1">
      <alignment horizontal="center" vertical="center"/>
    </xf>
    <xf numFmtId="164" fontId="19" fillId="0" borderId="0" xfId="3"/>
    <xf numFmtId="0" fontId="18" fillId="0" borderId="6" xfId="2" applyBorder="1" applyAlignment="1">
      <alignment horizontal="center" vertical="center"/>
    </xf>
    <xf numFmtId="0" fontId="18" fillId="0" borderId="0" xfId="2" applyAlignment="1">
      <alignment horizontal="center" vertical="center"/>
    </xf>
    <xf numFmtId="0" fontId="18" fillId="0" borderId="7" xfId="2" applyBorder="1" applyAlignment="1">
      <alignment horizontal="center" vertical="center"/>
    </xf>
    <xf numFmtId="0" fontId="20" fillId="0" borderId="0" xfId="2" applyFont="1" applyAlignment="1">
      <alignment horizontal="center" vertical="top"/>
    </xf>
    <xf numFmtId="0" fontId="18" fillId="0" borderId="0" xfId="2" applyAlignment="1">
      <alignment horizontal="center"/>
    </xf>
    <xf numFmtId="0" fontId="21" fillId="0" borderId="0" xfId="2" applyFont="1" applyAlignment="1">
      <alignment horizontal="center" vertical="top"/>
    </xf>
    <xf numFmtId="0" fontId="22" fillId="0" borderId="7" xfId="2" applyFont="1" applyBorder="1" applyAlignment="1">
      <alignment horizontal="center" vertical="top"/>
    </xf>
    <xf numFmtId="0" fontId="23" fillId="0" borderId="6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3" fillId="0" borderId="7" xfId="2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8" borderId="27" xfId="0" applyFill="1" applyBorder="1"/>
    <xf numFmtId="0" fontId="0" fillId="8" borderId="28" xfId="0" applyFill="1" applyBorder="1"/>
    <xf numFmtId="0" fontId="0" fillId="8" borderId="0" xfId="0" applyFill="1"/>
    <xf numFmtId="0" fontId="0" fillId="8" borderId="29" xfId="0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26" xfId="0" applyFill="1" applyBorder="1"/>
    <xf numFmtId="0" fontId="0" fillId="8" borderId="2" xfId="0" applyFill="1" applyBorder="1"/>
    <xf numFmtId="0" fontId="0" fillId="8" borderId="30" xfId="0" applyFill="1" applyBorder="1"/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7" fillId="8" borderId="2" xfId="0" applyFont="1" applyFill="1" applyBorder="1"/>
    <xf numFmtId="0" fontId="23" fillId="0" borderId="3" xfId="2" applyFont="1" applyBorder="1" applyAlignment="1">
      <alignment horizontal="center" vertical="center" wrapText="1"/>
    </xf>
    <xf numFmtId="0" fontId="23" fillId="0" borderId="4" xfId="2" applyFont="1" applyBorder="1" applyAlignment="1">
      <alignment horizontal="center" vertical="center" wrapText="1"/>
    </xf>
    <xf numFmtId="0" fontId="23" fillId="0" borderId="5" xfId="2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3" fillId="0" borderId="7" xfId="2" applyFont="1" applyBorder="1" applyAlignment="1">
      <alignment horizontal="center" vertical="center" wrapText="1"/>
    </xf>
    <xf numFmtId="0" fontId="23" fillId="0" borderId="8" xfId="2" applyFont="1" applyBorder="1" applyAlignment="1">
      <alignment horizontal="center" vertical="center" wrapText="1"/>
    </xf>
    <xf numFmtId="0" fontId="23" fillId="0" borderId="9" xfId="2" applyFont="1" applyBorder="1" applyAlignment="1">
      <alignment horizontal="center" vertical="center" wrapText="1"/>
    </xf>
    <xf numFmtId="0" fontId="23" fillId="0" borderId="10" xfId="2" applyFont="1" applyBorder="1" applyAlignment="1">
      <alignment horizontal="center" vertical="center" wrapText="1"/>
    </xf>
    <xf numFmtId="0" fontId="18" fillId="0" borderId="11" xfId="2" applyBorder="1" applyAlignment="1">
      <alignment horizontal="center" vertical="center"/>
    </xf>
    <xf numFmtId="0" fontId="18" fillId="0" borderId="12" xfId="2" applyBorder="1" applyAlignment="1">
      <alignment horizontal="center" vertical="center"/>
    </xf>
    <xf numFmtId="0" fontId="18" fillId="0" borderId="13" xfId="2" applyBorder="1" applyAlignment="1">
      <alignment horizontal="center" vertical="center"/>
    </xf>
    <xf numFmtId="0" fontId="18" fillId="0" borderId="14" xfId="2" applyBorder="1" applyAlignment="1">
      <alignment horizontal="center" vertical="center"/>
    </xf>
    <xf numFmtId="0" fontId="18" fillId="0" borderId="15" xfId="2" applyBorder="1" applyAlignment="1">
      <alignment horizontal="center" vertical="center"/>
    </xf>
    <xf numFmtId="0" fontId="18" fillId="0" borderId="18" xfId="2" applyBorder="1" applyAlignment="1">
      <alignment horizontal="center" vertical="center"/>
    </xf>
    <xf numFmtId="0" fontId="18" fillId="0" borderId="19" xfId="2" applyBorder="1" applyAlignment="1">
      <alignment horizontal="center" vertical="center"/>
    </xf>
    <xf numFmtId="0" fontId="18" fillId="0" borderId="20" xfId="2" applyBorder="1" applyAlignment="1">
      <alignment horizontal="center" vertical="center"/>
    </xf>
    <xf numFmtId="0" fontId="18" fillId="0" borderId="16" xfId="2" applyBorder="1" applyAlignment="1">
      <alignment horizontal="center" vertical="center"/>
    </xf>
    <xf numFmtId="0" fontId="18" fillId="0" borderId="17" xfId="2" applyBorder="1" applyAlignment="1">
      <alignment horizontal="center" vertical="center"/>
    </xf>
    <xf numFmtId="0" fontId="25" fillId="0" borderId="18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5" fillId="0" borderId="16" xfId="2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14" fontId="25" fillId="0" borderId="18" xfId="2" applyNumberFormat="1" applyFont="1" applyBorder="1" applyAlignment="1">
      <alignment horizontal="center" vertical="center"/>
    </xf>
    <xf numFmtId="14" fontId="25" fillId="0" borderId="19" xfId="2" applyNumberFormat="1" applyFont="1" applyBorder="1" applyAlignment="1">
      <alignment horizontal="center" vertical="center"/>
    </xf>
    <xf numFmtId="14" fontId="25" fillId="0" borderId="17" xfId="2" applyNumberFormat="1" applyFont="1" applyBorder="1" applyAlignment="1">
      <alignment horizontal="center" vertical="center"/>
    </xf>
    <xf numFmtId="0" fontId="25" fillId="0" borderId="18" xfId="2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 wrapText="1"/>
    </xf>
    <xf numFmtId="165" fontId="18" fillId="0" borderId="21" xfId="4" applyFont="1" applyBorder="1" applyAlignment="1">
      <alignment horizontal="center" vertical="center"/>
    </xf>
    <xf numFmtId="165" fontId="18" fillId="0" borderId="22" xfId="4" applyFont="1" applyBorder="1" applyAlignment="1">
      <alignment horizontal="center" vertical="center"/>
    </xf>
    <xf numFmtId="0" fontId="26" fillId="0" borderId="23" xfId="2" applyFont="1" applyBorder="1" applyAlignment="1">
      <alignment horizontal="center" vertical="center"/>
    </xf>
    <xf numFmtId="0" fontId="26" fillId="0" borderId="24" xfId="2" applyFont="1" applyBorder="1" applyAlignment="1">
      <alignment horizontal="center" vertical="center"/>
    </xf>
    <xf numFmtId="0" fontId="26" fillId="0" borderId="22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0" fontId="27" fillId="8" borderId="33" xfId="0" applyFont="1" applyFill="1" applyBorder="1" applyAlignment="1">
      <alignment horizontal="center" vertical="center" textRotation="90"/>
    </xf>
    <xf numFmtId="0" fontId="27" fillId="8" borderId="34" xfId="0" applyFont="1" applyFill="1" applyBorder="1" applyAlignment="1">
      <alignment horizontal="center" vertical="center" textRotation="90"/>
    </xf>
    <xf numFmtId="0" fontId="27" fillId="8" borderId="35" xfId="0" applyFont="1" applyFill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65" fontId="18" fillId="0" borderId="8" xfId="4" applyFont="1" applyFill="1" applyBorder="1" applyAlignment="1">
      <alignment horizontal="right" vertical="center"/>
    </xf>
    <xf numFmtId="165" fontId="19" fillId="0" borderId="9" xfId="4" applyFont="1" applyFill="1" applyBorder="1" applyAlignment="1">
      <alignment horizontal="right" vertical="center"/>
    </xf>
    <xf numFmtId="165" fontId="19" fillId="0" borderId="10" xfId="4" applyFont="1" applyFill="1" applyBorder="1" applyAlignment="1">
      <alignment horizontal="right" vertical="center"/>
    </xf>
  </cellXfs>
  <cellStyles count="5">
    <cellStyle name="Normale" xfId="0" builtinId="0"/>
    <cellStyle name="Normale 3" xfId="3" xr:uid="{172F61DD-33AF-40B7-ABB7-F96CE82AE346}"/>
    <cellStyle name="Normale 4" xfId="2" xr:uid="{03303CB7-9DB3-442F-9832-E7817B0EE09C}"/>
    <cellStyle name="Percentuale" xfId="1" builtinId="5"/>
    <cellStyle name="Valuta 2" xfId="4" xr:uid="{BF5C13D5-44B8-467F-B537-DAC14C73B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orig</c:v>
          </c:tx>
          <c:spPr>
            <a:ln w="1905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displacement!$V$4:$V$28</c:f>
              <c:numCache>
                <c:formatCode>General</c:formatCode>
                <c:ptCount val="25"/>
                <c:pt idx="0">
                  <c:v>0</c:v>
                </c:pt>
                <c:pt idx="1">
                  <c:v>1.2940952255126037E-2</c:v>
                </c:pt>
                <c:pt idx="2">
                  <c:v>2.4999999999999998E-2</c:v>
                </c:pt>
                <c:pt idx="3">
                  <c:v>3.5355339059327376E-2</c:v>
                </c:pt>
                <c:pt idx="4">
                  <c:v>4.3301270189221933E-2</c:v>
                </c:pt>
                <c:pt idx="5">
                  <c:v>4.829629131445342E-2</c:v>
                </c:pt>
                <c:pt idx="6">
                  <c:v>0.05</c:v>
                </c:pt>
                <c:pt idx="7">
                  <c:v>4.829629131445342E-2</c:v>
                </c:pt>
                <c:pt idx="8">
                  <c:v>4.330127018922194E-2</c:v>
                </c:pt>
                <c:pt idx="9">
                  <c:v>3.5355339059327383E-2</c:v>
                </c:pt>
                <c:pt idx="10">
                  <c:v>2.4999999999999998E-2</c:v>
                </c:pt>
                <c:pt idx="11">
                  <c:v>1.2940952255126051E-2</c:v>
                </c:pt>
                <c:pt idx="12">
                  <c:v>6.1257422745431001E-18</c:v>
                </c:pt>
                <c:pt idx="13">
                  <c:v>-1.294095225512604E-2</c:v>
                </c:pt>
                <c:pt idx="14">
                  <c:v>-2.5000000000000008E-2</c:v>
                </c:pt>
                <c:pt idx="15">
                  <c:v>-3.5355339059327376E-2</c:v>
                </c:pt>
                <c:pt idx="16">
                  <c:v>-4.3301270189221919E-2</c:v>
                </c:pt>
                <c:pt idx="17">
                  <c:v>-4.829629131445342E-2</c:v>
                </c:pt>
                <c:pt idx="18">
                  <c:v>-0.05</c:v>
                </c:pt>
                <c:pt idx="19">
                  <c:v>-4.8296291314453427E-2</c:v>
                </c:pt>
                <c:pt idx="20">
                  <c:v>-4.3301270189221933E-2</c:v>
                </c:pt>
                <c:pt idx="21">
                  <c:v>-3.5355339059327383E-2</c:v>
                </c:pt>
                <c:pt idx="22">
                  <c:v>-2.5000000000000022E-2</c:v>
                </c:pt>
                <c:pt idx="23">
                  <c:v>-1.2940952255126035E-2</c:v>
                </c:pt>
                <c:pt idx="24">
                  <c:v>-1.22514845490862E-17</c:v>
                </c:pt>
              </c:numCache>
            </c:numRef>
          </c:xVal>
          <c:yVal>
            <c:numRef>
              <c:f>displacement!$W$4:$W$28</c:f>
              <c:numCache>
                <c:formatCode>General</c:formatCode>
                <c:ptCount val="25"/>
                <c:pt idx="0">
                  <c:v>0.05</c:v>
                </c:pt>
                <c:pt idx="1">
                  <c:v>4.829629131445342E-2</c:v>
                </c:pt>
                <c:pt idx="2">
                  <c:v>4.330127018922194E-2</c:v>
                </c:pt>
                <c:pt idx="3">
                  <c:v>3.5355339059327383E-2</c:v>
                </c:pt>
                <c:pt idx="4">
                  <c:v>2.5000000000000008E-2</c:v>
                </c:pt>
                <c:pt idx="5">
                  <c:v>1.2940952255126037E-2</c:v>
                </c:pt>
                <c:pt idx="6">
                  <c:v>3.06287113727155E-18</c:v>
                </c:pt>
                <c:pt idx="7">
                  <c:v>-1.2940952255126044E-2</c:v>
                </c:pt>
                <c:pt idx="8">
                  <c:v>-2.4999999999999991E-2</c:v>
                </c:pt>
                <c:pt idx="9">
                  <c:v>-3.5355339059327376E-2</c:v>
                </c:pt>
                <c:pt idx="10">
                  <c:v>-4.330127018922194E-2</c:v>
                </c:pt>
                <c:pt idx="11">
                  <c:v>-4.8296291314453413E-2</c:v>
                </c:pt>
                <c:pt idx="12">
                  <c:v>-0.05</c:v>
                </c:pt>
                <c:pt idx="13">
                  <c:v>-4.829629131445342E-2</c:v>
                </c:pt>
                <c:pt idx="14">
                  <c:v>-4.3301270189221933E-2</c:v>
                </c:pt>
                <c:pt idx="15">
                  <c:v>-3.5355339059327383E-2</c:v>
                </c:pt>
                <c:pt idx="16">
                  <c:v>-2.5000000000000022E-2</c:v>
                </c:pt>
                <c:pt idx="17">
                  <c:v>-1.2940952255126032E-2</c:v>
                </c:pt>
                <c:pt idx="18">
                  <c:v>-9.1886134118146501E-18</c:v>
                </c:pt>
                <c:pt idx="19">
                  <c:v>1.2940952255126016E-2</c:v>
                </c:pt>
                <c:pt idx="20">
                  <c:v>2.5000000000000008E-2</c:v>
                </c:pt>
                <c:pt idx="21">
                  <c:v>3.5355339059327369E-2</c:v>
                </c:pt>
                <c:pt idx="22">
                  <c:v>4.3301270189221919E-2</c:v>
                </c:pt>
                <c:pt idx="23">
                  <c:v>4.829629131445342E-2</c:v>
                </c:pt>
                <c:pt idx="2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2D6-4E9B-9B5B-305F5D36AF73}"/>
            </c:ext>
          </c:extLst>
        </c:ser>
        <c:ser>
          <c:idx val="0"/>
          <c:order val="1"/>
          <c:tx>
            <c:v>def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displacement!$X$4:$X$28</c:f>
              <c:numCache>
                <c:formatCode>General</c:formatCode>
                <c:ptCount val="25"/>
                <c:pt idx="0">
                  <c:v>0</c:v>
                </c:pt>
                <c:pt idx="1">
                  <c:v>1.2940952255126037E-2</c:v>
                </c:pt>
                <c:pt idx="2">
                  <c:v>2.4999999999999998E-2</c:v>
                </c:pt>
                <c:pt idx="3">
                  <c:v>3.5355339059327376E-2</c:v>
                </c:pt>
                <c:pt idx="4">
                  <c:v>4.3301270189221933E-2</c:v>
                </c:pt>
                <c:pt idx="5">
                  <c:v>4.829629131445342E-2</c:v>
                </c:pt>
                <c:pt idx="6">
                  <c:v>0.05</c:v>
                </c:pt>
                <c:pt idx="7">
                  <c:v>4.829629131445342E-2</c:v>
                </c:pt>
                <c:pt idx="8">
                  <c:v>4.330127018922194E-2</c:v>
                </c:pt>
                <c:pt idx="9">
                  <c:v>3.5355339059327383E-2</c:v>
                </c:pt>
                <c:pt idx="10">
                  <c:v>2.4999999999999998E-2</c:v>
                </c:pt>
                <c:pt idx="11">
                  <c:v>1.2940952255126051E-2</c:v>
                </c:pt>
                <c:pt idx="12">
                  <c:v>6.1257422745431001E-18</c:v>
                </c:pt>
                <c:pt idx="13">
                  <c:v>-1.294095225512604E-2</c:v>
                </c:pt>
                <c:pt idx="14">
                  <c:v>-2.5000000000000008E-2</c:v>
                </c:pt>
                <c:pt idx="15">
                  <c:v>-3.5355339059327376E-2</c:v>
                </c:pt>
                <c:pt idx="16">
                  <c:v>-4.3301270189221919E-2</c:v>
                </c:pt>
                <c:pt idx="17">
                  <c:v>-4.829629131445342E-2</c:v>
                </c:pt>
                <c:pt idx="18">
                  <c:v>-0.05</c:v>
                </c:pt>
                <c:pt idx="19">
                  <c:v>-4.8296291314453427E-2</c:v>
                </c:pt>
                <c:pt idx="20">
                  <c:v>-4.3301270189221933E-2</c:v>
                </c:pt>
                <c:pt idx="21">
                  <c:v>-3.5355339059327383E-2</c:v>
                </c:pt>
                <c:pt idx="22">
                  <c:v>-2.5000000000000022E-2</c:v>
                </c:pt>
                <c:pt idx="23">
                  <c:v>-1.2940952255126035E-2</c:v>
                </c:pt>
                <c:pt idx="24">
                  <c:v>-1.22514845490862E-17</c:v>
                </c:pt>
              </c:numCache>
            </c:numRef>
          </c:xVal>
          <c:yVal>
            <c:numRef>
              <c:f>displacement!$Y$4:$Y$28</c:f>
              <c:numCache>
                <c:formatCode>General</c:formatCode>
                <c:ptCount val="25"/>
                <c:pt idx="0">
                  <c:v>9.7299999999999998E-2</c:v>
                </c:pt>
                <c:pt idx="1">
                  <c:v>9.5596291314453408E-2</c:v>
                </c:pt>
                <c:pt idx="2">
                  <c:v>9.0601270189221927E-2</c:v>
                </c:pt>
                <c:pt idx="3">
                  <c:v>8.2655339059327371E-2</c:v>
                </c:pt>
                <c:pt idx="4">
                  <c:v>7.2300000000000003E-2</c:v>
                </c:pt>
                <c:pt idx="5">
                  <c:v>6.0240952255126032E-2</c:v>
                </c:pt>
                <c:pt idx="6">
                  <c:v>4.7299999999999995E-2</c:v>
                </c:pt>
                <c:pt idx="7">
                  <c:v>3.4359047744873951E-2</c:v>
                </c:pt>
                <c:pt idx="8">
                  <c:v>2.2300000000000004E-2</c:v>
                </c:pt>
                <c:pt idx="9">
                  <c:v>1.1944660940672619E-2</c:v>
                </c:pt>
                <c:pt idx="10">
                  <c:v>3.9987298107780553E-3</c:v>
                </c:pt>
                <c:pt idx="11">
                  <c:v>-9.9629131445341801E-4</c:v>
                </c:pt>
                <c:pt idx="12">
                  <c:v>-2.7000000000000079E-3</c:v>
                </c:pt>
                <c:pt idx="13">
                  <c:v>-9.9629131445342495E-4</c:v>
                </c:pt>
                <c:pt idx="14">
                  <c:v>3.9987298107780622E-3</c:v>
                </c:pt>
                <c:pt idx="15">
                  <c:v>1.1944660940672612E-2</c:v>
                </c:pt>
                <c:pt idx="16">
                  <c:v>2.2299999999999973E-2</c:v>
                </c:pt>
                <c:pt idx="17">
                  <c:v>3.4359047744873965E-2</c:v>
                </c:pt>
                <c:pt idx="18">
                  <c:v>4.7299999999999988E-2</c:v>
                </c:pt>
                <c:pt idx="19">
                  <c:v>6.0240952255126011E-2</c:v>
                </c:pt>
                <c:pt idx="20">
                  <c:v>7.2300000000000003E-2</c:v>
                </c:pt>
                <c:pt idx="21">
                  <c:v>8.2655339059327371E-2</c:v>
                </c:pt>
                <c:pt idx="22">
                  <c:v>9.0601270189221914E-2</c:v>
                </c:pt>
                <c:pt idx="23">
                  <c:v>9.5596291314453408E-2</c:v>
                </c:pt>
                <c:pt idx="24">
                  <c:v>9.7299999999999998E-2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2D6-4E9B-9B5B-305F5D36AF73}"/>
            </c:ext>
          </c:extLst>
        </c:ser>
        <c:ser>
          <c:idx val="4"/>
          <c:order val="2"/>
          <c:tx>
            <c:v>dx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displacement!$AC$10:$AC$11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displacement!$AD$10:$AD$11</c:f>
              <c:numCache>
                <c:formatCode>General</c:formatCode>
                <c:ptCount val="2"/>
                <c:pt idx="0">
                  <c:v>3.7299999999999993E-2</c:v>
                </c:pt>
                <c:pt idx="1">
                  <c:v>5.7299999999999997E-2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2D6-4E9B-9B5B-305F5D36AF73}"/>
            </c:ext>
          </c:extLst>
        </c:ser>
        <c:ser>
          <c:idx val="5"/>
          <c:order val="3"/>
          <c:tx>
            <c:v>dy</c:v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displacement!$AC$12:$AC$13</c:f>
              <c:numCache>
                <c:formatCode>General</c:formatCode>
                <c:ptCount val="2"/>
                <c:pt idx="0">
                  <c:v>-0.01</c:v>
                </c:pt>
                <c:pt idx="1">
                  <c:v>0.01</c:v>
                </c:pt>
              </c:numCache>
            </c:numRef>
          </c:xVal>
          <c:yVal>
            <c:numRef>
              <c:f>displacement!$AD$12:$AD$13</c:f>
              <c:numCache>
                <c:formatCode>General</c:formatCode>
                <c:ptCount val="2"/>
                <c:pt idx="0">
                  <c:v>4.7299999999999995E-2</c:v>
                </c:pt>
                <c:pt idx="1">
                  <c:v>4.7299999999999995E-2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2D6-4E9B-9B5B-305F5D36AF73}"/>
            </c:ext>
          </c:extLst>
        </c:ser>
        <c:ser>
          <c:idx val="2"/>
          <c:order val="4"/>
          <c:tx>
            <c:v>max allowable</c:v>
          </c:tx>
          <c:spPr>
            <a:ln w="19050">
              <a:solidFill>
                <a:srgbClr val="00B0F0"/>
              </a:solidFill>
              <a:prstDash val="dashDot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0.12974749999999999"/>
                  <c:y val="-0.132291666666666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vertOverflow="clip" horzOverflow="clip" wrap="none" lIns="38100" tIns="19050" rIns="38100" bIns="19050" anchor="ctr">
                  <a:spAutoFit/>
                </a:bodyPr>
                <a:lstStyle/>
                <a:p>
                  <a:pPr>
                    <a:defRPr sz="14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DABC-4420-AE04-BD2DEF5F9D3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displacement!$AC$4:$AC$5</c:f>
              <c:numCache>
                <c:formatCode>General</c:formatCode>
                <c:ptCount val="2"/>
                <c:pt idx="0">
                  <c:v>-0.3</c:v>
                </c:pt>
                <c:pt idx="1">
                  <c:v>0.3</c:v>
                </c:pt>
              </c:numCache>
            </c:numRef>
          </c:xVal>
          <c:yVal>
            <c:numRef>
              <c:f>displacement!$AD$4:$AD$5</c:f>
              <c:numCache>
                <c:formatCode>General</c:formatCode>
                <c:ptCount val="2"/>
                <c:pt idx="0">
                  <c:v>0.17499999999999999</c:v>
                </c:pt>
                <c:pt idx="1">
                  <c:v>0.17499999999999999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2D6-4E9B-9B5B-305F5D36A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224207"/>
        <c:axId val="1917352607"/>
      </c:scatterChart>
      <c:valAx>
        <c:axId val="469224207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7352607"/>
        <c:crosses val="autoZero"/>
        <c:crossBetween val="midCat"/>
        <c:majorUnit val="0.1"/>
      </c:valAx>
      <c:valAx>
        <c:axId val="1917352607"/>
        <c:scaling>
          <c:orientation val="minMax"/>
          <c:max val="0.4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9224207"/>
        <c:crosses val="autoZero"/>
        <c:crossBetween val="midCat"/>
        <c:majorUnit val="0.1"/>
      </c:valAx>
    </c:plotArea>
    <c:plotVisOnly val="0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orig</c:v>
          </c:tx>
          <c:spPr>
            <a:ln w="1905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displacement!$V$4:$V$28</c:f>
              <c:numCache>
                <c:formatCode>General</c:formatCode>
                <c:ptCount val="25"/>
                <c:pt idx="0">
                  <c:v>0</c:v>
                </c:pt>
                <c:pt idx="1">
                  <c:v>1.2940952255126037E-2</c:v>
                </c:pt>
                <c:pt idx="2">
                  <c:v>2.4999999999999998E-2</c:v>
                </c:pt>
                <c:pt idx="3">
                  <c:v>3.5355339059327376E-2</c:v>
                </c:pt>
                <c:pt idx="4">
                  <c:v>4.3301270189221933E-2</c:v>
                </c:pt>
                <c:pt idx="5">
                  <c:v>4.829629131445342E-2</c:v>
                </c:pt>
                <c:pt idx="6">
                  <c:v>0.05</c:v>
                </c:pt>
                <c:pt idx="7">
                  <c:v>4.829629131445342E-2</c:v>
                </c:pt>
                <c:pt idx="8">
                  <c:v>4.330127018922194E-2</c:v>
                </c:pt>
                <c:pt idx="9">
                  <c:v>3.5355339059327383E-2</c:v>
                </c:pt>
                <c:pt idx="10">
                  <c:v>2.4999999999999998E-2</c:v>
                </c:pt>
                <c:pt idx="11">
                  <c:v>1.2940952255126051E-2</c:v>
                </c:pt>
                <c:pt idx="12">
                  <c:v>6.1257422745431001E-18</c:v>
                </c:pt>
                <c:pt idx="13">
                  <c:v>-1.294095225512604E-2</c:v>
                </c:pt>
                <c:pt idx="14">
                  <c:v>-2.5000000000000008E-2</c:v>
                </c:pt>
                <c:pt idx="15">
                  <c:v>-3.5355339059327376E-2</c:v>
                </c:pt>
                <c:pt idx="16">
                  <c:v>-4.3301270189221919E-2</c:v>
                </c:pt>
                <c:pt idx="17">
                  <c:v>-4.829629131445342E-2</c:v>
                </c:pt>
                <c:pt idx="18">
                  <c:v>-0.05</c:v>
                </c:pt>
                <c:pt idx="19">
                  <c:v>-4.8296291314453427E-2</c:v>
                </c:pt>
                <c:pt idx="20">
                  <c:v>-4.3301270189221933E-2</c:v>
                </c:pt>
                <c:pt idx="21">
                  <c:v>-3.5355339059327383E-2</c:v>
                </c:pt>
                <c:pt idx="22">
                  <c:v>-2.5000000000000022E-2</c:v>
                </c:pt>
                <c:pt idx="23">
                  <c:v>-1.2940952255126035E-2</c:v>
                </c:pt>
                <c:pt idx="24">
                  <c:v>-1.22514845490862E-17</c:v>
                </c:pt>
              </c:numCache>
            </c:numRef>
          </c:xVal>
          <c:yVal>
            <c:numRef>
              <c:f>displacement!$W$4:$W$28</c:f>
              <c:numCache>
                <c:formatCode>General</c:formatCode>
                <c:ptCount val="25"/>
                <c:pt idx="0">
                  <c:v>0.05</c:v>
                </c:pt>
                <c:pt idx="1">
                  <c:v>4.829629131445342E-2</c:v>
                </c:pt>
                <c:pt idx="2">
                  <c:v>4.330127018922194E-2</c:v>
                </c:pt>
                <c:pt idx="3">
                  <c:v>3.5355339059327383E-2</c:v>
                </c:pt>
                <c:pt idx="4">
                  <c:v>2.5000000000000008E-2</c:v>
                </c:pt>
                <c:pt idx="5">
                  <c:v>1.2940952255126037E-2</c:v>
                </c:pt>
                <c:pt idx="6">
                  <c:v>3.06287113727155E-18</c:v>
                </c:pt>
                <c:pt idx="7">
                  <c:v>-1.2940952255126044E-2</c:v>
                </c:pt>
                <c:pt idx="8">
                  <c:v>-2.4999999999999991E-2</c:v>
                </c:pt>
                <c:pt idx="9">
                  <c:v>-3.5355339059327376E-2</c:v>
                </c:pt>
                <c:pt idx="10">
                  <c:v>-4.330127018922194E-2</c:v>
                </c:pt>
                <c:pt idx="11">
                  <c:v>-4.8296291314453413E-2</c:v>
                </c:pt>
                <c:pt idx="12">
                  <c:v>-0.05</c:v>
                </c:pt>
                <c:pt idx="13">
                  <c:v>-4.829629131445342E-2</c:v>
                </c:pt>
                <c:pt idx="14">
                  <c:v>-4.3301270189221933E-2</c:v>
                </c:pt>
                <c:pt idx="15">
                  <c:v>-3.5355339059327383E-2</c:v>
                </c:pt>
                <c:pt idx="16">
                  <c:v>-2.5000000000000022E-2</c:v>
                </c:pt>
                <c:pt idx="17">
                  <c:v>-1.2940952255126032E-2</c:v>
                </c:pt>
                <c:pt idx="18">
                  <c:v>-9.1886134118146501E-18</c:v>
                </c:pt>
                <c:pt idx="19">
                  <c:v>1.2940952255126016E-2</c:v>
                </c:pt>
                <c:pt idx="20">
                  <c:v>2.5000000000000008E-2</c:v>
                </c:pt>
                <c:pt idx="21">
                  <c:v>3.5355339059327369E-2</c:v>
                </c:pt>
                <c:pt idx="22">
                  <c:v>4.3301270189221919E-2</c:v>
                </c:pt>
                <c:pt idx="23">
                  <c:v>4.829629131445342E-2</c:v>
                </c:pt>
                <c:pt idx="2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75-43A5-9CA3-A716AD4EB92C}"/>
            </c:ext>
          </c:extLst>
        </c:ser>
        <c:ser>
          <c:idx val="0"/>
          <c:order val="1"/>
          <c:tx>
            <c:v>def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displacement!$Z$4:$Z$28</c:f>
              <c:numCache>
                <c:formatCode>General</c:formatCode>
                <c:ptCount val="25"/>
                <c:pt idx="0">
                  <c:v>-5.5500000000000001E-2</c:v>
                </c:pt>
                <c:pt idx="1">
                  <c:v>-4.2559047744873964E-2</c:v>
                </c:pt>
                <c:pt idx="2">
                  <c:v>-3.0500000000000003E-2</c:v>
                </c:pt>
                <c:pt idx="3">
                  <c:v>-2.0144660940672625E-2</c:v>
                </c:pt>
                <c:pt idx="4">
                  <c:v>-1.2198729810778068E-2</c:v>
                </c:pt>
                <c:pt idx="5">
                  <c:v>-7.2037086855465809E-3</c:v>
                </c:pt>
                <c:pt idx="6">
                  <c:v>-5.4999999999999979E-3</c:v>
                </c:pt>
                <c:pt idx="7">
                  <c:v>-7.2037086855465809E-3</c:v>
                </c:pt>
                <c:pt idx="8">
                  <c:v>-1.2198729810778061E-2</c:v>
                </c:pt>
                <c:pt idx="9">
                  <c:v>-2.0144660940672618E-2</c:v>
                </c:pt>
                <c:pt idx="10">
                  <c:v>-3.0500000000000003E-2</c:v>
                </c:pt>
                <c:pt idx="11">
                  <c:v>-4.255904774487395E-2</c:v>
                </c:pt>
                <c:pt idx="12">
                  <c:v>-5.5499999999999994E-2</c:v>
                </c:pt>
                <c:pt idx="13">
                  <c:v>-6.8440952255126045E-2</c:v>
                </c:pt>
                <c:pt idx="14">
                  <c:v>-8.0500000000000016E-2</c:v>
                </c:pt>
                <c:pt idx="15">
                  <c:v>-9.0855339059327384E-2</c:v>
                </c:pt>
                <c:pt idx="16">
                  <c:v>-9.8801270189221913E-2</c:v>
                </c:pt>
                <c:pt idx="17">
                  <c:v>-0.10379629131445342</c:v>
                </c:pt>
                <c:pt idx="18">
                  <c:v>-0.10550000000000001</c:v>
                </c:pt>
                <c:pt idx="19">
                  <c:v>-0.10379629131445342</c:v>
                </c:pt>
                <c:pt idx="20">
                  <c:v>-9.880127018922194E-2</c:v>
                </c:pt>
                <c:pt idx="21">
                  <c:v>-9.0855339059327384E-2</c:v>
                </c:pt>
                <c:pt idx="22">
                  <c:v>-8.0500000000000016E-2</c:v>
                </c:pt>
                <c:pt idx="23">
                  <c:v>-6.8440952255126031E-2</c:v>
                </c:pt>
                <c:pt idx="24">
                  <c:v>-5.5500000000000015E-2</c:v>
                </c:pt>
              </c:numCache>
            </c:numRef>
          </c:xVal>
          <c:yVal>
            <c:numRef>
              <c:f>displacement!$AA$4:$AA$28</c:f>
              <c:numCache>
                <c:formatCode>General</c:formatCode>
                <c:ptCount val="25"/>
                <c:pt idx="0">
                  <c:v>0.05</c:v>
                </c:pt>
                <c:pt idx="1">
                  <c:v>4.829629131445342E-2</c:v>
                </c:pt>
                <c:pt idx="2">
                  <c:v>4.330127018922194E-2</c:v>
                </c:pt>
                <c:pt idx="3">
                  <c:v>3.5355339059327383E-2</c:v>
                </c:pt>
                <c:pt idx="4">
                  <c:v>2.5000000000000008E-2</c:v>
                </c:pt>
                <c:pt idx="5">
                  <c:v>1.2940952255126037E-2</c:v>
                </c:pt>
                <c:pt idx="6">
                  <c:v>3.06287113727155E-18</c:v>
                </c:pt>
                <c:pt idx="7">
                  <c:v>-1.2940952255126044E-2</c:v>
                </c:pt>
                <c:pt idx="8">
                  <c:v>-2.4999999999999991E-2</c:v>
                </c:pt>
                <c:pt idx="9">
                  <c:v>-3.5355339059327376E-2</c:v>
                </c:pt>
                <c:pt idx="10">
                  <c:v>-4.330127018922194E-2</c:v>
                </c:pt>
                <c:pt idx="11">
                  <c:v>-4.8296291314453413E-2</c:v>
                </c:pt>
                <c:pt idx="12">
                  <c:v>-0.05</c:v>
                </c:pt>
                <c:pt idx="13">
                  <c:v>-4.829629131445342E-2</c:v>
                </c:pt>
                <c:pt idx="14">
                  <c:v>-4.3301270189221933E-2</c:v>
                </c:pt>
                <c:pt idx="15">
                  <c:v>-3.5355339059327383E-2</c:v>
                </c:pt>
                <c:pt idx="16">
                  <c:v>-2.5000000000000022E-2</c:v>
                </c:pt>
                <c:pt idx="17">
                  <c:v>-1.2940952255126032E-2</c:v>
                </c:pt>
                <c:pt idx="18">
                  <c:v>-9.1886134118146501E-18</c:v>
                </c:pt>
                <c:pt idx="19">
                  <c:v>1.2940952255126016E-2</c:v>
                </c:pt>
                <c:pt idx="20">
                  <c:v>2.5000000000000008E-2</c:v>
                </c:pt>
                <c:pt idx="21">
                  <c:v>3.5355339059327369E-2</c:v>
                </c:pt>
                <c:pt idx="22">
                  <c:v>4.3301270189221919E-2</c:v>
                </c:pt>
                <c:pt idx="23">
                  <c:v>4.829629131445342E-2</c:v>
                </c:pt>
                <c:pt idx="2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75-43A5-9CA3-A716AD4EB92C}"/>
            </c:ext>
          </c:extLst>
        </c:ser>
        <c:ser>
          <c:idx val="4"/>
          <c:order val="2"/>
          <c:tx>
            <c:v>dy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displacement!$AC$14:$AC$15</c:f>
              <c:numCache>
                <c:formatCode>General</c:formatCode>
                <c:ptCount val="2"/>
                <c:pt idx="0">
                  <c:v>-5.5500000000000001E-2</c:v>
                </c:pt>
                <c:pt idx="1">
                  <c:v>-5.5500000000000001E-2</c:v>
                </c:pt>
              </c:numCache>
            </c:numRef>
          </c:xVal>
          <c:yVal>
            <c:numRef>
              <c:f>displacement!$AD$14:$AD$15</c:f>
              <c:numCache>
                <c:formatCode>General</c:formatCode>
                <c:ptCount val="2"/>
                <c:pt idx="0">
                  <c:v>-0.01</c:v>
                </c:pt>
                <c:pt idx="1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75-43A5-9CA3-A716AD4EB92C}"/>
            </c:ext>
          </c:extLst>
        </c:ser>
        <c:ser>
          <c:idx val="5"/>
          <c:order val="3"/>
          <c:tx>
            <c:v>dz</c:v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displacement!$AC$16:$AC$17</c:f>
              <c:numCache>
                <c:formatCode>General</c:formatCode>
                <c:ptCount val="2"/>
                <c:pt idx="0">
                  <c:v>-6.5500000000000003E-2</c:v>
                </c:pt>
                <c:pt idx="1">
                  <c:v>-4.5499999999999999E-2</c:v>
                </c:pt>
              </c:numCache>
            </c:numRef>
          </c:xVal>
          <c:yVal>
            <c:numRef>
              <c:f>displacement!$AD$16:$AD$17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75-43A5-9CA3-A716AD4EB92C}"/>
            </c:ext>
          </c:extLst>
        </c:ser>
        <c:ser>
          <c:idx val="2"/>
          <c:order val="4"/>
          <c:tx>
            <c:v>max allowable</c:v>
          </c:tx>
          <c:spPr>
            <a:ln w="19050">
              <a:solidFill>
                <a:srgbClr val="00B0F0"/>
              </a:solidFill>
              <a:prstDash val="dashDot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0.45508333333333334"/>
                  <c:y val="7.76111111111110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vertOverflow="clip" horzOverflow="clip" wrap="none" lIns="38100" tIns="19050" rIns="38100" bIns="19050" anchor="ctr">
                  <a:spAutoFit/>
                </a:bodyPr>
                <a:lstStyle/>
                <a:p>
                  <a:pPr>
                    <a:defRPr sz="140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defRPr>
                  </a:pPr>
                  <a:endParaRPr lang="it-IT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F650-47F5-B8FC-B7096CB0A52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displacement!$AC$6:$AC$7</c:f>
              <c:numCache>
                <c:formatCode>General</c:formatCode>
                <c:ptCount val="2"/>
                <c:pt idx="0">
                  <c:v>-7.4999999999999997E-2</c:v>
                </c:pt>
                <c:pt idx="1">
                  <c:v>-7.4999999999999997E-2</c:v>
                </c:pt>
              </c:numCache>
            </c:numRef>
          </c:xVal>
          <c:yVal>
            <c:numRef>
              <c:f>displacement!$AD$6:$AD$7</c:f>
              <c:numCache>
                <c:formatCode>General</c:formatCode>
                <c:ptCount val="2"/>
                <c:pt idx="0">
                  <c:v>-0.3</c:v>
                </c:pt>
                <c:pt idx="1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75-43A5-9CA3-A716AD4EB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224207"/>
        <c:axId val="1917352607"/>
      </c:scatterChart>
      <c:valAx>
        <c:axId val="469224207"/>
        <c:scaling>
          <c:orientation val="minMax"/>
          <c:max val="0.2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17352607"/>
        <c:crosses val="autoZero"/>
        <c:crossBetween val="midCat"/>
        <c:majorUnit val="0.1"/>
      </c:valAx>
      <c:valAx>
        <c:axId val="1917352607"/>
        <c:scaling>
          <c:orientation val="minMax"/>
          <c:max val="0.30000000000000004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9224207"/>
        <c:crosses val="autoZero"/>
        <c:crossBetween val="midCat"/>
        <c:majorUnit val="0.1"/>
      </c:valAx>
    </c:plotArea>
    <c:plotVisOnly val="0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$AC$2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25921B08-E94E-4D52-991B-0F281123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28</xdr:row>
      <xdr:rowOff>152400</xdr:rowOff>
    </xdr:from>
    <xdr:to>
      <xdr:col>29</xdr:col>
      <xdr:colOff>19050</xdr:colOff>
      <xdr:row>38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3F009F-CF75-4998-959A-6C518E42DA9A}"/>
            </a:ext>
          </a:extLst>
        </xdr:cNvPr>
        <xdr:cNvSpPr txBox="1"/>
      </xdr:nvSpPr>
      <xdr:spPr>
        <a:xfrm>
          <a:off x="95250" y="5486400"/>
          <a:ext cx="6276975" cy="1781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 b="0" u="none"/>
            <a:t>This worksheet</a:t>
          </a:r>
          <a:r>
            <a:rPr lang="en-US" sz="1100" b="0" u="none" baseline="0"/>
            <a:t> v</a:t>
          </a:r>
          <a:r>
            <a:rPr lang="en-US" sz="1100" b="0" u="none"/>
            <a:t>erify</a:t>
          </a:r>
          <a:r>
            <a:rPr lang="en-US" sz="1100" b="0" u="none" baseline="0"/>
            <a:t> the accordance with API 610 12</a:t>
          </a:r>
          <a:r>
            <a:rPr lang="en-US" sz="1100" b="0" u="none" baseline="30000"/>
            <a:t>th</a:t>
          </a:r>
          <a:r>
            <a:rPr lang="en-US" sz="1100" b="0" u="none" baseline="0"/>
            <a:t> edition </a:t>
          </a:r>
          <a:r>
            <a:rPr lang="it-IT" sz="1100" b="0" u="none" baseline="0"/>
            <a:t>Stiffness Acceptance Test Criteria</a:t>
          </a:r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"displacement"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Compare calculated displacements with allowable limits of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 610 12</a:t>
          </a:r>
          <a:r>
            <a:rPr lang="en-US" sz="1100" b="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edition </a:t>
          </a: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13 Stiffness Acceptance Test Criteria</a:t>
          </a:r>
          <a:endParaRPr lang="it-IT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</xdr:colOff>
      <xdr:row>6</xdr:row>
      <xdr:rowOff>9525</xdr:rowOff>
    </xdr:from>
    <xdr:to>
      <xdr:col>7</xdr:col>
      <xdr:colOff>528187</xdr:colOff>
      <xdr:row>24</xdr:row>
      <xdr:rowOff>180525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230C6CD-4B08-2677-B063-BF3124A74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128587</xdr:colOff>
      <xdr:row>25</xdr:row>
      <xdr:rowOff>9525</xdr:rowOff>
    </xdr:from>
    <xdr:to>
      <xdr:col>7</xdr:col>
      <xdr:colOff>528187</xdr:colOff>
      <xdr:row>43</xdr:row>
      <xdr:rowOff>180525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FE530CD3-9E75-4A99-8347-26B3FF367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</xdr:row>
          <xdr:rowOff>0</xdr:rowOff>
        </xdr:from>
        <xdr:to>
          <xdr:col>10</xdr:col>
          <xdr:colOff>0</xdr:colOff>
          <xdr:row>5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baseplate intended for grouting</a:t>
              </a:r>
            </a:p>
          </xdr:txBody>
        </xdr:sp>
        <xdr:clientData/>
      </xdr:twoCellAnchor>
    </mc:Choice>
    <mc:Fallback/>
  </mc:AlternateContent>
  <xdr:twoCellAnchor editAs="absolute">
    <xdr:from>
      <xdr:col>14</xdr:col>
      <xdr:colOff>0</xdr:colOff>
      <xdr:row>6</xdr:row>
      <xdr:rowOff>0</xdr:rowOff>
    </xdr:from>
    <xdr:to>
      <xdr:col>19</xdr:col>
      <xdr:colOff>1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9A2835-20BE-485C-A1DB-93BE4AF43C77}"/>
            </a:ext>
          </a:extLst>
        </xdr:cNvPr>
        <xdr:cNvSpPr txBox="1"/>
      </xdr:nvSpPr>
      <xdr:spPr>
        <a:xfrm>
          <a:off x="7848600" y="1390650"/>
          <a:ext cx="2933701" cy="1905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INSTRUCTIONS:</a:t>
          </a:r>
        </a:p>
        <a:p>
          <a:r>
            <a:rPr lang="en-US" sz="1100" b="0" u="none"/>
            <a:t>1)</a:t>
          </a:r>
          <a:r>
            <a:rPr lang="en-US" sz="1100" b="0" u="none" baseline="0"/>
            <a:t> calculate from FEA model (or measure from experimental tests) the absolute shaft end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displacement in Z direction for My loadcase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from FEA model (or measure from experimental tests) the absolute shaft end displacement in Y direction for Mz loadcase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select if grouted/non grouted baseplate configuration.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verify if calculated displacemts are allowable</a:t>
          </a:r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  <xdr:twoCellAnchor editAs="oneCell">
    <xdr:from>
      <xdr:col>8</xdr:col>
      <xdr:colOff>137856</xdr:colOff>
      <xdr:row>6</xdr:row>
      <xdr:rowOff>66675</xdr:rowOff>
    </xdr:from>
    <xdr:to>
      <xdr:col>12</xdr:col>
      <xdr:colOff>503256</xdr:colOff>
      <xdr:row>24</xdr:row>
      <xdr:rowOff>133562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C15FE16-55AD-552B-F64F-31B47655E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81281" y="1457325"/>
          <a:ext cx="2880000" cy="3495887"/>
        </a:xfrm>
        <a:prstGeom prst="rect">
          <a:avLst/>
        </a:prstGeom>
      </xdr:spPr>
    </xdr:pic>
    <xdr:clientData/>
  </xdr:twoCellAnchor>
  <xdr:twoCellAnchor editAs="oneCell">
    <xdr:from>
      <xdr:col>8</xdr:col>
      <xdr:colOff>137856</xdr:colOff>
      <xdr:row>25</xdr:row>
      <xdr:rowOff>66675</xdr:rowOff>
    </xdr:from>
    <xdr:to>
      <xdr:col>12</xdr:col>
      <xdr:colOff>503256</xdr:colOff>
      <xdr:row>43</xdr:row>
      <xdr:rowOff>133562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4A3C76B-66E2-4D65-A460-B013DB79A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3221" y="5085617"/>
          <a:ext cx="2871208" cy="3495887"/>
        </a:xfrm>
        <a:prstGeom prst="rect">
          <a:avLst/>
        </a:prstGeom>
      </xdr:spPr>
    </xdr:pic>
    <xdr:clientData/>
  </xdr:twoCellAnchor>
  <xdr:twoCellAnchor>
    <xdr:from>
      <xdr:col>11</xdr:col>
      <xdr:colOff>294707</xdr:colOff>
      <xdr:row>16</xdr:row>
      <xdr:rowOff>53731</xdr:rowOff>
    </xdr:from>
    <xdr:to>
      <xdr:col>11</xdr:col>
      <xdr:colOff>586155</xdr:colOff>
      <xdr:row>19</xdr:row>
      <xdr:rowOff>85481</xdr:rowOff>
    </xdr:to>
    <xdr:sp macro="" textlink="">
      <xdr:nvSpPr>
        <xdr:cNvPr id="7" name="Arco 6">
          <a:extLst>
            <a:ext uri="{FF2B5EF4-FFF2-40B4-BE49-F238E27FC236}">
              <a16:creationId xmlns:a16="http://schemas.microsoft.com/office/drawing/2014/main" id="{49F1A91B-6F00-53B6-9CBD-8770CDE4FCA4}"/>
            </a:ext>
          </a:extLst>
        </xdr:cNvPr>
        <xdr:cNvSpPr/>
      </xdr:nvSpPr>
      <xdr:spPr>
        <a:xfrm>
          <a:off x="6727745" y="3358173"/>
          <a:ext cx="291448" cy="603250"/>
        </a:xfrm>
        <a:prstGeom prst="arc">
          <a:avLst>
            <a:gd name="adj1" fmla="val 12053829"/>
            <a:gd name="adj2" fmla="val 8566527"/>
          </a:avLst>
        </a:prstGeom>
        <a:ln w="28575">
          <a:solidFill>
            <a:srgbClr val="FF0000"/>
          </a:solidFill>
          <a:headEnd type="triangl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12</xdr:col>
      <xdr:colOff>139212</xdr:colOff>
      <xdr:row>9</xdr:row>
      <xdr:rowOff>183174</xdr:rowOff>
    </xdr:from>
    <xdr:to>
      <xdr:col>12</xdr:col>
      <xdr:colOff>139212</xdr:colOff>
      <xdr:row>11</xdr:row>
      <xdr:rowOff>162174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3ABE3CD2-7DEF-5200-2BE2-0147B9CC7320}"/>
            </a:ext>
          </a:extLst>
        </xdr:cNvPr>
        <xdr:cNvCxnSpPr/>
      </xdr:nvCxnSpPr>
      <xdr:spPr>
        <a:xfrm flipV="1">
          <a:off x="7180385" y="2154116"/>
          <a:ext cx="0" cy="360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446943</xdr:colOff>
      <xdr:row>30</xdr:row>
      <xdr:rowOff>36635</xdr:rowOff>
    </xdr:from>
    <xdr:to>
      <xdr:col>12</xdr:col>
      <xdr:colOff>94627</xdr:colOff>
      <xdr:row>30</xdr:row>
      <xdr:rowOff>175113</xdr:rowOff>
    </xdr:to>
    <xdr:cxnSp macro="">
      <xdr:nvCxnSpPr>
        <xdr:cNvPr id="11" name="Connettore 2 10">
          <a:extLst>
            <a:ext uri="{FF2B5EF4-FFF2-40B4-BE49-F238E27FC236}">
              <a16:creationId xmlns:a16="http://schemas.microsoft.com/office/drawing/2014/main" id="{349FEC0F-AC68-4968-B5BD-96CAA5BB8C0A}"/>
            </a:ext>
          </a:extLst>
        </xdr:cNvPr>
        <xdr:cNvCxnSpPr/>
      </xdr:nvCxnSpPr>
      <xdr:spPr>
        <a:xfrm flipH="1" flipV="1">
          <a:off x="6879981" y="6008077"/>
          <a:ext cx="255819" cy="13847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503471</xdr:colOff>
      <xdr:row>27</xdr:row>
      <xdr:rowOff>166199</xdr:rowOff>
    </xdr:from>
    <xdr:to>
      <xdr:col>10</xdr:col>
      <xdr:colOff>450728</xdr:colOff>
      <xdr:row>29</xdr:row>
      <xdr:rowOff>112966</xdr:rowOff>
    </xdr:to>
    <xdr:sp macro="" textlink="">
      <xdr:nvSpPr>
        <xdr:cNvPr id="13" name="Arco 12">
          <a:extLst>
            <a:ext uri="{FF2B5EF4-FFF2-40B4-BE49-F238E27FC236}">
              <a16:creationId xmlns:a16="http://schemas.microsoft.com/office/drawing/2014/main" id="{118E3801-246D-4E36-B9E6-6C689884CE3A}"/>
            </a:ext>
          </a:extLst>
        </xdr:cNvPr>
        <xdr:cNvSpPr/>
      </xdr:nvSpPr>
      <xdr:spPr>
        <a:xfrm rot="1800000">
          <a:off x="5694596" y="5557349"/>
          <a:ext cx="594957" cy="327767"/>
        </a:xfrm>
        <a:prstGeom prst="arc">
          <a:avLst>
            <a:gd name="adj1" fmla="val 9155443"/>
            <a:gd name="adj2" fmla="val 4039261"/>
          </a:avLst>
        </a:prstGeom>
        <a:ln w="28575">
          <a:solidFill>
            <a:srgbClr val="FF0000"/>
          </a:solidFill>
          <a:headEnd type="triangl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11</xdr:col>
      <xdr:colOff>542925</xdr:colOff>
      <xdr:row>8</xdr:row>
      <xdr:rowOff>85725</xdr:rowOff>
    </xdr:from>
    <xdr:ext cx="507447" cy="264560"/>
    <xdr:sp macro="" textlink="$C$3">
      <xdr:nvSpPr>
        <xdr:cNvPr id="14" name="CasellaDiTesto 13">
          <a:extLst>
            <a:ext uri="{FF2B5EF4-FFF2-40B4-BE49-F238E27FC236}">
              <a16:creationId xmlns:a16="http://schemas.microsoft.com/office/drawing/2014/main" id="{C5F152B8-9DEA-D473-C1B7-5B6A30319D80}"/>
            </a:ext>
          </a:extLst>
        </xdr:cNvPr>
        <xdr:cNvSpPr txBox="1"/>
      </xdr:nvSpPr>
      <xdr:spPr>
        <a:xfrm>
          <a:off x="6991350" y="1857375"/>
          <a:ext cx="507447" cy="26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1E2ED7C4-4CFE-4C6D-9FAB-D621566983F0}" type="TxLink">
            <a:rPr lang="en-US" sz="1100" b="0" i="1" u="none" strike="noStrike">
              <a:solidFill>
                <a:srgbClr val="000000"/>
              </a:solidFill>
              <a:latin typeface="Aptos Narrow"/>
            </a:rPr>
            <a:pPr/>
            <a:t>0,0473</a:t>
          </a:fld>
          <a:endParaRPr lang="it-IT" sz="1100" i="1"/>
        </a:p>
      </xdr:txBody>
    </xdr:sp>
    <xdr:clientData/>
  </xdr:oneCellAnchor>
  <xdr:oneCellAnchor>
    <xdr:from>
      <xdr:col>10</xdr:col>
      <xdr:colOff>531111</xdr:colOff>
      <xdr:row>28</xdr:row>
      <xdr:rowOff>123826</xdr:rowOff>
    </xdr:from>
    <xdr:ext cx="479106" cy="264560"/>
    <xdr:sp macro="" textlink="$C$4">
      <xdr:nvSpPr>
        <xdr:cNvPr id="15" name="CasellaDiTesto 14">
          <a:extLst>
            <a:ext uri="{FF2B5EF4-FFF2-40B4-BE49-F238E27FC236}">
              <a16:creationId xmlns:a16="http://schemas.microsoft.com/office/drawing/2014/main" id="{CA52B644-4FA8-870B-F9A8-226F830EE073}"/>
            </a:ext>
          </a:extLst>
        </xdr:cNvPr>
        <xdr:cNvSpPr txBox="1"/>
      </xdr:nvSpPr>
      <xdr:spPr>
        <a:xfrm rot="1800000">
          <a:off x="6369936" y="5705476"/>
          <a:ext cx="479106" cy="26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fld id="{AFF94E4F-25C5-4184-89DC-099AFEC59FA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-0,0555</a:t>
          </a:fld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5A6B-2140-41BF-804D-8ACA6D889FE5}">
  <sheetPr codeName="Foglio3"/>
  <dimension ref="A1:AD48"/>
  <sheetViews>
    <sheetView tabSelected="1" topLeftCell="A27" zoomScaleNormal="100" zoomScaleSheetLayoutView="100" workbookViewId="0">
      <selection activeCell="AF36" sqref="AF36"/>
    </sheetView>
  </sheetViews>
  <sheetFormatPr defaultRowHeight="12" x14ac:dyDescent="0.2"/>
  <cols>
    <col min="1" max="30" width="3.28515625" style="15" customWidth="1"/>
    <col min="31" max="256" width="9.140625" style="15"/>
    <col min="257" max="286" width="3.28515625" style="15" customWidth="1"/>
    <col min="287" max="512" width="9.140625" style="15"/>
    <col min="513" max="542" width="3.28515625" style="15" customWidth="1"/>
    <col min="543" max="768" width="9.140625" style="15"/>
    <col min="769" max="798" width="3.28515625" style="15" customWidth="1"/>
    <col min="799" max="1024" width="9.140625" style="15"/>
    <col min="1025" max="1054" width="3.28515625" style="15" customWidth="1"/>
    <col min="1055" max="1280" width="9.140625" style="15"/>
    <col min="1281" max="1310" width="3.28515625" style="15" customWidth="1"/>
    <col min="1311" max="1536" width="9.140625" style="15"/>
    <col min="1537" max="1566" width="3.28515625" style="15" customWidth="1"/>
    <col min="1567" max="1792" width="9.140625" style="15"/>
    <col min="1793" max="1822" width="3.28515625" style="15" customWidth="1"/>
    <col min="1823" max="2048" width="9.140625" style="15"/>
    <col min="2049" max="2078" width="3.28515625" style="15" customWidth="1"/>
    <col min="2079" max="2304" width="9.140625" style="15"/>
    <col min="2305" max="2334" width="3.28515625" style="15" customWidth="1"/>
    <col min="2335" max="2560" width="9.140625" style="15"/>
    <col min="2561" max="2590" width="3.28515625" style="15" customWidth="1"/>
    <col min="2591" max="2816" width="9.140625" style="15"/>
    <col min="2817" max="2846" width="3.28515625" style="15" customWidth="1"/>
    <col min="2847" max="3072" width="9.140625" style="15"/>
    <col min="3073" max="3102" width="3.28515625" style="15" customWidth="1"/>
    <col min="3103" max="3328" width="9.140625" style="15"/>
    <col min="3329" max="3358" width="3.28515625" style="15" customWidth="1"/>
    <col min="3359" max="3584" width="9.140625" style="15"/>
    <col min="3585" max="3614" width="3.28515625" style="15" customWidth="1"/>
    <col min="3615" max="3840" width="9.140625" style="15"/>
    <col min="3841" max="3870" width="3.28515625" style="15" customWidth="1"/>
    <col min="3871" max="4096" width="9.140625" style="15"/>
    <col min="4097" max="4126" width="3.28515625" style="15" customWidth="1"/>
    <col min="4127" max="4352" width="9.140625" style="15"/>
    <col min="4353" max="4382" width="3.28515625" style="15" customWidth="1"/>
    <col min="4383" max="4608" width="9.140625" style="15"/>
    <col min="4609" max="4638" width="3.28515625" style="15" customWidth="1"/>
    <col min="4639" max="4864" width="9.140625" style="15"/>
    <col min="4865" max="4894" width="3.28515625" style="15" customWidth="1"/>
    <col min="4895" max="5120" width="9.140625" style="15"/>
    <col min="5121" max="5150" width="3.28515625" style="15" customWidth="1"/>
    <col min="5151" max="5376" width="9.140625" style="15"/>
    <col min="5377" max="5406" width="3.28515625" style="15" customWidth="1"/>
    <col min="5407" max="5632" width="9.140625" style="15"/>
    <col min="5633" max="5662" width="3.28515625" style="15" customWidth="1"/>
    <col min="5663" max="5888" width="9.140625" style="15"/>
    <col min="5889" max="5918" width="3.28515625" style="15" customWidth="1"/>
    <col min="5919" max="6144" width="9.140625" style="15"/>
    <col min="6145" max="6174" width="3.28515625" style="15" customWidth="1"/>
    <col min="6175" max="6400" width="9.140625" style="15"/>
    <col min="6401" max="6430" width="3.28515625" style="15" customWidth="1"/>
    <col min="6431" max="6656" width="9.140625" style="15"/>
    <col min="6657" max="6686" width="3.28515625" style="15" customWidth="1"/>
    <col min="6687" max="6912" width="9.140625" style="15"/>
    <col min="6913" max="6942" width="3.28515625" style="15" customWidth="1"/>
    <col min="6943" max="7168" width="9.140625" style="15"/>
    <col min="7169" max="7198" width="3.28515625" style="15" customWidth="1"/>
    <col min="7199" max="7424" width="9.140625" style="15"/>
    <col min="7425" max="7454" width="3.28515625" style="15" customWidth="1"/>
    <col min="7455" max="7680" width="9.140625" style="15"/>
    <col min="7681" max="7710" width="3.28515625" style="15" customWidth="1"/>
    <col min="7711" max="7936" width="9.140625" style="15"/>
    <col min="7937" max="7966" width="3.28515625" style="15" customWidth="1"/>
    <col min="7967" max="8192" width="9.140625" style="15"/>
    <col min="8193" max="8222" width="3.28515625" style="15" customWidth="1"/>
    <col min="8223" max="8448" width="9.140625" style="15"/>
    <col min="8449" max="8478" width="3.28515625" style="15" customWidth="1"/>
    <col min="8479" max="8704" width="9.140625" style="15"/>
    <col min="8705" max="8734" width="3.28515625" style="15" customWidth="1"/>
    <col min="8735" max="8960" width="9.140625" style="15"/>
    <col min="8961" max="8990" width="3.28515625" style="15" customWidth="1"/>
    <col min="8991" max="9216" width="9.140625" style="15"/>
    <col min="9217" max="9246" width="3.28515625" style="15" customWidth="1"/>
    <col min="9247" max="9472" width="9.140625" style="15"/>
    <col min="9473" max="9502" width="3.28515625" style="15" customWidth="1"/>
    <col min="9503" max="9728" width="9.140625" style="15"/>
    <col min="9729" max="9758" width="3.28515625" style="15" customWidth="1"/>
    <col min="9759" max="9984" width="9.140625" style="15"/>
    <col min="9985" max="10014" width="3.28515625" style="15" customWidth="1"/>
    <col min="10015" max="10240" width="9.140625" style="15"/>
    <col min="10241" max="10270" width="3.28515625" style="15" customWidth="1"/>
    <col min="10271" max="10496" width="9.140625" style="15"/>
    <col min="10497" max="10526" width="3.28515625" style="15" customWidth="1"/>
    <col min="10527" max="10752" width="9.140625" style="15"/>
    <col min="10753" max="10782" width="3.28515625" style="15" customWidth="1"/>
    <col min="10783" max="11008" width="9.140625" style="15"/>
    <col min="11009" max="11038" width="3.28515625" style="15" customWidth="1"/>
    <col min="11039" max="11264" width="9.140625" style="15"/>
    <col min="11265" max="11294" width="3.28515625" style="15" customWidth="1"/>
    <col min="11295" max="11520" width="9.140625" style="15"/>
    <col min="11521" max="11550" width="3.28515625" style="15" customWidth="1"/>
    <col min="11551" max="11776" width="9.140625" style="15"/>
    <col min="11777" max="11806" width="3.28515625" style="15" customWidth="1"/>
    <col min="11807" max="12032" width="9.140625" style="15"/>
    <col min="12033" max="12062" width="3.28515625" style="15" customWidth="1"/>
    <col min="12063" max="12288" width="9.140625" style="15"/>
    <col min="12289" max="12318" width="3.28515625" style="15" customWidth="1"/>
    <col min="12319" max="12544" width="9.140625" style="15"/>
    <col min="12545" max="12574" width="3.28515625" style="15" customWidth="1"/>
    <col min="12575" max="12800" width="9.140625" style="15"/>
    <col min="12801" max="12830" width="3.28515625" style="15" customWidth="1"/>
    <col min="12831" max="13056" width="9.140625" style="15"/>
    <col min="13057" max="13086" width="3.28515625" style="15" customWidth="1"/>
    <col min="13087" max="13312" width="9.140625" style="15"/>
    <col min="13313" max="13342" width="3.28515625" style="15" customWidth="1"/>
    <col min="13343" max="13568" width="9.140625" style="15"/>
    <col min="13569" max="13598" width="3.28515625" style="15" customWidth="1"/>
    <col min="13599" max="13824" width="9.140625" style="15"/>
    <col min="13825" max="13854" width="3.28515625" style="15" customWidth="1"/>
    <col min="13855" max="14080" width="9.140625" style="15"/>
    <col min="14081" max="14110" width="3.28515625" style="15" customWidth="1"/>
    <col min="14111" max="14336" width="9.140625" style="15"/>
    <col min="14337" max="14366" width="3.28515625" style="15" customWidth="1"/>
    <col min="14367" max="14592" width="9.140625" style="15"/>
    <col min="14593" max="14622" width="3.28515625" style="15" customWidth="1"/>
    <col min="14623" max="14848" width="9.140625" style="15"/>
    <col min="14849" max="14878" width="3.28515625" style="15" customWidth="1"/>
    <col min="14879" max="15104" width="9.140625" style="15"/>
    <col min="15105" max="15134" width="3.28515625" style="15" customWidth="1"/>
    <col min="15135" max="15360" width="9.140625" style="15"/>
    <col min="15361" max="15390" width="3.28515625" style="15" customWidth="1"/>
    <col min="15391" max="15616" width="9.140625" style="15"/>
    <col min="15617" max="15646" width="3.28515625" style="15" customWidth="1"/>
    <col min="15647" max="15872" width="9.140625" style="15"/>
    <col min="15873" max="15902" width="3.28515625" style="15" customWidth="1"/>
    <col min="15903" max="16128" width="9.140625" style="15"/>
    <col min="16129" max="16158" width="3.28515625" style="15" customWidth="1"/>
    <col min="16159" max="16384" width="9.140625" style="15"/>
  </cols>
  <sheetData>
    <row r="1" spans="1:30" ht="1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</row>
    <row r="2" spans="1:30" ht="15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</row>
    <row r="3" spans="1:30" ht="15" customHeight="1" x14ac:dyDescent="0.2">
      <c r="A3" s="16"/>
      <c r="B3" s="17"/>
      <c r="C3" s="17"/>
      <c r="D3" s="17"/>
      <c r="E3" s="17"/>
      <c r="F3" s="17"/>
      <c r="G3" s="17"/>
      <c r="H3" s="19"/>
      <c r="I3" s="19"/>
      <c r="J3" s="1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  <c r="X3" s="21"/>
      <c r="Y3" s="21"/>
      <c r="Z3" s="21"/>
      <c r="AA3" s="21"/>
      <c r="AB3" s="21"/>
      <c r="AC3" s="21"/>
      <c r="AD3" s="22"/>
    </row>
    <row r="4" spans="1:30" ht="15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8"/>
    </row>
    <row r="5" spans="1:30" ht="15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</row>
    <row r="6" spans="1:30" ht="15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</row>
    <row r="7" spans="1:30" ht="15" customHeight="1" thickBot="1" x14ac:dyDescent="0.25">
      <c r="A7" s="23"/>
      <c r="B7" s="24"/>
      <c r="C7" s="24"/>
      <c r="D7" s="24"/>
      <c r="E7" s="24"/>
      <c r="F7" s="2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24"/>
      <c r="AB7" s="24"/>
      <c r="AC7" s="24"/>
      <c r="AD7" s="26"/>
    </row>
    <row r="8" spans="1:30" ht="15" customHeight="1" x14ac:dyDescent="0.2">
      <c r="A8" s="43" t="s">
        <v>34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</row>
    <row r="9" spans="1:30" ht="15" customHeight="1" x14ac:dyDescent="0.2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8"/>
    </row>
    <row r="10" spans="1:30" ht="15" customHeight="1" x14ac:dyDescent="0.2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</row>
    <row r="11" spans="1:30" ht="15" customHeight="1" x14ac:dyDescent="0.2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</row>
    <row r="12" spans="1:30" ht="15" customHeight="1" x14ac:dyDescent="0.2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</row>
    <row r="13" spans="1:30" ht="15" customHeight="1" x14ac:dyDescent="0.2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</row>
    <row r="14" spans="1:30" ht="15" customHeight="1" x14ac:dyDescent="0.2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</row>
    <row r="15" spans="1:30" ht="15" customHeight="1" x14ac:dyDescent="0.2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</row>
    <row r="16" spans="1:30" ht="15" customHeight="1" x14ac:dyDescent="0.2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</row>
    <row r="17" spans="1:30" ht="15" customHeight="1" x14ac:dyDescent="0.2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</row>
    <row r="18" spans="1:30" ht="15" customHeight="1" x14ac:dyDescent="0.2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</row>
    <row r="19" spans="1:30" ht="15" customHeight="1" x14ac:dyDescent="0.2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</row>
    <row r="20" spans="1:30" ht="15" customHeight="1" x14ac:dyDescent="0.2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</row>
    <row r="21" spans="1:30" ht="15" customHeight="1" x14ac:dyDescent="0.2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</row>
    <row r="22" spans="1:30" ht="15" customHeight="1" x14ac:dyDescent="0.2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8"/>
    </row>
    <row r="23" spans="1:30" ht="15" customHeight="1" x14ac:dyDescent="0.2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</row>
    <row r="24" spans="1:30" ht="15" customHeight="1" x14ac:dyDescent="0.2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8"/>
    </row>
    <row r="25" spans="1:30" ht="15" customHeight="1" x14ac:dyDescent="0.2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8"/>
    </row>
    <row r="26" spans="1:30" ht="15" customHeight="1" x14ac:dyDescent="0.2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8"/>
    </row>
    <row r="27" spans="1:30" ht="15" customHeight="1" x14ac:dyDescent="0.2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</row>
    <row r="28" spans="1:30" ht="15" customHeight="1" x14ac:dyDescent="0.2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8"/>
    </row>
    <row r="29" spans="1:30" ht="15" customHeight="1" x14ac:dyDescent="0.2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</row>
    <row r="30" spans="1:30" ht="15" customHeight="1" x14ac:dyDescent="0.2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8"/>
    </row>
    <row r="31" spans="1:30" ht="15" customHeight="1" x14ac:dyDescent="0.2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</row>
    <row r="32" spans="1:30" ht="15" customHeight="1" x14ac:dyDescent="0.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</row>
    <row r="33" spans="1:30" ht="15" customHeight="1" x14ac:dyDescent="0.2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</row>
    <row r="34" spans="1:30" ht="15" customHeight="1" x14ac:dyDescent="0.2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</row>
    <row r="35" spans="1:30" ht="15" customHeight="1" x14ac:dyDescent="0.2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</row>
    <row r="36" spans="1:30" ht="15" customHeight="1" x14ac:dyDescent="0.2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</row>
    <row r="37" spans="1:30" ht="15" customHeight="1" x14ac:dyDescent="0.2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</row>
    <row r="38" spans="1:30" ht="15" customHeight="1" x14ac:dyDescent="0.2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</row>
    <row r="39" spans="1:30" ht="15" customHeight="1" thickBot="1" x14ac:dyDescent="0.25">
      <c r="A39" s="49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1"/>
    </row>
    <row r="40" spans="1:30" ht="30" customHeight="1" x14ac:dyDescent="0.2">
      <c r="A40" s="52"/>
      <c r="B40" s="53"/>
      <c r="C40" s="54"/>
      <c r="D40" s="55"/>
      <c r="E40" s="55"/>
      <c r="F40" s="53"/>
      <c r="G40" s="54"/>
      <c r="H40" s="55"/>
      <c r="I40" s="55"/>
      <c r="J40" s="55"/>
      <c r="K40" s="55"/>
      <c r="L40" s="55"/>
      <c r="M40" s="55"/>
      <c r="N40" s="55"/>
      <c r="O40" s="55"/>
      <c r="P40" s="54"/>
      <c r="Q40" s="55"/>
      <c r="R40" s="55"/>
      <c r="S40" s="55"/>
      <c r="T40" s="53"/>
      <c r="U40" s="54"/>
      <c r="V40" s="55"/>
      <c r="W40" s="55"/>
      <c r="X40" s="55"/>
      <c r="Y40" s="53"/>
      <c r="Z40" s="54"/>
      <c r="AA40" s="55"/>
      <c r="AB40" s="55"/>
      <c r="AC40" s="55"/>
      <c r="AD40" s="56"/>
    </row>
    <row r="41" spans="1:30" ht="30" customHeight="1" x14ac:dyDescent="0.2">
      <c r="A41" s="60"/>
      <c r="B41" s="61"/>
      <c r="C41" s="57"/>
      <c r="D41" s="58"/>
      <c r="E41" s="58"/>
      <c r="F41" s="61"/>
      <c r="G41" s="57"/>
      <c r="H41" s="58"/>
      <c r="I41" s="58"/>
      <c r="J41" s="58"/>
      <c r="K41" s="58"/>
      <c r="L41" s="58"/>
      <c r="M41" s="58"/>
      <c r="N41" s="58"/>
      <c r="O41" s="58"/>
      <c r="P41" s="57"/>
      <c r="Q41" s="58"/>
      <c r="R41" s="58"/>
      <c r="S41" s="58"/>
      <c r="T41" s="61"/>
      <c r="U41" s="57"/>
      <c r="V41" s="58"/>
      <c r="W41" s="58"/>
      <c r="X41" s="58"/>
      <c r="Y41" s="61"/>
      <c r="Z41" s="57"/>
      <c r="AA41" s="58"/>
      <c r="AB41" s="58"/>
      <c r="AC41" s="58"/>
      <c r="AD41" s="59"/>
    </row>
    <row r="42" spans="1:30" ht="30" customHeight="1" x14ac:dyDescent="0.2">
      <c r="A42" s="60"/>
      <c r="B42" s="61"/>
      <c r="C42" s="57"/>
      <c r="D42" s="58"/>
      <c r="E42" s="58"/>
      <c r="F42" s="61"/>
      <c r="G42" s="57"/>
      <c r="H42" s="58"/>
      <c r="I42" s="58"/>
      <c r="J42" s="58"/>
      <c r="K42" s="58"/>
      <c r="L42" s="58"/>
      <c r="M42" s="58"/>
      <c r="N42" s="58"/>
      <c r="O42" s="58"/>
      <c r="P42" s="57"/>
      <c r="Q42" s="58"/>
      <c r="R42" s="58"/>
      <c r="S42" s="58"/>
      <c r="T42" s="61"/>
      <c r="U42" s="57"/>
      <c r="V42" s="58"/>
      <c r="W42" s="58"/>
      <c r="X42" s="58"/>
      <c r="Y42" s="61"/>
      <c r="Z42" s="57"/>
      <c r="AA42" s="58"/>
      <c r="AB42" s="58"/>
      <c r="AC42" s="58"/>
      <c r="AD42" s="59"/>
    </row>
    <row r="43" spans="1:30" ht="30" customHeight="1" x14ac:dyDescent="0.2">
      <c r="A43" s="60"/>
      <c r="B43" s="61"/>
      <c r="C43" s="57"/>
      <c r="D43" s="58"/>
      <c r="E43" s="58"/>
      <c r="F43" s="61"/>
      <c r="G43" s="57"/>
      <c r="H43" s="58"/>
      <c r="I43" s="58"/>
      <c r="J43" s="58"/>
      <c r="K43" s="58"/>
      <c r="L43" s="58"/>
      <c r="M43" s="58"/>
      <c r="N43" s="58"/>
      <c r="O43" s="58"/>
      <c r="P43" s="57"/>
      <c r="Q43" s="58"/>
      <c r="R43" s="58"/>
      <c r="S43" s="58"/>
      <c r="T43" s="61"/>
      <c r="U43" s="57"/>
      <c r="V43" s="58"/>
      <c r="W43" s="58"/>
      <c r="X43" s="58"/>
      <c r="Y43" s="61"/>
      <c r="Z43" s="57"/>
      <c r="AA43" s="58"/>
      <c r="AB43" s="58"/>
      <c r="AC43" s="58"/>
      <c r="AD43" s="59"/>
    </row>
    <row r="44" spans="1:30" ht="30" customHeight="1" x14ac:dyDescent="0.2">
      <c r="A44" s="60"/>
      <c r="B44" s="61"/>
      <c r="C44" s="57"/>
      <c r="D44" s="58"/>
      <c r="E44" s="58"/>
      <c r="F44" s="61"/>
      <c r="G44" s="57"/>
      <c r="H44" s="58"/>
      <c r="I44" s="58"/>
      <c r="J44" s="58"/>
      <c r="K44" s="58"/>
      <c r="L44" s="58"/>
      <c r="M44" s="58"/>
      <c r="N44" s="58"/>
      <c r="O44" s="58"/>
      <c r="P44" s="57"/>
      <c r="Q44" s="58"/>
      <c r="R44" s="58"/>
      <c r="S44" s="58"/>
      <c r="T44" s="61"/>
      <c r="U44" s="57"/>
      <c r="V44" s="58"/>
      <c r="W44" s="58"/>
      <c r="X44" s="58"/>
      <c r="Y44" s="61"/>
      <c r="Z44" s="57"/>
      <c r="AA44" s="58"/>
      <c r="AB44" s="58"/>
      <c r="AC44" s="58"/>
      <c r="AD44" s="59"/>
    </row>
    <row r="45" spans="1:30" ht="26.25" customHeight="1" x14ac:dyDescent="0.2">
      <c r="A45" s="60"/>
      <c r="B45" s="61"/>
      <c r="C45" s="57"/>
      <c r="D45" s="58"/>
      <c r="E45" s="58"/>
      <c r="F45" s="61"/>
      <c r="G45" s="57"/>
      <c r="H45" s="58"/>
      <c r="I45" s="58"/>
      <c r="J45" s="58"/>
      <c r="K45" s="58"/>
      <c r="L45" s="58"/>
      <c r="M45" s="58"/>
      <c r="N45" s="58"/>
      <c r="O45" s="58"/>
      <c r="P45" s="57"/>
      <c r="Q45" s="58"/>
      <c r="R45" s="58"/>
      <c r="S45" s="58"/>
      <c r="T45" s="61"/>
      <c r="U45" s="57"/>
      <c r="V45" s="58"/>
      <c r="W45" s="58"/>
      <c r="X45" s="58"/>
      <c r="Y45" s="61"/>
      <c r="Z45" s="57"/>
      <c r="AA45" s="58"/>
      <c r="AB45" s="58"/>
      <c r="AC45" s="58"/>
      <c r="AD45" s="59"/>
    </row>
    <row r="46" spans="1:30" ht="33" customHeight="1" x14ac:dyDescent="0.2">
      <c r="A46" s="65">
        <v>0</v>
      </c>
      <c r="B46" s="66"/>
      <c r="C46" s="67">
        <v>45813</v>
      </c>
      <c r="D46" s="68"/>
      <c r="E46" s="68"/>
      <c r="F46" s="69"/>
      <c r="G46" s="70" t="s">
        <v>17</v>
      </c>
      <c r="H46" s="71"/>
      <c r="I46" s="71"/>
      <c r="J46" s="71"/>
      <c r="K46" s="71"/>
      <c r="L46" s="71"/>
      <c r="M46" s="71"/>
      <c r="N46" s="71"/>
      <c r="O46" s="71"/>
      <c r="P46" s="62" t="s">
        <v>33</v>
      </c>
      <c r="Q46" s="63"/>
      <c r="R46" s="63"/>
      <c r="S46" s="63"/>
      <c r="T46" s="72"/>
      <c r="U46" s="62" t="s">
        <v>31</v>
      </c>
      <c r="V46" s="63"/>
      <c r="W46" s="63"/>
      <c r="X46" s="63"/>
      <c r="Y46" s="72"/>
      <c r="Z46" s="62" t="s">
        <v>32</v>
      </c>
      <c r="AA46" s="63"/>
      <c r="AB46" s="63"/>
      <c r="AC46" s="63"/>
      <c r="AD46" s="64"/>
    </row>
    <row r="47" spans="1:30" ht="15" customHeight="1" thickBot="1" x14ac:dyDescent="0.25">
      <c r="A47" s="73" t="s">
        <v>18</v>
      </c>
      <c r="B47" s="74"/>
      <c r="C47" s="75" t="s">
        <v>19</v>
      </c>
      <c r="D47" s="76"/>
      <c r="E47" s="76"/>
      <c r="F47" s="77"/>
      <c r="G47" s="75" t="s">
        <v>20</v>
      </c>
      <c r="H47" s="76"/>
      <c r="I47" s="76"/>
      <c r="J47" s="76"/>
      <c r="K47" s="76"/>
      <c r="L47" s="76"/>
      <c r="M47" s="76"/>
      <c r="N47" s="76"/>
      <c r="O47" s="76"/>
      <c r="P47" s="75" t="s">
        <v>21</v>
      </c>
      <c r="Q47" s="76"/>
      <c r="R47" s="76"/>
      <c r="S47" s="76"/>
      <c r="T47" s="77"/>
      <c r="U47" s="75" t="s">
        <v>22</v>
      </c>
      <c r="V47" s="76"/>
      <c r="W47" s="76"/>
      <c r="X47" s="76"/>
      <c r="Y47" s="76"/>
      <c r="Z47" s="75" t="s">
        <v>23</v>
      </c>
      <c r="AA47" s="76"/>
      <c r="AB47" s="76"/>
      <c r="AC47" s="76"/>
      <c r="AD47" s="78"/>
    </row>
    <row r="48" spans="1:30" ht="15" customHeight="1" thickBot="1" x14ac:dyDescent="0.25">
      <c r="A48" s="92" t="s">
        <v>30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4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C700-E0E6-42D2-826F-EAB862885B2D}">
  <sheetPr codeName="Foglio1"/>
  <dimension ref="B2:AD44"/>
  <sheetViews>
    <sheetView zoomScaleNormal="100" workbookViewId="0"/>
  </sheetViews>
  <sheetFormatPr defaultRowHeight="15" x14ac:dyDescent="0.25"/>
  <cols>
    <col min="1" max="1" width="2.5703125" customWidth="1"/>
    <col min="2" max="2" width="7.85546875" bestFit="1" customWidth="1"/>
    <col min="3" max="3" width="10.28515625" bestFit="1" customWidth="1"/>
    <col min="4" max="5" width="9.140625" customWidth="1"/>
    <col min="6" max="10" width="9.7109375" customWidth="1"/>
    <col min="14" max="14" width="2.7109375" customWidth="1"/>
    <col min="16" max="20" width="8.7109375" customWidth="1"/>
    <col min="21" max="27" width="8.7109375" hidden="1" customWidth="1"/>
    <col min="28" max="30" width="9.140625" hidden="1" customWidth="1"/>
  </cols>
  <sheetData>
    <row r="2" spans="2:30" ht="30" x14ac:dyDescent="0.25">
      <c r="C2" s="27" t="s">
        <v>24</v>
      </c>
      <c r="D2" s="27" t="s">
        <v>25</v>
      </c>
      <c r="E2" s="6" t="s">
        <v>5</v>
      </c>
      <c r="F2" s="80" t="s">
        <v>6</v>
      </c>
      <c r="G2" s="80"/>
      <c r="H2" s="80"/>
      <c r="I2" s="80"/>
      <c r="J2" s="80"/>
      <c r="U2" s="5" t="s">
        <v>0</v>
      </c>
      <c r="V2" s="5">
        <v>0.05</v>
      </c>
      <c r="AC2" s="1" t="b">
        <v>1</v>
      </c>
    </row>
    <row r="3" spans="2:30" ht="16.5" customHeight="1" x14ac:dyDescent="0.25">
      <c r="B3" s="37" t="s">
        <v>26</v>
      </c>
      <c r="C3" s="38">
        <f>47.3/1000</f>
        <v>4.7299999999999995E-2</v>
      </c>
      <c r="D3" s="39">
        <f>$AD$4</f>
        <v>0.17499999999999999</v>
      </c>
      <c r="E3" s="40">
        <f>C3/D3</f>
        <v>0.2702857142857143</v>
      </c>
      <c r="F3" s="79" t="s">
        <v>11</v>
      </c>
      <c r="G3" s="79"/>
      <c r="H3" s="79"/>
      <c r="I3" s="79"/>
      <c r="J3" s="79"/>
      <c r="U3" s="3" t="s">
        <v>1</v>
      </c>
      <c r="V3" s="1" t="s">
        <v>2</v>
      </c>
      <c r="W3" s="1" t="s">
        <v>3</v>
      </c>
      <c r="X3" s="1" t="s">
        <v>2</v>
      </c>
      <c r="Y3" s="1" t="s">
        <v>3</v>
      </c>
      <c r="Z3" s="1" t="s">
        <v>2</v>
      </c>
      <c r="AA3" s="1" t="s">
        <v>3</v>
      </c>
      <c r="AC3" s="1" t="s">
        <v>2</v>
      </c>
      <c r="AD3" s="1" t="s">
        <v>3</v>
      </c>
    </row>
    <row r="4" spans="2:30" ht="16.5" customHeight="1" x14ac:dyDescent="0.25">
      <c r="B4" s="37" t="s">
        <v>27</v>
      </c>
      <c r="C4" s="41">
        <f>-55.5/1000</f>
        <v>-5.5500000000000001E-2</v>
      </c>
      <c r="D4" s="39">
        <f>$AC$6</f>
        <v>-7.4999999999999997E-2</v>
      </c>
      <c r="E4" s="40">
        <f>C4/D4</f>
        <v>0.74</v>
      </c>
      <c r="F4" s="79" t="s">
        <v>12</v>
      </c>
      <c r="G4" s="79"/>
      <c r="H4" s="79"/>
      <c r="I4" s="79"/>
      <c r="J4" s="79"/>
      <c r="U4" s="1">
        <v>0</v>
      </c>
      <c r="V4" s="1">
        <f t="shared" ref="V4:V28" si="0">$V$2*SIN(RADIANS(U4))</f>
        <v>0</v>
      </c>
      <c r="W4" s="1">
        <f t="shared" ref="W4:W28" si="1">$V$2*COS(RADIANS(U4))</f>
        <v>0.05</v>
      </c>
      <c r="X4" s="1">
        <f t="shared" ref="X4:X28" si="2">V4</f>
        <v>0</v>
      </c>
      <c r="Y4" s="1">
        <f t="shared" ref="Y4:Y28" si="3">W4+$C$3</f>
        <v>9.7299999999999998E-2</v>
      </c>
      <c r="Z4" s="1">
        <f t="shared" ref="Z4:Z28" si="4">V4+$C$4</f>
        <v>-5.5500000000000001E-2</v>
      </c>
      <c r="AA4" s="1">
        <f t="shared" ref="AA4:AA28" si="5">W4</f>
        <v>0.05</v>
      </c>
      <c r="AC4" s="1">
        <v>-0.3</v>
      </c>
      <c r="AD4" s="1">
        <f>IF($AC$2,175,125)/1000</f>
        <v>0.17499999999999999</v>
      </c>
    </row>
    <row r="5" spans="2:30" ht="16.5" customHeight="1" x14ac:dyDescent="0.25">
      <c r="U5" s="1">
        <v>15</v>
      </c>
      <c r="V5" s="1">
        <f t="shared" si="0"/>
        <v>1.2940952255126037E-2</v>
      </c>
      <c r="W5" s="1">
        <f t="shared" si="1"/>
        <v>4.829629131445342E-2</v>
      </c>
      <c r="X5" s="1">
        <f t="shared" si="2"/>
        <v>1.2940952255126037E-2</v>
      </c>
      <c r="Y5" s="1">
        <f t="shared" si="3"/>
        <v>9.5596291314453408E-2</v>
      </c>
      <c r="Z5" s="1">
        <f t="shared" si="4"/>
        <v>-4.2559047744873964E-2</v>
      </c>
      <c r="AA5" s="1">
        <f t="shared" si="5"/>
        <v>4.829629131445342E-2</v>
      </c>
      <c r="AC5" s="1">
        <v>0.3</v>
      </c>
      <c r="AD5" s="1">
        <f>IF($AC$2,175,125)/1000</f>
        <v>0.17499999999999999</v>
      </c>
    </row>
    <row r="6" spans="2:30" ht="15" customHeight="1" x14ac:dyDescent="0.25">
      <c r="B6" s="1"/>
      <c r="C6" s="1"/>
      <c r="D6" s="1"/>
      <c r="E6" s="4"/>
      <c r="F6" s="2"/>
      <c r="U6" s="1">
        <v>30</v>
      </c>
      <c r="V6" s="1">
        <f t="shared" si="0"/>
        <v>2.4999999999999998E-2</v>
      </c>
      <c r="W6" s="1">
        <f t="shared" si="1"/>
        <v>4.330127018922194E-2</v>
      </c>
      <c r="X6" s="1">
        <f t="shared" si="2"/>
        <v>2.4999999999999998E-2</v>
      </c>
      <c r="Y6" s="1">
        <f t="shared" si="3"/>
        <v>9.0601270189221927E-2</v>
      </c>
      <c r="Z6" s="1">
        <f t="shared" si="4"/>
        <v>-3.0500000000000003E-2</v>
      </c>
      <c r="AA6" s="1">
        <f t="shared" si="5"/>
        <v>4.330127018922194E-2</v>
      </c>
      <c r="AC6" s="1">
        <f>-IF($AC$2,75,50)/1000</f>
        <v>-7.4999999999999997E-2</v>
      </c>
      <c r="AD6" s="1">
        <v>-0.3</v>
      </c>
    </row>
    <row r="7" spans="2:30" ht="15" customHeight="1" x14ac:dyDescent="0.25">
      <c r="B7" s="84" t="s">
        <v>28</v>
      </c>
      <c r="C7" s="34"/>
      <c r="D7" s="28"/>
      <c r="E7" s="28"/>
      <c r="F7" s="28"/>
      <c r="G7" s="28"/>
      <c r="H7" s="29"/>
      <c r="I7" s="34"/>
      <c r="J7" s="28"/>
      <c r="K7" s="28"/>
      <c r="L7" s="28"/>
      <c r="M7" s="29"/>
      <c r="U7" s="1">
        <v>45</v>
      </c>
      <c r="V7" s="1">
        <f t="shared" si="0"/>
        <v>3.5355339059327376E-2</v>
      </c>
      <c r="W7" s="1">
        <f t="shared" si="1"/>
        <v>3.5355339059327383E-2</v>
      </c>
      <c r="X7" s="1">
        <f t="shared" si="2"/>
        <v>3.5355339059327376E-2</v>
      </c>
      <c r="Y7" s="1">
        <f t="shared" si="3"/>
        <v>8.2655339059327371E-2</v>
      </c>
      <c r="Z7" s="1">
        <f t="shared" si="4"/>
        <v>-2.0144660940672625E-2</v>
      </c>
      <c r="AA7" s="1">
        <f t="shared" si="5"/>
        <v>3.5355339059327383E-2</v>
      </c>
      <c r="AC7" s="1">
        <f>-IF($AC$2,75,50)/1000</f>
        <v>-7.4999999999999997E-2</v>
      </c>
      <c r="AD7" s="1">
        <v>0.3</v>
      </c>
    </row>
    <row r="8" spans="2:30" ht="15" customHeight="1" x14ac:dyDescent="0.25">
      <c r="B8" s="85"/>
      <c r="C8" s="35"/>
      <c r="D8" s="30"/>
      <c r="E8" s="30"/>
      <c r="F8" s="30"/>
      <c r="G8" s="30"/>
      <c r="H8" s="31"/>
      <c r="I8" s="35"/>
      <c r="J8" s="30"/>
      <c r="K8" s="30"/>
      <c r="L8" s="30"/>
      <c r="M8" s="31"/>
      <c r="U8" s="1">
        <v>60</v>
      </c>
      <c r="V8" s="1">
        <f t="shared" si="0"/>
        <v>4.3301270189221933E-2</v>
      </c>
      <c r="W8" s="1">
        <f t="shared" si="1"/>
        <v>2.5000000000000008E-2</v>
      </c>
      <c r="X8" s="1">
        <f t="shared" si="2"/>
        <v>4.3301270189221933E-2</v>
      </c>
      <c r="Y8" s="1">
        <f t="shared" si="3"/>
        <v>7.2300000000000003E-2</v>
      </c>
      <c r="Z8" s="1">
        <f t="shared" si="4"/>
        <v>-1.2198729810778068E-2</v>
      </c>
      <c r="AA8" s="1">
        <f t="shared" si="5"/>
        <v>2.5000000000000008E-2</v>
      </c>
    </row>
    <row r="9" spans="2:30" ht="15" customHeight="1" x14ac:dyDescent="0.25">
      <c r="B9" s="85"/>
      <c r="C9" s="35"/>
      <c r="D9" s="30"/>
      <c r="E9" s="30"/>
      <c r="F9" s="30"/>
      <c r="G9" s="30"/>
      <c r="H9" s="31"/>
      <c r="I9" s="35"/>
      <c r="J9" s="30"/>
      <c r="K9" s="30"/>
      <c r="L9" s="30"/>
      <c r="M9" s="31"/>
      <c r="O9" s="11"/>
      <c r="U9" s="1">
        <v>75</v>
      </c>
      <c r="V9" s="1">
        <f t="shared" si="0"/>
        <v>4.829629131445342E-2</v>
      </c>
      <c r="W9" s="1">
        <f t="shared" si="1"/>
        <v>1.2940952255126037E-2</v>
      </c>
      <c r="X9" s="1">
        <f t="shared" si="2"/>
        <v>4.829629131445342E-2</v>
      </c>
      <c r="Y9" s="1">
        <f t="shared" si="3"/>
        <v>6.0240952255126032E-2</v>
      </c>
      <c r="Z9" s="1">
        <f t="shared" si="4"/>
        <v>-7.2037086855465809E-3</v>
      </c>
      <c r="AA9" s="1">
        <f t="shared" si="5"/>
        <v>1.2940952255126037E-2</v>
      </c>
      <c r="AC9" s="1" t="s">
        <v>2</v>
      </c>
      <c r="AD9" s="1" t="s">
        <v>3</v>
      </c>
    </row>
    <row r="10" spans="2:30" ht="15" customHeight="1" x14ac:dyDescent="0.25">
      <c r="B10" s="85"/>
      <c r="C10" s="35"/>
      <c r="D10" s="30"/>
      <c r="E10" s="30"/>
      <c r="F10" s="30"/>
      <c r="G10" s="30"/>
      <c r="H10" s="31"/>
      <c r="I10" s="35"/>
      <c r="J10" s="30"/>
      <c r="K10" s="30"/>
      <c r="L10" s="30"/>
      <c r="M10" s="31"/>
      <c r="O10" s="9"/>
      <c r="U10" s="1">
        <v>90</v>
      </c>
      <c r="V10" s="1">
        <f t="shared" si="0"/>
        <v>0.05</v>
      </c>
      <c r="W10" s="1">
        <f t="shared" si="1"/>
        <v>3.06287113727155E-18</v>
      </c>
      <c r="X10" s="1">
        <f t="shared" si="2"/>
        <v>0.05</v>
      </c>
      <c r="Y10" s="1">
        <f t="shared" si="3"/>
        <v>4.7299999999999995E-2</v>
      </c>
      <c r="Z10" s="1">
        <f t="shared" si="4"/>
        <v>-5.4999999999999979E-3</v>
      </c>
      <c r="AA10" s="1">
        <f t="shared" si="5"/>
        <v>3.06287113727155E-18</v>
      </c>
      <c r="AC10" s="1">
        <v>0</v>
      </c>
      <c r="AD10" s="1">
        <f>$C$3-$V$2/5</f>
        <v>3.7299999999999993E-2</v>
      </c>
    </row>
    <row r="11" spans="2:30" ht="15" customHeight="1" x14ac:dyDescent="0.25">
      <c r="B11" s="85"/>
      <c r="C11" s="35"/>
      <c r="D11" s="30"/>
      <c r="E11" s="30"/>
      <c r="F11" s="30"/>
      <c r="G11" s="30"/>
      <c r="H11" s="31"/>
      <c r="I11" s="35"/>
      <c r="J11" s="30"/>
      <c r="K11" s="30"/>
      <c r="L11" s="30"/>
      <c r="M11" s="31"/>
      <c r="O11" s="10"/>
      <c r="U11" s="1">
        <v>105</v>
      </c>
      <c r="V11" s="1">
        <f t="shared" si="0"/>
        <v>4.829629131445342E-2</v>
      </c>
      <c r="W11" s="1">
        <f t="shared" si="1"/>
        <v>-1.2940952255126044E-2</v>
      </c>
      <c r="X11" s="1">
        <f t="shared" si="2"/>
        <v>4.829629131445342E-2</v>
      </c>
      <c r="Y11" s="1">
        <f t="shared" si="3"/>
        <v>3.4359047744873951E-2</v>
      </c>
      <c r="Z11" s="1">
        <f t="shared" si="4"/>
        <v>-7.2037086855465809E-3</v>
      </c>
      <c r="AA11" s="1">
        <f t="shared" si="5"/>
        <v>-1.2940952255126044E-2</v>
      </c>
      <c r="AC11" s="1">
        <v>0</v>
      </c>
      <c r="AD11" s="1">
        <f>$C$3+$V$2/5</f>
        <v>5.7299999999999997E-2</v>
      </c>
    </row>
    <row r="12" spans="2:30" ht="15" customHeight="1" x14ac:dyDescent="0.25">
      <c r="B12" s="85"/>
      <c r="C12" s="35"/>
      <c r="D12" s="30"/>
      <c r="E12" s="30"/>
      <c r="F12" s="30"/>
      <c r="G12" s="30"/>
      <c r="H12" s="31"/>
      <c r="I12" s="35"/>
      <c r="J12" s="30"/>
      <c r="K12" s="30"/>
      <c r="L12" s="30"/>
      <c r="M12" s="31"/>
      <c r="O12" s="10"/>
      <c r="U12" s="1">
        <v>120</v>
      </c>
      <c r="V12" s="1">
        <f t="shared" si="0"/>
        <v>4.330127018922194E-2</v>
      </c>
      <c r="W12" s="1">
        <f t="shared" si="1"/>
        <v>-2.4999999999999991E-2</v>
      </c>
      <c r="X12" s="1">
        <f t="shared" si="2"/>
        <v>4.330127018922194E-2</v>
      </c>
      <c r="Y12" s="1">
        <f t="shared" si="3"/>
        <v>2.2300000000000004E-2</v>
      </c>
      <c r="Z12" s="1">
        <f t="shared" si="4"/>
        <v>-1.2198729810778061E-2</v>
      </c>
      <c r="AA12" s="1">
        <f t="shared" si="5"/>
        <v>-2.4999999999999991E-2</v>
      </c>
      <c r="AC12" s="1">
        <f>-V2/5</f>
        <v>-0.01</v>
      </c>
      <c r="AD12" s="1">
        <f>C3</f>
        <v>4.7299999999999995E-2</v>
      </c>
    </row>
    <row r="13" spans="2:30" ht="15" customHeight="1" x14ac:dyDescent="0.25">
      <c r="B13" s="85"/>
      <c r="C13" s="35"/>
      <c r="D13" s="30"/>
      <c r="E13" s="30"/>
      <c r="F13" s="30"/>
      <c r="G13" s="30"/>
      <c r="H13" s="31"/>
      <c r="I13" s="35"/>
      <c r="J13" s="30"/>
      <c r="K13" s="30"/>
      <c r="L13" s="30"/>
      <c r="M13" s="31"/>
      <c r="U13" s="1">
        <v>135</v>
      </c>
      <c r="V13" s="1">
        <f t="shared" si="0"/>
        <v>3.5355339059327383E-2</v>
      </c>
      <c r="W13" s="1">
        <f t="shared" si="1"/>
        <v>-3.5355339059327376E-2</v>
      </c>
      <c r="X13" s="1">
        <f t="shared" si="2"/>
        <v>3.5355339059327383E-2</v>
      </c>
      <c r="Y13" s="1">
        <f t="shared" si="3"/>
        <v>1.1944660940672619E-2</v>
      </c>
      <c r="Z13" s="1">
        <f t="shared" si="4"/>
        <v>-2.0144660940672618E-2</v>
      </c>
      <c r="AA13" s="1">
        <f t="shared" si="5"/>
        <v>-3.5355339059327376E-2</v>
      </c>
      <c r="AC13" s="1">
        <f>V2/5</f>
        <v>0.01</v>
      </c>
      <c r="AD13" s="1">
        <f>C3</f>
        <v>4.7299999999999995E-2</v>
      </c>
    </row>
    <row r="14" spans="2:30" ht="15" customHeight="1" x14ac:dyDescent="0.25">
      <c r="B14" s="85"/>
      <c r="C14" s="35"/>
      <c r="D14" s="30"/>
      <c r="E14" s="30"/>
      <c r="F14" s="30"/>
      <c r="G14" s="30"/>
      <c r="H14" s="31"/>
      <c r="I14" s="35"/>
      <c r="J14" s="30"/>
      <c r="K14" s="30"/>
      <c r="L14" s="30"/>
      <c r="M14" s="31"/>
      <c r="U14" s="1">
        <v>150</v>
      </c>
      <c r="V14" s="1">
        <f t="shared" si="0"/>
        <v>2.4999999999999998E-2</v>
      </c>
      <c r="W14" s="1">
        <f t="shared" si="1"/>
        <v>-4.330127018922194E-2</v>
      </c>
      <c r="X14" s="1">
        <f t="shared" si="2"/>
        <v>2.4999999999999998E-2</v>
      </c>
      <c r="Y14" s="1">
        <f t="shared" si="3"/>
        <v>3.9987298107780553E-3</v>
      </c>
      <c r="Z14" s="1">
        <f t="shared" si="4"/>
        <v>-3.0500000000000003E-2</v>
      </c>
      <c r="AA14" s="1">
        <f t="shared" si="5"/>
        <v>-4.330127018922194E-2</v>
      </c>
      <c r="AC14" s="1">
        <f>$C$4</f>
        <v>-5.5500000000000001E-2</v>
      </c>
      <c r="AD14" s="1">
        <f>-V2/5</f>
        <v>-0.01</v>
      </c>
    </row>
    <row r="15" spans="2:30" ht="15" customHeight="1" x14ac:dyDescent="0.25">
      <c r="B15" s="85"/>
      <c r="C15" s="35"/>
      <c r="D15" s="30"/>
      <c r="E15" s="30"/>
      <c r="F15" s="30"/>
      <c r="G15" s="30"/>
      <c r="H15" s="31"/>
      <c r="I15" s="35"/>
      <c r="J15" s="30"/>
      <c r="K15" s="30"/>
      <c r="L15" s="30"/>
      <c r="M15" s="31"/>
      <c r="U15" s="1">
        <v>165</v>
      </c>
      <c r="V15" s="1">
        <f t="shared" si="0"/>
        <v>1.2940952255126051E-2</v>
      </c>
      <c r="W15" s="1">
        <f t="shared" si="1"/>
        <v>-4.8296291314453413E-2</v>
      </c>
      <c r="X15" s="1">
        <f t="shared" si="2"/>
        <v>1.2940952255126051E-2</v>
      </c>
      <c r="Y15" s="1">
        <f t="shared" si="3"/>
        <v>-9.9629131445341801E-4</v>
      </c>
      <c r="Z15" s="1">
        <f t="shared" si="4"/>
        <v>-4.255904774487395E-2</v>
      </c>
      <c r="AA15" s="1">
        <f t="shared" si="5"/>
        <v>-4.8296291314453413E-2</v>
      </c>
      <c r="AC15" s="1">
        <f>$C$4</f>
        <v>-5.5500000000000001E-2</v>
      </c>
      <c r="AD15" s="1">
        <f>V2/5</f>
        <v>0.01</v>
      </c>
    </row>
    <row r="16" spans="2:30" ht="15" customHeight="1" x14ac:dyDescent="0.25">
      <c r="B16" s="85"/>
      <c r="C16" s="35"/>
      <c r="D16" s="30"/>
      <c r="E16" s="30"/>
      <c r="F16" s="30"/>
      <c r="G16" s="30"/>
      <c r="H16" s="31"/>
      <c r="I16" s="35"/>
      <c r="J16" s="30"/>
      <c r="K16" s="30"/>
      <c r="L16" s="30"/>
      <c r="M16" s="31"/>
      <c r="U16" s="1">
        <v>180</v>
      </c>
      <c r="V16" s="1">
        <f t="shared" si="0"/>
        <v>6.1257422745431001E-18</v>
      </c>
      <c r="W16" s="1">
        <f t="shared" si="1"/>
        <v>-0.05</v>
      </c>
      <c r="X16" s="1">
        <f t="shared" si="2"/>
        <v>6.1257422745431001E-18</v>
      </c>
      <c r="Y16" s="1">
        <f t="shared" si="3"/>
        <v>-2.7000000000000079E-3</v>
      </c>
      <c r="Z16" s="1">
        <f t="shared" si="4"/>
        <v>-5.5499999999999994E-2</v>
      </c>
      <c r="AA16" s="1">
        <f t="shared" si="5"/>
        <v>-0.05</v>
      </c>
      <c r="AC16" s="1">
        <f>$C$4-$V$2/5</f>
        <v>-6.5500000000000003E-2</v>
      </c>
      <c r="AD16" s="1">
        <f>$C$6</f>
        <v>0</v>
      </c>
    </row>
    <row r="17" spans="2:30" ht="15" customHeight="1" x14ac:dyDescent="0.25">
      <c r="B17" s="85"/>
      <c r="C17" s="35"/>
      <c r="D17" s="30"/>
      <c r="E17" s="30"/>
      <c r="F17" s="30"/>
      <c r="G17" s="30"/>
      <c r="H17" s="31"/>
      <c r="I17" s="35"/>
      <c r="J17" s="30"/>
      <c r="K17" s="30"/>
      <c r="L17" s="30"/>
      <c r="M17" s="31"/>
      <c r="U17" s="1">
        <v>195</v>
      </c>
      <c r="V17" s="1">
        <f t="shared" si="0"/>
        <v>-1.294095225512604E-2</v>
      </c>
      <c r="W17" s="1">
        <f t="shared" si="1"/>
        <v>-4.829629131445342E-2</v>
      </c>
      <c r="X17" s="1">
        <f t="shared" si="2"/>
        <v>-1.294095225512604E-2</v>
      </c>
      <c r="Y17" s="1">
        <f t="shared" si="3"/>
        <v>-9.9629131445342495E-4</v>
      </c>
      <c r="Z17" s="1">
        <f t="shared" si="4"/>
        <v>-6.8440952255126045E-2</v>
      </c>
      <c r="AA17" s="1">
        <f t="shared" si="5"/>
        <v>-4.829629131445342E-2</v>
      </c>
      <c r="AC17" s="1">
        <f>$C$4+$V$2/5</f>
        <v>-4.5499999999999999E-2</v>
      </c>
      <c r="AD17" s="1">
        <f>$C$6</f>
        <v>0</v>
      </c>
    </row>
    <row r="18" spans="2:30" ht="15" customHeight="1" x14ac:dyDescent="0.25">
      <c r="B18" s="85"/>
      <c r="C18" s="35"/>
      <c r="D18" s="30"/>
      <c r="E18" s="30"/>
      <c r="F18" s="30"/>
      <c r="G18" s="30"/>
      <c r="H18" s="31"/>
      <c r="I18" s="35"/>
      <c r="J18" s="30"/>
      <c r="K18" s="30"/>
      <c r="L18" s="30"/>
      <c r="M18" s="31"/>
      <c r="U18" s="1">
        <v>210</v>
      </c>
      <c r="V18" s="1">
        <f t="shared" si="0"/>
        <v>-2.5000000000000008E-2</v>
      </c>
      <c r="W18" s="1">
        <f t="shared" si="1"/>
        <v>-4.3301270189221933E-2</v>
      </c>
      <c r="X18" s="1">
        <f t="shared" si="2"/>
        <v>-2.5000000000000008E-2</v>
      </c>
      <c r="Y18" s="1">
        <f t="shared" si="3"/>
        <v>3.9987298107780622E-3</v>
      </c>
      <c r="Z18" s="1">
        <f t="shared" si="4"/>
        <v>-8.0500000000000016E-2</v>
      </c>
      <c r="AA18" s="1">
        <f t="shared" si="5"/>
        <v>-4.3301270189221933E-2</v>
      </c>
    </row>
    <row r="19" spans="2:30" ht="15" customHeight="1" x14ac:dyDescent="0.25">
      <c r="B19" s="85"/>
      <c r="C19" s="35"/>
      <c r="D19" s="30"/>
      <c r="E19" s="30"/>
      <c r="F19" s="30"/>
      <c r="G19" s="30"/>
      <c r="H19" s="31"/>
      <c r="I19" s="35"/>
      <c r="J19" s="30"/>
      <c r="K19" s="30"/>
      <c r="L19" s="30"/>
      <c r="M19" s="31"/>
      <c r="U19" s="1">
        <v>225</v>
      </c>
      <c r="V19" s="1">
        <f t="shared" si="0"/>
        <v>-3.5355339059327376E-2</v>
      </c>
      <c r="W19" s="1">
        <f t="shared" si="1"/>
        <v>-3.5355339059327383E-2</v>
      </c>
      <c r="X19" s="1">
        <f t="shared" si="2"/>
        <v>-3.5355339059327376E-2</v>
      </c>
      <c r="Y19" s="1">
        <f t="shared" si="3"/>
        <v>1.1944660940672612E-2</v>
      </c>
      <c r="Z19" s="1">
        <f t="shared" si="4"/>
        <v>-9.0855339059327384E-2</v>
      </c>
      <c r="AA19" s="1">
        <f t="shared" si="5"/>
        <v>-3.5355339059327383E-2</v>
      </c>
    </row>
    <row r="20" spans="2:30" ht="15" customHeight="1" x14ac:dyDescent="0.25">
      <c r="B20" s="85"/>
      <c r="C20" s="35"/>
      <c r="D20" s="30"/>
      <c r="E20" s="30"/>
      <c r="F20" s="30"/>
      <c r="G20" s="30"/>
      <c r="H20" s="31"/>
      <c r="I20" s="35"/>
      <c r="J20" s="30"/>
      <c r="K20" s="30"/>
      <c r="L20" s="30"/>
      <c r="M20" s="31"/>
      <c r="U20" s="1">
        <v>240</v>
      </c>
      <c r="V20" s="1">
        <f t="shared" si="0"/>
        <v>-4.3301270189221919E-2</v>
      </c>
      <c r="W20" s="1">
        <f t="shared" si="1"/>
        <v>-2.5000000000000022E-2</v>
      </c>
      <c r="X20" s="1">
        <f t="shared" si="2"/>
        <v>-4.3301270189221919E-2</v>
      </c>
      <c r="Y20" s="1">
        <f t="shared" si="3"/>
        <v>2.2299999999999973E-2</v>
      </c>
      <c r="Z20" s="1">
        <f t="shared" si="4"/>
        <v>-9.8801270189221913E-2</v>
      </c>
      <c r="AA20" s="1">
        <f t="shared" si="5"/>
        <v>-2.5000000000000022E-2</v>
      </c>
    </row>
    <row r="21" spans="2:30" ht="15" customHeight="1" x14ac:dyDescent="0.25">
      <c r="B21" s="85"/>
      <c r="C21" s="35"/>
      <c r="D21" s="30"/>
      <c r="E21" s="30"/>
      <c r="F21" s="30"/>
      <c r="G21" s="30"/>
      <c r="H21" s="31"/>
      <c r="I21" s="35"/>
      <c r="J21" s="30"/>
      <c r="K21" s="30"/>
      <c r="L21" s="30"/>
      <c r="M21" s="31"/>
      <c r="U21" s="1">
        <v>255</v>
      </c>
      <c r="V21" s="1">
        <f t="shared" si="0"/>
        <v>-4.829629131445342E-2</v>
      </c>
      <c r="W21" s="1">
        <f t="shared" si="1"/>
        <v>-1.2940952255126032E-2</v>
      </c>
      <c r="X21" s="1">
        <f t="shared" si="2"/>
        <v>-4.829629131445342E-2</v>
      </c>
      <c r="Y21" s="1">
        <f t="shared" si="3"/>
        <v>3.4359047744873965E-2</v>
      </c>
      <c r="Z21" s="1">
        <f t="shared" si="4"/>
        <v>-0.10379629131445342</v>
      </c>
      <c r="AA21" s="1">
        <f t="shared" si="5"/>
        <v>-1.2940952255126032E-2</v>
      </c>
    </row>
    <row r="22" spans="2:30" ht="15" customHeight="1" x14ac:dyDescent="0.25">
      <c r="B22" s="85"/>
      <c r="C22" s="35"/>
      <c r="D22" s="30"/>
      <c r="E22" s="30"/>
      <c r="F22" s="30"/>
      <c r="G22" s="30"/>
      <c r="H22" s="31"/>
      <c r="I22" s="35"/>
      <c r="J22" s="30"/>
      <c r="K22" s="30"/>
      <c r="L22" s="30"/>
      <c r="M22" s="31"/>
      <c r="U22" s="1">
        <v>270</v>
      </c>
      <c r="V22" s="1">
        <f t="shared" si="0"/>
        <v>-0.05</v>
      </c>
      <c r="W22" s="1">
        <f t="shared" si="1"/>
        <v>-9.1886134118146501E-18</v>
      </c>
      <c r="X22" s="1">
        <f t="shared" si="2"/>
        <v>-0.05</v>
      </c>
      <c r="Y22" s="1">
        <f t="shared" si="3"/>
        <v>4.7299999999999988E-2</v>
      </c>
      <c r="Z22" s="1">
        <f t="shared" si="4"/>
        <v>-0.10550000000000001</v>
      </c>
      <c r="AA22" s="1">
        <f t="shared" si="5"/>
        <v>-9.1886134118146501E-18</v>
      </c>
    </row>
    <row r="23" spans="2:30" x14ac:dyDescent="0.25">
      <c r="B23" s="85"/>
      <c r="C23" s="35"/>
      <c r="D23" s="30"/>
      <c r="E23" s="30"/>
      <c r="F23" s="30"/>
      <c r="G23" s="30"/>
      <c r="H23" s="31"/>
      <c r="I23" s="42"/>
      <c r="J23" s="30"/>
      <c r="K23" s="30"/>
      <c r="L23" s="30"/>
      <c r="M23" s="31"/>
      <c r="U23" s="1">
        <v>285</v>
      </c>
      <c r="V23" s="1">
        <f t="shared" si="0"/>
        <v>-4.8296291314453427E-2</v>
      </c>
      <c r="W23" s="1">
        <f t="shared" si="1"/>
        <v>1.2940952255126016E-2</v>
      </c>
      <c r="X23" s="1">
        <f t="shared" si="2"/>
        <v>-4.8296291314453427E-2</v>
      </c>
      <c r="Y23" s="1">
        <f t="shared" si="3"/>
        <v>6.0240952255126011E-2</v>
      </c>
      <c r="Z23" s="1">
        <f t="shared" si="4"/>
        <v>-0.10379629131445342</v>
      </c>
      <c r="AA23" s="1">
        <f t="shared" si="5"/>
        <v>1.2940952255126016E-2</v>
      </c>
    </row>
    <row r="24" spans="2:30" x14ac:dyDescent="0.25">
      <c r="B24" s="85"/>
      <c r="C24" s="35"/>
      <c r="D24" s="30"/>
      <c r="E24" s="30"/>
      <c r="F24" s="30"/>
      <c r="G24" s="30"/>
      <c r="H24" s="31"/>
      <c r="I24" s="35"/>
      <c r="J24" s="30"/>
      <c r="K24" s="30"/>
      <c r="L24" s="30"/>
      <c r="M24" s="31"/>
      <c r="U24" s="1">
        <v>300</v>
      </c>
      <c r="V24" s="1">
        <f t="shared" si="0"/>
        <v>-4.3301270189221933E-2</v>
      </c>
      <c r="W24" s="1">
        <f t="shared" si="1"/>
        <v>2.5000000000000008E-2</v>
      </c>
      <c r="X24" s="1">
        <f t="shared" si="2"/>
        <v>-4.3301270189221933E-2</v>
      </c>
      <c r="Y24" s="1">
        <f t="shared" si="3"/>
        <v>7.2300000000000003E-2</v>
      </c>
      <c r="Z24" s="1">
        <f t="shared" si="4"/>
        <v>-9.880127018922194E-2</v>
      </c>
      <c r="AA24" s="1">
        <f t="shared" si="5"/>
        <v>2.5000000000000008E-2</v>
      </c>
    </row>
    <row r="25" spans="2:30" x14ac:dyDescent="0.25">
      <c r="B25" s="86"/>
      <c r="C25" s="36"/>
      <c r="D25" s="32"/>
      <c r="E25" s="32"/>
      <c r="F25" s="32"/>
      <c r="G25" s="32"/>
      <c r="H25" s="33"/>
      <c r="I25" s="36"/>
      <c r="J25" s="32"/>
      <c r="K25" s="32"/>
      <c r="L25" s="32"/>
      <c r="M25" s="33"/>
      <c r="U25" s="1">
        <v>315</v>
      </c>
      <c r="V25" s="1">
        <f t="shared" si="0"/>
        <v>-3.5355339059327383E-2</v>
      </c>
      <c r="W25" s="1">
        <f t="shared" si="1"/>
        <v>3.5355339059327369E-2</v>
      </c>
      <c r="X25" s="1">
        <f t="shared" si="2"/>
        <v>-3.5355339059327383E-2</v>
      </c>
      <c r="Y25" s="1">
        <f t="shared" si="3"/>
        <v>8.2655339059327371E-2</v>
      </c>
      <c r="Z25" s="1">
        <f t="shared" si="4"/>
        <v>-9.0855339059327384E-2</v>
      </c>
      <c r="AA25" s="1">
        <f t="shared" si="5"/>
        <v>3.5355339059327369E-2</v>
      </c>
    </row>
    <row r="26" spans="2:30" x14ac:dyDescent="0.25">
      <c r="B26" s="84" t="s">
        <v>29</v>
      </c>
      <c r="C26" s="30"/>
      <c r="D26" s="30"/>
      <c r="E26" s="30"/>
      <c r="F26" s="30"/>
      <c r="G26" s="30"/>
      <c r="H26" s="31"/>
      <c r="I26" s="34"/>
      <c r="J26" s="28"/>
      <c r="K26" s="28"/>
      <c r="L26" s="28"/>
      <c r="M26" s="29"/>
      <c r="U26" s="1">
        <v>330</v>
      </c>
      <c r="V26" s="1">
        <f t="shared" si="0"/>
        <v>-2.5000000000000022E-2</v>
      </c>
      <c r="W26" s="1">
        <f t="shared" si="1"/>
        <v>4.3301270189221919E-2</v>
      </c>
      <c r="X26" s="1">
        <f t="shared" si="2"/>
        <v>-2.5000000000000022E-2</v>
      </c>
      <c r="Y26" s="1">
        <f t="shared" si="3"/>
        <v>9.0601270189221914E-2</v>
      </c>
      <c r="Z26" s="1">
        <f t="shared" si="4"/>
        <v>-8.0500000000000016E-2</v>
      </c>
      <c r="AA26" s="1">
        <f t="shared" si="5"/>
        <v>4.3301270189221919E-2</v>
      </c>
    </row>
    <row r="27" spans="2:30" x14ac:dyDescent="0.25">
      <c r="B27" s="85"/>
      <c r="C27" s="30"/>
      <c r="D27" s="30"/>
      <c r="E27" s="30"/>
      <c r="F27" s="30"/>
      <c r="G27" s="30"/>
      <c r="H27" s="31"/>
      <c r="I27" s="35"/>
      <c r="J27" s="30"/>
      <c r="K27" s="30"/>
      <c r="L27" s="30"/>
      <c r="M27" s="31"/>
      <c r="U27" s="1">
        <v>345</v>
      </c>
      <c r="V27" s="1">
        <f t="shared" si="0"/>
        <v>-1.2940952255126035E-2</v>
      </c>
      <c r="W27" s="1">
        <f t="shared" si="1"/>
        <v>4.829629131445342E-2</v>
      </c>
      <c r="X27" s="1">
        <f t="shared" si="2"/>
        <v>-1.2940952255126035E-2</v>
      </c>
      <c r="Y27" s="1">
        <f t="shared" si="3"/>
        <v>9.5596291314453408E-2</v>
      </c>
      <c r="Z27" s="1">
        <f t="shared" si="4"/>
        <v>-6.8440952255126031E-2</v>
      </c>
      <c r="AA27" s="1">
        <f t="shared" si="5"/>
        <v>4.829629131445342E-2</v>
      </c>
    </row>
    <row r="28" spans="2:30" x14ac:dyDescent="0.25">
      <c r="B28" s="85"/>
      <c r="C28" s="30"/>
      <c r="D28" s="30"/>
      <c r="E28" s="30"/>
      <c r="F28" s="30"/>
      <c r="G28" s="30"/>
      <c r="H28" s="31"/>
      <c r="I28" s="35"/>
      <c r="J28" s="30"/>
      <c r="K28" s="30"/>
      <c r="L28" s="30"/>
      <c r="M28" s="31"/>
      <c r="U28" s="1">
        <v>360</v>
      </c>
      <c r="V28" s="1">
        <f t="shared" si="0"/>
        <v>-1.22514845490862E-17</v>
      </c>
      <c r="W28" s="1">
        <f t="shared" si="1"/>
        <v>0.05</v>
      </c>
      <c r="X28" s="1">
        <f t="shared" si="2"/>
        <v>-1.22514845490862E-17</v>
      </c>
      <c r="Y28" s="1">
        <f t="shared" si="3"/>
        <v>9.7299999999999998E-2</v>
      </c>
      <c r="Z28" s="1">
        <f t="shared" si="4"/>
        <v>-5.5500000000000015E-2</v>
      </c>
      <c r="AA28" s="1">
        <f t="shared" si="5"/>
        <v>0.05</v>
      </c>
    </row>
    <row r="29" spans="2:30" x14ac:dyDescent="0.25">
      <c r="B29" s="85"/>
      <c r="C29" s="30"/>
      <c r="D29" s="30"/>
      <c r="E29" s="30"/>
      <c r="F29" s="30"/>
      <c r="G29" s="30"/>
      <c r="H29" s="31"/>
      <c r="I29" s="35"/>
      <c r="J29" s="30"/>
      <c r="K29" s="30"/>
      <c r="L29" s="30"/>
      <c r="M29" s="31"/>
    </row>
    <row r="30" spans="2:30" x14ac:dyDescent="0.25">
      <c r="B30" s="85"/>
      <c r="C30" s="30"/>
      <c r="D30" s="30"/>
      <c r="E30" s="30"/>
      <c r="F30" s="30"/>
      <c r="G30" s="30"/>
      <c r="H30" s="31"/>
      <c r="I30" s="35"/>
      <c r="J30" s="30"/>
      <c r="K30" s="30"/>
      <c r="L30" s="30"/>
      <c r="M30" s="31"/>
    </row>
    <row r="31" spans="2:30" x14ac:dyDescent="0.25">
      <c r="B31" s="85"/>
      <c r="C31" s="30"/>
      <c r="D31" s="30"/>
      <c r="E31" s="30"/>
      <c r="F31" s="30"/>
      <c r="G31" s="30"/>
      <c r="H31" s="31"/>
      <c r="I31" s="35"/>
      <c r="J31" s="30"/>
      <c r="K31" s="30"/>
      <c r="L31" s="30"/>
      <c r="M31" s="31"/>
    </row>
    <row r="32" spans="2:30" x14ac:dyDescent="0.25">
      <c r="B32" s="85"/>
      <c r="C32" s="30"/>
      <c r="D32" s="30"/>
      <c r="E32" s="30"/>
      <c r="F32" s="30"/>
      <c r="G32" s="30"/>
      <c r="H32" s="31"/>
      <c r="I32" s="35"/>
      <c r="J32" s="30"/>
      <c r="K32" s="30"/>
      <c r="L32" s="30"/>
      <c r="M32" s="31"/>
    </row>
    <row r="33" spans="2:17" x14ac:dyDescent="0.25">
      <c r="B33" s="85"/>
      <c r="C33" s="30"/>
      <c r="D33" s="30"/>
      <c r="E33" s="30"/>
      <c r="F33" s="30"/>
      <c r="G33" s="30"/>
      <c r="H33" s="31"/>
      <c r="I33" s="35"/>
      <c r="J33" s="30"/>
      <c r="K33" s="30"/>
      <c r="L33" s="30"/>
      <c r="M33" s="31"/>
    </row>
    <row r="34" spans="2:17" x14ac:dyDescent="0.25">
      <c r="B34" s="85"/>
      <c r="C34" s="30"/>
      <c r="D34" s="30"/>
      <c r="E34" s="30"/>
      <c r="F34" s="30"/>
      <c r="G34" s="30"/>
      <c r="H34" s="31"/>
      <c r="I34" s="35"/>
      <c r="J34" s="30"/>
      <c r="K34" s="30"/>
      <c r="L34" s="30"/>
      <c r="M34" s="31"/>
    </row>
    <row r="35" spans="2:17" x14ac:dyDescent="0.25">
      <c r="B35" s="85"/>
      <c r="C35" s="30"/>
      <c r="D35" s="30"/>
      <c r="E35" s="30"/>
      <c r="F35" s="30"/>
      <c r="G35" s="30"/>
      <c r="H35" s="31"/>
      <c r="I35" s="35"/>
      <c r="J35" s="30"/>
      <c r="K35" s="30"/>
      <c r="L35" s="30"/>
      <c r="M35" s="31"/>
      <c r="O35" s="81" t="s">
        <v>7</v>
      </c>
      <c r="P35" s="81"/>
    </row>
    <row r="36" spans="2:17" x14ac:dyDescent="0.25">
      <c r="B36" s="85"/>
      <c r="C36" s="30"/>
      <c r="D36" s="30"/>
      <c r="E36" s="30"/>
      <c r="F36" s="30"/>
      <c r="G36" s="30"/>
      <c r="H36" s="31"/>
      <c r="I36" s="35"/>
      <c r="J36" s="30"/>
      <c r="K36" s="30"/>
      <c r="L36" s="30"/>
      <c r="M36" s="31"/>
      <c r="O36" s="82" t="s">
        <v>8</v>
      </c>
      <c r="P36" s="82"/>
    </row>
    <row r="37" spans="2:17" x14ac:dyDescent="0.25">
      <c r="B37" s="85"/>
      <c r="C37" s="30"/>
      <c r="D37" s="30"/>
      <c r="E37" s="30"/>
      <c r="F37" s="30"/>
      <c r="G37" s="30"/>
      <c r="H37" s="31"/>
      <c r="I37" s="35"/>
      <c r="J37" s="30"/>
      <c r="K37" s="30"/>
      <c r="L37" s="30"/>
      <c r="M37" s="31"/>
      <c r="O37" s="91" t="s">
        <v>9</v>
      </c>
      <c r="P37" s="91"/>
    </row>
    <row r="38" spans="2:17" x14ac:dyDescent="0.25">
      <c r="B38" s="85"/>
      <c r="C38" s="30"/>
      <c r="D38" s="30"/>
      <c r="E38" s="30"/>
      <c r="F38" s="30"/>
      <c r="G38" s="30"/>
      <c r="H38" s="31"/>
      <c r="I38" s="35"/>
      <c r="J38" s="30"/>
      <c r="K38" s="30"/>
      <c r="L38" s="30"/>
      <c r="M38" s="31"/>
      <c r="O38" s="87" t="s">
        <v>4</v>
      </c>
      <c r="P38" s="87"/>
    </row>
    <row r="39" spans="2:17" x14ac:dyDescent="0.25">
      <c r="B39" s="85"/>
      <c r="C39" s="30"/>
      <c r="D39" s="30"/>
      <c r="E39" s="30"/>
      <c r="F39" s="30"/>
      <c r="G39" s="30"/>
      <c r="H39" s="31"/>
      <c r="I39" s="35"/>
      <c r="J39" s="30"/>
      <c r="K39" s="30"/>
      <c r="L39" s="30"/>
      <c r="M39" s="31"/>
      <c r="O39" s="88" t="s">
        <v>10</v>
      </c>
      <c r="P39" s="88"/>
    </row>
    <row r="40" spans="2:17" x14ac:dyDescent="0.25">
      <c r="B40" s="85"/>
      <c r="C40" s="30"/>
      <c r="D40" s="30"/>
      <c r="E40" s="30"/>
      <c r="F40" s="30"/>
      <c r="G40" s="30"/>
      <c r="H40" s="31"/>
      <c r="I40" s="35"/>
      <c r="J40" s="30"/>
      <c r="K40" s="30"/>
      <c r="L40" s="30"/>
      <c r="M40" s="31"/>
    </row>
    <row r="41" spans="2:17" x14ac:dyDescent="0.25">
      <c r="B41" s="85"/>
      <c r="C41" s="30"/>
      <c r="D41" s="30"/>
      <c r="E41" s="30"/>
      <c r="F41" s="30"/>
      <c r="G41" s="30"/>
      <c r="H41" s="31"/>
      <c r="I41" s="35"/>
      <c r="J41" s="30"/>
      <c r="K41" s="30"/>
      <c r="L41" s="30"/>
      <c r="M41" s="31"/>
      <c r="O41" s="89" t="s">
        <v>13</v>
      </c>
      <c r="P41" s="89"/>
      <c r="Q41" s="89"/>
    </row>
    <row r="42" spans="2:17" x14ac:dyDescent="0.25">
      <c r="B42" s="85"/>
      <c r="C42" s="30"/>
      <c r="D42" s="30"/>
      <c r="E42" s="30"/>
      <c r="F42" s="30"/>
      <c r="G42" s="30"/>
      <c r="H42" s="31"/>
      <c r="I42" s="35"/>
      <c r="J42" s="30"/>
      <c r="K42" s="30"/>
      <c r="L42" s="30"/>
      <c r="M42" s="31"/>
      <c r="O42" s="7">
        <v>0</v>
      </c>
      <c r="P42" s="90" t="s">
        <v>14</v>
      </c>
      <c r="Q42" s="90"/>
    </row>
    <row r="43" spans="2:17" x14ac:dyDescent="0.25">
      <c r="B43" s="85"/>
      <c r="C43" s="30"/>
      <c r="D43" s="30"/>
      <c r="E43" s="30"/>
      <c r="F43" s="30"/>
      <c r="G43" s="30"/>
      <c r="H43" s="31"/>
      <c r="I43" s="35"/>
      <c r="J43" s="30"/>
      <c r="K43" s="30"/>
      <c r="L43" s="30"/>
      <c r="M43" s="31"/>
      <c r="O43" s="8">
        <v>0.5</v>
      </c>
      <c r="P43" s="83" t="s">
        <v>15</v>
      </c>
      <c r="Q43" s="83"/>
    </row>
    <row r="44" spans="2:17" x14ac:dyDescent="0.25">
      <c r="B44" s="86"/>
      <c r="C44" s="32"/>
      <c r="D44" s="32"/>
      <c r="E44" s="32"/>
      <c r="F44" s="32"/>
      <c r="G44" s="32"/>
      <c r="H44" s="33"/>
      <c r="I44" s="36"/>
      <c r="J44" s="32"/>
      <c r="K44" s="32"/>
      <c r="L44" s="32"/>
      <c r="M44" s="33"/>
      <c r="O44" s="8">
        <v>1</v>
      </c>
      <c r="P44" s="83" t="s">
        <v>16</v>
      </c>
      <c r="Q44" s="83"/>
    </row>
  </sheetData>
  <mergeCells count="14">
    <mergeCell ref="P44:Q44"/>
    <mergeCell ref="B7:B25"/>
    <mergeCell ref="B26:B44"/>
    <mergeCell ref="O38:P38"/>
    <mergeCell ref="O39:P39"/>
    <mergeCell ref="O41:Q41"/>
    <mergeCell ref="P42:Q42"/>
    <mergeCell ref="P43:Q43"/>
    <mergeCell ref="O37:P37"/>
    <mergeCell ref="F3:J3"/>
    <mergeCell ref="F4:J4"/>
    <mergeCell ref="F2:J2"/>
    <mergeCell ref="O35:P35"/>
    <mergeCell ref="O36:P36"/>
  </mergeCells>
  <phoneticPr fontId="2" type="noConversion"/>
  <conditionalFormatting sqref="E3:E4">
    <cfRule type="iconSet" priority="3">
      <iconSet iconSet="3Symbols" reverse="1">
        <cfvo type="percent" val="0"/>
        <cfvo type="num" val="0.8"/>
        <cfvo type="num" val="1"/>
      </iconSet>
    </cfRule>
  </conditionalFormatting>
  <conditionalFormatting sqref="O42:O44">
    <cfRule type="iconSet" priority="1">
      <iconSet iconSet="3Symbols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9525</xdr:colOff>
                    <xdr:row>4</xdr:row>
                    <xdr:rowOff>0</xdr:rowOff>
                  </from>
                  <to>
                    <xdr:col>10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C17D0-0A96-42D9-AA4B-BAD7D6E5CFFD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2710bc8b-17c9-4e36-a567-5a8748d28b44"/>
    <ds:schemaRef ds:uri="f16ae08e-32aa-43c4-955b-813e13c9303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DE07B9-024C-45D2-A450-6F1881AEFF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64DA22-9BA7-4CE6-A063-19DE5A7ED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content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Cademartori</dc:creator>
  <cp:lastModifiedBy>Jose Omonte Rossi</cp:lastModifiedBy>
  <dcterms:created xsi:type="dcterms:W3CDTF">2025-06-05T07:47:19Z</dcterms:created>
  <dcterms:modified xsi:type="dcterms:W3CDTF">2025-06-19T13:04:22Z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