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1\4. José\Da controllare con Ary\SOP-XXX Guideline budget hours\"/>
    </mc:Choice>
  </mc:AlternateContent>
  <xr:revisionPtr revIDLastSave="0" documentId="13_ncr:1_{E665D1C5-75C2-4194-8805-5A98778E2FF5}" xr6:coauthVersionLast="47" xr6:coauthVersionMax="47" xr10:uidLastSave="{00000000-0000-0000-0000-000000000000}"/>
  <bookViews>
    <workbookView xWindow="-120" yWindow="-120" windowWidth="19440" windowHeight="14880" tabRatio="880" xr2:uid="{00000000-000D-0000-FFFF-FFFF00000000}"/>
  </bookViews>
  <sheets>
    <sheet name="Cover" sheetId="28" r:id="rId1"/>
    <sheet name="MASTER" sheetId="18" r:id="rId2"/>
    <sheet name="REPORT" sheetId="27" r:id="rId3"/>
    <sheet name="GANTT" sheetId="34" r:id="rId4"/>
    <sheet name="GANTT_D" sheetId="31" r:id="rId5"/>
    <sheet name="Static analysis" sheetId="29" r:id="rId6"/>
    <sheet name="Dynamic analysis" sheetId="30" r:id="rId7"/>
    <sheet name="Integral Bosses" sheetId="8" r:id="rId8"/>
    <sheet name="Calcs_Hydr" sheetId="4" r:id="rId9"/>
    <sheet name="Calcs_Mech" sheetId="22" r:id="rId10"/>
    <sheet name="Proj. Calc. Rep." sheetId="23" r:id="rId11"/>
    <sheet name="Bearing Housing Design" sheetId="24" r:id="rId12"/>
    <sheet name="BASELINE" sheetId="26" r:id="rId13"/>
    <sheet name="NETWORK_Structure" sheetId="17" r:id="rId14"/>
    <sheet name="Configurator" sheetId="21" state="hidden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bga2">#REF!</definedName>
    <definedName name="_ftnref1" localSheetId="9">[1]Foglio1!$C$31</definedName>
    <definedName name="_ftnref2" localSheetId="9">[1]Foglio1!$C$34</definedName>
    <definedName name="_xleta.AND" hidden="1" xlm="1">#NAME?</definedName>
    <definedName name="_xleta.EXP" hidden="1" xlm="1">#NAME?</definedName>
    <definedName name="_xleta.IF" hidden="1" xlm="1">#NAME?</definedName>
    <definedName name="_xleta.IFS" hidden="1" xlm="1">#NAME?</definedName>
    <definedName name="_xleta.LOG" hidden="1" xlm="1">#NAME?</definedName>
    <definedName name="_xleta.MAX" hidden="1" xlm="1">#NAME?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2">REPORT!$B$2:$H$36</definedName>
    <definedName name="asdfg">[2]DAF!$F$17:$F$20</definedName>
    <definedName name="bga">#REF!</definedName>
    <definedName name="bp">#REF!</definedName>
    <definedName name="CK">#REF!</definedName>
    <definedName name="Complexity">Configurator!$N$5:$N$7</definedName>
    <definedName name="Complexity_Coeff">Configurator!$N$8:$N$10</definedName>
    <definedName name="d">#REF!</definedName>
    <definedName name="das">#REF!</definedName>
    <definedName name="ddd">'[3]From RPI'!$AB$90</definedName>
    <definedName name="Doc_type">#REF!</definedName>
    <definedName name="DOCID">[4]listes!$C$2:$C$150</definedName>
    <definedName name="dpt_code">#REF!</definedName>
    <definedName name="EQPT_LIST_UNIT_31">#REF!</definedName>
    <definedName name="FACTORS">#REF!</definedName>
    <definedName name="fm">#REF!</definedName>
    <definedName name="ImpDes">Configurator!$Q$5:$Q$7</definedName>
    <definedName name="Impeller_Eye_Area" localSheetId="0">#REF!</definedName>
    <definedName name="Impeller_Eye_Area">#REF!</definedName>
    <definedName name="Impeller_Eye_Diameter" localSheetId="0">#REF!</definedName>
    <definedName name="Impeller_Eye_Diameter">#REF!</definedName>
    <definedName name="Impeller_Hub_Diameter" localSheetId="0">#REF!</definedName>
    <definedName name="Impeller_Hub_Diameter">#REF!</definedName>
    <definedName name="Impeller_Inlet_Diameter" localSheetId="0">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ateral">Configurator!$U$5:$U$8</definedName>
    <definedName name="LENGHTS">#REF!</definedName>
    <definedName name="LINE_LIST_UNIT_31">#REF!</definedName>
    <definedName name="Number">#REF!</definedName>
    <definedName name="Origin">Configurator!$O$5:$O$7</definedName>
    <definedName name="pipesize">#REF!</definedName>
    <definedName name="Portata">#REF!</definedName>
    <definedName name="portatacalcolo">'[5]Basi di progetto'!$D$16</definedName>
    <definedName name="portataminima">'[5]Basi di progetto'!$D$10</definedName>
    <definedName name="portatanera">'[5]Basi di progetto'!$D$14</definedName>
    <definedName name="portcalcolo">#REF!</definedName>
    <definedName name="portnera">#REF!</definedName>
    <definedName name="Print_Area_MI">#REF!</definedName>
    <definedName name="ProjCalcRep">Configurator!$Z$5:$Z$7</definedName>
    <definedName name="prtpioggia">'[5]Basi di progetto'!$D$12</definedName>
    <definedName name="pump">#REF!</definedName>
    <definedName name="Pump_Family">Configurator!$R$5:$R$27</definedName>
    <definedName name="Pump_Family_H">Configurator!$S$5:$S$16</definedName>
    <definedName name="Pump_Family_V">Configurator!$T$5:$T$15</definedName>
    <definedName name="PUMPCALC">'[6]PUMP CALCULATION'!$J$4</definedName>
    <definedName name="PUMPDATA">'[6]PUMP CALCULATION'!$J$12</definedName>
    <definedName name="PumpHydrDes">Configurator!$P$5:$P$8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'[3]From RPI'!$AB$88</definedName>
    <definedName name="Seismic">Configurator!$Y$5:$Y$8</definedName>
    <definedName name="solub">#REF!</definedName>
    <definedName name="Static">Configurator!$X$5:$X$8</definedName>
    <definedName name="Structural">Configurator!$W$5:$W$8</definedName>
    <definedName name="Suction_Diameter" localSheetId="0">#REF!</definedName>
    <definedName name="Suction_Diameter">#REF!</definedName>
    <definedName name="Sup">#REF!</definedName>
    <definedName name="title">#REF!</definedName>
    <definedName name="Torsional">Configurator!$V$5:$V$8</definedName>
    <definedName name="uh">#REF!</definedName>
    <definedName name="UNIT">[4]listes!$D$2:$D$150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[4]listes!$A$2:$A$25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8" l="1"/>
  <c r="J11" i="18"/>
  <c r="J26" i="18"/>
  <c r="J30" i="18"/>
  <c r="J62" i="18"/>
  <c r="J63" i="18"/>
  <c r="J70" i="18"/>
  <c r="B22" i="31"/>
  <c r="B23" i="31"/>
  <c r="B24" i="31"/>
  <c r="B25" i="31"/>
  <c r="B26" i="31"/>
  <c r="B27" i="31"/>
  <c r="B28" i="31"/>
  <c r="B29" i="31"/>
  <c r="B21" i="31"/>
  <c r="B24" i="34"/>
  <c r="B25" i="34"/>
  <c r="B26" i="34"/>
  <c r="B27" i="34"/>
  <c r="B28" i="34"/>
  <c r="B29" i="34"/>
  <c r="B30" i="34"/>
  <c r="B31" i="34"/>
  <c r="B23" i="34"/>
  <c r="G25" i="27"/>
  <c r="G22" i="27"/>
  <c r="G20" i="27"/>
  <c r="C5" i="18" l="1"/>
  <c r="AU25" i="26"/>
  <c r="AS25" i="26"/>
  <c r="AQ27" i="26"/>
  <c r="AO27" i="26"/>
  <c r="AM27" i="26"/>
  <c r="AK25" i="26"/>
  <c r="AI27" i="26"/>
  <c r="AG27" i="26"/>
  <c r="AE27" i="26"/>
  <c r="AC27" i="26"/>
  <c r="AA27" i="26"/>
  <c r="Y27" i="26"/>
  <c r="W25" i="26"/>
  <c r="U25" i="26"/>
  <c r="S25" i="26"/>
  <c r="Q25" i="26"/>
  <c r="O25" i="26"/>
  <c r="M25" i="26"/>
  <c r="I25" i="26"/>
  <c r="G25" i="26"/>
  <c r="E25" i="26"/>
  <c r="C25" i="26"/>
  <c r="C70" i="18"/>
  <c r="G27" i="27" s="1"/>
  <c r="AO9" i="31"/>
  <c r="AP9" i="31" s="1"/>
  <c r="AQ9" i="31" s="1"/>
  <c r="AR9" i="31" s="1"/>
  <c r="AS9" i="31" s="1"/>
  <c r="AT9" i="31" s="1"/>
  <c r="AU9" i="31" s="1"/>
  <c r="NM9" i="31"/>
  <c r="NN9" i="31" s="1"/>
  <c r="NO9" i="31" s="1"/>
  <c r="NP9" i="31" s="1"/>
  <c r="NQ9" i="31" s="1"/>
  <c r="NR9" i="31" s="1"/>
  <c r="NS9" i="31" s="1"/>
  <c r="NF9" i="31"/>
  <c r="NG9" i="31" s="1"/>
  <c r="NH9" i="31" s="1"/>
  <c r="NI9" i="31" s="1"/>
  <c r="NJ9" i="31" s="1"/>
  <c r="NK9" i="31" s="1"/>
  <c r="NL9" i="31" s="1"/>
  <c r="MY9" i="31"/>
  <c r="MZ9" i="31" s="1"/>
  <c r="NA9" i="31" s="1"/>
  <c r="NB9" i="31" s="1"/>
  <c r="NC9" i="31" s="1"/>
  <c r="ND9" i="31" s="1"/>
  <c r="NE9" i="31" s="1"/>
  <c r="MR9" i="31"/>
  <c r="MS9" i="31" s="1"/>
  <c r="MT9" i="31" s="1"/>
  <c r="MU9" i="31" s="1"/>
  <c r="MV9" i="31" s="1"/>
  <c r="MW9" i="31" s="1"/>
  <c r="MX9" i="31" s="1"/>
  <c r="MK9" i="31"/>
  <c r="ML9" i="31" s="1"/>
  <c r="MM9" i="31" s="1"/>
  <c r="MN9" i="31" s="1"/>
  <c r="MO9" i="31" s="1"/>
  <c r="MP9" i="31" s="1"/>
  <c r="MQ9" i="31" s="1"/>
  <c r="MD9" i="31"/>
  <c r="ME9" i="31" s="1"/>
  <c r="MF9" i="31" s="1"/>
  <c r="MG9" i="31" s="1"/>
  <c r="MH9" i="31" s="1"/>
  <c r="MI9" i="31" s="1"/>
  <c r="MJ9" i="31" s="1"/>
  <c r="LX9" i="31"/>
  <c r="LY9" i="31" s="1"/>
  <c r="LZ9" i="31" s="1"/>
  <c r="MA9" i="31" s="1"/>
  <c r="MB9" i="31" s="1"/>
  <c r="MC9" i="31" s="1"/>
  <c r="LW9" i="31"/>
  <c r="LP9" i="31"/>
  <c r="LQ9" i="31" s="1"/>
  <c r="LR9" i="31" s="1"/>
  <c r="LS9" i="31" s="1"/>
  <c r="LT9" i="31" s="1"/>
  <c r="LU9" i="31" s="1"/>
  <c r="LV9" i="31" s="1"/>
  <c r="LI9" i="31"/>
  <c r="LJ9" i="31" s="1"/>
  <c r="LK9" i="31" s="1"/>
  <c r="LL9" i="31" s="1"/>
  <c r="LM9" i="31" s="1"/>
  <c r="LN9" i="31" s="1"/>
  <c r="LO9" i="31" s="1"/>
  <c r="LB9" i="31"/>
  <c r="LC9" i="31" s="1"/>
  <c r="LD9" i="31" s="1"/>
  <c r="LE9" i="31" s="1"/>
  <c r="LF9" i="31" s="1"/>
  <c r="LG9" i="31" s="1"/>
  <c r="LH9" i="31" s="1"/>
  <c r="KV9" i="31"/>
  <c r="KW9" i="31" s="1"/>
  <c r="KX9" i="31" s="1"/>
  <c r="KY9" i="31" s="1"/>
  <c r="KZ9" i="31" s="1"/>
  <c r="LA9" i="31" s="1"/>
  <c r="KU9" i="31"/>
  <c r="KO9" i="31"/>
  <c r="KP9" i="31" s="1"/>
  <c r="KQ9" i="31" s="1"/>
  <c r="KR9" i="31" s="1"/>
  <c r="KS9" i="31" s="1"/>
  <c r="KT9" i="31" s="1"/>
  <c r="KN9" i="31"/>
  <c r="KG9" i="31"/>
  <c r="KH9" i="31" s="1"/>
  <c r="KI9" i="31" s="1"/>
  <c r="KJ9" i="31" s="1"/>
  <c r="KK9" i="31" s="1"/>
  <c r="KL9" i="31" s="1"/>
  <c r="KM9" i="31" s="1"/>
  <c r="JZ9" i="31"/>
  <c r="KA9" i="31" s="1"/>
  <c r="KB9" i="31" s="1"/>
  <c r="KC9" i="31" s="1"/>
  <c r="KD9" i="31" s="1"/>
  <c r="KE9" i="31" s="1"/>
  <c r="KF9" i="31" s="1"/>
  <c r="JS9" i="31"/>
  <c r="JT9" i="31" s="1"/>
  <c r="JU9" i="31" s="1"/>
  <c r="JV9" i="31" s="1"/>
  <c r="JW9" i="31" s="1"/>
  <c r="JX9" i="31" s="1"/>
  <c r="JY9" i="31" s="1"/>
  <c r="JL9" i="31"/>
  <c r="JM9" i="31" s="1"/>
  <c r="JN9" i="31" s="1"/>
  <c r="JO9" i="31" s="1"/>
  <c r="JP9" i="31" s="1"/>
  <c r="JQ9" i="31" s="1"/>
  <c r="JR9" i="31" s="1"/>
  <c r="JE9" i="31"/>
  <c r="JF9" i="31" s="1"/>
  <c r="JG9" i="31" s="1"/>
  <c r="JH9" i="31" s="1"/>
  <c r="JI9" i="31" s="1"/>
  <c r="JJ9" i="31" s="1"/>
  <c r="JK9" i="31" s="1"/>
  <c r="IX9" i="31"/>
  <c r="IY9" i="31" s="1"/>
  <c r="IZ9" i="31" s="1"/>
  <c r="JA9" i="31" s="1"/>
  <c r="JB9" i="31" s="1"/>
  <c r="JC9" i="31" s="1"/>
  <c r="JD9" i="31" s="1"/>
  <c r="IR9" i="31"/>
  <c r="IS9" i="31" s="1"/>
  <c r="IT9" i="31" s="1"/>
  <c r="IU9" i="31" s="1"/>
  <c r="IV9" i="31" s="1"/>
  <c r="IW9" i="31" s="1"/>
  <c r="IQ9" i="31"/>
  <c r="IJ9" i="31"/>
  <c r="IK9" i="31" s="1"/>
  <c r="IL9" i="31" s="1"/>
  <c r="IM9" i="31" s="1"/>
  <c r="IN9" i="31" s="1"/>
  <c r="IO9" i="31" s="1"/>
  <c r="IP9" i="31" s="1"/>
  <c r="IC9" i="31"/>
  <c r="ID9" i="31" s="1"/>
  <c r="IE9" i="31" s="1"/>
  <c r="IF9" i="31" s="1"/>
  <c r="IG9" i="31" s="1"/>
  <c r="IH9" i="31" s="1"/>
  <c r="II9" i="31" s="1"/>
  <c r="HV9" i="31"/>
  <c r="HW9" i="31" s="1"/>
  <c r="HX9" i="31" s="1"/>
  <c r="HY9" i="31" s="1"/>
  <c r="HZ9" i="31" s="1"/>
  <c r="IA9" i="31" s="1"/>
  <c r="IB9" i="31" s="1"/>
  <c r="HP9" i="31"/>
  <c r="HQ9" i="31" s="1"/>
  <c r="HR9" i="31" s="1"/>
  <c r="HS9" i="31" s="1"/>
  <c r="HT9" i="31" s="1"/>
  <c r="HU9" i="31" s="1"/>
  <c r="HO9" i="31"/>
  <c r="HH9" i="31"/>
  <c r="HI9" i="31" s="1"/>
  <c r="HJ9" i="31" s="1"/>
  <c r="HK9" i="31" s="1"/>
  <c r="HL9" i="31" s="1"/>
  <c r="HM9" i="31" s="1"/>
  <c r="HN9" i="31" s="1"/>
  <c r="HA9" i="31"/>
  <c r="HB9" i="31" s="1"/>
  <c r="HC9" i="31" s="1"/>
  <c r="HD9" i="31" s="1"/>
  <c r="HE9" i="31" s="1"/>
  <c r="HF9" i="31" s="1"/>
  <c r="HG9" i="31" s="1"/>
  <c r="GT9" i="31"/>
  <c r="GU9" i="31" s="1"/>
  <c r="GV9" i="31" s="1"/>
  <c r="GW9" i="31" s="1"/>
  <c r="GX9" i="31" s="1"/>
  <c r="GY9" i="31" s="1"/>
  <c r="GZ9" i="31" s="1"/>
  <c r="GM9" i="31"/>
  <c r="GN9" i="31" s="1"/>
  <c r="GO9" i="31" s="1"/>
  <c r="GP9" i="31" s="1"/>
  <c r="GQ9" i="31" s="1"/>
  <c r="GR9" i="31" s="1"/>
  <c r="GS9" i="31" s="1"/>
  <c r="GF9" i="31"/>
  <c r="GG9" i="31" s="1"/>
  <c r="GH9" i="31" s="1"/>
  <c r="GI9" i="31" s="1"/>
  <c r="GJ9" i="31" s="1"/>
  <c r="GK9" i="31" s="1"/>
  <c r="GL9" i="31" s="1"/>
  <c r="FY9" i="31"/>
  <c r="FZ9" i="31" s="1"/>
  <c r="GA9" i="31" s="1"/>
  <c r="GB9" i="31" s="1"/>
  <c r="GC9" i="31" s="1"/>
  <c r="GD9" i="31" s="1"/>
  <c r="GE9" i="31" s="1"/>
  <c r="FR9" i="31"/>
  <c r="FS9" i="31" s="1"/>
  <c r="FT9" i="31" s="1"/>
  <c r="FU9" i="31" s="1"/>
  <c r="FV9" i="31" s="1"/>
  <c r="FW9" i="31" s="1"/>
  <c r="FX9" i="31" s="1"/>
  <c r="FL9" i="31"/>
  <c r="FM9" i="31" s="1"/>
  <c r="FN9" i="31" s="1"/>
  <c r="FO9" i="31" s="1"/>
  <c r="FP9" i="31" s="1"/>
  <c r="FQ9" i="31" s="1"/>
  <c r="FK9" i="31"/>
  <c r="FH9" i="31"/>
  <c r="FI9" i="31" s="1"/>
  <c r="FJ9" i="31" s="1"/>
  <c r="FD9" i="31"/>
  <c r="FE9" i="31" s="1"/>
  <c r="FF9" i="31" s="1"/>
  <c r="FG9" i="31" s="1"/>
  <c r="EW9" i="31"/>
  <c r="EX9" i="31" s="1"/>
  <c r="EY9" i="31" s="1"/>
  <c r="EZ9" i="31" s="1"/>
  <c r="FA9" i="31" s="1"/>
  <c r="FB9" i="31" s="1"/>
  <c r="FC9" i="31" s="1"/>
  <c r="EP9" i="31"/>
  <c r="EQ9" i="31" s="1"/>
  <c r="ER9" i="31" s="1"/>
  <c r="ES9" i="31" s="1"/>
  <c r="ET9" i="31" s="1"/>
  <c r="EU9" i="31" s="1"/>
  <c r="EV9" i="31" s="1"/>
  <c r="EJ9" i="31"/>
  <c r="EK9" i="31" s="1"/>
  <c r="EL9" i="31" s="1"/>
  <c r="EM9" i="31" s="1"/>
  <c r="EN9" i="31" s="1"/>
  <c r="EO9" i="31" s="1"/>
  <c r="EI9" i="31"/>
  <c r="EB9" i="31"/>
  <c r="EC9" i="31" s="1"/>
  <c r="ED9" i="31" s="1"/>
  <c r="EE9" i="31" s="1"/>
  <c r="EF9" i="31" s="1"/>
  <c r="EG9" i="31" s="1"/>
  <c r="EH9" i="31" s="1"/>
  <c r="DU9" i="31"/>
  <c r="DV9" i="31" s="1"/>
  <c r="DW9" i="31" s="1"/>
  <c r="DX9" i="31" s="1"/>
  <c r="DY9" i="31" s="1"/>
  <c r="DZ9" i="31" s="1"/>
  <c r="EA9" i="31" s="1"/>
  <c r="DN9" i="31"/>
  <c r="DO9" i="31" s="1"/>
  <c r="DP9" i="31" s="1"/>
  <c r="DQ9" i="31" s="1"/>
  <c r="DR9" i="31" s="1"/>
  <c r="DS9" i="31" s="1"/>
  <c r="DT9" i="31" s="1"/>
  <c r="DG9" i="31"/>
  <c r="DH9" i="31" s="1"/>
  <c r="DI9" i="31" s="1"/>
  <c r="DJ9" i="31" s="1"/>
  <c r="DK9" i="31" s="1"/>
  <c r="DL9" i="31" s="1"/>
  <c r="DM9" i="31" s="1"/>
  <c r="CZ9" i="31"/>
  <c r="DA9" i="31" s="1"/>
  <c r="DB9" i="31" s="1"/>
  <c r="DC9" i="31" s="1"/>
  <c r="DD9" i="31" s="1"/>
  <c r="DE9" i="31" s="1"/>
  <c r="DF9" i="31" s="1"/>
  <c r="CS9" i="31"/>
  <c r="CT9" i="31" s="1"/>
  <c r="CU9" i="31" s="1"/>
  <c r="CV9" i="31" s="1"/>
  <c r="CW9" i="31" s="1"/>
  <c r="CX9" i="31" s="1"/>
  <c r="CY9" i="31" s="1"/>
  <c r="CL9" i="31"/>
  <c r="CM9" i="31" s="1"/>
  <c r="CN9" i="31" s="1"/>
  <c r="CO9" i="31" s="1"/>
  <c r="CP9" i="31" s="1"/>
  <c r="CQ9" i="31" s="1"/>
  <c r="CR9" i="31" s="1"/>
  <c r="CF9" i="31"/>
  <c r="CG9" i="31" s="1"/>
  <c r="CH9" i="31" s="1"/>
  <c r="CI9" i="31" s="1"/>
  <c r="CJ9" i="31" s="1"/>
  <c r="CK9" i="31" s="1"/>
  <c r="CE9" i="31"/>
  <c r="BX9" i="31"/>
  <c r="BY9" i="31" s="1"/>
  <c r="BZ9" i="31" s="1"/>
  <c r="CA9" i="31" s="1"/>
  <c r="CB9" i="31" s="1"/>
  <c r="CC9" i="31" s="1"/>
  <c r="CD9" i="31" s="1"/>
  <c r="BQ9" i="31"/>
  <c r="BR9" i="31" s="1"/>
  <c r="BS9" i="31" s="1"/>
  <c r="BT9" i="31" s="1"/>
  <c r="BU9" i="31" s="1"/>
  <c r="BV9" i="31" s="1"/>
  <c r="BW9" i="31" s="1"/>
  <c r="BJ9" i="31"/>
  <c r="BK9" i="31" s="1"/>
  <c r="BL9" i="31" s="1"/>
  <c r="BM9" i="31" s="1"/>
  <c r="BN9" i="31" s="1"/>
  <c r="BO9" i="31" s="1"/>
  <c r="BP9" i="31" s="1"/>
  <c r="BD9" i="31"/>
  <c r="BE9" i="31" s="1"/>
  <c r="BF9" i="31" s="1"/>
  <c r="BG9" i="31" s="1"/>
  <c r="BH9" i="31" s="1"/>
  <c r="BI9" i="31" s="1"/>
  <c r="BC9" i="31"/>
  <c r="AV9" i="31"/>
  <c r="AW9" i="31" s="1"/>
  <c r="AX9" i="31" s="1"/>
  <c r="AY9" i="31" s="1"/>
  <c r="AZ9" i="31" s="1"/>
  <c r="BA9" i="31" s="1"/>
  <c r="BB9" i="31" s="1"/>
  <c r="AH9" i="31"/>
  <c r="AI9" i="31" s="1"/>
  <c r="AJ9" i="31" s="1"/>
  <c r="AK9" i="31" s="1"/>
  <c r="AL9" i="31" s="1"/>
  <c r="AM9" i="31" s="1"/>
  <c r="AN9" i="31" s="1"/>
  <c r="T9" i="31"/>
  <c r="U9" i="31" s="1"/>
  <c r="V9" i="31" s="1"/>
  <c r="W9" i="31" s="1"/>
  <c r="X9" i="31" s="1"/>
  <c r="Y9" i="31" s="1"/>
  <c r="Z9" i="31" s="1"/>
  <c r="AA9" i="31"/>
  <c r="AB9" i="31" s="1"/>
  <c r="AC9" i="31" s="1"/>
  <c r="AD9" i="31" s="1"/>
  <c r="AE9" i="31" s="1"/>
  <c r="AF9" i="31" s="1"/>
  <c r="AG9" i="31" s="1"/>
  <c r="O9" i="31"/>
  <c r="P9" i="31" s="1"/>
  <c r="Q9" i="31" s="1"/>
  <c r="R9" i="31" s="1"/>
  <c r="S9" i="31" s="1"/>
  <c r="N9" i="31"/>
  <c r="M9" i="31"/>
  <c r="B4" i="31"/>
  <c r="B3" i="31"/>
  <c r="B2" i="31"/>
  <c r="B4" i="34"/>
  <c r="B3" i="34"/>
  <c r="B2" i="34"/>
  <c r="C7" i="27"/>
  <c r="C2" i="34" s="1"/>
  <c r="JM11" i="34"/>
  <c r="JN11" i="34" s="1"/>
  <c r="JO11" i="34" s="1"/>
  <c r="JP11" i="34" s="1"/>
  <c r="JQ11" i="34" s="1"/>
  <c r="JH11" i="34"/>
  <c r="JI11" i="34" s="1"/>
  <c r="JJ11" i="34" s="1"/>
  <c r="JK11" i="34" s="1"/>
  <c r="JL11" i="34" s="1"/>
  <c r="JC11" i="34"/>
  <c r="JD11" i="34" s="1"/>
  <c r="JE11" i="34" s="1"/>
  <c r="JF11" i="34" s="1"/>
  <c r="JG11" i="34" s="1"/>
  <c r="IX11" i="34"/>
  <c r="IY11" i="34" s="1"/>
  <c r="IZ11" i="34" s="1"/>
  <c r="JA11" i="34" s="1"/>
  <c r="JB11" i="34" s="1"/>
  <c r="IS11" i="34"/>
  <c r="IT11" i="34" s="1"/>
  <c r="IU11" i="34" s="1"/>
  <c r="IV11" i="34" s="1"/>
  <c r="IW11" i="34" s="1"/>
  <c r="IN11" i="34"/>
  <c r="IO11" i="34" s="1"/>
  <c r="IP11" i="34" s="1"/>
  <c r="IQ11" i="34" s="1"/>
  <c r="IR11" i="34" s="1"/>
  <c r="II11" i="34"/>
  <c r="IJ11" i="34" s="1"/>
  <c r="IK11" i="34" s="1"/>
  <c r="IL11" i="34" s="1"/>
  <c r="IM11" i="34" s="1"/>
  <c r="ID11" i="34"/>
  <c r="IE11" i="34" s="1"/>
  <c r="IF11" i="34" s="1"/>
  <c r="IG11" i="34" s="1"/>
  <c r="IH11" i="34" s="1"/>
  <c r="HY11" i="34"/>
  <c r="HZ11" i="34" s="1"/>
  <c r="IA11" i="34" s="1"/>
  <c r="IB11" i="34" s="1"/>
  <c r="IC11" i="34" s="1"/>
  <c r="HT11" i="34"/>
  <c r="HU11" i="34" s="1"/>
  <c r="HV11" i="34" s="1"/>
  <c r="HW11" i="34" s="1"/>
  <c r="HX11" i="34" s="1"/>
  <c r="HO11" i="34"/>
  <c r="HP11" i="34" s="1"/>
  <c r="HQ11" i="34" s="1"/>
  <c r="HR11" i="34" s="1"/>
  <c r="HS11" i="34" s="1"/>
  <c r="HJ11" i="34"/>
  <c r="HK11" i="34" s="1"/>
  <c r="HL11" i="34" s="1"/>
  <c r="HM11" i="34" s="1"/>
  <c r="HN11" i="34" s="1"/>
  <c r="HE11" i="34"/>
  <c r="HF11" i="34" s="1"/>
  <c r="HG11" i="34" s="1"/>
  <c r="HH11" i="34" s="1"/>
  <c r="HI11" i="34" s="1"/>
  <c r="GZ11" i="34"/>
  <c r="HA11" i="34" s="1"/>
  <c r="HB11" i="34" s="1"/>
  <c r="HC11" i="34" s="1"/>
  <c r="HD11" i="34" s="1"/>
  <c r="GV11" i="34"/>
  <c r="GW11" i="34" s="1"/>
  <c r="GX11" i="34" s="1"/>
  <c r="GY11" i="34" s="1"/>
  <c r="GU11" i="34"/>
  <c r="GP11" i="34"/>
  <c r="GQ11" i="34" s="1"/>
  <c r="GR11" i="34" s="1"/>
  <c r="GS11" i="34" s="1"/>
  <c r="GT11" i="34" s="1"/>
  <c r="GK11" i="34"/>
  <c r="GL11" i="34" s="1"/>
  <c r="GM11" i="34" s="1"/>
  <c r="GN11" i="34" s="1"/>
  <c r="GO11" i="34" s="1"/>
  <c r="GF11" i="34"/>
  <c r="GG11" i="34" s="1"/>
  <c r="GH11" i="34" s="1"/>
  <c r="GI11" i="34" s="1"/>
  <c r="GJ11" i="34" s="1"/>
  <c r="GA11" i="34"/>
  <c r="GB11" i="34" s="1"/>
  <c r="GC11" i="34" s="1"/>
  <c r="GD11" i="34" s="1"/>
  <c r="GE11" i="34" s="1"/>
  <c r="FV11" i="34"/>
  <c r="FW11" i="34" s="1"/>
  <c r="FX11" i="34" s="1"/>
  <c r="FY11" i="34" s="1"/>
  <c r="FZ11" i="34" s="1"/>
  <c r="FQ11" i="34"/>
  <c r="FR11" i="34" s="1"/>
  <c r="FS11" i="34" s="1"/>
  <c r="FT11" i="34" s="1"/>
  <c r="FU11" i="34" s="1"/>
  <c r="FL11" i="34"/>
  <c r="FM11" i="34" s="1"/>
  <c r="FN11" i="34" s="1"/>
  <c r="FO11" i="34" s="1"/>
  <c r="FP11" i="34" s="1"/>
  <c r="FG11" i="34"/>
  <c r="FH11" i="34" s="1"/>
  <c r="FI11" i="34" s="1"/>
  <c r="FJ11" i="34" s="1"/>
  <c r="FK11" i="34" s="1"/>
  <c r="FB11" i="34"/>
  <c r="FC11" i="34" s="1"/>
  <c r="FD11" i="34" s="1"/>
  <c r="FE11" i="34" s="1"/>
  <c r="FF11" i="34" s="1"/>
  <c r="EW11" i="34"/>
  <c r="EX11" i="34" s="1"/>
  <c r="EY11" i="34" s="1"/>
  <c r="EZ11" i="34" s="1"/>
  <c r="FA11" i="34" s="1"/>
  <c r="ER11" i="34"/>
  <c r="ES11" i="34" s="1"/>
  <c r="ET11" i="34" s="1"/>
  <c r="EU11" i="34" s="1"/>
  <c r="EV11" i="34" s="1"/>
  <c r="EM11" i="34"/>
  <c r="EN11" i="34" s="1"/>
  <c r="EO11" i="34" s="1"/>
  <c r="EP11" i="34" s="1"/>
  <c r="EQ11" i="34" s="1"/>
  <c r="EH11" i="34"/>
  <c r="EI11" i="34" s="1"/>
  <c r="EJ11" i="34" s="1"/>
  <c r="EK11" i="34" s="1"/>
  <c r="EL11" i="34" s="1"/>
  <c r="EC11" i="34"/>
  <c r="ED11" i="34" s="1"/>
  <c r="EE11" i="34" s="1"/>
  <c r="EF11" i="34" s="1"/>
  <c r="EG11" i="34" s="1"/>
  <c r="DX11" i="34"/>
  <c r="DY11" i="34" s="1"/>
  <c r="DZ11" i="34" s="1"/>
  <c r="EA11" i="34" s="1"/>
  <c r="EB11" i="34" s="1"/>
  <c r="DS11" i="34"/>
  <c r="DT11" i="34" s="1"/>
  <c r="DU11" i="34" s="1"/>
  <c r="DV11" i="34" s="1"/>
  <c r="DW11" i="34" s="1"/>
  <c r="DN11" i="34"/>
  <c r="DO11" i="34" s="1"/>
  <c r="DP11" i="34" s="1"/>
  <c r="DQ11" i="34" s="1"/>
  <c r="DR11" i="34" s="1"/>
  <c r="DI11" i="34"/>
  <c r="DJ11" i="34" s="1"/>
  <c r="DK11" i="34" s="1"/>
  <c r="DL11" i="34" s="1"/>
  <c r="DM11" i="34" s="1"/>
  <c r="DD11" i="34"/>
  <c r="DE11" i="34" s="1"/>
  <c r="DF11" i="34" s="1"/>
  <c r="DG11" i="34" s="1"/>
  <c r="DH11" i="34" s="1"/>
  <c r="CY11" i="34"/>
  <c r="CZ11" i="34" s="1"/>
  <c r="DA11" i="34" s="1"/>
  <c r="DB11" i="34" s="1"/>
  <c r="DC11" i="34" s="1"/>
  <c r="CT11" i="34"/>
  <c r="CU11" i="34" s="1"/>
  <c r="CV11" i="34" s="1"/>
  <c r="CW11" i="34" s="1"/>
  <c r="CX11" i="34" s="1"/>
  <c r="CO11" i="34"/>
  <c r="CP11" i="34" s="1"/>
  <c r="CQ11" i="34" s="1"/>
  <c r="CR11" i="34" s="1"/>
  <c r="CS11" i="34" s="1"/>
  <c r="CJ11" i="34"/>
  <c r="CK11" i="34" s="1"/>
  <c r="CL11" i="34" s="1"/>
  <c r="CM11" i="34" s="1"/>
  <c r="CN11" i="34" s="1"/>
  <c r="CE11" i="34"/>
  <c r="CF11" i="34" s="1"/>
  <c r="CG11" i="34" s="1"/>
  <c r="CH11" i="34" s="1"/>
  <c r="CI11" i="34" s="1"/>
  <c r="BZ11" i="34"/>
  <c r="CA11" i="34" s="1"/>
  <c r="CB11" i="34" s="1"/>
  <c r="CC11" i="34" s="1"/>
  <c r="CD11" i="34" s="1"/>
  <c r="BU11" i="34"/>
  <c r="BV11" i="34" s="1"/>
  <c r="BW11" i="34" s="1"/>
  <c r="BX11" i="34" s="1"/>
  <c r="BY11" i="34" s="1"/>
  <c r="BP11" i="34"/>
  <c r="BQ11" i="34" s="1"/>
  <c r="BR11" i="34" s="1"/>
  <c r="BS11" i="34" s="1"/>
  <c r="BT11" i="34" s="1"/>
  <c r="BK11" i="34"/>
  <c r="BL11" i="34" s="1"/>
  <c r="BM11" i="34" s="1"/>
  <c r="BN11" i="34" s="1"/>
  <c r="BO11" i="34" s="1"/>
  <c r="BH11" i="34"/>
  <c r="BI11" i="34" s="1"/>
  <c r="BJ11" i="34" s="1"/>
  <c r="BF11" i="34"/>
  <c r="BG11" i="34" s="1"/>
  <c r="BA11" i="34"/>
  <c r="BB11" i="34" s="1"/>
  <c r="BC11" i="34" s="1"/>
  <c r="BD11" i="34" s="1"/>
  <c r="BE11" i="34" s="1"/>
  <c r="AV11" i="34"/>
  <c r="AW11" i="34" s="1"/>
  <c r="AX11" i="34" s="1"/>
  <c r="AY11" i="34" s="1"/>
  <c r="AZ11" i="34" s="1"/>
  <c r="AQ11" i="34"/>
  <c r="AR11" i="34" s="1"/>
  <c r="AS11" i="34" s="1"/>
  <c r="AT11" i="34" s="1"/>
  <c r="AU11" i="34" s="1"/>
  <c r="AL11" i="34"/>
  <c r="AM11" i="34" s="1"/>
  <c r="AN11" i="34" s="1"/>
  <c r="AO11" i="34" s="1"/>
  <c r="AP11" i="34" s="1"/>
  <c r="AG11" i="34"/>
  <c r="AH11" i="34" s="1"/>
  <c r="AI11" i="34" s="1"/>
  <c r="AJ11" i="34" s="1"/>
  <c r="AK11" i="34" s="1"/>
  <c r="AB11" i="34"/>
  <c r="AC11" i="34" s="1"/>
  <c r="AD11" i="34" s="1"/>
  <c r="AE11" i="34" s="1"/>
  <c r="AF11" i="34" s="1"/>
  <c r="W11" i="34"/>
  <c r="X11" i="34" s="1"/>
  <c r="Y11" i="34" s="1"/>
  <c r="Z11" i="34" s="1"/>
  <c r="AA11" i="34" s="1"/>
  <c r="R11" i="34"/>
  <c r="S11" i="34" s="1"/>
  <c r="T11" i="34" s="1"/>
  <c r="U11" i="34" s="1"/>
  <c r="V11" i="34" s="1"/>
  <c r="M11" i="34"/>
  <c r="N11" i="34" s="1"/>
  <c r="O11" i="34" s="1"/>
  <c r="P11" i="34" s="1"/>
  <c r="Q11" i="34" s="1"/>
  <c r="H14" i="34"/>
  <c r="M8" i="34"/>
  <c r="N8" i="34" s="1"/>
  <c r="O8" i="34" s="1"/>
  <c r="P8" i="34" s="1"/>
  <c r="Q8" i="34" s="1"/>
  <c r="R8" i="34"/>
  <c r="S8" i="34"/>
  <c r="T8" i="34" s="1"/>
  <c r="U8" i="34" s="1"/>
  <c r="V8" i="34" s="1"/>
  <c r="W8" i="34"/>
  <c r="X8" i="34"/>
  <c r="Y8" i="34" s="1"/>
  <c r="Z8" i="34" s="1"/>
  <c r="AA8" i="34" s="1"/>
  <c r="AB8" i="34"/>
  <c r="AC8" i="34" s="1"/>
  <c r="AD8" i="34" s="1"/>
  <c r="AE8" i="34" s="1"/>
  <c r="AF8" i="34" s="1"/>
  <c r="AG8" i="34"/>
  <c r="AH8" i="34" s="1"/>
  <c r="AI8" i="34" s="1"/>
  <c r="AJ8" i="34" s="1"/>
  <c r="AK8" i="34" s="1"/>
  <c r="AL8" i="34"/>
  <c r="AM8" i="34" s="1"/>
  <c r="AN8" i="34" s="1"/>
  <c r="AO8" i="34" s="1"/>
  <c r="AP8" i="34" s="1"/>
  <c r="AQ8" i="34"/>
  <c r="AR8" i="34" s="1"/>
  <c r="AS8" i="34" s="1"/>
  <c r="AT8" i="34" s="1"/>
  <c r="AU8" i="34" s="1"/>
  <c r="AV8" i="34"/>
  <c r="AW8" i="34" s="1"/>
  <c r="AX8" i="34" s="1"/>
  <c r="AY8" i="34" s="1"/>
  <c r="AZ8" i="34" s="1"/>
  <c r="BA8" i="34"/>
  <c r="BB8" i="34" s="1"/>
  <c r="BC8" i="34" s="1"/>
  <c r="BD8" i="34" s="1"/>
  <c r="BE8" i="34" s="1"/>
  <c r="BF8" i="34"/>
  <c r="BG8" i="34" s="1"/>
  <c r="BH8" i="34" s="1"/>
  <c r="BI8" i="34" s="1"/>
  <c r="BJ8" i="34" s="1"/>
  <c r="BK8" i="34"/>
  <c r="BL8" i="34"/>
  <c r="BM8" i="34" s="1"/>
  <c r="BN8" i="34" s="1"/>
  <c r="BO8" i="34" s="1"/>
  <c r="BP8" i="34"/>
  <c r="BQ8" i="34"/>
  <c r="BR8" i="34" s="1"/>
  <c r="BS8" i="34" s="1"/>
  <c r="BT8" i="34" s="1"/>
  <c r="BU8" i="34"/>
  <c r="BV8" i="34" s="1"/>
  <c r="BW8" i="34" s="1"/>
  <c r="BX8" i="34" s="1"/>
  <c r="BY8" i="34" s="1"/>
  <c r="BZ8" i="34"/>
  <c r="CA8" i="34" s="1"/>
  <c r="CB8" i="34" s="1"/>
  <c r="CC8" i="34" s="1"/>
  <c r="CD8" i="34" s="1"/>
  <c r="CE8" i="34"/>
  <c r="CF8" i="34" s="1"/>
  <c r="CG8" i="34" s="1"/>
  <c r="CH8" i="34" s="1"/>
  <c r="CI8" i="34" s="1"/>
  <c r="CJ8" i="34"/>
  <c r="CK8" i="34" s="1"/>
  <c r="CL8" i="34" s="1"/>
  <c r="CM8" i="34" s="1"/>
  <c r="CN8" i="34" s="1"/>
  <c r="CO8" i="34"/>
  <c r="CP8" i="34" s="1"/>
  <c r="CQ8" i="34" s="1"/>
  <c r="CR8" i="34" s="1"/>
  <c r="CS8" i="34" s="1"/>
  <c r="CT8" i="34"/>
  <c r="CU8" i="34" s="1"/>
  <c r="CV8" i="34" s="1"/>
  <c r="CW8" i="34" s="1"/>
  <c r="CX8" i="34" s="1"/>
  <c r="CY8" i="34"/>
  <c r="CZ8" i="34" s="1"/>
  <c r="DA8" i="34" s="1"/>
  <c r="DB8" i="34" s="1"/>
  <c r="DC8" i="34" s="1"/>
  <c r="DD8" i="34"/>
  <c r="DE8" i="34" s="1"/>
  <c r="DF8" i="34" s="1"/>
  <c r="DG8" i="34" s="1"/>
  <c r="DH8" i="34" s="1"/>
  <c r="DI8" i="34"/>
  <c r="DJ8" i="34" s="1"/>
  <c r="DK8" i="34" s="1"/>
  <c r="DL8" i="34" s="1"/>
  <c r="DM8" i="34" s="1"/>
  <c r="DN8" i="34"/>
  <c r="DO8" i="34" s="1"/>
  <c r="DP8" i="34" s="1"/>
  <c r="DQ8" i="34" s="1"/>
  <c r="DR8" i="34" s="1"/>
  <c r="DS8" i="34"/>
  <c r="DT8" i="34"/>
  <c r="DU8" i="34" s="1"/>
  <c r="DV8" i="34" s="1"/>
  <c r="DW8" i="34" s="1"/>
  <c r="DX8" i="34"/>
  <c r="DY8" i="34" s="1"/>
  <c r="DZ8" i="34" s="1"/>
  <c r="EA8" i="34" s="1"/>
  <c r="EB8" i="34" s="1"/>
  <c r="EC8" i="34"/>
  <c r="ED8" i="34" s="1"/>
  <c r="EE8" i="34" s="1"/>
  <c r="EF8" i="34" s="1"/>
  <c r="EG8" i="34" s="1"/>
  <c r="EH8" i="34"/>
  <c r="EI8" i="34" s="1"/>
  <c r="EJ8" i="34" s="1"/>
  <c r="EK8" i="34" s="1"/>
  <c r="EL8" i="34" s="1"/>
  <c r="EM8" i="34"/>
  <c r="EN8" i="34" s="1"/>
  <c r="EO8" i="34" s="1"/>
  <c r="EP8" i="34" s="1"/>
  <c r="EQ8" i="34" s="1"/>
  <c r="ER8" i="34"/>
  <c r="ES8" i="34" s="1"/>
  <c r="ET8" i="34" s="1"/>
  <c r="EU8" i="34" s="1"/>
  <c r="EV8" i="34" s="1"/>
  <c r="EW8" i="34"/>
  <c r="EX8" i="34" s="1"/>
  <c r="EY8" i="34" s="1"/>
  <c r="EZ8" i="34" s="1"/>
  <c r="FA8" i="34" s="1"/>
  <c r="FB8" i="34"/>
  <c r="FC8" i="34" s="1"/>
  <c r="FD8" i="34" s="1"/>
  <c r="FE8" i="34" s="1"/>
  <c r="FF8" i="34" s="1"/>
  <c r="FG8" i="34"/>
  <c r="FH8" i="34" s="1"/>
  <c r="FI8" i="34" s="1"/>
  <c r="FJ8" i="34" s="1"/>
  <c r="FK8" i="34" s="1"/>
  <c r="FL8" i="34"/>
  <c r="FM8" i="34" s="1"/>
  <c r="FN8" i="34" s="1"/>
  <c r="FO8" i="34" s="1"/>
  <c r="FP8" i="34" s="1"/>
  <c r="FQ8" i="34"/>
  <c r="FR8" i="34" s="1"/>
  <c r="FS8" i="34" s="1"/>
  <c r="FT8" i="34" s="1"/>
  <c r="FU8" i="34" s="1"/>
  <c r="FV8" i="34"/>
  <c r="FW8" i="34" s="1"/>
  <c r="FX8" i="34" s="1"/>
  <c r="FY8" i="34" s="1"/>
  <c r="FZ8" i="34" s="1"/>
  <c r="GA8" i="34"/>
  <c r="GB8" i="34" s="1"/>
  <c r="GC8" i="34" s="1"/>
  <c r="GD8" i="34" s="1"/>
  <c r="GE8" i="34" s="1"/>
  <c r="GF8" i="34"/>
  <c r="GG8" i="34"/>
  <c r="GH8" i="34" s="1"/>
  <c r="GI8" i="34" s="1"/>
  <c r="GJ8" i="34" s="1"/>
  <c r="GK8" i="34"/>
  <c r="GL8" i="34" s="1"/>
  <c r="GM8" i="34" s="1"/>
  <c r="GN8" i="34" s="1"/>
  <c r="GO8" i="34" s="1"/>
  <c r="GP8" i="34"/>
  <c r="GQ8" i="34" s="1"/>
  <c r="GR8" i="34" s="1"/>
  <c r="GS8" i="34" s="1"/>
  <c r="GT8" i="34" s="1"/>
  <c r="GU8" i="34"/>
  <c r="GV8" i="34"/>
  <c r="GW8" i="34" s="1"/>
  <c r="GX8" i="34" s="1"/>
  <c r="GY8" i="34" s="1"/>
  <c r="GZ8" i="34"/>
  <c r="HA8" i="34" s="1"/>
  <c r="HB8" i="34" s="1"/>
  <c r="HC8" i="34" s="1"/>
  <c r="HD8" i="34" s="1"/>
  <c r="HE8" i="34"/>
  <c r="HF8" i="34" s="1"/>
  <c r="HG8" i="34" s="1"/>
  <c r="HH8" i="34" s="1"/>
  <c r="HI8" i="34" s="1"/>
  <c r="HJ8" i="34"/>
  <c r="HK8" i="34" s="1"/>
  <c r="HL8" i="34" s="1"/>
  <c r="HM8" i="34" s="1"/>
  <c r="HN8" i="34" s="1"/>
  <c r="HO8" i="34"/>
  <c r="HP8" i="34" s="1"/>
  <c r="HQ8" i="34" s="1"/>
  <c r="HR8" i="34" s="1"/>
  <c r="HS8" i="34" s="1"/>
  <c r="HT8" i="34"/>
  <c r="HU8" i="34" s="1"/>
  <c r="HV8" i="34" s="1"/>
  <c r="HW8" i="34" s="1"/>
  <c r="HX8" i="34" s="1"/>
  <c r="HY8" i="34"/>
  <c r="HZ8" i="34"/>
  <c r="IA8" i="34" s="1"/>
  <c r="IB8" i="34" s="1"/>
  <c r="IC8" i="34" s="1"/>
  <c r="ID8" i="34"/>
  <c r="IE8" i="34" s="1"/>
  <c r="IF8" i="34" s="1"/>
  <c r="IG8" i="34" s="1"/>
  <c r="IH8" i="34" s="1"/>
  <c r="II8" i="34"/>
  <c r="IJ8" i="34" s="1"/>
  <c r="IK8" i="34" s="1"/>
  <c r="IL8" i="34" s="1"/>
  <c r="IM8" i="34" s="1"/>
  <c r="IN8" i="34"/>
  <c r="IO8" i="34" s="1"/>
  <c r="IP8" i="34" s="1"/>
  <c r="IQ8" i="34" s="1"/>
  <c r="IR8" i="34" s="1"/>
  <c r="IS8" i="34"/>
  <c r="IT8" i="34"/>
  <c r="IU8" i="34" s="1"/>
  <c r="IV8" i="34" s="1"/>
  <c r="IW8" i="34" s="1"/>
  <c r="IX8" i="34"/>
  <c r="IY8" i="34"/>
  <c r="IZ8" i="34" s="1"/>
  <c r="JA8" i="34" s="1"/>
  <c r="JB8" i="34" s="1"/>
  <c r="JC8" i="34"/>
  <c r="JD8" i="34" s="1"/>
  <c r="JE8" i="34" s="1"/>
  <c r="JF8" i="34" s="1"/>
  <c r="JG8" i="34" s="1"/>
  <c r="JH8" i="34"/>
  <c r="JI8" i="34"/>
  <c r="JJ8" i="34" s="1"/>
  <c r="JK8" i="34" s="1"/>
  <c r="JL8" i="34" s="1"/>
  <c r="JM8" i="34"/>
  <c r="JN8" i="34" s="1"/>
  <c r="JO8" i="34" s="1"/>
  <c r="JP8" i="34" s="1"/>
  <c r="JQ8" i="34" s="1"/>
  <c r="N10" i="34"/>
  <c r="N9" i="34"/>
  <c r="O9" i="34" s="1"/>
  <c r="P9" i="34" s="1"/>
  <c r="Q9" i="34" s="1"/>
  <c r="E34" i="31" l="1"/>
  <c r="E36" i="34"/>
  <c r="C2" i="31"/>
  <c r="O10" i="34"/>
  <c r="P10" i="34" s="1"/>
  <c r="Q10" i="34" s="1"/>
  <c r="R9" i="34"/>
  <c r="S9" i="34" s="1"/>
  <c r="T9" i="34" s="1"/>
  <c r="U9" i="34" s="1"/>
  <c r="V9" i="34" s="1"/>
  <c r="W9" i="34" l="1"/>
  <c r="X9" i="34" s="1"/>
  <c r="Y9" i="34" s="1"/>
  <c r="Z9" i="34" s="1"/>
  <c r="AA9" i="34" s="1"/>
  <c r="AB9" i="34" l="1"/>
  <c r="AC9" i="34" s="1"/>
  <c r="AD9" i="34" s="1"/>
  <c r="AE9" i="34" s="1"/>
  <c r="AF9" i="34" s="1"/>
  <c r="AG9" i="34" l="1"/>
  <c r="AH9" i="34" s="1"/>
  <c r="AI9" i="34" s="1"/>
  <c r="AJ9" i="34" s="1"/>
  <c r="AK9" i="34" s="1"/>
  <c r="AL9" i="34" l="1"/>
  <c r="AM9" i="34" s="1"/>
  <c r="AN9" i="34" s="1"/>
  <c r="AO9" i="34" s="1"/>
  <c r="AP9" i="34" s="1"/>
  <c r="AQ9" i="34" l="1"/>
  <c r="AR9" i="34" s="1"/>
  <c r="AS9" i="34" s="1"/>
  <c r="AT9" i="34" s="1"/>
  <c r="AU9" i="34" s="1"/>
  <c r="AV9" i="34" l="1"/>
  <c r="AW9" i="34" s="1"/>
  <c r="AX9" i="34" s="1"/>
  <c r="AY9" i="34" s="1"/>
  <c r="AZ9" i="34" s="1"/>
  <c r="BA9" i="34" l="1"/>
  <c r="BB9" i="34" s="1"/>
  <c r="BC9" i="34" s="1"/>
  <c r="BD9" i="34" s="1"/>
  <c r="BE9" i="34" s="1"/>
  <c r="BF9" i="34" l="1"/>
  <c r="BG9" i="34" s="1"/>
  <c r="BH9" i="34" s="1"/>
  <c r="BI9" i="34" s="1"/>
  <c r="BJ9" i="34" s="1"/>
  <c r="BK9" i="34" l="1"/>
  <c r="BL9" i="34" s="1"/>
  <c r="BM9" i="34" s="1"/>
  <c r="BN9" i="34" s="1"/>
  <c r="BO9" i="34" s="1"/>
  <c r="BP9" i="34" l="1"/>
  <c r="BQ9" i="34" s="1"/>
  <c r="BR9" i="34" s="1"/>
  <c r="BS9" i="34" s="1"/>
  <c r="BT9" i="34" s="1"/>
  <c r="F22" i="34"/>
  <c r="F32" i="34"/>
  <c r="B37" i="34"/>
  <c r="B36" i="34"/>
  <c r="B35" i="34"/>
  <c r="B34" i="34"/>
  <c r="B33" i="34"/>
  <c r="B32" i="34"/>
  <c r="B22" i="34"/>
  <c r="B21" i="34"/>
  <c r="B20" i="34"/>
  <c r="B19" i="34"/>
  <c r="B18" i="34"/>
  <c r="B17" i="34"/>
  <c r="B16" i="34"/>
  <c r="B15" i="34"/>
  <c r="B14" i="34"/>
  <c r="B13" i="34"/>
  <c r="N7" i="34"/>
  <c r="O7" i="34" s="1"/>
  <c r="P7" i="34" s="1"/>
  <c r="Q7" i="34" s="1"/>
  <c r="T7" i="31"/>
  <c r="U7" i="31" s="1"/>
  <c r="V7" i="31" s="1"/>
  <c r="W7" i="31" s="1"/>
  <c r="X7" i="31" s="1"/>
  <c r="Y7" i="31" s="1"/>
  <c r="Z7" i="31" s="1"/>
  <c r="AA7" i="31"/>
  <c r="AB7" i="31" s="1"/>
  <c r="AC7" i="31" s="1"/>
  <c r="AD7" i="31" s="1"/>
  <c r="AE7" i="31" s="1"/>
  <c r="AF7" i="31" s="1"/>
  <c r="AG7" i="31" s="1"/>
  <c r="AH7" i="31"/>
  <c r="AI7" i="31" s="1"/>
  <c r="AJ7" i="31" s="1"/>
  <c r="AK7" i="31" s="1"/>
  <c r="AL7" i="31" s="1"/>
  <c r="AM7" i="31" s="1"/>
  <c r="AN7" i="31" s="1"/>
  <c r="AO7" i="31"/>
  <c r="AP7" i="31" s="1"/>
  <c r="AQ7" i="31" s="1"/>
  <c r="AR7" i="31" s="1"/>
  <c r="AS7" i="31" s="1"/>
  <c r="AT7" i="31" s="1"/>
  <c r="AU7" i="31" s="1"/>
  <c r="AV7" i="31"/>
  <c r="AW7" i="31" s="1"/>
  <c r="AX7" i="31" s="1"/>
  <c r="AY7" i="31" s="1"/>
  <c r="AZ7" i="31" s="1"/>
  <c r="BA7" i="31" s="1"/>
  <c r="BB7" i="31" s="1"/>
  <c r="BC7" i="31"/>
  <c r="BD7" i="31" s="1"/>
  <c r="BE7" i="31" s="1"/>
  <c r="BF7" i="31" s="1"/>
  <c r="BG7" i="31" s="1"/>
  <c r="BH7" i="31" s="1"/>
  <c r="BI7" i="31" s="1"/>
  <c r="BJ7" i="31"/>
  <c r="BK7" i="31" s="1"/>
  <c r="BL7" i="31" s="1"/>
  <c r="BM7" i="31" s="1"/>
  <c r="BN7" i="31" s="1"/>
  <c r="BO7" i="31" s="1"/>
  <c r="BP7" i="31" s="1"/>
  <c r="BQ7" i="31"/>
  <c r="BR7" i="31" s="1"/>
  <c r="BS7" i="31" s="1"/>
  <c r="BT7" i="31" s="1"/>
  <c r="BU7" i="31" s="1"/>
  <c r="BV7" i="31" s="1"/>
  <c r="BW7" i="31" s="1"/>
  <c r="BX7" i="31"/>
  <c r="BY7" i="31" s="1"/>
  <c r="BZ7" i="31" s="1"/>
  <c r="CA7" i="31" s="1"/>
  <c r="CB7" i="31" s="1"/>
  <c r="CC7" i="31" s="1"/>
  <c r="CD7" i="31" s="1"/>
  <c r="CE7" i="31"/>
  <c r="CF7" i="31" s="1"/>
  <c r="CG7" i="31" s="1"/>
  <c r="CH7" i="31" s="1"/>
  <c r="CI7" i="31" s="1"/>
  <c r="CJ7" i="31" s="1"/>
  <c r="CK7" i="31" s="1"/>
  <c r="CL7" i="31"/>
  <c r="CM7" i="31" s="1"/>
  <c r="CN7" i="31" s="1"/>
  <c r="CO7" i="31" s="1"/>
  <c r="CP7" i="31" s="1"/>
  <c r="CQ7" i="31" s="1"/>
  <c r="CR7" i="31" s="1"/>
  <c r="CS7" i="31"/>
  <c r="CT7" i="31" s="1"/>
  <c r="CU7" i="31" s="1"/>
  <c r="CV7" i="31" s="1"/>
  <c r="CW7" i="31" s="1"/>
  <c r="CX7" i="31" s="1"/>
  <c r="CY7" i="31" s="1"/>
  <c r="CZ7" i="31"/>
  <c r="DA7" i="31" s="1"/>
  <c r="DB7" i="31" s="1"/>
  <c r="DC7" i="31" s="1"/>
  <c r="DD7" i="31" s="1"/>
  <c r="DE7" i="31" s="1"/>
  <c r="DF7" i="31" s="1"/>
  <c r="DG7" i="31"/>
  <c r="DH7" i="31" s="1"/>
  <c r="DI7" i="31" s="1"/>
  <c r="DJ7" i="31" s="1"/>
  <c r="DK7" i="31" s="1"/>
  <c r="DL7" i="31" s="1"/>
  <c r="DM7" i="31" s="1"/>
  <c r="DN7" i="31"/>
  <c r="DO7" i="31" s="1"/>
  <c r="DP7" i="31" s="1"/>
  <c r="DQ7" i="31" s="1"/>
  <c r="DR7" i="31" s="1"/>
  <c r="DS7" i="31" s="1"/>
  <c r="DT7" i="31" s="1"/>
  <c r="DU7" i="31"/>
  <c r="DV7" i="31" s="1"/>
  <c r="DW7" i="31" s="1"/>
  <c r="DX7" i="31" s="1"/>
  <c r="DY7" i="31" s="1"/>
  <c r="DZ7" i="31" s="1"/>
  <c r="EA7" i="31" s="1"/>
  <c r="EB7" i="31"/>
  <c r="EC7" i="31" s="1"/>
  <c r="ED7" i="31" s="1"/>
  <c r="EE7" i="31" s="1"/>
  <c r="EF7" i="31" s="1"/>
  <c r="EG7" i="31" s="1"/>
  <c r="EH7" i="31" s="1"/>
  <c r="EI7" i="31"/>
  <c r="EJ7" i="31" s="1"/>
  <c r="EK7" i="31" s="1"/>
  <c r="EL7" i="31" s="1"/>
  <c r="EM7" i="31" s="1"/>
  <c r="EN7" i="31" s="1"/>
  <c r="EO7" i="31" s="1"/>
  <c r="EP7" i="31"/>
  <c r="EQ7" i="31" s="1"/>
  <c r="ER7" i="31" s="1"/>
  <c r="ES7" i="31" s="1"/>
  <c r="ET7" i="31" s="1"/>
  <c r="EU7" i="31" s="1"/>
  <c r="EV7" i="31" s="1"/>
  <c r="EW7" i="31"/>
  <c r="EX7" i="31" s="1"/>
  <c r="EY7" i="31" s="1"/>
  <c r="EZ7" i="31" s="1"/>
  <c r="FA7" i="31" s="1"/>
  <c r="FB7" i="31" s="1"/>
  <c r="FC7" i="31" s="1"/>
  <c r="FD7" i="31"/>
  <c r="FE7" i="31" s="1"/>
  <c r="FF7" i="31" s="1"/>
  <c r="FG7" i="31" s="1"/>
  <c r="FH7" i="31" s="1"/>
  <c r="FI7" i="31" s="1"/>
  <c r="FJ7" i="31" s="1"/>
  <c r="FK7" i="31"/>
  <c r="FL7" i="31" s="1"/>
  <c r="FM7" i="31" s="1"/>
  <c r="FN7" i="31" s="1"/>
  <c r="FO7" i="31" s="1"/>
  <c r="FP7" i="31" s="1"/>
  <c r="FQ7" i="31" s="1"/>
  <c r="FR7" i="31"/>
  <c r="FS7" i="31" s="1"/>
  <c r="FT7" i="31" s="1"/>
  <c r="FU7" i="31" s="1"/>
  <c r="FV7" i="31" s="1"/>
  <c r="FW7" i="31" s="1"/>
  <c r="FX7" i="31" s="1"/>
  <c r="FY7" i="31"/>
  <c r="FZ7" i="31" s="1"/>
  <c r="GA7" i="31" s="1"/>
  <c r="GB7" i="31" s="1"/>
  <c r="GC7" i="31" s="1"/>
  <c r="GD7" i="31" s="1"/>
  <c r="GE7" i="31" s="1"/>
  <c r="GF7" i="31"/>
  <c r="GG7" i="31" s="1"/>
  <c r="GH7" i="31" s="1"/>
  <c r="GI7" i="31" s="1"/>
  <c r="GJ7" i="31" s="1"/>
  <c r="GK7" i="31" s="1"/>
  <c r="GL7" i="31" s="1"/>
  <c r="GM7" i="31"/>
  <c r="GN7" i="31" s="1"/>
  <c r="GO7" i="31" s="1"/>
  <c r="GP7" i="31" s="1"/>
  <c r="GQ7" i="31" s="1"/>
  <c r="GR7" i="31" s="1"/>
  <c r="GS7" i="31" s="1"/>
  <c r="GT7" i="31"/>
  <c r="GU7" i="31" s="1"/>
  <c r="GV7" i="31" s="1"/>
  <c r="GW7" i="31" s="1"/>
  <c r="GX7" i="31" s="1"/>
  <c r="GY7" i="31" s="1"/>
  <c r="GZ7" i="31" s="1"/>
  <c r="HA7" i="31"/>
  <c r="HB7" i="31" s="1"/>
  <c r="HC7" i="31" s="1"/>
  <c r="HD7" i="31" s="1"/>
  <c r="HE7" i="31" s="1"/>
  <c r="HF7" i="31" s="1"/>
  <c r="HG7" i="31" s="1"/>
  <c r="HH7" i="31"/>
  <c r="HI7" i="31" s="1"/>
  <c r="HJ7" i="31" s="1"/>
  <c r="HK7" i="31" s="1"/>
  <c r="HL7" i="31" s="1"/>
  <c r="HM7" i="31" s="1"/>
  <c r="HN7" i="31" s="1"/>
  <c r="HO7" i="31"/>
  <c r="HP7" i="31" s="1"/>
  <c r="HQ7" i="31" s="1"/>
  <c r="HR7" i="31" s="1"/>
  <c r="HS7" i="31" s="1"/>
  <c r="HT7" i="31" s="1"/>
  <c r="HU7" i="31" s="1"/>
  <c r="HV7" i="31"/>
  <c r="HW7" i="31" s="1"/>
  <c r="HX7" i="31" s="1"/>
  <c r="HY7" i="31" s="1"/>
  <c r="HZ7" i="31" s="1"/>
  <c r="IA7" i="31" s="1"/>
  <c r="IB7" i="31" s="1"/>
  <c r="IC7" i="31"/>
  <c r="ID7" i="31" s="1"/>
  <c r="IE7" i="31" s="1"/>
  <c r="IF7" i="31" s="1"/>
  <c r="IG7" i="31" s="1"/>
  <c r="IH7" i="31" s="1"/>
  <c r="II7" i="31" s="1"/>
  <c r="IJ7" i="31"/>
  <c r="IK7" i="31" s="1"/>
  <c r="IL7" i="31" s="1"/>
  <c r="IM7" i="31" s="1"/>
  <c r="IN7" i="31" s="1"/>
  <c r="IO7" i="31" s="1"/>
  <c r="IP7" i="31" s="1"/>
  <c r="IQ7" i="31"/>
  <c r="IR7" i="31" s="1"/>
  <c r="IS7" i="31" s="1"/>
  <c r="IT7" i="31" s="1"/>
  <c r="IU7" i="31" s="1"/>
  <c r="IV7" i="31" s="1"/>
  <c r="IW7" i="31" s="1"/>
  <c r="IX7" i="31"/>
  <c r="IY7" i="31" s="1"/>
  <c r="IZ7" i="31" s="1"/>
  <c r="JA7" i="31" s="1"/>
  <c r="JB7" i="31" s="1"/>
  <c r="JC7" i="31" s="1"/>
  <c r="JD7" i="31" s="1"/>
  <c r="JE7" i="31"/>
  <c r="JF7" i="31"/>
  <c r="JG7" i="31" s="1"/>
  <c r="JH7" i="31" s="1"/>
  <c r="JI7" i="31" s="1"/>
  <c r="JJ7" i="31" s="1"/>
  <c r="JK7" i="31" s="1"/>
  <c r="JL7" i="31"/>
  <c r="JM7" i="31" s="1"/>
  <c r="JN7" i="31" s="1"/>
  <c r="JO7" i="31" s="1"/>
  <c r="JP7" i="31" s="1"/>
  <c r="JQ7" i="31" s="1"/>
  <c r="JR7" i="31" s="1"/>
  <c r="JS7" i="31"/>
  <c r="JT7" i="31" s="1"/>
  <c r="JU7" i="31" s="1"/>
  <c r="JV7" i="31" s="1"/>
  <c r="JW7" i="31" s="1"/>
  <c r="JX7" i="31" s="1"/>
  <c r="JY7" i="31" s="1"/>
  <c r="JZ7" i="31"/>
  <c r="KA7" i="31" s="1"/>
  <c r="KB7" i="31" s="1"/>
  <c r="KC7" i="31" s="1"/>
  <c r="KD7" i="31" s="1"/>
  <c r="KE7" i="31" s="1"/>
  <c r="KF7" i="31" s="1"/>
  <c r="KG7" i="31"/>
  <c r="KH7" i="31" s="1"/>
  <c r="KI7" i="31" s="1"/>
  <c r="KJ7" i="31" s="1"/>
  <c r="KK7" i="31" s="1"/>
  <c r="KL7" i="31" s="1"/>
  <c r="KM7" i="31" s="1"/>
  <c r="KN7" i="31"/>
  <c r="KO7" i="31" s="1"/>
  <c r="KP7" i="31" s="1"/>
  <c r="KQ7" i="31" s="1"/>
  <c r="KR7" i="31" s="1"/>
  <c r="KS7" i="31" s="1"/>
  <c r="KT7" i="31" s="1"/>
  <c r="KU7" i="31"/>
  <c r="KV7" i="31" s="1"/>
  <c r="KW7" i="31" s="1"/>
  <c r="KX7" i="31" s="1"/>
  <c r="KY7" i="31" s="1"/>
  <c r="KZ7" i="31" s="1"/>
  <c r="LA7" i="31" s="1"/>
  <c r="LB7" i="31"/>
  <c r="LC7" i="31" s="1"/>
  <c r="LD7" i="31" s="1"/>
  <c r="LE7" i="31" s="1"/>
  <c r="LF7" i="31" s="1"/>
  <c r="LG7" i="31" s="1"/>
  <c r="LH7" i="31" s="1"/>
  <c r="LI7" i="31"/>
  <c r="LJ7" i="31" s="1"/>
  <c r="LK7" i="31" s="1"/>
  <c r="LL7" i="31" s="1"/>
  <c r="LM7" i="31" s="1"/>
  <c r="LN7" i="31" s="1"/>
  <c r="LO7" i="31" s="1"/>
  <c r="LP7" i="31"/>
  <c r="LQ7" i="31" s="1"/>
  <c r="LR7" i="31" s="1"/>
  <c r="LS7" i="31" s="1"/>
  <c r="LT7" i="31" s="1"/>
  <c r="LU7" i="31" s="1"/>
  <c r="LV7" i="31" s="1"/>
  <c r="LW7" i="31"/>
  <c r="LX7" i="31" s="1"/>
  <c r="LY7" i="31" s="1"/>
  <c r="LZ7" i="31" s="1"/>
  <c r="MA7" i="31" s="1"/>
  <c r="MB7" i="31" s="1"/>
  <c r="MC7" i="31" s="1"/>
  <c r="MD7" i="31"/>
  <c r="ME7" i="31" s="1"/>
  <c r="MF7" i="31" s="1"/>
  <c r="MG7" i="31" s="1"/>
  <c r="MH7" i="31" s="1"/>
  <c r="MI7" i="31" s="1"/>
  <c r="MJ7" i="31" s="1"/>
  <c r="MK7" i="31"/>
  <c r="ML7" i="31" s="1"/>
  <c r="MM7" i="31" s="1"/>
  <c r="MN7" i="31" s="1"/>
  <c r="MO7" i="31" s="1"/>
  <c r="MP7" i="31" s="1"/>
  <c r="MQ7" i="31" s="1"/>
  <c r="MR7" i="31"/>
  <c r="MS7" i="31" s="1"/>
  <c r="MT7" i="31" s="1"/>
  <c r="MU7" i="31" s="1"/>
  <c r="MV7" i="31" s="1"/>
  <c r="MW7" i="31" s="1"/>
  <c r="MX7" i="31" s="1"/>
  <c r="MY7" i="31"/>
  <c r="MZ7" i="31" s="1"/>
  <c r="NA7" i="31" s="1"/>
  <c r="NB7" i="31" s="1"/>
  <c r="NC7" i="31" s="1"/>
  <c r="ND7" i="31" s="1"/>
  <c r="NE7" i="31" s="1"/>
  <c r="NF7" i="31"/>
  <c r="NG7" i="31" s="1"/>
  <c r="NH7" i="31" s="1"/>
  <c r="NI7" i="31" s="1"/>
  <c r="NJ7" i="31" s="1"/>
  <c r="NK7" i="31" s="1"/>
  <c r="NL7" i="31" s="1"/>
  <c r="NM7" i="31"/>
  <c r="NN7" i="31" s="1"/>
  <c r="NO7" i="31" s="1"/>
  <c r="NP7" i="31" s="1"/>
  <c r="NQ7" i="31" s="1"/>
  <c r="NR7" i="31" s="1"/>
  <c r="NS7" i="31" s="1"/>
  <c r="M7" i="31"/>
  <c r="R7" i="34" l="1"/>
  <c r="S7" i="34" s="1"/>
  <c r="T7" i="34" s="1"/>
  <c r="U7" i="34" s="1"/>
  <c r="V7" i="34" s="1"/>
  <c r="W7" i="34" s="1"/>
  <c r="X7" i="34" s="1"/>
  <c r="Y7" i="34" s="1"/>
  <c r="Z7" i="34" s="1"/>
  <c r="AA7" i="34" s="1"/>
  <c r="AB7" i="34" s="1"/>
  <c r="AC7" i="34" s="1"/>
  <c r="AD7" i="34" s="1"/>
  <c r="AE7" i="34" s="1"/>
  <c r="AF7" i="34" s="1"/>
  <c r="AG7" i="34" s="1"/>
  <c r="AH7" i="34" s="1"/>
  <c r="AI7" i="34" s="1"/>
  <c r="AJ7" i="34" s="1"/>
  <c r="AK7" i="34" s="1"/>
  <c r="AL7" i="34" s="1"/>
  <c r="AM7" i="34" s="1"/>
  <c r="AN7" i="34" s="1"/>
  <c r="AO7" i="34" s="1"/>
  <c r="AP7" i="34" s="1"/>
  <c r="AQ7" i="34" s="1"/>
  <c r="AR7" i="34" s="1"/>
  <c r="AS7" i="34" s="1"/>
  <c r="AT7" i="34" s="1"/>
  <c r="AU7" i="34" s="1"/>
  <c r="AV7" i="34" s="1"/>
  <c r="AW7" i="34" s="1"/>
  <c r="AX7" i="34" s="1"/>
  <c r="AY7" i="34" s="1"/>
  <c r="AZ7" i="34" s="1"/>
  <c r="BA7" i="34" s="1"/>
  <c r="BB7" i="34" s="1"/>
  <c r="BC7" i="34" s="1"/>
  <c r="BD7" i="34" s="1"/>
  <c r="BE7" i="34" s="1"/>
  <c r="BF7" i="34" s="1"/>
  <c r="BG7" i="34" s="1"/>
  <c r="BH7" i="34" s="1"/>
  <c r="BI7" i="34" s="1"/>
  <c r="BJ7" i="34" s="1"/>
  <c r="BK7" i="34" s="1"/>
  <c r="BL7" i="34" s="1"/>
  <c r="BM7" i="34" s="1"/>
  <c r="BN7" i="34" s="1"/>
  <c r="BO7" i="34" s="1"/>
  <c r="BP7" i="34" s="1"/>
  <c r="BQ7" i="34" s="1"/>
  <c r="BR7" i="34" s="1"/>
  <c r="BS7" i="34" s="1"/>
  <c r="BT7" i="34" s="1"/>
  <c r="BU7" i="34" s="1"/>
  <c r="BV7" i="34" s="1"/>
  <c r="BW7" i="34" s="1"/>
  <c r="BX7" i="34" s="1"/>
  <c r="BY7" i="34" s="1"/>
  <c r="BZ7" i="34" s="1"/>
  <c r="CA7" i="34" s="1"/>
  <c r="CB7" i="34" s="1"/>
  <c r="CC7" i="34" s="1"/>
  <c r="CD7" i="34" s="1"/>
  <c r="CE7" i="34" s="1"/>
  <c r="CF7" i="34" s="1"/>
  <c r="CG7" i="34" s="1"/>
  <c r="CH7" i="34" s="1"/>
  <c r="CI7" i="34" s="1"/>
  <c r="CJ7" i="34" s="1"/>
  <c r="CK7" i="34" s="1"/>
  <c r="CL7" i="34" s="1"/>
  <c r="CM7" i="34" s="1"/>
  <c r="CN7" i="34" s="1"/>
  <c r="CO7" i="34" s="1"/>
  <c r="CP7" i="34" s="1"/>
  <c r="CQ7" i="34" s="1"/>
  <c r="CR7" i="34" s="1"/>
  <c r="CS7" i="34" s="1"/>
  <c r="CT7" i="34" s="1"/>
  <c r="CU7" i="34" s="1"/>
  <c r="CV7" i="34" s="1"/>
  <c r="CW7" i="34" s="1"/>
  <c r="CX7" i="34" s="1"/>
  <c r="CY7" i="34" s="1"/>
  <c r="CZ7" i="34" s="1"/>
  <c r="DA7" i="34" s="1"/>
  <c r="DB7" i="34" s="1"/>
  <c r="DC7" i="34" s="1"/>
  <c r="DD7" i="34" s="1"/>
  <c r="DE7" i="34" s="1"/>
  <c r="DF7" i="34" s="1"/>
  <c r="DG7" i="34" s="1"/>
  <c r="DH7" i="34" s="1"/>
  <c r="DI7" i="34" s="1"/>
  <c r="DJ7" i="34" s="1"/>
  <c r="DK7" i="34" s="1"/>
  <c r="DL7" i="34" s="1"/>
  <c r="DM7" i="34" s="1"/>
  <c r="DN7" i="34" s="1"/>
  <c r="DO7" i="34" s="1"/>
  <c r="DP7" i="34" s="1"/>
  <c r="DQ7" i="34" s="1"/>
  <c r="DR7" i="34" s="1"/>
  <c r="DS7" i="34" s="1"/>
  <c r="DT7" i="34" s="1"/>
  <c r="DU7" i="34" s="1"/>
  <c r="DV7" i="34" s="1"/>
  <c r="DW7" i="34" s="1"/>
  <c r="DX7" i="34" s="1"/>
  <c r="DY7" i="34" s="1"/>
  <c r="DZ7" i="34" s="1"/>
  <c r="EA7" i="34" s="1"/>
  <c r="EB7" i="34" s="1"/>
  <c r="EC7" i="34" s="1"/>
  <c r="ED7" i="34" s="1"/>
  <c r="EE7" i="34" s="1"/>
  <c r="EF7" i="34" s="1"/>
  <c r="EG7" i="34" s="1"/>
  <c r="EH7" i="34" s="1"/>
  <c r="EI7" i="34" s="1"/>
  <c r="EJ7" i="34" s="1"/>
  <c r="EK7" i="34" s="1"/>
  <c r="EL7" i="34" s="1"/>
  <c r="EM7" i="34" s="1"/>
  <c r="EN7" i="34" s="1"/>
  <c r="EO7" i="34" s="1"/>
  <c r="EP7" i="34" s="1"/>
  <c r="EQ7" i="34" s="1"/>
  <c r="ER7" i="34" s="1"/>
  <c r="ES7" i="34" s="1"/>
  <c r="ET7" i="34" s="1"/>
  <c r="EU7" i="34" s="1"/>
  <c r="EV7" i="34" s="1"/>
  <c r="EW7" i="34" s="1"/>
  <c r="EX7" i="34" s="1"/>
  <c r="EY7" i="34" s="1"/>
  <c r="EZ7" i="34" s="1"/>
  <c r="FA7" i="34" s="1"/>
  <c r="FB7" i="34" s="1"/>
  <c r="FC7" i="34" s="1"/>
  <c r="FD7" i="34" s="1"/>
  <c r="FE7" i="34" s="1"/>
  <c r="FF7" i="34" s="1"/>
  <c r="FG7" i="34" s="1"/>
  <c r="FH7" i="34" s="1"/>
  <c r="FI7" i="34" s="1"/>
  <c r="FJ7" i="34" s="1"/>
  <c r="FK7" i="34" s="1"/>
  <c r="FL7" i="34" s="1"/>
  <c r="FM7" i="34" s="1"/>
  <c r="FN7" i="34" s="1"/>
  <c r="FO7" i="34" s="1"/>
  <c r="FP7" i="34" s="1"/>
  <c r="FQ7" i="34" s="1"/>
  <c r="FR7" i="34" s="1"/>
  <c r="FS7" i="34" s="1"/>
  <c r="FT7" i="34" s="1"/>
  <c r="FU7" i="34" s="1"/>
  <c r="FV7" i="34" s="1"/>
  <c r="FW7" i="34" s="1"/>
  <c r="FX7" i="34" s="1"/>
  <c r="FY7" i="34" s="1"/>
  <c r="FZ7" i="34" s="1"/>
  <c r="GA7" i="34" s="1"/>
  <c r="GB7" i="34" s="1"/>
  <c r="GC7" i="34" s="1"/>
  <c r="GD7" i="34" s="1"/>
  <c r="GE7" i="34" s="1"/>
  <c r="GF7" i="34" s="1"/>
  <c r="GG7" i="34" s="1"/>
  <c r="GH7" i="34" s="1"/>
  <c r="GI7" i="34" s="1"/>
  <c r="GJ7" i="34" s="1"/>
  <c r="GK7" i="34" s="1"/>
  <c r="GL7" i="34" s="1"/>
  <c r="GM7" i="34" s="1"/>
  <c r="GN7" i="34" s="1"/>
  <c r="GO7" i="34" s="1"/>
  <c r="GP7" i="34" s="1"/>
  <c r="GQ7" i="34" s="1"/>
  <c r="GR7" i="34" s="1"/>
  <c r="GS7" i="34" s="1"/>
  <c r="GT7" i="34" s="1"/>
  <c r="GU7" i="34" s="1"/>
  <c r="GV7" i="34" s="1"/>
  <c r="GW7" i="34" s="1"/>
  <c r="GX7" i="34" s="1"/>
  <c r="GY7" i="34" s="1"/>
  <c r="GZ7" i="34" s="1"/>
  <c r="HA7" i="34" s="1"/>
  <c r="HB7" i="34" s="1"/>
  <c r="HC7" i="34" s="1"/>
  <c r="HD7" i="34" s="1"/>
  <c r="HE7" i="34" s="1"/>
  <c r="HF7" i="34" s="1"/>
  <c r="HG7" i="34" s="1"/>
  <c r="HH7" i="34" s="1"/>
  <c r="HI7" i="34" s="1"/>
  <c r="HJ7" i="34" s="1"/>
  <c r="HK7" i="34" s="1"/>
  <c r="HL7" i="34" s="1"/>
  <c r="HM7" i="34" s="1"/>
  <c r="HN7" i="34" s="1"/>
  <c r="HO7" i="34" s="1"/>
  <c r="HP7" i="34" s="1"/>
  <c r="HQ7" i="34" s="1"/>
  <c r="HR7" i="34" s="1"/>
  <c r="HS7" i="34" s="1"/>
  <c r="HT7" i="34" s="1"/>
  <c r="HU7" i="34" s="1"/>
  <c r="HV7" i="34" s="1"/>
  <c r="HW7" i="34" s="1"/>
  <c r="HX7" i="34" s="1"/>
  <c r="HY7" i="34" s="1"/>
  <c r="HZ7" i="34" s="1"/>
  <c r="IA7" i="34" s="1"/>
  <c r="IB7" i="34" s="1"/>
  <c r="IC7" i="34" s="1"/>
  <c r="ID7" i="34" s="1"/>
  <c r="IE7" i="34" s="1"/>
  <c r="IF7" i="34" s="1"/>
  <c r="IG7" i="34" s="1"/>
  <c r="IH7" i="34" s="1"/>
  <c r="II7" i="34" s="1"/>
  <c r="IJ7" i="34" s="1"/>
  <c r="IK7" i="34" s="1"/>
  <c r="IL7" i="34" s="1"/>
  <c r="IM7" i="34" s="1"/>
  <c r="IN7" i="34" s="1"/>
  <c r="IO7" i="34" s="1"/>
  <c r="IP7" i="34" s="1"/>
  <c r="IQ7" i="34" s="1"/>
  <c r="IR7" i="34" s="1"/>
  <c r="IS7" i="34" s="1"/>
  <c r="IT7" i="34" s="1"/>
  <c r="IU7" i="34" s="1"/>
  <c r="IV7" i="34" s="1"/>
  <c r="IW7" i="34" s="1"/>
  <c r="IX7" i="34" s="1"/>
  <c r="IY7" i="34" s="1"/>
  <c r="IZ7" i="34" s="1"/>
  <c r="JA7" i="34" s="1"/>
  <c r="JB7" i="34" s="1"/>
  <c r="JC7" i="34" s="1"/>
  <c r="JD7" i="34" s="1"/>
  <c r="JE7" i="34" s="1"/>
  <c r="JF7" i="34" s="1"/>
  <c r="JG7" i="34" s="1"/>
  <c r="JH7" i="34" s="1"/>
  <c r="JI7" i="34" s="1"/>
  <c r="JJ7" i="34" s="1"/>
  <c r="JK7" i="34" s="1"/>
  <c r="JL7" i="34" s="1"/>
  <c r="JM7" i="34" s="1"/>
  <c r="JN7" i="34" s="1"/>
  <c r="JO7" i="34" s="1"/>
  <c r="JP7" i="34" s="1"/>
  <c r="JQ7" i="34" s="1"/>
  <c r="BU9" i="34"/>
  <c r="BV9" i="34" s="1"/>
  <c r="BW9" i="34" s="1"/>
  <c r="BX9" i="34" s="1"/>
  <c r="BY9" i="34" s="1"/>
  <c r="BZ9" i="34" l="1"/>
  <c r="CA9" i="34" s="1"/>
  <c r="CB9" i="34" s="1"/>
  <c r="CC9" i="34" s="1"/>
  <c r="CD9" i="34" s="1"/>
  <c r="I32" i="18"/>
  <c r="CE9" i="34" l="1"/>
  <c r="CF9" i="34" s="1"/>
  <c r="CG9" i="34" s="1"/>
  <c r="CH9" i="34" s="1"/>
  <c r="CI9" i="34" s="1"/>
  <c r="AE32" i="26"/>
  <c r="AQ32" i="26"/>
  <c r="AO32" i="26"/>
  <c r="AM32" i="26"/>
  <c r="AI32" i="26"/>
  <c r="AG32" i="26"/>
  <c r="I24" i="18"/>
  <c r="I23" i="18"/>
  <c r="I21" i="18"/>
  <c r="I20" i="18"/>
  <c r="I55" i="18"/>
  <c r="I54" i="18"/>
  <c r="I53" i="18"/>
  <c r="CJ9" i="34" l="1"/>
  <c r="CK9" i="34" s="1"/>
  <c r="CL9" i="34" s="1"/>
  <c r="CM9" i="34" s="1"/>
  <c r="CN9" i="34" s="1"/>
  <c r="R10" i="34"/>
  <c r="C2" i="17"/>
  <c r="CO9" i="34" l="1"/>
  <c r="CP9" i="34" s="1"/>
  <c r="CQ9" i="34" s="1"/>
  <c r="CR9" i="34" s="1"/>
  <c r="CS9" i="34" s="1"/>
  <c r="S10" i="34"/>
  <c r="G29" i="18"/>
  <c r="G30" i="18"/>
  <c r="G31" i="18"/>
  <c r="G32" i="18"/>
  <c r="G33" i="18"/>
  <c r="G34" i="18"/>
  <c r="AU62" i="26"/>
  <c r="AU61" i="26"/>
  <c r="AS62" i="26"/>
  <c r="AS61" i="26"/>
  <c r="AQ62" i="26"/>
  <c r="AQ61" i="26"/>
  <c r="AO62" i="26"/>
  <c r="AO61" i="26"/>
  <c r="AK62" i="26"/>
  <c r="AK61" i="26"/>
  <c r="AI62" i="26"/>
  <c r="AI61" i="26"/>
  <c r="AG62" i="26"/>
  <c r="AG61" i="26"/>
  <c r="AE62" i="26"/>
  <c r="AE61" i="26"/>
  <c r="AC62" i="26"/>
  <c r="AC61" i="26"/>
  <c r="AA62" i="26"/>
  <c r="AA61" i="26"/>
  <c r="Y62" i="26"/>
  <c r="Y61" i="26"/>
  <c r="W62" i="26"/>
  <c r="W61" i="26"/>
  <c r="U62" i="26"/>
  <c r="U61" i="26"/>
  <c r="S62" i="26"/>
  <c r="S61" i="26"/>
  <c r="Q62" i="26"/>
  <c r="Q61" i="26"/>
  <c r="O62" i="26"/>
  <c r="O61" i="26"/>
  <c r="M62" i="26"/>
  <c r="M61" i="26"/>
  <c r="I62" i="26"/>
  <c r="I61" i="26"/>
  <c r="G62" i="26"/>
  <c r="G61" i="26"/>
  <c r="E62" i="26"/>
  <c r="E61" i="26"/>
  <c r="C62" i="26"/>
  <c r="C61" i="26"/>
  <c r="AM62" i="26"/>
  <c r="AM61" i="26"/>
  <c r="E34" i="18"/>
  <c r="AC33" i="26"/>
  <c r="AU29" i="26"/>
  <c r="AS29" i="26"/>
  <c r="AK29" i="26"/>
  <c r="AA32" i="26"/>
  <c r="Y29" i="26"/>
  <c r="W29" i="26"/>
  <c r="U29" i="26"/>
  <c r="S29" i="26"/>
  <c r="Q29" i="26"/>
  <c r="O29" i="26"/>
  <c r="K29" i="26"/>
  <c r="I29" i="26"/>
  <c r="G29" i="26"/>
  <c r="E29" i="26"/>
  <c r="C29" i="26"/>
  <c r="E29" i="18"/>
  <c r="C29" i="18" s="1"/>
  <c r="E30" i="18"/>
  <c r="C30" i="18" s="1"/>
  <c r="E31" i="18"/>
  <c r="E32" i="18"/>
  <c r="E33" i="18"/>
  <c r="D15" i="23"/>
  <c r="I4" i="21"/>
  <c r="N7" i="31"/>
  <c r="O7" i="31" s="1"/>
  <c r="P7" i="31" s="1"/>
  <c r="CT9" i="34" l="1"/>
  <c r="CU9" i="34" s="1"/>
  <c r="CV9" i="34" s="1"/>
  <c r="CW9" i="34" s="1"/>
  <c r="CX9" i="34" s="1"/>
  <c r="T10" i="34"/>
  <c r="Q7" i="31"/>
  <c r="R7" i="31" s="1"/>
  <c r="S7" i="31" s="1"/>
  <c r="C32" i="18"/>
  <c r="C34" i="18"/>
  <c r="CY9" i="34" l="1"/>
  <c r="CZ9" i="34" s="1"/>
  <c r="DA9" i="34" s="1"/>
  <c r="DB9" i="34" s="1"/>
  <c r="DC9" i="34" s="1"/>
  <c r="U10" i="34"/>
  <c r="C31" i="18"/>
  <c r="C33" i="18"/>
  <c r="AV3" i="26"/>
  <c r="K4" i="18" s="1"/>
  <c r="N8" i="31"/>
  <c r="N10" i="31"/>
  <c r="O10" i="31" s="1"/>
  <c r="P10" i="31" s="1"/>
  <c r="Q10" i="31" s="1"/>
  <c r="R10" i="31" s="1"/>
  <c r="S10" i="31" s="1"/>
  <c r="T10" i="31" s="1"/>
  <c r="U10" i="31" s="1"/>
  <c r="V10" i="31" s="1"/>
  <c r="W10" i="31" s="1"/>
  <c r="X10" i="31" s="1"/>
  <c r="Y10" i="31" s="1"/>
  <c r="Z10" i="31" s="1"/>
  <c r="AA10" i="31" s="1"/>
  <c r="AB10" i="31" s="1"/>
  <c r="AC10" i="31" s="1"/>
  <c r="AD10" i="31" s="1"/>
  <c r="AE10" i="31" s="1"/>
  <c r="AF10" i="31" s="1"/>
  <c r="AG10" i="31" s="1"/>
  <c r="AH10" i="31" s="1"/>
  <c r="AI10" i="31" s="1"/>
  <c r="AJ10" i="31" s="1"/>
  <c r="AK10" i="31" s="1"/>
  <c r="AL10" i="31" s="1"/>
  <c r="AM10" i="31" s="1"/>
  <c r="AN10" i="31" s="1"/>
  <c r="AO10" i="31" s="1"/>
  <c r="AP10" i="31" s="1"/>
  <c r="AQ10" i="31" s="1"/>
  <c r="AR10" i="31" s="1"/>
  <c r="AS10" i="31" s="1"/>
  <c r="AT10" i="31" s="1"/>
  <c r="AU10" i="31" s="1"/>
  <c r="AV10" i="31" s="1"/>
  <c r="AW10" i="31" s="1"/>
  <c r="AX10" i="31" s="1"/>
  <c r="AY10" i="31" s="1"/>
  <c r="AZ10" i="31" s="1"/>
  <c r="BA10" i="31" s="1"/>
  <c r="BB10" i="31" s="1"/>
  <c r="BC10" i="31" s="1"/>
  <c r="BD10" i="31" s="1"/>
  <c r="BE10" i="31" s="1"/>
  <c r="BF10" i="31" s="1"/>
  <c r="BG10" i="31" s="1"/>
  <c r="BH10" i="31" s="1"/>
  <c r="BI10" i="31" s="1"/>
  <c r="BJ10" i="31" s="1"/>
  <c r="BK10" i="31" s="1"/>
  <c r="BL10" i="31" s="1"/>
  <c r="BM10" i="31" s="1"/>
  <c r="BN10" i="31" s="1"/>
  <c r="BO10" i="31" s="1"/>
  <c r="BP10" i="31" s="1"/>
  <c r="BQ10" i="31" s="1"/>
  <c r="BR10" i="31" s="1"/>
  <c r="BS10" i="31" s="1"/>
  <c r="BT10" i="31" s="1"/>
  <c r="BU10" i="31" s="1"/>
  <c r="BV10" i="31" s="1"/>
  <c r="BW10" i="31" s="1"/>
  <c r="BX10" i="31" s="1"/>
  <c r="BY10" i="31" s="1"/>
  <c r="BZ10" i="31" s="1"/>
  <c r="CA10" i="31" s="1"/>
  <c r="CB10" i="31" s="1"/>
  <c r="CC10" i="31" s="1"/>
  <c r="CD10" i="31" s="1"/>
  <c r="CE10" i="31" s="1"/>
  <c r="CF10" i="31" s="1"/>
  <c r="CG10" i="31" s="1"/>
  <c r="CH10" i="31" s="1"/>
  <c r="CI10" i="31" s="1"/>
  <c r="CJ10" i="31" s="1"/>
  <c r="CK10" i="31" s="1"/>
  <c r="CL10" i="31" s="1"/>
  <c r="CM10" i="31" s="1"/>
  <c r="CN10" i="31" s="1"/>
  <c r="CO10" i="31" s="1"/>
  <c r="CP10" i="31" s="1"/>
  <c r="CQ10" i="31" s="1"/>
  <c r="CR10" i="31" s="1"/>
  <c r="CS10" i="31" s="1"/>
  <c r="CT10" i="31" s="1"/>
  <c r="CU10" i="31" s="1"/>
  <c r="CV10" i="31" s="1"/>
  <c r="CW10" i="31" s="1"/>
  <c r="CX10" i="31" s="1"/>
  <c r="CY10" i="31" s="1"/>
  <c r="CZ10" i="31" s="1"/>
  <c r="DA10" i="31" s="1"/>
  <c r="DB10" i="31" s="1"/>
  <c r="DC10" i="31" s="1"/>
  <c r="DD10" i="31" s="1"/>
  <c r="DE10" i="31" s="1"/>
  <c r="DF10" i="31" s="1"/>
  <c r="DG10" i="31" s="1"/>
  <c r="DH10" i="31" s="1"/>
  <c r="DI10" i="31" s="1"/>
  <c r="DJ10" i="31" s="1"/>
  <c r="DK10" i="31" s="1"/>
  <c r="DL10" i="31" s="1"/>
  <c r="DM10" i="31" s="1"/>
  <c r="DN10" i="31" s="1"/>
  <c r="DO10" i="31" s="1"/>
  <c r="DP10" i="31" s="1"/>
  <c r="DQ10" i="31" s="1"/>
  <c r="DR10" i="31" s="1"/>
  <c r="DS10" i="31" s="1"/>
  <c r="DT10" i="31" s="1"/>
  <c r="DU10" i="31" s="1"/>
  <c r="DV10" i="31" s="1"/>
  <c r="DW10" i="31" s="1"/>
  <c r="DX10" i="31" s="1"/>
  <c r="DY10" i="31" s="1"/>
  <c r="DZ10" i="31" s="1"/>
  <c r="EA10" i="31" s="1"/>
  <c r="EB10" i="31" s="1"/>
  <c r="EC10" i="31" s="1"/>
  <c r="ED10" i="31" s="1"/>
  <c r="EE10" i="31" s="1"/>
  <c r="EF10" i="31" s="1"/>
  <c r="EG10" i="31" s="1"/>
  <c r="EH10" i="31" s="1"/>
  <c r="EI10" i="31" s="1"/>
  <c r="EJ10" i="31" s="1"/>
  <c r="EK10" i="31" s="1"/>
  <c r="EL10" i="31" s="1"/>
  <c r="EM10" i="31" s="1"/>
  <c r="EN10" i="31" s="1"/>
  <c r="EO10" i="31" s="1"/>
  <c r="EP10" i="31" s="1"/>
  <c r="EQ10" i="31" s="1"/>
  <c r="ER10" i="31" s="1"/>
  <c r="ES10" i="31" s="1"/>
  <c r="ET10" i="31" s="1"/>
  <c r="EU10" i="31" s="1"/>
  <c r="EV10" i="31" s="1"/>
  <c r="EW10" i="31" s="1"/>
  <c r="EX10" i="31" s="1"/>
  <c r="EY10" i="31" s="1"/>
  <c r="EZ10" i="31" s="1"/>
  <c r="FA10" i="31" s="1"/>
  <c r="FB10" i="31" s="1"/>
  <c r="FC10" i="31" s="1"/>
  <c r="FD10" i="31" s="1"/>
  <c r="FE10" i="31" s="1"/>
  <c r="FF10" i="31" s="1"/>
  <c r="FG10" i="31" s="1"/>
  <c r="FH10" i="31" s="1"/>
  <c r="FI10" i="31" s="1"/>
  <c r="FJ10" i="31" s="1"/>
  <c r="FK10" i="31" s="1"/>
  <c r="FL10" i="31" s="1"/>
  <c r="FM10" i="31" s="1"/>
  <c r="FN10" i="31" s="1"/>
  <c r="FO10" i="31" s="1"/>
  <c r="FP10" i="31" s="1"/>
  <c r="FQ10" i="31" s="1"/>
  <c r="FR10" i="31" s="1"/>
  <c r="FS10" i="31" s="1"/>
  <c r="FT10" i="31" s="1"/>
  <c r="FU10" i="31" s="1"/>
  <c r="FV10" i="31" s="1"/>
  <c r="FW10" i="31" s="1"/>
  <c r="FX10" i="31" s="1"/>
  <c r="FY10" i="31" s="1"/>
  <c r="FZ10" i="31" s="1"/>
  <c r="GA10" i="31" s="1"/>
  <c r="GB10" i="31" s="1"/>
  <c r="GC10" i="31" s="1"/>
  <c r="GD10" i="31" s="1"/>
  <c r="GE10" i="31" s="1"/>
  <c r="GF10" i="31" s="1"/>
  <c r="GG10" i="31" s="1"/>
  <c r="GH10" i="31" s="1"/>
  <c r="GI10" i="31" s="1"/>
  <c r="GJ10" i="31" s="1"/>
  <c r="GK10" i="31" s="1"/>
  <c r="GL10" i="31" s="1"/>
  <c r="GM10" i="31" s="1"/>
  <c r="GN10" i="31" s="1"/>
  <c r="GO10" i="31" s="1"/>
  <c r="GP10" i="31" s="1"/>
  <c r="GQ10" i="31" s="1"/>
  <c r="GR10" i="31" s="1"/>
  <c r="GS10" i="31" s="1"/>
  <c r="GT10" i="31" s="1"/>
  <c r="GU10" i="31" s="1"/>
  <c r="GV10" i="31" s="1"/>
  <c r="GW10" i="31" s="1"/>
  <c r="GX10" i="31" s="1"/>
  <c r="GY10" i="31" s="1"/>
  <c r="GZ10" i="31" s="1"/>
  <c r="HA10" i="31" s="1"/>
  <c r="HB10" i="31" s="1"/>
  <c r="HC10" i="31" s="1"/>
  <c r="HD10" i="31" s="1"/>
  <c r="HE10" i="31" s="1"/>
  <c r="HF10" i="31" s="1"/>
  <c r="HG10" i="31" s="1"/>
  <c r="HH10" i="31" s="1"/>
  <c r="HI10" i="31" s="1"/>
  <c r="HJ10" i="31" s="1"/>
  <c r="HK10" i="31" s="1"/>
  <c r="HL10" i="31" s="1"/>
  <c r="HM10" i="31" s="1"/>
  <c r="HN10" i="31" s="1"/>
  <c r="HO10" i="31" s="1"/>
  <c r="HP10" i="31" s="1"/>
  <c r="HQ10" i="31" s="1"/>
  <c r="HR10" i="31" s="1"/>
  <c r="HS10" i="31" s="1"/>
  <c r="HT10" i="31" s="1"/>
  <c r="HU10" i="31" s="1"/>
  <c r="B32" i="31"/>
  <c r="B33" i="31"/>
  <c r="B34" i="31"/>
  <c r="B35" i="31"/>
  <c r="B31" i="31"/>
  <c r="B30" i="31"/>
  <c r="B20" i="31"/>
  <c r="B13" i="31"/>
  <c r="B14" i="31"/>
  <c r="B15" i="31"/>
  <c r="B16" i="31"/>
  <c r="B17" i="31"/>
  <c r="B18" i="31"/>
  <c r="B19" i="31"/>
  <c r="B12" i="31"/>
  <c r="B11" i="31"/>
  <c r="DD9" i="34" l="1"/>
  <c r="DE9" i="34" s="1"/>
  <c r="DF9" i="34" s="1"/>
  <c r="DG9" i="34" s="1"/>
  <c r="DH9" i="34" s="1"/>
  <c r="V10" i="34"/>
  <c r="HV10" i="31"/>
  <c r="HW10" i="31" s="1"/>
  <c r="HX10" i="31" s="1"/>
  <c r="HY10" i="31" s="1"/>
  <c r="HZ10" i="31" s="1"/>
  <c r="IA10" i="31" s="1"/>
  <c r="IB10" i="31" s="1"/>
  <c r="IC10" i="31" s="1"/>
  <c r="ID10" i="31" s="1"/>
  <c r="IE10" i="31" s="1"/>
  <c r="IF10" i="31" s="1"/>
  <c r="IG10" i="31" s="1"/>
  <c r="IH10" i="31" s="1"/>
  <c r="II10" i="31" s="1"/>
  <c r="IJ10" i="31" s="1"/>
  <c r="IK10" i="31" s="1"/>
  <c r="IL10" i="31" s="1"/>
  <c r="IM10" i="31" s="1"/>
  <c r="IN10" i="31" s="1"/>
  <c r="IO10" i="31" s="1"/>
  <c r="IP10" i="31" s="1"/>
  <c r="IQ10" i="31" s="1"/>
  <c r="IR10" i="31" s="1"/>
  <c r="IS10" i="31" s="1"/>
  <c r="IT10" i="31" s="1"/>
  <c r="IU10" i="31" s="1"/>
  <c r="IV10" i="31" s="1"/>
  <c r="IW10" i="31" s="1"/>
  <c r="IX10" i="31" s="1"/>
  <c r="IY10" i="31" s="1"/>
  <c r="IZ10" i="31" s="1"/>
  <c r="JA10" i="31" s="1"/>
  <c r="JB10" i="31" s="1"/>
  <c r="JC10" i="31" s="1"/>
  <c r="JD10" i="31" s="1"/>
  <c r="JE10" i="31" s="1"/>
  <c r="JF10" i="31" s="1"/>
  <c r="JG10" i="31" s="1"/>
  <c r="JH10" i="31" s="1"/>
  <c r="JI10" i="31" s="1"/>
  <c r="JJ10" i="31" s="1"/>
  <c r="JK10" i="31" s="1"/>
  <c r="JL10" i="31" s="1"/>
  <c r="JM10" i="31" s="1"/>
  <c r="JN10" i="31" s="1"/>
  <c r="JO10" i="31" s="1"/>
  <c r="JP10" i="31" s="1"/>
  <c r="JQ10" i="31" s="1"/>
  <c r="JR10" i="31" s="1"/>
  <c r="JS10" i="31" s="1"/>
  <c r="JT10" i="31" s="1"/>
  <c r="JU10" i="31" s="1"/>
  <c r="JV10" i="31" s="1"/>
  <c r="JW10" i="31" s="1"/>
  <c r="JX10" i="31" s="1"/>
  <c r="JY10" i="31" s="1"/>
  <c r="JZ10" i="31" s="1"/>
  <c r="KA10" i="31" s="1"/>
  <c r="KB10" i="31" s="1"/>
  <c r="KC10" i="31" s="1"/>
  <c r="KD10" i="31" s="1"/>
  <c r="KE10" i="31" s="1"/>
  <c r="KF10" i="31" s="1"/>
  <c r="KG10" i="31" s="1"/>
  <c r="KH10" i="31" s="1"/>
  <c r="KI10" i="31" s="1"/>
  <c r="KJ10" i="31" s="1"/>
  <c r="KK10" i="31" s="1"/>
  <c r="KL10" i="31" s="1"/>
  <c r="KM10" i="31" s="1"/>
  <c r="KN10" i="31" s="1"/>
  <c r="KO10" i="31" s="1"/>
  <c r="KP10" i="31" s="1"/>
  <c r="KQ10" i="31" s="1"/>
  <c r="KR10" i="31" s="1"/>
  <c r="KS10" i="31" s="1"/>
  <c r="KT10" i="31" s="1"/>
  <c r="KU10" i="31" s="1"/>
  <c r="KV10" i="31" s="1"/>
  <c r="KW10" i="31" s="1"/>
  <c r="KX10" i="31" s="1"/>
  <c r="KY10" i="31" s="1"/>
  <c r="KZ10" i="31" s="1"/>
  <c r="LA10" i="31" s="1"/>
  <c r="LB10" i="31" s="1"/>
  <c r="LC10" i="31" s="1"/>
  <c r="LD10" i="31" s="1"/>
  <c r="LE10" i="31" s="1"/>
  <c r="LF10" i="31" s="1"/>
  <c r="LG10" i="31" s="1"/>
  <c r="LH10" i="31" s="1"/>
  <c r="LI10" i="31" s="1"/>
  <c r="LJ10" i="31" s="1"/>
  <c r="LK10" i="31" s="1"/>
  <c r="LL10" i="31" s="1"/>
  <c r="LM10" i="31" s="1"/>
  <c r="LN10" i="31" s="1"/>
  <c r="LO10" i="31" s="1"/>
  <c r="LP10" i="31" s="1"/>
  <c r="LQ10" i="31" s="1"/>
  <c r="LR10" i="31" s="1"/>
  <c r="LS10" i="31" s="1"/>
  <c r="LT10" i="31" s="1"/>
  <c r="LU10" i="31" s="1"/>
  <c r="LV10" i="31" s="1"/>
  <c r="LW10" i="31" s="1"/>
  <c r="LX10" i="31" s="1"/>
  <c r="LY10" i="31" s="1"/>
  <c r="LZ10" i="31" s="1"/>
  <c r="MA10" i="31" s="1"/>
  <c r="MB10" i="31" s="1"/>
  <c r="MC10" i="31" s="1"/>
  <c r="MD10" i="31" s="1"/>
  <c r="ME10" i="31" s="1"/>
  <c r="MF10" i="31" s="1"/>
  <c r="MG10" i="31" s="1"/>
  <c r="MH10" i="31" s="1"/>
  <c r="MI10" i="31" s="1"/>
  <c r="MJ10" i="31" s="1"/>
  <c r="MK10" i="31" s="1"/>
  <c r="ML10" i="31" s="1"/>
  <c r="MM10" i="31" s="1"/>
  <c r="MN10" i="31" s="1"/>
  <c r="MO10" i="31" s="1"/>
  <c r="MP10" i="31" s="1"/>
  <c r="MQ10" i="31" s="1"/>
  <c r="MR10" i="31" s="1"/>
  <c r="MS10" i="31" s="1"/>
  <c r="MT10" i="31" s="1"/>
  <c r="MU10" i="31" s="1"/>
  <c r="MV10" i="31" s="1"/>
  <c r="MW10" i="31" s="1"/>
  <c r="MX10" i="31" s="1"/>
  <c r="MY10" i="31" s="1"/>
  <c r="MZ10" i="31" s="1"/>
  <c r="NA10" i="31" s="1"/>
  <c r="NB10" i="31" s="1"/>
  <c r="NC10" i="31" s="1"/>
  <c r="ND10" i="31" s="1"/>
  <c r="NE10" i="31" s="1"/>
  <c r="NF10" i="31" s="1"/>
  <c r="NG10" i="31" s="1"/>
  <c r="NH10" i="31" s="1"/>
  <c r="NI10" i="31" s="1"/>
  <c r="NJ10" i="31" s="1"/>
  <c r="NK10" i="31" s="1"/>
  <c r="NL10" i="31" s="1"/>
  <c r="NM10" i="31" s="1"/>
  <c r="NN10" i="31" s="1"/>
  <c r="NO10" i="31" s="1"/>
  <c r="NP10" i="31" s="1"/>
  <c r="NQ10" i="31" s="1"/>
  <c r="NR10" i="31" s="1"/>
  <c r="NS10" i="31" s="1"/>
  <c r="O8" i="31"/>
  <c r="P8" i="31" s="1"/>
  <c r="Q8" i="31" s="1"/>
  <c r="T8" i="31" s="1"/>
  <c r="U8" i="31" s="1"/>
  <c r="V8" i="31" s="1"/>
  <c r="W8" i="31" s="1"/>
  <c r="X8" i="31" s="1"/>
  <c r="AA8" i="31" s="1"/>
  <c r="AB8" i="31" s="1"/>
  <c r="AC8" i="31" s="1"/>
  <c r="AD8" i="31" s="1"/>
  <c r="AE8" i="31" s="1"/>
  <c r="AH8" i="31" s="1"/>
  <c r="AI8" i="31" s="1"/>
  <c r="AJ8" i="31" s="1"/>
  <c r="AK8" i="31" s="1"/>
  <c r="AL8" i="31" s="1"/>
  <c r="AO8" i="31" s="1"/>
  <c r="AP8" i="31" s="1"/>
  <c r="AQ8" i="31" s="1"/>
  <c r="AR8" i="31" s="1"/>
  <c r="AS8" i="31" s="1"/>
  <c r="AV8" i="31" s="1"/>
  <c r="AW8" i="31" s="1"/>
  <c r="AX8" i="31" s="1"/>
  <c r="AY8" i="31" s="1"/>
  <c r="AZ8" i="31" s="1"/>
  <c r="BC8" i="31" s="1"/>
  <c r="BD8" i="31" s="1"/>
  <c r="BE8" i="31" s="1"/>
  <c r="BF8" i="31" s="1"/>
  <c r="BG8" i="31" s="1"/>
  <c r="BJ8" i="31" s="1"/>
  <c r="BK8" i="31" s="1"/>
  <c r="BL8" i="31" s="1"/>
  <c r="BM8" i="31" s="1"/>
  <c r="BN8" i="31" s="1"/>
  <c r="BQ8" i="31" s="1"/>
  <c r="BR8" i="31" s="1"/>
  <c r="BS8" i="31" s="1"/>
  <c r="BT8" i="31" s="1"/>
  <c r="BU8" i="31" s="1"/>
  <c r="BX8" i="31" s="1"/>
  <c r="BY8" i="31" s="1"/>
  <c r="BZ8" i="31" s="1"/>
  <c r="CA8" i="31" s="1"/>
  <c r="CB8" i="31" s="1"/>
  <c r="CE8" i="31" s="1"/>
  <c r="CF8" i="31" s="1"/>
  <c r="CG8" i="31" s="1"/>
  <c r="CH8" i="31" s="1"/>
  <c r="CI8" i="31" s="1"/>
  <c r="CL8" i="31" s="1"/>
  <c r="CM8" i="31" s="1"/>
  <c r="CN8" i="31" s="1"/>
  <c r="CO8" i="31" s="1"/>
  <c r="CP8" i="31" s="1"/>
  <c r="CS8" i="31" s="1"/>
  <c r="CT8" i="31" s="1"/>
  <c r="CU8" i="31" s="1"/>
  <c r="CV8" i="31" s="1"/>
  <c r="CW8" i="31" s="1"/>
  <c r="CZ8" i="31" s="1"/>
  <c r="DA8" i="31" s="1"/>
  <c r="DB8" i="31" s="1"/>
  <c r="DC8" i="31" s="1"/>
  <c r="DD8" i="31" s="1"/>
  <c r="DG8" i="31" s="1"/>
  <c r="DH8" i="31" s="1"/>
  <c r="DI8" i="31" s="1"/>
  <c r="DJ8" i="31" s="1"/>
  <c r="DK8" i="31" s="1"/>
  <c r="DN8" i="31" s="1"/>
  <c r="DO8" i="31" s="1"/>
  <c r="DP8" i="31" s="1"/>
  <c r="DQ8" i="31" s="1"/>
  <c r="DR8" i="31" s="1"/>
  <c r="DU8" i="31" s="1"/>
  <c r="DV8" i="31" s="1"/>
  <c r="DW8" i="31" s="1"/>
  <c r="DX8" i="31" s="1"/>
  <c r="DY8" i="31" s="1"/>
  <c r="EB8" i="31" s="1"/>
  <c r="EC8" i="31" s="1"/>
  <c r="ED8" i="31" s="1"/>
  <c r="EE8" i="31" s="1"/>
  <c r="EF8" i="31" s="1"/>
  <c r="EI8" i="31" s="1"/>
  <c r="EJ8" i="31" s="1"/>
  <c r="EK8" i="31" s="1"/>
  <c r="EL8" i="31" s="1"/>
  <c r="EM8" i="31" s="1"/>
  <c r="EP8" i="31" s="1"/>
  <c r="EQ8" i="31" s="1"/>
  <c r="ER8" i="31" s="1"/>
  <c r="ES8" i="31" s="1"/>
  <c r="ET8" i="31" s="1"/>
  <c r="EW8" i="31" s="1"/>
  <c r="EX8" i="31" s="1"/>
  <c r="EY8" i="31" s="1"/>
  <c r="EZ8" i="31" s="1"/>
  <c r="FA8" i="31" s="1"/>
  <c r="FD8" i="31" s="1"/>
  <c r="FE8" i="31" s="1"/>
  <c r="FF8" i="31" s="1"/>
  <c r="FG8" i="31" s="1"/>
  <c r="FH8" i="31" s="1"/>
  <c r="FK8" i="31" s="1"/>
  <c r="FL8" i="31" s="1"/>
  <c r="FM8" i="31" s="1"/>
  <c r="FN8" i="31" s="1"/>
  <c r="FO8" i="31" s="1"/>
  <c r="FR8" i="31" s="1"/>
  <c r="FS8" i="31" s="1"/>
  <c r="FT8" i="31" s="1"/>
  <c r="FU8" i="31" s="1"/>
  <c r="FV8" i="31" s="1"/>
  <c r="FY8" i="31" s="1"/>
  <c r="FZ8" i="31" s="1"/>
  <c r="GA8" i="31" s="1"/>
  <c r="GB8" i="31" s="1"/>
  <c r="GC8" i="31" s="1"/>
  <c r="GF8" i="31" s="1"/>
  <c r="GG8" i="31" s="1"/>
  <c r="GH8" i="31" s="1"/>
  <c r="GI8" i="31" s="1"/>
  <c r="GJ8" i="31" s="1"/>
  <c r="GM8" i="31" s="1"/>
  <c r="GN8" i="31" s="1"/>
  <c r="GO8" i="31" s="1"/>
  <c r="GP8" i="31" s="1"/>
  <c r="GQ8" i="31" s="1"/>
  <c r="GT8" i="31" s="1"/>
  <c r="GU8" i="31" s="1"/>
  <c r="GV8" i="31" s="1"/>
  <c r="GW8" i="31" s="1"/>
  <c r="GX8" i="31" s="1"/>
  <c r="HA8" i="31" s="1"/>
  <c r="HB8" i="31" s="1"/>
  <c r="HC8" i="31" s="1"/>
  <c r="HD8" i="31" s="1"/>
  <c r="HE8" i="31" s="1"/>
  <c r="HH8" i="31" s="1"/>
  <c r="HI8" i="31" s="1"/>
  <c r="HJ8" i="31" s="1"/>
  <c r="HK8" i="31" s="1"/>
  <c r="HL8" i="31" s="1"/>
  <c r="HO8" i="31" s="1"/>
  <c r="HP8" i="31" s="1"/>
  <c r="HQ8" i="31" s="1"/>
  <c r="HR8" i="31" s="1"/>
  <c r="HS8" i="31" s="1"/>
  <c r="HV8" i="31" s="1"/>
  <c r="HW8" i="31" s="1"/>
  <c r="HX8" i="31" s="1"/>
  <c r="HY8" i="31" s="1"/>
  <c r="HZ8" i="31" s="1"/>
  <c r="IC8" i="31" s="1"/>
  <c r="ID8" i="31" s="1"/>
  <c r="IE8" i="31" s="1"/>
  <c r="IF8" i="31" s="1"/>
  <c r="IG8" i="31" s="1"/>
  <c r="IJ8" i="31" s="1"/>
  <c r="IK8" i="31" s="1"/>
  <c r="IL8" i="31" s="1"/>
  <c r="IM8" i="31" s="1"/>
  <c r="IN8" i="31" s="1"/>
  <c r="IQ8" i="31" s="1"/>
  <c r="IR8" i="31" s="1"/>
  <c r="IS8" i="31" s="1"/>
  <c r="IT8" i="31" s="1"/>
  <c r="IU8" i="31" s="1"/>
  <c r="IX8" i="31" s="1"/>
  <c r="IY8" i="31" s="1"/>
  <c r="IZ8" i="31" s="1"/>
  <c r="JA8" i="31" s="1"/>
  <c r="JB8" i="31" s="1"/>
  <c r="JE8" i="31" s="1"/>
  <c r="JF8" i="31" s="1"/>
  <c r="JG8" i="31" s="1"/>
  <c r="JH8" i="31" s="1"/>
  <c r="E11" i="30" a="1"/>
  <c r="E11" i="30" s="1"/>
  <c r="G8" i="30" a="1"/>
  <c r="G8" i="30" s="1"/>
  <c r="DI9" i="34" l="1"/>
  <c r="DJ9" i="34" s="1"/>
  <c r="DK9" i="34" s="1"/>
  <c r="DL9" i="34" s="1"/>
  <c r="DM9" i="34" s="1"/>
  <c r="W10" i="34"/>
  <c r="JI8" i="31"/>
  <c r="JL8" i="31" s="1"/>
  <c r="JM8" i="31" s="1"/>
  <c r="JN8" i="31" s="1"/>
  <c r="JO8" i="31" s="1"/>
  <c r="JP8" i="31" s="1"/>
  <c r="JS8" i="31" s="1"/>
  <c r="JT8" i="31" s="1"/>
  <c r="JU8" i="31" s="1"/>
  <c r="JV8" i="31" s="1"/>
  <c r="JW8" i="31" s="1"/>
  <c r="JZ8" i="31" s="1"/>
  <c r="KA8" i="31" s="1"/>
  <c r="KB8" i="31" s="1"/>
  <c r="KC8" i="31" s="1"/>
  <c r="KD8" i="31" s="1"/>
  <c r="KG8" i="31" s="1"/>
  <c r="KH8" i="31" s="1"/>
  <c r="KI8" i="31" s="1"/>
  <c r="KJ8" i="31" s="1"/>
  <c r="KK8" i="31" s="1"/>
  <c r="KN8" i="31" s="1"/>
  <c r="KO8" i="31" s="1"/>
  <c r="KP8" i="31" s="1"/>
  <c r="KQ8" i="31" s="1"/>
  <c r="KR8" i="31" s="1"/>
  <c r="KU8" i="31" s="1"/>
  <c r="KV8" i="31" s="1"/>
  <c r="KW8" i="31" s="1"/>
  <c r="KX8" i="31" s="1"/>
  <c r="KY8" i="31" s="1"/>
  <c r="LB8" i="31" s="1"/>
  <c r="LC8" i="31" s="1"/>
  <c r="LD8" i="31" s="1"/>
  <c r="LE8" i="31" s="1"/>
  <c r="LF8" i="31" s="1"/>
  <c r="LI8" i="31" s="1"/>
  <c r="LJ8" i="31" s="1"/>
  <c r="LK8" i="31" s="1"/>
  <c r="LL8" i="31" s="1"/>
  <c r="LM8" i="31" s="1"/>
  <c r="LP8" i="31" s="1"/>
  <c r="LQ8" i="31" s="1"/>
  <c r="LR8" i="31" s="1"/>
  <c r="LS8" i="31" s="1"/>
  <c r="LT8" i="31" s="1"/>
  <c r="LW8" i="31" s="1"/>
  <c r="LX8" i="31" s="1"/>
  <c r="LY8" i="31" s="1"/>
  <c r="LZ8" i="31" s="1"/>
  <c r="MA8" i="31" s="1"/>
  <c r="MD8" i="31" s="1"/>
  <c r="ME8" i="31" s="1"/>
  <c r="MF8" i="31" s="1"/>
  <c r="MG8" i="31" s="1"/>
  <c r="MH8" i="31" s="1"/>
  <c r="MK8" i="31" s="1"/>
  <c r="ML8" i="31" s="1"/>
  <c r="MM8" i="31" s="1"/>
  <c r="MN8" i="31" s="1"/>
  <c r="MO8" i="31" s="1"/>
  <c r="MR8" i="31" s="1"/>
  <c r="MS8" i="31" s="1"/>
  <c r="MT8" i="31" s="1"/>
  <c r="MU8" i="31" s="1"/>
  <c r="MV8" i="31" s="1"/>
  <c r="MY8" i="31" s="1"/>
  <c r="MZ8" i="31" s="1"/>
  <c r="NA8" i="31" s="1"/>
  <c r="NB8" i="31" s="1"/>
  <c r="NC8" i="31" s="1"/>
  <c r="NF8" i="31" s="1"/>
  <c r="NG8" i="31" s="1"/>
  <c r="NH8" i="31" s="1"/>
  <c r="NI8" i="31" s="1"/>
  <c r="NJ8" i="31" s="1"/>
  <c r="NM8" i="31" s="1"/>
  <c r="NN8" i="31" s="1"/>
  <c r="NO8" i="31" s="1"/>
  <c r="NP8" i="31" s="1"/>
  <c r="NQ8" i="31" s="1"/>
  <c r="G64" i="18"/>
  <c r="E64" i="18"/>
  <c r="DN9" i="34" l="1"/>
  <c r="DO9" i="34" s="1"/>
  <c r="DP9" i="34" s="1"/>
  <c r="DQ9" i="34" s="1"/>
  <c r="DR9" i="34" s="1"/>
  <c r="X10" i="34"/>
  <c r="C64" i="18"/>
  <c r="H20" i="27"/>
  <c r="H22" i="27"/>
  <c r="H25" i="27"/>
  <c r="DS9" i="34" l="1"/>
  <c r="DT9" i="34" s="1"/>
  <c r="DU9" i="34" s="1"/>
  <c r="DV9" i="34" s="1"/>
  <c r="DW9" i="34" s="1"/>
  <c r="Y10" i="34"/>
  <c r="C31" i="17" a="1"/>
  <c r="C31" i="17" s="1"/>
  <c r="C53" i="17" a="1"/>
  <c r="C53" i="17" s="1"/>
  <c r="C39" i="17" a="1"/>
  <c r="C39" i="17" s="1"/>
  <c r="C32" i="17" a="1"/>
  <c r="C32" i="17" s="1"/>
  <c r="C5" i="17" a="1"/>
  <c r="C5" i="17" s="1"/>
  <c r="C29" i="17" a="1"/>
  <c r="C29" i="17" s="1"/>
  <c r="C30" i="17" a="1"/>
  <c r="C30" i="17" s="1"/>
  <c r="C28" i="17" a="1"/>
  <c r="C28" i="17" s="1"/>
  <c r="C26" i="17" a="1"/>
  <c r="C26" i="17" s="1"/>
  <c r="C27" i="17" a="1"/>
  <c r="C27" i="17" s="1"/>
  <c r="C47" i="17" a="1"/>
  <c r="C47" i="17" s="1"/>
  <c r="C51" i="17" a="1"/>
  <c r="C51" i="17" s="1"/>
  <c r="C52" i="17" a="1"/>
  <c r="C52" i="17" s="1"/>
  <c r="C46" i="17" a="1"/>
  <c r="C46" i="17" s="1"/>
  <c r="C48" i="17" a="1"/>
  <c r="C48" i="17" s="1"/>
  <c r="C49" i="17" a="1"/>
  <c r="C49" i="17" s="1"/>
  <c r="C50" i="17" a="1"/>
  <c r="C50" i="17" s="1"/>
  <c r="C59" i="17" a="1"/>
  <c r="C59" i="17" s="1"/>
  <c r="C18" i="17" a="1"/>
  <c r="C18" i="17" s="1"/>
  <c r="C56" i="17" a="1"/>
  <c r="C56" i="17" s="1"/>
  <c r="C23" i="17" a="1"/>
  <c r="C23" i="17" s="1"/>
  <c r="C24" i="17" a="1"/>
  <c r="C24" i="17" s="1"/>
  <c r="C22" i="17" a="1"/>
  <c r="C22" i="17" s="1"/>
  <c r="C19" i="17" a="1"/>
  <c r="C19" i="17" s="1"/>
  <c r="C20" i="17" a="1"/>
  <c r="C20" i="17" s="1"/>
  <c r="C9" i="17" a="1"/>
  <c r="C9" i="17" s="1"/>
  <c r="C68" i="17" a="1"/>
  <c r="C68" i="17" s="1"/>
  <c r="C6" i="17" a="1"/>
  <c r="C6" i="17" s="1"/>
  <c r="C69" i="17" a="1"/>
  <c r="C69" i="17" s="1"/>
  <c r="C55" i="17" a="1"/>
  <c r="C55" i="17" s="1"/>
  <c r="C35" i="17" a="1"/>
  <c r="C35" i="17" s="1"/>
  <c r="C67" i="17" a="1"/>
  <c r="C67" i="17" s="1"/>
  <c r="C66" i="17" a="1"/>
  <c r="C66" i="17" s="1"/>
  <c r="C34" i="17" a="1"/>
  <c r="C34" i="17" s="1"/>
  <c r="C64" i="17" a="1"/>
  <c r="C64" i="17" s="1"/>
  <c r="C11" i="17" a="1"/>
  <c r="C11" i="17" s="1"/>
  <c r="C61" i="17" a="1"/>
  <c r="C61" i="17" s="1"/>
  <c r="C8" i="17" a="1"/>
  <c r="C8" i="17" s="1"/>
  <c r="C12" i="17" a="1"/>
  <c r="C12" i="17" s="1"/>
  <c r="C10" i="17" a="1"/>
  <c r="C10" i="17" s="1"/>
  <c r="C60" i="17" a="1"/>
  <c r="C60" i="17" s="1"/>
  <c r="C15" i="17" a="1"/>
  <c r="C15" i="17" s="1"/>
  <c r="C38" i="17" a="1"/>
  <c r="C38" i="17" s="1"/>
  <c r="C71" i="17" a="1"/>
  <c r="C71" i="17" s="1"/>
  <c r="C65" i="17" a="1"/>
  <c r="C65" i="17" s="1"/>
  <c r="C14" i="17" a="1"/>
  <c r="C14" i="17" s="1"/>
  <c r="C36" i="17" a="1"/>
  <c r="C36" i="17" s="1"/>
  <c r="C63" i="17" a="1"/>
  <c r="C63" i="17" s="1"/>
  <c r="C16" i="17" a="1"/>
  <c r="C16" i="17" s="1"/>
  <c r="C37" i="17" a="1"/>
  <c r="C37" i="17" s="1"/>
  <c r="C62" i="17" a="1"/>
  <c r="C62" i="17" s="1"/>
  <c r="C70" i="17" a="1"/>
  <c r="C70" i="17" s="1"/>
  <c r="C58" i="17" a="1"/>
  <c r="C58" i="17" s="1"/>
  <c r="C57" i="17" a="1"/>
  <c r="C57" i="17" s="1"/>
  <c r="DX9" i="34" l="1"/>
  <c r="DY9" i="34" s="1"/>
  <c r="DZ9" i="34" s="1"/>
  <c r="EA9" i="34" s="1"/>
  <c r="EB9" i="34" s="1"/>
  <c r="Z10" i="34"/>
  <c r="N10" i="29" a="1"/>
  <c r="N10" i="29" s="1"/>
  <c r="E15" i="30" a="1"/>
  <c r="E15" i="30" s="1"/>
  <c r="F15" i="30" s="1"/>
  <c r="G13" i="30"/>
  <c r="E13" i="30"/>
  <c r="G12" i="30" a="1"/>
  <c r="G12" i="30" s="1"/>
  <c r="F12" i="30" a="1"/>
  <c r="F12" i="30" s="1"/>
  <c r="E12" i="30" a="1"/>
  <c r="E12" i="30" s="1"/>
  <c r="G11" i="30"/>
  <c r="F11" i="30"/>
  <c r="F10" i="30"/>
  <c r="G9" i="30"/>
  <c r="F9" i="30"/>
  <c r="E9" i="30"/>
  <c r="G7" i="30"/>
  <c r="E6" i="30"/>
  <c r="E5" i="30"/>
  <c r="EC9" i="34" l="1"/>
  <c r="ED9" i="34" s="1"/>
  <c r="EE9" i="34" s="1"/>
  <c r="EF9" i="34" s="1"/>
  <c r="EG9" i="34" s="1"/>
  <c r="AA10" i="34"/>
  <c r="E14" i="30"/>
  <c r="E16" i="30" s="1"/>
  <c r="E17" i="30" s="1" a="1"/>
  <c r="E17" i="30" s="1"/>
  <c r="G14" i="30"/>
  <c r="F14" i="30"/>
  <c r="G15" i="30"/>
  <c r="EH9" i="34" l="1"/>
  <c r="EI9" i="34" s="1"/>
  <c r="EJ9" i="34" s="1"/>
  <c r="EK9" i="34" s="1"/>
  <c r="EL9" i="34" s="1"/>
  <c r="AB10" i="34"/>
  <c r="G16" i="30"/>
  <c r="G17" i="30" s="1" a="1"/>
  <c r="G17" i="30" s="1"/>
  <c r="F16" i="30"/>
  <c r="F17" i="30" s="1" a="1"/>
  <c r="F17" i="30" s="1"/>
  <c r="EM9" i="34" l="1"/>
  <c r="EN9" i="34" s="1"/>
  <c r="EO9" i="34" s="1"/>
  <c r="EP9" i="34" s="1"/>
  <c r="EQ9" i="34" s="1"/>
  <c r="AC10" i="34"/>
  <c r="G16" i="21"/>
  <c r="J12" i="18" s="1"/>
  <c r="E14" i="34"/>
  <c r="ER9" i="34" l="1"/>
  <c r="ES9" i="34" s="1"/>
  <c r="ET9" i="34" s="1"/>
  <c r="EU9" i="34" s="1"/>
  <c r="EV9" i="34" s="1"/>
  <c r="F14" i="34"/>
  <c r="AD10" i="34"/>
  <c r="E12" i="31"/>
  <c r="I12" i="31" s="1"/>
  <c r="K4" i="21"/>
  <c r="J4" i="21"/>
  <c r="E60" i="18"/>
  <c r="C29" i="27"/>
  <c r="C25" i="27"/>
  <c r="C24" i="27"/>
  <c r="C14" i="27"/>
  <c r="C15" i="27"/>
  <c r="C16" i="27"/>
  <c r="C17" i="27"/>
  <c r="C18" i="27"/>
  <c r="C19" i="27"/>
  <c r="C20" i="27"/>
  <c r="C13" i="27"/>
  <c r="C9" i="27"/>
  <c r="C8" i="27"/>
  <c r="C6" i="27"/>
  <c r="C5" i="27"/>
  <c r="C4" i="27"/>
  <c r="G48" i="18"/>
  <c r="E48" i="18"/>
  <c r="G28" i="18"/>
  <c r="E28" i="18"/>
  <c r="C4" i="34" l="1"/>
  <c r="C4" i="31"/>
  <c r="C3" i="31"/>
  <c r="C3" i="34"/>
  <c r="I14" i="34"/>
  <c r="EW9" i="34"/>
  <c r="EX9" i="34" s="1"/>
  <c r="EY9" i="34" s="1"/>
  <c r="EZ9" i="34" s="1"/>
  <c r="FA9" i="34" s="1"/>
  <c r="AE10" i="34"/>
  <c r="J12" i="31" a="1"/>
  <c r="J12" i="31" s="1"/>
  <c r="J14" i="34" s="1"/>
  <c r="C28" i="18"/>
  <c r="C48" i="18"/>
  <c r="AV5" i="26"/>
  <c r="AV6" i="26" s="1"/>
  <c r="AV7" i="26" s="1"/>
  <c r="AV8" i="26" s="1"/>
  <c r="AV9" i="26" s="1"/>
  <c r="AV10" i="26" s="1"/>
  <c r="K6" i="18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AU69" i="26"/>
  <c r="AS69" i="26"/>
  <c r="AQ69" i="26"/>
  <c r="AO69" i="26"/>
  <c r="AM69" i="26"/>
  <c r="AK69" i="26"/>
  <c r="AI69" i="26"/>
  <c r="AG69" i="26"/>
  <c r="AE69" i="26"/>
  <c r="AC69" i="26"/>
  <c r="AA69" i="26"/>
  <c r="Y69" i="26"/>
  <c r="W69" i="26"/>
  <c r="U69" i="26"/>
  <c r="S69" i="26"/>
  <c r="Q69" i="26"/>
  <c r="O69" i="26"/>
  <c r="M69" i="26"/>
  <c r="K69" i="26"/>
  <c r="I69" i="26"/>
  <c r="G69" i="26"/>
  <c r="E69" i="26"/>
  <c r="C69" i="26"/>
  <c r="AU10" i="26"/>
  <c r="AU9" i="26"/>
  <c r="AS10" i="26"/>
  <c r="AS9" i="26"/>
  <c r="AQ10" i="26"/>
  <c r="AQ9" i="26"/>
  <c r="AO10" i="26"/>
  <c r="AO9" i="26"/>
  <c r="AM10" i="26"/>
  <c r="AM9" i="26"/>
  <c r="AK10" i="26"/>
  <c r="AK9" i="26"/>
  <c r="AI10" i="26"/>
  <c r="AI9" i="26"/>
  <c r="AG10" i="26"/>
  <c r="AG9" i="26"/>
  <c r="AE10" i="26"/>
  <c r="AE9" i="26"/>
  <c r="AC10" i="26"/>
  <c r="AC9" i="26"/>
  <c r="AA10" i="26"/>
  <c r="AA9" i="26"/>
  <c r="Y10" i="26"/>
  <c r="Y9" i="26"/>
  <c r="W10" i="26"/>
  <c r="W9" i="26"/>
  <c r="U10" i="26"/>
  <c r="U9" i="26"/>
  <c r="S10" i="26"/>
  <c r="S9" i="26"/>
  <c r="Q10" i="26"/>
  <c r="Q9" i="26"/>
  <c r="O10" i="26"/>
  <c r="O9" i="26"/>
  <c r="M10" i="26"/>
  <c r="M9" i="26"/>
  <c r="K10" i="26"/>
  <c r="K9" i="26"/>
  <c r="I10" i="26"/>
  <c r="I9" i="26"/>
  <c r="G10" i="26"/>
  <c r="G9" i="26"/>
  <c r="E10" i="26"/>
  <c r="E9" i="26"/>
  <c r="C10" i="26"/>
  <c r="C9" i="26"/>
  <c r="G62" i="18"/>
  <c r="E62" i="18"/>
  <c r="G61" i="18"/>
  <c r="E61" i="18"/>
  <c r="G60" i="18"/>
  <c r="G59" i="18"/>
  <c r="E59" i="18"/>
  <c r="G58" i="18"/>
  <c r="E58" i="18"/>
  <c r="G57" i="18"/>
  <c r="E57" i="18"/>
  <c r="G56" i="18"/>
  <c r="E56" i="18"/>
  <c r="G50" i="18"/>
  <c r="E50" i="18"/>
  <c r="G47" i="18"/>
  <c r="E47" i="18"/>
  <c r="G46" i="18"/>
  <c r="E46" i="18"/>
  <c r="G45" i="18"/>
  <c r="E45" i="18"/>
  <c r="G44" i="18"/>
  <c r="E44" i="18"/>
  <c r="G43" i="18"/>
  <c r="E43" i="18"/>
  <c r="G42" i="18"/>
  <c r="E42" i="18"/>
  <c r="G40" i="18"/>
  <c r="E40" i="18"/>
  <c r="G39" i="18"/>
  <c r="E39" i="18"/>
  <c r="G27" i="18"/>
  <c r="E27" i="18"/>
  <c r="G26" i="18"/>
  <c r="E26" i="18"/>
  <c r="C26" i="18" s="1"/>
  <c r="G25" i="18"/>
  <c r="E25" i="18"/>
  <c r="G24" i="18"/>
  <c r="E24" i="18"/>
  <c r="G21" i="18"/>
  <c r="E21" i="18"/>
  <c r="G20" i="18"/>
  <c r="E20" i="18"/>
  <c r="G19" i="18"/>
  <c r="E19" i="18"/>
  <c r="G18" i="18"/>
  <c r="E18" i="18"/>
  <c r="G17" i="18"/>
  <c r="E17" i="18"/>
  <c r="G16" i="18"/>
  <c r="E16" i="18"/>
  <c r="G15" i="18"/>
  <c r="E15" i="18"/>
  <c r="C62" i="18" l="1"/>
  <c r="FB9" i="34"/>
  <c r="FC9" i="34" s="1"/>
  <c r="FD9" i="34" s="1"/>
  <c r="FE9" i="34" s="1"/>
  <c r="FF9" i="34" s="1"/>
  <c r="AF10" i="34"/>
  <c r="K12" i="31" a="1"/>
  <c r="K12" i="31" s="1"/>
  <c r="K14" i="34" s="1"/>
  <c r="C50" i="18"/>
  <c r="C20" i="18"/>
  <c r="K26" i="18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AV11" i="26"/>
  <c r="AV12" i="26" s="1"/>
  <c r="AV13" i="26" s="1"/>
  <c r="AV14" i="26" s="1"/>
  <c r="AV15" i="26" s="1"/>
  <c r="AV16" i="26" s="1"/>
  <c r="AV17" i="26" s="1"/>
  <c r="AV18" i="26" s="1"/>
  <c r="AV19" i="26" s="1"/>
  <c r="AV20" i="26" s="1"/>
  <c r="AV21" i="26" s="1"/>
  <c r="AV22" i="26" s="1"/>
  <c r="AV23" i="26" s="1"/>
  <c r="AV24" i="26" s="1"/>
  <c r="AV25" i="26" s="1"/>
  <c r="AV26" i="26" s="1"/>
  <c r="AV27" i="26" s="1"/>
  <c r="AV28" i="26" s="1"/>
  <c r="AV29" i="26" s="1"/>
  <c r="AV30" i="26" s="1"/>
  <c r="AV31" i="26" s="1"/>
  <c r="AV32" i="26" s="1"/>
  <c r="AV33" i="26" s="1"/>
  <c r="AV34" i="26" s="1"/>
  <c r="AV35" i="26" s="1"/>
  <c r="AV36" i="26" s="1"/>
  <c r="AV37" i="26" s="1"/>
  <c r="AV38" i="26" s="1"/>
  <c r="AV39" i="26" s="1"/>
  <c r="AV40" i="26" s="1"/>
  <c r="AV41" i="26" s="1"/>
  <c r="AV42" i="26" s="1"/>
  <c r="AV43" i="26" s="1"/>
  <c r="AV44" i="26" s="1"/>
  <c r="AV45" i="26" s="1"/>
  <c r="AV46" i="26" s="1"/>
  <c r="AV47" i="26" s="1"/>
  <c r="AV48" i="26" s="1"/>
  <c r="AV49" i="26" s="1"/>
  <c r="AV50" i="26" s="1"/>
  <c r="AV51" i="26" s="1"/>
  <c r="AV52" i="26" s="1"/>
  <c r="AV53" i="26" s="1"/>
  <c r="AV54" i="26" s="1"/>
  <c r="AV55" i="26" s="1"/>
  <c r="AV56" i="26" s="1"/>
  <c r="AV57" i="26" s="1"/>
  <c r="AV58" i="26" s="1"/>
  <c r="AV59" i="26" s="1"/>
  <c r="AV60" i="26" s="1"/>
  <c r="AV61" i="26" s="1"/>
  <c r="AV62" i="26" s="1"/>
  <c r="AV63" i="26" s="1"/>
  <c r="AV64" i="26" s="1"/>
  <c r="AV65" i="26" s="1"/>
  <c r="AV66" i="26" s="1"/>
  <c r="AV67" i="26" s="1"/>
  <c r="AV68" i="26" s="1"/>
  <c r="AV69" i="26" s="1"/>
  <c r="AV70" i="26" s="1"/>
  <c r="C17" i="18"/>
  <c r="C27" i="18"/>
  <c r="G15" i="27" s="1"/>
  <c r="C47" i="18"/>
  <c r="C15" i="18"/>
  <c r="C25" i="18"/>
  <c r="C16" i="18"/>
  <c r="C46" i="18"/>
  <c r="C61" i="18"/>
  <c r="C18" i="18"/>
  <c r="C39" i="18"/>
  <c r="C45" i="18"/>
  <c r="C57" i="18"/>
  <c r="C21" i="18"/>
  <c r="C19" i="18"/>
  <c r="C56" i="18"/>
  <c r="C58" i="18"/>
  <c r="C42" i="18"/>
  <c r="C60" i="18"/>
  <c r="C43" i="18"/>
  <c r="C24" i="18"/>
  <c r="C40" i="18"/>
  <c r="C44" i="18"/>
  <c r="C59" i="18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E14" i="23"/>
  <c r="D14" i="23"/>
  <c r="E13" i="23"/>
  <c r="D13" i="23"/>
  <c r="E12" i="23"/>
  <c r="D12" i="23"/>
  <c r="E11" i="23"/>
  <c r="D11" i="23"/>
  <c r="E10" i="23"/>
  <c r="D10" i="23"/>
  <c r="E9" i="23"/>
  <c r="D9" i="23"/>
  <c r="E8" i="23"/>
  <c r="D8" i="23"/>
  <c r="E7" i="23"/>
  <c r="D7" i="23"/>
  <c r="E6" i="23"/>
  <c r="D6" i="23"/>
  <c r="E5" i="23"/>
  <c r="D5" i="23"/>
  <c r="E4" i="23"/>
  <c r="D4" i="23"/>
  <c r="C66" i="18"/>
  <c r="C41" i="18"/>
  <c r="D9" i="8"/>
  <c r="F9" i="8" s="1"/>
  <c r="F8" i="8"/>
  <c r="D8" i="8"/>
  <c r="F6" i="8"/>
  <c r="D6" i="8"/>
  <c r="C8" i="24"/>
  <c r="C35" i="18"/>
  <c r="G16" i="27" s="1"/>
  <c r="E38" i="18"/>
  <c r="E37" i="18"/>
  <c r="E36" i="18"/>
  <c r="G18" i="27" l="1"/>
  <c r="G12" i="27"/>
  <c r="FG9" i="34"/>
  <c r="FH9" i="34" s="1"/>
  <c r="FI9" i="34" s="1"/>
  <c r="FJ9" i="34" s="1"/>
  <c r="FK9" i="34" s="1"/>
  <c r="AG10" i="34"/>
  <c r="AI11" i="26"/>
  <c r="C11" i="26"/>
  <c r="AS11" i="26"/>
  <c r="W11" i="26"/>
  <c r="AG11" i="26"/>
  <c r="K11" i="26"/>
  <c r="AO11" i="26"/>
  <c r="I11" i="26"/>
  <c r="Y11" i="26"/>
  <c r="AQ11" i="26"/>
  <c r="AC11" i="26"/>
  <c r="G11" i="26"/>
  <c r="U11" i="26"/>
  <c r="AE11" i="26"/>
  <c r="S11" i="26"/>
  <c r="O11" i="26"/>
  <c r="AM11" i="26"/>
  <c r="M11" i="26"/>
  <c r="Q11" i="26"/>
  <c r="E11" i="26"/>
  <c r="AA11" i="26"/>
  <c r="AK11" i="26"/>
  <c r="AU11" i="26"/>
  <c r="G4" i="21"/>
  <c r="H12" i="18"/>
  <c r="H11" i="18"/>
  <c r="H10" i="18"/>
  <c r="C10" i="18" s="1"/>
  <c r="M6" i="22"/>
  <c r="G6" i="22"/>
  <c r="M5" i="22"/>
  <c r="G5" i="22"/>
  <c r="M4" i="22"/>
  <c r="G4" i="22"/>
  <c r="G65" i="18"/>
  <c r="E65" i="18"/>
  <c r="G63" i="18"/>
  <c r="E63" i="18"/>
  <c r="C63" i="18" s="1"/>
  <c r="G55" i="18"/>
  <c r="E55" i="18"/>
  <c r="G54" i="18"/>
  <c r="E54" i="18"/>
  <c r="G53" i="18"/>
  <c r="E53" i="18"/>
  <c r="G52" i="18"/>
  <c r="E52" i="18"/>
  <c r="G51" i="18"/>
  <c r="E51" i="18"/>
  <c r="G38" i="18"/>
  <c r="C38" i="18" s="1"/>
  <c r="G37" i="18"/>
  <c r="C37" i="18" s="1"/>
  <c r="G36" i="18"/>
  <c r="C36" i="18" s="1"/>
  <c r="G23" i="18"/>
  <c r="E23" i="18"/>
  <c r="G22" i="18"/>
  <c r="E22" i="18"/>
  <c r="G14" i="18"/>
  <c r="E14" i="18"/>
  <c r="G13" i="18"/>
  <c r="E13" i="18"/>
  <c r="C13" i="18" s="1"/>
  <c r="G9" i="18"/>
  <c r="E9" i="18"/>
  <c r="E8" i="18"/>
  <c r="G8" i="18"/>
  <c r="G17" i="27" l="1"/>
  <c r="G30" i="27"/>
  <c r="C14" i="18"/>
  <c r="G11" i="27" s="1"/>
  <c r="C11" i="18"/>
  <c r="E20" i="34" s="1"/>
  <c r="F20" i="34" s="1"/>
  <c r="C12" i="18"/>
  <c r="E21" i="34" s="1"/>
  <c r="F21" i="34" s="1"/>
  <c r="FL9" i="34"/>
  <c r="FM9" i="34" s="1"/>
  <c r="FN9" i="34" s="1"/>
  <c r="FO9" i="34" s="1"/>
  <c r="FP9" i="34" s="1"/>
  <c r="AH10" i="34"/>
  <c r="C22" i="18"/>
  <c r="G13" i="27" s="1"/>
  <c r="E19" i="31"/>
  <c r="E18" i="31"/>
  <c r="G32" i="27"/>
  <c r="H32" i="27" s="1"/>
  <c r="H15" i="27"/>
  <c r="E27" i="34" s="1"/>
  <c r="C8" i="18"/>
  <c r="E17" i="34" s="1"/>
  <c r="C55" i="18"/>
  <c r="C54" i="18"/>
  <c r="C51" i="18"/>
  <c r="C52" i="18"/>
  <c r="C53" i="18"/>
  <c r="C65" i="18"/>
  <c r="C9" i="18"/>
  <c r="E18" i="34" s="1"/>
  <c r="C23" i="18"/>
  <c r="G14" i="27" s="1"/>
  <c r="H7" i="18"/>
  <c r="G7" i="18"/>
  <c r="E7" i="18"/>
  <c r="H6" i="18"/>
  <c r="G6" i="18"/>
  <c r="E6" i="18"/>
  <c r="C71" i="18"/>
  <c r="E37" i="34" s="1"/>
  <c r="C69" i="18"/>
  <c r="E35" i="34" s="1"/>
  <c r="C68" i="18"/>
  <c r="E34" i="34" s="1"/>
  <c r="C67" i="18"/>
  <c r="E33" i="34" l="1"/>
  <c r="G26" i="27"/>
  <c r="G24" i="27" s="1"/>
  <c r="G21" i="27"/>
  <c r="G19" i="27"/>
  <c r="C6" i="18"/>
  <c r="G33" i="27" s="1"/>
  <c r="G6" i="27"/>
  <c r="G7" i="27"/>
  <c r="I18" i="31"/>
  <c r="I20" i="34" s="1"/>
  <c r="H18" i="31"/>
  <c r="H20" i="34" s="1"/>
  <c r="FQ9" i="34"/>
  <c r="FR9" i="34" s="1"/>
  <c r="FS9" i="34" s="1"/>
  <c r="FT9" i="34" s="1"/>
  <c r="FU9" i="34" s="1"/>
  <c r="F18" i="34"/>
  <c r="F37" i="34"/>
  <c r="F33" i="34"/>
  <c r="F36" i="34"/>
  <c r="F34" i="34"/>
  <c r="F35" i="34"/>
  <c r="F17" i="34"/>
  <c r="F27" i="34"/>
  <c r="AI10" i="34"/>
  <c r="E19" i="34"/>
  <c r="H30" i="27"/>
  <c r="G31" i="27"/>
  <c r="H31" i="27" s="1"/>
  <c r="K18" i="31" a="1"/>
  <c r="K18" i="31" s="1"/>
  <c r="K20" i="34" s="1"/>
  <c r="J18" i="31" a="1"/>
  <c r="J18" i="31" s="1"/>
  <c r="J20" i="34" s="1"/>
  <c r="E17" i="31"/>
  <c r="E35" i="31"/>
  <c r="E33" i="31"/>
  <c r="E32" i="31"/>
  <c r="E31" i="31"/>
  <c r="E25" i="31"/>
  <c r="H25" i="31" s="1"/>
  <c r="E16" i="31"/>
  <c r="E15" i="31"/>
  <c r="E15" i="34"/>
  <c r="H27" i="27"/>
  <c r="H34" i="31"/>
  <c r="H12" i="27"/>
  <c r="E24" i="34" s="1"/>
  <c r="H18" i="27"/>
  <c r="E30" i="34" s="1"/>
  <c r="H14" i="27"/>
  <c r="E26" i="34" s="1"/>
  <c r="H16" i="27"/>
  <c r="E28" i="34" s="1"/>
  <c r="H17" i="27"/>
  <c r="E29" i="34" s="1"/>
  <c r="C7" i="18"/>
  <c r="G34" i="27" s="1"/>
  <c r="F10" i="8"/>
  <c r="F11" i="8"/>
  <c r="F12" i="8"/>
  <c r="D4" i="8"/>
  <c r="F4" i="8" s="1"/>
  <c r="D7" i="8"/>
  <c r="F7" i="8" s="1"/>
  <c r="D5" i="8"/>
  <c r="F5" i="8" s="1"/>
  <c r="H6" i="27" l="1"/>
  <c r="E16" i="34"/>
  <c r="F16" i="34" s="1"/>
  <c r="G8" i="27"/>
  <c r="G5" i="27" s="1"/>
  <c r="I17" i="31"/>
  <c r="I19" i="34" s="1"/>
  <c r="H17" i="31"/>
  <c r="H19" i="34" s="1"/>
  <c r="FV9" i="34"/>
  <c r="FW9" i="34" s="1"/>
  <c r="FX9" i="34" s="1"/>
  <c r="FY9" i="34" s="1"/>
  <c r="FZ9" i="34" s="1"/>
  <c r="F29" i="34"/>
  <c r="F28" i="34"/>
  <c r="F24" i="34"/>
  <c r="F15" i="34"/>
  <c r="F26" i="34"/>
  <c r="F30" i="34"/>
  <c r="F19" i="34"/>
  <c r="AJ10" i="34"/>
  <c r="E28" i="31"/>
  <c r="H28" i="31" s="1"/>
  <c r="E27" i="31"/>
  <c r="E26" i="31"/>
  <c r="E24" i="31"/>
  <c r="H24" i="31" s="1"/>
  <c r="E22" i="31"/>
  <c r="E14" i="31"/>
  <c r="E13" i="31"/>
  <c r="H21" i="27"/>
  <c r="H24" i="27"/>
  <c r="H19" i="27"/>
  <c r="E31" i="34" s="1"/>
  <c r="H26" i="27"/>
  <c r="H7" i="27"/>
  <c r="H11" i="27"/>
  <c r="E23" i="34" s="1"/>
  <c r="H8" i="27" l="1"/>
  <c r="H13" i="27"/>
  <c r="E25" i="34" s="1"/>
  <c r="F25" i="34" s="1"/>
  <c r="G10" i="27"/>
  <c r="H10" i="27" s="1"/>
  <c r="H5" i="27"/>
  <c r="H13" i="31"/>
  <c r="H14" i="31" s="1"/>
  <c r="I14" i="31" s="1"/>
  <c r="I28" i="31"/>
  <c r="H30" i="34"/>
  <c r="I24" i="31"/>
  <c r="I26" i="34" s="1"/>
  <c r="H26" i="34"/>
  <c r="GA9" i="34"/>
  <c r="GB9" i="34" s="1"/>
  <c r="GC9" i="34" s="1"/>
  <c r="GD9" i="34" s="1"/>
  <c r="GE9" i="34" s="1"/>
  <c r="F31" i="34"/>
  <c r="F23" i="34"/>
  <c r="AK10" i="34"/>
  <c r="E29" i="31"/>
  <c r="E23" i="31"/>
  <c r="E21" i="31"/>
  <c r="H33" i="27"/>
  <c r="H34" i="27"/>
  <c r="H15" i="34" l="1"/>
  <c r="J13" i="31" a="1"/>
  <c r="J13" i="31" s="1"/>
  <c r="J15" i="34" s="1"/>
  <c r="G29" i="27"/>
  <c r="H29" i="27" s="1"/>
  <c r="I13" i="31"/>
  <c r="H15" i="31" s="1"/>
  <c r="I30" i="34"/>
  <c r="H16" i="34"/>
  <c r="GF9" i="34"/>
  <c r="GG9" i="34" s="1"/>
  <c r="GH9" i="34" s="1"/>
  <c r="GI9" i="34" s="1"/>
  <c r="GJ9" i="34" s="1"/>
  <c r="K13" i="31" a="1"/>
  <c r="K13" i="31" s="1"/>
  <c r="K15" i="34" s="1"/>
  <c r="AL10" i="34"/>
  <c r="E37" i="31"/>
  <c r="E39" i="34" s="1"/>
  <c r="I15" i="31" l="1"/>
  <c r="H16" i="31" s="1"/>
  <c r="I16" i="31" s="1"/>
  <c r="I15" i="34"/>
  <c r="I16" i="34"/>
  <c r="GK9" i="34"/>
  <c r="GL9" i="34" s="1"/>
  <c r="GM9" i="34" s="1"/>
  <c r="GN9" i="34" s="1"/>
  <c r="GO9" i="34" s="1"/>
  <c r="AM10" i="34"/>
  <c r="K17" i="31" a="1"/>
  <c r="K17" i="31" s="1"/>
  <c r="K19" i="34" s="1"/>
  <c r="J17" i="31" a="1"/>
  <c r="J17" i="31" s="1"/>
  <c r="J19" i="34" s="1"/>
  <c r="J14" i="31" a="1"/>
  <c r="J14" i="31" s="1"/>
  <c r="J16" i="34" s="1"/>
  <c r="H17" i="34" l="1"/>
  <c r="GP9" i="34"/>
  <c r="GQ9" i="34" s="1"/>
  <c r="GR9" i="34" s="1"/>
  <c r="GS9" i="34" s="1"/>
  <c r="GT9" i="34" s="1"/>
  <c r="AN10" i="34"/>
  <c r="K14" i="31" a="1"/>
  <c r="K14" i="31" s="1"/>
  <c r="K16" i="34" s="1"/>
  <c r="I17" i="34" l="1"/>
  <c r="GU9" i="34"/>
  <c r="GV9" i="34" s="1"/>
  <c r="GW9" i="34" s="1"/>
  <c r="GX9" i="34" s="1"/>
  <c r="GY9" i="34" s="1"/>
  <c r="AO10" i="34"/>
  <c r="J15" i="31" a="1"/>
  <c r="J15" i="31" s="1"/>
  <c r="J17" i="34" s="1"/>
  <c r="H18" i="34" l="1"/>
  <c r="GZ9" i="34"/>
  <c r="HA9" i="34" s="1"/>
  <c r="HB9" i="34" s="1"/>
  <c r="HC9" i="34" s="1"/>
  <c r="HD9" i="34" s="1"/>
  <c r="AP10" i="34"/>
  <c r="K15" i="31" a="1"/>
  <c r="K15" i="31" s="1"/>
  <c r="K17" i="34" s="1"/>
  <c r="I18" i="34" l="1"/>
  <c r="H21" i="31"/>
  <c r="HE9" i="34"/>
  <c r="HF9" i="34" s="1"/>
  <c r="HG9" i="34" s="1"/>
  <c r="HH9" i="34" s="1"/>
  <c r="HI9" i="34" s="1"/>
  <c r="AQ10" i="34"/>
  <c r="J16" i="31" a="1"/>
  <c r="J16" i="31" s="1"/>
  <c r="J18" i="34" s="1"/>
  <c r="H23" i="31" l="1"/>
  <c r="I21" i="31"/>
  <c r="H22" i="31" s="1"/>
  <c r="H23" i="34"/>
  <c r="HJ9" i="34"/>
  <c r="HK9" i="34" s="1"/>
  <c r="HL9" i="34" s="1"/>
  <c r="HM9" i="34" s="1"/>
  <c r="HN9" i="34" s="1"/>
  <c r="AR10" i="34"/>
  <c r="J21" i="31" a="1"/>
  <c r="J21" i="31" s="1"/>
  <c r="J23" i="34" s="1"/>
  <c r="K16" i="31" a="1"/>
  <c r="K16" i="31" s="1"/>
  <c r="K18" i="34" s="1"/>
  <c r="H24" i="34" l="1"/>
  <c r="I22" i="31"/>
  <c r="I24" i="34" s="1"/>
  <c r="H25" i="34"/>
  <c r="I23" i="31"/>
  <c r="I25" i="34" s="1"/>
  <c r="I23" i="34"/>
  <c r="HO9" i="34"/>
  <c r="HP9" i="34" s="1"/>
  <c r="HQ9" i="34" s="1"/>
  <c r="HR9" i="34" s="1"/>
  <c r="HS9" i="34" s="1"/>
  <c r="AS10" i="34"/>
  <c r="J22" i="31" a="1"/>
  <c r="J22" i="31" s="1"/>
  <c r="J24" i="34" s="1"/>
  <c r="K21" i="31" a="1"/>
  <c r="K21" i="31" s="1"/>
  <c r="K23" i="34" s="1"/>
  <c r="J23" i="31" a="1"/>
  <c r="J23" i="31" s="1"/>
  <c r="J25" i="34" s="1"/>
  <c r="H19" i="31" l="1"/>
  <c r="I19" i="31" s="1"/>
  <c r="H26" i="31"/>
  <c r="H27" i="34"/>
  <c r="I25" i="31"/>
  <c r="HT9" i="34"/>
  <c r="HU9" i="34" s="1"/>
  <c r="HV9" i="34" s="1"/>
  <c r="HW9" i="34" s="1"/>
  <c r="HX9" i="34" s="1"/>
  <c r="AT10" i="34"/>
  <c r="K22" i="31" a="1"/>
  <c r="K22" i="31" s="1"/>
  <c r="K24" i="34" s="1"/>
  <c r="K23" i="31" a="1"/>
  <c r="K23" i="31" s="1"/>
  <c r="K25" i="34" s="1"/>
  <c r="J24" i="31" a="1"/>
  <c r="J24" i="31" s="1"/>
  <c r="J26" i="34" s="1"/>
  <c r="J19" i="31" l="1" a="1"/>
  <c r="J19" i="31" s="1"/>
  <c r="J21" i="34" s="1"/>
  <c r="H21" i="34"/>
  <c r="I21" i="34"/>
  <c r="I27" i="34"/>
  <c r="HY9" i="34"/>
  <c r="HZ9" i="34" s="1"/>
  <c r="IA9" i="34" s="1"/>
  <c r="IB9" i="34" s="1"/>
  <c r="IC9" i="34" s="1"/>
  <c r="AU10" i="34"/>
  <c r="K24" i="31" a="1"/>
  <c r="K24" i="31" s="1"/>
  <c r="K26" i="34" s="1"/>
  <c r="I26" i="31" l="1"/>
  <c r="H28" i="34"/>
  <c r="ID9" i="34"/>
  <c r="AV10" i="34"/>
  <c r="J25" i="31" a="1"/>
  <c r="J25" i="31" s="1"/>
  <c r="J27" i="34" s="1"/>
  <c r="I28" i="34" l="1"/>
  <c r="H27" i="31"/>
  <c r="IE9" i="34"/>
  <c r="AW10" i="34"/>
  <c r="K25" i="31" a="1"/>
  <c r="K25" i="31" s="1"/>
  <c r="K27" i="34" s="1"/>
  <c r="I27" i="31" l="1"/>
  <c r="H29" i="31" s="1"/>
  <c r="H29" i="34"/>
  <c r="IF9" i="34"/>
  <c r="AX10" i="34"/>
  <c r="J26" i="31" a="1"/>
  <c r="J26" i="31" s="1"/>
  <c r="J28" i="34" s="1"/>
  <c r="I29" i="34" l="1"/>
  <c r="H20" i="31"/>
  <c r="IG9" i="34"/>
  <c r="AY10" i="34"/>
  <c r="K26" i="31" a="1"/>
  <c r="K26" i="31" s="1"/>
  <c r="K28" i="34" s="1"/>
  <c r="I29" i="31" l="1"/>
  <c r="H31" i="34"/>
  <c r="IH9" i="34"/>
  <c r="AZ10" i="34"/>
  <c r="J27" i="31" a="1"/>
  <c r="J27" i="31" s="1"/>
  <c r="J29" i="34" s="1"/>
  <c r="H11" i="31"/>
  <c r="J28" i="31" a="1"/>
  <c r="J28" i="31" s="1"/>
  <c r="J30" i="34" s="1"/>
  <c r="K28" i="31" a="1"/>
  <c r="K28" i="31" s="1"/>
  <c r="K30" i="34" s="1"/>
  <c r="K27" i="31" a="1"/>
  <c r="K27" i="31" s="1"/>
  <c r="K29" i="34" s="1"/>
  <c r="H13" i="34" l="1"/>
  <c r="I31" i="34"/>
  <c r="H31" i="31"/>
  <c r="II9" i="34"/>
  <c r="BA10" i="34"/>
  <c r="I31" i="31" l="1"/>
  <c r="H33" i="34"/>
  <c r="I34" i="31"/>
  <c r="I36" i="34" s="1"/>
  <c r="H36" i="34"/>
  <c r="IJ9" i="34"/>
  <c r="BB10" i="34"/>
  <c r="I11" i="31"/>
  <c r="J11" i="31"/>
  <c r="J13" i="34" s="1"/>
  <c r="K19" i="31" a="1"/>
  <c r="K19" i="31" s="1"/>
  <c r="K21" i="34" s="1"/>
  <c r="I13" i="34" l="1"/>
  <c r="BI13" i="34" s="1"/>
  <c r="M11" i="31"/>
  <c r="H32" i="31"/>
  <c r="I33" i="34"/>
  <c r="O11" i="31"/>
  <c r="FC11" i="31"/>
  <c r="AB11" i="31"/>
  <c r="FP11" i="31"/>
  <c r="BA11" i="31"/>
  <c r="CM11" i="31"/>
  <c r="IA11" i="31"/>
  <c r="BF11" i="31"/>
  <c r="W11" i="31"/>
  <c r="AJ11" i="31"/>
  <c r="JA11" i="31"/>
  <c r="BV11" i="31"/>
  <c r="KD11" i="31"/>
  <c r="FZ11" i="31"/>
  <c r="GP11" i="31"/>
  <c r="MW11" i="31"/>
  <c r="DA11" i="31"/>
  <c r="KR11" i="31"/>
  <c r="KW11" i="31"/>
  <c r="FL11" i="31"/>
  <c r="MC11" i="31"/>
  <c r="JR11" i="31"/>
  <c r="IR11" i="31"/>
  <c r="LH11" i="31"/>
  <c r="DF11" i="31"/>
  <c r="KU11" i="31"/>
  <c r="LU11" i="31"/>
  <c r="JK11" i="31"/>
  <c r="EG11" i="31"/>
  <c r="DM11" i="31"/>
  <c r="KX11" i="31"/>
  <c r="AA11" i="31"/>
  <c r="FO11" i="31"/>
  <c r="AN11" i="31"/>
  <c r="GB11" i="31"/>
  <c r="BM11" i="31"/>
  <c r="CY11" i="31"/>
  <c r="IM11" i="31"/>
  <c r="BR11" i="31"/>
  <c r="AI11" i="31"/>
  <c r="AP11" i="31"/>
  <c r="JO11" i="31"/>
  <c r="CX11" i="31"/>
  <c r="KP11" i="31"/>
  <c r="HH11" i="31"/>
  <c r="HF11" i="31"/>
  <c r="NI11" i="31"/>
  <c r="DX11" i="31"/>
  <c r="LD11" i="31"/>
  <c r="NQ11" i="31"/>
  <c r="GD11" i="31"/>
  <c r="MO11" i="31"/>
  <c r="Y11" i="31"/>
  <c r="JI11" i="31"/>
  <c r="NP11" i="31"/>
  <c r="EC11" i="31"/>
  <c r="AL11" i="31"/>
  <c r="KV11" i="31"/>
  <c r="HQ11" i="31"/>
  <c r="EH11" i="31"/>
  <c r="LJ11" i="31"/>
  <c r="AM11" i="31"/>
  <c r="GA11" i="31"/>
  <c r="AZ11" i="31"/>
  <c r="GN11" i="31"/>
  <c r="BY11" i="31"/>
  <c r="DK11" i="31"/>
  <c r="IY11" i="31"/>
  <c r="CD11" i="31"/>
  <c r="AU11" i="31"/>
  <c r="BT11" i="31"/>
  <c r="KB11" i="31"/>
  <c r="LB11" i="31"/>
  <c r="IO11" i="31"/>
  <c r="HU11" i="31"/>
  <c r="N11" i="31"/>
  <c r="LP11" i="31"/>
  <c r="GU11" i="31"/>
  <c r="BD11" i="31"/>
  <c r="HA11" i="31"/>
  <c r="LS11" i="31"/>
  <c r="ND11" i="31"/>
  <c r="FA11" i="31"/>
  <c r="BH11" i="31"/>
  <c r="MA11" i="31"/>
  <c r="FD11" i="31"/>
  <c r="X11" i="31"/>
  <c r="KF11" i="31"/>
  <c r="IW11" i="31"/>
  <c r="LG11" i="31"/>
  <c r="DU11" i="31"/>
  <c r="ES11" i="31"/>
  <c r="EJ11" i="31"/>
  <c r="NA11" i="31"/>
  <c r="JV11" i="31"/>
  <c r="EW11" i="31"/>
  <c r="HS11" i="31"/>
  <c r="LI11" i="31"/>
  <c r="LV11" i="31"/>
  <c r="LE11" i="31"/>
  <c r="FQ11" i="31"/>
  <c r="EQ11" i="31"/>
  <c r="FX11" i="31"/>
  <c r="GI11" i="31"/>
  <c r="AY11" i="31"/>
  <c r="GM11" i="31"/>
  <c r="BL11" i="31"/>
  <c r="GZ11" i="31"/>
  <c r="CK11" i="31"/>
  <c r="DW11" i="31"/>
  <c r="U11" i="31"/>
  <c r="CP11" i="31"/>
  <c r="BG11" i="31"/>
  <c r="CS11" i="31"/>
  <c r="KN11" i="31"/>
  <c r="EO11" i="31"/>
  <c r="LN11" i="31"/>
  <c r="LC11" i="31"/>
  <c r="IL11" i="31"/>
  <c r="CZ11" i="31"/>
  <c r="FK11" i="31"/>
  <c r="MB11" i="31"/>
  <c r="JN11" i="31"/>
  <c r="HJ11" i="31"/>
  <c r="NM11" i="31"/>
  <c r="CG11" i="31"/>
  <c r="KH11" i="31"/>
  <c r="KK11" i="31"/>
  <c r="FN11" i="31"/>
  <c r="ME11" i="31"/>
  <c r="LK11" i="31"/>
  <c r="AF11" i="31"/>
  <c r="BP11" i="31"/>
  <c r="FT11" i="31"/>
  <c r="MH11" i="31"/>
  <c r="NE11" i="31"/>
  <c r="AD11" i="31"/>
  <c r="GJ11" i="31"/>
  <c r="GK11" i="31"/>
  <c r="MT11" i="31"/>
  <c r="NC11" i="31"/>
  <c r="JY11" i="31"/>
  <c r="NF11" i="31"/>
  <c r="CI11" i="31"/>
  <c r="BE11" i="31"/>
  <c r="FE11" i="31"/>
  <c r="KC11" i="31"/>
  <c r="T11" i="31"/>
  <c r="EZ11" i="31"/>
  <c r="IH11" i="31"/>
  <c r="MS11" i="31"/>
  <c r="HR11" i="31"/>
  <c r="DG11" i="31"/>
  <c r="GE11" i="31"/>
  <c r="GO11" i="31"/>
  <c r="AW11" i="31"/>
  <c r="MY11" i="31"/>
  <c r="CF11" i="31"/>
  <c r="MG11" i="31"/>
  <c r="LO11" i="31"/>
  <c r="ED11" i="31"/>
  <c r="KA11" i="31"/>
  <c r="DS11" i="31"/>
  <c r="V11" i="31"/>
  <c r="IN11" i="31"/>
  <c r="R11" i="31"/>
  <c r="KS11" i="31"/>
  <c r="NB11" i="31"/>
  <c r="MR11" i="31"/>
  <c r="MM11" i="31"/>
  <c r="JM11" i="31"/>
  <c r="EE11" i="31"/>
  <c r="HC11" i="31"/>
  <c r="HT11" i="31"/>
  <c r="FF11" i="31"/>
  <c r="AX11" i="31"/>
  <c r="NN11" i="31"/>
  <c r="JZ11" i="31"/>
  <c r="AO11" i="31"/>
  <c r="AV11" i="31"/>
  <c r="CB11" i="31"/>
  <c r="LQ11" i="31"/>
  <c r="KI11" i="31"/>
  <c r="BK11" i="31"/>
  <c r="GY11" i="31"/>
  <c r="BX11" i="31"/>
  <c r="HL11" i="31"/>
  <c r="CW11" i="31"/>
  <c r="EI11" i="31"/>
  <c r="AG11" i="31"/>
  <c r="DB11" i="31"/>
  <c r="BS11" i="31"/>
  <c r="DQ11" i="31"/>
  <c r="KZ11" i="31"/>
  <c r="FH11" i="31"/>
  <c r="LZ11" i="31"/>
  <c r="NK11" i="31"/>
  <c r="JB11" i="31"/>
  <c r="FI11" i="31"/>
  <c r="GC11" i="31"/>
  <c r="MN11" i="31"/>
  <c r="MU11" i="31"/>
  <c r="IB11" i="31"/>
  <c r="IT11" i="31"/>
  <c r="DE11" i="31"/>
  <c r="KT11" i="31"/>
  <c r="GG11" i="31"/>
  <c r="MQ11" i="31"/>
  <c r="FU11" i="31"/>
  <c r="IZ11" i="31"/>
  <c r="HW11" i="31"/>
  <c r="FG11" i="31"/>
  <c r="CQ11" i="31"/>
  <c r="GR11" i="31"/>
  <c r="BU11" i="31"/>
  <c r="NL11" i="31"/>
  <c r="EV11" i="31"/>
  <c r="NO11" i="31"/>
  <c r="NR11" i="31"/>
  <c r="JH11" i="31"/>
  <c r="CC11" i="31"/>
  <c r="HV11" i="31"/>
  <c r="JX11" i="31"/>
  <c r="MP11" i="31"/>
  <c r="KE11" i="31"/>
  <c r="Q11" i="31"/>
  <c r="NH11" i="31"/>
  <c r="MF11" i="31"/>
  <c r="JJ11" i="31"/>
  <c r="AC11" i="31"/>
  <c r="FV11" i="31"/>
  <c r="JC11" i="31"/>
  <c r="DL11" i="31"/>
  <c r="FR11" i="31"/>
  <c r="CA11" i="31"/>
  <c r="IK11" i="31"/>
  <c r="IF11" i="31"/>
  <c r="CH11" i="31"/>
  <c r="CO11" i="31"/>
  <c r="BW11" i="31"/>
  <c r="HK11" i="31"/>
  <c r="CJ11" i="31"/>
  <c r="HX11" i="31"/>
  <c r="DI11" i="31"/>
  <c r="EU11" i="31"/>
  <c r="AS11" i="31"/>
  <c r="DN11" i="31"/>
  <c r="CE11" i="31"/>
  <c r="EK11" i="31"/>
  <c r="LL11" i="31"/>
  <c r="FY11" i="31"/>
  <c r="ML11" i="31"/>
  <c r="AR11" i="31"/>
  <c r="JP11" i="31"/>
  <c r="GS11" i="31"/>
  <c r="GT11" i="31"/>
  <c r="MZ11" i="31"/>
  <c r="KQ11" i="31"/>
  <c r="IQ11" i="31"/>
  <c r="LT11" i="31"/>
  <c r="EB11" i="31"/>
  <c r="LF11" i="31"/>
  <c r="DP11" i="31"/>
  <c r="GW11" i="31"/>
  <c r="BI11" i="31"/>
  <c r="HB11" i="31"/>
  <c r="CV11" i="31"/>
  <c r="S11" i="31"/>
  <c r="DZ11" i="31"/>
  <c r="LX11" i="31"/>
  <c r="MX11" i="31"/>
  <c r="HY11" i="31"/>
  <c r="JF11" i="31"/>
  <c r="LR11" i="31"/>
  <c r="HN11" i="31"/>
  <c r="KY11" i="31"/>
  <c r="DT11" i="31"/>
  <c r="EX11" i="31"/>
  <c r="DR11" i="31"/>
  <c r="KG11" i="31"/>
  <c r="IS11" i="31"/>
  <c r="IX11" i="31"/>
  <c r="BC11" i="31"/>
  <c r="GQ11" i="31"/>
  <c r="HE11" i="31"/>
  <c r="BZ11" i="31"/>
  <c r="JE11" i="31"/>
  <c r="GV11" i="31"/>
  <c r="EY11" i="31"/>
  <c r="ER11" i="31"/>
  <c r="AH11" i="31"/>
  <c r="DV11" i="31"/>
  <c r="JT11" i="31"/>
  <c r="JW11" i="31"/>
  <c r="P11" i="31"/>
  <c r="EP11" i="31"/>
  <c r="KM11" i="31"/>
  <c r="KL11" i="31"/>
  <c r="IJ11" i="31"/>
  <c r="HI11" i="31"/>
  <c r="CL11" i="31"/>
  <c r="AQ11" i="31"/>
  <c r="DO11" i="31"/>
  <c r="LA11" i="31"/>
  <c r="KJ11" i="31"/>
  <c r="JG11" i="31"/>
  <c r="EA11" i="31"/>
  <c r="LM11" i="31"/>
  <c r="CR11" i="31"/>
  <c r="AK11" i="31"/>
  <c r="JS11" i="31"/>
  <c r="DY11" i="31"/>
  <c r="BJ11" i="31"/>
  <c r="AT11" i="31"/>
  <c r="GH11" i="31"/>
  <c r="MK11" i="31"/>
  <c r="IC11" i="31"/>
  <c r="CN11" i="31"/>
  <c r="CU11" i="31"/>
  <c r="II11" i="31"/>
  <c r="DH11" i="31"/>
  <c r="IV11" i="31"/>
  <c r="AE11" i="31"/>
  <c r="FS11" i="31"/>
  <c r="BQ11" i="31"/>
  <c r="EL11" i="31"/>
  <c r="DC11" i="31"/>
  <c r="FW11" i="31"/>
  <c r="MJ11" i="31"/>
  <c r="HG11" i="31"/>
  <c r="NJ11" i="31"/>
  <c r="CT11" i="31"/>
  <c r="KO11" i="31"/>
  <c r="JD11" i="31"/>
  <c r="HZ11" i="31"/>
  <c r="HP11" i="31"/>
  <c r="BB11" i="31"/>
  <c r="JU11" i="31"/>
  <c r="JL11" i="31"/>
  <c r="FM11" i="31"/>
  <c r="MD11" i="31"/>
  <c r="LW11" i="31"/>
  <c r="ID11" i="31"/>
  <c r="GX11" i="31"/>
  <c r="DJ11" i="31"/>
  <c r="HD11" i="31"/>
  <c r="NG11" i="31"/>
  <c r="IG11" i="31"/>
  <c r="FB11" i="31"/>
  <c r="IU11" i="31"/>
  <c r="MV11" i="31"/>
  <c r="IP11" i="31"/>
  <c r="GF11" i="31"/>
  <c r="MI11" i="31"/>
  <c r="EF11" i="31"/>
  <c r="FJ11" i="31"/>
  <c r="EN11" i="31"/>
  <c r="DD11" i="31"/>
  <c r="Z11" i="31"/>
  <c r="NS11" i="31"/>
  <c r="BO11" i="31"/>
  <c r="EM11" i="31"/>
  <c r="LY11" i="31"/>
  <c r="GL11" i="31"/>
  <c r="BN11" i="31"/>
  <c r="HO11" i="31"/>
  <c r="JQ11" i="31"/>
  <c r="ET11" i="31"/>
  <c r="IE11" i="31"/>
  <c r="HM11" i="31"/>
  <c r="IK9" i="34"/>
  <c r="BC10" i="34"/>
  <c r="J29" i="31" a="1"/>
  <c r="J29" i="31" s="1"/>
  <c r="J31" i="34" s="1"/>
  <c r="H22" i="34"/>
  <c r="K11" i="31"/>
  <c r="K13" i="34" s="1"/>
  <c r="IJ13" i="34" l="1"/>
  <c r="AH13" i="34"/>
  <c r="EY13" i="34"/>
  <c r="CX13" i="34"/>
  <c r="FH13" i="34"/>
  <c r="GJ13" i="34"/>
  <c r="BA13" i="34"/>
  <c r="DB13" i="34"/>
  <c r="BY13" i="34"/>
  <c r="EP13" i="34"/>
  <c r="AV13" i="34"/>
  <c r="FZ13" i="34"/>
  <c r="FL13" i="34"/>
  <c r="DO13" i="34"/>
  <c r="GT13" i="34"/>
  <c r="DC13" i="34"/>
  <c r="IH13" i="34"/>
  <c r="DF13" i="34"/>
  <c r="EE13" i="34"/>
  <c r="FR13" i="34"/>
  <c r="AJ13" i="34"/>
  <c r="GO13" i="34"/>
  <c r="BG13" i="34"/>
  <c r="IE13" i="34"/>
  <c r="ED13" i="34"/>
  <c r="CS13" i="34"/>
  <c r="DZ13" i="34"/>
  <c r="FU13" i="34"/>
  <c r="GL13" i="34"/>
  <c r="P13" i="34"/>
  <c r="HF13" i="34"/>
  <c r="FX13" i="34"/>
  <c r="AR13" i="34"/>
  <c r="CF13" i="34"/>
  <c r="GF13" i="34"/>
  <c r="FD13" i="34"/>
  <c r="FO13" i="34"/>
  <c r="CC13" i="34"/>
  <c r="DG13" i="34"/>
  <c r="AY13" i="34"/>
  <c r="BW13" i="34"/>
  <c r="BT13" i="34"/>
  <c r="GI13" i="34"/>
  <c r="GU13" i="34"/>
  <c r="ET13" i="34"/>
  <c r="BZ13" i="34"/>
  <c r="HS13" i="34"/>
  <c r="BQ13" i="34"/>
  <c r="AI13" i="34"/>
  <c r="HA13" i="34"/>
  <c r="FJ13" i="34"/>
  <c r="GG13" i="34"/>
  <c r="AZ13" i="34"/>
  <c r="EI13" i="34"/>
  <c r="EN13" i="34"/>
  <c r="EV13" i="34"/>
  <c r="BE13" i="34"/>
  <c r="FB13" i="34"/>
  <c r="Z13" i="34"/>
  <c r="DE13" i="34"/>
  <c r="DT13" i="34"/>
  <c r="HX13" i="34"/>
  <c r="EO13" i="34"/>
  <c r="EH13" i="34"/>
  <c r="CY13" i="34"/>
  <c r="FW13" i="34"/>
  <c r="S13" i="34"/>
  <c r="HO13" i="34"/>
  <c r="IA13" i="34"/>
  <c r="AL13" i="34"/>
  <c r="GK13" i="34"/>
  <c r="CV13" i="34"/>
  <c r="BF13" i="34"/>
  <c r="GE13" i="34"/>
  <c r="W13" i="34"/>
  <c r="IF13" i="34"/>
  <c r="CZ13" i="34"/>
  <c r="DV13" i="34"/>
  <c r="GC13" i="34"/>
  <c r="IC13" i="34"/>
  <c r="AT13" i="34"/>
  <c r="DM13" i="34"/>
  <c r="R13" i="34"/>
  <c r="FQ13" i="34"/>
  <c r="Q13" i="34"/>
  <c r="HJ13" i="34"/>
  <c r="HG13" i="34"/>
  <c r="EZ13" i="34"/>
  <c r="BH13" i="34"/>
  <c r="DD13" i="34"/>
  <c r="EB13" i="34"/>
  <c r="CU13" i="34"/>
  <c r="CR13" i="34"/>
  <c r="X13" i="34"/>
  <c r="CM13" i="34"/>
  <c r="FC13" i="34"/>
  <c r="DA13" i="34"/>
  <c r="GX13" i="34"/>
  <c r="HI13" i="34"/>
  <c r="EM13" i="34"/>
  <c r="HU13" i="34"/>
  <c r="DK13" i="34"/>
  <c r="BR13" i="34"/>
  <c r="CJ13" i="34"/>
  <c r="CW13" i="34"/>
  <c r="BO13" i="34"/>
  <c r="HT13" i="34"/>
  <c r="IB13" i="34"/>
  <c r="GN13" i="34"/>
  <c r="CE13" i="34"/>
  <c r="GB13" i="34"/>
  <c r="T13" i="34"/>
  <c r="GQ13" i="34"/>
  <c r="FK13" i="34"/>
  <c r="AX13" i="34"/>
  <c r="II13" i="34"/>
  <c r="AK13" i="34"/>
  <c r="BX13" i="34"/>
  <c r="HZ13" i="34"/>
  <c r="FV13" i="34"/>
  <c r="DX13" i="34"/>
  <c r="GZ13" i="34"/>
  <c r="CN13" i="34"/>
  <c r="BC13" i="34"/>
  <c r="HC13" i="34"/>
  <c r="HW13" i="34"/>
  <c r="FG13" i="34"/>
  <c r="AO13" i="34"/>
  <c r="DP13" i="34"/>
  <c r="DL13" i="34"/>
  <c r="GM13" i="34"/>
  <c r="AU13" i="34"/>
  <c r="DS13" i="34"/>
  <c r="DU13" i="34"/>
  <c r="BP13" i="34"/>
  <c r="CO13" i="34"/>
  <c r="CQ13" i="34"/>
  <c r="GV13" i="34"/>
  <c r="HH13" i="34"/>
  <c r="DI13" i="34"/>
  <c r="FE13" i="34"/>
  <c r="HL13" i="34"/>
  <c r="GA13" i="34"/>
  <c r="AP13" i="34"/>
  <c r="BD13" i="34"/>
  <c r="BM13" i="34"/>
  <c r="HQ13" i="34"/>
  <c r="HK13" i="34"/>
  <c r="BV13" i="34"/>
  <c r="FI13" i="34"/>
  <c r="FM13" i="34"/>
  <c r="EC13" i="34"/>
  <c r="EJ13" i="34"/>
  <c r="BU13" i="34"/>
  <c r="BN13" i="34"/>
  <c r="DW13" i="34"/>
  <c r="ID13" i="34"/>
  <c r="HR13" i="34"/>
  <c r="AQ13" i="34"/>
  <c r="EA13" i="34"/>
  <c r="FN13" i="34"/>
  <c r="FS13" i="34"/>
  <c r="AM13" i="34"/>
  <c r="HP13" i="34"/>
  <c r="HD13" i="34"/>
  <c r="DH13" i="34"/>
  <c r="GR13" i="34"/>
  <c r="FT13" i="34"/>
  <c r="EQ13" i="34"/>
  <c r="FP13" i="34"/>
  <c r="AN13" i="34"/>
  <c r="AE13" i="34"/>
  <c r="FF13" i="34"/>
  <c r="HB13" i="34"/>
  <c r="CK13" i="34"/>
  <c r="CT13" i="34"/>
  <c r="GH13" i="34"/>
  <c r="DQ13" i="34"/>
  <c r="BB13" i="34"/>
  <c r="DY13" i="34"/>
  <c r="GY13" i="34"/>
  <c r="GW13" i="34"/>
  <c r="AF13" i="34"/>
  <c r="CB13" i="34"/>
  <c r="ER13" i="34"/>
  <c r="DJ13" i="34"/>
  <c r="AD13" i="34"/>
  <c r="CH13" i="34"/>
  <c r="AG13" i="34"/>
  <c r="CI13" i="34"/>
  <c r="EU13" i="34"/>
  <c r="EK13" i="34"/>
  <c r="HN13" i="34"/>
  <c r="HM13" i="34"/>
  <c r="EG13" i="34"/>
  <c r="BL13" i="34"/>
  <c r="CA13" i="34"/>
  <c r="DR13" i="34"/>
  <c r="CP13" i="34"/>
  <c r="DN13" i="34"/>
  <c r="GS13" i="34"/>
  <c r="BK13" i="34"/>
  <c r="EX13" i="34"/>
  <c r="N13" i="34"/>
  <c r="Y13" i="34"/>
  <c r="V13" i="34"/>
  <c r="GP13" i="34"/>
  <c r="BS13" i="34"/>
  <c r="FY13" i="34"/>
  <c r="AC13" i="34"/>
  <c r="U13" i="34"/>
  <c r="AA13" i="34"/>
  <c r="HY13" i="34"/>
  <c r="CD13" i="34"/>
  <c r="EL13" i="34"/>
  <c r="GD13" i="34"/>
  <c r="FA13" i="34"/>
  <c r="HE13" i="34"/>
  <c r="O13" i="34"/>
  <c r="BJ13" i="34"/>
  <c r="CL13" i="34"/>
  <c r="AW13" i="34"/>
  <c r="M13" i="34"/>
  <c r="HV13" i="34"/>
  <c r="ES13" i="34"/>
  <c r="CG13" i="34"/>
  <c r="IG13" i="34"/>
  <c r="AB13" i="34"/>
  <c r="AS13" i="34"/>
  <c r="EW13" i="34"/>
  <c r="EF13" i="34"/>
  <c r="I32" i="31"/>
  <c r="H34" i="34"/>
  <c r="IL9" i="34"/>
  <c r="IK13" i="34"/>
  <c r="BD10" i="34"/>
  <c r="I20" i="31"/>
  <c r="P20" i="31" s="1"/>
  <c r="J34" i="31" a="1"/>
  <c r="J34" i="31" s="1"/>
  <c r="J36" i="34" s="1"/>
  <c r="K29" i="31" a="1"/>
  <c r="K29" i="31" s="1"/>
  <c r="K31" i="34" s="1"/>
  <c r="J20" i="31"/>
  <c r="J22" i="34" s="1"/>
  <c r="I34" i="34" l="1"/>
  <c r="H33" i="31"/>
  <c r="NS20" i="31"/>
  <c r="I22" i="34"/>
  <c r="BN20" i="31"/>
  <c r="LY20" i="31"/>
  <c r="NL20" i="31"/>
  <c r="JM20" i="31"/>
  <c r="FR20" i="31"/>
  <c r="IF20" i="31"/>
  <c r="DR20" i="31"/>
  <c r="JF20" i="31"/>
  <c r="AM20" i="31"/>
  <c r="GA20" i="31"/>
  <c r="LO20" i="31"/>
  <c r="CV20" i="31"/>
  <c r="IJ20" i="31"/>
  <c r="Q20" i="31"/>
  <c r="FE20" i="31"/>
  <c r="KS20" i="31"/>
  <c r="CA20" i="31"/>
  <c r="HO20" i="31"/>
  <c r="NC20" i="31"/>
  <c r="EK20" i="31"/>
  <c r="JY20" i="31"/>
  <c r="BF20" i="31"/>
  <c r="GT20" i="31"/>
  <c r="MH20" i="31"/>
  <c r="DO20" i="31"/>
  <c r="JC20" i="31"/>
  <c r="AV20" i="31"/>
  <c r="FO20" i="31"/>
  <c r="KG20" i="31"/>
  <c r="DC20" i="31"/>
  <c r="CX20" i="31"/>
  <c r="DP20" i="31"/>
  <c r="HD20" i="31"/>
  <c r="BP20" i="31"/>
  <c r="GJ20" i="31"/>
  <c r="HI20" i="31"/>
  <c r="JR20" i="31"/>
  <c r="AY20" i="31"/>
  <c r="MA20" i="31"/>
  <c r="DH20" i="31"/>
  <c r="IV20" i="31"/>
  <c r="AC20" i="31"/>
  <c r="FQ20" i="31"/>
  <c r="LE20" i="31"/>
  <c r="CM20" i="31"/>
  <c r="IA20" i="31"/>
  <c r="NO20" i="31"/>
  <c r="EW20" i="31"/>
  <c r="KK20" i="31"/>
  <c r="BR20" i="31"/>
  <c r="HF20" i="31"/>
  <c r="MT20" i="31"/>
  <c r="EA20" i="31"/>
  <c r="JO20" i="31"/>
  <c r="AD20" i="31"/>
  <c r="MF20" i="31"/>
  <c r="LC20" i="31"/>
  <c r="HC20" i="31"/>
  <c r="LV20" i="31"/>
  <c r="CR20" i="31"/>
  <c r="IR20" i="31"/>
  <c r="GW20" i="31"/>
  <c r="KN20" i="31"/>
  <c r="AK20" i="31"/>
  <c r="EZ20" i="31"/>
  <c r="ED20" i="31"/>
  <c r="Y20" i="31"/>
  <c r="BT20" i="31"/>
  <c r="BU20" i="31"/>
  <c r="AP20" i="31"/>
  <c r="AF20" i="31"/>
  <c r="R20" i="31"/>
  <c r="IB20" i="31"/>
  <c r="LX20" i="31"/>
  <c r="HU20" i="31"/>
  <c r="NI20" i="31"/>
  <c r="EP20" i="31"/>
  <c r="KD20" i="31"/>
  <c r="BK20" i="31"/>
  <c r="GY20" i="31"/>
  <c r="MM20" i="31"/>
  <c r="DT20" i="31"/>
  <c r="JH20" i="31"/>
  <c r="AO20" i="31"/>
  <c r="GC20" i="31"/>
  <c r="LQ20" i="31"/>
  <c r="CY20" i="31"/>
  <c r="IM20" i="31"/>
  <c r="U20" i="31"/>
  <c r="FI20" i="31"/>
  <c r="KW20" i="31"/>
  <c r="CD20" i="31"/>
  <c r="HR20" i="31"/>
  <c r="NF20" i="31"/>
  <c r="EM20" i="31"/>
  <c r="KA20" i="31"/>
  <c r="BH20" i="31"/>
  <c r="AA20" i="31"/>
  <c r="BO20" i="31"/>
  <c r="GH20" i="31"/>
  <c r="EJ20" i="31"/>
  <c r="KV20" i="31"/>
  <c r="BZ20" i="31"/>
  <c r="BB20" i="31"/>
  <c r="T20" i="31"/>
  <c r="N20" i="31"/>
  <c r="FB20" i="31"/>
  <c r="BW20" i="31"/>
  <c r="HK20" i="31"/>
  <c r="MY20" i="31"/>
  <c r="JT20" i="31"/>
  <c r="BA20" i="31"/>
  <c r="GO20" i="31"/>
  <c r="MC20" i="31"/>
  <c r="DK20" i="31"/>
  <c r="IY20" i="31"/>
  <c r="AG20" i="31"/>
  <c r="FU20" i="31"/>
  <c r="LI20" i="31"/>
  <c r="CP20" i="31"/>
  <c r="ID20" i="31"/>
  <c r="NR20" i="31"/>
  <c r="EY20" i="31"/>
  <c r="KM20" i="31"/>
  <c r="MJ20" i="31"/>
  <c r="DF20" i="31"/>
  <c r="HX20" i="31"/>
  <c r="DY20" i="31"/>
  <c r="IQ20" i="31"/>
  <c r="FT20" i="31"/>
  <c r="CF20" i="31"/>
  <c r="MK20" i="31"/>
  <c r="AJ20" i="31"/>
  <c r="EH20" i="31"/>
  <c r="KB20" i="31"/>
  <c r="MW20" i="31"/>
  <c r="GM20" i="31"/>
  <c r="IZ20" i="31"/>
  <c r="BI20" i="31"/>
  <c r="DD20" i="31"/>
  <c r="DE20" i="31"/>
  <c r="AR20" i="31"/>
  <c r="JX20" i="31"/>
  <c r="IG20" i="31"/>
  <c r="KP20" i="31"/>
  <c r="EF20" i="31"/>
  <c r="CS20" i="31"/>
  <c r="EN20" i="31"/>
  <c r="EO20" i="31"/>
  <c r="CB20" i="31"/>
  <c r="LT20" i="31"/>
  <c r="BD20" i="31"/>
  <c r="Z20" i="31"/>
  <c r="FN20" i="31"/>
  <c r="LB20" i="31"/>
  <c r="CI20" i="31"/>
  <c r="HW20" i="31"/>
  <c r="NK20" i="31"/>
  <c r="ER20" i="31"/>
  <c r="KF20" i="31"/>
  <c r="BM20" i="31"/>
  <c r="HA20" i="31"/>
  <c r="MO20" i="31"/>
  <c r="DW20" i="31"/>
  <c r="JK20" i="31"/>
  <c r="AS20" i="31"/>
  <c r="GG20" i="31"/>
  <c r="LU20" i="31"/>
  <c r="DB20" i="31"/>
  <c r="IP20" i="31"/>
  <c r="W20" i="31"/>
  <c r="FK20" i="31"/>
  <c r="KY20" i="31"/>
  <c r="CJ20" i="31"/>
  <c r="EC20" i="31"/>
  <c r="X20" i="31"/>
  <c r="FX20" i="31"/>
  <c r="FY20" i="31"/>
  <c r="ET20" i="31"/>
  <c r="DL20" i="31"/>
  <c r="DV20" i="31"/>
  <c r="NP20" i="31"/>
  <c r="CN20" i="31"/>
  <c r="JE20" i="31"/>
  <c r="AL20" i="31"/>
  <c r="FZ20" i="31"/>
  <c r="LN20" i="31"/>
  <c r="CU20" i="31"/>
  <c r="II20" i="31"/>
  <c r="FD20" i="31"/>
  <c r="KR20" i="31"/>
  <c r="BY20" i="31"/>
  <c r="HM20" i="31"/>
  <c r="NA20" i="31"/>
  <c r="EI20" i="31"/>
  <c r="JW20" i="31"/>
  <c r="BE20" i="31"/>
  <c r="GS20" i="31"/>
  <c r="MG20" i="31"/>
  <c r="DN20" i="31"/>
  <c r="JB20" i="31"/>
  <c r="AI20" i="31"/>
  <c r="FW20" i="31"/>
  <c r="LK20" i="31"/>
  <c r="GK20" i="31"/>
  <c r="MR20" i="31"/>
  <c r="DJ20" i="31"/>
  <c r="CL20" i="31"/>
  <c r="IS20" i="31"/>
  <c r="FM20" i="31"/>
  <c r="CZ20" i="31"/>
  <c r="HN20" i="31"/>
  <c r="HP20" i="31"/>
  <c r="GD20" i="31"/>
  <c r="EV20" i="31"/>
  <c r="FF20" i="31"/>
  <c r="M20" i="31"/>
  <c r="DX20" i="31"/>
  <c r="JQ20" i="31"/>
  <c r="AX20" i="31"/>
  <c r="GL20" i="31"/>
  <c r="LZ20" i="31"/>
  <c r="DG20" i="31"/>
  <c r="IU20" i="31"/>
  <c r="AB20" i="31"/>
  <c r="FP20" i="31"/>
  <c r="LD20" i="31"/>
  <c r="CK20" i="31"/>
  <c r="HY20" i="31"/>
  <c r="NM20" i="31"/>
  <c r="EU20" i="31"/>
  <c r="KI20" i="31"/>
  <c r="BQ20" i="31"/>
  <c r="HE20" i="31"/>
  <c r="MS20" i="31"/>
  <c r="DZ20" i="31"/>
  <c r="JN20" i="31"/>
  <c r="AU20" i="31"/>
  <c r="GI20" i="31"/>
  <c r="LW20" i="31"/>
  <c r="HH20" i="31"/>
  <c r="HT20" i="31"/>
  <c r="AW20" i="31"/>
  <c r="KC20" i="31"/>
  <c r="GX20" i="31"/>
  <c r="DS20" i="31"/>
  <c r="JG20" i="31"/>
  <c r="GB20" i="31"/>
  <c r="LP20" i="31"/>
  <c r="IK20" i="31"/>
  <c r="FG20" i="31"/>
  <c r="CC20" i="31"/>
  <c r="NE20" i="31"/>
  <c r="GU20" i="31"/>
  <c r="JD20" i="31"/>
  <c r="LH20" i="31"/>
  <c r="HZ20" i="31"/>
  <c r="IL20" i="31"/>
  <c r="GR20" i="31"/>
  <c r="BV20" i="31"/>
  <c r="HJ20" i="31"/>
  <c r="EE20" i="31"/>
  <c r="AZ20" i="31"/>
  <c r="GN20" i="31"/>
  <c r="DI20" i="31"/>
  <c r="AE20" i="31"/>
  <c r="LG20" i="31"/>
  <c r="IC20" i="31"/>
  <c r="EX20" i="31"/>
  <c r="BS20" i="31"/>
  <c r="MU20" i="31"/>
  <c r="KT20" i="31"/>
  <c r="KZ20" i="31"/>
  <c r="NB20" i="31"/>
  <c r="ND20" i="31"/>
  <c r="LL20" i="31"/>
  <c r="JV20" i="31"/>
  <c r="KH20" i="31"/>
  <c r="DQ20" i="31"/>
  <c r="IN20" i="31"/>
  <c r="LA20" i="31"/>
  <c r="CH20" i="31"/>
  <c r="HV20" i="31"/>
  <c r="NJ20" i="31"/>
  <c r="EQ20" i="31"/>
  <c r="KE20" i="31"/>
  <c r="BL20" i="31"/>
  <c r="GZ20" i="31"/>
  <c r="MN20" i="31"/>
  <c r="DU20" i="31"/>
  <c r="JI20" i="31"/>
  <c r="AQ20" i="31"/>
  <c r="GE20" i="31"/>
  <c r="LS20" i="31"/>
  <c r="DA20" i="31"/>
  <c r="IO20" i="31"/>
  <c r="V20" i="31"/>
  <c r="FJ20" i="31"/>
  <c r="KX20" i="31"/>
  <c r="CE20" i="31"/>
  <c r="HS20" i="31"/>
  <c r="NG20" i="31"/>
  <c r="GV20" i="31"/>
  <c r="NN20" i="31"/>
  <c r="IT20" i="31"/>
  <c r="ES20" i="31"/>
  <c r="MQ20" i="31"/>
  <c r="AT20" i="31"/>
  <c r="HB20" i="31"/>
  <c r="JJ20" i="31"/>
  <c r="JL20" i="31"/>
  <c r="GF20" i="31"/>
  <c r="GP20" i="31"/>
  <c r="FH20" i="31"/>
  <c r="BJ20" i="31"/>
  <c r="ML20" i="31"/>
  <c r="AN20" i="31"/>
  <c r="CW20" i="31"/>
  <c r="S20" i="31"/>
  <c r="KU20" i="31"/>
  <c r="HQ20" i="31"/>
  <c r="EL20" i="31"/>
  <c r="JZ20" i="31"/>
  <c r="BG20" i="31"/>
  <c r="MI20" i="31"/>
  <c r="IX20" i="31"/>
  <c r="LF20" i="31"/>
  <c r="JP20" i="31"/>
  <c r="CG20" i="31"/>
  <c r="KO20" i="31"/>
  <c r="MX20" i="31"/>
  <c r="JS20" i="31"/>
  <c r="MB20" i="31"/>
  <c r="IW20" i="31"/>
  <c r="FS20" i="31"/>
  <c r="CO20" i="31"/>
  <c r="NQ20" i="31"/>
  <c r="KL20" i="31"/>
  <c r="HG20" i="31"/>
  <c r="MP20" i="31"/>
  <c r="MV20" i="31"/>
  <c r="FL20" i="31"/>
  <c r="EB20" i="31"/>
  <c r="NH20" i="31"/>
  <c r="LR20" i="31"/>
  <c r="MD20" i="31"/>
  <c r="FA20" i="31"/>
  <c r="KJ20" i="31"/>
  <c r="LM20" i="31"/>
  <c r="CT20" i="31"/>
  <c r="IH20" i="31"/>
  <c r="O20" i="31"/>
  <c r="FC20" i="31"/>
  <c r="KQ20" i="31"/>
  <c r="BX20" i="31"/>
  <c r="HL20" i="31"/>
  <c r="MZ20" i="31"/>
  <c r="EG20" i="31"/>
  <c r="JU20" i="31"/>
  <c r="BC20" i="31"/>
  <c r="GQ20" i="31"/>
  <c r="ME20" i="31"/>
  <c r="DM20" i="31"/>
  <c r="JA20" i="31"/>
  <c r="AH20" i="31"/>
  <c r="FV20" i="31"/>
  <c r="LJ20" i="31"/>
  <c r="CQ20" i="31"/>
  <c r="IE20" i="31"/>
  <c r="IM9" i="34"/>
  <c r="IL13" i="34"/>
  <c r="IL22" i="34"/>
  <c r="BE10" i="34"/>
  <c r="K20" i="31"/>
  <c r="K22" i="34" s="1"/>
  <c r="J31" i="31" a="1"/>
  <c r="J31" i="31" s="1"/>
  <c r="J33" i="34" s="1"/>
  <c r="I33" i="31" l="1"/>
  <c r="H35" i="31" s="1"/>
  <c r="H35" i="34"/>
  <c r="IJ22" i="34"/>
  <c r="IA22" i="34"/>
  <c r="BE22" i="34"/>
  <c r="BR22" i="34"/>
  <c r="AF22" i="34"/>
  <c r="DW22" i="34"/>
  <c r="DU22" i="34"/>
  <c r="CQ22" i="34"/>
  <c r="ES22" i="34"/>
  <c r="CD22" i="34"/>
  <c r="AD22" i="34"/>
  <c r="DL22" i="34"/>
  <c r="P22" i="34"/>
  <c r="ID22" i="34"/>
  <c r="DK22" i="34"/>
  <c r="BH22" i="34"/>
  <c r="EW22" i="34"/>
  <c r="GA22" i="34"/>
  <c r="BF22" i="34"/>
  <c r="GS22" i="34"/>
  <c r="FY22" i="34"/>
  <c r="FD22" i="34"/>
  <c r="AM22" i="34"/>
  <c r="DP22" i="34"/>
  <c r="HF22" i="34"/>
  <c r="CV22" i="34"/>
  <c r="II22" i="34"/>
  <c r="EX22" i="34"/>
  <c r="AL22" i="34"/>
  <c r="GC22" i="34"/>
  <c r="BZ22" i="34"/>
  <c r="GF22" i="34"/>
  <c r="GT22" i="34"/>
  <c r="HB22" i="34"/>
  <c r="EJ22" i="34"/>
  <c r="R22" i="34"/>
  <c r="DA22" i="34"/>
  <c r="EY22" i="34"/>
  <c r="FP22" i="34"/>
  <c r="FV22" i="34"/>
  <c r="CS22" i="34"/>
  <c r="M22" i="34"/>
  <c r="HU22" i="34"/>
  <c r="GI22" i="34"/>
  <c r="DM22" i="34"/>
  <c r="DR22" i="34"/>
  <c r="EV22" i="34"/>
  <c r="GJ22" i="34"/>
  <c r="FS22" i="34"/>
  <c r="BN22" i="34"/>
  <c r="GH22" i="34"/>
  <c r="FK22" i="34"/>
  <c r="GE22" i="34"/>
  <c r="EH22" i="34"/>
  <c r="EI22" i="34"/>
  <c r="BM22" i="34"/>
  <c r="HG22" i="34"/>
  <c r="AH22" i="34"/>
  <c r="AK22" i="34"/>
  <c r="DO22" i="34"/>
  <c r="EN22" i="34"/>
  <c r="GM22" i="34"/>
  <c r="CB22" i="34"/>
  <c r="O22" i="34"/>
  <c r="IH22" i="34"/>
  <c r="FL22" i="34"/>
  <c r="BQ22" i="34"/>
  <c r="BW22" i="34"/>
  <c r="FC22" i="34"/>
  <c r="FH22" i="34"/>
  <c r="CC22" i="34"/>
  <c r="BC22" i="34"/>
  <c r="N22" i="34"/>
  <c r="BD22" i="34"/>
  <c r="CO22" i="34"/>
  <c r="BK22" i="34"/>
  <c r="CU22" i="34"/>
  <c r="DC22" i="34"/>
  <c r="DQ22" i="34"/>
  <c r="FA22" i="34"/>
  <c r="FE22" i="34"/>
  <c r="BL22" i="34"/>
  <c r="HR22" i="34"/>
  <c r="HJ22" i="34"/>
  <c r="GR22" i="34"/>
  <c r="HM22" i="34"/>
  <c r="CP22" i="34"/>
  <c r="GW22" i="34"/>
  <c r="CM22" i="34"/>
  <c r="EA22" i="34"/>
  <c r="FR22" i="34"/>
  <c r="DE22" i="34"/>
  <c r="HN22" i="34"/>
  <c r="FI22" i="34"/>
  <c r="FN22" i="34"/>
  <c r="EQ22" i="34"/>
  <c r="DY22" i="34"/>
  <c r="FF22" i="34"/>
  <c r="CF22" i="34"/>
  <c r="EK22" i="34"/>
  <c r="CY22" i="34"/>
  <c r="CG22" i="34"/>
  <c r="HE22" i="34"/>
  <c r="CX22" i="34"/>
  <c r="GP22" i="34"/>
  <c r="ED22" i="34"/>
  <c r="DS22" i="34"/>
  <c r="AX22" i="34"/>
  <c r="DN22" i="34"/>
  <c r="HL22" i="34"/>
  <c r="EF22" i="34"/>
  <c r="FZ22" i="34"/>
  <c r="Y22" i="34"/>
  <c r="CZ22" i="34"/>
  <c r="GY22" i="34"/>
  <c r="DB22" i="34"/>
  <c r="S22" i="34"/>
  <c r="AT22" i="34"/>
  <c r="AP22" i="34"/>
  <c r="EU22" i="34"/>
  <c r="FG22" i="34"/>
  <c r="GL22" i="34"/>
  <c r="DJ22" i="34"/>
  <c r="HH22" i="34"/>
  <c r="EL22" i="34"/>
  <c r="BJ22" i="34"/>
  <c r="BI22" i="34"/>
  <c r="AB22" i="34"/>
  <c r="BB22" i="34"/>
  <c r="GD22" i="34"/>
  <c r="GO22" i="34"/>
  <c r="AO22" i="34"/>
  <c r="BT22" i="34"/>
  <c r="AI22" i="34"/>
  <c r="V22" i="34"/>
  <c r="CN22" i="34"/>
  <c r="DT22" i="34"/>
  <c r="DD22" i="34"/>
  <c r="BV22" i="34"/>
  <c r="DZ22" i="34"/>
  <c r="U22" i="34"/>
  <c r="ER22" i="34"/>
  <c r="CW22" i="34"/>
  <c r="HC22" i="34"/>
  <c r="BS22" i="34"/>
  <c r="IF22" i="34"/>
  <c r="DH22" i="34"/>
  <c r="GG22" i="34"/>
  <c r="FO22" i="34"/>
  <c r="EG22" i="34"/>
  <c r="HX22" i="34"/>
  <c r="BG22" i="34"/>
  <c r="GB22" i="34"/>
  <c r="Z22" i="34"/>
  <c r="DF22" i="34"/>
  <c r="X22" i="34"/>
  <c r="HP22" i="34"/>
  <c r="DG22" i="34"/>
  <c r="GV22" i="34"/>
  <c r="BY22" i="34"/>
  <c r="ET22" i="34"/>
  <c r="AQ22" i="34"/>
  <c r="CE22" i="34"/>
  <c r="T22" i="34"/>
  <c r="DV22" i="34"/>
  <c r="IB22" i="34"/>
  <c r="EE22" i="34"/>
  <c r="AV22" i="34"/>
  <c r="HZ22" i="34"/>
  <c r="AA22" i="34"/>
  <c r="HQ22" i="34"/>
  <c r="HS22" i="34"/>
  <c r="AR22" i="34"/>
  <c r="CI22" i="34"/>
  <c r="AC22" i="34"/>
  <c r="CT22" i="34"/>
  <c r="CK22" i="34"/>
  <c r="GZ22" i="34"/>
  <c r="HO22" i="34"/>
  <c r="BX22" i="34"/>
  <c r="FM22" i="34"/>
  <c r="HD22" i="34"/>
  <c r="BU22" i="34"/>
  <c r="IC22" i="34"/>
  <c r="Q22" i="34"/>
  <c r="HW22" i="34"/>
  <c r="EP22" i="34"/>
  <c r="HY22" i="34"/>
  <c r="HV22" i="34"/>
  <c r="GX22" i="34"/>
  <c r="EC22" i="34"/>
  <c r="EM22" i="34"/>
  <c r="AW22" i="34"/>
  <c r="HT22" i="34"/>
  <c r="FX22" i="34"/>
  <c r="FW22" i="34"/>
  <c r="GK22" i="34"/>
  <c r="AY22" i="34"/>
  <c r="DI22" i="34"/>
  <c r="GN22" i="34"/>
  <c r="AN22" i="34"/>
  <c r="HK22" i="34"/>
  <c r="W22" i="34"/>
  <c r="GQ22" i="34"/>
  <c r="CJ22" i="34"/>
  <c r="BP22" i="34"/>
  <c r="EZ22" i="34"/>
  <c r="HA22" i="34"/>
  <c r="IK22" i="34"/>
  <c r="EO22" i="34"/>
  <c r="IE22" i="34"/>
  <c r="AG22" i="34"/>
  <c r="GU22" i="34"/>
  <c r="AJ22" i="34"/>
  <c r="IG22" i="34"/>
  <c r="FJ22" i="34"/>
  <c r="DX22" i="34"/>
  <c r="CA22" i="34"/>
  <c r="HI22" i="34"/>
  <c r="FQ22" i="34"/>
  <c r="AE22" i="34"/>
  <c r="CL22" i="34"/>
  <c r="BO22" i="34"/>
  <c r="CR22" i="34"/>
  <c r="FB22" i="34"/>
  <c r="EB22" i="34"/>
  <c r="FT22" i="34"/>
  <c r="CH22" i="34"/>
  <c r="AZ22" i="34"/>
  <c r="AS22" i="34"/>
  <c r="AU22" i="34"/>
  <c r="FU22" i="34"/>
  <c r="BA22" i="34"/>
  <c r="IM13" i="34"/>
  <c r="IN9" i="34"/>
  <c r="IM22" i="34"/>
  <c r="BF10" i="34"/>
  <c r="K31" i="31" a="1"/>
  <c r="K31" i="31" s="1"/>
  <c r="K33" i="34" s="1"/>
  <c r="K34" i="31" a="1"/>
  <c r="K34" i="31" s="1"/>
  <c r="K36" i="34" s="1"/>
  <c r="I35" i="34" l="1"/>
  <c r="IO9" i="34"/>
  <c r="IN13" i="34"/>
  <c r="IN22" i="34"/>
  <c r="BG10" i="34"/>
  <c r="J32" i="31" a="1"/>
  <c r="J32" i="31" s="1"/>
  <c r="J34" i="34" s="1"/>
  <c r="I35" i="31" l="1"/>
  <c r="I37" i="34" s="1"/>
  <c r="H37" i="34"/>
  <c r="IP9" i="34"/>
  <c r="IO13" i="34"/>
  <c r="IO22" i="34"/>
  <c r="BH10" i="34"/>
  <c r="K32" i="31" a="1"/>
  <c r="K32" i="31" s="1"/>
  <c r="K34" i="34" s="1"/>
  <c r="IQ9" i="34" l="1"/>
  <c r="IP13" i="34"/>
  <c r="IP22" i="34"/>
  <c r="BI10" i="34"/>
  <c r="J33" i="31" a="1"/>
  <c r="J33" i="31" s="1"/>
  <c r="J35" i="34" s="1"/>
  <c r="IR9" i="34" l="1"/>
  <c r="IQ13" i="34"/>
  <c r="IQ22" i="34"/>
  <c r="BJ10" i="34"/>
  <c r="J35" i="31" a="1"/>
  <c r="J35" i="31" s="1"/>
  <c r="J37" i="34" s="1"/>
  <c r="K33" i="31" a="1"/>
  <c r="K33" i="31" s="1"/>
  <c r="K35" i="34" s="1"/>
  <c r="IR13" i="34" l="1"/>
  <c r="IS9" i="34"/>
  <c r="IR22" i="34"/>
  <c r="BK10" i="34"/>
  <c r="H30" i="31"/>
  <c r="H32" i="34" s="1"/>
  <c r="IT9" i="34" l="1"/>
  <c r="IS13" i="34"/>
  <c r="IS22" i="34"/>
  <c r="BL10" i="34"/>
  <c r="J30" i="31"/>
  <c r="J32" i="34" s="1"/>
  <c r="I30" i="31"/>
  <c r="K35" i="31" a="1"/>
  <c r="K35" i="31" s="1"/>
  <c r="K37" i="34" s="1"/>
  <c r="NH30" i="31" l="1"/>
  <c r="I32" i="34"/>
  <c r="BC30" i="31"/>
  <c r="FM30" i="31"/>
  <c r="JE30" i="31"/>
  <c r="KH30" i="31"/>
  <c r="KT30" i="31"/>
  <c r="II30" i="31"/>
  <c r="IU30" i="31"/>
  <c r="KR30" i="31"/>
  <c r="JV30" i="31"/>
  <c r="MF30" i="31"/>
  <c r="JG30" i="31"/>
  <c r="Y30" i="31"/>
  <c r="LW30" i="31"/>
  <c r="AE30" i="31"/>
  <c r="JQ30" i="31"/>
  <c r="LD30" i="31"/>
  <c r="MR30" i="31"/>
  <c r="CA30" i="31"/>
  <c r="KC30" i="31"/>
  <c r="LP30" i="31"/>
  <c r="ND30" i="31"/>
  <c r="DW30" i="31"/>
  <c r="AL30" i="31"/>
  <c r="BY30" i="31"/>
  <c r="DN30" i="31"/>
  <c r="FU30" i="31"/>
  <c r="AX30" i="31"/>
  <c r="CK30" i="31"/>
  <c r="DZ30" i="31"/>
  <c r="HQ30" i="31"/>
  <c r="BJ30" i="31"/>
  <c r="CW30" i="31"/>
  <c r="FW30" i="31"/>
  <c r="GG30" i="31"/>
  <c r="CU30" i="31"/>
  <c r="EH30" i="31"/>
  <c r="GI30" i="31"/>
  <c r="IC30" i="31"/>
  <c r="DG30" i="31"/>
  <c r="ET30" i="31"/>
  <c r="GU30" i="31"/>
  <c r="KU30" i="31"/>
  <c r="DS30" i="31"/>
  <c r="FF30" i="31"/>
  <c r="LK30" i="31"/>
  <c r="DD30" i="31"/>
  <c r="EL30" i="31"/>
  <c r="MI30" i="31"/>
  <c r="JY30" i="31"/>
  <c r="FZ30" i="31"/>
  <c r="HM30" i="31"/>
  <c r="CR30" i="31"/>
  <c r="AB30" i="31"/>
  <c r="BP30" i="31"/>
  <c r="AN30" i="31"/>
  <c r="DP30" i="31"/>
  <c r="AQ30" i="31"/>
  <c r="FA30" i="31"/>
  <c r="LN30" i="31"/>
  <c r="FD30" i="31"/>
  <c r="NA30" i="31"/>
  <c r="GR30" i="31"/>
  <c r="AI30" i="31"/>
  <c r="IF30" i="31"/>
  <c r="FG30" i="31"/>
  <c r="P30" i="31"/>
  <c r="BD30" i="31"/>
  <c r="JB30" i="31"/>
  <c r="MS30" i="31"/>
  <c r="HC30" i="31"/>
  <c r="HY30" i="31"/>
  <c r="JM30" i="31"/>
  <c r="GX30" i="31"/>
  <c r="JZ30" i="31"/>
  <c r="CM30" i="31"/>
  <c r="GW30" i="31"/>
  <c r="LZ30" i="31"/>
  <c r="FP30" i="31"/>
  <c r="NM30" i="31"/>
  <c r="HD30" i="31"/>
  <c r="AU30" i="31"/>
  <c r="IR30" i="31"/>
  <c r="GL30" i="31"/>
  <c r="JN30" i="31"/>
  <c r="JA30" i="31"/>
  <c r="IK30" i="31"/>
  <c r="CB30" i="31"/>
  <c r="EI30" i="31"/>
  <c r="IY30" i="31"/>
  <c r="ML30" i="31"/>
  <c r="GB30" i="31"/>
  <c r="R30" i="31"/>
  <c r="HP30" i="31"/>
  <c r="BG30" i="31"/>
  <c r="JD30" i="31"/>
  <c r="LU30" i="31"/>
  <c r="EE30" i="31"/>
  <c r="JS30" i="31"/>
  <c r="AZ30" i="31"/>
  <c r="GN30" i="31"/>
  <c r="MB30" i="31"/>
  <c r="DI30" i="31"/>
  <c r="IW30" i="31"/>
  <c r="AD30" i="31"/>
  <c r="FR30" i="31"/>
  <c r="LF30" i="31"/>
  <c r="CN30" i="31"/>
  <c r="IB30" i="31"/>
  <c r="NP30" i="31"/>
  <c r="EX30" i="31"/>
  <c r="KL30" i="31"/>
  <c r="BS30" i="31"/>
  <c r="HG30" i="31"/>
  <c r="MU30" i="31"/>
  <c r="EB30" i="31"/>
  <c r="JP30" i="31"/>
  <c r="DA30" i="31"/>
  <c r="NJ30" i="31"/>
  <c r="EQ30" i="31"/>
  <c r="KE30" i="31"/>
  <c r="BL30" i="31"/>
  <c r="GZ30" i="31"/>
  <c r="MN30" i="31"/>
  <c r="DU30" i="31"/>
  <c r="JI30" i="31"/>
  <c r="AP30" i="31"/>
  <c r="GD30" i="31"/>
  <c r="LR30" i="31"/>
  <c r="CZ30" i="31"/>
  <c r="IN30" i="31"/>
  <c r="V30" i="31"/>
  <c r="FJ30" i="31"/>
  <c r="KX30" i="31"/>
  <c r="CE30" i="31"/>
  <c r="HS30" i="31"/>
  <c r="NG30" i="31"/>
  <c r="EN30" i="31"/>
  <c r="KB30" i="31"/>
  <c r="KO30" i="31"/>
  <c r="GE30" i="31"/>
  <c r="AK30" i="31"/>
  <c r="GQ30" i="31"/>
  <c r="EW30" i="31"/>
  <c r="BQ30" i="31"/>
  <c r="LM30" i="31"/>
  <c r="CT30" i="31"/>
  <c r="IH30" i="31"/>
  <c r="O30" i="31"/>
  <c r="FC30" i="31"/>
  <c r="KQ30" i="31"/>
  <c r="BX30" i="31"/>
  <c r="HL30" i="31"/>
  <c r="MZ30" i="31"/>
  <c r="EG30" i="31"/>
  <c r="JU30" i="31"/>
  <c r="BB30" i="31"/>
  <c r="GP30" i="31"/>
  <c r="MD30" i="31"/>
  <c r="DL30" i="31"/>
  <c r="IZ30" i="31"/>
  <c r="AH30" i="31"/>
  <c r="FV30" i="31"/>
  <c r="LJ30" i="31"/>
  <c r="CQ30" i="31"/>
  <c r="IE30" i="31"/>
  <c r="NS30" i="31"/>
  <c r="EZ30" i="31"/>
  <c r="KN30" i="31"/>
  <c r="LS30" i="31"/>
  <c r="FS30" i="31"/>
  <c r="CH30" i="31"/>
  <c r="LY30" i="31"/>
  <c r="BN30" i="31"/>
  <c r="LV30" i="31"/>
  <c r="KZ30" i="31"/>
  <c r="NO30" i="31"/>
  <c r="HJ30" i="31"/>
  <c r="MG30" i="31"/>
  <c r="LA30" i="31"/>
  <c r="IA30" i="31"/>
  <c r="KK30" i="31"/>
  <c r="IT30" i="31"/>
  <c r="LG30" i="31"/>
  <c r="FI30" i="31"/>
  <c r="MK30" i="31"/>
  <c r="DR30" i="31"/>
  <c r="JF30" i="31"/>
  <c r="AM30" i="31"/>
  <c r="GA30" i="31"/>
  <c r="LO30" i="31"/>
  <c r="CV30" i="31"/>
  <c r="IJ30" i="31"/>
  <c r="Q30" i="31"/>
  <c r="FE30" i="31"/>
  <c r="KS30" i="31"/>
  <c r="BZ30" i="31"/>
  <c r="HN30" i="31"/>
  <c r="NB30" i="31"/>
  <c r="EJ30" i="31"/>
  <c r="JX30" i="31"/>
  <c r="BF30" i="31"/>
  <c r="GT30" i="31"/>
  <c r="MH30" i="31"/>
  <c r="DO30" i="31"/>
  <c r="JC30" i="31"/>
  <c r="AJ30" i="31"/>
  <c r="FX30" i="31"/>
  <c r="LL30" i="31"/>
  <c r="IM30" i="31"/>
  <c r="FO30" i="31"/>
  <c r="ES30" i="31"/>
  <c r="JL30" i="31"/>
  <c r="FL30" i="31"/>
  <c r="BE30" i="31"/>
  <c r="ED30" i="31"/>
  <c r="MA30" i="31"/>
  <c r="DH30" i="31"/>
  <c r="LE30" i="31"/>
  <c r="CL30" i="31"/>
  <c r="HZ30" i="31"/>
  <c r="NN30" i="31"/>
  <c r="EV30" i="31"/>
  <c r="KJ30" i="31"/>
  <c r="BR30" i="31"/>
  <c r="HF30" i="31"/>
  <c r="MT30" i="31"/>
  <c r="EA30" i="31"/>
  <c r="JO30" i="31"/>
  <c r="AV30" i="31"/>
  <c r="GJ30" i="31"/>
  <c r="LX30" i="31"/>
  <c r="BV30" i="31"/>
  <c r="HI30" i="31"/>
  <c r="U30" i="31"/>
  <c r="HO30" i="31"/>
  <c r="CG30" i="31"/>
  <c r="DM30" i="31"/>
  <c r="LC30" i="31"/>
  <c r="NL30" i="31"/>
  <c r="DX30" i="31"/>
  <c r="X30" i="31"/>
  <c r="NE30" i="31"/>
  <c r="BU30" i="31"/>
  <c r="GK30" i="31"/>
  <c r="MW30" i="31"/>
  <c r="GM30" i="31"/>
  <c r="IV30" i="31"/>
  <c r="AS30" i="31"/>
  <c r="M30" i="31"/>
  <c r="JK30" i="31"/>
  <c r="NI30" i="31"/>
  <c r="EP30" i="31"/>
  <c r="KD30" i="31"/>
  <c r="BK30" i="31"/>
  <c r="GY30" i="31"/>
  <c r="MM30" i="31"/>
  <c r="DT30" i="31"/>
  <c r="JH30" i="31"/>
  <c r="AO30" i="31"/>
  <c r="GC30" i="31"/>
  <c r="LQ30" i="31"/>
  <c r="CX30" i="31"/>
  <c r="IL30" i="31"/>
  <c r="T30" i="31"/>
  <c r="FH30" i="31"/>
  <c r="KV30" i="31"/>
  <c r="CD30" i="31"/>
  <c r="HR30" i="31"/>
  <c r="NF30" i="31"/>
  <c r="EM30" i="31"/>
  <c r="KA30" i="31"/>
  <c r="BH30" i="31"/>
  <c r="GV30" i="31"/>
  <c r="MJ30" i="31"/>
  <c r="CY30" i="31"/>
  <c r="MX30" i="31"/>
  <c r="EU30" i="31"/>
  <c r="HV30" i="31"/>
  <c r="AW30" i="31"/>
  <c r="CS30" i="31"/>
  <c r="DF30" i="31"/>
  <c r="CJ30" i="31"/>
  <c r="KG30" i="31"/>
  <c r="MP30" i="31"/>
  <c r="GH30" i="31"/>
  <c r="DC30" i="31"/>
  <c r="MQ30" i="31"/>
  <c r="EO30" i="31"/>
  <c r="DQ30" i="31"/>
  <c r="HE30" i="31"/>
  <c r="AY30" i="31"/>
  <c r="AC30" i="31"/>
  <c r="AG30" i="31"/>
  <c r="S30" i="31"/>
  <c r="CC30" i="31"/>
  <c r="KI30" i="31"/>
  <c r="CO30" i="31"/>
  <c r="KW30" i="31"/>
  <c r="BO30" i="31"/>
  <c r="BI30" i="31"/>
  <c r="ME30" i="31"/>
  <c r="N30" i="31"/>
  <c r="FB30" i="31"/>
  <c r="KP30" i="31"/>
  <c r="BW30" i="31"/>
  <c r="HK30" i="31"/>
  <c r="MY30" i="31"/>
  <c r="EF30" i="31"/>
  <c r="JT30" i="31"/>
  <c r="BA30" i="31"/>
  <c r="GO30" i="31"/>
  <c r="MC30" i="31"/>
  <c r="DJ30" i="31"/>
  <c r="IX30" i="31"/>
  <c r="AF30" i="31"/>
  <c r="FT30" i="31"/>
  <c r="LH30" i="31"/>
  <c r="CP30" i="31"/>
  <c r="ID30" i="31"/>
  <c r="NR30" i="31"/>
  <c r="EY30" i="31"/>
  <c r="KM30" i="31"/>
  <c r="BT30" i="31"/>
  <c r="HH30" i="31"/>
  <c r="MV30" i="31"/>
  <c r="JW30" i="31"/>
  <c r="GS30" i="31"/>
  <c r="AA30" i="31"/>
  <c r="HX30" i="31"/>
  <c r="HB30" i="31"/>
  <c r="AT30" i="31"/>
  <c r="IQ30" i="31"/>
  <c r="EC30" i="31"/>
  <c r="IO30" i="31"/>
  <c r="FY30" i="31"/>
  <c r="LI30" i="31"/>
  <c r="JR30" i="31"/>
  <c r="FQ30" i="31"/>
  <c r="HU30" i="31"/>
  <c r="IG30" i="31"/>
  <c r="DY30" i="31"/>
  <c r="NC30" i="31"/>
  <c r="EK30" i="31"/>
  <c r="NQ30" i="31"/>
  <c r="DK30" i="31"/>
  <c r="DE30" i="31"/>
  <c r="IS30" i="31"/>
  <c r="Z30" i="31"/>
  <c r="FN30" i="31"/>
  <c r="LB30" i="31"/>
  <c r="CI30" i="31"/>
  <c r="HW30" i="31"/>
  <c r="NK30" i="31"/>
  <c r="ER30" i="31"/>
  <c r="KF30" i="31"/>
  <c r="BM30" i="31"/>
  <c r="HA30" i="31"/>
  <c r="MO30" i="31"/>
  <c r="DV30" i="31"/>
  <c r="JJ30" i="31"/>
  <c r="AR30" i="31"/>
  <c r="GF30" i="31"/>
  <c r="LT30" i="31"/>
  <c r="DB30" i="31"/>
  <c r="IP30" i="31"/>
  <c r="W30" i="31"/>
  <c r="FK30" i="31"/>
  <c r="KY30" i="31"/>
  <c r="CF30" i="31"/>
  <c r="HT30" i="31"/>
  <c r="IU9" i="34"/>
  <c r="IT13" i="34"/>
  <c r="IT22" i="34"/>
  <c r="IT32" i="34"/>
  <c r="BM10" i="34"/>
  <c r="K30" i="31"/>
  <c r="K32" i="34" s="1"/>
  <c r="E38" i="31"/>
  <c r="E39" i="31" s="1" a="1"/>
  <c r="E39" i="31" s="1"/>
  <c r="GS32" i="34" l="1"/>
  <c r="CF32" i="34"/>
  <c r="IK32" i="34"/>
  <c r="BE32" i="34"/>
  <c r="BH32" i="34"/>
  <c r="DO32" i="34"/>
  <c r="BF32" i="34"/>
  <c r="HB32" i="34"/>
  <c r="AR32" i="34"/>
  <c r="W32" i="34"/>
  <c r="AM32" i="34"/>
  <c r="GN32" i="34"/>
  <c r="CG32" i="34"/>
  <c r="FQ32" i="34"/>
  <c r="EV32" i="34"/>
  <c r="CZ32" i="34"/>
  <c r="FF32" i="34"/>
  <c r="AJ32" i="34"/>
  <c r="Y32" i="34"/>
  <c r="GX32" i="34"/>
  <c r="EI32" i="34"/>
  <c r="BV32" i="34"/>
  <c r="AG32" i="34"/>
  <c r="R32" i="34"/>
  <c r="DJ32" i="34"/>
  <c r="GT32" i="34"/>
  <c r="EL32" i="34"/>
  <c r="EK32" i="34"/>
  <c r="GF32" i="34"/>
  <c r="N32" i="34"/>
  <c r="HR32" i="34"/>
  <c r="P32" i="34"/>
  <c r="CR32" i="34"/>
  <c r="EY32" i="34"/>
  <c r="IP32" i="34"/>
  <c r="ED32" i="34"/>
  <c r="IE32" i="34"/>
  <c r="T32" i="34"/>
  <c r="FE32" i="34"/>
  <c r="CU32" i="34"/>
  <c r="AI32" i="34"/>
  <c r="BC32" i="34"/>
  <c r="GE32" i="34"/>
  <c r="AD32" i="34"/>
  <c r="II32" i="34"/>
  <c r="AE32" i="34"/>
  <c r="HN32" i="34"/>
  <c r="HT32" i="34"/>
  <c r="DK32" i="34"/>
  <c r="GU32" i="34"/>
  <c r="DE32" i="34"/>
  <c r="FK32" i="34"/>
  <c r="AX32" i="34"/>
  <c r="FV32" i="34"/>
  <c r="AK32" i="34"/>
  <c r="HS32" i="34"/>
  <c r="GG32" i="34"/>
  <c r="GK32" i="34"/>
  <c r="GM32" i="34"/>
  <c r="BP32" i="34"/>
  <c r="DV32" i="34"/>
  <c r="EQ32" i="34"/>
  <c r="BN32" i="34"/>
  <c r="BY32" i="34"/>
  <c r="AW32" i="34"/>
  <c r="IS32" i="34"/>
  <c r="DN32" i="34"/>
  <c r="CK32" i="34"/>
  <c r="BL32" i="34"/>
  <c r="DC32" i="34"/>
  <c r="GW32" i="34"/>
  <c r="EW32" i="34"/>
  <c r="Z32" i="34"/>
  <c r="CO32" i="34"/>
  <c r="FR32" i="34"/>
  <c r="EJ32" i="34"/>
  <c r="AO32" i="34"/>
  <c r="EE32" i="34"/>
  <c r="EA32" i="34"/>
  <c r="GA32" i="34"/>
  <c r="BX32" i="34"/>
  <c r="AL32" i="34"/>
  <c r="HP32" i="34"/>
  <c r="BM32" i="34"/>
  <c r="BB32" i="34"/>
  <c r="U32" i="34"/>
  <c r="EM32" i="34"/>
  <c r="HK32" i="34"/>
  <c r="GY32" i="34"/>
  <c r="DA32" i="34"/>
  <c r="AQ32" i="34"/>
  <c r="FA32" i="34"/>
  <c r="BK32" i="34"/>
  <c r="GJ32" i="34"/>
  <c r="FZ32" i="34"/>
  <c r="GR32" i="34"/>
  <c r="DT32" i="34"/>
  <c r="DM32" i="34"/>
  <c r="DZ32" i="34"/>
  <c r="FB32" i="34"/>
  <c r="BZ32" i="34"/>
  <c r="HG32" i="34"/>
  <c r="AY32" i="34"/>
  <c r="FJ32" i="34"/>
  <c r="BQ32" i="34"/>
  <c r="HX32" i="34"/>
  <c r="CQ32" i="34"/>
  <c r="EX32" i="34"/>
  <c r="HH32" i="34"/>
  <c r="AN32" i="34"/>
  <c r="BI32" i="34"/>
  <c r="CE32" i="34"/>
  <c r="ER32" i="34"/>
  <c r="EP32" i="34"/>
  <c r="HA32" i="34"/>
  <c r="HQ32" i="34"/>
  <c r="DD32" i="34"/>
  <c r="BU32" i="34"/>
  <c r="IF32" i="34"/>
  <c r="AU32" i="34"/>
  <c r="FM32" i="34"/>
  <c r="GB32" i="34"/>
  <c r="GO32" i="34"/>
  <c r="CN32" i="34"/>
  <c r="DH32" i="34"/>
  <c r="DB32" i="34"/>
  <c r="HL32" i="34"/>
  <c r="BR32" i="34"/>
  <c r="HW32" i="34"/>
  <c r="DF32" i="34"/>
  <c r="DX32" i="34"/>
  <c r="IM32" i="34"/>
  <c r="BG32" i="34"/>
  <c r="ID32" i="34"/>
  <c r="DY32" i="34"/>
  <c r="BD32" i="34"/>
  <c r="AT32" i="34"/>
  <c r="EC32" i="34"/>
  <c r="HJ32" i="34"/>
  <c r="BJ32" i="34"/>
  <c r="HO32" i="34"/>
  <c r="HY32" i="34"/>
  <c r="IO32" i="34"/>
  <c r="V32" i="34"/>
  <c r="CI32" i="34"/>
  <c r="IB32" i="34"/>
  <c r="EG32" i="34"/>
  <c r="DG32" i="34"/>
  <c r="FI32" i="34"/>
  <c r="EN32" i="34"/>
  <c r="CC32" i="34"/>
  <c r="GP32" i="34"/>
  <c r="CA32" i="34"/>
  <c r="DU32" i="34"/>
  <c r="DW32" i="34"/>
  <c r="HU32" i="34"/>
  <c r="EB32" i="34"/>
  <c r="IL32" i="34"/>
  <c r="HD32" i="34"/>
  <c r="CW32" i="34"/>
  <c r="FS32" i="34"/>
  <c r="FL32" i="34"/>
  <c r="GI32" i="34"/>
  <c r="IC32" i="34"/>
  <c r="IA32" i="34"/>
  <c r="AP32" i="34"/>
  <c r="HE32" i="34"/>
  <c r="AA32" i="34"/>
  <c r="DQ32" i="34"/>
  <c r="GZ32" i="34"/>
  <c r="BS32" i="34"/>
  <c r="AB32" i="34"/>
  <c r="FN32" i="34"/>
  <c r="GQ32" i="34"/>
  <c r="X32" i="34"/>
  <c r="DP32" i="34"/>
  <c r="GH32" i="34"/>
  <c r="GC32" i="34"/>
  <c r="HF32" i="34"/>
  <c r="CX32" i="34"/>
  <c r="IR32" i="34"/>
  <c r="FH32" i="34"/>
  <c r="FT32" i="34"/>
  <c r="CD32" i="34"/>
  <c r="FU32" i="34"/>
  <c r="HI32" i="34"/>
  <c r="CV32" i="34"/>
  <c r="IJ32" i="34"/>
  <c r="M32" i="34"/>
  <c r="AC32" i="34"/>
  <c r="EF32" i="34"/>
  <c r="AS32" i="34"/>
  <c r="CM32" i="34"/>
  <c r="CH32" i="34"/>
  <c r="DL32" i="34"/>
  <c r="CP32" i="34"/>
  <c r="DI32" i="34"/>
  <c r="GL32" i="34"/>
  <c r="CL32" i="34"/>
  <c r="FG32" i="34"/>
  <c r="O32" i="34"/>
  <c r="FW32" i="34"/>
  <c r="AF32" i="34"/>
  <c r="IN32" i="34"/>
  <c r="IG32" i="34"/>
  <c r="CJ32" i="34"/>
  <c r="HM32" i="34"/>
  <c r="AZ32" i="34"/>
  <c r="FO32" i="34"/>
  <c r="CB32" i="34"/>
  <c r="GV32" i="34"/>
  <c r="CT32" i="34"/>
  <c r="FD32" i="34"/>
  <c r="IQ32" i="34"/>
  <c r="AH32" i="34"/>
  <c r="EO32" i="34"/>
  <c r="S32" i="34"/>
  <c r="BA32" i="34"/>
  <c r="DR32" i="34"/>
  <c r="FC32" i="34"/>
  <c r="EH32" i="34"/>
  <c r="ES32" i="34"/>
  <c r="CY32" i="34"/>
  <c r="AV32" i="34"/>
  <c r="FY32" i="34"/>
  <c r="BW32" i="34"/>
  <c r="EZ32" i="34"/>
  <c r="ET32" i="34"/>
  <c r="Q32" i="34"/>
  <c r="DS32" i="34"/>
  <c r="HC32" i="34"/>
  <c r="FP32" i="34"/>
  <c r="EU32" i="34"/>
  <c r="BT32" i="34"/>
  <c r="FX32" i="34"/>
  <c r="CS32" i="34"/>
  <c r="IH32" i="34"/>
  <c r="HV32" i="34"/>
  <c r="GD32" i="34"/>
  <c r="HZ32" i="34"/>
  <c r="BO32" i="34"/>
  <c r="E40" i="34"/>
  <c r="IV9" i="34"/>
  <c r="IU13" i="34"/>
  <c r="IU22" i="34"/>
  <c r="IU32" i="34"/>
  <c r="BN10" i="34"/>
  <c r="E40" i="31" l="1"/>
  <c r="E42" i="34" s="1"/>
  <c r="E41" i="34"/>
  <c r="IW9" i="34"/>
  <c r="IV13" i="34"/>
  <c r="IV22" i="34"/>
  <c r="IV32" i="34"/>
  <c r="BO10" i="34"/>
  <c r="IW13" i="34" l="1"/>
  <c r="IX9" i="34"/>
  <c r="IW22" i="34"/>
  <c r="IW32" i="34"/>
  <c r="BP10" i="34"/>
  <c r="IY9" i="34" l="1"/>
  <c r="IX13" i="34"/>
  <c r="IX22" i="34"/>
  <c r="IX32" i="34"/>
  <c r="BQ10" i="34"/>
  <c r="IZ9" i="34" l="1"/>
  <c r="IY13" i="34"/>
  <c r="IY22" i="34"/>
  <c r="IY32" i="34"/>
  <c r="BR10" i="34"/>
  <c r="JA9" i="34" l="1"/>
  <c r="IZ13" i="34"/>
  <c r="IZ22" i="34"/>
  <c r="IZ32" i="34"/>
  <c r="BS10" i="34"/>
  <c r="JB9" i="34" l="1"/>
  <c r="JA13" i="34"/>
  <c r="JA22" i="34"/>
  <c r="JA32" i="34"/>
  <c r="BT10" i="34"/>
  <c r="JB13" i="34" l="1"/>
  <c r="JC9" i="34"/>
  <c r="JB22" i="34"/>
  <c r="JB32" i="34"/>
  <c r="BU10" i="34"/>
  <c r="JD9" i="34" l="1"/>
  <c r="JC13" i="34"/>
  <c r="JC22" i="34"/>
  <c r="JC32" i="34"/>
  <c r="BV10" i="34"/>
  <c r="JE9" i="34" l="1"/>
  <c r="JD13" i="34"/>
  <c r="JD22" i="34"/>
  <c r="JD32" i="34"/>
  <c r="BW10" i="34"/>
  <c r="JF9" i="34" l="1"/>
  <c r="JE13" i="34"/>
  <c r="JE22" i="34"/>
  <c r="JE32" i="34"/>
  <c r="BX10" i="34"/>
  <c r="JG9" i="34" l="1"/>
  <c r="JF13" i="34"/>
  <c r="JF22" i="34"/>
  <c r="JF32" i="34"/>
  <c r="BY10" i="34"/>
  <c r="JG13" i="34" l="1"/>
  <c r="JH9" i="34"/>
  <c r="JG22" i="34"/>
  <c r="JG32" i="34"/>
  <c r="BZ10" i="34"/>
  <c r="JI9" i="34" l="1"/>
  <c r="JH13" i="34"/>
  <c r="JH22" i="34"/>
  <c r="JH32" i="34"/>
  <c r="CA10" i="34"/>
  <c r="JJ9" i="34" l="1"/>
  <c r="JI13" i="34"/>
  <c r="JI22" i="34"/>
  <c r="JI32" i="34"/>
  <c r="CB10" i="34"/>
  <c r="JK9" i="34" l="1"/>
  <c r="JJ13" i="34"/>
  <c r="JJ22" i="34"/>
  <c r="JJ32" i="34"/>
  <c r="CC10" i="34"/>
  <c r="JL9" i="34" l="1"/>
  <c r="JK13" i="34"/>
  <c r="JK22" i="34"/>
  <c r="JK32" i="34"/>
  <c r="CD10" i="34"/>
  <c r="JL13" i="34" l="1"/>
  <c r="JL22" i="34"/>
  <c r="JM9" i="34"/>
  <c r="JL32" i="34"/>
  <c r="CE10" i="34"/>
  <c r="JN9" i="34" l="1"/>
  <c r="JM13" i="34"/>
  <c r="JM22" i="34"/>
  <c r="JM32" i="34"/>
  <c r="CF10" i="34"/>
  <c r="JO9" i="34" l="1"/>
  <c r="JN13" i="34"/>
  <c r="JN22" i="34"/>
  <c r="JN32" i="34"/>
  <c r="CG10" i="34"/>
  <c r="JP9" i="34" l="1"/>
  <c r="JO13" i="34"/>
  <c r="JO22" i="34"/>
  <c r="JO32" i="34"/>
  <c r="CH10" i="34"/>
  <c r="JQ9" i="34" l="1"/>
  <c r="JP13" i="34"/>
  <c r="JP22" i="34"/>
  <c r="JP32" i="34"/>
  <c r="CI10" i="34"/>
  <c r="JQ13" i="34" l="1"/>
  <c r="JQ22" i="34"/>
  <c r="JQ32" i="34"/>
  <c r="CJ10" i="34"/>
  <c r="CK10" i="34" l="1"/>
  <c r="CL10" i="34" l="1"/>
  <c r="CM10" i="34" l="1"/>
  <c r="CN10" i="34" l="1"/>
  <c r="CO10" i="34" l="1"/>
  <c r="CP10" i="34" l="1"/>
  <c r="CQ10" i="34" l="1"/>
  <c r="CR10" i="34" l="1"/>
  <c r="CS10" i="34" l="1"/>
  <c r="CT10" i="34" l="1"/>
  <c r="CU10" i="34" l="1"/>
  <c r="CV10" i="34" l="1"/>
  <c r="CW10" i="34" l="1"/>
  <c r="CX10" i="34" l="1"/>
  <c r="CY10" i="34" l="1"/>
  <c r="CZ10" i="34" l="1"/>
  <c r="DA10" i="34" l="1"/>
  <c r="DB10" i="34" l="1"/>
  <c r="DC10" i="34" l="1"/>
  <c r="DD10" i="34" l="1"/>
  <c r="DE10" i="34" l="1"/>
  <c r="DF10" i="34" l="1"/>
  <c r="DG10" i="34" l="1"/>
  <c r="DH10" i="34" l="1"/>
  <c r="DI10" i="34" l="1"/>
  <c r="DJ10" i="34" l="1"/>
  <c r="DK10" i="34" l="1"/>
  <c r="DL10" i="34" l="1"/>
  <c r="DM10" i="34" l="1"/>
  <c r="DN10" i="34" l="1"/>
  <c r="DO10" i="34" l="1"/>
  <c r="DP10" i="34" l="1"/>
  <c r="DQ10" i="34" l="1"/>
  <c r="DR10" i="34" l="1"/>
  <c r="DS10" i="34" l="1"/>
  <c r="DT10" i="34" l="1"/>
  <c r="DU10" i="34" l="1"/>
  <c r="DV10" i="34" l="1"/>
  <c r="DW10" i="34" l="1"/>
  <c r="DX10" i="34" l="1"/>
  <c r="DY10" i="34" l="1"/>
  <c r="DZ10" i="34" l="1"/>
  <c r="EA10" i="34" l="1"/>
  <c r="EB10" i="34" l="1"/>
  <c r="EC10" i="34" l="1"/>
  <c r="ED10" i="34" l="1"/>
  <c r="EE10" i="34" l="1"/>
  <c r="EF10" i="34" l="1"/>
  <c r="EG10" i="34" l="1"/>
  <c r="EH10" i="34" l="1"/>
  <c r="EI10" i="34" l="1"/>
  <c r="EJ10" i="34" l="1"/>
  <c r="EK10" i="34" l="1"/>
  <c r="EL10" i="34" l="1"/>
  <c r="EM10" i="34" l="1"/>
  <c r="EN10" i="34" l="1"/>
  <c r="EO10" i="34" l="1"/>
  <c r="EP10" i="34" l="1"/>
  <c r="EQ10" i="34" l="1"/>
  <c r="ER10" i="34" l="1"/>
  <c r="ES10" i="34" l="1"/>
  <c r="ET10" i="34" l="1"/>
  <c r="EU10" i="34" l="1"/>
  <c r="EV10" i="34" l="1"/>
  <c r="EW10" i="34" l="1"/>
  <c r="EX10" i="34" l="1"/>
  <c r="EY10" i="34" l="1"/>
  <c r="EZ10" i="34" l="1"/>
  <c r="FA10" i="34" l="1"/>
  <c r="FB10" i="34" l="1"/>
  <c r="FC10" i="34" l="1"/>
  <c r="FD10" i="34" l="1"/>
  <c r="FE10" i="34" l="1"/>
  <c r="FF10" i="34" l="1"/>
  <c r="FG10" i="34" l="1"/>
  <c r="FH10" i="34" l="1"/>
  <c r="FI10" i="34" l="1"/>
  <c r="FJ10" i="34" l="1"/>
  <c r="FK10" i="34" l="1"/>
  <c r="FL10" i="34" l="1"/>
  <c r="FM10" i="34" l="1"/>
  <c r="FN10" i="34" l="1"/>
  <c r="FO10" i="34" l="1"/>
  <c r="FP10" i="34" l="1"/>
  <c r="FQ10" i="34" l="1"/>
  <c r="FR10" i="34" l="1"/>
  <c r="FS10" i="34" l="1"/>
  <c r="FT10" i="34" l="1"/>
  <c r="FU10" i="34" l="1"/>
  <c r="FV10" i="34" l="1"/>
  <c r="FW10" i="34" l="1"/>
  <c r="FX10" i="34" l="1"/>
  <c r="FY10" i="34" l="1"/>
  <c r="FZ10" i="34" l="1"/>
  <c r="GA10" i="34" l="1"/>
  <c r="GB10" i="34" l="1"/>
  <c r="GC10" i="34" l="1"/>
  <c r="GD10" i="34" l="1"/>
  <c r="GE10" i="34" l="1"/>
  <c r="GF10" i="34" l="1"/>
  <c r="GG10" i="34" l="1"/>
  <c r="GH10" i="34" l="1"/>
  <c r="GI10" i="34" l="1"/>
  <c r="GJ10" i="34" l="1"/>
  <c r="GK10" i="34" l="1"/>
  <c r="GL10" i="34" l="1"/>
  <c r="GM10" i="34" l="1"/>
  <c r="GN10" i="34" l="1"/>
  <c r="GO10" i="34" l="1"/>
  <c r="GP10" i="34" l="1"/>
  <c r="GQ10" i="34" l="1"/>
  <c r="GR10" i="34" l="1"/>
  <c r="GS10" i="34" l="1"/>
  <c r="GT10" i="34" l="1"/>
  <c r="GU10" i="34" l="1"/>
  <c r="GV10" i="34" l="1"/>
  <c r="GW10" i="34" l="1"/>
  <c r="GX10" i="34" l="1"/>
  <c r="GY10" i="34" l="1"/>
  <c r="GZ10" i="34" l="1"/>
  <c r="HA10" i="34" l="1"/>
  <c r="HB10" i="34" l="1"/>
  <c r="HC10" i="34" l="1"/>
  <c r="HD10" i="34" l="1"/>
  <c r="HE10" i="34" l="1"/>
  <c r="HF10" i="34" l="1"/>
  <c r="HG10" i="34" l="1"/>
  <c r="HH10" i="34" l="1"/>
  <c r="HI10" i="34" l="1"/>
  <c r="HJ10" i="34" l="1"/>
  <c r="HK10" i="34" l="1"/>
  <c r="HL10" i="34" l="1"/>
  <c r="HM10" i="34" l="1"/>
  <c r="HN10" i="34" l="1"/>
  <c r="HO10" i="34" l="1"/>
  <c r="HP10" i="34" l="1"/>
  <c r="HQ10" i="34" l="1"/>
  <c r="HR10" i="34" l="1"/>
  <c r="HS10" i="34" l="1"/>
  <c r="HT10" i="34" l="1"/>
  <c r="HU10" i="34" l="1"/>
  <c r="HV10" i="34" l="1"/>
  <c r="HW10" i="34" l="1"/>
  <c r="HX10" i="34" l="1"/>
  <c r="HY10" i="34" l="1"/>
  <c r="HZ10" i="34" l="1"/>
  <c r="IA10" i="34" l="1"/>
  <c r="IB10" i="34" l="1"/>
  <c r="IC10" i="34" l="1"/>
  <c r="ID10" i="34" l="1"/>
  <c r="IE10" i="34" l="1"/>
  <c r="IF10" i="34" l="1"/>
  <c r="IG10" i="34" l="1"/>
  <c r="IH10" i="34" l="1"/>
  <c r="II10" i="34" l="1"/>
  <c r="IJ10" i="34" l="1"/>
  <c r="IK10" i="34" l="1"/>
  <c r="IL10" i="34" l="1"/>
  <c r="IM10" i="34" l="1"/>
  <c r="IN10" i="34" l="1"/>
  <c r="IO10" i="34" l="1"/>
  <c r="IP10" i="34" l="1"/>
  <c r="IQ10" i="34" l="1"/>
  <c r="IR10" i="34" l="1"/>
  <c r="IS10" i="34" l="1"/>
  <c r="IT10" i="34" l="1"/>
  <c r="IU10" i="34" l="1"/>
  <c r="IV10" i="34" l="1"/>
  <c r="IW10" i="34" l="1"/>
  <c r="IX10" i="34" l="1"/>
  <c r="IY10" i="34" l="1"/>
  <c r="IZ10" i="34" l="1"/>
  <c r="JA10" i="34" l="1"/>
  <c r="JB10" i="34" l="1"/>
  <c r="JC10" i="34" l="1"/>
  <c r="JD10" i="34" l="1"/>
  <c r="JE10" i="34" l="1"/>
  <c r="JF10" i="34" l="1"/>
  <c r="JG10" i="34" l="1"/>
  <c r="JH10" i="34" l="1"/>
  <c r="JI10" i="34" l="1"/>
  <c r="JJ10" i="34" l="1"/>
  <c r="JK10" i="34" l="1"/>
  <c r="JL10" i="34" l="1"/>
  <c r="JM10" i="34" l="1"/>
  <c r="JN10" i="34" l="1"/>
  <c r="JO10" i="34" l="1"/>
  <c r="JP10" i="34" l="1"/>
  <c r="JQ10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Casanova</author>
  </authors>
  <commentList>
    <comment ref="F5" authorId="0" shapeId="0" xr:uid="{049BB384-5C96-4361-ABF8-D76CEA4E6295}">
      <text>
        <r>
          <rPr>
            <b/>
            <sz val="9"/>
            <color indexed="81"/>
            <rFont val="Tahoma"/>
            <family val="2"/>
          </rPr>
          <t>Mauro Casanova:</t>
        </r>
        <r>
          <rPr>
            <sz val="9"/>
            <color indexed="81"/>
            <rFont val="Tahoma"/>
            <family val="2"/>
          </rPr>
          <t xml:space="preserve">
Questa Colonna o vale 1 o N/A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<sst xmlns="http://schemas.openxmlformats.org/spreadsheetml/2006/main" count="1980" uniqueCount="412">
  <si>
    <t>Description</t>
  </si>
  <si>
    <t>Type</t>
  </si>
  <si>
    <t>New</t>
  </si>
  <si>
    <t>R&amp;D</t>
  </si>
  <si>
    <t>Existing</t>
  </si>
  <si>
    <t>Scaled</t>
  </si>
  <si>
    <t>Existing 3D Models and Drawings</t>
  </si>
  <si>
    <t>3D Models and Drawings to be scaled</t>
  </si>
  <si>
    <t>New 3D Models and Drawings</t>
  </si>
  <si>
    <t>Hours</t>
  </si>
  <si>
    <t>Shaft</t>
  </si>
  <si>
    <t>Study Drawing</t>
  </si>
  <si>
    <t>dummy GAD</t>
  </si>
  <si>
    <t>Check List</t>
  </si>
  <si>
    <t>CASTINGS RELEASE PREX E-BOM</t>
  </si>
  <si>
    <t>DOCS</t>
  </si>
  <si>
    <t>Tightening Sequence</t>
  </si>
  <si>
    <t>Casing &amp; Cover fasteners + gasket</t>
  </si>
  <si>
    <t>Pump Type</t>
  </si>
  <si>
    <t>Task</t>
  </si>
  <si>
    <t>modifica finito</t>
  </si>
  <si>
    <t>sistemazione catalogo (AVEVA) e files + IQ</t>
  </si>
  <si>
    <t>(hrs)</t>
  </si>
  <si>
    <t>OH2</t>
  </si>
  <si>
    <t>BB3</t>
  </si>
  <si>
    <t>BB4</t>
  </si>
  <si>
    <t>BB5</t>
  </si>
  <si>
    <t>Pump Description</t>
  </si>
  <si>
    <t>Details</t>
  </si>
  <si>
    <t>Seismic Analysis</t>
  </si>
  <si>
    <t>Single stage, DS</t>
  </si>
  <si>
    <t>2 stages SS &amp; DS</t>
  </si>
  <si>
    <t>2 stages DS</t>
  </si>
  <si>
    <t>2 stages SS</t>
  </si>
  <si>
    <t>Single stage overhung</t>
  </si>
  <si>
    <t>OH1</t>
  </si>
  <si>
    <t>Single stage, SS, diffuser</t>
  </si>
  <si>
    <t>Single stage, DS, volute</t>
  </si>
  <si>
    <t>OH5</t>
  </si>
  <si>
    <t>VS1</t>
  </si>
  <si>
    <t>Single stage or multistage, first stage SS or DS</t>
  </si>
  <si>
    <t>VS2</t>
  </si>
  <si>
    <t>Single stage or multistage, first stage DS</t>
  </si>
  <si>
    <t>VS4</t>
  </si>
  <si>
    <t>Single stage</t>
  </si>
  <si>
    <t>VS6</t>
  </si>
  <si>
    <t>VS7</t>
  </si>
  <si>
    <t>VS1/VS6</t>
  </si>
  <si>
    <t>VS3</t>
  </si>
  <si>
    <t>Vertically suspended, wet pit, single-casing, axial-flow pumps</t>
  </si>
  <si>
    <t>Concrete and metallic volute pump</t>
  </si>
  <si>
    <t>static analysis</t>
  </si>
  <si>
    <t>seismic</t>
  </si>
  <si>
    <t>Level 1</t>
  </si>
  <si>
    <t>Level 2</t>
  </si>
  <si>
    <t>Level 3</t>
  </si>
  <si>
    <t>-</t>
  </si>
  <si>
    <t>BB or OH (1 or 2 stages)  pumps</t>
  </si>
  <si>
    <t>first critical speed by formula</t>
  </si>
  <si>
    <t>undamped natural frequency analysis</t>
  </si>
  <si>
    <t>undamped torsional natural frequency analysis</t>
  </si>
  <si>
    <t>forced response analysis</t>
  </si>
  <si>
    <t>transient forced response analysis of driver-coupling.pump shaft trains</t>
  </si>
  <si>
    <t>shaft static stress and deflection</t>
  </si>
  <si>
    <t>hydrotest with contact/gasket analysis</t>
  </si>
  <si>
    <t>equivalent static</t>
  </si>
  <si>
    <t>response spectrum analysis</t>
  </si>
  <si>
    <t>transient analysis</t>
  </si>
  <si>
    <t>pump baseplate or support frame, natural frequency analysis (modal FEA)</t>
  </si>
  <si>
    <t>VS pumps</t>
  </si>
  <si>
    <t>first dry critical speed calculation</t>
  </si>
  <si>
    <t>pump structural natural frequency analysis (modal FEA)</t>
  </si>
  <si>
    <t>vertically suspended pump rotordynamics addressed as a combined rotor and structural analysis</t>
  </si>
  <si>
    <t>BB or OH (more than 2 stages) pumps</t>
  </si>
  <si>
    <t>damped natural frequency analysis</t>
  </si>
  <si>
    <t>D001</t>
  </si>
  <si>
    <t>D002</t>
  </si>
  <si>
    <t>D003</t>
  </si>
  <si>
    <t>D004</t>
  </si>
  <si>
    <t>D005</t>
  </si>
  <si>
    <t>D010</t>
  </si>
  <si>
    <t>D015</t>
  </si>
  <si>
    <t>D020</t>
  </si>
  <si>
    <t>Minor parts to complete BOM</t>
  </si>
  <si>
    <t>Wear Rings and HF parts</t>
  </si>
  <si>
    <t>Fluid Dynamics Analysis</t>
  </si>
  <si>
    <t>Structural Analysis</t>
  </si>
  <si>
    <t>HIGH</t>
  </si>
  <si>
    <t>SECTION #1: GENERAL</t>
  </si>
  <si>
    <t>Pump Configuration</t>
  </si>
  <si>
    <t>Pump Family</t>
  </si>
  <si>
    <t>Reference Project/Opportunity</t>
  </si>
  <si>
    <t>Energy Level / Design Complexity</t>
  </si>
  <si>
    <t>Performance Curve Origin</t>
  </si>
  <si>
    <t>SECTION #2: DESIGN</t>
  </si>
  <si>
    <t>SECTION #3: DRAWINGS AND BOM</t>
  </si>
  <si>
    <t>SECTION #4: DOCUMENTATION</t>
  </si>
  <si>
    <t>DESIGN</t>
  </si>
  <si>
    <t>Bearing Housing Design</t>
  </si>
  <si>
    <t>BASELINE</t>
  </si>
  <si>
    <t>A: Existing</t>
  </si>
  <si>
    <t>B: Scaled</t>
  </si>
  <si>
    <t>C: New</t>
  </si>
  <si>
    <t>Design Complexity</t>
  </si>
  <si>
    <t>Multiplier</t>
  </si>
  <si>
    <t>PROJECT</t>
  </si>
  <si>
    <t xml:space="preserve">DWGS AND BOM </t>
  </si>
  <si>
    <t>Number of impeller design</t>
  </si>
  <si>
    <t>Integral bosses modification</t>
  </si>
  <si>
    <t>Special Design: Intake/ Piping</t>
  </si>
  <si>
    <t>Hydraulic Design: Intake/ Piping</t>
  </si>
  <si>
    <t>Hydraulic Design: Pump</t>
  </si>
  <si>
    <t>Dynamic Analysis: Lateral</t>
  </si>
  <si>
    <t>Dynamic Analysis: Torsional</t>
  </si>
  <si>
    <t>Dynamic Analysis: Structural</t>
  </si>
  <si>
    <t>Static Analysis</t>
  </si>
  <si>
    <t>OWNER</t>
  </si>
  <si>
    <t>Team</t>
  </si>
  <si>
    <t>All components</t>
  </si>
  <si>
    <t>D: Energy Level</t>
  </si>
  <si>
    <t>E: Components</t>
  </si>
  <si>
    <t>Number of components</t>
  </si>
  <si>
    <t>Product Design</t>
  </si>
  <si>
    <t>Product Technology</t>
  </si>
  <si>
    <t>Sectional Drawing and Part List</t>
  </si>
  <si>
    <t>Project calculation reports</t>
  </si>
  <si>
    <t xml:space="preserve">PATTERN 3D CASING DWG  </t>
  </si>
  <si>
    <t xml:space="preserve">PATTERN 3D COVER DWG  </t>
  </si>
  <si>
    <t xml:space="preserve">PATTERN 3D IMPELLER DWG  </t>
  </si>
  <si>
    <t xml:space="preserve">PATTERN 3D DIFFUSER DWG  </t>
  </si>
  <si>
    <t xml:space="preserve">CASTINGS RELEASE PREX E-BOM  </t>
  </si>
  <si>
    <t xml:space="preserve">BSHP E-BOM </t>
  </si>
  <si>
    <t>Refering to single component</t>
  </si>
  <si>
    <t>Dati per inizializzazione Form</t>
  </si>
  <si>
    <t>Project/Opportunity</t>
  </si>
  <si>
    <t>Energy Level/Des. Complexity</t>
  </si>
  <si>
    <t>Dati Caselle a Discesa</t>
  </si>
  <si>
    <t>LOW</t>
  </si>
  <si>
    <t>MEDIUM</t>
  </si>
  <si>
    <t>Pump Origin</t>
  </si>
  <si>
    <t>Pump Hydraulic Design</t>
  </si>
  <si>
    <t>Pump Hydr. Des.</t>
  </si>
  <si>
    <t>Single Part</t>
  </si>
  <si>
    <t>Single Stage</t>
  </si>
  <si>
    <t>Full</t>
  </si>
  <si>
    <t>Intake Hydraulic Design</t>
  </si>
  <si>
    <t>Lateral Dynamic Analisys</t>
  </si>
  <si>
    <t>Torsional Dynamic Analisys</t>
  </si>
  <si>
    <t>Structural Dynamic Analisys</t>
  </si>
  <si>
    <t>Number of Impeller Design</t>
  </si>
  <si>
    <t>Project Calculation Reports</t>
  </si>
  <si>
    <t>Integral Bosses modification</t>
  </si>
  <si>
    <t>Technical Review</t>
  </si>
  <si>
    <t>Preliminary Sizing</t>
  </si>
  <si>
    <t>N/A</t>
  </si>
  <si>
    <t xml:space="preserve">mx = Number of Components </t>
  </si>
  <si>
    <t>N/A = Not Applicable</t>
  </si>
  <si>
    <t>baseplate verifications or simplified hydrotest</t>
  </si>
  <si>
    <t>structural verification on separate components or simplified hydrotest verification</t>
  </si>
  <si>
    <t>Lateral (Dynamic) Analysis</t>
  </si>
  <si>
    <t>Torsional (Dynamic) Analysis</t>
  </si>
  <si>
    <t>Structural (Dynamic) Analysis</t>
  </si>
  <si>
    <t>hrs</t>
  </si>
  <si>
    <t>Lateral</t>
  </si>
  <si>
    <t>N° Imp Des</t>
  </si>
  <si>
    <t>Torsional</t>
  </si>
  <si>
    <t>Structural</t>
  </si>
  <si>
    <t>Static</t>
  </si>
  <si>
    <t>Seismic</t>
  </si>
  <si>
    <t>Totali</t>
  </si>
  <si>
    <t>NO</t>
  </si>
  <si>
    <t>RJ-OH6</t>
  </si>
  <si>
    <t>HSS-BB1</t>
  </si>
  <si>
    <t>NV</t>
  </si>
  <si>
    <t>First stage SS or DS</t>
  </si>
  <si>
    <t>Ring Section</t>
  </si>
  <si>
    <t>BB, Pitot tube</t>
  </si>
  <si>
    <t>OH3 (SS-Diffuser)</t>
  </si>
  <si>
    <t>OH3 (DS-Volute)</t>
  </si>
  <si>
    <t>BB1 (1 Stage-DS)</t>
  </si>
  <si>
    <t>BB1 (2 Stages SS-DS)</t>
  </si>
  <si>
    <t>BB2 (1 Stage-DS)</t>
  </si>
  <si>
    <t>BB2 (2 Stages DS)</t>
  </si>
  <si>
    <t>BB2 (2 Stages SS)</t>
  </si>
  <si>
    <t>Seismic Analisys</t>
  </si>
  <si>
    <t>Ring section, Single stage or multistage, first stage SS</t>
  </si>
  <si>
    <t>VS1/VS6 (MEC)</t>
  </si>
  <si>
    <t>Proj. Calc. Rep.</t>
  </si>
  <si>
    <t>Standard package</t>
  </si>
  <si>
    <t>Project Calculation Reports (HOURS)</t>
  </si>
  <si>
    <t>Standard</t>
  </si>
  <si>
    <t>Project calculation reports
(FEM, lateral, torsional, …)</t>
  </si>
  <si>
    <t>DE and NDE brg housing 3D models</t>
  </si>
  <si>
    <t>DE and NDE brg housing 2D drawings</t>
  </si>
  <si>
    <t>Minor components drawings</t>
  </si>
  <si>
    <t>DE and NDE brg housing Finish Machined dwg</t>
  </si>
  <si>
    <t>Bearing Housing Assembly and BOM</t>
  </si>
  <si>
    <t>Totale</t>
  </si>
  <si>
    <t>modifica
3D + 2D raw</t>
  </si>
  <si>
    <t>BSHP E-BOM RELEASE</t>
  </si>
  <si>
    <t>Legenda:</t>
  </si>
  <si>
    <t>PREX E-BOM COMPLETION</t>
  </si>
  <si>
    <t>Full package</t>
  </si>
  <si>
    <t>CATEGORY</t>
  </si>
  <si>
    <t xml:space="preserve">Lateral analysis </t>
  </si>
  <si>
    <t>Torsional analysis </t>
  </si>
  <si>
    <t>Bearing data sheet</t>
  </si>
  <si>
    <t>Pump casing structural FEM analysis</t>
  </si>
  <si>
    <t>Vertical pump modal FEM analysis</t>
  </si>
  <si>
    <t>SIMPLE</t>
  </si>
  <si>
    <t>COMPLEX</t>
  </si>
  <si>
    <t>Indice</t>
  </si>
  <si>
    <t>(Hours)</t>
  </si>
  <si>
    <t>Seal Chamber Drawing</t>
  </si>
  <si>
    <t xml:space="preserve">DrawingS AND BOM </t>
  </si>
  <si>
    <t>Casing &amp; Cover 3D Model</t>
  </si>
  <si>
    <t>Barrel Casing 3D Model</t>
  </si>
  <si>
    <t>Bowl 3D Model</t>
  </si>
  <si>
    <t>Volute 3D Model</t>
  </si>
  <si>
    <t>Casing &amp; Cover Raw Casting Drawing</t>
  </si>
  <si>
    <t>Barrel Casing Raw Casting Drawing</t>
  </si>
  <si>
    <t>Bowl Raw Casting Drawing</t>
  </si>
  <si>
    <t>Volute Drawing</t>
  </si>
  <si>
    <t>Suction Casing 3D Model</t>
  </si>
  <si>
    <t>Suction Bell 3D Model</t>
  </si>
  <si>
    <t>Discharge Branch  3D Model</t>
  </si>
  <si>
    <t>Suction Casing (Bell) 3D Model</t>
  </si>
  <si>
    <t>Suction Casing Raw Casting Drawing</t>
  </si>
  <si>
    <t>Suction Bell Raw Casting Drawing</t>
  </si>
  <si>
    <t>Discharge Branch Drawing</t>
  </si>
  <si>
    <t>Suction Casing (Bell) Raw Casting Drawing</t>
  </si>
  <si>
    <t>Discharge Casing 3D Model</t>
  </si>
  <si>
    <t>Impeller Shroud  3D Model</t>
  </si>
  <si>
    <t>Discharge Casing Raw Casting Drawing</t>
  </si>
  <si>
    <t>Impeller Shroud Raw Casting Drawing</t>
  </si>
  <si>
    <t>Intermediate Casing 3D Model</t>
  </si>
  <si>
    <t>Intermediate Casing Raw Casting Drawing</t>
  </si>
  <si>
    <t>Impeller(s) 3D Model</t>
  </si>
  <si>
    <t>Impeller(s) Raw Casting Drawing</t>
  </si>
  <si>
    <t>Diffusers 3D Model</t>
  </si>
  <si>
    <t>Return channels 3D Model</t>
  </si>
  <si>
    <t>Diffusers Raw Casting Drawing</t>
  </si>
  <si>
    <t>Return channels Raw Casting Drawing</t>
  </si>
  <si>
    <t>Shaft(s)</t>
  </si>
  <si>
    <t>Fasteners and Gasket</t>
  </si>
  <si>
    <t>Discharge Head Finish Machined Drawing</t>
  </si>
  <si>
    <t>Motor Stool Finish Machined Drawing</t>
  </si>
  <si>
    <t>Column Pipe(s) Finish Machined Drawing</t>
  </si>
  <si>
    <t>Discharge Column Finish Machined Drawing</t>
  </si>
  <si>
    <t>Suction Can Finish Machined Drawing</t>
  </si>
  <si>
    <t>Foundation Ring</t>
  </si>
  <si>
    <t>PREX VERTICAL and JACKET</t>
  </si>
  <si>
    <t>Barrel Casing Finish Machined Drawing</t>
  </si>
  <si>
    <t>Casing &amp; Cover Finish Machined Drawing</t>
  </si>
  <si>
    <t>Suction Casing Finish Machined Drawing</t>
  </si>
  <si>
    <t>Bowl Finish Machined Drawing</t>
  </si>
  <si>
    <t>Volute Finish Machined Drawing</t>
  </si>
  <si>
    <t>Casing &amp; Cover Layout Drawing</t>
  </si>
  <si>
    <t>Suction Casing Layout Drawing</t>
  </si>
  <si>
    <t>Bowl Layout Drawing</t>
  </si>
  <si>
    <t>Volute Layout Drawing</t>
  </si>
  <si>
    <t>Discharge Casing Finish Machined Drawing</t>
  </si>
  <si>
    <t>Suction Bell Finish Machined Drawing</t>
  </si>
  <si>
    <t>Discharge Branch Finish Machined Drawing</t>
  </si>
  <si>
    <t>Discharge Casing Layout Drawing</t>
  </si>
  <si>
    <t>Impeller Shroud Finish Machined Drawing</t>
  </si>
  <si>
    <t>Discharge Branch Layout Drawing</t>
  </si>
  <si>
    <t>Intermediate Casing Finish Machined Drawing</t>
  </si>
  <si>
    <t>Impeller Finish Machined Drawing</t>
  </si>
  <si>
    <t>Impeller Layout Drawing</t>
  </si>
  <si>
    <t>Diffuser Finish Machined Drawing</t>
  </si>
  <si>
    <t>Diffuser Layout Drawing</t>
  </si>
  <si>
    <t>Return channels Finish Machined Drawing</t>
  </si>
  <si>
    <t>Assembly Drawing</t>
  </si>
  <si>
    <t>INDICE</t>
  </si>
  <si>
    <t>Pump Family_H</t>
  </si>
  <si>
    <t>Pump Family_V</t>
  </si>
  <si>
    <t>D018</t>
  </si>
  <si>
    <t>PREX VERT &amp; WELD STRUCTURE E-BOM</t>
  </si>
  <si>
    <t>Casing 3D Model</t>
  </si>
  <si>
    <t>Casing Raw Casting Drawing</t>
  </si>
  <si>
    <t>Cover 3D Model</t>
  </si>
  <si>
    <t>Cover Raw Casting Drawing</t>
  </si>
  <si>
    <t>Vertical Bearing Housing</t>
  </si>
  <si>
    <t>3D BS Pump Assembly - Complete</t>
  </si>
  <si>
    <t>Single Part Redesign (Hours)</t>
  </si>
  <si>
    <t>Single Stage Redesign (Hours)</t>
  </si>
  <si>
    <t>Full Machine Redesign (Hours)</t>
  </si>
  <si>
    <t>Intake/ Piping Redesign (Hours)</t>
  </si>
  <si>
    <t>First issue</t>
  </si>
  <si>
    <t>Rev.</t>
  </si>
  <si>
    <t>Date</t>
  </si>
  <si>
    <t>Prepared</t>
  </si>
  <si>
    <t>Checked</t>
  </si>
  <si>
    <t>Approved</t>
  </si>
  <si>
    <t>Tot. Engineering Hours</t>
  </si>
  <si>
    <t>design</t>
  </si>
  <si>
    <t>new gasket</t>
  </si>
  <si>
    <t>no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</si>
  <si>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fluid</t>
    </r>
    <r>
      <rPr>
        <b/>
        <sz val="11"/>
        <color theme="1"/>
        <rFont val="Calibri"/>
        <family val="2"/>
        <scheme val="minor"/>
      </rPr>
      <t xml:space="preserve"> &gt; 100°C</t>
    </r>
  </si>
  <si>
    <t>hazardous fluid</t>
  </si>
  <si>
    <t>mawp &gt; 150 bar</t>
  </si>
  <si>
    <t>Level</t>
  </si>
  <si>
    <t>dynamic analysis</t>
  </si>
  <si>
    <t>Types OH &amp; BB Pumps with Rigid Rotor Designs</t>
  </si>
  <si>
    <t>Types OH &amp; BB Pumps with Flexible Rotor Designs</t>
  </si>
  <si>
    <t>Type VS Pumps</t>
  </si>
  <si>
    <t>Analysis Type</t>
  </si>
  <si>
    <t>Criteria &amp; U Values</t>
  </si>
  <si>
    <t>Question</t>
  </si>
  <si>
    <t>ID</t>
  </si>
  <si>
    <t>pump type</t>
  </si>
  <si>
    <t>Lateral Rotordynamic</t>
  </si>
  <si>
    <t>- Max speed &gt; 3800 rpm, U=2</t>
  </si>
  <si>
    <t>pump max speed</t>
  </si>
  <si>
    <r>
      <t>n</t>
    </r>
    <r>
      <rPr>
        <vertAlign val="subscript"/>
        <sz val="11"/>
        <color theme="1"/>
        <rFont val="Calibri"/>
        <family val="2"/>
        <scheme val="minor"/>
      </rPr>
      <t>max</t>
    </r>
    <r>
      <rPr>
        <sz val="11"/>
        <color theme="1"/>
        <rFont val="Calibri"/>
        <family val="2"/>
        <scheme val="minor"/>
      </rPr>
      <t xml:space="preserve"> [rpm]</t>
    </r>
  </si>
  <si>
    <t>- Specific gravity &lt; 0.7, U=2</t>
  </si>
  <si>
    <t>fluid SG</t>
  </si>
  <si>
    <t>S.G. [-]</t>
  </si>
  <si>
    <t>- Fly wheel driven, U=2</t>
  </si>
  <si>
    <t>+1</t>
  </si>
  <si>
    <t>Driver support</t>
  </si>
  <si>
    <t>- Drive shaft driven, U=2</t>
  </si>
  <si>
    <t>Flexible foundation</t>
  </si>
  <si>
    <t>- Variable speed driven, U=2</t>
  </si>
  <si>
    <t>- Variable speed driven, U=3</t>
  </si>
  <si>
    <t>variable speed</t>
  </si>
  <si>
    <t>Driver</t>
  </si>
  <si>
    <t>- Power &gt; 30 kW (40 bhp) and &lt; 375 kW (500 bhp), U=1</t>
  </si>
  <si>
    <t>pump power</t>
  </si>
  <si>
    <t>Train with 3 or more elements</t>
  </si>
  <si>
    <t>- Power &gt; 375 kW (500 bhp) and &lt; 750 kW (1000 bhp), U=2</t>
  </si>
  <si>
    <t>Variable speed</t>
  </si>
  <si>
    <t>- Power &gt; 750 kW (1000 bhp), U=3</t>
  </si>
  <si>
    <t>Power [kW]</t>
  </si>
  <si>
    <t>- No. of vanes = 3 or fewer, U=3</t>
  </si>
  <si>
    <t>number of impeller vanes</t>
  </si>
  <si>
    <t>Torsional Rotordynamic</t>
  </si>
  <si>
    <t>- Trains with ≥3 elements, U=1</t>
  </si>
  <si>
    <t>train  elements</t>
  </si>
  <si>
    <t>U [-]</t>
  </si>
  <si>
    <t>- Synchronous motor driven, U=2</t>
  </si>
  <si>
    <t>synchrounous motor</t>
  </si>
  <si>
    <t>R [-]</t>
  </si>
  <si>
    <t>RUN [-]</t>
  </si>
  <si>
    <t>- Internal combustion engine driven, U=2</t>
  </si>
  <si>
    <t>internal combustion engine</t>
  </si>
  <si>
    <t>Structural Dynamic</t>
  </si>
  <si>
    <t>- Drivers supported separately, U=1</t>
  </si>
  <si>
    <t>driver support</t>
  </si>
  <si>
    <t>- Drivers supported by pumps, U=2</t>
  </si>
  <si>
    <t>- Flexible foundations, U=1</t>
  </si>
  <si>
    <t>- Flexible foundations, U=2</t>
  </si>
  <si>
    <t>flexible foundation</t>
  </si>
  <si>
    <t>Notes</t>
  </si>
  <si>
    <t>Only for VS pumps</t>
  </si>
  <si>
    <t>Pump type</t>
  </si>
  <si>
    <t>D001 - D005</t>
  </si>
  <si>
    <t>Requested acitvities:</t>
  </si>
  <si>
    <t>D018 - FOR VERTICAL PUMPS ONLY</t>
  </si>
  <si>
    <t>PATTERN 3D OTHER DWG</t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</si>
  <si>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PLM release of the raw 3D model</t>
    </r>
  </si>
  <si>
    <r>
      <rPr>
        <sz val="11"/>
        <color theme="1"/>
        <rFont val="Symbol"/>
        <family val="1"/>
        <charset val="2"/>
      </rPr>
      <t>·</t>
    </r>
    <r>
      <rPr>
        <sz val="11"/>
        <color theme="1"/>
        <rFont val="Calibri"/>
        <family val="2"/>
        <scheme val="minor"/>
      </rPr>
      <t xml:space="preserve"> PLM release of the raw 2D drawing</t>
    </r>
  </si>
  <si>
    <r>
      <rPr>
        <sz val="11"/>
        <color theme="1"/>
        <rFont val="Symbol"/>
        <family val="1"/>
        <charset val="2"/>
      </rPr>
      <t>·</t>
    </r>
    <r>
      <rPr>
        <sz val="11"/>
        <color theme="1"/>
        <rFont val="Calibri"/>
        <family val="2"/>
      </rPr>
      <t xml:space="preserve"> PLM release of the </t>
    </r>
    <r>
      <rPr>
        <sz val="11"/>
        <color theme="1"/>
        <rFont val="Calibri"/>
        <family val="2"/>
        <scheme val="minor"/>
      </rPr>
      <t>Stock drawing (SVR)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</si>
  <si>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SAP release of RDA for pattern construction, modification or duplication</t>
    </r>
  </si>
  <si>
    <t>Fuid Dynamics Design</t>
  </si>
  <si>
    <t>Advanced Mechanical Design</t>
  </si>
  <si>
    <r>
      <t>n</t>
    </r>
    <r>
      <rPr>
        <vertAlign val="subscript"/>
        <sz val="11"/>
        <rFont val="Calibri"/>
        <family val="2"/>
        <scheme val="minor"/>
      </rPr>
      <t xml:space="preserve">blade </t>
    </r>
    <r>
      <rPr>
        <sz val="11"/>
        <rFont val="Calibri"/>
        <family val="2"/>
        <scheme val="minor"/>
      </rPr>
      <t xml:space="preserve"> </t>
    </r>
    <r>
      <rPr>
        <sz val="11"/>
        <rFont val="Aptos Narrow"/>
        <family val="2"/>
      </rPr>
      <t>≤</t>
    </r>
    <r>
      <rPr>
        <sz val="9.9"/>
        <rFont val="Aptos Narrow"/>
        <family val="2"/>
      </rPr>
      <t xml:space="preserve"> 3</t>
    </r>
  </si>
  <si>
    <t>If information is not available consider flexible foundation</t>
  </si>
  <si>
    <t>If a gasket (o-ring excluded) is present in the pump assembly</t>
  </si>
  <si>
    <t>Days</t>
  </si>
  <si>
    <t>INPUT DATA</t>
  </si>
  <si>
    <t>ENGINNERING HOURS ESTIMATION</t>
  </si>
  <si>
    <t>Hours/day</t>
  </si>
  <si>
    <t>Owner</t>
  </si>
  <si>
    <t>Calendar days</t>
  </si>
  <si>
    <t>Working days</t>
  </si>
  <si>
    <t>Calendar weeks</t>
  </si>
  <si>
    <t>Total workload</t>
  </si>
  <si>
    <t>Weeks</t>
  </si>
  <si>
    <r>
      <rPr>
        <sz val="11"/>
        <color theme="1"/>
        <rFont val="Symbol"/>
        <family val="1"/>
        <charset val="2"/>
      </rPr>
      <t>·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 xml:space="preserve">PLM release of BOM structure for all cast and forged main components (casings, covers, impellers, diffusers, bearing housings, etc.)
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</si>
  <si>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Premachining drawings to be released for all main components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</si>
  <si>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Finish machining drawings to be released as required by SOP-388 (see left column)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</si>
  <si>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PLM release of BOM structure and finish machining drawings for cast minor components (bearing housing tanks, fan, etc.)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</si>
  <si>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PLM release of BOM structure and finish machining drawings for Wear Rings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</si>
  <si>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PLM release of BOM structure and finish machining drawings for Hard Faced rings, bushings, sleeves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</si>
  <si>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PLM release of casing/cover fasteners (bolts and pins) and gasket for BB1 and BB3 pumps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</si>
  <si>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PLM release of BOM structure and finish machining drawings for vertical bearing housing/motor stool for OH3 and OH5 pumps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</si>
  <si>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PLM release of BOM structure and finish machining drawings for shafts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</si>
  <si>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PLM release of BOM structure and finish machining drawings for welded structures of vertical pumps (discharge head, motor stool, column pipes, foundation rings, etc.)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</si>
  <si>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Completion of BSHP BOM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</si>
  <si>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Release of mahcining drawing not issue during PREX phases</t>
    </r>
  </si>
  <si>
    <r>
      <rPr>
        <sz val="11"/>
        <color theme="1"/>
        <rFont val="Symbol"/>
        <family val="1"/>
        <charset val="2"/>
      </rPr>
      <t xml:space="preserve">· </t>
    </r>
    <r>
      <rPr>
        <sz val="11"/>
        <color theme="1"/>
        <rFont val="Calibri"/>
        <family val="2"/>
        <scheme val="minor"/>
      </rPr>
      <t>Release of layout drawings</t>
    </r>
  </si>
  <si>
    <t>SW</t>
  </si>
  <si>
    <t>FW</t>
  </si>
  <si>
    <t>SD</t>
  </si>
  <si>
    <t>FD</t>
  </si>
  <si>
    <t>DE/NDE brg housing 3D models and 2D dwgs</t>
  </si>
  <si>
    <t>DE/NDE brg housing Finish Machined dwg</t>
  </si>
  <si>
    <t>Bearing housing minor components drawings</t>
  </si>
  <si>
    <t>Bearing housing 3D model and 2D dwg</t>
  </si>
  <si>
    <t>Bearing housing  Finish Machined dwg</t>
  </si>
  <si>
    <t>existant design</t>
  </si>
  <si>
    <t/>
  </si>
  <si>
    <t>n = Design Complexity Index</t>
  </si>
  <si>
    <t>Horizontal</t>
  </si>
  <si>
    <t>R&amp;D &amp; Prod. Eng. Manager - 
M. Borghetti</t>
  </si>
  <si>
    <t>significant modification</t>
  </si>
  <si>
    <t>Tool for Estimating Design Hours
(linked to SOP-579)</t>
  </si>
  <si>
    <t>Client Qualification/ EHSS -
A.Banfi/ T. Morelli Stefani</t>
  </si>
  <si>
    <t>Principal Engineer -
S. Mussi</t>
  </si>
  <si>
    <t>Mod.555-0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</si>
</sst>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"/>
    <numFmt numFmtId="165" formatCode="General_)"/>
    <numFmt numFmtId="166" formatCode="&quot;$&quot;#,##0.00;[Red]\-&quot;$&quot;#,##0.00"/>
  </numFmts>
  <fonts count="5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.6"/>
      <color theme="1"/>
      <name val="Segoe UI"/>
      <family val="2"/>
    </font>
    <font>
      <sz val="9.6"/>
      <color rgb="FFFF0000"/>
      <name val="Segoe UI"/>
      <family val="2"/>
    </font>
    <font>
      <vertAlign val="subscript"/>
      <sz val="11"/>
      <color theme="1"/>
      <name val="Calibri"/>
      <family val="2"/>
      <scheme val="minor"/>
    </font>
    <font>
      <strike/>
      <sz val="9.6"/>
      <color theme="1"/>
      <name val="Segoe UI"/>
      <family val="2"/>
    </font>
    <font>
      <sz val="9.6"/>
      <color rgb="FF00B050"/>
      <name val="Segoe UI"/>
      <family val="2"/>
    </font>
    <font>
      <sz val="11"/>
      <color rgb="FF7030A0"/>
      <name val="Calibri"/>
      <family val="2"/>
      <scheme val="minor"/>
    </font>
    <font>
      <sz val="9.6"/>
      <color rgb="FFFFC000"/>
      <name val="Segoe U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name val="Aptos Narrow"/>
      <family val="2"/>
    </font>
    <font>
      <sz val="9.9"/>
      <name val="Aptos Narrow"/>
      <family val="2"/>
    </font>
    <font>
      <i/>
      <sz val="10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 Light"/>
      <family val="2"/>
      <scheme val="maj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rgb="FF000000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6795556505021"/>
      </top>
      <bottom style="thin">
        <color theme="0" tint="-0.14999847407452621"/>
      </bottom>
      <diagonal/>
    </border>
    <border>
      <left/>
      <right/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34998626667073579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9847407452621"/>
      </bottom>
      <diagonal/>
    </border>
  </borders>
  <cellStyleXfs count="11">
    <xf numFmtId="0" fontId="0" fillId="0" borderId="0"/>
    <xf numFmtId="0" fontId="18" fillId="0" borderId="0"/>
    <xf numFmtId="165" fontId="19" fillId="0" borderId="0"/>
    <xf numFmtId="166" fontId="25" fillId="0" borderId="0" applyFont="0" applyFill="0" applyBorder="0" applyAlignment="0" applyProtection="0"/>
    <xf numFmtId="9" fontId="49" fillId="0" borderId="0" applyFont="0" applyFill="0" applyBorder="0" applyAlignment="0" applyProtection="0"/>
    <xf numFmtId="0" fontId="50" fillId="0" borderId="109" applyNumberFormat="0" applyFill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8" borderId="0" applyNumberFormat="0" applyBorder="0" applyAlignment="0" applyProtection="0"/>
    <xf numFmtId="14" fontId="49" fillId="0" borderId="0" applyFont="0" applyFill="0" applyBorder="0">
      <alignment horizontal="center" vertical="center"/>
    </xf>
  </cellStyleXfs>
  <cellXfs count="586">
    <xf numFmtId="0" fontId="0" fillId="0" borderId="0" xfId="0"/>
    <xf numFmtId="0" fontId="0" fillId="0" borderId="21" xfId="0" applyBorder="1"/>
    <xf numFmtId="0" fontId="0" fillId="3" borderId="21" xfId="0" applyFill="1" applyBorder="1" applyAlignment="1">
      <alignment horizontal="center"/>
    </xf>
    <xf numFmtId="0" fontId="3" fillId="0" borderId="11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0" xfId="0" applyFont="1"/>
    <xf numFmtId="0" fontId="0" fillId="2" borderId="1" xfId="0" applyFill="1" applyBorder="1"/>
    <xf numFmtId="0" fontId="0" fillId="2" borderId="31" xfId="0" applyFill="1" applyBorder="1"/>
    <xf numFmtId="0" fontId="0" fillId="0" borderId="0" xfId="0" applyAlignment="1">
      <alignment wrapText="1"/>
    </xf>
    <xf numFmtId="0" fontId="0" fillId="0" borderId="1" xfId="0" applyBorder="1"/>
    <xf numFmtId="0" fontId="0" fillId="0" borderId="4" xfId="0" applyBorder="1"/>
    <xf numFmtId="0" fontId="5" fillId="0" borderId="0" xfId="0" applyFont="1"/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4" xfId="0" applyBorder="1"/>
    <xf numFmtId="0" fontId="0" fillId="0" borderId="44" xfId="0" applyBorder="1" applyAlignment="1">
      <alignment wrapText="1"/>
    </xf>
    <xf numFmtId="0" fontId="0" fillId="0" borderId="47" xfId="0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7" xfId="0" applyBorder="1" applyAlignment="1">
      <alignment horizontal="center" vertical="center" wrapText="1"/>
    </xf>
    <xf numFmtId="0" fontId="0" fillId="0" borderId="25" xfId="0" applyBorder="1"/>
    <xf numFmtId="0" fontId="0" fillId="0" borderId="50" xfId="0" applyBorder="1"/>
    <xf numFmtId="0" fontId="0" fillId="0" borderId="26" xfId="0" applyBorder="1"/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4" xfId="0" applyBorder="1"/>
    <xf numFmtId="0" fontId="0" fillId="0" borderId="1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69" xfId="0" applyBorder="1"/>
    <xf numFmtId="0" fontId="0" fillId="0" borderId="61" xfId="0" applyBorder="1"/>
    <xf numFmtId="0" fontId="0" fillId="0" borderId="51" xfId="0" applyBorder="1"/>
    <xf numFmtId="0" fontId="0" fillId="0" borderId="70" xfId="0" applyBorder="1"/>
    <xf numFmtId="0" fontId="0" fillId="0" borderId="65" xfId="0" applyBorder="1"/>
    <xf numFmtId="0" fontId="0" fillId="0" borderId="5" xfId="0" applyBorder="1"/>
    <xf numFmtId="0" fontId="0" fillId="0" borderId="61" xfId="0" applyBorder="1" applyAlignment="1">
      <alignment horizontal="center"/>
    </xf>
    <xf numFmtId="0" fontId="4" fillId="0" borderId="0" xfId="0" applyFont="1"/>
    <xf numFmtId="0" fontId="0" fillId="9" borderId="22" xfId="0" applyFill="1" applyBorder="1"/>
    <xf numFmtId="0" fontId="0" fillId="9" borderId="42" xfId="0" applyFill="1" applyBorder="1"/>
    <xf numFmtId="0" fontId="0" fillId="9" borderId="34" xfId="0" applyFill="1" applyBorder="1"/>
    <xf numFmtId="0" fontId="0" fillId="9" borderId="40" xfId="0" applyFill="1" applyBorder="1"/>
    <xf numFmtId="0" fontId="0" fillId="9" borderId="48" xfId="0" applyFill="1" applyBorder="1"/>
    <xf numFmtId="0" fontId="0" fillId="9" borderId="33" xfId="0" applyFill="1" applyBorder="1"/>
    <xf numFmtId="0" fontId="0" fillId="9" borderId="22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4" fillId="2" borderId="0" xfId="0" applyFont="1" applyFill="1"/>
    <xf numFmtId="0" fontId="2" fillId="0" borderId="21" xfId="0" applyFont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0" fillId="0" borderId="6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8" xfId="0" applyFont="1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center" wrapText="1"/>
    </xf>
    <xf numFmtId="0" fontId="2" fillId="0" borderId="54" xfId="0" applyFont="1" applyBorder="1" applyAlignment="1">
      <alignment horizontal="center" vertical="center" wrapText="1"/>
    </xf>
    <xf numFmtId="0" fontId="2" fillId="0" borderId="73" xfId="0" applyFont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74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6" borderId="5" xfId="0" applyFill="1" applyBorder="1" applyAlignment="1">
      <alignment horizontal="center"/>
    </xf>
    <xf numFmtId="0" fontId="0" fillId="2" borderId="4" xfId="0" applyFill="1" applyBorder="1"/>
    <xf numFmtId="0" fontId="0" fillId="0" borderId="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1" fillId="5" borderId="7" xfId="0" applyFont="1" applyFill="1" applyBorder="1" applyAlignment="1">
      <alignment horizontal="center"/>
    </xf>
    <xf numFmtId="0" fontId="11" fillId="5" borderId="38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/>
    </xf>
    <xf numFmtId="0" fontId="4" fillId="0" borderId="30" xfId="0" applyFont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16" xfId="0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/>
    </xf>
    <xf numFmtId="0" fontId="0" fillId="0" borderId="45" xfId="0" applyBorder="1"/>
    <xf numFmtId="0" fontId="4" fillId="6" borderId="17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 wrapText="1"/>
    </xf>
    <xf numFmtId="0" fontId="0" fillId="0" borderId="24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0" fillId="9" borderId="6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4" fillId="0" borderId="40" xfId="0" applyFont="1" applyBorder="1" applyAlignment="1">
      <alignment vertical="center" wrapText="1"/>
    </xf>
    <xf numFmtId="0" fontId="4" fillId="0" borderId="33" xfId="0" applyFont="1" applyBorder="1" applyAlignment="1">
      <alignment vertical="center" wrapText="1"/>
    </xf>
    <xf numFmtId="0" fontId="0" fillId="0" borderId="34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/>
    </xf>
    <xf numFmtId="0" fontId="11" fillId="5" borderId="35" xfId="0" applyFont="1" applyFill="1" applyBorder="1" applyAlignment="1">
      <alignment horizontal="center"/>
    </xf>
    <xf numFmtId="0" fontId="11" fillId="5" borderId="41" xfId="0" applyFont="1" applyFill="1" applyBorder="1" applyAlignment="1">
      <alignment horizontal="center"/>
    </xf>
    <xf numFmtId="0" fontId="11" fillId="5" borderId="36" xfId="0" applyFont="1" applyFill="1" applyBorder="1" applyAlignment="1">
      <alignment horizontal="center"/>
    </xf>
    <xf numFmtId="0" fontId="11" fillId="5" borderId="29" xfId="0" applyFont="1" applyFill="1" applyBorder="1" applyAlignment="1">
      <alignment horizontal="center"/>
    </xf>
    <xf numFmtId="0" fontId="0" fillId="9" borderId="53" xfId="0" applyFill="1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7" xfId="0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0" fillId="0" borderId="32" xfId="0" applyBorder="1" applyAlignment="1">
      <alignment vertical="center"/>
    </xf>
    <xf numFmtId="0" fontId="0" fillId="0" borderId="16" xfId="0" applyBorder="1" applyAlignment="1">
      <alignment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0" borderId="82" xfId="0" applyFont="1" applyBorder="1" applyAlignment="1">
      <alignment vertical="center" wrapText="1"/>
    </xf>
    <xf numFmtId="0" fontId="6" fillId="0" borderId="83" xfId="0" applyFont="1" applyBorder="1" applyAlignment="1">
      <alignment vertical="center" wrapText="1"/>
    </xf>
    <xf numFmtId="0" fontId="6" fillId="0" borderId="84" xfId="0" applyFont="1" applyBorder="1" applyAlignment="1">
      <alignment vertical="center" wrapText="1"/>
    </xf>
    <xf numFmtId="0" fontId="4" fillId="0" borderId="81" xfId="0" applyFont="1" applyBorder="1"/>
    <xf numFmtId="0" fontId="15" fillId="0" borderId="80" xfId="0" applyFont="1" applyBorder="1" applyAlignment="1">
      <alignment horizontal="right" vertical="center" wrapText="1"/>
    </xf>
    <xf numFmtId="0" fontId="4" fillId="0" borderId="47" xfId="0" applyFont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 vertical="center"/>
    </xf>
    <xf numFmtId="0" fontId="6" fillId="0" borderId="21" xfId="0" applyFont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0" fillId="2" borderId="6" xfId="0" applyFill="1" applyBorder="1" applyAlignment="1">
      <alignment horizontal="center"/>
    </xf>
    <xf numFmtId="0" fontId="0" fillId="2" borderId="24" xfId="0" applyFill="1" applyBorder="1" applyAlignment="1">
      <alignment vertical="center" wrapText="1"/>
    </xf>
    <xf numFmtId="0" fontId="0" fillId="2" borderId="6" xfId="0" applyFill="1" applyBorder="1" applyAlignment="1">
      <alignment horizontal="center" vertical="center"/>
    </xf>
    <xf numFmtId="0" fontId="14" fillId="2" borderId="0" xfId="0" applyFont="1" applyFill="1"/>
    <xf numFmtId="0" fontId="14" fillId="2" borderId="21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6" xfId="0" applyFill="1" applyBorder="1" applyAlignment="1">
      <alignment vertical="center" wrapText="1"/>
    </xf>
    <xf numFmtId="0" fontId="0" fillId="2" borderId="10" xfId="0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4" fillId="0" borderId="21" xfId="0" applyFont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26" xfId="0" applyFill="1" applyBorder="1" applyAlignment="1">
      <alignment vertical="center" wrapText="1"/>
    </xf>
    <xf numFmtId="0" fontId="0" fillId="8" borderId="10" xfId="0" applyFill="1" applyBorder="1" applyAlignment="1">
      <alignment horizontal="center" vertical="center"/>
    </xf>
    <xf numFmtId="0" fontId="14" fillId="8" borderId="0" xfId="0" applyFont="1" applyFill="1"/>
    <xf numFmtId="0" fontId="14" fillId="8" borderId="21" xfId="0" applyFont="1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28" xfId="0" applyFill="1" applyBorder="1" applyAlignment="1">
      <alignment vertical="center" wrapText="1"/>
    </xf>
    <xf numFmtId="0" fontId="0" fillId="8" borderId="14" xfId="0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7" fillId="2" borderId="0" xfId="0" applyFont="1" applyFill="1"/>
    <xf numFmtId="0" fontId="17" fillId="9" borderId="85" xfId="0" applyFont="1" applyFill="1" applyBorder="1" applyAlignment="1">
      <alignment horizontal="center"/>
    </xf>
    <xf numFmtId="0" fontId="17" fillId="9" borderId="86" xfId="0" applyFont="1" applyFill="1" applyBorder="1" applyAlignment="1">
      <alignment horizontal="center"/>
    </xf>
    <xf numFmtId="0" fontId="17" fillId="9" borderId="87" xfId="0" applyFont="1" applyFill="1" applyBorder="1" applyAlignment="1">
      <alignment horizontal="center"/>
    </xf>
    <xf numFmtId="0" fontId="17" fillId="9" borderId="88" xfId="0" applyFont="1" applyFill="1" applyBorder="1" applyAlignment="1">
      <alignment horizontal="center"/>
    </xf>
    <xf numFmtId="0" fontId="17" fillId="9" borderId="86" xfId="0" applyFont="1" applyFill="1" applyBorder="1" applyAlignment="1">
      <alignment horizontal="center" vertical="center"/>
    </xf>
    <xf numFmtId="0" fontId="3" fillId="0" borderId="7" xfId="0" applyFont="1" applyBorder="1"/>
    <xf numFmtId="0" fontId="16" fillId="0" borderId="8" xfId="0" applyFont="1" applyBorder="1" applyAlignment="1">
      <alignment horizontal="center" vertical="center"/>
    </xf>
    <xf numFmtId="0" fontId="3" fillId="0" borderId="8" xfId="0" applyFont="1" applyBorder="1"/>
    <xf numFmtId="0" fontId="3" fillId="0" borderId="8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10" borderId="11" xfId="0" applyFont="1" applyFill="1" applyBorder="1"/>
    <xf numFmtId="0" fontId="3" fillId="10" borderId="15" xfId="0" applyFont="1" applyFill="1" applyBorder="1"/>
    <xf numFmtId="0" fontId="17" fillId="11" borderId="11" xfId="0" applyFont="1" applyFill="1" applyBorder="1" applyAlignment="1">
      <alignment horizontal="left" wrapText="1"/>
    </xf>
    <xf numFmtId="0" fontId="3" fillId="11" borderId="12" xfId="0" applyFont="1" applyFill="1" applyBorder="1" applyAlignment="1">
      <alignment horizontal="center"/>
    </xf>
    <xf numFmtId="0" fontId="3" fillId="11" borderId="12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11" borderId="11" xfId="0" applyFont="1" applyFill="1" applyBorder="1"/>
    <xf numFmtId="0" fontId="17" fillId="11" borderId="11" xfId="0" applyFont="1" applyFill="1" applyBorder="1"/>
    <xf numFmtId="0" fontId="3" fillId="11" borderId="11" xfId="0" applyFont="1" applyFill="1" applyBorder="1" applyAlignment="1">
      <alignment wrapText="1"/>
    </xf>
    <xf numFmtId="0" fontId="17" fillId="11" borderId="11" xfId="0" applyFont="1" applyFill="1" applyBorder="1" applyAlignment="1">
      <alignment wrapText="1"/>
    </xf>
    <xf numFmtId="0" fontId="3" fillId="0" borderId="11" xfId="0" applyFont="1" applyBorder="1" applyAlignment="1">
      <alignment wrapText="1"/>
    </xf>
    <xf numFmtId="0" fontId="3" fillId="10" borderId="11" xfId="0" applyFont="1" applyFill="1" applyBorder="1" applyAlignment="1">
      <alignment vertical="center" wrapText="1"/>
    </xf>
    <xf numFmtId="0" fontId="3" fillId="0" borderId="16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4" fillId="12" borderId="50" xfId="0" applyFont="1" applyFill="1" applyBorder="1" applyAlignment="1">
      <alignment wrapText="1"/>
    </xf>
    <xf numFmtId="0" fontId="4" fillId="12" borderId="0" xfId="0" applyFont="1" applyFill="1" applyAlignment="1">
      <alignment horizontal="center"/>
    </xf>
    <xf numFmtId="0" fontId="12" fillId="12" borderId="17" xfId="0" applyFont="1" applyFill="1" applyBorder="1" applyAlignment="1">
      <alignment horizontal="center" vertical="center" wrapText="1"/>
    </xf>
    <xf numFmtId="0" fontId="13" fillId="12" borderId="17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13" fillId="12" borderId="63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/>
    </xf>
    <xf numFmtId="0" fontId="4" fillId="12" borderId="69" xfId="0" applyFont="1" applyFill="1" applyBorder="1"/>
    <xf numFmtId="0" fontId="0" fillId="12" borderId="1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12" borderId="44" xfId="0" applyFill="1" applyBorder="1"/>
    <xf numFmtId="0" fontId="0" fillId="12" borderId="26" xfId="0" applyFill="1" applyBorder="1" applyAlignment="1">
      <alignment horizontal="center"/>
    </xf>
    <xf numFmtId="0" fontId="2" fillId="12" borderId="9" xfId="0" applyFont="1" applyFill="1" applyBorder="1" applyAlignment="1">
      <alignment horizontal="center" vertical="center"/>
    </xf>
    <xf numFmtId="0" fontId="0" fillId="12" borderId="9" xfId="0" applyFill="1" applyBorder="1" applyAlignment="1">
      <alignment horizontal="center"/>
    </xf>
    <xf numFmtId="0" fontId="4" fillId="12" borderId="18" xfId="0" applyFont="1" applyFill="1" applyBorder="1" applyAlignment="1">
      <alignment horizontal="center"/>
    </xf>
    <xf numFmtId="0" fontId="0" fillId="12" borderId="64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61" xfId="0" applyFill="1" applyBorder="1"/>
    <xf numFmtId="0" fontId="0" fillId="12" borderId="27" xfId="0" applyFill="1" applyBorder="1" applyAlignment="1">
      <alignment horizontal="center"/>
    </xf>
    <xf numFmtId="0" fontId="2" fillId="12" borderId="67" xfId="0" applyFont="1" applyFill="1" applyBorder="1" applyAlignment="1">
      <alignment horizontal="center" vertical="center"/>
    </xf>
    <xf numFmtId="0" fontId="0" fillId="12" borderId="67" xfId="0" applyFill="1" applyBorder="1" applyAlignment="1">
      <alignment horizontal="center"/>
    </xf>
    <xf numFmtId="0" fontId="0" fillId="12" borderId="90" xfId="0" applyFill="1" applyBorder="1" applyAlignment="1">
      <alignment horizontal="center"/>
    </xf>
    <xf numFmtId="0" fontId="0" fillId="12" borderId="52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0" fillId="12" borderId="70" xfId="0" applyFill="1" applyBorder="1"/>
    <xf numFmtId="0" fontId="4" fillId="12" borderId="45" xfId="0" applyFont="1" applyFill="1" applyBorder="1"/>
    <xf numFmtId="0" fontId="0" fillId="10" borderId="26" xfId="0" applyFill="1" applyBorder="1"/>
    <xf numFmtId="0" fontId="0" fillId="10" borderId="9" xfId="0" applyFill="1" applyBorder="1" applyAlignment="1">
      <alignment horizontal="center"/>
    </xf>
    <xf numFmtId="0" fontId="2" fillId="10" borderId="9" xfId="0" applyFont="1" applyFill="1" applyBorder="1" applyAlignment="1">
      <alignment horizontal="center" vertical="center"/>
    </xf>
    <xf numFmtId="0" fontId="0" fillId="10" borderId="10" xfId="0" applyFill="1" applyBorder="1" applyAlignment="1">
      <alignment horizontal="center"/>
    </xf>
    <xf numFmtId="0" fontId="0" fillId="10" borderId="6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28" xfId="0" applyFill="1" applyBorder="1"/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62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0" fillId="10" borderId="44" xfId="0" applyFill="1" applyBorder="1"/>
    <xf numFmtId="0" fontId="0" fillId="10" borderId="26" xfId="0" applyFill="1" applyBorder="1" applyAlignment="1">
      <alignment horizontal="center"/>
    </xf>
    <xf numFmtId="0" fontId="4" fillId="10" borderId="18" xfId="0" applyFont="1" applyFill="1" applyBorder="1" applyAlignment="1">
      <alignment horizontal="center"/>
    </xf>
    <xf numFmtId="0" fontId="0" fillId="10" borderId="64" xfId="0" applyFill="1" applyBorder="1" applyAlignment="1">
      <alignment horizontal="center"/>
    </xf>
    <xf numFmtId="0" fontId="0" fillId="10" borderId="61" xfId="0" applyFill="1" applyBorder="1"/>
    <xf numFmtId="0" fontId="0" fillId="10" borderId="52" xfId="0" applyFill="1" applyBorder="1" applyAlignment="1">
      <alignment vertical="center" wrapText="1"/>
    </xf>
    <xf numFmtId="0" fontId="0" fillId="10" borderId="27" xfId="0" applyFill="1" applyBorder="1" applyAlignment="1">
      <alignment horizontal="center" vertical="center" wrapText="1"/>
    </xf>
    <xf numFmtId="0" fontId="2" fillId="10" borderId="67" xfId="0" applyFont="1" applyFill="1" applyBorder="1" applyAlignment="1">
      <alignment horizontal="center" vertical="center" wrapText="1"/>
    </xf>
    <xf numFmtId="0" fontId="0" fillId="10" borderId="67" xfId="0" applyFill="1" applyBorder="1" applyAlignment="1">
      <alignment horizontal="center" vertical="center"/>
    </xf>
    <xf numFmtId="0" fontId="0" fillId="10" borderId="57" xfId="0" applyFill="1" applyBorder="1" applyAlignment="1">
      <alignment horizontal="center" vertical="center"/>
    </xf>
    <xf numFmtId="0" fontId="0" fillId="10" borderId="5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10" borderId="70" xfId="0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2" borderId="0" xfId="0" applyFill="1"/>
    <xf numFmtId="0" fontId="0" fillId="0" borderId="24" xfId="0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4" fillId="12" borderId="25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10" borderId="27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11" borderId="30" xfId="0" applyFont="1" applyFill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17" fillId="2" borderId="2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50" xfId="0" applyBorder="1" applyAlignment="1">
      <alignment wrapText="1"/>
    </xf>
    <xf numFmtId="0" fontId="3" fillId="0" borderId="19" xfId="0" applyFont="1" applyBorder="1"/>
    <xf numFmtId="0" fontId="3" fillId="0" borderId="20" xfId="0" applyFont="1" applyBorder="1" applyAlignment="1">
      <alignment horizontal="center"/>
    </xf>
    <xf numFmtId="0" fontId="3" fillId="0" borderId="20" xfId="0" applyFont="1" applyBorder="1"/>
    <xf numFmtId="0" fontId="3" fillId="0" borderId="20" xfId="0" applyFont="1" applyBorder="1" applyAlignment="1">
      <alignment horizontal="center" vertical="center"/>
    </xf>
    <xf numFmtId="0" fontId="18" fillId="0" borderId="95" xfId="1" applyBorder="1" applyAlignment="1">
      <alignment horizontal="center" vertical="center"/>
    </xf>
    <xf numFmtId="0" fontId="18" fillId="0" borderId="96" xfId="1" applyBorder="1" applyAlignment="1">
      <alignment horizontal="center" vertical="center"/>
    </xf>
    <xf numFmtId="0" fontId="18" fillId="0" borderId="89" xfId="1" applyBorder="1" applyAlignment="1">
      <alignment horizontal="center" vertical="center"/>
    </xf>
    <xf numFmtId="165" fontId="19" fillId="0" borderId="0" xfId="2"/>
    <xf numFmtId="0" fontId="18" fillId="0" borderId="58" xfId="1" applyBorder="1" applyAlignment="1">
      <alignment horizontal="center" vertical="center"/>
    </xf>
    <xf numFmtId="0" fontId="18" fillId="0" borderId="0" xfId="1" applyAlignment="1">
      <alignment horizontal="center" vertical="center"/>
    </xf>
    <xf numFmtId="0" fontId="18" fillId="0" borderId="73" xfId="1" applyBorder="1" applyAlignment="1">
      <alignment horizontal="center" vertical="center"/>
    </xf>
    <xf numFmtId="0" fontId="20" fillId="0" borderId="0" xfId="1" applyFont="1" applyAlignment="1">
      <alignment horizontal="center" vertical="top"/>
    </xf>
    <xf numFmtId="0" fontId="18" fillId="0" borderId="0" xfId="1" applyAlignment="1">
      <alignment horizontal="center"/>
    </xf>
    <xf numFmtId="0" fontId="21" fillId="0" borderId="0" xfId="1" applyFont="1" applyAlignment="1">
      <alignment horizontal="center" vertical="top"/>
    </xf>
    <xf numFmtId="0" fontId="22" fillId="0" borderId="73" xfId="1" applyFont="1" applyBorder="1" applyAlignment="1">
      <alignment horizontal="center" vertical="top"/>
    </xf>
    <xf numFmtId="0" fontId="23" fillId="0" borderId="58" xfId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73" xfId="1" applyFont="1" applyBorder="1" applyAlignment="1">
      <alignment horizontal="center" vertical="center"/>
    </xf>
    <xf numFmtId="0" fontId="0" fillId="0" borderId="21" xfId="0" applyBorder="1" applyAlignment="1">
      <alignment horizontal="left"/>
    </xf>
    <xf numFmtId="0" fontId="4" fillId="5" borderId="21" xfId="0" applyFont="1" applyFill="1" applyBorder="1"/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0" fontId="31" fillId="0" borderId="102" xfId="0" applyFont="1" applyBorder="1" applyAlignment="1">
      <alignment horizontal="center" vertical="center" wrapText="1"/>
    </xf>
    <xf numFmtId="0" fontId="31" fillId="0" borderId="103" xfId="0" applyFont="1" applyBorder="1" applyAlignment="1">
      <alignment horizontal="center" vertical="center" wrapText="1"/>
    </xf>
    <xf numFmtId="0" fontId="31" fillId="0" borderId="104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1" fillId="0" borderId="105" xfId="0" applyFont="1" applyBorder="1" applyAlignment="1">
      <alignment horizontal="left" vertical="center" wrapText="1"/>
    </xf>
    <xf numFmtId="0" fontId="31" fillId="0" borderId="102" xfId="0" applyFont="1" applyBorder="1" applyAlignment="1">
      <alignment horizontal="left" vertical="center" wrapText="1"/>
    </xf>
    <xf numFmtId="0" fontId="31" fillId="0" borderId="106" xfId="0" applyFont="1" applyBorder="1" applyAlignment="1">
      <alignment horizontal="left" vertical="center" wrapText="1"/>
    </xf>
    <xf numFmtId="0" fontId="32" fillId="0" borderId="53" xfId="0" applyFont="1" applyBorder="1" applyAlignment="1">
      <alignment horizontal="center" vertical="center" wrapText="1"/>
    </xf>
    <xf numFmtId="0" fontId="0" fillId="0" borderId="53" xfId="0" applyBorder="1" applyAlignment="1">
      <alignment horizontal="center"/>
    </xf>
    <xf numFmtId="0" fontId="0" fillId="0" borderId="4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1" fillId="0" borderId="54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1" fillId="0" borderId="46" xfId="0" applyFont="1" applyBorder="1" applyAlignment="1">
      <alignment horizontal="left" vertical="center" wrapText="1"/>
    </xf>
    <xf numFmtId="0" fontId="31" fillId="0" borderId="43" xfId="0" applyFont="1" applyBorder="1" applyAlignment="1">
      <alignment horizontal="left" vertical="center" wrapText="1"/>
    </xf>
    <xf numFmtId="0" fontId="27" fillId="0" borderId="54" xfId="0" applyFont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34" fillId="0" borderId="107" xfId="0" applyFont="1" applyBorder="1" applyAlignment="1">
      <alignment horizontal="left" vertical="center" wrapText="1"/>
    </xf>
    <xf numFmtId="0" fontId="34" fillId="0" borderId="46" xfId="0" applyFont="1" applyBorder="1" applyAlignment="1">
      <alignment horizontal="left" vertical="center" wrapText="1"/>
    </xf>
    <xf numFmtId="0" fontId="34" fillId="0" borderId="43" xfId="0" applyFont="1" applyBorder="1" applyAlignment="1">
      <alignment horizontal="left" vertical="center" wrapText="1"/>
    </xf>
    <xf numFmtId="0" fontId="31" fillId="0" borderId="107" xfId="0" applyFont="1" applyBorder="1" applyAlignment="1">
      <alignment horizontal="left" vertical="center" wrapText="1"/>
    </xf>
    <xf numFmtId="0" fontId="35" fillId="0" borderId="54" xfId="0" applyFont="1" applyBorder="1" applyAlignment="1">
      <alignment horizontal="center" vertical="center" wrapText="1"/>
    </xf>
    <xf numFmtId="0" fontId="31" fillId="0" borderId="108" xfId="0" applyFont="1" applyBorder="1" applyAlignment="1">
      <alignment horizontal="left" vertical="center" wrapText="1"/>
    </xf>
    <xf numFmtId="0" fontId="31" fillId="0" borderId="103" xfId="0" applyFont="1" applyBorder="1" applyAlignment="1">
      <alignment horizontal="left" vertical="center" wrapText="1"/>
    </xf>
    <xf numFmtId="0" fontId="31" fillId="0" borderId="104" xfId="0" applyFont="1" applyBorder="1" applyAlignment="1">
      <alignment horizontal="left" vertical="center" wrapText="1"/>
    </xf>
    <xf numFmtId="0" fontId="37" fillId="0" borderId="55" xfId="0" applyFont="1" applyBorder="1" applyAlignment="1">
      <alignment horizontal="center" vertical="center" wrapText="1"/>
    </xf>
    <xf numFmtId="0" fontId="38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0" fontId="0" fillId="0" borderId="53" xfId="0" applyBorder="1" applyAlignment="1">
      <alignment horizontal="left"/>
    </xf>
    <xf numFmtId="0" fontId="0" fillId="0" borderId="96" xfId="0" applyBorder="1" applyAlignment="1">
      <alignment horizontal="left"/>
    </xf>
    <xf numFmtId="0" fontId="31" fillId="0" borderId="53" xfId="0" applyFont="1" applyBorder="1" applyAlignment="1">
      <alignment horizontal="left" vertical="center" wrapText="1"/>
    </xf>
    <xf numFmtId="0" fontId="0" fillId="0" borderId="54" xfId="0" applyBorder="1" applyAlignment="1">
      <alignment horizontal="left"/>
    </xf>
    <xf numFmtId="0" fontId="31" fillId="0" borderId="54" xfId="0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 wrapText="1"/>
    </xf>
    <xf numFmtId="0" fontId="27" fillId="0" borderId="54" xfId="0" quotePrefix="1" applyFont="1" applyBorder="1" applyAlignment="1">
      <alignment horizontal="center" vertical="center"/>
    </xf>
    <xf numFmtId="0" fontId="31" fillId="0" borderId="55" xfId="0" applyFont="1" applyBorder="1" applyAlignment="1">
      <alignment horizontal="left" vertical="center" wrapText="1"/>
    </xf>
    <xf numFmtId="0" fontId="31" fillId="0" borderId="78" xfId="0" applyFont="1" applyBorder="1" applyAlignment="1">
      <alignment horizontal="left" vertical="center" wrapText="1"/>
    </xf>
    <xf numFmtId="0" fontId="1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4" fillId="5" borderId="100" xfId="0" applyFont="1" applyFill="1" applyBorder="1"/>
    <xf numFmtId="0" fontId="4" fillId="5" borderId="21" xfId="0" applyFont="1" applyFill="1" applyBorder="1" applyAlignment="1">
      <alignment vertical="top"/>
    </xf>
    <xf numFmtId="0" fontId="0" fillId="0" borderId="49" xfId="0" applyBorder="1" applyAlignment="1">
      <alignment horizontal="left"/>
    </xf>
    <xf numFmtId="0" fontId="0" fillId="0" borderId="42" xfId="0" applyBorder="1" applyAlignment="1">
      <alignment vertical="top"/>
    </xf>
    <xf numFmtId="0" fontId="39" fillId="0" borderId="42" xfId="0" applyFont="1" applyBorder="1" applyAlignment="1">
      <alignment vertical="top"/>
    </xf>
    <xf numFmtId="0" fontId="39" fillId="0" borderId="42" xfId="0" applyFont="1" applyBorder="1" applyAlignment="1">
      <alignment vertical="top" wrapText="1"/>
    </xf>
    <xf numFmtId="0" fontId="0" fillId="0" borderId="42" xfId="0" applyBorder="1" applyAlignment="1">
      <alignment vertical="top" wrapText="1"/>
    </xf>
    <xf numFmtId="0" fontId="0" fillId="0" borderId="37" xfId="0" applyBorder="1" applyAlignment="1">
      <alignment horizontal="left"/>
    </xf>
    <xf numFmtId="0" fontId="0" fillId="0" borderId="34" xfId="0" applyBorder="1" applyAlignment="1">
      <alignment vertical="top"/>
    </xf>
    <xf numFmtId="0" fontId="4" fillId="5" borderId="39" xfId="0" applyFont="1" applyFill="1" applyBorder="1"/>
    <xf numFmtId="0" fontId="0" fillId="0" borderId="39" xfId="0" applyBorder="1" applyAlignment="1">
      <alignment horizontal="left"/>
    </xf>
    <xf numFmtId="0" fontId="41" fillId="0" borderId="0" xfId="0" applyFont="1"/>
    <xf numFmtId="0" fontId="42" fillId="0" borderId="0" xfId="0" applyFont="1"/>
    <xf numFmtId="0" fontId="4" fillId="5" borderId="30" xfId="0" applyFont="1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33" xfId="0" applyBorder="1" applyAlignment="1">
      <alignment horizontal="center"/>
    </xf>
    <xf numFmtId="0" fontId="4" fillId="5" borderId="40" xfId="0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43" fillId="0" borderId="21" xfId="0" applyFont="1" applyBorder="1"/>
    <xf numFmtId="0" fontId="0" fillId="13" borderId="21" xfId="0" applyFill="1" applyBorder="1" applyAlignment="1">
      <alignment horizontal="center"/>
    </xf>
    <xf numFmtId="0" fontId="28" fillId="13" borderId="21" xfId="0" applyFont="1" applyFill="1" applyBorder="1" applyAlignment="1">
      <alignment horizontal="center"/>
    </xf>
    <xf numFmtId="0" fontId="5" fillId="13" borderId="21" xfId="0" applyFont="1" applyFill="1" applyBorder="1" applyAlignment="1">
      <alignment horizontal="center"/>
    </xf>
    <xf numFmtId="0" fontId="0" fillId="13" borderId="22" xfId="0" applyFill="1" applyBorder="1" applyAlignment="1">
      <alignment horizontal="center" vertical="center"/>
    </xf>
    <xf numFmtId="0" fontId="0" fillId="13" borderId="42" xfId="0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4" fillId="0" borderId="21" xfId="0" applyFont="1" applyBorder="1" applyAlignment="1">
      <alignment horizontal="left" vertical="center" wrapText="1"/>
    </xf>
    <xf numFmtId="0" fontId="14" fillId="0" borderId="21" xfId="0" applyFont="1" applyBorder="1" applyAlignment="1">
      <alignment horizontal="left" vertical="center"/>
    </xf>
    <xf numFmtId="0" fontId="1" fillId="13" borderId="42" xfId="0" applyFont="1" applyFill="1" applyBorder="1" applyAlignment="1">
      <alignment horizontal="center" vertical="center"/>
    </xf>
    <xf numFmtId="0" fontId="28" fillId="13" borderId="21" xfId="0" applyFont="1" applyFill="1" applyBorder="1" applyAlignment="1">
      <alignment horizontal="center" vertical="center"/>
    </xf>
    <xf numFmtId="0" fontId="4" fillId="5" borderId="30" xfId="0" applyFont="1" applyFill="1" applyBorder="1" applyAlignment="1">
      <alignment horizontal="left"/>
    </xf>
    <xf numFmtId="0" fontId="0" fillId="13" borderId="21" xfId="0" applyFill="1" applyBorder="1" applyAlignment="1">
      <alignment horizontal="center" vertical="center"/>
    </xf>
    <xf numFmtId="0" fontId="47" fillId="0" borderId="0" xfId="0" applyFont="1"/>
    <xf numFmtId="0" fontId="17" fillId="14" borderId="21" xfId="0" applyFont="1" applyFill="1" applyBorder="1" applyAlignment="1">
      <alignment vertical="center"/>
    </xf>
    <xf numFmtId="0" fontId="17" fillId="14" borderId="21" xfId="0" applyFont="1" applyFill="1" applyBorder="1" applyAlignment="1">
      <alignment horizontal="right" vertical="center" wrapText="1"/>
    </xf>
    <xf numFmtId="0" fontId="0" fillId="0" borderId="0" xfId="0" applyAlignment="1">
      <alignment horizontal="right"/>
    </xf>
    <xf numFmtId="0" fontId="4" fillId="9" borderId="21" xfId="0" applyFont="1" applyFill="1" applyBorder="1" applyAlignment="1">
      <alignment horizontal="right"/>
    </xf>
    <xf numFmtId="0" fontId="47" fillId="0" borderId="0" xfId="0" applyFont="1" applyAlignment="1">
      <alignment horizontal="right"/>
    </xf>
    <xf numFmtId="0" fontId="43" fillId="0" borderId="21" xfId="0" applyFont="1" applyBorder="1" applyAlignment="1">
      <alignment horizontal="right"/>
    </xf>
    <xf numFmtId="0" fontId="4" fillId="7" borderId="21" xfId="0" applyFont="1" applyFill="1" applyBorder="1" applyAlignment="1">
      <alignment horizontal="right"/>
    </xf>
    <xf numFmtId="164" fontId="0" fillId="0" borderId="0" xfId="0" applyNumberFormat="1" applyAlignment="1">
      <alignment horizontal="right"/>
    </xf>
    <xf numFmtId="164" fontId="4" fillId="9" borderId="21" xfId="0" applyNumberFormat="1" applyFont="1" applyFill="1" applyBorder="1" applyAlignment="1">
      <alignment horizontal="right"/>
    </xf>
    <xf numFmtId="164" fontId="47" fillId="0" borderId="0" xfId="0" applyNumberFormat="1" applyFont="1" applyAlignment="1">
      <alignment horizontal="right"/>
    </xf>
    <xf numFmtId="164" fontId="43" fillId="0" borderId="21" xfId="0" applyNumberFormat="1" applyFont="1" applyBorder="1" applyAlignment="1">
      <alignment horizontal="right"/>
    </xf>
    <xf numFmtId="164" fontId="5" fillId="0" borderId="0" xfId="0" applyNumberFormat="1" applyFont="1" applyAlignment="1">
      <alignment horizontal="right"/>
    </xf>
    <xf numFmtId="164" fontId="4" fillId="7" borderId="21" xfId="0" applyNumberFormat="1" applyFont="1" applyFill="1" applyBorder="1" applyAlignment="1">
      <alignment horizontal="right"/>
    </xf>
    <xf numFmtId="164" fontId="14" fillId="0" borderId="0" xfId="0" applyNumberFormat="1" applyFont="1" applyAlignment="1">
      <alignment horizontal="right"/>
    </xf>
    <xf numFmtId="0" fontId="1" fillId="0" borderId="0" xfId="0" applyFont="1"/>
    <xf numFmtId="0" fontId="5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indent="2"/>
    </xf>
    <xf numFmtId="0" fontId="51" fillId="19" borderId="0" xfId="0" applyFont="1" applyFill="1" applyAlignment="1">
      <alignment horizontal="center" vertical="center" wrapText="1"/>
    </xf>
    <xf numFmtId="0" fontId="55" fillId="7" borderId="112" xfId="0" applyFont="1" applyFill="1" applyBorder="1" applyAlignment="1">
      <alignment horizontal="center" vertical="center" shrinkToFit="1"/>
    </xf>
    <xf numFmtId="0" fontId="1" fillId="0" borderId="0" xfId="0" applyFont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1" fillId="0" borderId="0" xfId="0" applyFont="1" applyAlignment="1">
      <alignment horizontal="left" vertical="center" wrapText="1" indent="1"/>
    </xf>
    <xf numFmtId="0" fontId="1" fillId="0" borderId="0" xfId="5" applyFont="1" applyFill="1" applyBorder="1" applyAlignment="1">
      <alignment horizontal="left" vertical="center" indent="2"/>
    </xf>
    <xf numFmtId="0" fontId="1" fillId="0" borderId="0" xfId="0" applyFont="1" applyAlignment="1">
      <alignment horizontal="left" vertical="center"/>
    </xf>
    <xf numFmtId="0" fontId="56" fillId="0" borderId="0" xfId="0" applyFont="1" applyAlignment="1">
      <alignment horizontal="center" vertical="center" wrapText="1"/>
    </xf>
    <xf numFmtId="0" fontId="11" fillId="22" borderId="0" xfId="8" applyFont="1" applyFill="1" applyAlignment="1">
      <alignment vertical="center"/>
    </xf>
    <xf numFmtId="0" fontId="11" fillId="23" borderId="0" xfId="9" applyFont="1" applyFill="1" applyAlignment="1">
      <alignment vertical="center"/>
    </xf>
    <xf numFmtId="9" fontId="0" fillId="0" borderId="0" xfId="4" applyFont="1" applyBorder="1"/>
    <xf numFmtId="9" fontId="55" fillId="0" borderId="0" xfId="4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0" fillId="5" borderId="113" xfId="0" applyFill="1" applyBorder="1" applyAlignment="1">
      <alignment horizontal="center" vertical="center"/>
    </xf>
    <xf numFmtId="1" fontId="0" fillId="0" borderId="0" xfId="0" applyNumberFormat="1"/>
    <xf numFmtId="1" fontId="4" fillId="0" borderId="0" xfId="0" applyNumberFormat="1" applyFont="1" applyAlignment="1">
      <alignment horizontal="center" vertical="center"/>
    </xf>
    <xf numFmtId="0" fontId="3" fillId="24" borderId="11" xfId="0" applyFont="1" applyFill="1" applyBorder="1"/>
    <xf numFmtId="0" fontId="3" fillId="24" borderId="12" xfId="0" applyFont="1" applyFill="1" applyBorder="1"/>
    <xf numFmtId="0" fontId="3" fillId="24" borderId="10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/>
    </xf>
    <xf numFmtId="0" fontId="0" fillId="5" borderId="50" xfId="0" applyFill="1" applyBorder="1"/>
    <xf numFmtId="0" fontId="2" fillId="5" borderId="17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69" xfId="0" applyFill="1" applyBorder="1"/>
    <xf numFmtId="0" fontId="0" fillId="5" borderId="10" xfId="0" applyFill="1" applyBorder="1" applyAlignment="1">
      <alignment horizontal="center"/>
    </xf>
    <xf numFmtId="0" fontId="0" fillId="0" borderId="42" xfId="0" applyBorder="1"/>
    <xf numFmtId="0" fontId="3" fillId="25" borderId="11" xfId="0" applyFont="1" applyFill="1" applyBorder="1"/>
    <xf numFmtId="0" fontId="3" fillId="25" borderId="12" xfId="0" applyFont="1" applyFill="1" applyBorder="1" applyAlignment="1">
      <alignment horizontal="center"/>
    </xf>
    <xf numFmtId="0" fontId="0" fillId="6" borderId="49" xfId="0" applyFill="1" applyBorder="1" applyAlignment="1">
      <alignment horizontal="left"/>
    </xf>
    <xf numFmtId="0" fontId="39" fillId="0" borderId="42" xfId="0" applyFont="1" applyBorder="1"/>
    <xf numFmtId="0" fontId="3" fillId="25" borderId="12" xfId="0" applyFont="1" applyFill="1" applyBorder="1" applyAlignment="1">
      <alignment horizontal="center" vertical="center"/>
    </xf>
    <xf numFmtId="0" fontId="0" fillId="0" borderId="49" xfId="0" applyBorder="1"/>
    <xf numFmtId="0" fontId="0" fillId="0" borderId="37" xfId="0" applyBorder="1"/>
    <xf numFmtId="0" fontId="0" fillId="0" borderId="34" xfId="0" applyBorder="1"/>
    <xf numFmtId="0" fontId="0" fillId="5" borderId="9" xfId="0" applyFill="1" applyBorder="1" applyAlignment="1">
      <alignment horizontal="center"/>
    </xf>
    <xf numFmtId="0" fontId="4" fillId="8" borderId="22" xfId="0" applyFont="1" applyFill="1" applyBorder="1"/>
    <xf numFmtId="0" fontId="0" fillId="5" borderId="69" xfId="0" applyFill="1" applyBorder="1" applyAlignment="1">
      <alignment horizontal="center"/>
    </xf>
    <xf numFmtId="1" fontId="1" fillId="9" borderId="0" xfId="0" applyNumberFormat="1" applyFont="1" applyFill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51" fillId="19" borderId="0" xfId="0" applyFont="1" applyFill="1" applyAlignment="1">
      <alignment horizontal="left" vertical="center" indent="1"/>
    </xf>
    <xf numFmtId="0" fontId="57" fillId="3" borderId="0" xfId="0" applyFont="1" applyFill="1" applyAlignment="1">
      <alignment horizontal="left" vertical="center" wrapText="1"/>
    </xf>
    <xf numFmtId="9" fontId="58" fillId="3" borderId="0" xfId="4" applyFont="1" applyFill="1" applyBorder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4" fontId="55" fillId="0" borderId="0" xfId="0" applyNumberFormat="1" applyFont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51" fillId="19" borderId="0" xfId="0" applyFont="1" applyFill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123" xfId="0" applyBorder="1" applyAlignment="1">
      <alignment horizontal="center" vertical="center"/>
    </xf>
    <xf numFmtId="49" fontId="0" fillId="0" borderId="22" xfId="0" applyNumberFormat="1" applyBorder="1" applyAlignment="1">
      <alignment horizontal="left"/>
    </xf>
    <xf numFmtId="0" fontId="11" fillId="20" borderId="0" xfId="6" applyFont="1" applyFill="1" applyAlignment="1">
      <alignment horizontal="left" vertical="top"/>
    </xf>
    <xf numFmtId="0" fontId="11" fillId="21" borderId="0" xfId="7" applyFont="1" applyFill="1" applyAlignment="1">
      <alignment horizontal="left" vertical="top"/>
    </xf>
    <xf numFmtId="0" fontId="0" fillId="6" borderId="0" xfId="0" applyFill="1"/>
    <xf numFmtId="0" fontId="4" fillId="6" borderId="21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 vertical="center"/>
    </xf>
    <xf numFmtId="0" fontId="0" fillId="6" borderId="0" xfId="0" applyFill="1" applyAlignment="1">
      <alignment wrapText="1"/>
    </xf>
    <xf numFmtId="166" fontId="18" fillId="0" borderId="97" xfId="3" applyFont="1" applyBorder="1" applyAlignment="1">
      <alignment horizontal="right" vertical="center"/>
    </xf>
    <xf numFmtId="166" fontId="19" fillId="0" borderId="78" xfId="3" applyFont="1" applyBorder="1" applyAlignment="1">
      <alignment horizontal="right" vertical="center"/>
    </xf>
    <xf numFmtId="166" fontId="19" fillId="0" borderId="79" xfId="3" applyFont="1" applyBorder="1" applyAlignment="1">
      <alignment horizontal="right" vertical="center"/>
    </xf>
    <xf numFmtId="166" fontId="18" fillId="0" borderId="13" xfId="3" applyFont="1" applyBorder="1" applyAlignment="1">
      <alignment horizontal="center" vertical="center"/>
    </xf>
    <xf numFmtId="166" fontId="18" fillId="0" borderId="101" xfId="3" applyFont="1" applyBorder="1" applyAlignment="1">
      <alignment horizontal="center" vertical="center"/>
    </xf>
    <xf numFmtId="0" fontId="26" fillId="0" borderId="94" xfId="1" applyFont="1" applyBorder="1" applyAlignment="1">
      <alignment horizontal="center" vertical="center"/>
    </xf>
    <xf numFmtId="0" fontId="26" fillId="0" borderId="28" xfId="1" applyFont="1" applyBorder="1" applyAlignment="1">
      <alignment horizontal="center" vertical="center"/>
    </xf>
    <xf numFmtId="0" fontId="26" fillId="0" borderId="101" xfId="1" applyFont="1" applyBorder="1" applyAlignment="1">
      <alignment horizontal="center" vertical="center"/>
    </xf>
    <xf numFmtId="0" fontId="26" fillId="0" borderId="62" xfId="1" applyFont="1" applyBorder="1" applyAlignment="1">
      <alignment horizontal="center" vertical="center"/>
    </xf>
    <xf numFmtId="0" fontId="25" fillId="0" borderId="30" xfId="1" applyFont="1" applyBorder="1" applyAlignment="1">
      <alignment horizontal="center" vertical="center" wrapText="1"/>
    </xf>
    <xf numFmtId="0" fontId="25" fillId="0" borderId="26" xfId="1" applyFont="1" applyBorder="1" applyAlignment="1">
      <alignment horizontal="center" vertical="center" wrapText="1"/>
    </xf>
    <xf numFmtId="0" fontId="25" fillId="0" borderId="61" xfId="1" applyFont="1" applyBorder="1" applyAlignment="1">
      <alignment horizontal="center" vertical="center" wrapText="1"/>
    </xf>
    <xf numFmtId="0" fontId="18" fillId="0" borderId="9" xfId="1" applyBorder="1" applyAlignment="1">
      <alignment horizontal="center" vertical="center"/>
    </xf>
    <xf numFmtId="0" fontId="18" fillId="0" borderId="100" xfId="1" applyBorder="1" applyAlignment="1">
      <alignment horizontal="center" vertical="center"/>
    </xf>
    <xf numFmtId="0" fontId="18" fillId="0" borderId="30" xfId="1" applyBorder="1" applyAlignment="1">
      <alignment horizontal="center" vertical="center"/>
    </xf>
    <xf numFmtId="0" fontId="18" fillId="0" borderId="26" xfId="1" applyBorder="1" applyAlignment="1">
      <alignment horizontal="center" vertical="center"/>
    </xf>
    <xf numFmtId="0" fontId="18" fillId="0" borderId="61" xfId="1" applyBorder="1" applyAlignment="1">
      <alignment horizontal="center" vertical="center"/>
    </xf>
    <xf numFmtId="0" fontId="25" fillId="0" borderId="9" xfId="1" applyFont="1" applyBorder="1" applyAlignment="1">
      <alignment horizontal="center" vertical="center"/>
    </xf>
    <xf numFmtId="0" fontId="25" fillId="0" borderId="100" xfId="1" applyFont="1" applyBorder="1" applyAlignment="1">
      <alignment horizontal="center" vertical="center"/>
    </xf>
    <xf numFmtId="14" fontId="25" fillId="0" borderId="30" xfId="1" applyNumberFormat="1" applyFont="1" applyBorder="1" applyAlignment="1">
      <alignment horizontal="center" vertical="center"/>
    </xf>
    <xf numFmtId="14" fontId="25" fillId="0" borderId="26" xfId="1" applyNumberFormat="1" applyFont="1" applyBorder="1" applyAlignment="1">
      <alignment horizontal="center" vertical="center"/>
    </xf>
    <xf numFmtId="14" fontId="25" fillId="0" borderId="100" xfId="1" applyNumberFormat="1" applyFont="1" applyBorder="1" applyAlignment="1">
      <alignment horizontal="center" vertical="center"/>
    </xf>
    <xf numFmtId="0" fontId="25" fillId="0" borderId="30" xfId="1" applyFont="1" applyBorder="1" applyAlignment="1">
      <alignment horizontal="center" vertical="center"/>
    </xf>
    <xf numFmtId="0" fontId="25" fillId="0" borderId="26" xfId="1" applyFont="1" applyBorder="1" applyAlignment="1">
      <alignment horizontal="center" vertical="center"/>
    </xf>
    <xf numFmtId="0" fontId="25" fillId="0" borderId="100" xfId="1" applyFont="1" applyBorder="1" applyAlignment="1">
      <alignment horizontal="center" vertical="center" wrapText="1"/>
    </xf>
    <xf numFmtId="0" fontId="23" fillId="0" borderId="95" xfId="1" applyFont="1" applyBorder="1" applyAlignment="1">
      <alignment horizontal="center" vertical="center" wrapText="1"/>
    </xf>
    <xf numFmtId="0" fontId="23" fillId="0" borderId="96" xfId="1" applyFont="1" applyBorder="1" applyAlignment="1">
      <alignment horizontal="center" vertical="center" wrapText="1"/>
    </xf>
    <xf numFmtId="0" fontId="23" fillId="0" borderId="89" xfId="1" applyFont="1" applyBorder="1" applyAlignment="1">
      <alignment horizontal="center" vertical="center" wrapText="1"/>
    </xf>
    <xf numFmtId="0" fontId="23" fillId="0" borderId="58" xfId="1" applyFont="1" applyBorder="1" applyAlignment="1">
      <alignment horizontal="center" vertical="center" wrapText="1"/>
    </xf>
    <xf numFmtId="0" fontId="23" fillId="0" borderId="0" xfId="1" applyFont="1" applyAlignment="1">
      <alignment horizontal="center" vertical="center" wrapText="1"/>
    </xf>
    <xf numFmtId="0" fontId="23" fillId="0" borderId="73" xfId="1" applyFont="1" applyBorder="1" applyAlignment="1">
      <alignment horizontal="center" vertical="center" wrapText="1"/>
    </xf>
    <xf numFmtId="0" fontId="23" fillId="0" borderId="97" xfId="1" applyFont="1" applyBorder="1" applyAlignment="1">
      <alignment horizontal="center" vertical="center" wrapText="1"/>
    </xf>
    <xf numFmtId="0" fontId="23" fillId="0" borderId="78" xfId="1" applyFont="1" applyBorder="1" applyAlignment="1">
      <alignment horizontal="center" vertical="center" wrapText="1"/>
    </xf>
    <xf numFmtId="0" fontId="23" fillId="0" borderId="79" xfId="1" applyFont="1" applyBorder="1" applyAlignment="1">
      <alignment horizontal="center" vertical="center" wrapText="1"/>
    </xf>
    <xf numFmtId="0" fontId="18" fillId="0" borderId="5" xfId="1" applyBorder="1" applyAlignment="1">
      <alignment horizontal="center" vertical="center"/>
    </xf>
    <xf numFmtId="0" fontId="18" fillId="0" borderId="98" xfId="1" applyBorder="1" applyAlignment="1">
      <alignment horizontal="center" vertical="center"/>
    </xf>
    <xf numFmtId="0" fontId="18" fillId="0" borderId="93" xfId="1" applyBorder="1" applyAlignment="1">
      <alignment horizontal="center" vertical="center"/>
    </xf>
    <xf numFmtId="0" fontId="18" fillId="0" borderId="24" xfId="1" applyBorder="1" applyAlignment="1">
      <alignment horizontal="center" vertical="center"/>
    </xf>
    <xf numFmtId="0" fontId="18" fillId="0" borderId="99" xfId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4" fillId="0" borderId="55" xfId="0" applyFont="1" applyBorder="1" applyAlignment="1">
      <alignment horizontal="center" vertical="center" wrapText="1"/>
    </xf>
    <xf numFmtId="0" fontId="4" fillId="0" borderId="91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4" fillId="0" borderId="92" xfId="0" applyFont="1" applyBorder="1" applyAlignment="1">
      <alignment horizontal="center" vertical="center" wrapText="1"/>
    </xf>
    <xf numFmtId="0" fontId="4" fillId="9" borderId="21" xfId="0" applyFont="1" applyFill="1" applyBorder="1" applyAlignment="1">
      <alignment horizontal="left"/>
    </xf>
    <xf numFmtId="0" fontId="4" fillId="7" borderId="21" xfId="0" applyFont="1" applyFill="1" applyBorder="1" applyAlignment="1">
      <alignment horizontal="left"/>
    </xf>
    <xf numFmtId="0" fontId="0" fillId="7" borderId="21" xfId="0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0" fillId="0" borderId="0" xfId="0" applyAlignment="1">
      <alignment horizontal="left" vertical="center" wrapText="1" indent="1"/>
    </xf>
    <xf numFmtId="0" fontId="0" fillId="9" borderId="0" xfId="0" applyFill="1" applyAlignment="1">
      <alignment horizontal="left" vertical="center" wrapText="1" indent="1"/>
    </xf>
    <xf numFmtId="0" fontId="55" fillId="7" borderId="118" xfId="0" applyFont="1" applyFill="1" applyBorder="1" applyAlignment="1">
      <alignment horizontal="center" vertical="center"/>
    </xf>
    <xf numFmtId="0" fontId="55" fillId="7" borderId="119" xfId="0" applyFont="1" applyFill="1" applyBorder="1" applyAlignment="1">
      <alignment horizontal="center" vertical="center"/>
    </xf>
    <xf numFmtId="0" fontId="55" fillId="7" borderId="120" xfId="0" applyFont="1" applyFill="1" applyBorder="1" applyAlignment="1">
      <alignment horizontal="center" vertical="center"/>
    </xf>
    <xf numFmtId="0" fontId="55" fillId="7" borderId="121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5" fillId="7" borderId="0" xfId="0" applyFont="1" applyFill="1" applyAlignment="1">
      <alignment horizontal="center" vertical="center"/>
    </xf>
    <xf numFmtId="0" fontId="55" fillId="7" borderId="110" xfId="0" applyFont="1" applyFill="1" applyBorder="1" applyAlignment="1">
      <alignment horizontal="center" vertical="center"/>
    </xf>
    <xf numFmtId="0" fontId="55" fillId="7" borderId="111" xfId="0" applyFont="1" applyFill="1" applyBorder="1" applyAlignment="1">
      <alignment horizontal="center" vertical="center"/>
    </xf>
    <xf numFmtId="0" fontId="31" fillId="0" borderId="95" xfId="0" applyFont="1" applyBorder="1" applyAlignment="1">
      <alignment horizontal="center" vertical="center" wrapText="1"/>
    </xf>
    <xf numFmtId="0" fontId="31" fillId="0" borderId="58" xfId="0" applyFont="1" applyBorder="1" applyAlignment="1">
      <alignment horizontal="center" vertical="center" wrapText="1"/>
    </xf>
    <xf numFmtId="0" fontId="31" fillId="0" borderId="97" xfId="0" applyFont="1" applyBorder="1" applyAlignment="1">
      <alignment horizontal="center" vertical="center" wrapText="1"/>
    </xf>
    <xf numFmtId="0" fontId="27" fillId="0" borderId="53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36" fillId="0" borderId="54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 wrapText="1"/>
    </xf>
    <xf numFmtId="0" fontId="31" fillId="0" borderId="54" xfId="0" applyFont="1" applyBorder="1" applyAlignment="1">
      <alignment horizontal="center" vertical="center" wrapText="1"/>
    </xf>
    <xf numFmtId="0" fontId="31" fillId="0" borderId="55" xfId="0" applyFont="1" applyBorder="1" applyAlignment="1">
      <alignment horizontal="center" vertical="center" wrapText="1"/>
    </xf>
    <xf numFmtId="0" fontId="0" fillId="0" borderId="54" xfId="0" quotePrefix="1" applyBorder="1" applyAlignment="1">
      <alignment horizontal="center" vertical="center"/>
    </xf>
    <xf numFmtId="0" fontId="36" fillId="0" borderId="55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55" xfId="0" applyBorder="1"/>
    <xf numFmtId="0" fontId="11" fillId="0" borderId="3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29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1" fillId="0" borderId="41" xfId="0" applyFont="1" applyBorder="1" applyAlignment="1">
      <alignment horizontal="center"/>
    </xf>
    <xf numFmtId="0" fontId="0" fillId="4" borderId="6" xfId="0" applyFill="1" applyBorder="1" applyAlignment="1">
      <alignment horizontal="center" wrapText="1"/>
    </xf>
    <xf numFmtId="0" fontId="0" fillId="4" borderId="10" xfId="0" applyFill="1" applyBorder="1" applyAlignment="1">
      <alignment horizontal="center" wrapText="1"/>
    </xf>
    <xf numFmtId="0" fontId="0" fillId="0" borderId="89" xfId="0" applyBorder="1" applyAlignment="1">
      <alignment horizontal="center" vertical="center" wrapText="1"/>
    </xf>
    <xf numFmtId="0" fontId="3" fillId="0" borderId="2" xfId="0" applyFont="1" applyBorder="1" applyAlignment="1">
      <alignment horizontal="center"/>
    </xf>
    <xf numFmtId="0" fontId="39" fillId="0" borderId="42" xfId="0" applyFont="1" applyBorder="1" applyAlignment="1">
      <alignment horizontal="left" vertical="top" wrapText="1"/>
    </xf>
  </cellXfs>
  <cellStyles count="11">
    <cellStyle name="Colore 1" xfId="6" builtinId="29"/>
    <cellStyle name="Colore 2" xfId="7" builtinId="33"/>
    <cellStyle name="Colore 4" xfId="8" builtinId="41"/>
    <cellStyle name="Colore 6" xfId="9" builtinId="49"/>
    <cellStyle name="Date" xfId="10" xr:uid="{47B9D8BE-8284-4460-AA3B-760155995A6A}"/>
    <cellStyle name="Normale" xfId="0" builtinId="0"/>
    <cellStyle name="Normale 3" xfId="2" xr:uid="{745C73C4-C821-4634-9591-363FB55CE963}"/>
    <cellStyle name="Normale 4" xfId="1" xr:uid="{FD961016-A2A1-4C23-ADD6-2F0A68E4717D}"/>
    <cellStyle name="Percentuale" xfId="4" builtinId="5"/>
    <cellStyle name="Titolo 3" xfId="5" builtinId="18"/>
    <cellStyle name="Valuta 2" xfId="3" xr:uid="{EC65DCA7-BEF3-4AD4-9773-C863B88C4562}"/>
  </cellStyles>
  <dxfs count="21">
    <dxf>
      <font>
        <strike val="0"/>
        <color auto="1"/>
      </font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ill>
        <patternFill>
          <bgColor theme="7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4" tint="0.59996337778862885"/>
        </patternFill>
      </fill>
      <border>
        <left/>
        <right/>
        <top/>
        <bottom/>
      </border>
    </dxf>
    <dxf>
      <fill>
        <patternFill>
          <bgColor theme="9" tint="0.59996337778862885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  <border>
        <left/>
        <right/>
        <top/>
        <bottom/>
      </border>
    </dxf>
    <dxf>
      <fill>
        <patternFill>
          <bgColor theme="7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4" tint="0.59996337778862885"/>
        </patternFill>
      </fill>
      <border>
        <left/>
        <right/>
        <top/>
        <bottom/>
      </border>
    </dxf>
    <dxf>
      <fill>
        <patternFill>
          <bgColor theme="9" tint="0.59996337778862885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 val="0"/>
        <i val="0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0"/>
      </font>
      <fill>
        <patternFill patternType="solid">
          <fgColor theme="1" tint="0.24994659260841701"/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auto="1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oDoList" pivot="0" count="9" xr9:uid="{6F93C4F0-D0B0-42F5-9CAE-C5A22F9A7850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firstColumnStripe" dxfId="13"/>
      <tableStyleElement type="secondColumnStripe" dxfId="12"/>
    </tableStyle>
  </tableStyles>
  <colors>
    <mruColors>
      <color rgb="FF852C98"/>
      <color rgb="FF4868E5"/>
      <color rgb="FF00B0F0"/>
      <color rgb="FF20A472"/>
      <color rgb="FF00B050"/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75D27581-4B00-4C0F-8056-969AF0A9E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0</xdr:row>
          <xdr:rowOff>95250</xdr:rowOff>
        </xdr:from>
        <xdr:to>
          <xdr:col>14</xdr:col>
          <xdr:colOff>428625</xdr:colOff>
          <xdr:row>1</xdr:row>
          <xdr:rowOff>104775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ACTIVATE INPUT FORM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</xdr:row>
          <xdr:rowOff>0</xdr:rowOff>
        </xdr:from>
        <xdr:to>
          <xdr:col>16</xdr:col>
          <xdr:colOff>171450</xdr:colOff>
          <xdr:row>4</xdr:row>
          <xdr:rowOff>19050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Technical Review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476250</xdr:colOff>
      <xdr:row>1</xdr:row>
      <xdr:rowOff>57150</xdr:rowOff>
    </xdr:from>
    <xdr:to>
      <xdr:col>11</xdr:col>
      <xdr:colOff>60325</xdr:colOff>
      <xdr:row>48</xdr:row>
      <xdr:rowOff>136525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46617D37-7E5D-486D-A57D-1FD1FA941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247650"/>
          <a:ext cx="6289675" cy="90709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27</xdr:row>
      <xdr:rowOff>38099</xdr:rowOff>
    </xdr:from>
    <xdr:to>
      <xdr:col>12</xdr:col>
      <xdr:colOff>657225</xdr:colOff>
      <xdr:row>51</xdr:row>
      <xdr:rowOff>161924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5EC0F38-EEC5-40B1-A706-1F4F227D8680}"/>
            </a:ext>
          </a:extLst>
        </xdr:cNvPr>
        <xdr:cNvSpPr txBox="1"/>
      </xdr:nvSpPr>
      <xdr:spPr>
        <a:xfrm>
          <a:off x="10801350" y="5353049"/>
          <a:ext cx="4791075" cy="401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fontAlgn="base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Lateral analysis (16 hrs simple, 24 hrs medium, 40 hrs complex)</a:t>
          </a:r>
        </a:p>
        <a:p>
          <a:pPr fontAlgn="base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Torsional analysis (8 hrs simple, 16 hrs medium, 24 hrs complex)</a:t>
          </a:r>
        </a:p>
        <a:p>
          <a:pPr fontAlgn="base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Bearing data sheet, i.e. external thrust calculation (4 hrs)</a:t>
          </a:r>
        </a:p>
        <a:p>
          <a:pPr fontAlgn="base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Pump casing FEM analysis (16 hrs simple, 24 hrs medium, 40 hrs complex)</a:t>
          </a:r>
        </a:p>
        <a:p>
          <a:pPr fontAlgn="base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Vertical pump modal FEM analysis (16 hrs simple, 24 hrs medium, 40 hrs complex)</a:t>
          </a:r>
        </a:p>
        <a:p>
          <a:pPr fontAlgn="base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Structural skid calculation, modal analysis, handling, etc etc  (24 hrs simple, 32 hrs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medium, 40 hrs complex) - da verificare se questa attività va in carico a Package Engineering  COMOPS</a:t>
          </a:r>
        </a:p>
        <a:p>
          <a:pPr fontAlgn="base"/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fontAlgn="base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STANDARD PACKAGE</a:t>
          </a:r>
        </a:p>
        <a:p>
          <a:r>
            <a:rPr lang="en-US" sz="1100"/>
            <a:t>Lateral +Brg data sheet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COMPLEX PACKAGE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Lateral + Torsional + Brg data sheet + FEM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1</xdr:row>
          <xdr:rowOff>9525</xdr:rowOff>
        </xdr:from>
        <xdr:to>
          <xdr:col>17</xdr:col>
          <xdr:colOff>561975</xdr:colOff>
          <xdr:row>2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E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ACTIVATE INPUT FORM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rtel2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glio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6A39D-C521-4158-8AB7-DB99BA711371}">
  <sheetPr codeName="Foglio2">
    <tabColor rgb="FF92D050"/>
  </sheetPr>
  <dimension ref="A1:AD48"/>
  <sheetViews>
    <sheetView tabSelected="1" topLeftCell="A32" zoomScale="115" zoomScaleNormal="115" zoomScaleSheetLayoutView="100" workbookViewId="0">
      <selection activeCell="Z45" sqref="Z45:AD45"/>
    </sheetView>
  </sheetViews>
  <sheetFormatPr defaultRowHeight="12"/>
  <cols>
    <col min="1" max="30" width="3.28515625" style="300" customWidth="1"/>
    <col min="31" max="256" width="9.140625" style="300"/>
    <col min="257" max="286" width="3.28515625" style="300" customWidth="1"/>
    <col min="287" max="512" width="9.140625" style="300"/>
    <col min="513" max="542" width="3.28515625" style="300" customWidth="1"/>
    <col min="543" max="768" width="9.140625" style="300"/>
    <col min="769" max="798" width="3.28515625" style="300" customWidth="1"/>
    <col min="799" max="1024" width="9.140625" style="300"/>
    <col min="1025" max="1054" width="3.28515625" style="300" customWidth="1"/>
    <col min="1055" max="1280" width="9.140625" style="300"/>
    <col min="1281" max="1310" width="3.28515625" style="300" customWidth="1"/>
    <col min="1311" max="1536" width="9.140625" style="300"/>
    <col min="1537" max="1566" width="3.28515625" style="300" customWidth="1"/>
    <col min="1567" max="1792" width="9.140625" style="300"/>
    <col min="1793" max="1822" width="3.28515625" style="300" customWidth="1"/>
    <col min="1823" max="2048" width="9.140625" style="300"/>
    <col min="2049" max="2078" width="3.28515625" style="300" customWidth="1"/>
    <col min="2079" max="2304" width="9.140625" style="300"/>
    <col min="2305" max="2334" width="3.28515625" style="300" customWidth="1"/>
    <col min="2335" max="2560" width="9.140625" style="300"/>
    <col min="2561" max="2590" width="3.28515625" style="300" customWidth="1"/>
    <col min="2591" max="2816" width="9.140625" style="300"/>
    <col min="2817" max="2846" width="3.28515625" style="300" customWidth="1"/>
    <col min="2847" max="3072" width="9.140625" style="300"/>
    <col min="3073" max="3102" width="3.28515625" style="300" customWidth="1"/>
    <col min="3103" max="3328" width="9.140625" style="300"/>
    <col min="3329" max="3358" width="3.28515625" style="300" customWidth="1"/>
    <col min="3359" max="3584" width="9.140625" style="300"/>
    <col min="3585" max="3614" width="3.28515625" style="300" customWidth="1"/>
    <col min="3615" max="3840" width="9.140625" style="300"/>
    <col min="3841" max="3870" width="3.28515625" style="300" customWidth="1"/>
    <col min="3871" max="4096" width="9.140625" style="300"/>
    <col min="4097" max="4126" width="3.28515625" style="300" customWidth="1"/>
    <col min="4127" max="4352" width="9.140625" style="300"/>
    <col min="4353" max="4382" width="3.28515625" style="300" customWidth="1"/>
    <col min="4383" max="4608" width="9.140625" style="300"/>
    <col min="4609" max="4638" width="3.28515625" style="300" customWidth="1"/>
    <col min="4639" max="4864" width="9.140625" style="300"/>
    <col min="4865" max="4894" width="3.28515625" style="300" customWidth="1"/>
    <col min="4895" max="5120" width="9.140625" style="300"/>
    <col min="5121" max="5150" width="3.28515625" style="300" customWidth="1"/>
    <col min="5151" max="5376" width="9.140625" style="300"/>
    <col min="5377" max="5406" width="3.28515625" style="300" customWidth="1"/>
    <col min="5407" max="5632" width="9.140625" style="300"/>
    <col min="5633" max="5662" width="3.28515625" style="300" customWidth="1"/>
    <col min="5663" max="5888" width="9.140625" style="300"/>
    <col min="5889" max="5918" width="3.28515625" style="300" customWidth="1"/>
    <col min="5919" max="6144" width="9.140625" style="300"/>
    <col min="6145" max="6174" width="3.28515625" style="300" customWidth="1"/>
    <col min="6175" max="6400" width="9.140625" style="300"/>
    <col min="6401" max="6430" width="3.28515625" style="300" customWidth="1"/>
    <col min="6431" max="6656" width="9.140625" style="300"/>
    <col min="6657" max="6686" width="3.28515625" style="300" customWidth="1"/>
    <col min="6687" max="6912" width="9.140625" style="300"/>
    <col min="6913" max="6942" width="3.28515625" style="300" customWidth="1"/>
    <col min="6943" max="7168" width="9.140625" style="300"/>
    <col min="7169" max="7198" width="3.28515625" style="300" customWidth="1"/>
    <col min="7199" max="7424" width="9.140625" style="300"/>
    <col min="7425" max="7454" width="3.28515625" style="300" customWidth="1"/>
    <col min="7455" max="7680" width="9.140625" style="300"/>
    <col min="7681" max="7710" width="3.28515625" style="300" customWidth="1"/>
    <col min="7711" max="7936" width="9.140625" style="300"/>
    <col min="7937" max="7966" width="3.28515625" style="300" customWidth="1"/>
    <col min="7967" max="8192" width="9.140625" style="300"/>
    <col min="8193" max="8222" width="3.28515625" style="300" customWidth="1"/>
    <col min="8223" max="8448" width="9.140625" style="300"/>
    <col min="8449" max="8478" width="3.28515625" style="300" customWidth="1"/>
    <col min="8479" max="8704" width="9.140625" style="300"/>
    <col min="8705" max="8734" width="3.28515625" style="300" customWidth="1"/>
    <col min="8735" max="8960" width="9.140625" style="300"/>
    <col min="8961" max="8990" width="3.28515625" style="300" customWidth="1"/>
    <col min="8991" max="9216" width="9.140625" style="300"/>
    <col min="9217" max="9246" width="3.28515625" style="300" customWidth="1"/>
    <col min="9247" max="9472" width="9.140625" style="300"/>
    <col min="9473" max="9502" width="3.28515625" style="300" customWidth="1"/>
    <col min="9503" max="9728" width="9.140625" style="300"/>
    <col min="9729" max="9758" width="3.28515625" style="300" customWidth="1"/>
    <col min="9759" max="9984" width="9.140625" style="300"/>
    <col min="9985" max="10014" width="3.28515625" style="300" customWidth="1"/>
    <col min="10015" max="10240" width="9.140625" style="300"/>
    <col min="10241" max="10270" width="3.28515625" style="300" customWidth="1"/>
    <col min="10271" max="10496" width="9.140625" style="300"/>
    <col min="10497" max="10526" width="3.28515625" style="300" customWidth="1"/>
    <col min="10527" max="10752" width="9.140625" style="300"/>
    <col min="10753" max="10782" width="3.28515625" style="300" customWidth="1"/>
    <col min="10783" max="11008" width="9.140625" style="300"/>
    <col min="11009" max="11038" width="3.28515625" style="300" customWidth="1"/>
    <col min="11039" max="11264" width="9.140625" style="300"/>
    <col min="11265" max="11294" width="3.28515625" style="300" customWidth="1"/>
    <col min="11295" max="11520" width="9.140625" style="300"/>
    <col min="11521" max="11550" width="3.28515625" style="300" customWidth="1"/>
    <col min="11551" max="11776" width="9.140625" style="300"/>
    <col min="11777" max="11806" width="3.28515625" style="300" customWidth="1"/>
    <col min="11807" max="12032" width="9.140625" style="300"/>
    <col min="12033" max="12062" width="3.28515625" style="300" customWidth="1"/>
    <col min="12063" max="12288" width="9.140625" style="300"/>
    <col min="12289" max="12318" width="3.28515625" style="300" customWidth="1"/>
    <col min="12319" max="12544" width="9.140625" style="300"/>
    <col min="12545" max="12574" width="3.28515625" style="300" customWidth="1"/>
    <col min="12575" max="12800" width="9.140625" style="300"/>
    <col min="12801" max="12830" width="3.28515625" style="300" customWidth="1"/>
    <col min="12831" max="13056" width="9.140625" style="300"/>
    <col min="13057" max="13086" width="3.28515625" style="300" customWidth="1"/>
    <col min="13087" max="13312" width="9.140625" style="300"/>
    <col min="13313" max="13342" width="3.28515625" style="300" customWidth="1"/>
    <col min="13343" max="13568" width="9.140625" style="300"/>
    <col min="13569" max="13598" width="3.28515625" style="300" customWidth="1"/>
    <col min="13599" max="13824" width="9.140625" style="300"/>
    <col min="13825" max="13854" width="3.28515625" style="300" customWidth="1"/>
    <col min="13855" max="14080" width="9.140625" style="300"/>
    <col min="14081" max="14110" width="3.28515625" style="300" customWidth="1"/>
    <col min="14111" max="14336" width="9.140625" style="300"/>
    <col min="14337" max="14366" width="3.28515625" style="300" customWidth="1"/>
    <col min="14367" max="14592" width="9.140625" style="300"/>
    <col min="14593" max="14622" width="3.28515625" style="300" customWidth="1"/>
    <col min="14623" max="14848" width="9.140625" style="300"/>
    <col min="14849" max="14878" width="3.28515625" style="300" customWidth="1"/>
    <col min="14879" max="15104" width="9.140625" style="300"/>
    <col min="15105" max="15134" width="3.28515625" style="300" customWidth="1"/>
    <col min="15135" max="15360" width="9.140625" style="300"/>
    <col min="15361" max="15390" width="3.28515625" style="300" customWidth="1"/>
    <col min="15391" max="15616" width="9.140625" style="300"/>
    <col min="15617" max="15646" width="3.28515625" style="300" customWidth="1"/>
    <col min="15647" max="15872" width="9.140625" style="300"/>
    <col min="15873" max="15902" width="3.28515625" style="300" customWidth="1"/>
    <col min="15903" max="16128" width="9.140625" style="300"/>
    <col min="16129" max="16158" width="3.28515625" style="300" customWidth="1"/>
    <col min="16159" max="16384" width="9.140625" style="300"/>
  </cols>
  <sheetData>
    <row r="1" spans="1:30" ht="15" customHeight="1">
      <c r="A1" s="297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9"/>
    </row>
    <row r="2" spans="1:30" ht="15" customHeight="1">
      <c r="A2" s="301"/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3"/>
    </row>
    <row r="3" spans="1:30" ht="15" customHeight="1">
      <c r="A3" s="301"/>
      <c r="B3" s="302"/>
      <c r="C3" s="302"/>
      <c r="D3" s="302"/>
      <c r="E3" s="302"/>
      <c r="F3" s="302"/>
      <c r="G3" s="302"/>
      <c r="H3" s="304"/>
      <c r="I3" s="304"/>
      <c r="J3" s="304"/>
      <c r="K3" s="305"/>
      <c r="L3" s="305"/>
      <c r="M3" s="305"/>
      <c r="N3" s="305"/>
      <c r="O3" s="305"/>
      <c r="P3" s="305"/>
      <c r="Q3" s="305"/>
      <c r="R3" s="305"/>
      <c r="S3" s="305"/>
      <c r="T3" s="305"/>
      <c r="U3" s="305"/>
      <c r="V3" s="305"/>
      <c r="W3" s="306"/>
      <c r="X3" s="306"/>
      <c r="Y3" s="306"/>
      <c r="Z3" s="306"/>
      <c r="AA3" s="306"/>
      <c r="AB3" s="306"/>
      <c r="AC3" s="306"/>
      <c r="AD3" s="307"/>
    </row>
    <row r="4" spans="1:30" ht="15" customHeight="1">
      <c r="A4" s="301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302"/>
      <c r="AA4" s="302"/>
      <c r="AB4" s="302"/>
      <c r="AC4" s="302"/>
      <c r="AD4" s="303"/>
    </row>
    <row r="5" spans="1:30" ht="15" customHeight="1">
      <c r="A5" s="301"/>
      <c r="B5" s="302"/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2"/>
      <c r="S5" s="302"/>
      <c r="T5" s="302"/>
      <c r="U5" s="302"/>
      <c r="V5" s="302"/>
      <c r="W5" s="302"/>
      <c r="X5" s="302"/>
      <c r="Y5" s="302"/>
      <c r="Z5" s="302"/>
      <c r="AA5" s="302"/>
      <c r="AB5" s="302"/>
      <c r="AC5" s="302"/>
      <c r="AD5" s="303"/>
    </row>
    <row r="6" spans="1:30" ht="15" customHeight="1">
      <c r="A6" s="301"/>
      <c r="B6" s="302"/>
      <c r="C6" s="302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2"/>
      <c r="AB6" s="302"/>
      <c r="AC6" s="302"/>
      <c r="AD6" s="303"/>
    </row>
    <row r="7" spans="1:30" ht="15" customHeight="1" thickBot="1">
      <c r="A7" s="308"/>
      <c r="B7" s="309"/>
      <c r="C7" s="309"/>
      <c r="D7" s="309"/>
      <c r="E7" s="309"/>
      <c r="F7" s="310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9"/>
      <c r="AB7" s="309"/>
      <c r="AC7" s="309"/>
      <c r="AD7" s="311"/>
    </row>
    <row r="8" spans="1:30" ht="15" customHeight="1">
      <c r="A8" s="516" t="s">
        <v>408</v>
      </c>
      <c r="B8" s="517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7"/>
      <c r="T8" s="517"/>
      <c r="U8" s="517"/>
      <c r="V8" s="517"/>
      <c r="W8" s="517"/>
      <c r="X8" s="517"/>
      <c r="Y8" s="517"/>
      <c r="Z8" s="517"/>
      <c r="AA8" s="517"/>
      <c r="AB8" s="517"/>
      <c r="AC8" s="517"/>
      <c r="AD8" s="518"/>
    </row>
    <row r="9" spans="1:30" ht="15" customHeight="1">
      <c r="A9" s="519"/>
      <c r="B9" s="520"/>
      <c r="C9" s="520"/>
      <c r="D9" s="520"/>
      <c r="E9" s="520"/>
      <c r="F9" s="520"/>
      <c r="G9" s="520"/>
      <c r="H9" s="520"/>
      <c r="I9" s="520"/>
      <c r="J9" s="520"/>
      <c r="K9" s="520"/>
      <c r="L9" s="520"/>
      <c r="M9" s="520"/>
      <c r="N9" s="520"/>
      <c r="O9" s="520"/>
      <c r="P9" s="520"/>
      <c r="Q9" s="520"/>
      <c r="R9" s="520"/>
      <c r="S9" s="520"/>
      <c r="T9" s="520"/>
      <c r="U9" s="520"/>
      <c r="V9" s="520"/>
      <c r="W9" s="520"/>
      <c r="X9" s="520"/>
      <c r="Y9" s="520"/>
      <c r="Z9" s="520"/>
      <c r="AA9" s="520"/>
      <c r="AB9" s="520"/>
      <c r="AC9" s="520"/>
      <c r="AD9" s="521"/>
    </row>
    <row r="10" spans="1:30" ht="15" customHeight="1">
      <c r="A10" s="519"/>
      <c r="B10" s="520"/>
      <c r="C10" s="520"/>
      <c r="D10" s="520"/>
      <c r="E10" s="520"/>
      <c r="F10" s="520"/>
      <c r="G10" s="520"/>
      <c r="H10" s="520"/>
      <c r="I10" s="520"/>
      <c r="J10" s="520"/>
      <c r="K10" s="520"/>
      <c r="L10" s="520"/>
      <c r="M10" s="520"/>
      <c r="N10" s="520"/>
      <c r="O10" s="520"/>
      <c r="P10" s="520"/>
      <c r="Q10" s="520"/>
      <c r="R10" s="520"/>
      <c r="S10" s="520"/>
      <c r="T10" s="520"/>
      <c r="U10" s="520"/>
      <c r="V10" s="520"/>
      <c r="W10" s="520"/>
      <c r="X10" s="520"/>
      <c r="Y10" s="520"/>
      <c r="Z10" s="520"/>
      <c r="AA10" s="520"/>
      <c r="AB10" s="520"/>
      <c r="AC10" s="520"/>
      <c r="AD10" s="521"/>
    </row>
    <row r="11" spans="1:30" ht="15" customHeight="1">
      <c r="A11" s="519"/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1"/>
    </row>
    <row r="12" spans="1:30" ht="15" customHeight="1">
      <c r="A12" s="519"/>
      <c r="B12" s="520"/>
      <c r="C12" s="520"/>
      <c r="D12" s="520"/>
      <c r="E12" s="520"/>
      <c r="F12" s="520"/>
      <c r="G12" s="520"/>
      <c r="H12" s="520"/>
      <c r="I12" s="520"/>
      <c r="J12" s="520"/>
      <c r="K12" s="520"/>
      <c r="L12" s="520"/>
      <c r="M12" s="520"/>
      <c r="N12" s="520"/>
      <c r="O12" s="520"/>
      <c r="P12" s="520"/>
      <c r="Q12" s="520"/>
      <c r="R12" s="520"/>
      <c r="S12" s="520"/>
      <c r="T12" s="520"/>
      <c r="U12" s="520"/>
      <c r="V12" s="520"/>
      <c r="W12" s="520"/>
      <c r="X12" s="520"/>
      <c r="Y12" s="520"/>
      <c r="Z12" s="520"/>
      <c r="AA12" s="520"/>
      <c r="AB12" s="520"/>
      <c r="AC12" s="520"/>
      <c r="AD12" s="521"/>
    </row>
    <row r="13" spans="1:30" ht="15" customHeight="1">
      <c r="A13" s="519"/>
      <c r="B13" s="520"/>
      <c r="C13" s="520"/>
      <c r="D13" s="520"/>
      <c r="E13" s="520"/>
      <c r="F13" s="520"/>
      <c r="G13" s="520"/>
      <c r="H13" s="520"/>
      <c r="I13" s="520"/>
      <c r="J13" s="520"/>
      <c r="K13" s="520"/>
      <c r="L13" s="520"/>
      <c r="M13" s="520"/>
      <c r="N13" s="520"/>
      <c r="O13" s="520"/>
      <c r="P13" s="520"/>
      <c r="Q13" s="520"/>
      <c r="R13" s="520"/>
      <c r="S13" s="520"/>
      <c r="T13" s="520"/>
      <c r="U13" s="520"/>
      <c r="V13" s="520"/>
      <c r="W13" s="520"/>
      <c r="X13" s="520"/>
      <c r="Y13" s="520"/>
      <c r="Z13" s="520"/>
      <c r="AA13" s="520"/>
      <c r="AB13" s="520"/>
      <c r="AC13" s="520"/>
      <c r="AD13" s="521"/>
    </row>
    <row r="14" spans="1:30" ht="15" customHeight="1">
      <c r="A14" s="519"/>
      <c r="B14" s="520"/>
      <c r="C14" s="520"/>
      <c r="D14" s="520"/>
      <c r="E14" s="520"/>
      <c r="F14" s="520"/>
      <c r="G14" s="520"/>
      <c r="H14" s="520"/>
      <c r="I14" s="520"/>
      <c r="J14" s="520"/>
      <c r="K14" s="520"/>
      <c r="L14" s="520"/>
      <c r="M14" s="520"/>
      <c r="N14" s="520"/>
      <c r="O14" s="520"/>
      <c r="P14" s="520"/>
      <c r="Q14" s="520"/>
      <c r="R14" s="520"/>
      <c r="S14" s="520"/>
      <c r="T14" s="520"/>
      <c r="U14" s="520"/>
      <c r="V14" s="520"/>
      <c r="W14" s="520"/>
      <c r="X14" s="520"/>
      <c r="Y14" s="520"/>
      <c r="Z14" s="520"/>
      <c r="AA14" s="520"/>
      <c r="AB14" s="520"/>
      <c r="AC14" s="520"/>
      <c r="AD14" s="521"/>
    </row>
    <row r="15" spans="1:30" ht="15" customHeight="1">
      <c r="A15" s="519"/>
      <c r="B15" s="520"/>
      <c r="C15" s="520"/>
      <c r="D15" s="520"/>
      <c r="E15" s="520"/>
      <c r="F15" s="520"/>
      <c r="G15" s="520"/>
      <c r="H15" s="520"/>
      <c r="I15" s="520"/>
      <c r="J15" s="520"/>
      <c r="K15" s="520"/>
      <c r="L15" s="520"/>
      <c r="M15" s="520"/>
      <c r="N15" s="520"/>
      <c r="O15" s="520"/>
      <c r="P15" s="520"/>
      <c r="Q15" s="520"/>
      <c r="R15" s="520"/>
      <c r="S15" s="520"/>
      <c r="T15" s="520"/>
      <c r="U15" s="520"/>
      <c r="V15" s="520"/>
      <c r="W15" s="520"/>
      <c r="X15" s="520"/>
      <c r="Y15" s="520"/>
      <c r="Z15" s="520"/>
      <c r="AA15" s="520"/>
      <c r="AB15" s="520"/>
      <c r="AC15" s="520"/>
      <c r="AD15" s="521"/>
    </row>
    <row r="16" spans="1:30" ht="15" customHeight="1">
      <c r="A16" s="519"/>
      <c r="B16" s="520"/>
      <c r="C16" s="520"/>
      <c r="D16" s="520"/>
      <c r="E16" s="520"/>
      <c r="F16" s="520"/>
      <c r="G16" s="520"/>
      <c r="H16" s="520"/>
      <c r="I16" s="520"/>
      <c r="J16" s="520"/>
      <c r="K16" s="520"/>
      <c r="L16" s="520"/>
      <c r="M16" s="520"/>
      <c r="N16" s="520"/>
      <c r="O16" s="520"/>
      <c r="P16" s="520"/>
      <c r="Q16" s="520"/>
      <c r="R16" s="520"/>
      <c r="S16" s="520"/>
      <c r="T16" s="520"/>
      <c r="U16" s="520"/>
      <c r="V16" s="520"/>
      <c r="W16" s="520"/>
      <c r="X16" s="520"/>
      <c r="Y16" s="520"/>
      <c r="Z16" s="520"/>
      <c r="AA16" s="520"/>
      <c r="AB16" s="520"/>
      <c r="AC16" s="520"/>
      <c r="AD16" s="521"/>
    </row>
    <row r="17" spans="1:30" ht="15" customHeight="1">
      <c r="A17" s="519"/>
      <c r="B17" s="520"/>
      <c r="C17" s="520"/>
      <c r="D17" s="520"/>
      <c r="E17" s="520"/>
      <c r="F17" s="520"/>
      <c r="G17" s="520"/>
      <c r="H17" s="520"/>
      <c r="I17" s="520"/>
      <c r="J17" s="520"/>
      <c r="K17" s="520"/>
      <c r="L17" s="520"/>
      <c r="M17" s="520"/>
      <c r="N17" s="520"/>
      <c r="O17" s="520"/>
      <c r="P17" s="520"/>
      <c r="Q17" s="520"/>
      <c r="R17" s="520"/>
      <c r="S17" s="520"/>
      <c r="T17" s="520"/>
      <c r="U17" s="520"/>
      <c r="V17" s="520"/>
      <c r="W17" s="520"/>
      <c r="X17" s="520"/>
      <c r="Y17" s="520"/>
      <c r="Z17" s="520"/>
      <c r="AA17" s="520"/>
      <c r="AB17" s="520"/>
      <c r="AC17" s="520"/>
      <c r="AD17" s="521"/>
    </row>
    <row r="18" spans="1:30" ht="15" customHeight="1">
      <c r="A18" s="519"/>
      <c r="B18" s="520"/>
      <c r="C18" s="520"/>
      <c r="D18" s="520"/>
      <c r="E18" s="520"/>
      <c r="F18" s="520"/>
      <c r="G18" s="520"/>
      <c r="H18" s="520"/>
      <c r="I18" s="520"/>
      <c r="J18" s="520"/>
      <c r="K18" s="520"/>
      <c r="L18" s="520"/>
      <c r="M18" s="520"/>
      <c r="N18" s="520"/>
      <c r="O18" s="520"/>
      <c r="P18" s="520"/>
      <c r="Q18" s="520"/>
      <c r="R18" s="520"/>
      <c r="S18" s="520"/>
      <c r="T18" s="520"/>
      <c r="U18" s="520"/>
      <c r="V18" s="520"/>
      <c r="W18" s="520"/>
      <c r="X18" s="520"/>
      <c r="Y18" s="520"/>
      <c r="Z18" s="520"/>
      <c r="AA18" s="520"/>
      <c r="AB18" s="520"/>
      <c r="AC18" s="520"/>
      <c r="AD18" s="521"/>
    </row>
    <row r="19" spans="1:30" ht="15" customHeight="1">
      <c r="A19" s="519"/>
      <c r="B19" s="520"/>
      <c r="C19" s="520"/>
      <c r="D19" s="520"/>
      <c r="E19" s="520"/>
      <c r="F19" s="520"/>
      <c r="G19" s="520"/>
      <c r="H19" s="520"/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0"/>
      <c r="V19" s="520"/>
      <c r="W19" s="520"/>
      <c r="X19" s="520"/>
      <c r="Y19" s="520"/>
      <c r="Z19" s="520"/>
      <c r="AA19" s="520"/>
      <c r="AB19" s="520"/>
      <c r="AC19" s="520"/>
      <c r="AD19" s="521"/>
    </row>
    <row r="20" spans="1:30" ht="15" customHeight="1">
      <c r="A20" s="519"/>
      <c r="B20" s="520"/>
      <c r="C20" s="520"/>
      <c r="D20" s="520"/>
      <c r="E20" s="520"/>
      <c r="F20" s="520"/>
      <c r="G20" s="520"/>
      <c r="H20" s="520"/>
      <c r="I20" s="520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0"/>
      <c r="X20" s="520"/>
      <c r="Y20" s="520"/>
      <c r="Z20" s="520"/>
      <c r="AA20" s="520"/>
      <c r="AB20" s="520"/>
      <c r="AC20" s="520"/>
      <c r="AD20" s="521"/>
    </row>
    <row r="21" spans="1:30" ht="15" customHeight="1">
      <c r="A21" s="519"/>
      <c r="B21" s="520"/>
      <c r="C21" s="520"/>
      <c r="D21" s="520"/>
      <c r="E21" s="520"/>
      <c r="F21" s="520"/>
      <c r="G21" s="520"/>
      <c r="H21" s="520"/>
      <c r="I21" s="520"/>
      <c r="J21" s="520"/>
      <c r="K21" s="520"/>
      <c r="L21" s="520"/>
      <c r="M21" s="520"/>
      <c r="N21" s="520"/>
      <c r="O21" s="520"/>
      <c r="P21" s="520"/>
      <c r="Q21" s="520"/>
      <c r="R21" s="520"/>
      <c r="S21" s="520"/>
      <c r="T21" s="520"/>
      <c r="U21" s="520"/>
      <c r="V21" s="520"/>
      <c r="W21" s="520"/>
      <c r="X21" s="520"/>
      <c r="Y21" s="520"/>
      <c r="Z21" s="520"/>
      <c r="AA21" s="520"/>
      <c r="AB21" s="520"/>
      <c r="AC21" s="520"/>
      <c r="AD21" s="521"/>
    </row>
    <row r="22" spans="1:30" ht="15" customHeight="1">
      <c r="A22" s="519"/>
      <c r="B22" s="520"/>
      <c r="C22" s="520"/>
      <c r="D22" s="520"/>
      <c r="E22" s="520"/>
      <c r="F22" s="520"/>
      <c r="G22" s="520"/>
      <c r="H22" s="520"/>
      <c r="I22" s="520"/>
      <c r="J22" s="520"/>
      <c r="K22" s="520"/>
      <c r="L22" s="520"/>
      <c r="M22" s="520"/>
      <c r="N22" s="520"/>
      <c r="O22" s="520"/>
      <c r="P22" s="520"/>
      <c r="Q22" s="520"/>
      <c r="R22" s="520"/>
      <c r="S22" s="520"/>
      <c r="T22" s="520"/>
      <c r="U22" s="520"/>
      <c r="V22" s="520"/>
      <c r="W22" s="520"/>
      <c r="X22" s="520"/>
      <c r="Y22" s="520"/>
      <c r="Z22" s="520"/>
      <c r="AA22" s="520"/>
      <c r="AB22" s="520"/>
      <c r="AC22" s="520"/>
      <c r="AD22" s="521"/>
    </row>
    <row r="23" spans="1:30" ht="15" customHeight="1">
      <c r="A23" s="519"/>
      <c r="B23" s="520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1"/>
    </row>
    <row r="24" spans="1:30" ht="15" customHeight="1">
      <c r="A24" s="519"/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1"/>
    </row>
    <row r="25" spans="1:30" ht="15" customHeight="1">
      <c r="A25" s="519"/>
      <c r="B25" s="520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1"/>
    </row>
    <row r="26" spans="1:30" ht="15" customHeight="1">
      <c r="A26" s="519"/>
      <c r="B26" s="520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1"/>
    </row>
    <row r="27" spans="1:30" ht="15" customHeight="1">
      <c r="A27" s="519"/>
      <c r="B27" s="520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1"/>
    </row>
    <row r="28" spans="1:30" ht="15" customHeight="1">
      <c r="A28" s="519"/>
      <c r="B28" s="520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1"/>
    </row>
    <row r="29" spans="1:30" ht="15" customHeight="1">
      <c r="A29" s="519"/>
      <c r="B29" s="520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1"/>
    </row>
    <row r="30" spans="1:30" ht="15" customHeight="1">
      <c r="A30" s="519"/>
      <c r="B30" s="520"/>
      <c r="C30" s="520"/>
      <c r="D30" s="520"/>
      <c r="E30" s="520"/>
      <c r="F30" s="520"/>
      <c r="G30" s="520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521"/>
    </row>
    <row r="31" spans="1:30" ht="15" customHeight="1">
      <c r="A31" s="519"/>
      <c r="B31" s="520"/>
      <c r="C31" s="520"/>
      <c r="D31" s="520"/>
      <c r="E31" s="520"/>
      <c r="F31" s="520"/>
      <c r="G31" s="520"/>
      <c r="H31" s="520"/>
      <c r="I31" s="520"/>
      <c r="J31" s="520"/>
      <c r="K31" s="520"/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  <c r="AB31" s="520"/>
      <c r="AC31" s="520"/>
      <c r="AD31" s="521"/>
    </row>
    <row r="32" spans="1:30" ht="15" customHeight="1">
      <c r="A32" s="519"/>
      <c r="B32" s="520"/>
      <c r="C32" s="520"/>
      <c r="D32" s="520"/>
      <c r="E32" s="520"/>
      <c r="F32" s="520"/>
      <c r="G32" s="520"/>
      <c r="H32" s="520"/>
      <c r="I32" s="520"/>
      <c r="J32" s="520"/>
      <c r="K32" s="520"/>
      <c r="L32" s="520"/>
      <c r="M32" s="520"/>
      <c r="N32" s="520"/>
      <c r="O32" s="520"/>
      <c r="P32" s="520"/>
      <c r="Q32" s="520"/>
      <c r="R32" s="520"/>
      <c r="S32" s="520"/>
      <c r="T32" s="520"/>
      <c r="U32" s="520"/>
      <c r="V32" s="520"/>
      <c r="W32" s="520"/>
      <c r="X32" s="520"/>
      <c r="Y32" s="520"/>
      <c r="Z32" s="520"/>
      <c r="AA32" s="520"/>
      <c r="AB32" s="520"/>
      <c r="AC32" s="520"/>
      <c r="AD32" s="521"/>
    </row>
    <row r="33" spans="1:30" ht="15" customHeight="1">
      <c r="A33" s="519"/>
      <c r="B33" s="520"/>
      <c r="C33" s="520"/>
      <c r="D33" s="520"/>
      <c r="E33" s="520"/>
      <c r="F33" s="520"/>
      <c r="G33" s="520"/>
      <c r="H33" s="520"/>
      <c r="I33" s="520"/>
      <c r="J33" s="520"/>
      <c r="K33" s="520"/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520"/>
      <c r="Y33" s="520"/>
      <c r="Z33" s="520"/>
      <c r="AA33" s="520"/>
      <c r="AB33" s="520"/>
      <c r="AC33" s="520"/>
      <c r="AD33" s="521"/>
    </row>
    <row r="34" spans="1:30" ht="15" customHeight="1">
      <c r="A34" s="519"/>
      <c r="B34" s="520"/>
      <c r="C34" s="520"/>
      <c r="D34" s="520"/>
      <c r="E34" s="520"/>
      <c r="F34" s="520"/>
      <c r="G34" s="520"/>
      <c r="H34" s="520"/>
      <c r="I34" s="520"/>
      <c r="J34" s="520"/>
      <c r="K34" s="520"/>
      <c r="L34" s="520"/>
      <c r="M34" s="520"/>
      <c r="N34" s="520"/>
      <c r="O34" s="520"/>
      <c r="P34" s="520"/>
      <c r="Q34" s="520"/>
      <c r="R34" s="520"/>
      <c r="S34" s="520"/>
      <c r="T34" s="520"/>
      <c r="U34" s="520"/>
      <c r="V34" s="520"/>
      <c r="W34" s="520"/>
      <c r="X34" s="520"/>
      <c r="Y34" s="520"/>
      <c r="Z34" s="520"/>
      <c r="AA34" s="520"/>
      <c r="AB34" s="520"/>
      <c r="AC34" s="520"/>
      <c r="AD34" s="521"/>
    </row>
    <row r="35" spans="1:30" ht="15" customHeight="1">
      <c r="A35" s="519"/>
      <c r="B35" s="520"/>
      <c r="C35" s="520"/>
      <c r="D35" s="520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20"/>
      <c r="Y35" s="520"/>
      <c r="Z35" s="520"/>
      <c r="AA35" s="520"/>
      <c r="AB35" s="520"/>
      <c r="AC35" s="520"/>
      <c r="AD35" s="521"/>
    </row>
    <row r="36" spans="1:30" ht="15" customHeight="1">
      <c r="A36" s="519"/>
      <c r="B36" s="520"/>
      <c r="C36" s="520"/>
      <c r="D36" s="520"/>
      <c r="E36" s="520"/>
      <c r="F36" s="520"/>
      <c r="G36" s="520"/>
      <c r="H36" s="520"/>
      <c r="I36" s="520"/>
      <c r="J36" s="520"/>
      <c r="K36" s="520"/>
      <c r="L36" s="520"/>
      <c r="M36" s="520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20"/>
      <c r="Y36" s="520"/>
      <c r="Z36" s="520"/>
      <c r="AA36" s="520"/>
      <c r="AB36" s="520"/>
      <c r="AC36" s="520"/>
      <c r="AD36" s="521"/>
    </row>
    <row r="37" spans="1:30" ht="15" customHeight="1">
      <c r="A37" s="519"/>
      <c r="B37" s="520"/>
      <c r="C37" s="520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1"/>
    </row>
    <row r="38" spans="1:30" ht="15" customHeight="1">
      <c r="A38" s="519"/>
      <c r="B38" s="520"/>
      <c r="C38" s="520"/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1"/>
    </row>
    <row r="39" spans="1:30" ht="15" customHeight="1" thickBot="1">
      <c r="A39" s="522"/>
      <c r="B39" s="523"/>
      <c r="C39" s="523"/>
      <c r="D39" s="523"/>
      <c r="E39" s="523"/>
      <c r="F39" s="523"/>
      <c r="G39" s="523"/>
      <c r="H39" s="523"/>
      <c r="I39" s="523"/>
      <c r="J39" s="523"/>
      <c r="K39" s="523"/>
      <c r="L39" s="523"/>
      <c r="M39" s="523"/>
      <c r="N39" s="523"/>
      <c r="O39" s="523"/>
      <c r="P39" s="523"/>
      <c r="Q39" s="523"/>
      <c r="R39" s="523"/>
      <c r="S39" s="523"/>
      <c r="T39" s="523"/>
      <c r="U39" s="523"/>
      <c r="V39" s="523"/>
      <c r="W39" s="523"/>
      <c r="X39" s="523"/>
      <c r="Y39" s="523"/>
      <c r="Z39" s="523"/>
      <c r="AA39" s="523"/>
      <c r="AB39" s="523"/>
      <c r="AC39" s="523"/>
      <c r="AD39" s="524"/>
    </row>
    <row r="40" spans="1:30" ht="30" customHeight="1">
      <c r="A40" s="525"/>
      <c r="B40" s="526"/>
      <c r="C40" s="527"/>
      <c r="D40" s="528"/>
      <c r="E40" s="528"/>
      <c r="F40" s="526"/>
      <c r="G40" s="527"/>
      <c r="H40" s="528"/>
      <c r="I40" s="528"/>
      <c r="J40" s="528"/>
      <c r="K40" s="528"/>
      <c r="L40" s="528"/>
      <c r="M40" s="528"/>
      <c r="N40" s="528"/>
      <c r="O40" s="528"/>
      <c r="P40" s="527"/>
      <c r="Q40" s="528"/>
      <c r="R40" s="528"/>
      <c r="S40" s="528"/>
      <c r="T40" s="526"/>
      <c r="U40" s="527"/>
      <c r="V40" s="528"/>
      <c r="W40" s="528"/>
      <c r="X40" s="528"/>
      <c r="Y40" s="526"/>
      <c r="Z40" s="527"/>
      <c r="AA40" s="528"/>
      <c r="AB40" s="528"/>
      <c r="AC40" s="528"/>
      <c r="AD40" s="529"/>
    </row>
    <row r="41" spans="1:30" ht="30" customHeight="1">
      <c r="A41" s="503"/>
      <c r="B41" s="504"/>
      <c r="C41" s="505"/>
      <c r="D41" s="506"/>
      <c r="E41" s="506"/>
      <c r="F41" s="504"/>
      <c r="G41" s="505"/>
      <c r="H41" s="506"/>
      <c r="I41" s="506"/>
      <c r="J41" s="506"/>
      <c r="K41" s="506"/>
      <c r="L41" s="506"/>
      <c r="M41" s="506"/>
      <c r="N41" s="506"/>
      <c r="O41" s="506"/>
      <c r="P41" s="505"/>
      <c r="Q41" s="506"/>
      <c r="R41" s="506"/>
      <c r="S41" s="506"/>
      <c r="T41" s="504"/>
      <c r="U41" s="505"/>
      <c r="V41" s="506"/>
      <c r="W41" s="506"/>
      <c r="X41" s="506"/>
      <c r="Y41" s="504"/>
      <c r="Z41" s="505"/>
      <c r="AA41" s="506"/>
      <c r="AB41" s="506"/>
      <c r="AC41" s="506"/>
      <c r="AD41" s="507"/>
    </row>
    <row r="42" spans="1:30" ht="30" customHeight="1">
      <c r="A42" s="503"/>
      <c r="B42" s="504"/>
      <c r="C42" s="505"/>
      <c r="D42" s="506"/>
      <c r="E42" s="506"/>
      <c r="F42" s="504"/>
      <c r="G42" s="505"/>
      <c r="H42" s="506"/>
      <c r="I42" s="506"/>
      <c r="J42" s="506"/>
      <c r="K42" s="506"/>
      <c r="L42" s="506"/>
      <c r="M42" s="506"/>
      <c r="N42" s="506"/>
      <c r="O42" s="506"/>
      <c r="P42" s="505"/>
      <c r="Q42" s="506"/>
      <c r="R42" s="506"/>
      <c r="S42" s="506"/>
      <c r="T42" s="504"/>
      <c r="U42" s="505"/>
      <c r="V42" s="506"/>
      <c r="W42" s="506"/>
      <c r="X42" s="506"/>
      <c r="Y42" s="504"/>
      <c r="Z42" s="505"/>
      <c r="AA42" s="506"/>
      <c r="AB42" s="506"/>
      <c r="AC42" s="506"/>
      <c r="AD42" s="507"/>
    </row>
    <row r="43" spans="1:30" ht="30" customHeight="1">
      <c r="A43" s="503"/>
      <c r="B43" s="504"/>
      <c r="C43" s="505"/>
      <c r="D43" s="506"/>
      <c r="E43" s="506"/>
      <c r="F43" s="504"/>
      <c r="G43" s="505"/>
      <c r="H43" s="506"/>
      <c r="I43" s="506"/>
      <c r="J43" s="506"/>
      <c r="K43" s="506"/>
      <c r="L43" s="506"/>
      <c r="M43" s="506"/>
      <c r="N43" s="506"/>
      <c r="O43" s="506"/>
      <c r="P43" s="505"/>
      <c r="Q43" s="506"/>
      <c r="R43" s="506"/>
      <c r="S43" s="506"/>
      <c r="T43" s="504"/>
      <c r="U43" s="505"/>
      <c r="V43" s="506"/>
      <c r="W43" s="506"/>
      <c r="X43" s="506"/>
      <c r="Y43" s="504"/>
      <c r="Z43" s="505"/>
      <c r="AA43" s="506"/>
      <c r="AB43" s="506"/>
      <c r="AC43" s="506"/>
      <c r="AD43" s="507"/>
    </row>
    <row r="44" spans="1:30" ht="30" customHeight="1">
      <c r="A44" s="503"/>
      <c r="B44" s="504"/>
      <c r="C44" s="505"/>
      <c r="D44" s="506"/>
      <c r="E44" s="506"/>
      <c r="F44" s="504"/>
      <c r="G44" s="505"/>
      <c r="H44" s="506"/>
      <c r="I44" s="506"/>
      <c r="J44" s="506"/>
      <c r="K44" s="506"/>
      <c r="L44" s="506"/>
      <c r="M44" s="506"/>
      <c r="N44" s="506"/>
      <c r="O44" s="506"/>
      <c r="P44" s="505"/>
      <c r="Q44" s="506"/>
      <c r="R44" s="506"/>
      <c r="S44" s="506"/>
      <c r="T44" s="504"/>
      <c r="U44" s="505"/>
      <c r="V44" s="506"/>
      <c r="W44" s="506"/>
      <c r="X44" s="506"/>
      <c r="Y44" s="504"/>
      <c r="Z44" s="505"/>
      <c r="AA44" s="506"/>
      <c r="AB44" s="506"/>
      <c r="AC44" s="506"/>
      <c r="AD44" s="507"/>
    </row>
    <row r="45" spans="1:30" ht="30" customHeight="1">
      <c r="A45" s="503"/>
      <c r="B45" s="504"/>
      <c r="C45" s="505"/>
      <c r="D45" s="506"/>
      <c r="E45" s="506"/>
      <c r="F45" s="504"/>
      <c r="G45" s="505"/>
      <c r="H45" s="506"/>
      <c r="I45" s="506"/>
      <c r="J45" s="506"/>
      <c r="K45" s="506"/>
      <c r="L45" s="506"/>
      <c r="M45" s="506"/>
      <c r="N45" s="506"/>
      <c r="O45" s="506"/>
      <c r="P45" s="505"/>
      <c r="Q45" s="506"/>
      <c r="R45" s="506"/>
      <c r="S45" s="506"/>
      <c r="T45" s="504"/>
      <c r="U45" s="505"/>
      <c r="V45" s="506"/>
      <c r="W45" s="506"/>
      <c r="X45" s="506"/>
      <c r="Y45" s="504"/>
      <c r="Z45" s="505"/>
      <c r="AA45" s="506"/>
      <c r="AB45" s="506"/>
      <c r="AC45" s="506"/>
      <c r="AD45" s="507"/>
    </row>
    <row r="46" spans="1:30" ht="45" customHeight="1">
      <c r="A46" s="508">
        <v>0</v>
      </c>
      <c r="B46" s="509"/>
      <c r="C46" s="510">
        <v>45960</v>
      </c>
      <c r="D46" s="511"/>
      <c r="E46" s="511"/>
      <c r="F46" s="512"/>
      <c r="G46" s="513" t="s">
        <v>289</v>
      </c>
      <c r="H46" s="514"/>
      <c r="I46" s="514"/>
      <c r="J46" s="514"/>
      <c r="K46" s="514"/>
      <c r="L46" s="514"/>
      <c r="M46" s="514"/>
      <c r="N46" s="514"/>
      <c r="O46" s="514"/>
      <c r="P46" s="500" t="s">
        <v>410</v>
      </c>
      <c r="Q46" s="501"/>
      <c r="R46" s="501"/>
      <c r="S46" s="501"/>
      <c r="T46" s="515"/>
      <c r="U46" s="500" t="s">
        <v>409</v>
      </c>
      <c r="V46" s="501"/>
      <c r="W46" s="501"/>
      <c r="X46" s="501"/>
      <c r="Y46" s="515"/>
      <c r="Z46" s="500" t="s">
        <v>406</v>
      </c>
      <c r="AA46" s="501"/>
      <c r="AB46" s="501"/>
      <c r="AC46" s="501"/>
      <c r="AD46" s="502"/>
    </row>
    <row r="47" spans="1:30" ht="15" customHeight="1" thickBot="1">
      <c r="A47" s="494" t="s">
        <v>290</v>
      </c>
      <c r="B47" s="495"/>
      <c r="C47" s="496" t="s">
        <v>291</v>
      </c>
      <c r="D47" s="497"/>
      <c r="E47" s="497"/>
      <c r="F47" s="498"/>
      <c r="G47" s="496" t="s">
        <v>0</v>
      </c>
      <c r="H47" s="497"/>
      <c r="I47" s="497"/>
      <c r="J47" s="497"/>
      <c r="K47" s="497"/>
      <c r="L47" s="497"/>
      <c r="M47" s="497"/>
      <c r="N47" s="497"/>
      <c r="O47" s="497"/>
      <c r="P47" s="496" t="s">
        <v>292</v>
      </c>
      <c r="Q47" s="497"/>
      <c r="R47" s="497"/>
      <c r="S47" s="497"/>
      <c r="T47" s="498"/>
      <c r="U47" s="496" t="s">
        <v>293</v>
      </c>
      <c r="V47" s="497"/>
      <c r="W47" s="497"/>
      <c r="X47" s="497"/>
      <c r="Y47" s="497"/>
      <c r="Z47" s="496" t="s">
        <v>294</v>
      </c>
      <c r="AA47" s="497"/>
      <c r="AB47" s="497"/>
      <c r="AC47" s="497"/>
      <c r="AD47" s="499"/>
    </row>
    <row r="48" spans="1:30" ht="15" customHeight="1" thickBot="1">
      <c r="A48" s="491" t="s">
        <v>411</v>
      </c>
      <c r="B48" s="492"/>
      <c r="C48" s="492"/>
      <c r="D48" s="492"/>
      <c r="E48" s="492"/>
      <c r="F48" s="492"/>
      <c r="G48" s="492"/>
      <c r="H48" s="492"/>
      <c r="I48" s="492"/>
      <c r="J48" s="492"/>
      <c r="K48" s="492"/>
      <c r="L48" s="492"/>
      <c r="M48" s="492"/>
      <c r="N48" s="492"/>
      <c r="O48" s="492"/>
      <c r="P48" s="492"/>
      <c r="Q48" s="492"/>
      <c r="R48" s="492"/>
      <c r="S48" s="492"/>
      <c r="T48" s="492"/>
      <c r="U48" s="492"/>
      <c r="V48" s="492"/>
      <c r="W48" s="492"/>
      <c r="X48" s="492"/>
      <c r="Y48" s="492"/>
      <c r="Z48" s="492"/>
      <c r="AA48" s="492"/>
      <c r="AB48" s="492"/>
      <c r="AC48" s="492"/>
      <c r="AD48" s="493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EEFE7-484B-4937-A02F-B09C3823C4AD}">
  <sheetPr codeName="Foglio9">
    <tabColor rgb="FF92D050"/>
    <pageSetUpPr fitToPage="1"/>
  </sheetPr>
  <dimension ref="A1:O71"/>
  <sheetViews>
    <sheetView zoomScaleNormal="100" workbookViewId="0">
      <selection activeCell="N22" sqref="N22"/>
    </sheetView>
  </sheetViews>
  <sheetFormatPr defaultRowHeight="15"/>
  <cols>
    <col min="1" max="1" width="11.7109375" bestFit="1" customWidth="1"/>
    <col min="2" max="2" width="47.7109375" bestFit="1" customWidth="1"/>
    <col min="3" max="4" width="14.42578125" customWidth="1"/>
    <col min="5" max="5" width="16.28515625" customWidth="1"/>
    <col min="6" max="7" width="14.42578125" customWidth="1"/>
    <col min="8" max="8" width="14.42578125" bestFit="1" customWidth="1"/>
    <col min="9" max="9" width="14.42578125" customWidth="1"/>
    <col min="10" max="10" width="14.42578125" bestFit="1" customWidth="1"/>
  </cols>
  <sheetData>
    <row r="1" spans="1:15" ht="15.75" thickBot="1">
      <c r="L1" s="271"/>
      <c r="M1" s="271"/>
      <c r="N1" s="271"/>
      <c r="O1" s="271"/>
    </row>
    <row r="2" spans="1:15" ht="15.75" thickBot="1">
      <c r="C2" s="224" t="s">
        <v>105</v>
      </c>
      <c r="D2" s="224" t="s">
        <v>116</v>
      </c>
      <c r="E2" s="223" t="s">
        <v>100</v>
      </c>
      <c r="F2" s="224" t="s">
        <v>101</v>
      </c>
      <c r="G2" s="225" t="s">
        <v>102</v>
      </c>
      <c r="H2" s="226" t="s">
        <v>119</v>
      </c>
      <c r="I2" s="227" t="s">
        <v>120</v>
      </c>
      <c r="J2" s="224" t="s">
        <v>99</v>
      </c>
      <c r="L2" s="271"/>
      <c r="M2" s="271"/>
      <c r="N2" s="271"/>
      <c r="O2" s="271"/>
    </row>
    <row r="3" spans="1:15" s="15" customFormat="1" ht="34.5" thickBot="1">
      <c r="C3" s="85" t="s">
        <v>118</v>
      </c>
      <c r="D3" s="85" t="s">
        <v>117</v>
      </c>
      <c r="E3" s="84" t="s">
        <v>6</v>
      </c>
      <c r="F3" s="85" t="s">
        <v>7</v>
      </c>
      <c r="G3" s="86" t="s">
        <v>8</v>
      </c>
      <c r="H3" s="87" t="s">
        <v>103</v>
      </c>
      <c r="I3" s="88" t="s">
        <v>121</v>
      </c>
      <c r="J3" s="85" t="s">
        <v>132</v>
      </c>
      <c r="K3" s="277" t="s">
        <v>274</v>
      </c>
      <c r="M3" s="166" t="s">
        <v>200</v>
      </c>
    </row>
    <row r="4" spans="1:15" ht="15.75" thickBot="1">
      <c r="B4" s="90" t="s">
        <v>179</v>
      </c>
      <c r="C4" s="90" t="s">
        <v>9</v>
      </c>
      <c r="D4" s="90" t="s">
        <v>56</v>
      </c>
      <c r="E4" s="89" t="s">
        <v>104</v>
      </c>
      <c r="F4" s="90" t="s">
        <v>104</v>
      </c>
      <c r="G4" s="91" t="s">
        <v>104</v>
      </c>
      <c r="H4" s="92" t="s">
        <v>104</v>
      </c>
      <c r="I4" s="93" t="s">
        <v>104</v>
      </c>
      <c r="J4" s="90" t="s">
        <v>9</v>
      </c>
      <c r="K4" s="279">
        <f>IF(ROWS(K5:K71)&lt;&gt;BASELINE!AV3,"ERRORE",ROWS(K5:K71))</f>
        <v>67</v>
      </c>
      <c r="M4" t="s">
        <v>156</v>
      </c>
    </row>
    <row r="5" spans="1:15">
      <c r="A5" s="530" t="s">
        <v>97</v>
      </c>
      <c r="B5" s="36" t="s">
        <v>152</v>
      </c>
      <c r="C5" s="94">
        <f>J5</f>
        <v>8</v>
      </c>
      <c r="D5" s="61" t="s">
        <v>123</v>
      </c>
      <c r="E5" s="53" t="s">
        <v>154</v>
      </c>
      <c r="F5" s="51" t="s">
        <v>154</v>
      </c>
      <c r="G5" s="51" t="s">
        <v>154</v>
      </c>
      <c r="H5" s="56" t="s">
        <v>154</v>
      </c>
      <c r="I5" s="56" t="s">
        <v>154</v>
      </c>
      <c r="J5" s="272">
        <v>8</v>
      </c>
      <c r="K5" s="56">
        <v>1</v>
      </c>
      <c r="M5" t="s">
        <v>404</v>
      </c>
    </row>
    <row r="6" spans="1:15">
      <c r="A6" s="531"/>
      <c r="B6" s="22" t="s">
        <v>11</v>
      </c>
      <c r="C6" s="52">
        <f>PRODUCT(E6:I6)*J6</f>
        <v>36</v>
      </c>
      <c r="D6" s="62" t="s">
        <v>122</v>
      </c>
      <c r="E6" s="52">
        <f>IF(Configurator!$E$9="Existing",0,1)</f>
        <v>1</v>
      </c>
      <c r="F6" s="117">
        <v>1</v>
      </c>
      <c r="G6" s="52">
        <f>IF(Configurator!$E$9="New",2,1)</f>
        <v>1</v>
      </c>
      <c r="H6" s="52">
        <f>Configurator!$F$8</f>
        <v>1.5</v>
      </c>
      <c r="I6" s="53"/>
      <c r="J6" s="57">
        <v>24</v>
      </c>
      <c r="K6" s="55">
        <f>K5+1</f>
        <v>2</v>
      </c>
      <c r="M6" t="s">
        <v>155</v>
      </c>
    </row>
    <row r="7" spans="1:15">
      <c r="A7" s="531"/>
      <c r="B7" s="24" t="s">
        <v>153</v>
      </c>
      <c r="C7" s="52">
        <f>PRODUCT(E7:I7)*J7</f>
        <v>36</v>
      </c>
      <c r="D7" s="63" t="s">
        <v>123</v>
      </c>
      <c r="E7" s="52">
        <f>IF(Configurator!$E$9="Existing",0,1)</f>
        <v>1</v>
      </c>
      <c r="F7" s="118">
        <v>1</v>
      </c>
      <c r="G7" s="57">
        <f>IF(Configurator!$E$9="New",2,1)</f>
        <v>1</v>
      </c>
      <c r="H7" s="55">
        <f>Configurator!$F$8</f>
        <v>1.5</v>
      </c>
      <c r="I7" s="37" t="s">
        <v>154</v>
      </c>
      <c r="J7" s="58">
        <v>24</v>
      </c>
      <c r="K7" s="55">
        <f t="shared" ref="K7:K71" si="0">K6+1</f>
        <v>3</v>
      </c>
    </row>
    <row r="8" spans="1:15">
      <c r="A8" s="531"/>
      <c r="B8" s="24" t="s">
        <v>213</v>
      </c>
      <c r="C8" s="52">
        <f>PRODUCT(E8:I8)*J8</f>
        <v>4</v>
      </c>
      <c r="D8" s="63" t="s">
        <v>122</v>
      </c>
      <c r="E8" s="54">
        <f>IF(Configurator!$E$9="Existing",0.5,1)</f>
        <v>1</v>
      </c>
      <c r="F8" s="119">
        <v>1</v>
      </c>
      <c r="G8" s="37">
        <f>IF(Configurator!$E$9="New",2,1)</f>
        <v>1</v>
      </c>
      <c r="H8" s="37"/>
      <c r="I8" s="37"/>
      <c r="J8" s="58">
        <v>4</v>
      </c>
      <c r="K8" s="55">
        <f t="shared" si="0"/>
        <v>4</v>
      </c>
    </row>
    <row r="9" spans="1:15">
      <c r="A9" s="531"/>
      <c r="B9" s="24" t="s">
        <v>12</v>
      </c>
      <c r="C9" s="54">
        <f>PRODUCT(E9:I9)*J9</f>
        <v>8</v>
      </c>
      <c r="D9" s="63" t="s">
        <v>122</v>
      </c>
      <c r="E9" s="54">
        <f>IF(Configurator!$E$9="Existing",0.5,1)</f>
        <v>1</v>
      </c>
      <c r="F9" s="119">
        <v>1</v>
      </c>
      <c r="G9" s="37">
        <f>IF(Configurator!$E$9="New",2,1)</f>
        <v>1</v>
      </c>
      <c r="H9" s="37" t="s">
        <v>154</v>
      </c>
      <c r="I9" s="37" t="s">
        <v>154</v>
      </c>
      <c r="J9" s="58">
        <v>8</v>
      </c>
      <c r="K9" s="55">
        <f t="shared" si="0"/>
        <v>5</v>
      </c>
    </row>
    <row r="10" spans="1:15">
      <c r="A10" s="531"/>
      <c r="B10" s="244" t="s">
        <v>85</v>
      </c>
      <c r="C10" s="245">
        <f>IFERROR(J10*H10,0)</f>
        <v>0</v>
      </c>
      <c r="D10" s="246" t="s">
        <v>3</v>
      </c>
      <c r="E10" s="247" t="s">
        <v>154</v>
      </c>
      <c r="F10" s="248" t="s">
        <v>154</v>
      </c>
      <c r="G10" s="248" t="s">
        <v>154</v>
      </c>
      <c r="H10" s="249">
        <f>Configurator!$F$8</f>
        <v>1.5</v>
      </c>
      <c r="I10" s="248" t="s">
        <v>154</v>
      </c>
      <c r="J10" s="256">
        <f>Configurator!$F$10</f>
        <v>0</v>
      </c>
      <c r="K10" s="55">
        <f t="shared" si="0"/>
        <v>6</v>
      </c>
    </row>
    <row r="11" spans="1:15">
      <c r="A11" s="531"/>
      <c r="B11" s="244" t="s">
        <v>109</v>
      </c>
      <c r="C11" s="245">
        <f>IFERROR(J11*H11,0)</f>
        <v>0</v>
      </c>
      <c r="D11" s="246" t="s">
        <v>3</v>
      </c>
      <c r="E11" s="247" t="s">
        <v>154</v>
      </c>
      <c r="F11" s="248" t="s">
        <v>154</v>
      </c>
      <c r="G11" s="248" t="s">
        <v>154</v>
      </c>
      <c r="H11" s="249">
        <f>Configurator!$F$8</f>
        <v>1.5</v>
      </c>
      <c r="I11" s="248" t="s">
        <v>154</v>
      </c>
      <c r="J11" s="256">
        <f>IF(Configurator!$E$11="YES",Configurator!$F$11,0)</f>
        <v>0</v>
      </c>
      <c r="K11" s="55">
        <f t="shared" si="0"/>
        <v>7</v>
      </c>
    </row>
    <row r="12" spans="1:15" ht="15.75" thickBot="1">
      <c r="A12" s="532"/>
      <c r="B12" s="250" t="s">
        <v>86</v>
      </c>
      <c r="C12" s="251">
        <f>IFERROR(J12*H12,0)</f>
        <v>195</v>
      </c>
      <c r="D12" s="290" t="s">
        <v>3</v>
      </c>
      <c r="E12" s="252" t="s">
        <v>154</v>
      </c>
      <c r="F12" s="253" t="s">
        <v>154</v>
      </c>
      <c r="G12" s="253" t="s">
        <v>154</v>
      </c>
      <c r="H12" s="254">
        <f>Configurator!$F$8</f>
        <v>1.5</v>
      </c>
      <c r="I12" s="253" t="s">
        <v>154</v>
      </c>
      <c r="J12" s="273">
        <f>IF(Configurator!$G$16&lt;&gt;0,Configurator!$G$16,0)</f>
        <v>130</v>
      </c>
      <c r="K12" s="55">
        <f t="shared" si="0"/>
        <v>8</v>
      </c>
    </row>
    <row r="13" spans="1:15" ht="15" customHeight="1">
      <c r="A13" s="536" t="s">
        <v>106</v>
      </c>
      <c r="B13" s="23" t="s">
        <v>215</v>
      </c>
      <c r="C13" s="57">
        <f>IFERROR(PRODUCT(E13:I13)*J13+Configurator!F19,0)</f>
        <v>96</v>
      </c>
      <c r="D13" s="62" t="s">
        <v>122</v>
      </c>
      <c r="E13" s="52">
        <f>IF(Configurator!$E$9="Existing",0,1)</f>
        <v>1</v>
      </c>
      <c r="F13" s="119">
        <v>1</v>
      </c>
      <c r="G13" s="25">
        <f>IF(Configurator!$E$9="New",2,1)</f>
        <v>1</v>
      </c>
      <c r="H13" s="29" t="s">
        <v>154</v>
      </c>
      <c r="I13" s="31"/>
      <c r="J13" s="57">
        <v>96</v>
      </c>
      <c r="K13" s="55">
        <f t="shared" si="0"/>
        <v>9</v>
      </c>
    </row>
    <row r="14" spans="1:15">
      <c r="A14" s="537"/>
      <c r="B14" s="16" t="s">
        <v>219</v>
      </c>
      <c r="C14" s="58">
        <f>IFERROR(PRODUCT(E14:I14)*J14+Configurator!G19,0)</f>
        <v>40</v>
      </c>
      <c r="D14" s="63" t="s">
        <v>122</v>
      </c>
      <c r="E14" s="54">
        <f>IF(Configurator!$E$9="Existing",0,1)</f>
        <v>1</v>
      </c>
      <c r="F14" s="119">
        <v>1</v>
      </c>
      <c r="G14" s="26">
        <f>IF(Configurator!$E$9="New",2,1)</f>
        <v>1</v>
      </c>
      <c r="H14" s="28" t="s">
        <v>154</v>
      </c>
      <c r="I14" s="32"/>
      <c r="J14" s="58">
        <v>40</v>
      </c>
      <c r="K14" s="55">
        <f t="shared" si="0"/>
        <v>10</v>
      </c>
    </row>
    <row r="15" spans="1:15">
      <c r="A15" s="537"/>
      <c r="B15" s="16"/>
      <c r="C15" s="57">
        <f>PRODUCT(E15:I15)*J15+Configurator!F21</f>
        <v>0</v>
      </c>
      <c r="D15" s="63" t="s">
        <v>122</v>
      </c>
      <c r="E15" s="54">
        <f>IF(Configurator!$E$9="Existing",0,1)</f>
        <v>1</v>
      </c>
      <c r="F15" s="119">
        <v>1</v>
      </c>
      <c r="G15" s="26">
        <f>IF(Configurator!$E$9="New",2,1)</f>
        <v>1</v>
      </c>
      <c r="H15" s="28" t="s">
        <v>154</v>
      </c>
      <c r="I15" s="32"/>
      <c r="J15" s="58"/>
      <c r="K15" s="55">
        <f t="shared" si="0"/>
        <v>11</v>
      </c>
    </row>
    <row r="16" spans="1:15">
      <c r="A16" s="537"/>
      <c r="B16" s="16"/>
      <c r="C16" s="57">
        <f>PRODUCT(E16:I16)*J16+Configurator!F22</f>
        <v>0</v>
      </c>
      <c r="D16" s="63" t="s">
        <v>122</v>
      </c>
      <c r="E16" s="54">
        <f>IF(Configurator!$E$9="Existing",0,1)</f>
        <v>1</v>
      </c>
      <c r="F16" s="119">
        <v>1</v>
      </c>
      <c r="G16" s="26">
        <f>IF(Configurator!$E$9="New",2,1)</f>
        <v>1</v>
      </c>
      <c r="H16" s="28" t="s">
        <v>154</v>
      </c>
      <c r="I16" s="32"/>
      <c r="J16" s="58"/>
      <c r="K16" s="55">
        <f t="shared" si="0"/>
        <v>12</v>
      </c>
    </row>
    <row r="17" spans="1:12">
      <c r="A17" s="537"/>
      <c r="B17" s="16"/>
      <c r="C17" s="57">
        <f>PRODUCT(E17:I17)*J17+Configurator!F23</f>
        <v>0</v>
      </c>
      <c r="D17" s="63" t="s">
        <v>122</v>
      </c>
      <c r="E17" s="54">
        <f>IF(Configurator!$E$9="Existing",0,1)</f>
        <v>1</v>
      </c>
      <c r="F17" s="119">
        <v>1</v>
      </c>
      <c r="G17" s="26">
        <f>IF(Configurator!$E$9="New",2,1)</f>
        <v>1</v>
      </c>
      <c r="H17" s="28" t="s">
        <v>154</v>
      </c>
      <c r="I17" s="32"/>
      <c r="J17" s="58"/>
      <c r="K17" s="55">
        <f t="shared" si="0"/>
        <v>13</v>
      </c>
    </row>
    <row r="18" spans="1:12">
      <c r="A18" s="537"/>
      <c r="B18" s="16"/>
      <c r="C18" s="57">
        <f>PRODUCT(E18:I18)*J18+Configurator!F24</f>
        <v>0</v>
      </c>
      <c r="D18" s="63" t="s">
        <v>122</v>
      </c>
      <c r="E18" s="54">
        <f>IF(Configurator!$E$9="Existing",0,1)</f>
        <v>1</v>
      </c>
      <c r="F18" s="119">
        <v>1</v>
      </c>
      <c r="G18" s="26">
        <f>IF(Configurator!$E$9="New",2,1)</f>
        <v>1</v>
      </c>
      <c r="H18" s="28" t="s">
        <v>154</v>
      </c>
      <c r="I18" s="32"/>
      <c r="J18" s="58"/>
      <c r="K18" s="55">
        <f t="shared" si="0"/>
        <v>14</v>
      </c>
    </row>
    <row r="19" spans="1:12">
      <c r="A19" s="537"/>
      <c r="B19" s="16"/>
      <c r="C19" s="57">
        <f>PRODUCT(E19:I19)*J19+Configurator!F25</f>
        <v>0</v>
      </c>
      <c r="D19" s="63" t="s">
        <v>122</v>
      </c>
      <c r="E19" s="54">
        <f>IF(Configurator!$E$9="Existing",0,1)</f>
        <v>1</v>
      </c>
      <c r="F19" s="119">
        <v>1</v>
      </c>
      <c r="G19" s="26">
        <f>IF(Configurator!$E$9="New",2,1)</f>
        <v>1</v>
      </c>
      <c r="H19" s="28" t="s">
        <v>154</v>
      </c>
      <c r="I19" s="32"/>
      <c r="J19" s="58"/>
      <c r="K19" s="55">
        <f t="shared" si="0"/>
        <v>15</v>
      </c>
    </row>
    <row r="20" spans="1:12">
      <c r="A20" s="537"/>
      <c r="B20" s="16" t="s">
        <v>237</v>
      </c>
      <c r="C20" s="57">
        <f>PRODUCT(E20:I20)*J20+Configurator!F26</f>
        <v>16</v>
      </c>
      <c r="D20" s="63" t="s">
        <v>122</v>
      </c>
      <c r="E20" s="54">
        <f>IF(Configurator!$E$9="Existing",0,1)</f>
        <v>1</v>
      </c>
      <c r="F20" s="119">
        <v>1</v>
      </c>
      <c r="G20" s="26">
        <f>IF(Configurator!$E$9="New",2,1)</f>
        <v>1</v>
      </c>
      <c r="H20" s="28" t="s">
        <v>154</v>
      </c>
      <c r="I20" s="37">
        <f>Configurator!$E$18</f>
        <v>1</v>
      </c>
      <c r="J20" s="58">
        <v>16</v>
      </c>
      <c r="K20" s="55">
        <f t="shared" si="0"/>
        <v>16</v>
      </c>
    </row>
    <row r="21" spans="1:12">
      <c r="A21" s="537"/>
      <c r="B21" s="16" t="s">
        <v>238</v>
      </c>
      <c r="C21" s="57">
        <f>PRODUCT(E21:I21)*J21+Configurator!F27</f>
        <v>16</v>
      </c>
      <c r="D21" s="63" t="s">
        <v>122</v>
      </c>
      <c r="E21" s="54">
        <f>IF(Configurator!$E$9="Existing",0,1)</f>
        <v>1</v>
      </c>
      <c r="F21" s="119">
        <v>1</v>
      </c>
      <c r="G21" s="26">
        <f>IF(Configurator!$E$9="New",2,1)</f>
        <v>1</v>
      </c>
      <c r="H21" s="28" t="s">
        <v>154</v>
      </c>
      <c r="I21" s="37">
        <f>Configurator!$E$18</f>
        <v>1</v>
      </c>
      <c r="J21" s="58">
        <v>16</v>
      </c>
      <c r="K21" s="55">
        <f t="shared" si="0"/>
        <v>17</v>
      </c>
    </row>
    <row r="22" spans="1:12" ht="15" customHeight="1">
      <c r="A22" s="537"/>
      <c r="B22" s="16"/>
      <c r="C22" s="57">
        <f>PRODUCT(E22:I22)*J22</f>
        <v>0</v>
      </c>
      <c r="D22" s="63" t="s">
        <v>122</v>
      </c>
      <c r="E22" s="52">
        <f>IF(Configurator!$E$9="Existing",0,1)</f>
        <v>1</v>
      </c>
      <c r="F22" s="119">
        <v>1</v>
      </c>
      <c r="G22" s="25">
        <f>IF(Configurator!$E$9="New",2,1)</f>
        <v>1</v>
      </c>
      <c r="H22" s="28" t="s">
        <v>154</v>
      </c>
      <c r="I22" s="37"/>
      <c r="J22" s="58"/>
      <c r="K22" s="55">
        <f t="shared" si="0"/>
        <v>18</v>
      </c>
    </row>
    <row r="23" spans="1:12">
      <c r="A23" s="537"/>
      <c r="B23" s="16"/>
      <c r="C23" s="58">
        <f t="shared" ref="C23" si="1">PRODUCT(E23:I23)*J23</f>
        <v>0</v>
      </c>
      <c r="D23" s="63" t="s">
        <v>122</v>
      </c>
      <c r="E23" s="54">
        <f>IF(Configurator!$E$9="Existing",0,1)</f>
        <v>1</v>
      </c>
      <c r="F23" s="119">
        <v>1</v>
      </c>
      <c r="G23" s="26">
        <f>IF(Configurator!$E$9="New",2,1)</f>
        <v>1</v>
      </c>
      <c r="H23" s="28" t="s">
        <v>154</v>
      </c>
      <c r="I23" s="37">
        <f>Configurator!$E$18</f>
        <v>1</v>
      </c>
      <c r="J23" s="58"/>
      <c r="K23" s="55">
        <f t="shared" si="0"/>
        <v>19</v>
      </c>
      <c r="L23" s="15"/>
    </row>
    <row r="24" spans="1:12">
      <c r="A24" s="537"/>
      <c r="B24" s="16"/>
      <c r="C24" s="57">
        <f>PRODUCT(E24:I24)*J24+Configurator!F30</f>
        <v>0</v>
      </c>
      <c r="D24" s="63" t="s">
        <v>122</v>
      </c>
      <c r="E24" s="54">
        <f>IF(Configurator!$E$9="Existing",0,1)</f>
        <v>1</v>
      </c>
      <c r="F24" s="119">
        <v>1</v>
      </c>
      <c r="G24" s="26">
        <f>IF(Configurator!$E$9="New",2,1)</f>
        <v>1</v>
      </c>
      <c r="H24" s="28" t="s">
        <v>154</v>
      </c>
      <c r="I24" s="37">
        <f>Configurator!$E$18</f>
        <v>1</v>
      </c>
      <c r="J24" s="58"/>
      <c r="K24" s="55">
        <f t="shared" si="0"/>
        <v>20</v>
      </c>
    </row>
    <row r="25" spans="1:12">
      <c r="A25" s="537"/>
      <c r="B25" s="16"/>
      <c r="C25" s="57">
        <f>PRODUCT(E25:I25)*J25+Configurator!F31</f>
        <v>0</v>
      </c>
      <c r="D25" s="63" t="s">
        <v>122</v>
      </c>
      <c r="E25" s="54">
        <f>IF(Configurator!$E$9="Existing",0,1)</f>
        <v>1</v>
      </c>
      <c r="F25" s="119">
        <v>1</v>
      </c>
      <c r="G25" s="26">
        <f>IF(Configurator!$E$9="New",2,1)</f>
        <v>1</v>
      </c>
      <c r="H25" s="28" t="s">
        <v>154</v>
      </c>
      <c r="I25" s="37"/>
      <c r="J25" s="58"/>
      <c r="K25" s="55">
        <f t="shared" si="0"/>
        <v>21</v>
      </c>
    </row>
    <row r="26" spans="1:12">
      <c r="A26" s="537"/>
      <c r="B26" s="16" t="s">
        <v>397</v>
      </c>
      <c r="C26" s="57">
        <f>IFERROR(PRODUCT(E26:I26)*J26+Configurator!F32,0)</f>
        <v>0</v>
      </c>
      <c r="D26" s="63" t="s">
        <v>122</v>
      </c>
      <c r="E26" s="54">
        <f>IF(Configurator!$E$9="Existing",0,1)</f>
        <v>1</v>
      </c>
      <c r="F26" s="119">
        <v>1</v>
      </c>
      <c r="G26" s="26">
        <f>IF(Configurator!$E$9="New",2,1)</f>
        <v>1</v>
      </c>
      <c r="H26" s="28" t="s">
        <v>154</v>
      </c>
      <c r="I26" s="37"/>
      <c r="J26" s="58">
        <f>IFERROR(Configurator!$F$17+Configurator!$G$17,0)</f>
        <v>0</v>
      </c>
      <c r="K26" s="55">
        <f t="shared" si="0"/>
        <v>22</v>
      </c>
    </row>
    <row r="27" spans="1:12">
      <c r="A27" s="537"/>
      <c r="B27" s="16"/>
      <c r="C27" s="57">
        <f>PRODUCT(E27:I27)*J27+Configurator!F33</f>
        <v>0</v>
      </c>
      <c r="D27" s="63" t="s">
        <v>122</v>
      </c>
      <c r="E27" s="54">
        <f>IF(Configurator!$E$9="Existing",0,1)</f>
        <v>1</v>
      </c>
      <c r="F27" s="119">
        <v>1</v>
      </c>
      <c r="G27" s="26">
        <f>IF(Configurator!$E$9="New",2,1)</f>
        <v>1</v>
      </c>
      <c r="H27" s="28" t="s">
        <v>154</v>
      </c>
      <c r="I27" s="37"/>
      <c r="J27" s="58"/>
      <c r="K27" s="55">
        <f t="shared" si="0"/>
        <v>23</v>
      </c>
    </row>
    <row r="28" spans="1:12">
      <c r="A28" s="537"/>
      <c r="B28" s="23"/>
      <c r="C28" s="57">
        <f>PRODUCT(E28:I28)*J28+Configurator!F34</f>
        <v>0</v>
      </c>
      <c r="D28" s="63" t="s">
        <v>122</v>
      </c>
      <c r="E28" s="54">
        <f>IF(Configurator!$E$9="Existing",0,1)</f>
        <v>1</v>
      </c>
      <c r="F28" s="119">
        <v>1</v>
      </c>
      <c r="G28" s="26">
        <f>IF(Configurator!$E$9="New",2,1)</f>
        <v>1</v>
      </c>
      <c r="H28" s="28" t="s">
        <v>154</v>
      </c>
      <c r="I28" s="32"/>
      <c r="J28" s="57"/>
      <c r="K28" s="55">
        <f t="shared" si="0"/>
        <v>24</v>
      </c>
    </row>
    <row r="29" spans="1:12">
      <c r="A29" s="537"/>
      <c r="B29" s="446" t="s">
        <v>253</v>
      </c>
      <c r="C29" s="445">
        <f>IFERROR(PRODUCT(E29:I29)*J29+Configurator!H19+Configurator!I19,0)</f>
        <v>16</v>
      </c>
      <c r="D29" s="447" t="s">
        <v>122</v>
      </c>
      <c r="E29" s="462">
        <f>IF(Configurator!$E$9="Existing",0,1)</f>
        <v>1</v>
      </c>
      <c r="F29" s="448">
        <v>1</v>
      </c>
      <c r="G29" s="449">
        <f>IF(Configurator!$E$9="New",2,1)</f>
        <v>1</v>
      </c>
      <c r="H29" s="450" t="s">
        <v>154</v>
      </c>
      <c r="I29" s="451"/>
      <c r="J29" s="445">
        <v>16</v>
      </c>
      <c r="K29" s="452">
        <f t="shared" si="0"/>
        <v>25</v>
      </c>
    </row>
    <row r="30" spans="1:12">
      <c r="A30" s="537"/>
      <c r="B30" s="446" t="s">
        <v>398</v>
      </c>
      <c r="C30" s="445">
        <f>IFERROR(PRODUCT(E30:I30)*J30,0)</f>
        <v>0</v>
      </c>
      <c r="D30" s="447" t="s">
        <v>122</v>
      </c>
      <c r="E30" s="462">
        <f>IF(Configurator!$E$9="Existing",0,1)</f>
        <v>1</v>
      </c>
      <c r="F30" s="448">
        <v>1</v>
      </c>
      <c r="G30" s="449">
        <f>IF(Configurator!$E$9="New",2,1)</f>
        <v>1</v>
      </c>
      <c r="H30" s="450" t="s">
        <v>154</v>
      </c>
      <c r="I30" s="451"/>
      <c r="J30" s="445">
        <f>Configurator!$H$17</f>
        <v>0</v>
      </c>
      <c r="K30" s="452">
        <f t="shared" si="0"/>
        <v>26</v>
      </c>
    </row>
    <row r="31" spans="1:12">
      <c r="A31" s="537"/>
      <c r="B31" s="446"/>
      <c r="C31" s="445">
        <f t="shared" ref="C31:C34" si="2">PRODUCT(E31:I31)*J31</f>
        <v>0</v>
      </c>
      <c r="D31" s="447" t="s">
        <v>122</v>
      </c>
      <c r="E31" s="462">
        <f>IF(Configurator!$E$9="Existing",0,1)</f>
        <v>1</v>
      </c>
      <c r="F31" s="448">
        <v>1</v>
      </c>
      <c r="G31" s="449">
        <f>IF(Configurator!$E$9="New",2,1)</f>
        <v>1</v>
      </c>
      <c r="H31" s="450" t="s">
        <v>154</v>
      </c>
      <c r="I31" s="451"/>
      <c r="J31" s="445"/>
      <c r="K31" s="452">
        <f t="shared" si="0"/>
        <v>27</v>
      </c>
    </row>
    <row r="32" spans="1:12">
      <c r="A32" s="537"/>
      <c r="B32" s="446"/>
      <c r="C32" s="445">
        <f>PRODUCT(E32:I32)*J32</f>
        <v>0</v>
      </c>
      <c r="D32" s="447" t="s">
        <v>122</v>
      </c>
      <c r="E32" s="462">
        <f>IF(Configurator!$E$9="Existing",0,1)</f>
        <v>1</v>
      </c>
      <c r="F32" s="448">
        <v>1</v>
      </c>
      <c r="G32" s="449">
        <f>IF(Configurator!$E$9="New",2,1)</f>
        <v>1</v>
      </c>
      <c r="H32" s="450" t="s">
        <v>154</v>
      </c>
      <c r="I32" s="464">
        <f>Configurator!$E$18</f>
        <v>1</v>
      </c>
      <c r="J32" s="445"/>
      <c r="K32" s="452">
        <f t="shared" si="0"/>
        <v>28</v>
      </c>
    </row>
    <row r="33" spans="1:11">
      <c r="A33" s="537"/>
      <c r="B33" s="446"/>
      <c r="C33" s="445">
        <f t="shared" si="2"/>
        <v>0</v>
      </c>
      <c r="D33" s="447" t="s">
        <v>122</v>
      </c>
      <c r="E33" s="462">
        <f>IF(Configurator!$E$9="Existing",0,1)</f>
        <v>1</v>
      </c>
      <c r="F33" s="448">
        <v>1</v>
      </c>
      <c r="G33" s="449">
        <f>IF(Configurator!$E$9="New",2,1)</f>
        <v>1</v>
      </c>
      <c r="H33" s="450" t="s">
        <v>154</v>
      </c>
      <c r="I33" s="451"/>
      <c r="J33" s="445"/>
      <c r="K33" s="452">
        <f t="shared" si="0"/>
        <v>29</v>
      </c>
    </row>
    <row r="34" spans="1:11">
      <c r="A34" s="537"/>
      <c r="B34" s="446"/>
      <c r="C34" s="445">
        <f t="shared" si="2"/>
        <v>0</v>
      </c>
      <c r="D34" s="447" t="s">
        <v>122</v>
      </c>
      <c r="E34" s="462">
        <f>IF(Configurator!$E$9="Existing",0,1)</f>
        <v>1</v>
      </c>
      <c r="F34" s="448">
        <v>1</v>
      </c>
      <c r="G34" s="449">
        <f>IF(Configurator!$E$9="New",2,1)</f>
        <v>1</v>
      </c>
      <c r="H34" s="450" t="s">
        <v>154</v>
      </c>
      <c r="I34" s="451"/>
      <c r="J34" s="445"/>
      <c r="K34" s="452">
        <f t="shared" si="0"/>
        <v>30</v>
      </c>
    </row>
    <row r="35" spans="1:11" ht="15" customHeight="1">
      <c r="A35" s="537"/>
      <c r="B35" s="215" t="s">
        <v>14</v>
      </c>
      <c r="C35" s="216">
        <f>J35</f>
        <v>4</v>
      </c>
      <c r="D35" s="217" t="s">
        <v>122</v>
      </c>
      <c r="E35" s="218"/>
      <c r="F35" s="219"/>
      <c r="G35" s="220"/>
      <c r="H35" s="221" t="s">
        <v>154</v>
      </c>
      <c r="I35" s="222"/>
      <c r="J35" s="274">
        <v>4</v>
      </c>
      <c r="K35" s="55">
        <f t="shared" si="0"/>
        <v>31</v>
      </c>
    </row>
    <row r="36" spans="1:11">
      <c r="A36" s="537"/>
      <c r="B36" s="16" t="s">
        <v>10</v>
      </c>
      <c r="C36" s="58">
        <f>PRODUCT(E36:I36)*J36</f>
        <v>16</v>
      </c>
      <c r="D36" s="63" t="s">
        <v>122</v>
      </c>
      <c r="E36" s="52">
        <f>IF(Configurator!$E$9="Existing",0,1)</f>
        <v>1</v>
      </c>
      <c r="F36" s="119">
        <v>1</v>
      </c>
      <c r="G36" s="25">
        <f>IF(Configurator!$E$9="New",2,1)</f>
        <v>1</v>
      </c>
      <c r="H36" s="28" t="s">
        <v>154</v>
      </c>
      <c r="I36" s="32"/>
      <c r="J36" s="58">
        <v>16</v>
      </c>
      <c r="K36" s="55">
        <f t="shared" si="0"/>
        <v>32</v>
      </c>
    </row>
    <row r="37" spans="1:11">
      <c r="A37" s="537"/>
      <c r="B37" s="16" t="s">
        <v>84</v>
      </c>
      <c r="C37" s="58">
        <f t="shared" ref="C37:C38" si="3">PRODUCT(E37:I37)*J37</f>
        <v>16</v>
      </c>
      <c r="D37" s="63" t="s">
        <v>122</v>
      </c>
      <c r="E37" s="54">
        <f>IF(Configurator!$E$9="Existing",0,1)</f>
        <v>1</v>
      </c>
      <c r="F37" s="119">
        <v>1</v>
      </c>
      <c r="G37" s="26">
        <f>IF(Configurator!$E$9="New",2,1)</f>
        <v>1</v>
      </c>
      <c r="H37" s="28" t="s">
        <v>154</v>
      </c>
      <c r="I37" s="32"/>
      <c r="J37" s="58">
        <v>16</v>
      </c>
      <c r="K37" s="55">
        <f t="shared" si="0"/>
        <v>33</v>
      </c>
    </row>
    <row r="38" spans="1:11">
      <c r="A38" s="537"/>
      <c r="B38" s="16" t="s">
        <v>17</v>
      </c>
      <c r="C38" s="58">
        <f t="shared" si="3"/>
        <v>8</v>
      </c>
      <c r="D38" s="63" t="s">
        <v>122</v>
      </c>
      <c r="E38" s="54">
        <f>IF(Configurator!$E$9="Existing",0,1)</f>
        <v>1</v>
      </c>
      <c r="F38" s="119">
        <v>1</v>
      </c>
      <c r="G38" s="26">
        <f>IF(Configurator!$E$9="New",2,1)</f>
        <v>1</v>
      </c>
      <c r="H38" s="28" t="s">
        <v>154</v>
      </c>
      <c r="I38" s="32"/>
      <c r="J38" s="58">
        <v>8</v>
      </c>
      <c r="K38" s="55">
        <f t="shared" si="0"/>
        <v>34</v>
      </c>
    </row>
    <row r="39" spans="1:11">
      <c r="A39" s="537"/>
      <c r="B39" s="16"/>
      <c r="C39" s="57">
        <f>PRODUCT(E39:I39)*J39+Configurator!F38</f>
        <v>0</v>
      </c>
      <c r="D39" s="63" t="s">
        <v>122</v>
      </c>
      <c r="E39" s="52">
        <f>IF(Configurator!$E$9="Existing",0,1)</f>
        <v>1</v>
      </c>
      <c r="F39" s="119">
        <v>1</v>
      </c>
      <c r="G39" s="25">
        <f>IF(Configurator!$E$9="New",2,1)</f>
        <v>1</v>
      </c>
      <c r="H39" s="28" t="s">
        <v>154</v>
      </c>
      <c r="I39" s="32"/>
      <c r="J39" s="58"/>
      <c r="K39" s="55">
        <f t="shared" si="0"/>
        <v>35</v>
      </c>
    </row>
    <row r="40" spans="1:11">
      <c r="A40" s="537"/>
      <c r="B40" s="16"/>
      <c r="C40" s="57">
        <f>PRODUCT(E40:I40)*J40+Configurator!F39</f>
        <v>0</v>
      </c>
      <c r="D40" s="63" t="s">
        <v>122</v>
      </c>
      <c r="E40" s="52">
        <f>IF(Configurator!$E$9="Existing",0,1)</f>
        <v>1</v>
      </c>
      <c r="F40" s="119">
        <v>1</v>
      </c>
      <c r="G40" s="25">
        <f>IF(Configurator!$E$9="New",2,1)</f>
        <v>1</v>
      </c>
      <c r="H40" s="28" t="s">
        <v>154</v>
      </c>
      <c r="I40" s="32"/>
      <c r="J40" s="58"/>
      <c r="K40" s="55">
        <f t="shared" si="0"/>
        <v>36</v>
      </c>
    </row>
    <row r="41" spans="1:11">
      <c r="A41" s="537"/>
      <c r="B41" s="228" t="s">
        <v>201</v>
      </c>
      <c r="C41" s="229">
        <f>J41</f>
        <v>4</v>
      </c>
      <c r="D41" s="230" t="s">
        <v>122</v>
      </c>
      <c r="E41" s="231"/>
      <c r="F41" s="232"/>
      <c r="G41" s="233"/>
      <c r="H41" s="234" t="s">
        <v>154</v>
      </c>
      <c r="I41" s="235"/>
      <c r="J41" s="229">
        <v>4</v>
      </c>
      <c r="K41" s="55">
        <f t="shared" si="0"/>
        <v>37</v>
      </c>
    </row>
    <row r="42" spans="1:11">
      <c r="A42" s="537"/>
      <c r="B42" s="16"/>
      <c r="C42" s="57">
        <f>PRODUCT(E42:I42)*J42+Configurator!F41</f>
        <v>0</v>
      </c>
      <c r="D42" s="63" t="s">
        <v>122</v>
      </c>
      <c r="E42" s="54">
        <f>IF(Configurator!$E$9="Existing",0,1)</f>
        <v>1</v>
      </c>
      <c r="F42" s="119">
        <v>1</v>
      </c>
      <c r="G42" s="26">
        <f>IF(Configurator!$E$9="New",2,1)</f>
        <v>1</v>
      </c>
      <c r="H42" s="28" t="s">
        <v>154</v>
      </c>
      <c r="I42" s="32"/>
      <c r="J42" s="58"/>
      <c r="K42" s="55">
        <f t="shared" si="0"/>
        <v>38</v>
      </c>
    </row>
    <row r="43" spans="1:11">
      <c r="A43" s="537"/>
      <c r="B43" s="16"/>
      <c r="C43" s="57">
        <f>PRODUCT(E43:I43)*J43+Configurator!F42</f>
        <v>0</v>
      </c>
      <c r="D43" s="63" t="s">
        <v>122</v>
      </c>
      <c r="E43" s="54">
        <f>IF(Configurator!$E$9="Existing",0,1)</f>
        <v>1</v>
      </c>
      <c r="F43" s="119">
        <v>1</v>
      </c>
      <c r="G43" s="26">
        <f>IF(Configurator!$E$9="New",2,1)</f>
        <v>1</v>
      </c>
      <c r="H43" s="28" t="s">
        <v>154</v>
      </c>
      <c r="I43" s="32"/>
      <c r="J43" s="58"/>
      <c r="K43" s="55">
        <f t="shared" si="0"/>
        <v>39</v>
      </c>
    </row>
    <row r="44" spans="1:11">
      <c r="A44" s="537"/>
      <c r="B44" s="16"/>
      <c r="C44" s="57">
        <f>PRODUCT(E44:I44)*J44+Configurator!F43</f>
        <v>0</v>
      </c>
      <c r="D44" s="63" t="s">
        <v>122</v>
      </c>
      <c r="E44" s="54">
        <f>IF(Configurator!$E$9="Existing",0,1)</f>
        <v>1</v>
      </c>
      <c r="F44" s="119">
        <v>1</v>
      </c>
      <c r="G44" s="26">
        <f>IF(Configurator!$E$9="New",2,1)</f>
        <v>1</v>
      </c>
      <c r="H44" s="28" t="s">
        <v>154</v>
      </c>
      <c r="I44" s="32"/>
      <c r="J44" s="58"/>
      <c r="K44" s="55">
        <f t="shared" si="0"/>
        <v>40</v>
      </c>
    </row>
    <row r="45" spans="1:11">
      <c r="A45" s="537"/>
      <c r="B45" s="16"/>
      <c r="C45" s="57">
        <f>PRODUCT(E45:I45)*J45+Configurator!F44</f>
        <v>0</v>
      </c>
      <c r="D45" s="63" t="s">
        <v>122</v>
      </c>
      <c r="E45" s="54">
        <f>IF(Configurator!$E$9="Existing",0,1)</f>
        <v>1</v>
      </c>
      <c r="F45" s="119">
        <v>1</v>
      </c>
      <c r="G45" s="26">
        <f>IF(Configurator!$E$9="New",2,1)</f>
        <v>1</v>
      </c>
      <c r="H45" s="28" t="s">
        <v>154</v>
      </c>
      <c r="I45" s="32"/>
      <c r="J45" s="58"/>
      <c r="K45" s="55">
        <f t="shared" si="0"/>
        <v>41</v>
      </c>
    </row>
    <row r="46" spans="1:11">
      <c r="A46" s="537"/>
      <c r="B46" s="16"/>
      <c r="C46" s="57">
        <f>PRODUCT(E46:I46)*J46+Configurator!F45</f>
        <v>0</v>
      </c>
      <c r="D46" s="63" t="s">
        <v>122</v>
      </c>
      <c r="E46" s="54">
        <f>IF(Configurator!$E$9="Existing",0,1)</f>
        <v>1</v>
      </c>
      <c r="F46" s="119">
        <v>1</v>
      </c>
      <c r="G46" s="26">
        <f>IF(Configurator!$E$9="New",2,1)</f>
        <v>1</v>
      </c>
      <c r="H46" s="28" t="s">
        <v>154</v>
      </c>
      <c r="I46" s="32"/>
      <c r="J46" s="58"/>
      <c r="K46" s="55">
        <f t="shared" si="0"/>
        <v>42</v>
      </c>
    </row>
    <row r="47" spans="1:11">
      <c r="A47" s="537"/>
      <c r="B47" s="17"/>
      <c r="C47" s="57">
        <f>PRODUCT(E47:I47)*J47+Configurator!F46</f>
        <v>0</v>
      </c>
      <c r="D47" s="63" t="s">
        <v>122</v>
      </c>
      <c r="E47" s="54">
        <f>IF(Configurator!$E$9="Existing",0,1)</f>
        <v>1</v>
      </c>
      <c r="F47" s="119">
        <v>1</v>
      </c>
      <c r="G47" s="26">
        <f>IF(Configurator!$E$9="New",2,1)</f>
        <v>1</v>
      </c>
      <c r="H47" s="28" t="s">
        <v>154</v>
      </c>
      <c r="I47" s="32"/>
      <c r="J47" s="58"/>
      <c r="K47" s="55">
        <f t="shared" si="0"/>
        <v>43</v>
      </c>
    </row>
    <row r="48" spans="1:11">
      <c r="A48" s="537"/>
      <c r="B48" s="292"/>
      <c r="C48" s="57">
        <f>PRODUCT(E48:I48)*J48+Configurator!F47</f>
        <v>0</v>
      </c>
      <c r="D48" s="63" t="s">
        <v>122</v>
      </c>
      <c r="E48" s="54">
        <f>IF(Configurator!$E$9="Existing",0,1)</f>
        <v>1</v>
      </c>
      <c r="F48" s="119">
        <v>1</v>
      </c>
      <c r="G48" s="26">
        <f>IF(Configurator!$E$9="New",2,1)</f>
        <v>1</v>
      </c>
      <c r="H48" s="28" t="s">
        <v>154</v>
      </c>
      <c r="I48" s="31"/>
      <c r="J48" s="57"/>
      <c r="K48" s="55">
        <f t="shared" si="0"/>
        <v>44</v>
      </c>
    </row>
    <row r="49" spans="1:11">
      <c r="A49" s="537"/>
      <c r="B49" s="215" t="s">
        <v>251</v>
      </c>
      <c r="C49" s="216"/>
      <c r="D49" s="217"/>
      <c r="E49" s="218"/>
      <c r="F49" s="219"/>
      <c r="G49" s="220"/>
      <c r="H49" s="221"/>
      <c r="I49" s="222"/>
      <c r="J49" s="274"/>
      <c r="K49" s="55">
        <f t="shared" si="0"/>
        <v>45</v>
      </c>
    </row>
    <row r="50" spans="1:11">
      <c r="A50" s="537"/>
      <c r="B50" s="17"/>
      <c r="C50" s="57">
        <f>PRODUCT(E50:I50)*J50+Configurator!F48</f>
        <v>0</v>
      </c>
      <c r="D50" s="63" t="s">
        <v>122</v>
      </c>
      <c r="E50" s="54">
        <f>IF(Configurator!$E$9="Existing",0,1)</f>
        <v>1</v>
      </c>
      <c r="F50" s="119">
        <v>1</v>
      </c>
      <c r="G50" s="26">
        <f>IF(Configurator!$E$9="New",2,1)</f>
        <v>1</v>
      </c>
      <c r="H50" s="28" t="s">
        <v>154</v>
      </c>
      <c r="I50" s="32"/>
      <c r="J50" s="58"/>
      <c r="K50" s="55">
        <f t="shared" si="0"/>
        <v>46</v>
      </c>
    </row>
    <row r="51" spans="1:11">
      <c r="A51" s="537"/>
      <c r="B51" s="16"/>
      <c r="C51" s="57">
        <f>PRODUCT(E51:I51)*J51+Configurator!F49</f>
        <v>0</v>
      </c>
      <c r="D51" s="63" t="s">
        <v>122</v>
      </c>
      <c r="E51" s="54">
        <f>IF(Configurator!$E$9="Existing",0,1)</f>
        <v>1</v>
      </c>
      <c r="F51" s="119">
        <v>1</v>
      </c>
      <c r="G51" s="26">
        <f>IF(Configurator!$E$9="New",2,1)</f>
        <v>1</v>
      </c>
      <c r="H51" s="28" t="s">
        <v>154</v>
      </c>
      <c r="I51" s="32"/>
      <c r="J51" s="58"/>
      <c r="K51" s="55">
        <f t="shared" si="0"/>
        <v>47</v>
      </c>
    </row>
    <row r="52" spans="1:11">
      <c r="A52" s="537"/>
      <c r="B52" s="16" t="s">
        <v>257</v>
      </c>
      <c r="C52" s="57">
        <f>PRODUCT(E52:I52)*J52+Configurator!F50</f>
        <v>32</v>
      </c>
      <c r="D52" s="63" t="s">
        <v>122</v>
      </c>
      <c r="E52" s="54">
        <f>IF(Configurator!$E$9="Existing",0,1)</f>
        <v>1</v>
      </c>
      <c r="F52" s="119">
        <v>1</v>
      </c>
      <c r="G52" s="26">
        <f>IF(Configurator!$E$9="New",2,1)</f>
        <v>1</v>
      </c>
      <c r="H52" s="28" t="s">
        <v>154</v>
      </c>
      <c r="I52" s="32"/>
      <c r="J52" s="58">
        <v>32</v>
      </c>
      <c r="K52" s="55">
        <f t="shared" si="0"/>
        <v>48</v>
      </c>
    </row>
    <row r="53" spans="1:11">
      <c r="A53" s="537"/>
      <c r="B53" s="16"/>
      <c r="C53" s="57">
        <f>PRODUCT(E53:I53)*J53+Configurator!F51</f>
        <v>0</v>
      </c>
      <c r="D53" s="63" t="s">
        <v>122</v>
      </c>
      <c r="E53" s="54">
        <f>IF(Configurator!$E$9="Existing",0,1)</f>
        <v>1</v>
      </c>
      <c r="F53" s="119">
        <v>1</v>
      </c>
      <c r="G53" s="26">
        <f>IF(Configurator!$E$9="New",2,1)</f>
        <v>1</v>
      </c>
      <c r="H53" s="28" t="s">
        <v>154</v>
      </c>
      <c r="I53" s="37">
        <f>Configurator!$E$18</f>
        <v>1</v>
      </c>
      <c r="J53" s="58"/>
      <c r="K53" s="55">
        <f t="shared" si="0"/>
        <v>49</v>
      </c>
    </row>
    <row r="54" spans="1:11">
      <c r="A54" s="537"/>
      <c r="B54" s="16"/>
      <c r="C54" s="57">
        <f>PRODUCT(E54:I54)*J54+Configurator!F52</f>
        <v>0</v>
      </c>
      <c r="D54" s="63" t="s">
        <v>122</v>
      </c>
      <c r="E54" s="54">
        <f>IF(Configurator!$E$9="Existing",0,1)</f>
        <v>1</v>
      </c>
      <c r="F54" s="119">
        <v>1</v>
      </c>
      <c r="G54" s="26">
        <f>IF(Configurator!$E$9="New",2,1)</f>
        <v>1</v>
      </c>
      <c r="H54" s="28" t="s">
        <v>154</v>
      </c>
      <c r="I54" s="37">
        <f>Configurator!$E$18</f>
        <v>1</v>
      </c>
      <c r="J54" s="58"/>
      <c r="K54" s="55">
        <f t="shared" si="0"/>
        <v>50</v>
      </c>
    </row>
    <row r="55" spans="1:11">
      <c r="A55" s="537"/>
      <c r="B55" s="16"/>
      <c r="C55" s="57">
        <f>PRODUCT(E55:I55)*J55+Configurator!F53</f>
        <v>0</v>
      </c>
      <c r="D55" s="63" t="s">
        <v>122</v>
      </c>
      <c r="E55" s="54">
        <f>IF(Configurator!$E$9="Existing",0,1)</f>
        <v>1</v>
      </c>
      <c r="F55" s="119">
        <v>1</v>
      </c>
      <c r="G55" s="26">
        <f>IF(Configurator!$E$9="New",2,1)</f>
        <v>1</v>
      </c>
      <c r="H55" s="28" t="s">
        <v>154</v>
      </c>
      <c r="I55" s="37">
        <f>Configurator!$E$18</f>
        <v>1</v>
      </c>
      <c r="J55" s="58"/>
      <c r="K55" s="55">
        <f t="shared" si="0"/>
        <v>51</v>
      </c>
    </row>
    <row r="56" spans="1:11">
      <c r="A56" s="537"/>
      <c r="B56" s="116"/>
      <c r="C56" s="57">
        <f>PRODUCT(E56:I56)*J56+Configurator!F54</f>
        <v>0</v>
      </c>
      <c r="D56" s="63" t="s">
        <v>122</v>
      </c>
      <c r="E56" s="54">
        <f>IF(Configurator!$E$9="Existing",0,1)</f>
        <v>1</v>
      </c>
      <c r="F56" s="119">
        <v>1</v>
      </c>
      <c r="G56" s="26">
        <f>IF(Configurator!$E$9="New",2,1)</f>
        <v>1</v>
      </c>
      <c r="H56" s="28" t="s">
        <v>154</v>
      </c>
      <c r="I56" s="34"/>
      <c r="J56" s="275"/>
      <c r="K56" s="55">
        <f t="shared" si="0"/>
        <v>52</v>
      </c>
    </row>
    <row r="57" spans="1:11">
      <c r="A57" s="537"/>
      <c r="B57" s="116" t="s">
        <v>268</v>
      </c>
      <c r="C57" s="57">
        <f>PRODUCT(E57:I57)*J57+Configurator!F55</f>
        <v>8</v>
      </c>
      <c r="D57" s="63" t="s">
        <v>122</v>
      </c>
      <c r="E57" s="54">
        <f>IF(Configurator!$E$9="Existing",0,1)</f>
        <v>1</v>
      </c>
      <c r="F57" s="119">
        <v>1</v>
      </c>
      <c r="G57" s="26">
        <f>IF(Configurator!$E$9="New",2,1)</f>
        <v>1</v>
      </c>
      <c r="H57" s="28" t="s">
        <v>154</v>
      </c>
      <c r="I57" s="34"/>
      <c r="J57" s="275">
        <v>8</v>
      </c>
      <c r="K57" s="55">
        <f t="shared" si="0"/>
        <v>53</v>
      </c>
    </row>
    <row r="58" spans="1:11">
      <c r="A58" s="537"/>
      <c r="B58" s="116" t="s">
        <v>269</v>
      </c>
      <c r="C58" s="57">
        <f>PRODUCT(E58:I58)*J58+Configurator!F56</f>
        <v>16</v>
      </c>
      <c r="D58" s="63" t="s">
        <v>122</v>
      </c>
      <c r="E58" s="54">
        <f>IF(Configurator!$E$9="Existing",0,1)</f>
        <v>1</v>
      </c>
      <c r="F58" s="119">
        <v>1</v>
      </c>
      <c r="G58" s="26">
        <f>IF(Configurator!$E$9="New",2,1)</f>
        <v>1</v>
      </c>
      <c r="H58" s="28" t="s">
        <v>154</v>
      </c>
      <c r="I58" s="34"/>
      <c r="J58" s="275">
        <v>16</v>
      </c>
      <c r="K58" s="55">
        <f t="shared" si="0"/>
        <v>54</v>
      </c>
    </row>
    <row r="59" spans="1:11">
      <c r="A59" s="537"/>
      <c r="B59" s="116"/>
      <c r="C59" s="57">
        <f>PRODUCT(E59:I59)*J59+Configurator!F57</f>
        <v>0</v>
      </c>
      <c r="D59" s="63" t="s">
        <v>122</v>
      </c>
      <c r="E59" s="54">
        <f>IF(Configurator!$E$9="Existing",0,1)</f>
        <v>1</v>
      </c>
      <c r="F59" s="119">
        <v>1</v>
      </c>
      <c r="G59" s="26">
        <f>IF(Configurator!$E$9="New",2,1)</f>
        <v>1</v>
      </c>
      <c r="H59" s="28" t="s">
        <v>154</v>
      </c>
      <c r="I59" s="34"/>
      <c r="J59" s="275"/>
      <c r="K59" s="55">
        <f t="shared" si="0"/>
        <v>55</v>
      </c>
    </row>
    <row r="60" spans="1:11">
      <c r="A60" s="537"/>
      <c r="B60" s="116"/>
      <c r="C60" s="57">
        <f>PRODUCT(E60:I60)*J60+Configurator!F58</f>
        <v>0</v>
      </c>
      <c r="D60" s="63" t="s">
        <v>122</v>
      </c>
      <c r="E60" s="54">
        <f>IF(Configurator!$E$9="Existing",0,1)</f>
        <v>1</v>
      </c>
      <c r="F60" s="119">
        <v>1</v>
      </c>
      <c r="G60" s="26">
        <f>IF(Configurator!$E$9="New",2,1)</f>
        <v>1</v>
      </c>
      <c r="H60" s="28" t="s">
        <v>154</v>
      </c>
      <c r="I60" s="34"/>
      <c r="J60" s="275"/>
      <c r="K60" s="55">
        <f t="shared" si="0"/>
        <v>56</v>
      </c>
    </row>
    <row r="61" spans="1:11">
      <c r="A61" s="537"/>
      <c r="B61" s="116"/>
      <c r="C61" s="57">
        <f>PRODUCT(E61:I61)*J61+Configurator!F59</f>
        <v>0</v>
      </c>
      <c r="D61" s="63" t="s">
        <v>122</v>
      </c>
      <c r="E61" s="54">
        <f>IF(Configurator!$E$9="Existing",0,1)</f>
        <v>1</v>
      </c>
      <c r="F61" s="119">
        <v>1</v>
      </c>
      <c r="G61" s="26">
        <f>IF(Configurator!$E$9="New",2,1)</f>
        <v>1</v>
      </c>
      <c r="H61" s="28" t="s">
        <v>154</v>
      </c>
      <c r="I61" s="34"/>
      <c r="J61" s="275"/>
      <c r="K61" s="55">
        <f t="shared" si="0"/>
        <v>57</v>
      </c>
    </row>
    <row r="62" spans="1:11">
      <c r="A62" s="537"/>
      <c r="B62" s="116" t="s">
        <v>399</v>
      </c>
      <c r="C62" s="57">
        <f>IFERROR(PRODUCT(E62:I62)*J62+Configurator!F60,0)</f>
        <v>0</v>
      </c>
      <c r="D62" s="63" t="s">
        <v>122</v>
      </c>
      <c r="E62" s="54">
        <f>IF(Configurator!$E$9="Existing",0,1)</f>
        <v>1</v>
      </c>
      <c r="F62" s="119">
        <v>1</v>
      </c>
      <c r="G62" s="26">
        <f>IF(Configurator!$E$9="New",2,1)</f>
        <v>1</v>
      </c>
      <c r="H62" s="28" t="s">
        <v>154</v>
      </c>
      <c r="I62" s="34"/>
      <c r="J62" s="275">
        <f>Configurator!$I$17</f>
        <v>0</v>
      </c>
      <c r="K62" s="55">
        <f t="shared" si="0"/>
        <v>58</v>
      </c>
    </row>
    <row r="63" spans="1:11">
      <c r="A63" s="537"/>
      <c r="B63" s="255" t="s">
        <v>196</v>
      </c>
      <c r="C63" s="256">
        <f>IFERROR(PRODUCT(E63:I63)*J63,0)</f>
        <v>0</v>
      </c>
      <c r="D63" s="246" t="s">
        <v>122</v>
      </c>
      <c r="E63" s="245">
        <f>IF(Configurator!$E$9="Existing",0,1)</f>
        <v>1</v>
      </c>
      <c r="F63" s="257">
        <v>1</v>
      </c>
      <c r="G63" s="258">
        <f>IF(Configurator!$E$9="New",2,1)</f>
        <v>1</v>
      </c>
      <c r="H63" s="249" t="s">
        <v>154</v>
      </c>
      <c r="I63" s="259"/>
      <c r="J63" s="256">
        <f>Configurator!$J$17</f>
        <v>0</v>
      </c>
      <c r="K63" s="55">
        <f t="shared" si="0"/>
        <v>59</v>
      </c>
    </row>
    <row r="64" spans="1:11">
      <c r="A64" s="537"/>
      <c r="B64" s="16" t="s">
        <v>83</v>
      </c>
      <c r="C64" s="58">
        <f>PRODUCT(E64:I64)*J64</f>
        <v>16</v>
      </c>
      <c r="D64" s="63" t="s">
        <v>122</v>
      </c>
      <c r="E64" s="54">
        <f>IF(Configurator!$E$9="Existing",0,1)</f>
        <v>1</v>
      </c>
      <c r="F64" s="119">
        <v>1</v>
      </c>
      <c r="G64" s="26">
        <f>IF(Configurator!$E$9="New",2,1)</f>
        <v>1</v>
      </c>
      <c r="H64" s="28" t="s">
        <v>154</v>
      </c>
      <c r="I64" s="32"/>
      <c r="J64" s="58">
        <v>16</v>
      </c>
      <c r="K64" s="55">
        <f t="shared" si="0"/>
        <v>60</v>
      </c>
    </row>
    <row r="65" spans="1:11">
      <c r="A65" s="537"/>
      <c r="B65" s="16" t="s">
        <v>284</v>
      </c>
      <c r="C65" s="58">
        <f>PRODUCT(E65:I65)*J65</f>
        <v>4</v>
      </c>
      <c r="D65" s="63" t="s">
        <v>122</v>
      </c>
      <c r="E65" s="54">
        <f>IF(Configurator!$E$9="Existing",0,1)</f>
        <v>1</v>
      </c>
      <c r="F65" s="119">
        <v>1</v>
      </c>
      <c r="G65" s="26">
        <f>IF(Configurator!$E$9="New",2,1)</f>
        <v>1</v>
      </c>
      <c r="H65" s="28" t="s">
        <v>154</v>
      </c>
      <c r="I65" s="32"/>
      <c r="J65" s="58">
        <v>4</v>
      </c>
      <c r="K65" s="55">
        <f t="shared" si="0"/>
        <v>61</v>
      </c>
    </row>
    <row r="66" spans="1:11" ht="15.75" thickBot="1">
      <c r="A66" s="538"/>
      <c r="B66" s="243" t="s">
        <v>199</v>
      </c>
      <c r="C66" s="236">
        <f>J66</f>
        <v>4</v>
      </c>
      <c r="D66" s="237" t="s">
        <v>122</v>
      </c>
      <c r="E66" s="238"/>
      <c r="F66" s="239"/>
      <c r="G66" s="240"/>
      <c r="H66" s="241" t="s">
        <v>154</v>
      </c>
      <c r="I66" s="242"/>
      <c r="J66" s="236">
        <v>4</v>
      </c>
      <c r="K66" s="55">
        <f t="shared" si="0"/>
        <v>62</v>
      </c>
    </row>
    <row r="67" spans="1:11">
      <c r="A67" s="533" t="s">
        <v>15</v>
      </c>
      <c r="B67" s="33" t="s">
        <v>124</v>
      </c>
      <c r="C67" s="59">
        <f>J67</f>
        <v>4</v>
      </c>
      <c r="D67" s="65" t="s">
        <v>122</v>
      </c>
      <c r="E67" s="66" t="s">
        <v>154</v>
      </c>
      <c r="F67" s="67" t="s">
        <v>154</v>
      </c>
      <c r="G67" s="68" t="s">
        <v>154</v>
      </c>
      <c r="H67" s="69" t="s">
        <v>154</v>
      </c>
      <c r="I67" s="70" t="s">
        <v>154</v>
      </c>
      <c r="J67" s="59">
        <v>4</v>
      </c>
      <c r="K67" s="55">
        <f t="shared" si="0"/>
        <v>63</v>
      </c>
    </row>
    <row r="68" spans="1:11">
      <c r="A68" s="534"/>
      <c r="B68" s="27" t="s">
        <v>16</v>
      </c>
      <c r="C68" s="58">
        <f t="shared" ref="C68:C71" si="4">J68</f>
        <v>8</v>
      </c>
      <c r="D68" s="63" t="s">
        <v>122</v>
      </c>
      <c r="E68" s="71" t="s">
        <v>154</v>
      </c>
      <c r="F68" s="72" t="s">
        <v>154</v>
      </c>
      <c r="G68" s="73" t="s">
        <v>154</v>
      </c>
      <c r="H68" s="74" t="s">
        <v>154</v>
      </c>
      <c r="I68" s="75" t="s">
        <v>154</v>
      </c>
      <c r="J68" s="58">
        <v>8</v>
      </c>
      <c r="K68" s="55">
        <f t="shared" si="0"/>
        <v>64</v>
      </c>
    </row>
    <row r="69" spans="1:11">
      <c r="A69" s="534"/>
      <c r="B69" s="27" t="s">
        <v>273</v>
      </c>
      <c r="C69" s="58">
        <f t="shared" si="4"/>
        <v>8</v>
      </c>
      <c r="D69" s="63" t="s">
        <v>122</v>
      </c>
      <c r="E69" s="71" t="s">
        <v>154</v>
      </c>
      <c r="F69" s="72" t="s">
        <v>154</v>
      </c>
      <c r="G69" s="73" t="s">
        <v>154</v>
      </c>
      <c r="H69" s="74" t="s">
        <v>154</v>
      </c>
      <c r="I69" s="75" t="s">
        <v>154</v>
      </c>
      <c r="J69" s="58">
        <v>8</v>
      </c>
      <c r="K69" s="55">
        <f t="shared" si="0"/>
        <v>65</v>
      </c>
    </row>
    <row r="70" spans="1:11" ht="30">
      <c r="A70" s="534"/>
      <c r="B70" s="260" t="s">
        <v>191</v>
      </c>
      <c r="C70" s="261">
        <f>J70</f>
        <v>0</v>
      </c>
      <c r="D70" s="262" t="s">
        <v>123</v>
      </c>
      <c r="E70" s="263" t="s">
        <v>154</v>
      </c>
      <c r="F70" s="264" t="s">
        <v>154</v>
      </c>
      <c r="G70" s="265" t="s">
        <v>154</v>
      </c>
      <c r="H70" s="266" t="s">
        <v>154</v>
      </c>
      <c r="I70" s="267" t="s">
        <v>154</v>
      </c>
      <c r="J70" s="276">
        <f>Configurator!$F$20</f>
        <v>0</v>
      </c>
      <c r="K70" s="72">
        <f t="shared" si="0"/>
        <v>66</v>
      </c>
    </row>
    <row r="71" spans="1:11" ht="15.75" thickBot="1">
      <c r="A71" s="535"/>
      <c r="B71" s="35" t="s">
        <v>13</v>
      </c>
      <c r="C71" s="60">
        <f t="shared" si="4"/>
        <v>8</v>
      </c>
      <c r="D71" s="64" t="s">
        <v>122</v>
      </c>
      <c r="E71" s="76" t="s">
        <v>154</v>
      </c>
      <c r="F71" s="77" t="s">
        <v>154</v>
      </c>
      <c r="G71" s="78" t="s">
        <v>154</v>
      </c>
      <c r="H71" s="79" t="s">
        <v>154</v>
      </c>
      <c r="I71" s="80" t="s">
        <v>154</v>
      </c>
      <c r="J71" s="60">
        <v>8</v>
      </c>
      <c r="K71" s="278">
        <f t="shared" si="0"/>
        <v>67</v>
      </c>
    </row>
  </sheetData>
  <mergeCells count="3">
    <mergeCell ref="A5:A12"/>
    <mergeCell ref="A67:A71"/>
    <mergeCell ref="A13:A66"/>
  </mergeCells>
  <pageMargins left="0.7" right="0.7" top="0.75" bottom="0.75" header="0.3" footer="0.3"/>
  <pageSetup paperSize="8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5" r:id="rId4" name="Button 33">
              <controlPr defaultSize="0" print="0" autoFill="0" autoPict="0" macro="[0]!Foglio19.Mostra_Userform">
                <anchor moveWithCells="1" sizeWithCells="1">
                  <from>
                    <xdr:col>11</xdr:col>
                    <xdr:colOff>219075</xdr:colOff>
                    <xdr:row>0</xdr:row>
                    <xdr:rowOff>95250</xdr:rowOff>
                  </from>
                  <to>
                    <xdr:col>14</xdr:col>
                    <xdr:colOff>428625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1AD6D-3498-49B8-AE38-D21189C1450F}">
  <sheetPr codeName="Foglio3">
    <tabColor rgb="FF92D050"/>
    <pageSetUpPr fitToPage="1"/>
  </sheetPr>
  <dimension ref="B2:H57"/>
  <sheetViews>
    <sheetView showGridLines="0" zoomScaleNormal="100" workbookViewId="0">
      <selection activeCell="P15" sqref="P15"/>
    </sheetView>
  </sheetViews>
  <sheetFormatPr defaultRowHeight="15"/>
  <cols>
    <col min="1" max="1" width="3.42578125" customWidth="1"/>
    <col min="2" max="2" width="32.140625" bestFit="1" customWidth="1"/>
    <col min="3" max="3" width="30.7109375" customWidth="1"/>
    <col min="4" max="4" width="3.5703125" customWidth="1"/>
    <col min="5" max="5" width="7" customWidth="1"/>
    <col min="6" max="6" width="36.28515625" bestFit="1" customWidth="1"/>
    <col min="7" max="7" width="9.5703125" style="407" customWidth="1"/>
    <col min="8" max="8" width="9.140625" style="407"/>
  </cols>
  <sheetData>
    <row r="2" spans="2:8" s="15" customFormat="1">
      <c r="B2" s="541" t="s">
        <v>371</v>
      </c>
      <c r="C2" s="541"/>
      <c r="E2" s="542" t="s">
        <v>372</v>
      </c>
      <c r="F2" s="542"/>
      <c r="G2" s="542"/>
      <c r="H2" s="542"/>
    </row>
    <row r="3" spans="2:8">
      <c r="B3" s="402" t="s">
        <v>88</v>
      </c>
      <c r="C3" s="372"/>
      <c r="E3" s="405" t="s">
        <v>19</v>
      </c>
      <c r="F3" s="405" t="s">
        <v>0</v>
      </c>
      <c r="G3" s="406" t="s">
        <v>9</v>
      </c>
      <c r="H3" s="406" t="s">
        <v>370</v>
      </c>
    </row>
    <row r="4" spans="2:8">
      <c r="B4" s="14" t="s">
        <v>89</v>
      </c>
      <c r="C4" s="1" t="str">
        <f>IF(Configurator!E5="","",Configurator!E5)</f>
        <v>Horizontal</v>
      </c>
    </row>
    <row r="5" spans="2:8">
      <c r="B5" s="14" t="s">
        <v>90</v>
      </c>
      <c r="C5" s="1" t="str">
        <f>IF(Configurator!E6="","",Configurator!E6)</f>
        <v>BB1 (1 Stage-DS)</v>
      </c>
      <c r="E5" s="539" t="s">
        <v>97</v>
      </c>
      <c r="F5" s="539"/>
      <c r="G5" s="408">
        <f>SUM(G6:G8)</f>
        <v>287</v>
      </c>
      <c r="H5" s="413">
        <f>G5/$H$36</f>
        <v>41</v>
      </c>
    </row>
    <row r="6" spans="2:8">
      <c r="B6" s="14" t="s">
        <v>18</v>
      </c>
      <c r="C6" s="1" t="str">
        <f>IF(Configurator!E7="","",Configurator!E7)</f>
        <v/>
      </c>
      <c r="E6" s="404" t="s">
        <v>3</v>
      </c>
      <c r="G6" s="409">
        <f>SUMIF(MASTER!$D$5:$D$12,REPORT!E6,MASTER!$C$5:$C$12)</f>
        <v>195</v>
      </c>
      <c r="H6" s="414">
        <f>G6/$H$36</f>
        <v>27.857142857142858</v>
      </c>
    </row>
    <row r="7" spans="2:8">
      <c r="B7" s="14" t="s">
        <v>91</v>
      </c>
      <c r="C7" s="312" t="str">
        <f>IF(Configurator!E4="","",Configurator!E4)</f>
        <v/>
      </c>
      <c r="E7" s="404" t="s">
        <v>122</v>
      </c>
      <c r="G7" s="409">
        <f>SUMIF(MASTER!$D$5:$D$12,REPORT!E7,MASTER!$C$5:$C$12)</f>
        <v>48</v>
      </c>
      <c r="H7" s="414">
        <f>G7/$H$36</f>
        <v>6.8571428571428568</v>
      </c>
    </row>
    <row r="8" spans="2:8">
      <c r="B8" s="14" t="s">
        <v>92</v>
      </c>
      <c r="C8" s="1" t="str">
        <f>IF(Configurator!E8="","",Configurator!E8)</f>
        <v>HIGH</v>
      </c>
      <c r="E8" s="404" t="s">
        <v>123</v>
      </c>
      <c r="G8" s="409">
        <f>SUMIF(MASTER!$D$5:$D$12,REPORT!E8,MASTER!$C$5:$C$12)</f>
        <v>44</v>
      </c>
      <c r="H8" s="414">
        <f>G8/$H$36</f>
        <v>6.2857142857142856</v>
      </c>
    </row>
    <row r="9" spans="2:8">
      <c r="B9" s="14" t="s">
        <v>93</v>
      </c>
      <c r="C9" s="1" t="str">
        <f>IF(Configurator!E9="","",Configurator!E9)</f>
        <v>Scaled</v>
      </c>
      <c r="H9" s="412"/>
    </row>
    <row r="10" spans="2:8">
      <c r="B10" s="1"/>
      <c r="C10" s="1"/>
      <c r="E10" s="539" t="s">
        <v>106</v>
      </c>
      <c r="F10" s="539"/>
      <c r="G10" s="408">
        <f>SUM(G11:G19)</f>
        <v>312</v>
      </c>
      <c r="H10" s="413">
        <f t="shared" ref="H10:H22" si="0">G10/$H$36</f>
        <v>44.571428571428569</v>
      </c>
    </row>
    <row r="11" spans="2:8" ht="15" customHeight="1">
      <c r="B11" s="1"/>
      <c r="C11" s="1"/>
      <c r="E11" s="390" t="s">
        <v>75</v>
      </c>
      <c r="F11" s="390" t="s">
        <v>126</v>
      </c>
      <c r="G11" s="410">
        <f>SUM(MASTER!C13:C14)</f>
        <v>136</v>
      </c>
      <c r="H11" s="415">
        <f t="shared" si="0"/>
        <v>19.428571428571427</v>
      </c>
    </row>
    <row r="12" spans="2:8">
      <c r="B12" s="402" t="s">
        <v>94</v>
      </c>
      <c r="C12" s="372"/>
      <c r="E12" s="390" t="s">
        <v>76</v>
      </c>
      <c r="F12" s="390" t="s">
        <v>127</v>
      </c>
      <c r="G12" s="410">
        <f>SUM(MASTER!C15:C19)</f>
        <v>0</v>
      </c>
      <c r="H12" s="415">
        <f t="shared" si="0"/>
        <v>0</v>
      </c>
    </row>
    <row r="13" spans="2:8">
      <c r="B13" s="14" t="s">
        <v>111</v>
      </c>
      <c r="C13" s="312" t="str">
        <f>IF(Configurator!E10="","",Configurator!E10)</f>
        <v>NO</v>
      </c>
      <c r="E13" s="390" t="s">
        <v>77</v>
      </c>
      <c r="F13" s="390" t="s">
        <v>128</v>
      </c>
      <c r="G13" s="410">
        <f>SUM(MASTER!C20:C22)</f>
        <v>32</v>
      </c>
      <c r="H13" s="415">
        <f t="shared" si="0"/>
        <v>4.5714285714285712</v>
      </c>
    </row>
    <row r="14" spans="2:8">
      <c r="B14" s="14" t="s">
        <v>110</v>
      </c>
      <c r="C14" s="1" t="str">
        <f>IF(Configurator!E11="","",Configurator!E11)</f>
        <v>NO</v>
      </c>
      <c r="E14" s="390" t="s">
        <v>78</v>
      </c>
      <c r="F14" s="390" t="s">
        <v>129</v>
      </c>
      <c r="G14" s="410">
        <f>SUM(MASTER!C23:C25)</f>
        <v>0</v>
      </c>
      <c r="H14" s="415">
        <f t="shared" si="0"/>
        <v>0</v>
      </c>
    </row>
    <row r="15" spans="2:8">
      <c r="B15" s="14" t="s">
        <v>112</v>
      </c>
      <c r="C15" s="1" t="str">
        <f>IF(Configurator!E12="","",Configurator!E12)</f>
        <v>Level 2</v>
      </c>
      <c r="E15" s="390" t="s">
        <v>79</v>
      </c>
      <c r="F15" s="390" t="s">
        <v>360</v>
      </c>
      <c r="G15" s="410">
        <f>SUM(MASTER!C26:C28)</f>
        <v>0</v>
      </c>
      <c r="H15" s="415">
        <f t="shared" si="0"/>
        <v>0</v>
      </c>
    </row>
    <row r="16" spans="2:8">
      <c r="B16" s="14" t="s">
        <v>113</v>
      </c>
      <c r="C16" s="1" t="str">
        <f>IF(Configurator!E13="","",Configurator!E13)</f>
        <v>Level 2</v>
      </c>
      <c r="E16" s="390" t="s">
        <v>80</v>
      </c>
      <c r="F16" s="390" t="s">
        <v>130</v>
      </c>
      <c r="G16" s="410">
        <f>SUM(MASTER!C29:C35)</f>
        <v>20</v>
      </c>
      <c r="H16" s="415">
        <f t="shared" si="0"/>
        <v>2.8571428571428572</v>
      </c>
    </row>
    <row r="17" spans="2:8">
      <c r="B17" s="14" t="s">
        <v>114</v>
      </c>
      <c r="C17" s="1" t="str">
        <f>IF(Configurator!E14="","",Configurator!E14)</f>
        <v>Level 2</v>
      </c>
      <c r="E17" s="390" t="s">
        <v>81</v>
      </c>
      <c r="F17" s="390" t="s">
        <v>201</v>
      </c>
      <c r="G17" s="410">
        <f>SUM(MASTER!C36:C41)</f>
        <v>44</v>
      </c>
      <c r="H17" s="415">
        <f t="shared" si="0"/>
        <v>6.2857142857142856</v>
      </c>
    </row>
    <row r="18" spans="2:8">
      <c r="B18" s="14" t="s">
        <v>115</v>
      </c>
      <c r="C18" s="1" t="str">
        <f>IF(Configurator!E15="","",Configurator!E15)</f>
        <v>Level 3</v>
      </c>
      <c r="E18" s="390" t="s">
        <v>277</v>
      </c>
      <c r="F18" s="390" t="s">
        <v>278</v>
      </c>
      <c r="G18" s="410">
        <f>SUM(MASTER!C42:C49)</f>
        <v>0</v>
      </c>
      <c r="H18" s="415">
        <f t="shared" si="0"/>
        <v>0</v>
      </c>
    </row>
    <row r="19" spans="2:8" ht="15" customHeight="1">
      <c r="B19" s="14" t="s">
        <v>29</v>
      </c>
      <c r="C19" s="1" t="str">
        <f>IF(Configurator!E16="","",Configurator!E16)</f>
        <v>NO</v>
      </c>
      <c r="E19" s="390" t="s">
        <v>82</v>
      </c>
      <c r="F19" s="390" t="s">
        <v>131</v>
      </c>
      <c r="G19" s="410">
        <f>SUM(MASTER!C50:C66)</f>
        <v>80</v>
      </c>
      <c r="H19" s="415">
        <f t="shared" si="0"/>
        <v>11.428571428571429</v>
      </c>
    </row>
    <row r="20" spans="2:8">
      <c r="B20" s="14" t="s">
        <v>98</v>
      </c>
      <c r="C20" s="1" t="str">
        <f>IF(Configurator!E17="","",Configurator!E17)</f>
        <v>NO</v>
      </c>
      <c r="E20" s="404" t="s">
        <v>3</v>
      </c>
      <c r="G20" s="409">
        <f>SUMIF(MASTER!$D$13:$D$66,REPORT!E20,MASTER!$C$13:$C$66)</f>
        <v>0</v>
      </c>
      <c r="H20" s="414">
        <f t="shared" si="0"/>
        <v>0</v>
      </c>
    </row>
    <row r="21" spans="2:8">
      <c r="B21" s="1"/>
      <c r="C21" s="1"/>
      <c r="E21" s="404" t="s">
        <v>122</v>
      </c>
      <c r="G21" s="409">
        <f>SUMIF(MASTER!$D$13:$D$66,REPORT!E21,MASTER!$C$13:$C$66)</f>
        <v>312</v>
      </c>
      <c r="H21" s="414">
        <f t="shared" si="0"/>
        <v>44.571428571428569</v>
      </c>
    </row>
    <row r="22" spans="2:8">
      <c r="B22" s="1"/>
      <c r="C22" s="1"/>
      <c r="E22" s="404" t="s">
        <v>123</v>
      </c>
      <c r="G22" s="409">
        <f>SUMIF(MASTER!$D$13:$D$66,REPORT!E22,MASTER!$C$13:$C$66)</f>
        <v>0</v>
      </c>
      <c r="H22" s="414">
        <f t="shared" si="0"/>
        <v>0</v>
      </c>
    </row>
    <row r="23" spans="2:8">
      <c r="B23" s="402" t="s">
        <v>95</v>
      </c>
      <c r="C23" s="372"/>
      <c r="H23" s="412"/>
    </row>
    <row r="24" spans="2:8">
      <c r="B24" s="14" t="s">
        <v>107</v>
      </c>
      <c r="C24" s="312">
        <f>IF(Configurator!E18="","",Configurator!E18)</f>
        <v>1</v>
      </c>
      <c r="E24" s="539" t="s">
        <v>15</v>
      </c>
      <c r="F24" s="539"/>
      <c r="G24" s="408">
        <f>SUM(G25:G27)</f>
        <v>28</v>
      </c>
      <c r="H24" s="413">
        <f>G24/$H$36</f>
        <v>4</v>
      </c>
    </row>
    <row r="25" spans="2:8">
      <c r="B25" s="14" t="s">
        <v>108</v>
      </c>
      <c r="C25" s="1" t="str">
        <f>IF(Configurator!E19="","",Configurator!E19)</f>
        <v>NO</v>
      </c>
      <c r="E25" s="404" t="s">
        <v>3</v>
      </c>
      <c r="G25" s="409">
        <f>SUMIF(MASTER!$D$67:$D$71,REPORT!E25,MASTER!$C$67:$C$71)</f>
        <v>0</v>
      </c>
      <c r="H25" s="416">
        <f>G25/$H$36</f>
        <v>0</v>
      </c>
    </row>
    <row r="26" spans="2:8">
      <c r="B26" s="1"/>
      <c r="C26" s="1"/>
      <c r="E26" s="404" t="s">
        <v>122</v>
      </c>
      <c r="G26" s="409">
        <f>SUMIF(MASTER!$D$67:$D$71,REPORT!E26,MASTER!$C$67:$C$71)</f>
        <v>28</v>
      </c>
      <c r="H26" s="416">
        <f>G26/$H$36</f>
        <v>4</v>
      </c>
    </row>
    <row r="27" spans="2:8">
      <c r="B27" s="1"/>
      <c r="C27" s="1"/>
      <c r="E27" s="404" t="s">
        <v>123</v>
      </c>
      <c r="G27" s="409">
        <f>SUMIF(MASTER!$D$67:$D$71,REPORT!E27,MASTER!$C$67:$C$71)</f>
        <v>0</v>
      </c>
      <c r="H27" s="416">
        <f>G27/$H$36</f>
        <v>0</v>
      </c>
    </row>
    <row r="28" spans="2:8">
      <c r="B28" s="402" t="s">
        <v>96</v>
      </c>
      <c r="C28" s="372"/>
      <c r="H28" s="412"/>
    </row>
    <row r="29" spans="2:8">
      <c r="B29" s="14" t="s">
        <v>125</v>
      </c>
      <c r="C29" s="1" t="str">
        <f>IF(Configurator!E20="","",Configurator!E20)</f>
        <v>NO</v>
      </c>
      <c r="E29" s="540" t="s">
        <v>295</v>
      </c>
      <c r="F29" s="540"/>
      <c r="G29" s="411">
        <f>G5+G10+G24</f>
        <v>627</v>
      </c>
      <c r="H29" s="417">
        <f t="shared" ref="H29:H34" si="1">G29/$H$36</f>
        <v>89.571428571428569</v>
      </c>
    </row>
    <row r="30" spans="2:8">
      <c r="B30" s="14"/>
      <c r="C30" s="1"/>
      <c r="E30" s="404" t="s">
        <v>3</v>
      </c>
      <c r="G30" s="409">
        <f>SUMIF(MASTER!$D$5:$D$71,REPORT!E30,MASTER!$C$5:$C$71)</f>
        <v>195</v>
      </c>
      <c r="H30" s="416">
        <f t="shared" si="1"/>
        <v>27.857142857142858</v>
      </c>
    </row>
    <row r="31" spans="2:8">
      <c r="B31" s="14"/>
      <c r="C31" s="1"/>
      <c r="F31" s="369" t="s">
        <v>365</v>
      </c>
      <c r="G31" s="369">
        <f>MASTER!C10+MASTER!C11</f>
        <v>0</v>
      </c>
      <c r="H31" s="418">
        <f t="shared" si="1"/>
        <v>0</v>
      </c>
    </row>
    <row r="32" spans="2:8">
      <c r="F32" s="369" t="s">
        <v>366</v>
      </c>
      <c r="G32" s="369">
        <f>MASTER!C12</f>
        <v>195</v>
      </c>
      <c r="H32" s="418">
        <f t="shared" si="1"/>
        <v>27.857142857142858</v>
      </c>
    </row>
    <row r="33" spans="5:8">
      <c r="E33" s="13" t="s">
        <v>122</v>
      </c>
      <c r="G33" s="409">
        <f>SUMIF(MASTER!$D$5:$D$71,REPORT!E33,MASTER!$C$5:$C$71)</f>
        <v>388</v>
      </c>
      <c r="H33" s="416">
        <f t="shared" si="1"/>
        <v>55.428571428571431</v>
      </c>
    </row>
    <row r="34" spans="5:8">
      <c r="E34" s="13" t="s">
        <v>123</v>
      </c>
      <c r="G34" s="409">
        <f>SUMIF(MASTER!$D$5:$D$71,REPORT!E34,MASTER!$C$5:$C$71)</f>
        <v>44</v>
      </c>
      <c r="H34" s="416">
        <f t="shared" si="1"/>
        <v>6.2857142857142856</v>
      </c>
    </row>
    <row r="36" spans="5:8">
      <c r="G36" s="15" t="s">
        <v>373</v>
      </c>
      <c r="H36" s="407">
        <v>7</v>
      </c>
    </row>
    <row r="55" spans="2:2">
      <c r="B55" s="15"/>
    </row>
    <row r="56" spans="2:2">
      <c r="B56" s="15"/>
    </row>
    <row r="57" spans="2:2">
      <c r="B57" s="15"/>
    </row>
  </sheetData>
  <mergeCells count="6">
    <mergeCell ref="E5:F5"/>
    <mergeCell ref="E10:F10"/>
    <mergeCell ref="E24:F24"/>
    <mergeCell ref="E29:F29"/>
    <mergeCell ref="B2:C2"/>
    <mergeCell ref="E2:H2"/>
  </mergeCells>
  <pageMargins left="0.28000000000000003" right="0.24" top="0.32" bottom="0.28000000000000003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Esporta_in_TR">
                <anchor moveWithCells="1" sizeWithCells="1">
                  <from>
                    <xdr:col>9</xdr:col>
                    <xdr:colOff>323850</xdr:colOff>
                    <xdr:row>1</xdr:row>
                    <xdr:rowOff>0</xdr:rowOff>
                  </from>
                  <to>
                    <xdr:col>16</xdr:col>
                    <xdr:colOff>171450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7F04D-913E-4CEB-9FBC-87C08C515842}">
  <sheetPr codeName="Foglio8">
    <tabColor rgb="FF92D050"/>
  </sheetPr>
  <dimension ref="B1:JQ45"/>
  <sheetViews>
    <sheetView showGridLines="0" workbookViewId="0">
      <pane xSplit="12" ySplit="12" topLeftCell="M13" activePane="bottomRight" state="frozen"/>
      <selection activeCell="P36" sqref="P36"/>
      <selection pane="topRight" activeCell="P36" sqref="P36"/>
      <selection pane="bottomLeft" activeCell="P36" sqref="P36"/>
      <selection pane="bottomRight" activeCell="CT29" sqref="CT29"/>
    </sheetView>
  </sheetViews>
  <sheetFormatPr defaultRowHeight="15"/>
  <cols>
    <col min="1" max="1" width="3.42578125" customWidth="1"/>
    <col min="2" max="2" width="29.85546875" customWidth="1"/>
    <col min="3" max="3" width="19.85546875" customWidth="1"/>
    <col min="4" max="4" width="27.140625" bestFit="1" customWidth="1"/>
    <col min="5" max="6" width="12.28515625" customWidth="1"/>
    <col min="7" max="7" width="3.5703125" hidden="1" customWidth="1"/>
    <col min="8" max="11" width="6.5703125" hidden="1" customWidth="1"/>
    <col min="12" max="12" width="1.85546875" hidden="1" customWidth="1"/>
    <col min="13" max="277" width="1.140625" customWidth="1"/>
    <col min="278" max="278" width="8.5703125" customWidth="1"/>
  </cols>
  <sheetData>
    <row r="1" spans="2:277" ht="10.5" customHeight="1">
      <c r="M1" s="427"/>
    </row>
    <row r="2" spans="2:277" ht="15" customHeight="1">
      <c r="B2" t="str">
        <f>REPORT!B7&amp;": "</f>
        <v xml:space="preserve">Reference Project/Opportunity: </v>
      </c>
      <c r="C2" s="38" t="str">
        <f>REPORT!C7</f>
        <v/>
      </c>
      <c r="D2" s="485" t="s">
        <v>123</v>
      </c>
      <c r="E2" s="419"/>
      <c r="F2" s="419"/>
      <c r="G2" s="419"/>
      <c r="H2" s="419"/>
      <c r="I2" s="419"/>
      <c r="J2" s="419"/>
      <c r="K2" s="419"/>
      <c r="L2" s="419"/>
      <c r="R2" s="158"/>
      <c r="AB2" s="549"/>
      <c r="AC2" s="549"/>
      <c r="AD2" s="549"/>
    </row>
    <row r="3" spans="2:277" ht="15" customHeight="1">
      <c r="B3" t="str">
        <f>REPORT!B6&amp;": "</f>
        <v xml:space="preserve">Pump Type: </v>
      </c>
      <c r="C3" s="38" t="str">
        <f>REPORT!C6</f>
        <v/>
      </c>
      <c r="D3" s="486" t="s">
        <v>122</v>
      </c>
      <c r="E3" s="419"/>
      <c r="F3" s="419"/>
      <c r="G3" s="419"/>
      <c r="H3" s="419"/>
      <c r="I3" s="419"/>
      <c r="J3" s="419"/>
      <c r="K3" s="419"/>
      <c r="L3" s="419"/>
    </row>
    <row r="4" spans="2:277" ht="15" customHeight="1">
      <c r="B4" t="str">
        <f>REPORT!B5&amp;": "</f>
        <v xml:space="preserve">Pump Family: </v>
      </c>
      <c r="C4" s="38" t="str">
        <f>REPORT!C5</f>
        <v>BB1 (1 Stage-DS)</v>
      </c>
      <c r="D4" s="430" t="s">
        <v>365</v>
      </c>
      <c r="E4" s="419"/>
      <c r="F4" s="419"/>
      <c r="G4" s="419"/>
      <c r="H4" s="419"/>
      <c r="I4" s="419"/>
      <c r="J4" s="419"/>
      <c r="K4" s="419"/>
      <c r="L4" s="419"/>
    </row>
    <row r="5" spans="2:277" ht="15" customHeight="1">
      <c r="B5" s="38"/>
      <c r="C5" s="38"/>
      <c r="D5" s="431" t="s">
        <v>366</v>
      </c>
      <c r="E5" s="419"/>
      <c r="F5" s="419"/>
      <c r="G5" s="419"/>
      <c r="H5" s="419"/>
      <c r="I5" s="419"/>
      <c r="J5" s="419"/>
      <c r="K5" s="419"/>
      <c r="L5" s="419"/>
    </row>
    <row r="6" spans="2:277" ht="15" customHeight="1">
      <c r="B6" s="421"/>
      <c r="C6" s="421"/>
      <c r="D6" s="420"/>
      <c r="E6" s="419"/>
      <c r="F6" s="419"/>
      <c r="G6" s="419"/>
      <c r="H6" s="419"/>
      <c r="I6" s="419"/>
      <c r="J6" s="419"/>
      <c r="K6" s="419"/>
      <c r="L6" s="419"/>
    </row>
    <row r="7" spans="2:277" hidden="1">
      <c r="B7" s="421"/>
      <c r="C7" s="421"/>
      <c r="D7" s="421"/>
      <c r="E7" s="419"/>
      <c r="F7" s="419"/>
      <c r="H7" s="419"/>
      <c r="I7" s="419"/>
      <c r="J7" s="419"/>
      <c r="K7" s="419"/>
      <c r="L7" s="419"/>
      <c r="M7" s="423">
        <v>1</v>
      </c>
      <c r="N7" s="423">
        <f>M7+1</f>
        <v>2</v>
      </c>
      <c r="O7" s="423">
        <f t="shared" ref="O7:W7" si="0">N7+1</f>
        <v>3</v>
      </c>
      <c r="P7" s="423">
        <f t="shared" si="0"/>
        <v>4</v>
      </c>
      <c r="Q7" s="423">
        <f t="shared" si="0"/>
        <v>5</v>
      </c>
      <c r="R7" s="423">
        <f>Q7+1</f>
        <v>6</v>
      </c>
      <c r="S7" s="423">
        <f t="shared" si="0"/>
        <v>7</v>
      </c>
      <c r="T7" s="423">
        <f t="shared" si="0"/>
        <v>8</v>
      </c>
      <c r="U7" s="423">
        <f t="shared" si="0"/>
        <v>9</v>
      </c>
      <c r="V7" s="423">
        <f t="shared" si="0"/>
        <v>10</v>
      </c>
      <c r="W7" s="423">
        <f t="shared" si="0"/>
        <v>11</v>
      </c>
      <c r="X7" s="423">
        <f t="shared" ref="X7" si="1">W7+1</f>
        <v>12</v>
      </c>
      <c r="Y7" s="423">
        <f t="shared" ref="Y7" si="2">X7+1</f>
        <v>13</v>
      </c>
      <c r="Z7" s="423">
        <f t="shared" ref="Z7" si="3">Y7+1</f>
        <v>14</v>
      </c>
      <c r="AA7" s="423">
        <f t="shared" ref="AA7:AB7" si="4">Z7+1</f>
        <v>15</v>
      </c>
      <c r="AB7" s="423">
        <f t="shared" si="4"/>
        <v>16</v>
      </c>
      <c r="AC7" s="423">
        <f t="shared" ref="AC7" si="5">AB7+1</f>
        <v>17</v>
      </c>
      <c r="AD7" s="423">
        <f t="shared" ref="AD7" si="6">AC7+1</f>
        <v>18</v>
      </c>
      <c r="AE7" s="423">
        <f t="shared" ref="AE7" si="7">AD7+1</f>
        <v>19</v>
      </c>
      <c r="AF7" s="423">
        <f t="shared" ref="AF7:AG7" si="8">AE7+1</f>
        <v>20</v>
      </c>
      <c r="AG7" s="423">
        <f t="shared" si="8"/>
        <v>21</v>
      </c>
      <c r="AH7" s="423">
        <f t="shared" ref="AH7" si="9">AG7+1</f>
        <v>22</v>
      </c>
      <c r="AI7" s="423">
        <f t="shared" ref="AI7" si="10">AH7+1</f>
        <v>23</v>
      </c>
      <c r="AJ7" s="423">
        <f t="shared" ref="AJ7" si="11">AI7+1</f>
        <v>24</v>
      </c>
      <c r="AK7" s="423">
        <f t="shared" ref="AK7:AL7" si="12">AJ7+1</f>
        <v>25</v>
      </c>
      <c r="AL7" s="423">
        <f t="shared" si="12"/>
        <v>26</v>
      </c>
      <c r="AM7" s="423">
        <f t="shared" ref="AM7" si="13">AL7+1</f>
        <v>27</v>
      </c>
      <c r="AN7" s="423">
        <f t="shared" ref="AN7" si="14">AM7+1</f>
        <v>28</v>
      </c>
      <c r="AO7" s="423">
        <f t="shared" ref="AO7" si="15">AN7+1</f>
        <v>29</v>
      </c>
      <c r="AP7" s="423">
        <f t="shared" ref="AP7:AQ7" si="16">AO7+1</f>
        <v>30</v>
      </c>
      <c r="AQ7" s="423">
        <f t="shared" si="16"/>
        <v>31</v>
      </c>
      <c r="AR7" s="423">
        <f t="shared" ref="AR7" si="17">AQ7+1</f>
        <v>32</v>
      </c>
      <c r="AS7" s="423">
        <f t="shared" ref="AS7" si="18">AR7+1</f>
        <v>33</v>
      </c>
      <c r="AT7" s="423">
        <f t="shared" ref="AT7" si="19">AS7+1</f>
        <v>34</v>
      </c>
      <c r="AU7" s="423">
        <f t="shared" ref="AU7:AV7" si="20">AT7+1</f>
        <v>35</v>
      </c>
      <c r="AV7" s="423">
        <f t="shared" si="20"/>
        <v>36</v>
      </c>
      <c r="AW7" s="423">
        <f t="shared" ref="AW7" si="21">AV7+1</f>
        <v>37</v>
      </c>
      <c r="AX7" s="423">
        <f t="shared" ref="AX7" si="22">AW7+1</f>
        <v>38</v>
      </c>
      <c r="AY7" s="423">
        <f t="shared" ref="AY7" si="23">AX7+1</f>
        <v>39</v>
      </c>
      <c r="AZ7" s="423">
        <f t="shared" ref="AZ7:BA7" si="24">AY7+1</f>
        <v>40</v>
      </c>
      <c r="BA7" s="423">
        <f t="shared" si="24"/>
        <v>41</v>
      </c>
      <c r="BB7" s="423">
        <f t="shared" ref="BB7" si="25">BA7+1</f>
        <v>42</v>
      </c>
      <c r="BC7" s="423">
        <f t="shared" ref="BC7" si="26">BB7+1</f>
        <v>43</v>
      </c>
      <c r="BD7" s="423">
        <f t="shared" ref="BD7" si="27">BC7+1</f>
        <v>44</v>
      </c>
      <c r="BE7" s="423">
        <f t="shared" ref="BE7:BF7" si="28">BD7+1</f>
        <v>45</v>
      </c>
      <c r="BF7" s="423">
        <f t="shared" si="28"/>
        <v>46</v>
      </c>
      <c r="BG7" s="423">
        <f t="shared" ref="BG7" si="29">BF7+1</f>
        <v>47</v>
      </c>
      <c r="BH7" s="423">
        <f t="shared" ref="BH7" si="30">BG7+1</f>
        <v>48</v>
      </c>
      <c r="BI7" s="423">
        <f t="shared" ref="BI7" si="31">BH7+1</f>
        <v>49</v>
      </c>
      <c r="BJ7" s="423">
        <f t="shared" ref="BJ7:BK7" si="32">BI7+1</f>
        <v>50</v>
      </c>
      <c r="BK7" s="423">
        <f t="shared" si="32"/>
        <v>51</v>
      </c>
      <c r="BL7" s="423">
        <f t="shared" ref="BL7" si="33">BK7+1</f>
        <v>52</v>
      </c>
      <c r="BM7" s="423">
        <f t="shared" ref="BM7" si="34">BL7+1</f>
        <v>53</v>
      </c>
      <c r="BN7" s="423">
        <f t="shared" ref="BN7" si="35">BM7+1</f>
        <v>54</v>
      </c>
      <c r="BO7" s="423">
        <f t="shared" ref="BO7:BP7" si="36">BN7+1</f>
        <v>55</v>
      </c>
      <c r="BP7" s="423">
        <f t="shared" si="36"/>
        <v>56</v>
      </c>
      <c r="BQ7" s="423">
        <f t="shared" ref="BQ7" si="37">BP7+1</f>
        <v>57</v>
      </c>
      <c r="BR7" s="423">
        <f t="shared" ref="BR7" si="38">BQ7+1</f>
        <v>58</v>
      </c>
      <c r="BS7" s="423">
        <f t="shared" ref="BS7" si="39">BR7+1</f>
        <v>59</v>
      </c>
      <c r="BT7" s="423">
        <f t="shared" ref="BT7:BU7" si="40">BS7+1</f>
        <v>60</v>
      </c>
      <c r="BU7" s="423">
        <f t="shared" si="40"/>
        <v>61</v>
      </c>
      <c r="BV7" s="423">
        <f t="shared" ref="BV7" si="41">BU7+1</f>
        <v>62</v>
      </c>
      <c r="BW7" s="423">
        <f t="shared" ref="BW7" si="42">BV7+1</f>
        <v>63</v>
      </c>
      <c r="BX7" s="423">
        <f t="shared" ref="BX7" si="43">BW7+1</f>
        <v>64</v>
      </c>
      <c r="BY7" s="423">
        <f t="shared" ref="BY7:BZ7" si="44">BX7+1</f>
        <v>65</v>
      </c>
      <c r="BZ7" s="423">
        <f t="shared" si="44"/>
        <v>66</v>
      </c>
      <c r="CA7" s="423">
        <f t="shared" ref="CA7" si="45">BZ7+1</f>
        <v>67</v>
      </c>
      <c r="CB7" s="423">
        <f t="shared" ref="CB7" si="46">CA7+1</f>
        <v>68</v>
      </c>
      <c r="CC7" s="423">
        <f t="shared" ref="CC7" si="47">CB7+1</f>
        <v>69</v>
      </c>
      <c r="CD7" s="423">
        <f t="shared" ref="CD7:CE7" si="48">CC7+1</f>
        <v>70</v>
      </c>
      <c r="CE7" s="423">
        <f t="shared" si="48"/>
        <v>71</v>
      </c>
      <c r="CF7" s="423">
        <f t="shared" ref="CF7" si="49">CE7+1</f>
        <v>72</v>
      </c>
      <c r="CG7" s="423">
        <f t="shared" ref="CG7" si="50">CF7+1</f>
        <v>73</v>
      </c>
      <c r="CH7" s="423">
        <f t="shared" ref="CH7" si="51">CG7+1</f>
        <v>74</v>
      </c>
      <c r="CI7" s="423">
        <f t="shared" ref="CI7:CJ7" si="52">CH7+1</f>
        <v>75</v>
      </c>
      <c r="CJ7" s="423">
        <f t="shared" si="52"/>
        <v>76</v>
      </c>
      <c r="CK7" s="423">
        <f t="shared" ref="CK7" si="53">CJ7+1</f>
        <v>77</v>
      </c>
      <c r="CL7" s="423">
        <f t="shared" ref="CL7" si="54">CK7+1</f>
        <v>78</v>
      </c>
      <c r="CM7" s="423">
        <f t="shared" ref="CM7" si="55">CL7+1</f>
        <v>79</v>
      </c>
      <c r="CN7" s="423">
        <f t="shared" ref="CN7:CO7" si="56">CM7+1</f>
        <v>80</v>
      </c>
      <c r="CO7" s="423">
        <f t="shared" si="56"/>
        <v>81</v>
      </c>
      <c r="CP7" s="423">
        <f t="shared" ref="CP7" si="57">CO7+1</f>
        <v>82</v>
      </c>
      <c r="CQ7" s="423">
        <f t="shared" ref="CQ7" si="58">CP7+1</f>
        <v>83</v>
      </c>
      <c r="CR7" s="423">
        <f t="shared" ref="CR7" si="59">CQ7+1</f>
        <v>84</v>
      </c>
      <c r="CS7" s="423">
        <f t="shared" ref="CS7:CT7" si="60">CR7+1</f>
        <v>85</v>
      </c>
      <c r="CT7" s="423">
        <f t="shared" si="60"/>
        <v>86</v>
      </c>
      <c r="CU7" s="423">
        <f t="shared" ref="CU7" si="61">CT7+1</f>
        <v>87</v>
      </c>
      <c r="CV7" s="423">
        <f t="shared" ref="CV7" si="62">CU7+1</f>
        <v>88</v>
      </c>
      <c r="CW7" s="423">
        <f t="shared" ref="CW7" si="63">CV7+1</f>
        <v>89</v>
      </c>
      <c r="CX7" s="423">
        <f t="shared" ref="CX7:CY7" si="64">CW7+1</f>
        <v>90</v>
      </c>
      <c r="CY7" s="423">
        <f t="shared" si="64"/>
        <v>91</v>
      </c>
      <c r="CZ7" s="423">
        <f t="shared" ref="CZ7" si="65">CY7+1</f>
        <v>92</v>
      </c>
      <c r="DA7" s="423">
        <f t="shared" ref="DA7" si="66">CZ7+1</f>
        <v>93</v>
      </c>
      <c r="DB7" s="423">
        <f t="shared" ref="DB7" si="67">DA7+1</f>
        <v>94</v>
      </c>
      <c r="DC7" s="423">
        <f t="shared" ref="DC7:DD7" si="68">DB7+1</f>
        <v>95</v>
      </c>
      <c r="DD7" s="423">
        <f t="shared" si="68"/>
        <v>96</v>
      </c>
      <c r="DE7" s="423">
        <f t="shared" ref="DE7" si="69">DD7+1</f>
        <v>97</v>
      </c>
      <c r="DF7" s="423">
        <f t="shared" ref="DF7" si="70">DE7+1</f>
        <v>98</v>
      </c>
      <c r="DG7" s="423">
        <f t="shared" ref="DG7" si="71">DF7+1</f>
        <v>99</v>
      </c>
      <c r="DH7" s="423">
        <f t="shared" ref="DH7:DI7" si="72">DG7+1</f>
        <v>100</v>
      </c>
      <c r="DI7" s="423">
        <f t="shared" si="72"/>
        <v>101</v>
      </c>
      <c r="DJ7" s="423">
        <f t="shared" ref="DJ7" si="73">DI7+1</f>
        <v>102</v>
      </c>
      <c r="DK7" s="423">
        <f t="shared" ref="DK7" si="74">DJ7+1</f>
        <v>103</v>
      </c>
      <c r="DL7" s="423">
        <f t="shared" ref="DL7" si="75">DK7+1</f>
        <v>104</v>
      </c>
      <c r="DM7" s="423">
        <f t="shared" ref="DM7:DN7" si="76">DL7+1</f>
        <v>105</v>
      </c>
      <c r="DN7" s="423">
        <f t="shared" si="76"/>
        <v>106</v>
      </c>
      <c r="DO7" s="423">
        <f t="shared" ref="DO7" si="77">DN7+1</f>
        <v>107</v>
      </c>
      <c r="DP7" s="423">
        <f t="shared" ref="DP7" si="78">DO7+1</f>
        <v>108</v>
      </c>
      <c r="DQ7" s="423">
        <f t="shared" ref="DQ7" si="79">DP7+1</f>
        <v>109</v>
      </c>
      <c r="DR7" s="423">
        <f t="shared" ref="DR7:DS7" si="80">DQ7+1</f>
        <v>110</v>
      </c>
      <c r="DS7" s="423">
        <f t="shared" si="80"/>
        <v>111</v>
      </c>
      <c r="DT7" s="423">
        <f t="shared" ref="DT7" si="81">DS7+1</f>
        <v>112</v>
      </c>
      <c r="DU7" s="423">
        <f t="shared" ref="DU7" si="82">DT7+1</f>
        <v>113</v>
      </c>
      <c r="DV7" s="423">
        <f t="shared" ref="DV7" si="83">DU7+1</f>
        <v>114</v>
      </c>
      <c r="DW7" s="423">
        <f t="shared" ref="DW7:DX7" si="84">DV7+1</f>
        <v>115</v>
      </c>
      <c r="DX7" s="423">
        <f t="shared" si="84"/>
        <v>116</v>
      </c>
      <c r="DY7" s="423">
        <f t="shared" ref="DY7" si="85">DX7+1</f>
        <v>117</v>
      </c>
      <c r="DZ7" s="423">
        <f t="shared" ref="DZ7" si="86">DY7+1</f>
        <v>118</v>
      </c>
      <c r="EA7" s="423">
        <f t="shared" ref="EA7" si="87">DZ7+1</f>
        <v>119</v>
      </c>
      <c r="EB7" s="423">
        <f t="shared" ref="EB7:EC7" si="88">EA7+1</f>
        <v>120</v>
      </c>
      <c r="EC7" s="423">
        <f t="shared" si="88"/>
        <v>121</v>
      </c>
      <c r="ED7" s="423">
        <f t="shared" ref="ED7" si="89">EC7+1</f>
        <v>122</v>
      </c>
      <c r="EE7" s="423">
        <f t="shared" ref="EE7" si="90">ED7+1</f>
        <v>123</v>
      </c>
      <c r="EF7" s="423">
        <f t="shared" ref="EF7" si="91">EE7+1</f>
        <v>124</v>
      </c>
      <c r="EG7" s="423">
        <f t="shared" ref="EG7:EH7" si="92">EF7+1</f>
        <v>125</v>
      </c>
      <c r="EH7" s="423">
        <f t="shared" si="92"/>
        <v>126</v>
      </c>
      <c r="EI7" s="423">
        <f t="shared" ref="EI7" si="93">EH7+1</f>
        <v>127</v>
      </c>
      <c r="EJ7" s="423">
        <f t="shared" ref="EJ7" si="94">EI7+1</f>
        <v>128</v>
      </c>
      <c r="EK7" s="423">
        <f t="shared" ref="EK7" si="95">EJ7+1</f>
        <v>129</v>
      </c>
      <c r="EL7" s="423">
        <f t="shared" ref="EL7:EM7" si="96">EK7+1</f>
        <v>130</v>
      </c>
      <c r="EM7" s="423">
        <f t="shared" si="96"/>
        <v>131</v>
      </c>
      <c r="EN7" s="423">
        <f t="shared" ref="EN7" si="97">EM7+1</f>
        <v>132</v>
      </c>
      <c r="EO7" s="423">
        <f t="shared" ref="EO7" si="98">EN7+1</f>
        <v>133</v>
      </c>
      <c r="EP7" s="423">
        <f t="shared" ref="EP7" si="99">EO7+1</f>
        <v>134</v>
      </c>
      <c r="EQ7" s="423">
        <f t="shared" ref="EQ7:ER7" si="100">EP7+1</f>
        <v>135</v>
      </c>
      <c r="ER7" s="423">
        <f t="shared" si="100"/>
        <v>136</v>
      </c>
      <c r="ES7" s="423">
        <f t="shared" ref="ES7" si="101">ER7+1</f>
        <v>137</v>
      </c>
      <c r="ET7" s="423">
        <f t="shared" ref="ET7" si="102">ES7+1</f>
        <v>138</v>
      </c>
      <c r="EU7" s="423">
        <f t="shared" ref="EU7" si="103">ET7+1</f>
        <v>139</v>
      </c>
      <c r="EV7" s="423">
        <f t="shared" ref="EV7:EW7" si="104">EU7+1</f>
        <v>140</v>
      </c>
      <c r="EW7" s="423">
        <f t="shared" si="104"/>
        <v>141</v>
      </c>
      <c r="EX7" s="423">
        <f t="shared" ref="EX7" si="105">EW7+1</f>
        <v>142</v>
      </c>
      <c r="EY7" s="423">
        <f t="shared" ref="EY7" si="106">EX7+1</f>
        <v>143</v>
      </c>
      <c r="EZ7" s="423">
        <f t="shared" ref="EZ7" si="107">EY7+1</f>
        <v>144</v>
      </c>
      <c r="FA7" s="423">
        <f t="shared" ref="FA7:FB7" si="108">EZ7+1</f>
        <v>145</v>
      </c>
      <c r="FB7" s="423">
        <f t="shared" si="108"/>
        <v>146</v>
      </c>
      <c r="FC7" s="423">
        <f t="shared" ref="FC7" si="109">FB7+1</f>
        <v>147</v>
      </c>
      <c r="FD7" s="423">
        <f t="shared" ref="FD7" si="110">FC7+1</f>
        <v>148</v>
      </c>
      <c r="FE7" s="423">
        <f t="shared" ref="FE7" si="111">FD7+1</f>
        <v>149</v>
      </c>
      <c r="FF7" s="423">
        <f t="shared" ref="FF7:FG7" si="112">FE7+1</f>
        <v>150</v>
      </c>
      <c r="FG7" s="423">
        <f t="shared" si="112"/>
        <v>151</v>
      </c>
      <c r="FH7" s="423">
        <f t="shared" ref="FH7" si="113">FG7+1</f>
        <v>152</v>
      </c>
      <c r="FI7" s="423">
        <f t="shared" ref="FI7" si="114">FH7+1</f>
        <v>153</v>
      </c>
      <c r="FJ7" s="423">
        <f t="shared" ref="FJ7" si="115">FI7+1</f>
        <v>154</v>
      </c>
      <c r="FK7" s="423">
        <f t="shared" ref="FK7:FL7" si="116">FJ7+1</f>
        <v>155</v>
      </c>
      <c r="FL7" s="423">
        <f t="shared" si="116"/>
        <v>156</v>
      </c>
      <c r="FM7" s="423">
        <f t="shared" ref="FM7" si="117">FL7+1</f>
        <v>157</v>
      </c>
      <c r="FN7" s="423">
        <f t="shared" ref="FN7" si="118">FM7+1</f>
        <v>158</v>
      </c>
      <c r="FO7" s="423">
        <f t="shared" ref="FO7" si="119">FN7+1</f>
        <v>159</v>
      </c>
      <c r="FP7" s="423">
        <f t="shared" ref="FP7:FQ7" si="120">FO7+1</f>
        <v>160</v>
      </c>
      <c r="FQ7" s="423">
        <f t="shared" si="120"/>
        <v>161</v>
      </c>
      <c r="FR7" s="423">
        <f t="shared" ref="FR7" si="121">FQ7+1</f>
        <v>162</v>
      </c>
      <c r="FS7" s="423">
        <f t="shared" ref="FS7" si="122">FR7+1</f>
        <v>163</v>
      </c>
      <c r="FT7" s="423">
        <f t="shared" ref="FT7" si="123">FS7+1</f>
        <v>164</v>
      </c>
      <c r="FU7" s="423">
        <f t="shared" ref="FU7:FV7" si="124">FT7+1</f>
        <v>165</v>
      </c>
      <c r="FV7" s="423">
        <f t="shared" si="124"/>
        <v>166</v>
      </c>
      <c r="FW7" s="423">
        <f t="shared" ref="FW7" si="125">FV7+1</f>
        <v>167</v>
      </c>
      <c r="FX7" s="423">
        <f t="shared" ref="FX7" si="126">FW7+1</f>
        <v>168</v>
      </c>
      <c r="FY7" s="423">
        <f t="shared" ref="FY7" si="127">FX7+1</f>
        <v>169</v>
      </c>
      <c r="FZ7" s="423">
        <f t="shared" ref="FZ7:GA7" si="128">FY7+1</f>
        <v>170</v>
      </c>
      <c r="GA7" s="423">
        <f t="shared" si="128"/>
        <v>171</v>
      </c>
      <c r="GB7" s="423">
        <f t="shared" ref="GB7" si="129">GA7+1</f>
        <v>172</v>
      </c>
      <c r="GC7" s="423">
        <f t="shared" ref="GC7" si="130">GB7+1</f>
        <v>173</v>
      </c>
      <c r="GD7" s="423">
        <f t="shared" ref="GD7" si="131">GC7+1</f>
        <v>174</v>
      </c>
      <c r="GE7" s="423">
        <f t="shared" ref="GE7:GF7" si="132">GD7+1</f>
        <v>175</v>
      </c>
      <c r="GF7" s="423">
        <f t="shared" si="132"/>
        <v>176</v>
      </c>
      <c r="GG7" s="423">
        <f t="shared" ref="GG7" si="133">GF7+1</f>
        <v>177</v>
      </c>
      <c r="GH7" s="423">
        <f t="shared" ref="GH7" si="134">GG7+1</f>
        <v>178</v>
      </c>
      <c r="GI7" s="423">
        <f t="shared" ref="GI7" si="135">GH7+1</f>
        <v>179</v>
      </c>
      <c r="GJ7" s="423">
        <f t="shared" ref="GJ7:GK7" si="136">GI7+1</f>
        <v>180</v>
      </c>
      <c r="GK7" s="423">
        <f t="shared" si="136"/>
        <v>181</v>
      </c>
      <c r="GL7" s="423">
        <f t="shared" ref="GL7" si="137">GK7+1</f>
        <v>182</v>
      </c>
      <c r="GM7" s="423">
        <f t="shared" ref="GM7" si="138">GL7+1</f>
        <v>183</v>
      </c>
      <c r="GN7" s="423">
        <f t="shared" ref="GN7" si="139">GM7+1</f>
        <v>184</v>
      </c>
      <c r="GO7" s="423">
        <f t="shared" ref="GO7:GP7" si="140">GN7+1</f>
        <v>185</v>
      </c>
      <c r="GP7" s="423">
        <f t="shared" si="140"/>
        <v>186</v>
      </c>
      <c r="GQ7" s="423">
        <f t="shared" ref="GQ7" si="141">GP7+1</f>
        <v>187</v>
      </c>
      <c r="GR7" s="423">
        <f t="shared" ref="GR7" si="142">GQ7+1</f>
        <v>188</v>
      </c>
      <c r="GS7" s="423">
        <f t="shared" ref="GS7" si="143">GR7+1</f>
        <v>189</v>
      </c>
      <c r="GT7" s="423">
        <f t="shared" ref="GT7:GU7" si="144">GS7+1</f>
        <v>190</v>
      </c>
      <c r="GU7" s="423">
        <f t="shared" si="144"/>
        <v>191</v>
      </c>
      <c r="GV7" s="423">
        <f t="shared" ref="GV7" si="145">GU7+1</f>
        <v>192</v>
      </c>
      <c r="GW7" s="423">
        <f t="shared" ref="GW7" si="146">GV7+1</f>
        <v>193</v>
      </c>
      <c r="GX7" s="423">
        <f t="shared" ref="GX7" si="147">GW7+1</f>
        <v>194</v>
      </c>
      <c r="GY7" s="423">
        <f t="shared" ref="GY7:GZ7" si="148">GX7+1</f>
        <v>195</v>
      </c>
      <c r="GZ7" s="423">
        <f t="shared" si="148"/>
        <v>196</v>
      </c>
      <c r="HA7" s="423">
        <f t="shared" ref="HA7" si="149">GZ7+1</f>
        <v>197</v>
      </c>
      <c r="HB7" s="423">
        <f t="shared" ref="HB7" si="150">HA7+1</f>
        <v>198</v>
      </c>
      <c r="HC7" s="423">
        <f t="shared" ref="HC7" si="151">HB7+1</f>
        <v>199</v>
      </c>
      <c r="HD7" s="423">
        <f t="shared" ref="HD7:HE7" si="152">HC7+1</f>
        <v>200</v>
      </c>
      <c r="HE7" s="423">
        <f t="shared" si="152"/>
        <v>201</v>
      </c>
      <c r="HF7" s="423">
        <f t="shared" ref="HF7" si="153">HE7+1</f>
        <v>202</v>
      </c>
      <c r="HG7" s="423">
        <f t="shared" ref="HG7" si="154">HF7+1</f>
        <v>203</v>
      </c>
      <c r="HH7" s="423">
        <f t="shared" ref="HH7" si="155">HG7+1</f>
        <v>204</v>
      </c>
      <c r="HI7" s="423">
        <f t="shared" ref="HI7:HJ7" si="156">HH7+1</f>
        <v>205</v>
      </c>
      <c r="HJ7" s="423">
        <f t="shared" si="156"/>
        <v>206</v>
      </c>
      <c r="HK7" s="423">
        <f t="shared" ref="HK7" si="157">HJ7+1</f>
        <v>207</v>
      </c>
      <c r="HL7" s="423">
        <f t="shared" ref="HL7" si="158">HK7+1</f>
        <v>208</v>
      </c>
      <c r="HM7" s="423">
        <f t="shared" ref="HM7" si="159">HL7+1</f>
        <v>209</v>
      </c>
      <c r="HN7" s="423">
        <f t="shared" ref="HN7:HO7" si="160">HM7+1</f>
        <v>210</v>
      </c>
      <c r="HO7" s="423">
        <f t="shared" si="160"/>
        <v>211</v>
      </c>
      <c r="HP7" s="423">
        <f t="shared" ref="HP7" si="161">HO7+1</f>
        <v>212</v>
      </c>
      <c r="HQ7" s="423">
        <f t="shared" ref="HQ7" si="162">HP7+1</f>
        <v>213</v>
      </c>
      <c r="HR7" s="423">
        <f t="shared" ref="HR7" si="163">HQ7+1</f>
        <v>214</v>
      </c>
      <c r="HS7" s="423">
        <f t="shared" ref="HS7:HT7" si="164">HR7+1</f>
        <v>215</v>
      </c>
      <c r="HT7" s="423">
        <f t="shared" si="164"/>
        <v>216</v>
      </c>
      <c r="HU7" s="423">
        <f t="shared" ref="HU7" si="165">HT7+1</f>
        <v>217</v>
      </c>
      <c r="HV7" s="423">
        <f t="shared" ref="HV7" si="166">HU7+1</f>
        <v>218</v>
      </c>
      <c r="HW7" s="423">
        <f t="shared" ref="HW7" si="167">HV7+1</f>
        <v>219</v>
      </c>
      <c r="HX7" s="423">
        <f t="shared" ref="HX7:HY7" si="168">HW7+1</f>
        <v>220</v>
      </c>
      <c r="HY7" s="423">
        <f t="shared" si="168"/>
        <v>221</v>
      </c>
      <c r="HZ7" s="423">
        <f t="shared" ref="HZ7" si="169">HY7+1</f>
        <v>222</v>
      </c>
      <c r="IA7" s="423">
        <f t="shared" ref="IA7" si="170">HZ7+1</f>
        <v>223</v>
      </c>
      <c r="IB7" s="423">
        <f t="shared" ref="IB7" si="171">IA7+1</f>
        <v>224</v>
      </c>
      <c r="IC7" s="423">
        <f t="shared" ref="IC7:ID7" si="172">IB7+1</f>
        <v>225</v>
      </c>
      <c r="ID7" s="423">
        <f t="shared" si="172"/>
        <v>226</v>
      </c>
      <c r="IE7" s="423">
        <f t="shared" ref="IE7" si="173">ID7+1</f>
        <v>227</v>
      </c>
      <c r="IF7" s="423">
        <f t="shared" ref="IF7" si="174">IE7+1</f>
        <v>228</v>
      </c>
      <c r="IG7" s="423">
        <f t="shared" ref="IG7" si="175">IF7+1</f>
        <v>229</v>
      </c>
      <c r="IH7" s="423">
        <f t="shared" ref="IH7:II7" si="176">IG7+1</f>
        <v>230</v>
      </c>
      <c r="II7" s="423">
        <f t="shared" si="176"/>
        <v>231</v>
      </c>
      <c r="IJ7" s="423">
        <f t="shared" ref="IJ7" si="177">II7+1</f>
        <v>232</v>
      </c>
      <c r="IK7" s="423">
        <f t="shared" ref="IK7" si="178">IJ7+1</f>
        <v>233</v>
      </c>
      <c r="IL7" s="423">
        <f t="shared" ref="IL7" si="179">IK7+1</f>
        <v>234</v>
      </c>
      <c r="IM7" s="423">
        <f t="shared" ref="IM7:IN7" si="180">IL7+1</f>
        <v>235</v>
      </c>
      <c r="IN7" s="423">
        <f t="shared" si="180"/>
        <v>236</v>
      </c>
      <c r="IO7" s="423">
        <f t="shared" ref="IO7" si="181">IN7+1</f>
        <v>237</v>
      </c>
      <c r="IP7" s="423">
        <f t="shared" ref="IP7" si="182">IO7+1</f>
        <v>238</v>
      </c>
      <c r="IQ7" s="423">
        <f t="shared" ref="IQ7" si="183">IP7+1</f>
        <v>239</v>
      </c>
      <c r="IR7" s="423">
        <f t="shared" ref="IR7:IS7" si="184">IQ7+1</f>
        <v>240</v>
      </c>
      <c r="IS7" s="423">
        <f t="shared" si="184"/>
        <v>241</v>
      </c>
      <c r="IT7" s="423">
        <f t="shared" ref="IT7" si="185">IS7+1</f>
        <v>242</v>
      </c>
      <c r="IU7" s="423">
        <f t="shared" ref="IU7" si="186">IT7+1</f>
        <v>243</v>
      </c>
      <c r="IV7" s="423">
        <f t="shared" ref="IV7" si="187">IU7+1</f>
        <v>244</v>
      </c>
      <c r="IW7" s="423">
        <f t="shared" ref="IW7:IX7" si="188">IV7+1</f>
        <v>245</v>
      </c>
      <c r="IX7" s="423">
        <f t="shared" si="188"/>
        <v>246</v>
      </c>
      <c r="IY7" s="423">
        <f t="shared" ref="IY7" si="189">IX7+1</f>
        <v>247</v>
      </c>
      <c r="IZ7" s="423">
        <f t="shared" ref="IZ7" si="190">IY7+1</f>
        <v>248</v>
      </c>
      <c r="JA7" s="423">
        <f t="shared" ref="JA7" si="191">IZ7+1</f>
        <v>249</v>
      </c>
      <c r="JB7" s="423">
        <f t="shared" ref="JB7:JC7" si="192">JA7+1</f>
        <v>250</v>
      </c>
      <c r="JC7" s="423">
        <f t="shared" si="192"/>
        <v>251</v>
      </c>
      <c r="JD7" s="423">
        <f t="shared" ref="JD7" si="193">JC7+1</f>
        <v>252</v>
      </c>
      <c r="JE7" s="423">
        <f t="shared" ref="JE7" si="194">JD7+1</f>
        <v>253</v>
      </c>
      <c r="JF7" s="423">
        <f t="shared" ref="JF7" si="195">JE7+1</f>
        <v>254</v>
      </c>
      <c r="JG7" s="423">
        <f t="shared" ref="JG7:JH7" si="196">JF7+1</f>
        <v>255</v>
      </c>
      <c r="JH7" s="423">
        <f t="shared" si="196"/>
        <v>256</v>
      </c>
      <c r="JI7" s="423">
        <f t="shared" ref="JI7" si="197">JH7+1</f>
        <v>257</v>
      </c>
      <c r="JJ7" s="423">
        <f t="shared" ref="JJ7" si="198">JI7+1</f>
        <v>258</v>
      </c>
      <c r="JK7" s="423">
        <f t="shared" ref="JK7" si="199">JJ7+1</f>
        <v>259</v>
      </c>
      <c r="JL7" s="423">
        <f t="shared" ref="JL7:JM7" si="200">JK7+1</f>
        <v>260</v>
      </c>
      <c r="JM7" s="423">
        <f t="shared" si="200"/>
        <v>261</v>
      </c>
      <c r="JN7" s="423">
        <f t="shared" ref="JN7" si="201">JM7+1</f>
        <v>262</v>
      </c>
      <c r="JO7" s="423">
        <f t="shared" ref="JO7" si="202">JN7+1</f>
        <v>263</v>
      </c>
      <c r="JP7" s="423">
        <f t="shared" ref="JP7" si="203">JO7+1</f>
        <v>264</v>
      </c>
      <c r="JQ7" s="423">
        <f t="shared" ref="JQ7" si="204">JP7+1</f>
        <v>265</v>
      </c>
    </row>
    <row r="8" spans="2:277" hidden="1">
      <c r="B8" s="421"/>
      <c r="C8" s="421"/>
      <c r="D8" s="421"/>
      <c r="E8" s="419"/>
      <c r="F8" s="419"/>
      <c r="H8" s="419"/>
      <c r="I8" s="419"/>
      <c r="J8" s="419"/>
      <c r="K8" s="419"/>
      <c r="L8" s="419"/>
      <c r="M8" s="476">
        <f>M12</f>
        <v>1</v>
      </c>
      <c r="N8" s="476">
        <f>M8</f>
        <v>1</v>
      </c>
      <c r="O8" s="476">
        <f>N8</f>
        <v>1</v>
      </c>
      <c r="P8" s="476">
        <f>O8+0.5</f>
        <v>1.5</v>
      </c>
      <c r="Q8" s="476">
        <f t="shared" ref="Q8" si="205">P8</f>
        <v>1.5</v>
      </c>
      <c r="R8" s="476">
        <f>R12</f>
        <v>2</v>
      </c>
      <c r="S8" s="476">
        <f t="shared" ref="S8:T8" si="206">R8</f>
        <v>2</v>
      </c>
      <c r="T8" s="476">
        <f t="shared" si="206"/>
        <v>2</v>
      </c>
      <c r="U8" s="476">
        <f t="shared" ref="U8" si="207">T8+0.5</f>
        <v>2.5</v>
      </c>
      <c r="V8" s="476">
        <f t="shared" ref="V8" si="208">U8</f>
        <v>2.5</v>
      </c>
      <c r="W8" s="476">
        <f>W12</f>
        <v>3</v>
      </c>
      <c r="X8" s="476">
        <f t="shared" ref="X8:Y8" si="209">W8</f>
        <v>3</v>
      </c>
      <c r="Y8" s="476">
        <f t="shared" si="209"/>
        <v>3</v>
      </c>
      <c r="Z8" s="476">
        <f t="shared" ref="Z8" si="210">Y8+0.5</f>
        <v>3.5</v>
      </c>
      <c r="AA8" s="476">
        <f t="shared" ref="AA8" si="211">Z8</f>
        <v>3.5</v>
      </c>
      <c r="AB8" s="476">
        <f>AB12</f>
        <v>4</v>
      </c>
      <c r="AC8" s="476">
        <f t="shared" ref="AC8:AD8" si="212">AB8</f>
        <v>4</v>
      </c>
      <c r="AD8" s="476">
        <f t="shared" si="212"/>
        <v>4</v>
      </c>
      <c r="AE8" s="476">
        <f t="shared" ref="AE8" si="213">AD8+0.5</f>
        <v>4.5</v>
      </c>
      <c r="AF8" s="476">
        <f t="shared" ref="AF8" si="214">AE8</f>
        <v>4.5</v>
      </c>
      <c r="AG8" s="476">
        <f>AG12</f>
        <v>5</v>
      </c>
      <c r="AH8" s="476">
        <f t="shared" ref="AH8:AI8" si="215">AG8</f>
        <v>5</v>
      </c>
      <c r="AI8" s="476">
        <f t="shared" si="215"/>
        <v>5</v>
      </c>
      <c r="AJ8" s="476">
        <f t="shared" ref="AJ8" si="216">AI8+0.5</f>
        <v>5.5</v>
      </c>
      <c r="AK8" s="476">
        <f t="shared" ref="AK8" si="217">AJ8</f>
        <v>5.5</v>
      </c>
      <c r="AL8" s="476">
        <f>AL12</f>
        <v>6</v>
      </c>
      <c r="AM8" s="476">
        <f t="shared" ref="AM8:AN8" si="218">AL8</f>
        <v>6</v>
      </c>
      <c r="AN8" s="476">
        <f t="shared" si="218"/>
        <v>6</v>
      </c>
      <c r="AO8" s="476">
        <f t="shared" ref="AO8" si="219">AN8+0.5</f>
        <v>6.5</v>
      </c>
      <c r="AP8" s="476">
        <f t="shared" ref="AP8" si="220">AO8</f>
        <v>6.5</v>
      </c>
      <c r="AQ8" s="476">
        <f>AQ12</f>
        <v>7</v>
      </c>
      <c r="AR8" s="476">
        <f t="shared" ref="AR8:AS8" si="221">AQ8</f>
        <v>7</v>
      </c>
      <c r="AS8" s="476">
        <f t="shared" si="221"/>
        <v>7</v>
      </c>
      <c r="AT8" s="476">
        <f t="shared" ref="AT8" si="222">AS8+0.5</f>
        <v>7.5</v>
      </c>
      <c r="AU8" s="476">
        <f t="shared" ref="AU8" si="223">AT8</f>
        <v>7.5</v>
      </c>
      <c r="AV8" s="476">
        <f>AV12</f>
        <v>8</v>
      </c>
      <c r="AW8" s="476">
        <f t="shared" ref="AW8:AX8" si="224">AV8</f>
        <v>8</v>
      </c>
      <c r="AX8" s="476">
        <f t="shared" si="224"/>
        <v>8</v>
      </c>
      <c r="AY8" s="476">
        <f t="shared" ref="AY8" si="225">AX8+0.5</f>
        <v>8.5</v>
      </c>
      <c r="AZ8" s="476">
        <f t="shared" ref="AZ8" si="226">AY8</f>
        <v>8.5</v>
      </c>
      <c r="BA8" s="476">
        <f>BA12</f>
        <v>9</v>
      </c>
      <c r="BB8" s="476">
        <f t="shared" ref="BB8:BC8" si="227">BA8</f>
        <v>9</v>
      </c>
      <c r="BC8" s="476">
        <f t="shared" si="227"/>
        <v>9</v>
      </c>
      <c r="BD8" s="476">
        <f t="shared" ref="BD8" si="228">BC8+0.5</f>
        <v>9.5</v>
      </c>
      <c r="BE8" s="476">
        <f t="shared" ref="BE8" si="229">BD8</f>
        <v>9.5</v>
      </c>
      <c r="BF8" s="476">
        <f>BF12</f>
        <v>10</v>
      </c>
      <c r="BG8" s="476">
        <f t="shared" ref="BG8:BH8" si="230">BF8</f>
        <v>10</v>
      </c>
      <c r="BH8" s="476">
        <f t="shared" si="230"/>
        <v>10</v>
      </c>
      <c r="BI8" s="476">
        <f t="shared" ref="BI8" si="231">BH8+0.5</f>
        <v>10.5</v>
      </c>
      <c r="BJ8" s="476">
        <f t="shared" ref="BJ8" si="232">BI8</f>
        <v>10.5</v>
      </c>
      <c r="BK8" s="476">
        <f>BK12</f>
        <v>11</v>
      </c>
      <c r="BL8" s="476">
        <f t="shared" ref="BL8:BM8" si="233">BK8</f>
        <v>11</v>
      </c>
      <c r="BM8" s="476">
        <f t="shared" si="233"/>
        <v>11</v>
      </c>
      <c r="BN8" s="476">
        <f t="shared" ref="BN8" si="234">BM8+0.5</f>
        <v>11.5</v>
      </c>
      <c r="BO8" s="476">
        <f t="shared" ref="BO8" si="235">BN8</f>
        <v>11.5</v>
      </c>
      <c r="BP8" s="476">
        <f>BP12</f>
        <v>12</v>
      </c>
      <c r="BQ8" s="476">
        <f t="shared" ref="BQ8:BR8" si="236">BP8</f>
        <v>12</v>
      </c>
      <c r="BR8" s="476">
        <f t="shared" si="236"/>
        <v>12</v>
      </c>
      <c r="BS8" s="476">
        <f t="shared" ref="BS8" si="237">BR8+0.5</f>
        <v>12.5</v>
      </c>
      <c r="BT8" s="476">
        <f t="shared" ref="BT8" si="238">BS8</f>
        <v>12.5</v>
      </c>
      <c r="BU8" s="476">
        <f>BU12</f>
        <v>13</v>
      </c>
      <c r="BV8" s="476">
        <f t="shared" ref="BV8:BW8" si="239">BU8</f>
        <v>13</v>
      </c>
      <c r="BW8" s="476">
        <f t="shared" si="239"/>
        <v>13</v>
      </c>
      <c r="BX8" s="476">
        <f t="shared" ref="BX8" si="240">BW8+0.5</f>
        <v>13.5</v>
      </c>
      <c r="BY8" s="476">
        <f t="shared" ref="BY8" si="241">BX8</f>
        <v>13.5</v>
      </c>
      <c r="BZ8" s="476">
        <f>BZ12</f>
        <v>14</v>
      </c>
      <c r="CA8" s="476">
        <f t="shared" ref="CA8:CB8" si="242">BZ8</f>
        <v>14</v>
      </c>
      <c r="CB8" s="476">
        <f t="shared" si="242"/>
        <v>14</v>
      </c>
      <c r="CC8" s="476">
        <f t="shared" ref="CC8" si="243">CB8+0.5</f>
        <v>14.5</v>
      </c>
      <c r="CD8" s="476">
        <f t="shared" ref="CD8" si="244">CC8</f>
        <v>14.5</v>
      </c>
      <c r="CE8" s="476">
        <f>CE12</f>
        <v>15</v>
      </c>
      <c r="CF8" s="476">
        <f t="shared" ref="CF8:CG8" si="245">CE8</f>
        <v>15</v>
      </c>
      <c r="CG8" s="476">
        <f t="shared" si="245"/>
        <v>15</v>
      </c>
      <c r="CH8" s="476">
        <f t="shared" ref="CH8" si="246">CG8+0.5</f>
        <v>15.5</v>
      </c>
      <c r="CI8" s="476">
        <f t="shared" ref="CI8" si="247">CH8</f>
        <v>15.5</v>
      </c>
      <c r="CJ8" s="476">
        <f>CJ12</f>
        <v>16</v>
      </c>
      <c r="CK8" s="476">
        <f t="shared" ref="CK8:CL8" si="248">CJ8</f>
        <v>16</v>
      </c>
      <c r="CL8" s="476">
        <f t="shared" si="248"/>
        <v>16</v>
      </c>
      <c r="CM8" s="476">
        <f t="shared" ref="CM8" si="249">CL8+0.5</f>
        <v>16.5</v>
      </c>
      <c r="CN8" s="476">
        <f t="shared" ref="CN8" si="250">CM8</f>
        <v>16.5</v>
      </c>
      <c r="CO8" s="476">
        <f>CO12</f>
        <v>17</v>
      </c>
      <c r="CP8" s="476">
        <f t="shared" ref="CP8:CQ8" si="251">CO8</f>
        <v>17</v>
      </c>
      <c r="CQ8" s="476">
        <f t="shared" si="251"/>
        <v>17</v>
      </c>
      <c r="CR8" s="476">
        <f t="shared" ref="CR8" si="252">CQ8+0.5</f>
        <v>17.5</v>
      </c>
      <c r="CS8" s="476">
        <f t="shared" ref="CS8" si="253">CR8</f>
        <v>17.5</v>
      </c>
      <c r="CT8" s="476">
        <f>CT12</f>
        <v>18</v>
      </c>
      <c r="CU8" s="476">
        <f t="shared" ref="CU8:CV8" si="254">CT8</f>
        <v>18</v>
      </c>
      <c r="CV8" s="476">
        <f t="shared" si="254"/>
        <v>18</v>
      </c>
      <c r="CW8" s="476">
        <f t="shared" ref="CW8" si="255">CV8+0.5</f>
        <v>18.5</v>
      </c>
      <c r="CX8" s="476">
        <f t="shared" ref="CX8" si="256">CW8</f>
        <v>18.5</v>
      </c>
      <c r="CY8" s="476">
        <f>CY12</f>
        <v>19</v>
      </c>
      <c r="CZ8" s="476">
        <f t="shared" ref="CZ8:DA8" si="257">CY8</f>
        <v>19</v>
      </c>
      <c r="DA8" s="476">
        <f t="shared" si="257"/>
        <v>19</v>
      </c>
      <c r="DB8" s="476">
        <f t="shared" ref="DB8" si="258">DA8+0.5</f>
        <v>19.5</v>
      </c>
      <c r="DC8" s="476">
        <f t="shared" ref="DC8" si="259">DB8</f>
        <v>19.5</v>
      </c>
      <c r="DD8" s="476">
        <f>DD12</f>
        <v>20</v>
      </c>
      <c r="DE8" s="476">
        <f t="shared" ref="DE8:DF8" si="260">DD8</f>
        <v>20</v>
      </c>
      <c r="DF8" s="476">
        <f t="shared" si="260"/>
        <v>20</v>
      </c>
      <c r="DG8" s="476">
        <f t="shared" ref="DG8" si="261">DF8+0.5</f>
        <v>20.5</v>
      </c>
      <c r="DH8" s="476">
        <f t="shared" ref="DH8" si="262">DG8</f>
        <v>20.5</v>
      </c>
      <c r="DI8" s="476">
        <f>DI12</f>
        <v>21</v>
      </c>
      <c r="DJ8" s="476">
        <f t="shared" ref="DJ8:DK8" si="263">DI8</f>
        <v>21</v>
      </c>
      <c r="DK8" s="476">
        <f t="shared" si="263"/>
        <v>21</v>
      </c>
      <c r="DL8" s="476">
        <f t="shared" ref="DL8" si="264">DK8+0.5</f>
        <v>21.5</v>
      </c>
      <c r="DM8" s="476">
        <f t="shared" ref="DM8" si="265">DL8</f>
        <v>21.5</v>
      </c>
      <c r="DN8" s="476">
        <f>DN12</f>
        <v>22</v>
      </c>
      <c r="DO8" s="476">
        <f t="shared" ref="DO8:DP8" si="266">DN8</f>
        <v>22</v>
      </c>
      <c r="DP8" s="476">
        <f t="shared" si="266"/>
        <v>22</v>
      </c>
      <c r="DQ8" s="476">
        <f t="shared" ref="DQ8" si="267">DP8+0.5</f>
        <v>22.5</v>
      </c>
      <c r="DR8" s="476">
        <f t="shared" ref="DR8" si="268">DQ8</f>
        <v>22.5</v>
      </c>
      <c r="DS8" s="476">
        <f>DS12</f>
        <v>23</v>
      </c>
      <c r="DT8" s="476">
        <f t="shared" ref="DT8:DU8" si="269">DS8</f>
        <v>23</v>
      </c>
      <c r="DU8" s="476">
        <f t="shared" si="269"/>
        <v>23</v>
      </c>
      <c r="DV8" s="476">
        <f t="shared" ref="DV8" si="270">DU8+0.5</f>
        <v>23.5</v>
      </c>
      <c r="DW8" s="476">
        <f t="shared" ref="DW8" si="271">DV8</f>
        <v>23.5</v>
      </c>
      <c r="DX8" s="476">
        <f>DX12</f>
        <v>24</v>
      </c>
      <c r="DY8" s="476">
        <f t="shared" ref="DY8:DZ8" si="272">DX8</f>
        <v>24</v>
      </c>
      <c r="DZ8" s="476">
        <f t="shared" si="272"/>
        <v>24</v>
      </c>
      <c r="EA8" s="476">
        <f t="shared" ref="EA8" si="273">DZ8+0.5</f>
        <v>24.5</v>
      </c>
      <c r="EB8" s="476">
        <f t="shared" ref="EB8" si="274">EA8</f>
        <v>24.5</v>
      </c>
      <c r="EC8" s="476">
        <f>EC12</f>
        <v>25</v>
      </c>
      <c r="ED8" s="476">
        <f t="shared" ref="ED8:EE8" si="275">EC8</f>
        <v>25</v>
      </c>
      <c r="EE8" s="476">
        <f t="shared" si="275"/>
        <v>25</v>
      </c>
      <c r="EF8" s="476">
        <f t="shared" ref="EF8" si="276">EE8+0.5</f>
        <v>25.5</v>
      </c>
      <c r="EG8" s="476">
        <f t="shared" ref="EG8" si="277">EF8</f>
        <v>25.5</v>
      </c>
      <c r="EH8" s="476">
        <f>EH12</f>
        <v>26</v>
      </c>
      <c r="EI8" s="476">
        <f t="shared" ref="EI8:EJ8" si="278">EH8</f>
        <v>26</v>
      </c>
      <c r="EJ8" s="476">
        <f t="shared" si="278"/>
        <v>26</v>
      </c>
      <c r="EK8" s="476">
        <f t="shared" ref="EK8" si="279">EJ8+0.5</f>
        <v>26.5</v>
      </c>
      <c r="EL8" s="476">
        <f t="shared" ref="EL8" si="280">EK8</f>
        <v>26.5</v>
      </c>
      <c r="EM8" s="476">
        <f>EM12</f>
        <v>27</v>
      </c>
      <c r="EN8" s="476">
        <f t="shared" ref="EN8:EO8" si="281">EM8</f>
        <v>27</v>
      </c>
      <c r="EO8" s="476">
        <f t="shared" si="281"/>
        <v>27</v>
      </c>
      <c r="EP8" s="476">
        <f t="shared" ref="EP8" si="282">EO8+0.5</f>
        <v>27.5</v>
      </c>
      <c r="EQ8" s="476">
        <f t="shared" ref="EQ8" si="283">EP8</f>
        <v>27.5</v>
      </c>
      <c r="ER8" s="476">
        <f>ER12</f>
        <v>28</v>
      </c>
      <c r="ES8" s="476">
        <f t="shared" ref="ES8:ET8" si="284">ER8</f>
        <v>28</v>
      </c>
      <c r="ET8" s="476">
        <f t="shared" si="284"/>
        <v>28</v>
      </c>
      <c r="EU8" s="476">
        <f t="shared" ref="EU8" si="285">ET8+0.5</f>
        <v>28.5</v>
      </c>
      <c r="EV8" s="476">
        <f t="shared" ref="EV8" si="286">EU8</f>
        <v>28.5</v>
      </c>
      <c r="EW8" s="476">
        <f>EW12</f>
        <v>29</v>
      </c>
      <c r="EX8" s="476">
        <f t="shared" ref="EX8:EY8" si="287">EW8</f>
        <v>29</v>
      </c>
      <c r="EY8" s="476">
        <f t="shared" si="287"/>
        <v>29</v>
      </c>
      <c r="EZ8" s="476">
        <f t="shared" ref="EZ8" si="288">EY8+0.5</f>
        <v>29.5</v>
      </c>
      <c r="FA8" s="476">
        <f t="shared" ref="FA8" si="289">EZ8</f>
        <v>29.5</v>
      </c>
      <c r="FB8" s="476">
        <f>FB12</f>
        <v>30</v>
      </c>
      <c r="FC8" s="476">
        <f t="shared" ref="FC8:FD8" si="290">FB8</f>
        <v>30</v>
      </c>
      <c r="FD8" s="476">
        <f t="shared" si="290"/>
        <v>30</v>
      </c>
      <c r="FE8" s="476">
        <f t="shared" ref="FE8" si="291">FD8+0.5</f>
        <v>30.5</v>
      </c>
      <c r="FF8" s="476">
        <f t="shared" ref="FF8" si="292">FE8</f>
        <v>30.5</v>
      </c>
      <c r="FG8" s="476">
        <f>FG12</f>
        <v>31</v>
      </c>
      <c r="FH8" s="476">
        <f t="shared" ref="FH8:FI8" si="293">FG8</f>
        <v>31</v>
      </c>
      <c r="FI8" s="476">
        <f t="shared" si="293"/>
        <v>31</v>
      </c>
      <c r="FJ8" s="476">
        <f t="shared" ref="FJ8" si="294">FI8+0.5</f>
        <v>31.5</v>
      </c>
      <c r="FK8" s="476">
        <f t="shared" ref="FK8" si="295">FJ8</f>
        <v>31.5</v>
      </c>
      <c r="FL8" s="476">
        <f>FL12</f>
        <v>32</v>
      </c>
      <c r="FM8" s="476">
        <f t="shared" ref="FM8:FN8" si="296">FL8</f>
        <v>32</v>
      </c>
      <c r="FN8" s="476">
        <f t="shared" si="296"/>
        <v>32</v>
      </c>
      <c r="FO8" s="476">
        <f t="shared" ref="FO8" si="297">FN8+0.5</f>
        <v>32.5</v>
      </c>
      <c r="FP8" s="476">
        <f t="shared" ref="FP8" si="298">FO8</f>
        <v>32.5</v>
      </c>
      <c r="FQ8" s="476">
        <f>FQ12</f>
        <v>33</v>
      </c>
      <c r="FR8" s="476">
        <f t="shared" ref="FR8:FS8" si="299">FQ8</f>
        <v>33</v>
      </c>
      <c r="FS8" s="476">
        <f t="shared" si="299"/>
        <v>33</v>
      </c>
      <c r="FT8" s="476">
        <f t="shared" ref="FT8" si="300">FS8+0.5</f>
        <v>33.5</v>
      </c>
      <c r="FU8" s="476">
        <f t="shared" ref="FU8" si="301">FT8</f>
        <v>33.5</v>
      </c>
      <c r="FV8" s="476">
        <f>FV12</f>
        <v>34</v>
      </c>
      <c r="FW8" s="476">
        <f t="shared" ref="FW8:FX8" si="302">FV8</f>
        <v>34</v>
      </c>
      <c r="FX8" s="476">
        <f t="shared" si="302"/>
        <v>34</v>
      </c>
      <c r="FY8" s="476">
        <f t="shared" ref="FY8" si="303">FX8+0.5</f>
        <v>34.5</v>
      </c>
      <c r="FZ8" s="476">
        <f t="shared" ref="FZ8" si="304">FY8</f>
        <v>34.5</v>
      </c>
      <c r="GA8" s="476">
        <f>GA12</f>
        <v>35</v>
      </c>
      <c r="GB8" s="476">
        <f t="shared" ref="GB8:GC8" si="305">GA8</f>
        <v>35</v>
      </c>
      <c r="GC8" s="476">
        <f t="shared" si="305"/>
        <v>35</v>
      </c>
      <c r="GD8" s="476">
        <f t="shared" ref="GD8" si="306">GC8+0.5</f>
        <v>35.5</v>
      </c>
      <c r="GE8" s="476">
        <f t="shared" ref="GE8" si="307">GD8</f>
        <v>35.5</v>
      </c>
      <c r="GF8" s="476">
        <f>GF12</f>
        <v>36</v>
      </c>
      <c r="GG8" s="476">
        <f t="shared" ref="GG8:GH8" si="308">GF8</f>
        <v>36</v>
      </c>
      <c r="GH8" s="476">
        <f t="shared" si="308"/>
        <v>36</v>
      </c>
      <c r="GI8" s="476">
        <f t="shared" ref="GI8" si="309">GH8+0.5</f>
        <v>36.5</v>
      </c>
      <c r="GJ8" s="476">
        <f t="shared" ref="GJ8" si="310">GI8</f>
        <v>36.5</v>
      </c>
      <c r="GK8" s="476">
        <f>GK12</f>
        <v>37</v>
      </c>
      <c r="GL8" s="476">
        <f t="shared" ref="GL8:GM8" si="311">GK8</f>
        <v>37</v>
      </c>
      <c r="GM8" s="476">
        <f t="shared" si="311"/>
        <v>37</v>
      </c>
      <c r="GN8" s="476">
        <f t="shared" ref="GN8" si="312">GM8+0.5</f>
        <v>37.5</v>
      </c>
      <c r="GO8" s="476">
        <f t="shared" ref="GO8" si="313">GN8</f>
        <v>37.5</v>
      </c>
      <c r="GP8" s="476">
        <f>GP12</f>
        <v>38</v>
      </c>
      <c r="GQ8" s="476">
        <f t="shared" ref="GQ8:GR8" si="314">GP8</f>
        <v>38</v>
      </c>
      <c r="GR8" s="476">
        <f t="shared" si="314"/>
        <v>38</v>
      </c>
      <c r="GS8" s="476">
        <f t="shared" ref="GS8" si="315">GR8+0.5</f>
        <v>38.5</v>
      </c>
      <c r="GT8" s="476">
        <f t="shared" ref="GT8" si="316">GS8</f>
        <v>38.5</v>
      </c>
      <c r="GU8" s="476">
        <f>GU12</f>
        <v>39</v>
      </c>
      <c r="GV8" s="476">
        <f t="shared" ref="GV8:GW8" si="317">GU8</f>
        <v>39</v>
      </c>
      <c r="GW8" s="476">
        <f t="shared" si="317"/>
        <v>39</v>
      </c>
      <c r="GX8" s="476">
        <f t="shared" ref="GX8" si="318">GW8+0.5</f>
        <v>39.5</v>
      </c>
      <c r="GY8" s="476">
        <f t="shared" ref="GY8" si="319">GX8</f>
        <v>39.5</v>
      </c>
      <c r="GZ8" s="476">
        <f>GZ12</f>
        <v>40</v>
      </c>
      <c r="HA8" s="476">
        <f t="shared" ref="HA8:HB8" si="320">GZ8</f>
        <v>40</v>
      </c>
      <c r="HB8" s="476">
        <f t="shared" si="320"/>
        <v>40</v>
      </c>
      <c r="HC8" s="476">
        <f t="shared" ref="HC8" si="321">HB8+0.5</f>
        <v>40.5</v>
      </c>
      <c r="HD8" s="476">
        <f t="shared" ref="HD8" si="322">HC8</f>
        <v>40.5</v>
      </c>
      <c r="HE8" s="476">
        <f>HE12</f>
        <v>41</v>
      </c>
      <c r="HF8" s="476">
        <f t="shared" ref="HF8:HG8" si="323">HE8</f>
        <v>41</v>
      </c>
      <c r="HG8" s="476">
        <f t="shared" si="323"/>
        <v>41</v>
      </c>
      <c r="HH8" s="476">
        <f t="shared" ref="HH8" si="324">HG8+0.5</f>
        <v>41.5</v>
      </c>
      <c r="HI8" s="476">
        <f t="shared" ref="HI8" si="325">HH8</f>
        <v>41.5</v>
      </c>
      <c r="HJ8" s="476">
        <f>HJ12</f>
        <v>42</v>
      </c>
      <c r="HK8" s="476">
        <f t="shared" ref="HK8:HL8" si="326">HJ8</f>
        <v>42</v>
      </c>
      <c r="HL8" s="476">
        <f t="shared" si="326"/>
        <v>42</v>
      </c>
      <c r="HM8" s="476">
        <f t="shared" ref="HM8" si="327">HL8+0.5</f>
        <v>42.5</v>
      </c>
      <c r="HN8" s="476">
        <f t="shared" ref="HN8" si="328">HM8</f>
        <v>42.5</v>
      </c>
      <c r="HO8" s="476">
        <f>HO12</f>
        <v>43</v>
      </c>
      <c r="HP8" s="476">
        <f t="shared" ref="HP8:HQ8" si="329">HO8</f>
        <v>43</v>
      </c>
      <c r="HQ8" s="476">
        <f t="shared" si="329"/>
        <v>43</v>
      </c>
      <c r="HR8" s="476">
        <f t="shared" ref="HR8" si="330">HQ8+0.5</f>
        <v>43.5</v>
      </c>
      <c r="HS8" s="476">
        <f t="shared" ref="HS8" si="331">HR8</f>
        <v>43.5</v>
      </c>
      <c r="HT8" s="476">
        <f>HT12</f>
        <v>44</v>
      </c>
      <c r="HU8" s="476">
        <f t="shared" ref="HU8:HV8" si="332">HT8</f>
        <v>44</v>
      </c>
      <c r="HV8" s="476">
        <f t="shared" si="332"/>
        <v>44</v>
      </c>
      <c r="HW8" s="476">
        <f t="shared" ref="HW8" si="333">HV8+0.5</f>
        <v>44.5</v>
      </c>
      <c r="HX8" s="476">
        <f t="shared" ref="HX8" si="334">HW8</f>
        <v>44.5</v>
      </c>
      <c r="HY8" s="476">
        <f>HY12</f>
        <v>45</v>
      </c>
      <c r="HZ8" s="476">
        <f t="shared" ref="HZ8:IA8" si="335">HY8</f>
        <v>45</v>
      </c>
      <c r="IA8" s="476">
        <f t="shared" si="335"/>
        <v>45</v>
      </c>
      <c r="IB8" s="476">
        <f t="shared" ref="IB8" si="336">IA8+0.5</f>
        <v>45.5</v>
      </c>
      <c r="IC8" s="476">
        <f t="shared" ref="IC8" si="337">IB8</f>
        <v>45.5</v>
      </c>
      <c r="ID8" s="476">
        <f>ID12</f>
        <v>46</v>
      </c>
      <c r="IE8" s="476">
        <f t="shared" ref="IE8:IF8" si="338">ID8</f>
        <v>46</v>
      </c>
      <c r="IF8" s="476">
        <f t="shared" si="338"/>
        <v>46</v>
      </c>
      <c r="IG8" s="476">
        <f t="shared" ref="IG8" si="339">IF8+0.5</f>
        <v>46.5</v>
      </c>
      <c r="IH8" s="476">
        <f t="shared" ref="IH8" si="340">IG8</f>
        <v>46.5</v>
      </c>
      <c r="II8" s="476">
        <f>II12</f>
        <v>47</v>
      </c>
      <c r="IJ8" s="476">
        <f t="shared" ref="IJ8:IK8" si="341">II8</f>
        <v>47</v>
      </c>
      <c r="IK8" s="476">
        <f t="shared" si="341"/>
        <v>47</v>
      </c>
      <c r="IL8" s="476">
        <f t="shared" ref="IL8" si="342">IK8+0.5</f>
        <v>47.5</v>
      </c>
      <c r="IM8" s="476">
        <f t="shared" ref="IM8" si="343">IL8</f>
        <v>47.5</v>
      </c>
      <c r="IN8" s="476">
        <f>IN12</f>
        <v>48</v>
      </c>
      <c r="IO8" s="476">
        <f t="shared" ref="IO8:IP8" si="344">IN8</f>
        <v>48</v>
      </c>
      <c r="IP8" s="476">
        <f t="shared" si="344"/>
        <v>48</v>
      </c>
      <c r="IQ8" s="476">
        <f t="shared" ref="IQ8" si="345">IP8+0.5</f>
        <v>48.5</v>
      </c>
      <c r="IR8" s="476">
        <f t="shared" ref="IR8" si="346">IQ8</f>
        <v>48.5</v>
      </c>
      <c r="IS8" s="476">
        <f>IS12</f>
        <v>49</v>
      </c>
      <c r="IT8" s="476">
        <f t="shared" ref="IT8:IU8" si="347">IS8</f>
        <v>49</v>
      </c>
      <c r="IU8" s="476">
        <f t="shared" si="347"/>
        <v>49</v>
      </c>
      <c r="IV8" s="476">
        <f t="shared" ref="IV8" si="348">IU8+0.5</f>
        <v>49.5</v>
      </c>
      <c r="IW8" s="476">
        <f t="shared" ref="IW8" si="349">IV8</f>
        <v>49.5</v>
      </c>
      <c r="IX8" s="476">
        <f>IX12</f>
        <v>50</v>
      </c>
      <c r="IY8" s="476">
        <f t="shared" ref="IY8:IZ8" si="350">IX8</f>
        <v>50</v>
      </c>
      <c r="IZ8" s="476">
        <f t="shared" si="350"/>
        <v>50</v>
      </c>
      <c r="JA8" s="476">
        <f t="shared" ref="JA8" si="351">IZ8+0.5</f>
        <v>50.5</v>
      </c>
      <c r="JB8" s="476">
        <f t="shared" ref="JB8" si="352">JA8</f>
        <v>50.5</v>
      </c>
      <c r="JC8" s="476">
        <f>JC12</f>
        <v>51</v>
      </c>
      <c r="JD8" s="476">
        <f t="shared" ref="JD8:JE8" si="353">JC8</f>
        <v>51</v>
      </c>
      <c r="JE8" s="476">
        <f t="shared" si="353"/>
        <v>51</v>
      </c>
      <c r="JF8" s="476">
        <f t="shared" ref="JF8" si="354">JE8+0.5</f>
        <v>51.5</v>
      </c>
      <c r="JG8" s="476">
        <f t="shared" ref="JG8" si="355">JF8</f>
        <v>51.5</v>
      </c>
      <c r="JH8" s="476">
        <f>JH12</f>
        <v>52</v>
      </c>
      <c r="JI8" s="476">
        <f t="shared" ref="JI8:JJ8" si="356">JH8</f>
        <v>52</v>
      </c>
      <c r="JJ8" s="476">
        <f t="shared" si="356"/>
        <v>52</v>
      </c>
      <c r="JK8" s="476">
        <f t="shared" ref="JK8" si="357">JJ8+0.5</f>
        <v>52.5</v>
      </c>
      <c r="JL8" s="476">
        <f t="shared" ref="JL8" si="358">JK8</f>
        <v>52.5</v>
      </c>
      <c r="JM8" s="476">
        <f>JM12</f>
        <v>53</v>
      </c>
      <c r="JN8" s="476">
        <f t="shared" ref="JN8:JO8" si="359">JM8</f>
        <v>53</v>
      </c>
      <c r="JO8" s="476">
        <f t="shared" si="359"/>
        <v>53</v>
      </c>
      <c r="JP8" s="476">
        <f t="shared" ref="JP8" si="360">JO8+0.5</f>
        <v>53.5</v>
      </c>
      <c r="JQ8" s="476">
        <f t="shared" ref="JQ8" si="361">JP8</f>
        <v>53.5</v>
      </c>
    </row>
    <row r="9" spans="2:277" hidden="1">
      <c r="B9" s="421"/>
      <c r="C9" s="421"/>
      <c r="D9" s="421"/>
      <c r="E9" s="419"/>
      <c r="F9" s="419"/>
      <c r="H9" s="419"/>
      <c r="I9" s="419"/>
      <c r="J9" s="419"/>
      <c r="K9" s="419"/>
      <c r="L9" s="419"/>
      <c r="M9" s="436">
        <v>1</v>
      </c>
      <c r="N9" s="436">
        <f t="shared" ref="N9:AB9" si="362">M9+1</f>
        <v>2</v>
      </c>
      <c r="O9" s="436">
        <f t="shared" si="362"/>
        <v>3</v>
      </c>
      <c r="P9" s="436">
        <f t="shared" si="362"/>
        <v>4</v>
      </c>
      <c r="Q9" s="436">
        <f t="shared" si="362"/>
        <v>5</v>
      </c>
      <c r="R9" s="436">
        <f t="shared" si="362"/>
        <v>6</v>
      </c>
      <c r="S9" s="436">
        <f t="shared" si="362"/>
        <v>7</v>
      </c>
      <c r="T9" s="436">
        <f t="shared" si="362"/>
        <v>8</v>
      </c>
      <c r="U9" s="436">
        <f t="shared" si="362"/>
        <v>9</v>
      </c>
      <c r="V9" s="436">
        <f t="shared" si="362"/>
        <v>10</v>
      </c>
      <c r="W9" s="436">
        <f t="shared" si="362"/>
        <v>11</v>
      </c>
      <c r="X9" s="436">
        <f t="shared" si="362"/>
        <v>12</v>
      </c>
      <c r="Y9" s="436">
        <f t="shared" si="362"/>
        <v>13</v>
      </c>
      <c r="Z9" s="436">
        <f t="shared" si="362"/>
        <v>14</v>
      </c>
      <c r="AA9" s="436">
        <f t="shared" si="362"/>
        <v>15</v>
      </c>
      <c r="AB9" s="436">
        <f t="shared" si="362"/>
        <v>16</v>
      </c>
      <c r="AC9" s="436">
        <f t="shared" ref="AC9:AF9" si="363">AB9+1</f>
        <v>17</v>
      </c>
      <c r="AD9" s="436">
        <f t="shared" si="363"/>
        <v>18</v>
      </c>
      <c r="AE9" s="436">
        <f t="shared" si="363"/>
        <v>19</v>
      </c>
      <c r="AF9" s="436">
        <f t="shared" si="363"/>
        <v>20</v>
      </c>
      <c r="AG9" s="436">
        <f>AF9+1</f>
        <v>21</v>
      </c>
      <c r="AH9" s="436">
        <f t="shared" ref="AH9:AK9" si="364">AG9+1</f>
        <v>22</v>
      </c>
      <c r="AI9" s="436">
        <f t="shared" si="364"/>
        <v>23</v>
      </c>
      <c r="AJ9" s="436">
        <f t="shared" si="364"/>
        <v>24</v>
      </c>
      <c r="AK9" s="436">
        <f t="shared" si="364"/>
        <v>25</v>
      </c>
      <c r="AL9" s="436">
        <f>AK9+1</f>
        <v>26</v>
      </c>
      <c r="AM9" s="436">
        <f t="shared" ref="AM9:AP9" si="365">AL9+1</f>
        <v>27</v>
      </c>
      <c r="AN9" s="436">
        <f t="shared" si="365"/>
        <v>28</v>
      </c>
      <c r="AO9" s="436">
        <f t="shared" si="365"/>
        <v>29</v>
      </c>
      <c r="AP9" s="436">
        <f t="shared" si="365"/>
        <v>30</v>
      </c>
      <c r="AQ9" s="436">
        <f>AP9+1</f>
        <v>31</v>
      </c>
      <c r="AR9" s="436">
        <f t="shared" ref="AR9:AU9" si="366">AQ9+1</f>
        <v>32</v>
      </c>
      <c r="AS9" s="436">
        <f t="shared" si="366"/>
        <v>33</v>
      </c>
      <c r="AT9" s="436">
        <f t="shared" si="366"/>
        <v>34</v>
      </c>
      <c r="AU9" s="436">
        <f t="shared" si="366"/>
        <v>35</v>
      </c>
      <c r="AV9" s="436">
        <f>AU9+1</f>
        <v>36</v>
      </c>
      <c r="AW9" s="436">
        <f t="shared" ref="AW9:AZ9" si="367">AV9+1</f>
        <v>37</v>
      </c>
      <c r="AX9" s="436">
        <f t="shared" si="367"/>
        <v>38</v>
      </c>
      <c r="AY9" s="436">
        <f t="shared" si="367"/>
        <v>39</v>
      </c>
      <c r="AZ9" s="436">
        <f t="shared" si="367"/>
        <v>40</v>
      </c>
      <c r="BA9" s="436">
        <f>AZ9+1</f>
        <v>41</v>
      </c>
      <c r="BB9" s="436">
        <f t="shared" ref="BB9:BE9" si="368">BA9+1</f>
        <v>42</v>
      </c>
      <c r="BC9" s="436">
        <f t="shared" si="368"/>
        <v>43</v>
      </c>
      <c r="BD9" s="436">
        <f t="shared" si="368"/>
        <v>44</v>
      </c>
      <c r="BE9" s="436">
        <f t="shared" si="368"/>
        <v>45</v>
      </c>
      <c r="BF9" s="436">
        <f>BE9+1</f>
        <v>46</v>
      </c>
      <c r="BG9" s="436">
        <f t="shared" ref="BG9:BJ9" si="369">BF9+1</f>
        <v>47</v>
      </c>
      <c r="BH9" s="436">
        <f t="shared" si="369"/>
        <v>48</v>
      </c>
      <c r="BI9" s="436">
        <f t="shared" si="369"/>
        <v>49</v>
      </c>
      <c r="BJ9" s="436">
        <f t="shared" si="369"/>
        <v>50</v>
      </c>
      <c r="BK9" s="436">
        <f>BJ9+1</f>
        <v>51</v>
      </c>
      <c r="BL9" s="436">
        <f t="shared" ref="BL9:BO9" si="370">BK9+1</f>
        <v>52</v>
      </c>
      <c r="BM9" s="436">
        <f t="shared" si="370"/>
        <v>53</v>
      </c>
      <c r="BN9" s="436">
        <f t="shared" si="370"/>
        <v>54</v>
      </c>
      <c r="BO9" s="436">
        <f t="shared" si="370"/>
        <v>55</v>
      </c>
      <c r="BP9" s="436">
        <f>BO9+1</f>
        <v>56</v>
      </c>
      <c r="BQ9" s="436">
        <f t="shared" ref="BQ9:BT9" si="371">BP9+1</f>
        <v>57</v>
      </c>
      <c r="BR9" s="436">
        <f t="shared" si="371"/>
        <v>58</v>
      </c>
      <c r="BS9" s="436">
        <f t="shared" si="371"/>
        <v>59</v>
      </c>
      <c r="BT9" s="436">
        <f t="shared" si="371"/>
        <v>60</v>
      </c>
      <c r="BU9" s="436">
        <f>BT9+1</f>
        <v>61</v>
      </c>
      <c r="BV9" s="436">
        <f t="shared" ref="BV9:BY9" si="372">BU9+1</f>
        <v>62</v>
      </c>
      <c r="BW9" s="436">
        <f t="shared" si="372"/>
        <v>63</v>
      </c>
      <c r="BX9" s="436">
        <f t="shared" si="372"/>
        <v>64</v>
      </c>
      <c r="BY9" s="436">
        <f t="shared" si="372"/>
        <v>65</v>
      </c>
      <c r="BZ9" s="436">
        <f>BY9+1</f>
        <v>66</v>
      </c>
      <c r="CA9" s="436">
        <f t="shared" ref="CA9:CD9" si="373">BZ9+1</f>
        <v>67</v>
      </c>
      <c r="CB9" s="436">
        <f t="shared" si="373"/>
        <v>68</v>
      </c>
      <c r="CC9" s="436">
        <f t="shared" si="373"/>
        <v>69</v>
      </c>
      <c r="CD9" s="436">
        <f t="shared" si="373"/>
        <v>70</v>
      </c>
      <c r="CE9" s="436">
        <f>CD9+1</f>
        <v>71</v>
      </c>
      <c r="CF9" s="436">
        <f t="shared" ref="CF9:CI9" si="374">CE9+1</f>
        <v>72</v>
      </c>
      <c r="CG9" s="436">
        <f t="shared" si="374"/>
        <v>73</v>
      </c>
      <c r="CH9" s="436">
        <f t="shared" si="374"/>
        <v>74</v>
      </c>
      <c r="CI9" s="436">
        <f t="shared" si="374"/>
        <v>75</v>
      </c>
      <c r="CJ9" s="436">
        <f>CI9+1</f>
        <v>76</v>
      </c>
      <c r="CK9" s="436">
        <f t="shared" ref="CK9:CN9" si="375">CJ9+1</f>
        <v>77</v>
      </c>
      <c r="CL9" s="436">
        <f t="shared" si="375"/>
        <v>78</v>
      </c>
      <c r="CM9" s="436">
        <f t="shared" si="375"/>
        <v>79</v>
      </c>
      <c r="CN9" s="436">
        <f t="shared" si="375"/>
        <v>80</v>
      </c>
      <c r="CO9" s="436">
        <f>CN9+1</f>
        <v>81</v>
      </c>
      <c r="CP9" s="436">
        <f t="shared" ref="CP9:CS9" si="376">CO9+1</f>
        <v>82</v>
      </c>
      <c r="CQ9" s="436">
        <f t="shared" si="376"/>
        <v>83</v>
      </c>
      <c r="CR9" s="436">
        <f t="shared" si="376"/>
        <v>84</v>
      </c>
      <c r="CS9" s="436">
        <f t="shared" si="376"/>
        <v>85</v>
      </c>
      <c r="CT9" s="436">
        <f>CS9+1</f>
        <v>86</v>
      </c>
      <c r="CU9" s="436">
        <f t="shared" ref="CU9:CX9" si="377">CT9+1</f>
        <v>87</v>
      </c>
      <c r="CV9" s="436">
        <f t="shared" si="377"/>
        <v>88</v>
      </c>
      <c r="CW9" s="436">
        <f t="shared" si="377"/>
        <v>89</v>
      </c>
      <c r="CX9" s="436">
        <f t="shared" si="377"/>
        <v>90</v>
      </c>
      <c r="CY9" s="436">
        <f>CX9+1</f>
        <v>91</v>
      </c>
      <c r="CZ9" s="436">
        <f t="shared" ref="CZ9:DC9" si="378">CY9+1</f>
        <v>92</v>
      </c>
      <c r="DA9" s="436">
        <f t="shared" si="378"/>
        <v>93</v>
      </c>
      <c r="DB9" s="436">
        <f t="shared" si="378"/>
        <v>94</v>
      </c>
      <c r="DC9" s="436">
        <f t="shared" si="378"/>
        <v>95</v>
      </c>
      <c r="DD9" s="436">
        <f>DC9+1</f>
        <v>96</v>
      </c>
      <c r="DE9" s="436">
        <f t="shared" ref="DE9:DH9" si="379">DD9+1</f>
        <v>97</v>
      </c>
      <c r="DF9" s="436">
        <f t="shared" si="379"/>
        <v>98</v>
      </c>
      <c r="DG9" s="436">
        <f t="shared" si="379"/>
        <v>99</v>
      </c>
      <c r="DH9" s="436">
        <f t="shared" si="379"/>
        <v>100</v>
      </c>
      <c r="DI9" s="436">
        <f>DH9+1</f>
        <v>101</v>
      </c>
      <c r="DJ9" s="436">
        <f t="shared" ref="DJ9:DM9" si="380">DI9+1</f>
        <v>102</v>
      </c>
      <c r="DK9" s="436">
        <f t="shared" si="380"/>
        <v>103</v>
      </c>
      <c r="DL9" s="436">
        <f t="shared" si="380"/>
        <v>104</v>
      </c>
      <c r="DM9" s="436">
        <f t="shared" si="380"/>
        <v>105</v>
      </c>
      <c r="DN9" s="436">
        <f>DM9+1</f>
        <v>106</v>
      </c>
      <c r="DO9" s="436">
        <f t="shared" ref="DO9:DR9" si="381">DN9+1</f>
        <v>107</v>
      </c>
      <c r="DP9" s="436">
        <f t="shared" si="381"/>
        <v>108</v>
      </c>
      <c r="DQ9" s="436">
        <f t="shared" si="381"/>
        <v>109</v>
      </c>
      <c r="DR9" s="436">
        <f t="shared" si="381"/>
        <v>110</v>
      </c>
      <c r="DS9" s="436">
        <f>DR9+1</f>
        <v>111</v>
      </c>
      <c r="DT9" s="436">
        <f t="shared" ref="DT9:DW9" si="382">DS9+1</f>
        <v>112</v>
      </c>
      <c r="DU9" s="436">
        <f t="shared" si="382"/>
        <v>113</v>
      </c>
      <c r="DV9" s="436">
        <f t="shared" si="382"/>
        <v>114</v>
      </c>
      <c r="DW9" s="436">
        <f t="shared" si="382"/>
        <v>115</v>
      </c>
      <c r="DX9" s="436">
        <f>DW9+1</f>
        <v>116</v>
      </c>
      <c r="DY9" s="436">
        <f t="shared" ref="DY9:EB9" si="383">DX9+1</f>
        <v>117</v>
      </c>
      <c r="DZ9" s="436">
        <f t="shared" si="383"/>
        <v>118</v>
      </c>
      <c r="EA9" s="436">
        <f t="shared" si="383"/>
        <v>119</v>
      </c>
      <c r="EB9" s="436">
        <f t="shared" si="383"/>
        <v>120</v>
      </c>
      <c r="EC9" s="436">
        <f>EB9+1</f>
        <v>121</v>
      </c>
      <c r="ED9" s="436">
        <f t="shared" ref="ED9:EG9" si="384">EC9+1</f>
        <v>122</v>
      </c>
      <c r="EE9" s="436">
        <f t="shared" si="384"/>
        <v>123</v>
      </c>
      <c r="EF9" s="436">
        <f t="shared" si="384"/>
        <v>124</v>
      </c>
      <c r="EG9" s="436">
        <f t="shared" si="384"/>
        <v>125</v>
      </c>
      <c r="EH9" s="436">
        <f>EG9+1</f>
        <v>126</v>
      </c>
      <c r="EI9" s="436">
        <f t="shared" ref="EI9:EL9" si="385">EH9+1</f>
        <v>127</v>
      </c>
      <c r="EJ9" s="436">
        <f t="shared" si="385"/>
        <v>128</v>
      </c>
      <c r="EK9" s="436">
        <f t="shared" si="385"/>
        <v>129</v>
      </c>
      <c r="EL9" s="436">
        <f t="shared" si="385"/>
        <v>130</v>
      </c>
      <c r="EM9" s="436">
        <f>EL9+1</f>
        <v>131</v>
      </c>
      <c r="EN9" s="436">
        <f t="shared" ref="EN9:EQ9" si="386">EM9+1</f>
        <v>132</v>
      </c>
      <c r="EO9" s="436">
        <f t="shared" si="386"/>
        <v>133</v>
      </c>
      <c r="EP9" s="436">
        <f t="shared" si="386"/>
        <v>134</v>
      </c>
      <c r="EQ9" s="436">
        <f t="shared" si="386"/>
        <v>135</v>
      </c>
      <c r="ER9" s="436">
        <f>EQ9+1</f>
        <v>136</v>
      </c>
      <c r="ES9" s="436">
        <f t="shared" ref="ES9:EV9" si="387">ER9+1</f>
        <v>137</v>
      </c>
      <c r="ET9" s="436">
        <f t="shared" si="387"/>
        <v>138</v>
      </c>
      <c r="EU9" s="436">
        <f t="shared" si="387"/>
        <v>139</v>
      </c>
      <c r="EV9" s="436">
        <f t="shared" si="387"/>
        <v>140</v>
      </c>
      <c r="EW9" s="436">
        <f>EV9+1</f>
        <v>141</v>
      </c>
      <c r="EX9" s="436">
        <f t="shared" ref="EX9:FA9" si="388">EW9+1</f>
        <v>142</v>
      </c>
      <c r="EY9" s="436">
        <f t="shared" si="388"/>
        <v>143</v>
      </c>
      <c r="EZ9" s="436">
        <f t="shared" si="388"/>
        <v>144</v>
      </c>
      <c r="FA9" s="436">
        <f t="shared" si="388"/>
        <v>145</v>
      </c>
      <c r="FB9" s="436">
        <f>FA9+1</f>
        <v>146</v>
      </c>
      <c r="FC9" s="436">
        <f t="shared" ref="FC9:FF9" si="389">FB9+1</f>
        <v>147</v>
      </c>
      <c r="FD9" s="436">
        <f t="shared" si="389"/>
        <v>148</v>
      </c>
      <c r="FE9" s="436">
        <f t="shared" si="389"/>
        <v>149</v>
      </c>
      <c r="FF9" s="436">
        <f t="shared" si="389"/>
        <v>150</v>
      </c>
      <c r="FG9" s="436">
        <f>FF9+1</f>
        <v>151</v>
      </c>
      <c r="FH9" s="436">
        <f t="shared" ref="FH9:FK9" si="390">FG9+1</f>
        <v>152</v>
      </c>
      <c r="FI9" s="436">
        <f t="shared" si="390"/>
        <v>153</v>
      </c>
      <c r="FJ9" s="436">
        <f t="shared" si="390"/>
        <v>154</v>
      </c>
      <c r="FK9" s="436">
        <f t="shared" si="390"/>
        <v>155</v>
      </c>
      <c r="FL9" s="436">
        <f>FK9+1</f>
        <v>156</v>
      </c>
      <c r="FM9" s="436">
        <f t="shared" ref="FM9:FP9" si="391">FL9+1</f>
        <v>157</v>
      </c>
      <c r="FN9" s="436">
        <f t="shared" si="391"/>
        <v>158</v>
      </c>
      <c r="FO9" s="436">
        <f t="shared" si="391"/>
        <v>159</v>
      </c>
      <c r="FP9" s="436">
        <f t="shared" si="391"/>
        <v>160</v>
      </c>
      <c r="FQ9" s="436">
        <f>FP9+1</f>
        <v>161</v>
      </c>
      <c r="FR9" s="436">
        <f t="shared" ref="FR9:FU9" si="392">FQ9+1</f>
        <v>162</v>
      </c>
      <c r="FS9" s="436">
        <f t="shared" si="392"/>
        <v>163</v>
      </c>
      <c r="FT9" s="436">
        <f t="shared" si="392"/>
        <v>164</v>
      </c>
      <c r="FU9" s="436">
        <f t="shared" si="392"/>
        <v>165</v>
      </c>
      <c r="FV9" s="436">
        <f>FU9+1</f>
        <v>166</v>
      </c>
      <c r="FW9" s="436">
        <f t="shared" ref="FW9:FZ9" si="393">FV9+1</f>
        <v>167</v>
      </c>
      <c r="FX9" s="436">
        <f t="shared" si="393"/>
        <v>168</v>
      </c>
      <c r="FY9" s="436">
        <f t="shared" si="393"/>
        <v>169</v>
      </c>
      <c r="FZ9" s="436">
        <f t="shared" si="393"/>
        <v>170</v>
      </c>
      <c r="GA9" s="436">
        <f>FZ9+1</f>
        <v>171</v>
      </c>
      <c r="GB9" s="436">
        <f t="shared" ref="GB9:GE9" si="394">GA9+1</f>
        <v>172</v>
      </c>
      <c r="GC9" s="436">
        <f t="shared" si="394"/>
        <v>173</v>
      </c>
      <c r="GD9" s="436">
        <f t="shared" si="394"/>
        <v>174</v>
      </c>
      <c r="GE9" s="436">
        <f t="shared" si="394"/>
        <v>175</v>
      </c>
      <c r="GF9" s="436">
        <f>GE9+1</f>
        <v>176</v>
      </c>
      <c r="GG9" s="436">
        <f t="shared" ref="GG9:GJ9" si="395">GF9+1</f>
        <v>177</v>
      </c>
      <c r="GH9" s="436">
        <f t="shared" si="395"/>
        <v>178</v>
      </c>
      <c r="GI9" s="436">
        <f t="shared" si="395"/>
        <v>179</v>
      </c>
      <c r="GJ9" s="436">
        <f t="shared" si="395"/>
        <v>180</v>
      </c>
      <c r="GK9" s="436">
        <f>GJ9+1</f>
        <v>181</v>
      </c>
      <c r="GL9" s="436">
        <f t="shared" ref="GL9:GO9" si="396">GK9+1</f>
        <v>182</v>
      </c>
      <c r="GM9" s="436">
        <f t="shared" si="396"/>
        <v>183</v>
      </c>
      <c r="GN9" s="436">
        <f t="shared" si="396"/>
        <v>184</v>
      </c>
      <c r="GO9" s="436">
        <f t="shared" si="396"/>
        <v>185</v>
      </c>
      <c r="GP9" s="436">
        <f>GO9+1</f>
        <v>186</v>
      </c>
      <c r="GQ9" s="436">
        <f t="shared" ref="GQ9:GT9" si="397">GP9+1</f>
        <v>187</v>
      </c>
      <c r="GR9" s="436">
        <f t="shared" si="397"/>
        <v>188</v>
      </c>
      <c r="GS9" s="436">
        <f t="shared" si="397"/>
        <v>189</v>
      </c>
      <c r="GT9" s="436">
        <f t="shared" si="397"/>
        <v>190</v>
      </c>
      <c r="GU9" s="436">
        <f>GT9+1</f>
        <v>191</v>
      </c>
      <c r="GV9" s="436">
        <f t="shared" ref="GV9:GY9" si="398">GU9+1</f>
        <v>192</v>
      </c>
      <c r="GW9" s="436">
        <f t="shared" si="398"/>
        <v>193</v>
      </c>
      <c r="GX9" s="436">
        <f t="shared" si="398"/>
        <v>194</v>
      </c>
      <c r="GY9" s="436">
        <f t="shared" si="398"/>
        <v>195</v>
      </c>
      <c r="GZ9" s="436">
        <f>GY9+1</f>
        <v>196</v>
      </c>
      <c r="HA9" s="436">
        <f t="shared" ref="HA9:HD9" si="399">GZ9+1</f>
        <v>197</v>
      </c>
      <c r="HB9" s="436">
        <f t="shared" si="399"/>
        <v>198</v>
      </c>
      <c r="HC9" s="436">
        <f t="shared" si="399"/>
        <v>199</v>
      </c>
      <c r="HD9" s="436">
        <f t="shared" si="399"/>
        <v>200</v>
      </c>
      <c r="HE9" s="436">
        <f>HD9+1</f>
        <v>201</v>
      </c>
      <c r="HF9" s="436">
        <f t="shared" ref="HF9:HI9" si="400">HE9+1</f>
        <v>202</v>
      </c>
      <c r="HG9" s="436">
        <f t="shared" si="400"/>
        <v>203</v>
      </c>
      <c r="HH9" s="436">
        <f t="shared" si="400"/>
        <v>204</v>
      </c>
      <c r="HI9" s="436">
        <f t="shared" si="400"/>
        <v>205</v>
      </c>
      <c r="HJ9" s="436">
        <f>HI9+1</f>
        <v>206</v>
      </c>
      <c r="HK9" s="436">
        <f t="shared" ref="HK9:HN9" si="401">HJ9+1</f>
        <v>207</v>
      </c>
      <c r="HL9" s="436">
        <f t="shared" si="401"/>
        <v>208</v>
      </c>
      <c r="HM9" s="436">
        <f t="shared" si="401"/>
        <v>209</v>
      </c>
      <c r="HN9" s="436">
        <f t="shared" si="401"/>
        <v>210</v>
      </c>
      <c r="HO9" s="436">
        <f>HN9+1</f>
        <v>211</v>
      </c>
      <c r="HP9" s="436">
        <f t="shared" ref="HP9:HS9" si="402">HO9+1</f>
        <v>212</v>
      </c>
      <c r="HQ9" s="436">
        <f t="shared" si="402"/>
        <v>213</v>
      </c>
      <c r="HR9" s="436">
        <f t="shared" si="402"/>
        <v>214</v>
      </c>
      <c r="HS9" s="436">
        <f t="shared" si="402"/>
        <v>215</v>
      </c>
      <c r="HT9" s="436">
        <f>HS9+1</f>
        <v>216</v>
      </c>
      <c r="HU9" s="436">
        <f t="shared" ref="HU9:HX9" si="403">HT9+1</f>
        <v>217</v>
      </c>
      <c r="HV9" s="436">
        <f t="shared" si="403"/>
        <v>218</v>
      </c>
      <c r="HW9" s="436">
        <f t="shared" si="403"/>
        <v>219</v>
      </c>
      <c r="HX9" s="436">
        <f t="shared" si="403"/>
        <v>220</v>
      </c>
      <c r="HY9" s="436">
        <f>HX9+1</f>
        <v>221</v>
      </c>
      <c r="HZ9" s="436">
        <f t="shared" ref="HZ9:IC9" si="404">HY9+1</f>
        <v>222</v>
      </c>
      <c r="IA9" s="436">
        <f t="shared" si="404"/>
        <v>223</v>
      </c>
      <c r="IB9" s="436">
        <f t="shared" si="404"/>
        <v>224</v>
      </c>
      <c r="IC9" s="436">
        <f t="shared" si="404"/>
        <v>225</v>
      </c>
      <c r="ID9" s="436">
        <f>IC9+1</f>
        <v>226</v>
      </c>
      <c r="IE9" s="436">
        <f t="shared" ref="IE9:IH9" si="405">ID9+1</f>
        <v>227</v>
      </c>
      <c r="IF9" s="436">
        <f t="shared" si="405"/>
        <v>228</v>
      </c>
      <c r="IG9" s="436">
        <f t="shared" si="405"/>
        <v>229</v>
      </c>
      <c r="IH9" s="436">
        <f t="shared" si="405"/>
        <v>230</v>
      </c>
      <c r="II9" s="436">
        <f>IH9+1</f>
        <v>231</v>
      </c>
      <c r="IJ9" s="436">
        <f t="shared" ref="IJ9:IM9" si="406">II9+1</f>
        <v>232</v>
      </c>
      <c r="IK9" s="436">
        <f t="shared" si="406"/>
        <v>233</v>
      </c>
      <c r="IL9" s="436">
        <f t="shared" si="406"/>
        <v>234</v>
      </c>
      <c r="IM9" s="436">
        <f t="shared" si="406"/>
        <v>235</v>
      </c>
      <c r="IN9" s="436">
        <f>IM9+1</f>
        <v>236</v>
      </c>
      <c r="IO9" s="436">
        <f t="shared" ref="IO9:IR9" si="407">IN9+1</f>
        <v>237</v>
      </c>
      <c r="IP9" s="436">
        <f t="shared" si="407"/>
        <v>238</v>
      </c>
      <c r="IQ9" s="436">
        <f t="shared" si="407"/>
        <v>239</v>
      </c>
      <c r="IR9" s="436">
        <f t="shared" si="407"/>
        <v>240</v>
      </c>
      <c r="IS9" s="436">
        <f>IR9+1</f>
        <v>241</v>
      </c>
      <c r="IT9" s="436">
        <f t="shared" ref="IT9:IW9" si="408">IS9+1</f>
        <v>242</v>
      </c>
      <c r="IU9" s="436">
        <f t="shared" si="408"/>
        <v>243</v>
      </c>
      <c r="IV9" s="436">
        <f t="shared" si="408"/>
        <v>244</v>
      </c>
      <c r="IW9" s="436">
        <f t="shared" si="408"/>
        <v>245</v>
      </c>
      <c r="IX9" s="436">
        <f>IW9+1</f>
        <v>246</v>
      </c>
      <c r="IY9" s="436">
        <f t="shared" ref="IY9:JB9" si="409">IX9+1</f>
        <v>247</v>
      </c>
      <c r="IZ9" s="436">
        <f t="shared" si="409"/>
        <v>248</v>
      </c>
      <c r="JA9" s="436">
        <f t="shared" si="409"/>
        <v>249</v>
      </c>
      <c r="JB9" s="436">
        <f t="shared" si="409"/>
        <v>250</v>
      </c>
      <c r="JC9" s="436">
        <f>JB9+1</f>
        <v>251</v>
      </c>
      <c r="JD9" s="436">
        <f t="shared" ref="JD9:JG9" si="410">JC9+1</f>
        <v>252</v>
      </c>
      <c r="JE9" s="436">
        <f t="shared" si="410"/>
        <v>253</v>
      </c>
      <c r="JF9" s="436">
        <f t="shared" si="410"/>
        <v>254</v>
      </c>
      <c r="JG9" s="436">
        <f t="shared" si="410"/>
        <v>255</v>
      </c>
      <c r="JH9" s="436">
        <f>JG9+1</f>
        <v>256</v>
      </c>
      <c r="JI9" s="436">
        <f t="shared" ref="JI9:JL9" si="411">JH9+1</f>
        <v>257</v>
      </c>
      <c r="JJ9" s="436">
        <f t="shared" si="411"/>
        <v>258</v>
      </c>
      <c r="JK9" s="436">
        <f t="shared" si="411"/>
        <v>259</v>
      </c>
      <c r="JL9" s="436">
        <f t="shared" si="411"/>
        <v>260</v>
      </c>
      <c r="JM9" s="436">
        <f>JL9+1</f>
        <v>261</v>
      </c>
      <c r="JN9" s="436">
        <f t="shared" ref="JN9:JQ9" si="412">JM9+1</f>
        <v>262</v>
      </c>
      <c r="JO9" s="436">
        <f t="shared" si="412"/>
        <v>263</v>
      </c>
      <c r="JP9" s="436">
        <f t="shared" si="412"/>
        <v>264</v>
      </c>
      <c r="JQ9" s="436">
        <f t="shared" si="412"/>
        <v>265</v>
      </c>
    </row>
    <row r="10" spans="2:277" ht="15" hidden="1" customHeight="1">
      <c r="B10" s="421"/>
      <c r="C10" s="421"/>
      <c r="D10" s="421"/>
      <c r="E10" s="419"/>
      <c r="F10" s="419"/>
      <c r="H10" s="419"/>
      <c r="I10" s="419"/>
      <c r="J10" s="419"/>
      <c r="K10" s="419"/>
      <c r="L10" s="419"/>
      <c r="M10" s="436">
        <v>1</v>
      </c>
      <c r="N10" s="436">
        <f t="shared" ref="N10:AB10" si="413">M10+1</f>
        <v>2</v>
      </c>
      <c r="O10" s="436">
        <f t="shared" si="413"/>
        <v>3</v>
      </c>
      <c r="P10" s="436">
        <f t="shared" si="413"/>
        <v>4</v>
      </c>
      <c r="Q10" s="436">
        <f t="shared" si="413"/>
        <v>5</v>
      </c>
      <c r="R10" s="436">
        <f t="shared" si="413"/>
        <v>6</v>
      </c>
      <c r="S10" s="436">
        <f t="shared" si="413"/>
        <v>7</v>
      </c>
      <c r="T10" s="436">
        <f t="shared" si="413"/>
        <v>8</v>
      </c>
      <c r="U10" s="436">
        <f t="shared" si="413"/>
        <v>9</v>
      </c>
      <c r="V10" s="436">
        <f t="shared" si="413"/>
        <v>10</v>
      </c>
      <c r="W10" s="436">
        <f t="shared" si="413"/>
        <v>11</v>
      </c>
      <c r="X10" s="436">
        <f t="shared" si="413"/>
        <v>12</v>
      </c>
      <c r="Y10" s="436">
        <f t="shared" si="413"/>
        <v>13</v>
      </c>
      <c r="Z10" s="436">
        <f t="shared" si="413"/>
        <v>14</v>
      </c>
      <c r="AA10" s="436">
        <f t="shared" si="413"/>
        <v>15</v>
      </c>
      <c r="AB10" s="436">
        <f t="shared" si="413"/>
        <v>16</v>
      </c>
      <c r="AC10" s="436">
        <f>AB10+1</f>
        <v>17</v>
      </c>
      <c r="AD10" s="436">
        <f>AC10+1</f>
        <v>18</v>
      </c>
      <c r="AE10" s="436">
        <f>AD10+1</f>
        <v>19</v>
      </c>
      <c r="AF10" s="436">
        <f>AE10+1</f>
        <v>20</v>
      </c>
      <c r="AG10" s="436">
        <f>AF10+1</f>
        <v>21</v>
      </c>
      <c r="AH10" s="436">
        <f t="shared" ref="AH10:AK10" si="414">AG10+1</f>
        <v>22</v>
      </c>
      <c r="AI10" s="436">
        <f t="shared" si="414"/>
        <v>23</v>
      </c>
      <c r="AJ10" s="436">
        <f t="shared" si="414"/>
        <v>24</v>
      </c>
      <c r="AK10" s="436">
        <f t="shared" si="414"/>
        <v>25</v>
      </c>
      <c r="AL10" s="436">
        <f>AK10+1</f>
        <v>26</v>
      </c>
      <c r="AM10" s="436">
        <f t="shared" ref="AM10:AP10" si="415">AL10+1</f>
        <v>27</v>
      </c>
      <c r="AN10" s="436">
        <f t="shared" si="415"/>
        <v>28</v>
      </c>
      <c r="AO10" s="436">
        <f t="shared" si="415"/>
        <v>29</v>
      </c>
      <c r="AP10" s="436">
        <f t="shared" si="415"/>
        <v>30</v>
      </c>
      <c r="AQ10" s="436">
        <f>AP10+1</f>
        <v>31</v>
      </c>
      <c r="AR10" s="436">
        <f t="shared" ref="AR10:AU10" si="416">AQ10+1</f>
        <v>32</v>
      </c>
      <c r="AS10" s="436">
        <f t="shared" si="416"/>
        <v>33</v>
      </c>
      <c r="AT10" s="436">
        <f t="shared" si="416"/>
        <v>34</v>
      </c>
      <c r="AU10" s="436">
        <f t="shared" si="416"/>
        <v>35</v>
      </c>
      <c r="AV10" s="436">
        <f>AU10+1</f>
        <v>36</v>
      </c>
      <c r="AW10" s="436">
        <f t="shared" ref="AW10:AZ10" si="417">AV10+1</f>
        <v>37</v>
      </c>
      <c r="AX10" s="436">
        <f t="shared" si="417"/>
        <v>38</v>
      </c>
      <c r="AY10" s="436">
        <f t="shared" si="417"/>
        <v>39</v>
      </c>
      <c r="AZ10" s="436">
        <f t="shared" si="417"/>
        <v>40</v>
      </c>
      <c r="BA10" s="436">
        <f>AZ10+1</f>
        <v>41</v>
      </c>
      <c r="BB10" s="436">
        <f t="shared" ref="BB10:BE10" si="418">BA10+1</f>
        <v>42</v>
      </c>
      <c r="BC10" s="436">
        <f t="shared" si="418"/>
        <v>43</v>
      </c>
      <c r="BD10" s="436">
        <f t="shared" si="418"/>
        <v>44</v>
      </c>
      <c r="BE10" s="436">
        <f t="shared" si="418"/>
        <v>45</v>
      </c>
      <c r="BF10" s="436">
        <f>BE10+1</f>
        <v>46</v>
      </c>
      <c r="BG10" s="436">
        <f t="shared" ref="BG10:BJ10" si="419">BF10+1</f>
        <v>47</v>
      </c>
      <c r="BH10" s="436">
        <f t="shared" si="419"/>
        <v>48</v>
      </c>
      <c r="BI10" s="436">
        <f t="shared" si="419"/>
        <v>49</v>
      </c>
      <c r="BJ10" s="436">
        <f t="shared" si="419"/>
        <v>50</v>
      </c>
      <c r="BK10" s="436">
        <f>BJ10+1</f>
        <v>51</v>
      </c>
      <c r="BL10" s="436">
        <f t="shared" ref="BL10:BO10" si="420">BK10+1</f>
        <v>52</v>
      </c>
      <c r="BM10" s="436">
        <f t="shared" si="420"/>
        <v>53</v>
      </c>
      <c r="BN10" s="436">
        <f t="shared" si="420"/>
        <v>54</v>
      </c>
      <c r="BO10" s="436">
        <f t="shared" si="420"/>
        <v>55</v>
      </c>
      <c r="BP10" s="436">
        <f>BO10+1</f>
        <v>56</v>
      </c>
      <c r="BQ10" s="436">
        <f t="shared" ref="BQ10:BT10" si="421">BP10+1</f>
        <v>57</v>
      </c>
      <c r="BR10" s="436">
        <f t="shared" si="421"/>
        <v>58</v>
      </c>
      <c r="BS10" s="436">
        <f t="shared" si="421"/>
        <v>59</v>
      </c>
      <c r="BT10" s="436">
        <f t="shared" si="421"/>
        <v>60</v>
      </c>
      <c r="BU10" s="436">
        <f>BT10+1</f>
        <v>61</v>
      </c>
      <c r="BV10" s="436">
        <f t="shared" ref="BV10:BY10" si="422">BU10+1</f>
        <v>62</v>
      </c>
      <c r="BW10" s="436">
        <f t="shared" si="422"/>
        <v>63</v>
      </c>
      <c r="BX10" s="436">
        <f t="shared" si="422"/>
        <v>64</v>
      </c>
      <c r="BY10" s="436">
        <f t="shared" si="422"/>
        <v>65</v>
      </c>
      <c r="BZ10" s="436">
        <f>BY10+1</f>
        <v>66</v>
      </c>
      <c r="CA10" s="436">
        <f t="shared" ref="CA10:CD10" si="423">BZ10+1</f>
        <v>67</v>
      </c>
      <c r="CB10" s="436">
        <f t="shared" si="423"/>
        <v>68</v>
      </c>
      <c r="CC10" s="436">
        <f t="shared" si="423"/>
        <v>69</v>
      </c>
      <c r="CD10" s="436">
        <f t="shared" si="423"/>
        <v>70</v>
      </c>
      <c r="CE10" s="436">
        <f>CD10+1</f>
        <v>71</v>
      </c>
      <c r="CF10" s="436">
        <f t="shared" ref="CF10:CI10" si="424">CE10+1</f>
        <v>72</v>
      </c>
      <c r="CG10" s="436">
        <f t="shared" si="424"/>
        <v>73</v>
      </c>
      <c r="CH10" s="436">
        <f t="shared" si="424"/>
        <v>74</v>
      </c>
      <c r="CI10" s="436">
        <f t="shared" si="424"/>
        <v>75</v>
      </c>
      <c r="CJ10" s="436">
        <f>CI10+1</f>
        <v>76</v>
      </c>
      <c r="CK10" s="436">
        <f t="shared" ref="CK10:CN10" si="425">CJ10+1</f>
        <v>77</v>
      </c>
      <c r="CL10" s="436">
        <f t="shared" si="425"/>
        <v>78</v>
      </c>
      <c r="CM10" s="436">
        <f t="shared" si="425"/>
        <v>79</v>
      </c>
      <c r="CN10" s="436">
        <f t="shared" si="425"/>
        <v>80</v>
      </c>
      <c r="CO10" s="436">
        <f>CN10+1</f>
        <v>81</v>
      </c>
      <c r="CP10" s="436">
        <f t="shared" ref="CP10:CS10" si="426">CO10+1</f>
        <v>82</v>
      </c>
      <c r="CQ10" s="436">
        <f t="shared" si="426"/>
        <v>83</v>
      </c>
      <c r="CR10" s="436">
        <f t="shared" si="426"/>
        <v>84</v>
      </c>
      <c r="CS10" s="436">
        <f t="shared" si="426"/>
        <v>85</v>
      </c>
      <c r="CT10" s="436">
        <f>CS10+1</f>
        <v>86</v>
      </c>
      <c r="CU10" s="436">
        <f t="shared" ref="CU10:CX10" si="427">CT10+1</f>
        <v>87</v>
      </c>
      <c r="CV10" s="436">
        <f t="shared" si="427"/>
        <v>88</v>
      </c>
      <c r="CW10" s="436">
        <f t="shared" si="427"/>
        <v>89</v>
      </c>
      <c r="CX10" s="436">
        <f t="shared" si="427"/>
        <v>90</v>
      </c>
      <c r="CY10" s="436">
        <f>CX10+1</f>
        <v>91</v>
      </c>
      <c r="CZ10" s="436">
        <f t="shared" ref="CZ10:DC10" si="428">CY10+1</f>
        <v>92</v>
      </c>
      <c r="DA10" s="436">
        <f t="shared" si="428"/>
        <v>93</v>
      </c>
      <c r="DB10" s="436">
        <f t="shared" si="428"/>
        <v>94</v>
      </c>
      <c r="DC10" s="436">
        <f t="shared" si="428"/>
        <v>95</v>
      </c>
      <c r="DD10" s="436">
        <f>DC10+1</f>
        <v>96</v>
      </c>
      <c r="DE10" s="436">
        <f t="shared" ref="DE10:DH10" si="429">DD10+1</f>
        <v>97</v>
      </c>
      <c r="DF10" s="436">
        <f t="shared" si="429"/>
        <v>98</v>
      </c>
      <c r="DG10" s="436">
        <f t="shared" si="429"/>
        <v>99</v>
      </c>
      <c r="DH10" s="436">
        <f t="shared" si="429"/>
        <v>100</v>
      </c>
      <c r="DI10" s="436">
        <f>DH10+1</f>
        <v>101</v>
      </c>
      <c r="DJ10" s="436">
        <f t="shared" ref="DJ10:DM10" si="430">DI10+1</f>
        <v>102</v>
      </c>
      <c r="DK10" s="436">
        <f t="shared" si="430"/>
        <v>103</v>
      </c>
      <c r="DL10" s="436">
        <f t="shared" si="430"/>
        <v>104</v>
      </c>
      <c r="DM10" s="436">
        <f t="shared" si="430"/>
        <v>105</v>
      </c>
      <c r="DN10" s="436">
        <f>DM10+1</f>
        <v>106</v>
      </c>
      <c r="DO10" s="436">
        <f t="shared" ref="DO10:DR10" si="431">DN10+1</f>
        <v>107</v>
      </c>
      <c r="DP10" s="436">
        <f t="shared" si="431"/>
        <v>108</v>
      </c>
      <c r="DQ10" s="436">
        <f t="shared" si="431"/>
        <v>109</v>
      </c>
      <c r="DR10" s="436">
        <f t="shared" si="431"/>
        <v>110</v>
      </c>
      <c r="DS10" s="436">
        <f>DR10+1</f>
        <v>111</v>
      </c>
      <c r="DT10" s="436">
        <f t="shared" ref="DT10:DW10" si="432">DS10+1</f>
        <v>112</v>
      </c>
      <c r="DU10" s="436">
        <f t="shared" si="432"/>
        <v>113</v>
      </c>
      <c r="DV10" s="436">
        <f t="shared" si="432"/>
        <v>114</v>
      </c>
      <c r="DW10" s="436">
        <f t="shared" si="432"/>
        <v>115</v>
      </c>
      <c r="DX10" s="436">
        <f>DW10+1</f>
        <v>116</v>
      </c>
      <c r="DY10" s="436">
        <f t="shared" ref="DY10:EB10" si="433">DX10+1</f>
        <v>117</v>
      </c>
      <c r="DZ10" s="436">
        <f t="shared" si="433"/>
        <v>118</v>
      </c>
      <c r="EA10" s="436">
        <f t="shared" si="433"/>
        <v>119</v>
      </c>
      <c r="EB10" s="436">
        <f t="shared" si="433"/>
        <v>120</v>
      </c>
      <c r="EC10" s="436">
        <f>EB10+1</f>
        <v>121</v>
      </c>
      <c r="ED10" s="436">
        <f t="shared" ref="ED10:EG10" si="434">EC10+1</f>
        <v>122</v>
      </c>
      <c r="EE10" s="436">
        <f t="shared" si="434"/>
        <v>123</v>
      </c>
      <c r="EF10" s="436">
        <f t="shared" si="434"/>
        <v>124</v>
      </c>
      <c r="EG10" s="436">
        <f t="shared" si="434"/>
        <v>125</v>
      </c>
      <c r="EH10" s="436">
        <f>EG10+1</f>
        <v>126</v>
      </c>
      <c r="EI10" s="436">
        <f t="shared" ref="EI10:EL10" si="435">EH10+1</f>
        <v>127</v>
      </c>
      <c r="EJ10" s="436">
        <f t="shared" si="435"/>
        <v>128</v>
      </c>
      <c r="EK10" s="436">
        <f t="shared" si="435"/>
        <v>129</v>
      </c>
      <c r="EL10" s="436">
        <f t="shared" si="435"/>
        <v>130</v>
      </c>
      <c r="EM10" s="436">
        <f>EL10+1</f>
        <v>131</v>
      </c>
      <c r="EN10" s="436">
        <f t="shared" ref="EN10:EQ10" si="436">EM10+1</f>
        <v>132</v>
      </c>
      <c r="EO10" s="436">
        <f t="shared" si="436"/>
        <v>133</v>
      </c>
      <c r="EP10" s="436">
        <f t="shared" si="436"/>
        <v>134</v>
      </c>
      <c r="EQ10" s="436">
        <f t="shared" si="436"/>
        <v>135</v>
      </c>
      <c r="ER10" s="436">
        <f>EQ10+1</f>
        <v>136</v>
      </c>
      <c r="ES10" s="436">
        <f t="shared" ref="ES10:EV10" si="437">ER10+1</f>
        <v>137</v>
      </c>
      <c r="ET10" s="436">
        <f t="shared" si="437"/>
        <v>138</v>
      </c>
      <c r="EU10" s="436">
        <f t="shared" si="437"/>
        <v>139</v>
      </c>
      <c r="EV10" s="436">
        <f t="shared" si="437"/>
        <v>140</v>
      </c>
      <c r="EW10" s="436">
        <f>EV10+1</f>
        <v>141</v>
      </c>
      <c r="EX10" s="436">
        <f t="shared" ref="EX10:FA10" si="438">EW10+1</f>
        <v>142</v>
      </c>
      <c r="EY10" s="436">
        <f t="shared" si="438"/>
        <v>143</v>
      </c>
      <c r="EZ10" s="436">
        <f t="shared" si="438"/>
        <v>144</v>
      </c>
      <c r="FA10" s="436">
        <f t="shared" si="438"/>
        <v>145</v>
      </c>
      <c r="FB10" s="436">
        <f>FA10+1</f>
        <v>146</v>
      </c>
      <c r="FC10" s="436">
        <f t="shared" ref="FC10:FF10" si="439">FB10+1</f>
        <v>147</v>
      </c>
      <c r="FD10" s="436">
        <f t="shared" si="439"/>
        <v>148</v>
      </c>
      <c r="FE10" s="436">
        <f t="shared" si="439"/>
        <v>149</v>
      </c>
      <c r="FF10" s="436">
        <f t="shared" si="439"/>
        <v>150</v>
      </c>
      <c r="FG10" s="436">
        <f>FF10+1</f>
        <v>151</v>
      </c>
      <c r="FH10" s="436">
        <f t="shared" ref="FH10:FK10" si="440">FG10+1</f>
        <v>152</v>
      </c>
      <c r="FI10" s="436">
        <f t="shared" si="440"/>
        <v>153</v>
      </c>
      <c r="FJ10" s="436">
        <f t="shared" si="440"/>
        <v>154</v>
      </c>
      <c r="FK10" s="436">
        <f t="shared" si="440"/>
        <v>155</v>
      </c>
      <c r="FL10" s="436">
        <f>FK10+1</f>
        <v>156</v>
      </c>
      <c r="FM10" s="436">
        <f t="shared" ref="FM10:FP10" si="441">FL10+1</f>
        <v>157</v>
      </c>
      <c r="FN10" s="436">
        <f t="shared" si="441"/>
        <v>158</v>
      </c>
      <c r="FO10" s="436">
        <f t="shared" si="441"/>
        <v>159</v>
      </c>
      <c r="FP10" s="436">
        <f t="shared" si="441"/>
        <v>160</v>
      </c>
      <c r="FQ10" s="436">
        <f>FP10+1</f>
        <v>161</v>
      </c>
      <c r="FR10" s="436">
        <f t="shared" ref="FR10:FU10" si="442">FQ10+1</f>
        <v>162</v>
      </c>
      <c r="FS10" s="436">
        <f t="shared" si="442"/>
        <v>163</v>
      </c>
      <c r="FT10" s="436">
        <f t="shared" si="442"/>
        <v>164</v>
      </c>
      <c r="FU10" s="436">
        <f t="shared" si="442"/>
        <v>165</v>
      </c>
      <c r="FV10" s="436">
        <f>FU10+1</f>
        <v>166</v>
      </c>
      <c r="FW10" s="436">
        <f t="shared" ref="FW10:FZ10" si="443">FV10+1</f>
        <v>167</v>
      </c>
      <c r="FX10" s="436">
        <f t="shared" si="443"/>
        <v>168</v>
      </c>
      <c r="FY10" s="436">
        <f t="shared" si="443"/>
        <v>169</v>
      </c>
      <c r="FZ10" s="436">
        <f t="shared" si="443"/>
        <v>170</v>
      </c>
      <c r="GA10" s="436">
        <f>FZ10+1</f>
        <v>171</v>
      </c>
      <c r="GB10" s="436">
        <f t="shared" ref="GB10:GE10" si="444">GA10+1</f>
        <v>172</v>
      </c>
      <c r="GC10" s="436">
        <f t="shared" si="444"/>
        <v>173</v>
      </c>
      <c r="GD10" s="436">
        <f t="shared" si="444"/>
        <v>174</v>
      </c>
      <c r="GE10" s="436">
        <f t="shared" si="444"/>
        <v>175</v>
      </c>
      <c r="GF10" s="436">
        <f>GE10+1</f>
        <v>176</v>
      </c>
      <c r="GG10" s="436">
        <f t="shared" ref="GG10:GJ10" si="445">GF10+1</f>
        <v>177</v>
      </c>
      <c r="GH10" s="436">
        <f t="shared" si="445"/>
        <v>178</v>
      </c>
      <c r="GI10" s="436">
        <f t="shared" si="445"/>
        <v>179</v>
      </c>
      <c r="GJ10" s="436">
        <f t="shared" si="445"/>
        <v>180</v>
      </c>
      <c r="GK10" s="436">
        <f>GJ10+1</f>
        <v>181</v>
      </c>
      <c r="GL10" s="436">
        <f t="shared" ref="GL10:GO10" si="446">GK10+1</f>
        <v>182</v>
      </c>
      <c r="GM10" s="436">
        <f t="shared" si="446"/>
        <v>183</v>
      </c>
      <c r="GN10" s="436">
        <f t="shared" si="446"/>
        <v>184</v>
      </c>
      <c r="GO10" s="436">
        <f t="shared" si="446"/>
        <v>185</v>
      </c>
      <c r="GP10" s="436">
        <f>GO10+1</f>
        <v>186</v>
      </c>
      <c r="GQ10" s="436">
        <f t="shared" ref="GQ10:GT10" si="447">GP10+1</f>
        <v>187</v>
      </c>
      <c r="GR10" s="436">
        <f t="shared" si="447"/>
        <v>188</v>
      </c>
      <c r="GS10" s="436">
        <f t="shared" si="447"/>
        <v>189</v>
      </c>
      <c r="GT10" s="436">
        <f t="shared" si="447"/>
        <v>190</v>
      </c>
      <c r="GU10" s="436">
        <f>GT10+1</f>
        <v>191</v>
      </c>
      <c r="GV10" s="436">
        <f t="shared" ref="GV10:GY10" si="448">GU10+1</f>
        <v>192</v>
      </c>
      <c r="GW10" s="436">
        <f t="shared" si="448"/>
        <v>193</v>
      </c>
      <c r="GX10" s="436">
        <f t="shared" si="448"/>
        <v>194</v>
      </c>
      <c r="GY10" s="436">
        <f t="shared" si="448"/>
        <v>195</v>
      </c>
      <c r="GZ10" s="436">
        <f>GY10+1</f>
        <v>196</v>
      </c>
      <c r="HA10" s="436">
        <f t="shared" ref="HA10:HD10" si="449">GZ10+1</f>
        <v>197</v>
      </c>
      <c r="HB10" s="436">
        <f t="shared" si="449"/>
        <v>198</v>
      </c>
      <c r="HC10" s="436">
        <f t="shared" si="449"/>
        <v>199</v>
      </c>
      <c r="HD10" s="436">
        <f t="shared" si="449"/>
        <v>200</v>
      </c>
      <c r="HE10" s="436">
        <f>HD10+1</f>
        <v>201</v>
      </c>
      <c r="HF10" s="436">
        <f t="shared" ref="HF10:HI10" si="450">HE10+1</f>
        <v>202</v>
      </c>
      <c r="HG10" s="436">
        <f t="shared" si="450"/>
        <v>203</v>
      </c>
      <c r="HH10" s="436">
        <f t="shared" si="450"/>
        <v>204</v>
      </c>
      <c r="HI10" s="436">
        <f t="shared" si="450"/>
        <v>205</v>
      </c>
      <c r="HJ10" s="436">
        <f>HI10+1</f>
        <v>206</v>
      </c>
      <c r="HK10" s="436">
        <f t="shared" ref="HK10:HN10" si="451">HJ10+1</f>
        <v>207</v>
      </c>
      <c r="HL10" s="436">
        <f t="shared" si="451"/>
        <v>208</v>
      </c>
      <c r="HM10" s="436">
        <f t="shared" si="451"/>
        <v>209</v>
      </c>
      <c r="HN10" s="436">
        <f t="shared" si="451"/>
        <v>210</v>
      </c>
      <c r="HO10" s="436">
        <f>HN10+1</f>
        <v>211</v>
      </c>
      <c r="HP10" s="436">
        <f t="shared" ref="HP10:HS10" si="452">HO10+1</f>
        <v>212</v>
      </c>
      <c r="HQ10" s="436">
        <f t="shared" si="452"/>
        <v>213</v>
      </c>
      <c r="HR10" s="436">
        <f t="shared" si="452"/>
        <v>214</v>
      </c>
      <c r="HS10" s="436">
        <f t="shared" si="452"/>
        <v>215</v>
      </c>
      <c r="HT10" s="436">
        <f>HS10+1</f>
        <v>216</v>
      </c>
      <c r="HU10" s="436">
        <f t="shared" ref="HU10:HX10" si="453">HT10+1</f>
        <v>217</v>
      </c>
      <c r="HV10" s="436">
        <f t="shared" si="453"/>
        <v>218</v>
      </c>
      <c r="HW10" s="436">
        <f t="shared" si="453"/>
        <v>219</v>
      </c>
      <c r="HX10" s="436">
        <f t="shared" si="453"/>
        <v>220</v>
      </c>
      <c r="HY10" s="436">
        <f>HX10+1</f>
        <v>221</v>
      </c>
      <c r="HZ10" s="436">
        <f t="shared" ref="HZ10:IC10" si="454">HY10+1</f>
        <v>222</v>
      </c>
      <c r="IA10" s="436">
        <f t="shared" si="454"/>
        <v>223</v>
      </c>
      <c r="IB10" s="436">
        <f t="shared" si="454"/>
        <v>224</v>
      </c>
      <c r="IC10" s="436">
        <f t="shared" si="454"/>
        <v>225</v>
      </c>
      <c r="ID10" s="436">
        <f>IC10+1</f>
        <v>226</v>
      </c>
      <c r="IE10" s="436">
        <f t="shared" ref="IE10:IH10" si="455">ID10+1</f>
        <v>227</v>
      </c>
      <c r="IF10" s="436">
        <f t="shared" si="455"/>
        <v>228</v>
      </c>
      <c r="IG10" s="436">
        <f t="shared" si="455"/>
        <v>229</v>
      </c>
      <c r="IH10" s="436">
        <f t="shared" si="455"/>
        <v>230</v>
      </c>
      <c r="II10" s="436">
        <f>IH10+1</f>
        <v>231</v>
      </c>
      <c r="IJ10" s="436">
        <f t="shared" ref="IJ10:IM10" si="456">II10+1</f>
        <v>232</v>
      </c>
      <c r="IK10" s="436">
        <f t="shared" si="456"/>
        <v>233</v>
      </c>
      <c r="IL10" s="436">
        <f t="shared" si="456"/>
        <v>234</v>
      </c>
      <c r="IM10" s="436">
        <f t="shared" si="456"/>
        <v>235</v>
      </c>
      <c r="IN10" s="436">
        <f>IM10+1</f>
        <v>236</v>
      </c>
      <c r="IO10" s="436">
        <f t="shared" ref="IO10:IR10" si="457">IN10+1</f>
        <v>237</v>
      </c>
      <c r="IP10" s="436">
        <f t="shared" si="457"/>
        <v>238</v>
      </c>
      <c r="IQ10" s="436">
        <f t="shared" si="457"/>
        <v>239</v>
      </c>
      <c r="IR10" s="436">
        <f t="shared" si="457"/>
        <v>240</v>
      </c>
      <c r="IS10" s="436">
        <f>IR10+1</f>
        <v>241</v>
      </c>
      <c r="IT10" s="436">
        <f t="shared" ref="IT10:IW10" si="458">IS10+1</f>
        <v>242</v>
      </c>
      <c r="IU10" s="436">
        <f t="shared" si="458"/>
        <v>243</v>
      </c>
      <c r="IV10" s="436">
        <f t="shared" si="458"/>
        <v>244</v>
      </c>
      <c r="IW10" s="436">
        <f t="shared" si="458"/>
        <v>245</v>
      </c>
      <c r="IX10" s="436">
        <f>IW10+1</f>
        <v>246</v>
      </c>
      <c r="IY10" s="436">
        <f t="shared" ref="IY10:JB10" si="459">IX10+1</f>
        <v>247</v>
      </c>
      <c r="IZ10" s="436">
        <f t="shared" si="459"/>
        <v>248</v>
      </c>
      <c r="JA10" s="436">
        <f t="shared" si="459"/>
        <v>249</v>
      </c>
      <c r="JB10" s="436">
        <f t="shared" si="459"/>
        <v>250</v>
      </c>
      <c r="JC10" s="436">
        <f>JB10+1</f>
        <v>251</v>
      </c>
      <c r="JD10" s="436">
        <f t="shared" ref="JD10:JG10" si="460">JC10+1</f>
        <v>252</v>
      </c>
      <c r="JE10" s="436">
        <f t="shared" si="460"/>
        <v>253</v>
      </c>
      <c r="JF10" s="436">
        <f t="shared" si="460"/>
        <v>254</v>
      </c>
      <c r="JG10" s="436">
        <f t="shared" si="460"/>
        <v>255</v>
      </c>
      <c r="JH10" s="436">
        <f>JG10+1</f>
        <v>256</v>
      </c>
      <c r="JI10" s="436">
        <f t="shared" ref="JI10:JL10" si="461">JH10+1</f>
        <v>257</v>
      </c>
      <c r="JJ10" s="436">
        <f t="shared" si="461"/>
        <v>258</v>
      </c>
      <c r="JK10" s="436">
        <f t="shared" si="461"/>
        <v>259</v>
      </c>
      <c r="JL10" s="436">
        <f t="shared" si="461"/>
        <v>260</v>
      </c>
      <c r="JM10" s="436">
        <f>JL10+1</f>
        <v>261</v>
      </c>
      <c r="JN10" s="436">
        <f t="shared" ref="JN10:JQ10" si="462">JM10+1</f>
        <v>262</v>
      </c>
      <c r="JO10" s="436">
        <f t="shared" si="462"/>
        <v>263</v>
      </c>
      <c r="JP10" s="436">
        <f t="shared" si="462"/>
        <v>264</v>
      </c>
      <c r="JQ10" s="436">
        <f t="shared" si="462"/>
        <v>265</v>
      </c>
    </row>
    <row r="11" spans="2:277" ht="15" hidden="1" customHeight="1">
      <c r="B11" s="421"/>
      <c r="C11" s="421"/>
      <c r="D11" s="421"/>
      <c r="E11" s="419"/>
      <c r="F11" s="419"/>
      <c r="H11" s="419"/>
      <c r="I11" s="419"/>
      <c r="J11" s="419"/>
      <c r="K11" s="419"/>
      <c r="L11" s="419"/>
      <c r="M11" s="436">
        <f>M12</f>
        <v>1</v>
      </c>
      <c r="N11" s="436">
        <f>M11</f>
        <v>1</v>
      </c>
      <c r="O11" s="436">
        <f t="shared" ref="O11:Q11" si="463">N11</f>
        <v>1</v>
      </c>
      <c r="P11" s="436">
        <f t="shared" si="463"/>
        <v>1</v>
      </c>
      <c r="Q11" s="436">
        <f t="shared" si="463"/>
        <v>1</v>
      </c>
      <c r="R11" s="436">
        <f t="shared" ref="R11" si="464">R12</f>
        <v>2</v>
      </c>
      <c r="S11" s="436">
        <f t="shared" ref="S11:CD11" si="465">R11</f>
        <v>2</v>
      </c>
      <c r="T11" s="436">
        <f t="shared" si="465"/>
        <v>2</v>
      </c>
      <c r="U11" s="436">
        <f t="shared" si="465"/>
        <v>2</v>
      </c>
      <c r="V11" s="436">
        <f t="shared" si="465"/>
        <v>2</v>
      </c>
      <c r="W11" s="436">
        <f t="shared" ref="W11" si="466">W12</f>
        <v>3</v>
      </c>
      <c r="X11" s="436">
        <f t="shared" ref="X11" si="467">W11</f>
        <v>3</v>
      </c>
      <c r="Y11" s="436">
        <f t="shared" si="465"/>
        <v>3</v>
      </c>
      <c r="Z11" s="436">
        <f t="shared" si="465"/>
        <v>3</v>
      </c>
      <c r="AA11" s="436">
        <f t="shared" si="465"/>
        <v>3</v>
      </c>
      <c r="AB11" s="436">
        <f t="shared" ref="AB11" si="468">AB12</f>
        <v>4</v>
      </c>
      <c r="AC11" s="436">
        <f t="shared" ref="AC11" si="469">AB11</f>
        <v>4</v>
      </c>
      <c r="AD11" s="436">
        <f t="shared" si="465"/>
        <v>4</v>
      </c>
      <c r="AE11" s="436">
        <f t="shared" si="465"/>
        <v>4</v>
      </c>
      <c r="AF11" s="436">
        <f t="shared" si="465"/>
        <v>4</v>
      </c>
      <c r="AG11" s="436">
        <f t="shared" ref="AG11" si="470">AG12</f>
        <v>5</v>
      </c>
      <c r="AH11" s="436">
        <f t="shared" ref="AH11" si="471">AG11</f>
        <v>5</v>
      </c>
      <c r="AI11" s="436">
        <f t="shared" si="465"/>
        <v>5</v>
      </c>
      <c r="AJ11" s="436">
        <f t="shared" si="465"/>
        <v>5</v>
      </c>
      <c r="AK11" s="436">
        <f t="shared" si="465"/>
        <v>5</v>
      </c>
      <c r="AL11" s="436">
        <f t="shared" ref="AL11" si="472">AL12</f>
        <v>6</v>
      </c>
      <c r="AM11" s="436">
        <f t="shared" ref="AM11" si="473">AL11</f>
        <v>6</v>
      </c>
      <c r="AN11" s="436">
        <f t="shared" si="465"/>
        <v>6</v>
      </c>
      <c r="AO11" s="436">
        <f t="shared" si="465"/>
        <v>6</v>
      </c>
      <c r="AP11" s="436">
        <f t="shared" si="465"/>
        <v>6</v>
      </c>
      <c r="AQ11" s="436">
        <f t="shared" ref="AQ11" si="474">AQ12</f>
        <v>7</v>
      </c>
      <c r="AR11" s="436">
        <f t="shared" ref="AR11" si="475">AQ11</f>
        <v>7</v>
      </c>
      <c r="AS11" s="436">
        <f t="shared" si="465"/>
        <v>7</v>
      </c>
      <c r="AT11" s="436">
        <f t="shared" si="465"/>
        <v>7</v>
      </c>
      <c r="AU11" s="436">
        <f t="shared" si="465"/>
        <v>7</v>
      </c>
      <c r="AV11" s="436">
        <f t="shared" ref="AV11" si="476">AV12</f>
        <v>8</v>
      </c>
      <c r="AW11" s="436">
        <f t="shared" ref="AW11" si="477">AV11</f>
        <v>8</v>
      </c>
      <c r="AX11" s="436">
        <f t="shared" si="465"/>
        <v>8</v>
      </c>
      <c r="AY11" s="436">
        <f t="shared" si="465"/>
        <v>8</v>
      </c>
      <c r="AZ11" s="436">
        <f t="shared" si="465"/>
        <v>8</v>
      </c>
      <c r="BA11" s="436">
        <f t="shared" ref="BA11" si="478">BA12</f>
        <v>9</v>
      </c>
      <c r="BB11" s="436">
        <f t="shared" ref="BB11" si="479">BA11</f>
        <v>9</v>
      </c>
      <c r="BC11" s="436">
        <f t="shared" si="465"/>
        <v>9</v>
      </c>
      <c r="BD11" s="436">
        <f t="shared" si="465"/>
        <v>9</v>
      </c>
      <c r="BE11" s="436">
        <f t="shared" si="465"/>
        <v>9</v>
      </c>
      <c r="BF11" s="436">
        <f t="shared" ref="BF11" si="480">BF12</f>
        <v>10</v>
      </c>
      <c r="BG11" s="436">
        <f t="shared" ref="BG11" si="481">BF11</f>
        <v>10</v>
      </c>
      <c r="BH11" s="436">
        <f t="shared" si="465"/>
        <v>10</v>
      </c>
      <c r="BI11" s="436">
        <f t="shared" si="465"/>
        <v>10</v>
      </c>
      <c r="BJ11" s="436">
        <f t="shared" si="465"/>
        <v>10</v>
      </c>
      <c r="BK11" s="436">
        <f t="shared" ref="BK11" si="482">BK12</f>
        <v>11</v>
      </c>
      <c r="BL11" s="436">
        <f t="shared" ref="BL11" si="483">BK11</f>
        <v>11</v>
      </c>
      <c r="BM11" s="436">
        <f t="shared" si="465"/>
        <v>11</v>
      </c>
      <c r="BN11" s="436">
        <f t="shared" si="465"/>
        <v>11</v>
      </c>
      <c r="BO11" s="436">
        <f t="shared" si="465"/>
        <v>11</v>
      </c>
      <c r="BP11" s="436">
        <f t="shared" ref="BP11" si="484">BP12</f>
        <v>12</v>
      </c>
      <c r="BQ11" s="436">
        <f t="shared" ref="BQ11" si="485">BP11</f>
        <v>12</v>
      </c>
      <c r="BR11" s="436">
        <f t="shared" si="465"/>
        <v>12</v>
      </c>
      <c r="BS11" s="436">
        <f t="shared" si="465"/>
        <v>12</v>
      </c>
      <c r="BT11" s="436">
        <f t="shared" si="465"/>
        <v>12</v>
      </c>
      <c r="BU11" s="436">
        <f t="shared" ref="BU11" si="486">BU12</f>
        <v>13</v>
      </c>
      <c r="BV11" s="436">
        <f t="shared" ref="BV11" si="487">BU11</f>
        <v>13</v>
      </c>
      <c r="BW11" s="436">
        <f t="shared" si="465"/>
        <v>13</v>
      </c>
      <c r="BX11" s="436">
        <f t="shared" si="465"/>
        <v>13</v>
      </c>
      <c r="BY11" s="436">
        <f t="shared" si="465"/>
        <v>13</v>
      </c>
      <c r="BZ11" s="436">
        <f t="shared" ref="BZ11" si="488">BZ12</f>
        <v>14</v>
      </c>
      <c r="CA11" s="436">
        <f t="shared" ref="CA11" si="489">BZ11</f>
        <v>14</v>
      </c>
      <c r="CB11" s="436">
        <f t="shared" si="465"/>
        <v>14</v>
      </c>
      <c r="CC11" s="436">
        <f t="shared" si="465"/>
        <v>14</v>
      </c>
      <c r="CD11" s="436">
        <f t="shared" si="465"/>
        <v>14</v>
      </c>
      <c r="CE11" s="436">
        <f t="shared" ref="CE11" si="490">CE12</f>
        <v>15</v>
      </c>
      <c r="CF11" s="436">
        <f t="shared" ref="CF11:EQ11" si="491">CE11</f>
        <v>15</v>
      </c>
      <c r="CG11" s="436">
        <f t="shared" si="491"/>
        <v>15</v>
      </c>
      <c r="CH11" s="436">
        <f t="shared" si="491"/>
        <v>15</v>
      </c>
      <c r="CI11" s="436">
        <f t="shared" si="491"/>
        <v>15</v>
      </c>
      <c r="CJ11" s="436">
        <f t="shared" ref="CJ11" si="492">CJ12</f>
        <v>16</v>
      </c>
      <c r="CK11" s="436">
        <f t="shared" ref="CK11" si="493">CJ11</f>
        <v>16</v>
      </c>
      <c r="CL11" s="436">
        <f t="shared" si="491"/>
        <v>16</v>
      </c>
      <c r="CM11" s="436">
        <f t="shared" si="491"/>
        <v>16</v>
      </c>
      <c r="CN11" s="436">
        <f t="shared" si="491"/>
        <v>16</v>
      </c>
      <c r="CO11" s="436">
        <f t="shared" ref="CO11" si="494">CO12</f>
        <v>17</v>
      </c>
      <c r="CP11" s="436">
        <f t="shared" ref="CP11" si="495">CO11</f>
        <v>17</v>
      </c>
      <c r="CQ11" s="436">
        <f t="shared" si="491"/>
        <v>17</v>
      </c>
      <c r="CR11" s="436">
        <f t="shared" si="491"/>
        <v>17</v>
      </c>
      <c r="CS11" s="436">
        <f t="shared" si="491"/>
        <v>17</v>
      </c>
      <c r="CT11" s="436">
        <f t="shared" ref="CT11" si="496">CT12</f>
        <v>18</v>
      </c>
      <c r="CU11" s="436">
        <f t="shared" ref="CU11" si="497">CT11</f>
        <v>18</v>
      </c>
      <c r="CV11" s="436">
        <f t="shared" si="491"/>
        <v>18</v>
      </c>
      <c r="CW11" s="436">
        <f t="shared" si="491"/>
        <v>18</v>
      </c>
      <c r="CX11" s="436">
        <f t="shared" si="491"/>
        <v>18</v>
      </c>
      <c r="CY11" s="436">
        <f t="shared" ref="CY11" si="498">CY12</f>
        <v>19</v>
      </c>
      <c r="CZ11" s="436">
        <f t="shared" ref="CZ11" si="499">CY11</f>
        <v>19</v>
      </c>
      <c r="DA11" s="436">
        <f t="shared" si="491"/>
        <v>19</v>
      </c>
      <c r="DB11" s="436">
        <f t="shared" si="491"/>
        <v>19</v>
      </c>
      <c r="DC11" s="436">
        <f t="shared" si="491"/>
        <v>19</v>
      </c>
      <c r="DD11" s="436">
        <f t="shared" ref="DD11" si="500">DD12</f>
        <v>20</v>
      </c>
      <c r="DE11" s="436">
        <f t="shared" ref="DE11" si="501">DD11</f>
        <v>20</v>
      </c>
      <c r="DF11" s="436">
        <f t="shared" si="491"/>
        <v>20</v>
      </c>
      <c r="DG11" s="436">
        <f t="shared" si="491"/>
        <v>20</v>
      </c>
      <c r="DH11" s="436">
        <f t="shared" si="491"/>
        <v>20</v>
      </c>
      <c r="DI11" s="436">
        <f t="shared" ref="DI11" si="502">DI12</f>
        <v>21</v>
      </c>
      <c r="DJ11" s="436">
        <f t="shared" ref="DJ11" si="503">DI11</f>
        <v>21</v>
      </c>
      <c r="DK11" s="436">
        <f t="shared" si="491"/>
        <v>21</v>
      </c>
      <c r="DL11" s="436">
        <f t="shared" si="491"/>
        <v>21</v>
      </c>
      <c r="DM11" s="436">
        <f t="shared" si="491"/>
        <v>21</v>
      </c>
      <c r="DN11" s="436">
        <f t="shared" ref="DN11" si="504">DN12</f>
        <v>22</v>
      </c>
      <c r="DO11" s="436">
        <f t="shared" ref="DO11" si="505">DN11</f>
        <v>22</v>
      </c>
      <c r="DP11" s="436">
        <f t="shared" si="491"/>
        <v>22</v>
      </c>
      <c r="DQ11" s="436">
        <f t="shared" si="491"/>
        <v>22</v>
      </c>
      <c r="DR11" s="436">
        <f t="shared" si="491"/>
        <v>22</v>
      </c>
      <c r="DS11" s="436">
        <f t="shared" ref="DS11" si="506">DS12</f>
        <v>23</v>
      </c>
      <c r="DT11" s="436">
        <f t="shared" ref="DT11" si="507">DS11</f>
        <v>23</v>
      </c>
      <c r="DU11" s="436">
        <f t="shared" si="491"/>
        <v>23</v>
      </c>
      <c r="DV11" s="436">
        <f t="shared" si="491"/>
        <v>23</v>
      </c>
      <c r="DW11" s="436">
        <f t="shared" si="491"/>
        <v>23</v>
      </c>
      <c r="DX11" s="436">
        <f t="shared" ref="DX11" si="508">DX12</f>
        <v>24</v>
      </c>
      <c r="DY11" s="436">
        <f t="shared" ref="DY11" si="509">DX11</f>
        <v>24</v>
      </c>
      <c r="DZ11" s="436">
        <f t="shared" si="491"/>
        <v>24</v>
      </c>
      <c r="EA11" s="436">
        <f t="shared" si="491"/>
        <v>24</v>
      </c>
      <c r="EB11" s="436">
        <f t="shared" si="491"/>
        <v>24</v>
      </c>
      <c r="EC11" s="436">
        <f t="shared" ref="EC11" si="510">EC12</f>
        <v>25</v>
      </c>
      <c r="ED11" s="436">
        <f t="shared" ref="ED11" si="511">EC11</f>
        <v>25</v>
      </c>
      <c r="EE11" s="436">
        <f t="shared" si="491"/>
        <v>25</v>
      </c>
      <c r="EF11" s="436">
        <f t="shared" si="491"/>
        <v>25</v>
      </c>
      <c r="EG11" s="436">
        <f t="shared" si="491"/>
        <v>25</v>
      </c>
      <c r="EH11" s="436">
        <f t="shared" ref="EH11" si="512">EH12</f>
        <v>26</v>
      </c>
      <c r="EI11" s="436">
        <f t="shared" ref="EI11" si="513">EH11</f>
        <v>26</v>
      </c>
      <c r="EJ11" s="436">
        <f t="shared" si="491"/>
        <v>26</v>
      </c>
      <c r="EK11" s="436">
        <f t="shared" si="491"/>
        <v>26</v>
      </c>
      <c r="EL11" s="436">
        <f t="shared" si="491"/>
        <v>26</v>
      </c>
      <c r="EM11" s="436">
        <f t="shared" ref="EM11" si="514">EM12</f>
        <v>27</v>
      </c>
      <c r="EN11" s="436">
        <f t="shared" ref="EN11" si="515">EM11</f>
        <v>27</v>
      </c>
      <c r="EO11" s="436">
        <f t="shared" si="491"/>
        <v>27</v>
      </c>
      <c r="EP11" s="436">
        <f t="shared" si="491"/>
        <v>27</v>
      </c>
      <c r="EQ11" s="436">
        <f t="shared" si="491"/>
        <v>27</v>
      </c>
      <c r="ER11" s="436">
        <f t="shared" ref="ER11" si="516">ER12</f>
        <v>28</v>
      </c>
      <c r="ES11" s="436">
        <f t="shared" ref="ES11:HD11" si="517">ER11</f>
        <v>28</v>
      </c>
      <c r="ET11" s="436">
        <f t="shared" si="517"/>
        <v>28</v>
      </c>
      <c r="EU11" s="436">
        <f t="shared" si="517"/>
        <v>28</v>
      </c>
      <c r="EV11" s="436">
        <f t="shared" si="517"/>
        <v>28</v>
      </c>
      <c r="EW11" s="436">
        <f t="shared" ref="EW11" si="518">EW12</f>
        <v>29</v>
      </c>
      <c r="EX11" s="436">
        <f t="shared" ref="EX11" si="519">EW11</f>
        <v>29</v>
      </c>
      <c r="EY11" s="436">
        <f t="shared" si="517"/>
        <v>29</v>
      </c>
      <c r="EZ11" s="436">
        <f t="shared" si="517"/>
        <v>29</v>
      </c>
      <c r="FA11" s="436">
        <f t="shared" si="517"/>
        <v>29</v>
      </c>
      <c r="FB11" s="436">
        <f t="shared" ref="FB11" si="520">FB12</f>
        <v>30</v>
      </c>
      <c r="FC11" s="436">
        <f t="shared" ref="FC11" si="521">FB11</f>
        <v>30</v>
      </c>
      <c r="FD11" s="436">
        <f t="shared" si="517"/>
        <v>30</v>
      </c>
      <c r="FE11" s="436">
        <f t="shared" si="517"/>
        <v>30</v>
      </c>
      <c r="FF11" s="436">
        <f t="shared" si="517"/>
        <v>30</v>
      </c>
      <c r="FG11" s="436">
        <f t="shared" ref="FG11" si="522">FG12</f>
        <v>31</v>
      </c>
      <c r="FH11" s="436">
        <f t="shared" ref="FH11" si="523">FG11</f>
        <v>31</v>
      </c>
      <c r="FI11" s="436">
        <f t="shared" si="517"/>
        <v>31</v>
      </c>
      <c r="FJ11" s="436">
        <f t="shared" si="517"/>
        <v>31</v>
      </c>
      <c r="FK11" s="436">
        <f t="shared" si="517"/>
        <v>31</v>
      </c>
      <c r="FL11" s="436">
        <f t="shared" ref="FL11" si="524">FL12</f>
        <v>32</v>
      </c>
      <c r="FM11" s="436">
        <f t="shared" ref="FM11" si="525">FL11</f>
        <v>32</v>
      </c>
      <c r="FN11" s="436">
        <f t="shared" si="517"/>
        <v>32</v>
      </c>
      <c r="FO11" s="436">
        <f t="shared" si="517"/>
        <v>32</v>
      </c>
      <c r="FP11" s="436">
        <f t="shared" si="517"/>
        <v>32</v>
      </c>
      <c r="FQ11" s="436">
        <f t="shared" ref="FQ11" si="526">FQ12</f>
        <v>33</v>
      </c>
      <c r="FR11" s="436">
        <f t="shared" ref="FR11" si="527">FQ11</f>
        <v>33</v>
      </c>
      <c r="FS11" s="436">
        <f t="shared" si="517"/>
        <v>33</v>
      </c>
      <c r="FT11" s="436">
        <f t="shared" si="517"/>
        <v>33</v>
      </c>
      <c r="FU11" s="436">
        <f t="shared" si="517"/>
        <v>33</v>
      </c>
      <c r="FV11" s="436">
        <f t="shared" ref="FV11" si="528">FV12</f>
        <v>34</v>
      </c>
      <c r="FW11" s="436">
        <f t="shared" ref="FW11" si="529">FV11</f>
        <v>34</v>
      </c>
      <c r="FX11" s="436">
        <f t="shared" si="517"/>
        <v>34</v>
      </c>
      <c r="FY11" s="436">
        <f t="shared" si="517"/>
        <v>34</v>
      </c>
      <c r="FZ11" s="436">
        <f t="shared" si="517"/>
        <v>34</v>
      </c>
      <c r="GA11" s="436">
        <f t="shared" ref="GA11" si="530">GA12</f>
        <v>35</v>
      </c>
      <c r="GB11" s="436">
        <f t="shared" ref="GB11" si="531">GA11</f>
        <v>35</v>
      </c>
      <c r="GC11" s="436">
        <f t="shared" si="517"/>
        <v>35</v>
      </c>
      <c r="GD11" s="436">
        <f t="shared" si="517"/>
        <v>35</v>
      </c>
      <c r="GE11" s="436">
        <f t="shared" si="517"/>
        <v>35</v>
      </c>
      <c r="GF11" s="436">
        <f t="shared" ref="GF11" si="532">GF12</f>
        <v>36</v>
      </c>
      <c r="GG11" s="436">
        <f t="shared" ref="GG11" si="533">GF11</f>
        <v>36</v>
      </c>
      <c r="GH11" s="436">
        <f t="shared" si="517"/>
        <v>36</v>
      </c>
      <c r="GI11" s="436">
        <f t="shared" si="517"/>
        <v>36</v>
      </c>
      <c r="GJ11" s="436">
        <f t="shared" si="517"/>
        <v>36</v>
      </c>
      <c r="GK11" s="436">
        <f t="shared" ref="GK11" si="534">GK12</f>
        <v>37</v>
      </c>
      <c r="GL11" s="436">
        <f t="shared" ref="GL11" si="535">GK11</f>
        <v>37</v>
      </c>
      <c r="GM11" s="436">
        <f t="shared" si="517"/>
        <v>37</v>
      </c>
      <c r="GN11" s="436">
        <f t="shared" si="517"/>
        <v>37</v>
      </c>
      <c r="GO11" s="436">
        <f t="shared" si="517"/>
        <v>37</v>
      </c>
      <c r="GP11" s="436">
        <f t="shared" ref="GP11" si="536">GP12</f>
        <v>38</v>
      </c>
      <c r="GQ11" s="436">
        <f t="shared" ref="GQ11" si="537">GP11</f>
        <v>38</v>
      </c>
      <c r="GR11" s="436">
        <f t="shared" si="517"/>
        <v>38</v>
      </c>
      <c r="GS11" s="436">
        <f t="shared" si="517"/>
        <v>38</v>
      </c>
      <c r="GT11" s="436">
        <f t="shared" si="517"/>
        <v>38</v>
      </c>
      <c r="GU11" s="436">
        <f t="shared" ref="GU11" si="538">GU12</f>
        <v>39</v>
      </c>
      <c r="GV11" s="436">
        <f t="shared" ref="GV11" si="539">GU11</f>
        <v>39</v>
      </c>
      <c r="GW11" s="436">
        <f t="shared" si="517"/>
        <v>39</v>
      </c>
      <c r="GX11" s="436">
        <f t="shared" si="517"/>
        <v>39</v>
      </c>
      <c r="GY11" s="436">
        <f t="shared" si="517"/>
        <v>39</v>
      </c>
      <c r="GZ11" s="436">
        <f t="shared" ref="GZ11" si="540">GZ12</f>
        <v>40</v>
      </c>
      <c r="HA11" s="436">
        <f t="shared" ref="HA11" si="541">GZ11</f>
        <v>40</v>
      </c>
      <c r="HB11" s="436">
        <f t="shared" si="517"/>
        <v>40</v>
      </c>
      <c r="HC11" s="436">
        <f t="shared" si="517"/>
        <v>40</v>
      </c>
      <c r="HD11" s="436">
        <f t="shared" si="517"/>
        <v>40</v>
      </c>
      <c r="HE11" s="436">
        <f t="shared" ref="HE11" si="542">HE12</f>
        <v>41</v>
      </c>
      <c r="HF11" s="436">
        <f t="shared" ref="HF11:JQ11" si="543">HE11</f>
        <v>41</v>
      </c>
      <c r="HG11" s="436">
        <f t="shared" si="543"/>
        <v>41</v>
      </c>
      <c r="HH11" s="436">
        <f t="shared" si="543"/>
        <v>41</v>
      </c>
      <c r="HI11" s="436">
        <f t="shared" si="543"/>
        <v>41</v>
      </c>
      <c r="HJ11" s="436">
        <f t="shared" ref="HJ11" si="544">HJ12</f>
        <v>42</v>
      </c>
      <c r="HK11" s="436">
        <f t="shared" ref="HK11" si="545">HJ11</f>
        <v>42</v>
      </c>
      <c r="HL11" s="436">
        <f t="shared" si="543"/>
        <v>42</v>
      </c>
      <c r="HM11" s="436">
        <f t="shared" si="543"/>
        <v>42</v>
      </c>
      <c r="HN11" s="436">
        <f t="shared" si="543"/>
        <v>42</v>
      </c>
      <c r="HO11" s="436">
        <f t="shared" ref="HO11" si="546">HO12</f>
        <v>43</v>
      </c>
      <c r="HP11" s="436">
        <f t="shared" ref="HP11" si="547">HO11</f>
        <v>43</v>
      </c>
      <c r="HQ11" s="436">
        <f t="shared" si="543"/>
        <v>43</v>
      </c>
      <c r="HR11" s="436">
        <f t="shared" si="543"/>
        <v>43</v>
      </c>
      <c r="HS11" s="436">
        <f t="shared" si="543"/>
        <v>43</v>
      </c>
      <c r="HT11" s="436">
        <f t="shared" ref="HT11" si="548">HT12</f>
        <v>44</v>
      </c>
      <c r="HU11" s="436">
        <f t="shared" ref="HU11" si="549">HT11</f>
        <v>44</v>
      </c>
      <c r="HV11" s="436">
        <f t="shared" si="543"/>
        <v>44</v>
      </c>
      <c r="HW11" s="436">
        <f t="shared" si="543"/>
        <v>44</v>
      </c>
      <c r="HX11" s="436">
        <f t="shared" si="543"/>
        <v>44</v>
      </c>
      <c r="HY11" s="436">
        <f t="shared" ref="HY11" si="550">HY12</f>
        <v>45</v>
      </c>
      <c r="HZ11" s="436">
        <f t="shared" ref="HZ11" si="551">HY11</f>
        <v>45</v>
      </c>
      <c r="IA11" s="436">
        <f t="shared" si="543"/>
        <v>45</v>
      </c>
      <c r="IB11" s="436">
        <f t="shared" si="543"/>
        <v>45</v>
      </c>
      <c r="IC11" s="436">
        <f t="shared" si="543"/>
        <v>45</v>
      </c>
      <c r="ID11" s="436">
        <f t="shared" ref="ID11" si="552">ID12</f>
        <v>46</v>
      </c>
      <c r="IE11" s="436">
        <f t="shared" ref="IE11" si="553">ID11</f>
        <v>46</v>
      </c>
      <c r="IF11" s="436">
        <f t="shared" si="543"/>
        <v>46</v>
      </c>
      <c r="IG11" s="436">
        <f t="shared" si="543"/>
        <v>46</v>
      </c>
      <c r="IH11" s="436">
        <f t="shared" si="543"/>
        <v>46</v>
      </c>
      <c r="II11" s="436">
        <f t="shared" ref="II11" si="554">II12</f>
        <v>47</v>
      </c>
      <c r="IJ11" s="436">
        <f t="shared" ref="IJ11" si="555">II11</f>
        <v>47</v>
      </c>
      <c r="IK11" s="436">
        <f t="shared" si="543"/>
        <v>47</v>
      </c>
      <c r="IL11" s="436">
        <f t="shared" si="543"/>
        <v>47</v>
      </c>
      <c r="IM11" s="436">
        <f t="shared" si="543"/>
        <v>47</v>
      </c>
      <c r="IN11" s="436">
        <f t="shared" ref="IN11" si="556">IN12</f>
        <v>48</v>
      </c>
      <c r="IO11" s="436">
        <f t="shared" ref="IO11" si="557">IN11</f>
        <v>48</v>
      </c>
      <c r="IP11" s="436">
        <f t="shared" si="543"/>
        <v>48</v>
      </c>
      <c r="IQ11" s="436">
        <f t="shared" si="543"/>
        <v>48</v>
      </c>
      <c r="IR11" s="436">
        <f t="shared" si="543"/>
        <v>48</v>
      </c>
      <c r="IS11" s="436">
        <f t="shared" ref="IS11" si="558">IS12</f>
        <v>49</v>
      </c>
      <c r="IT11" s="436">
        <f t="shared" ref="IT11" si="559">IS11</f>
        <v>49</v>
      </c>
      <c r="IU11" s="436">
        <f t="shared" si="543"/>
        <v>49</v>
      </c>
      <c r="IV11" s="436">
        <f t="shared" si="543"/>
        <v>49</v>
      </c>
      <c r="IW11" s="436">
        <f t="shared" si="543"/>
        <v>49</v>
      </c>
      <c r="IX11" s="436">
        <f t="shared" ref="IX11" si="560">IX12</f>
        <v>50</v>
      </c>
      <c r="IY11" s="436">
        <f t="shared" ref="IY11" si="561">IX11</f>
        <v>50</v>
      </c>
      <c r="IZ11" s="436">
        <f t="shared" si="543"/>
        <v>50</v>
      </c>
      <c r="JA11" s="436">
        <f t="shared" si="543"/>
        <v>50</v>
      </c>
      <c r="JB11" s="436">
        <f t="shared" si="543"/>
        <v>50</v>
      </c>
      <c r="JC11" s="436">
        <f t="shared" ref="JC11" si="562">JC12</f>
        <v>51</v>
      </c>
      <c r="JD11" s="436">
        <f t="shared" ref="JD11" si="563">JC11</f>
        <v>51</v>
      </c>
      <c r="JE11" s="436">
        <f t="shared" si="543"/>
        <v>51</v>
      </c>
      <c r="JF11" s="436">
        <f t="shared" si="543"/>
        <v>51</v>
      </c>
      <c r="JG11" s="436">
        <f t="shared" si="543"/>
        <v>51</v>
      </c>
      <c r="JH11" s="436">
        <f t="shared" ref="JH11" si="564">JH12</f>
        <v>52</v>
      </c>
      <c r="JI11" s="436">
        <f t="shared" ref="JI11" si="565">JH11</f>
        <v>52</v>
      </c>
      <c r="JJ11" s="436">
        <f t="shared" si="543"/>
        <v>52</v>
      </c>
      <c r="JK11" s="436">
        <f t="shared" si="543"/>
        <v>52</v>
      </c>
      <c r="JL11" s="436">
        <f t="shared" si="543"/>
        <v>52</v>
      </c>
      <c r="JM11" s="436">
        <f t="shared" ref="JM11" si="566">JM12</f>
        <v>53</v>
      </c>
      <c r="JN11" s="436">
        <f t="shared" ref="JN11" si="567">JM11</f>
        <v>53</v>
      </c>
      <c r="JO11" s="436">
        <f t="shared" si="543"/>
        <v>53</v>
      </c>
      <c r="JP11" s="436">
        <f t="shared" si="543"/>
        <v>53</v>
      </c>
      <c r="JQ11" s="436">
        <f t="shared" si="543"/>
        <v>53</v>
      </c>
    </row>
    <row r="12" spans="2:277">
      <c r="B12" s="469" t="s">
        <v>19</v>
      </c>
      <c r="C12" s="469"/>
      <c r="D12" s="422" t="s">
        <v>374</v>
      </c>
      <c r="E12" s="422" t="s">
        <v>370</v>
      </c>
      <c r="F12" s="481" t="s">
        <v>379</v>
      </c>
      <c r="H12" s="429" t="s">
        <v>395</v>
      </c>
      <c r="I12" s="429" t="s">
        <v>396</v>
      </c>
      <c r="J12" s="429" t="s">
        <v>393</v>
      </c>
      <c r="K12" s="429" t="s">
        <v>394</v>
      </c>
      <c r="L12" s="429"/>
      <c r="M12" s="546">
        <v>1</v>
      </c>
      <c r="N12" s="546"/>
      <c r="O12" s="546"/>
      <c r="P12" s="546"/>
      <c r="Q12" s="546"/>
      <c r="R12" s="545">
        <v>2</v>
      </c>
      <c r="S12" s="546"/>
      <c r="T12" s="546"/>
      <c r="U12" s="546"/>
      <c r="V12" s="547"/>
      <c r="W12" s="545">
        <v>3</v>
      </c>
      <c r="X12" s="546"/>
      <c r="Y12" s="546"/>
      <c r="Z12" s="546"/>
      <c r="AA12" s="547"/>
      <c r="AB12" s="545">
        <v>4</v>
      </c>
      <c r="AC12" s="546"/>
      <c r="AD12" s="546"/>
      <c r="AE12" s="546"/>
      <c r="AF12" s="547"/>
      <c r="AG12" s="545">
        <v>5</v>
      </c>
      <c r="AH12" s="546"/>
      <c r="AI12" s="546"/>
      <c r="AJ12" s="546"/>
      <c r="AK12" s="547"/>
      <c r="AL12" s="545">
        <v>6</v>
      </c>
      <c r="AM12" s="546"/>
      <c r="AN12" s="546"/>
      <c r="AO12" s="546"/>
      <c r="AP12" s="547"/>
      <c r="AQ12" s="545">
        <v>7</v>
      </c>
      <c r="AR12" s="546"/>
      <c r="AS12" s="546"/>
      <c r="AT12" s="546"/>
      <c r="AU12" s="547"/>
      <c r="AV12" s="545">
        <v>8</v>
      </c>
      <c r="AW12" s="546"/>
      <c r="AX12" s="546"/>
      <c r="AY12" s="546"/>
      <c r="AZ12" s="547"/>
      <c r="BA12" s="545">
        <v>9</v>
      </c>
      <c r="BB12" s="546"/>
      <c r="BC12" s="546"/>
      <c r="BD12" s="546"/>
      <c r="BE12" s="547"/>
      <c r="BF12" s="545">
        <v>10</v>
      </c>
      <c r="BG12" s="546"/>
      <c r="BH12" s="546"/>
      <c r="BI12" s="546"/>
      <c r="BJ12" s="547"/>
      <c r="BK12" s="545">
        <v>11</v>
      </c>
      <c r="BL12" s="546"/>
      <c r="BM12" s="546"/>
      <c r="BN12" s="546"/>
      <c r="BO12" s="547"/>
      <c r="BP12" s="545">
        <v>12</v>
      </c>
      <c r="BQ12" s="546"/>
      <c r="BR12" s="546"/>
      <c r="BS12" s="546"/>
      <c r="BT12" s="547"/>
      <c r="BU12" s="545">
        <v>13</v>
      </c>
      <c r="BV12" s="546"/>
      <c r="BW12" s="546"/>
      <c r="BX12" s="546"/>
      <c r="BY12" s="547"/>
      <c r="BZ12" s="545">
        <v>14</v>
      </c>
      <c r="CA12" s="546"/>
      <c r="CB12" s="546"/>
      <c r="CC12" s="546"/>
      <c r="CD12" s="547"/>
      <c r="CE12" s="545">
        <v>15</v>
      </c>
      <c r="CF12" s="546"/>
      <c r="CG12" s="546"/>
      <c r="CH12" s="546"/>
      <c r="CI12" s="547"/>
      <c r="CJ12" s="545">
        <v>16</v>
      </c>
      <c r="CK12" s="546"/>
      <c r="CL12" s="546"/>
      <c r="CM12" s="546"/>
      <c r="CN12" s="546"/>
      <c r="CO12" s="546">
        <v>17</v>
      </c>
      <c r="CP12" s="546"/>
      <c r="CQ12" s="546"/>
      <c r="CR12" s="546"/>
      <c r="CS12" s="547"/>
      <c r="CT12" s="545">
        <v>18</v>
      </c>
      <c r="CU12" s="546"/>
      <c r="CV12" s="546"/>
      <c r="CW12" s="546"/>
      <c r="CX12" s="546"/>
      <c r="CY12" s="546">
        <v>19</v>
      </c>
      <c r="CZ12" s="546"/>
      <c r="DA12" s="546"/>
      <c r="DB12" s="546"/>
      <c r="DC12" s="547"/>
      <c r="DD12" s="545">
        <v>20</v>
      </c>
      <c r="DE12" s="546"/>
      <c r="DF12" s="546"/>
      <c r="DG12" s="546"/>
      <c r="DH12" s="546"/>
      <c r="DI12" s="546">
        <v>21</v>
      </c>
      <c r="DJ12" s="546"/>
      <c r="DK12" s="546"/>
      <c r="DL12" s="546"/>
      <c r="DM12" s="547"/>
      <c r="DN12" s="545">
        <v>22</v>
      </c>
      <c r="DO12" s="546"/>
      <c r="DP12" s="546"/>
      <c r="DQ12" s="546"/>
      <c r="DR12" s="546"/>
      <c r="DS12" s="546">
        <v>23</v>
      </c>
      <c r="DT12" s="546"/>
      <c r="DU12" s="546"/>
      <c r="DV12" s="546"/>
      <c r="DW12" s="547"/>
      <c r="DX12" s="545">
        <v>24</v>
      </c>
      <c r="DY12" s="546"/>
      <c r="DZ12" s="546"/>
      <c r="EA12" s="546"/>
      <c r="EB12" s="546"/>
      <c r="EC12" s="546">
        <v>25</v>
      </c>
      <c r="ED12" s="546"/>
      <c r="EE12" s="546"/>
      <c r="EF12" s="546"/>
      <c r="EG12" s="547"/>
      <c r="EH12" s="545">
        <v>26</v>
      </c>
      <c r="EI12" s="546"/>
      <c r="EJ12" s="546"/>
      <c r="EK12" s="546"/>
      <c r="EL12" s="546"/>
      <c r="EM12" s="546">
        <v>27</v>
      </c>
      <c r="EN12" s="546"/>
      <c r="EO12" s="546"/>
      <c r="EP12" s="546"/>
      <c r="EQ12" s="547"/>
      <c r="ER12" s="545">
        <v>28</v>
      </c>
      <c r="ES12" s="546"/>
      <c r="ET12" s="546"/>
      <c r="EU12" s="546"/>
      <c r="EV12" s="546"/>
      <c r="EW12" s="546">
        <v>29</v>
      </c>
      <c r="EX12" s="546"/>
      <c r="EY12" s="546"/>
      <c r="EZ12" s="546"/>
      <c r="FA12" s="547"/>
      <c r="FB12" s="545">
        <v>30</v>
      </c>
      <c r="FC12" s="546"/>
      <c r="FD12" s="546"/>
      <c r="FE12" s="546"/>
      <c r="FF12" s="546"/>
      <c r="FG12" s="546">
        <v>31</v>
      </c>
      <c r="FH12" s="546"/>
      <c r="FI12" s="546"/>
      <c r="FJ12" s="546"/>
      <c r="FK12" s="547"/>
      <c r="FL12" s="545">
        <v>32</v>
      </c>
      <c r="FM12" s="546"/>
      <c r="FN12" s="546"/>
      <c r="FO12" s="546"/>
      <c r="FP12" s="546"/>
      <c r="FQ12" s="546">
        <v>33</v>
      </c>
      <c r="FR12" s="546"/>
      <c r="FS12" s="546"/>
      <c r="FT12" s="546"/>
      <c r="FU12" s="547"/>
      <c r="FV12" s="545">
        <v>34</v>
      </c>
      <c r="FW12" s="546"/>
      <c r="FX12" s="546"/>
      <c r="FY12" s="546"/>
      <c r="FZ12" s="546"/>
      <c r="GA12" s="546">
        <v>35</v>
      </c>
      <c r="GB12" s="546"/>
      <c r="GC12" s="546"/>
      <c r="GD12" s="546"/>
      <c r="GE12" s="547"/>
      <c r="GF12" s="545">
        <v>36</v>
      </c>
      <c r="GG12" s="546"/>
      <c r="GH12" s="546"/>
      <c r="GI12" s="546"/>
      <c r="GJ12" s="546"/>
      <c r="GK12" s="546">
        <v>37</v>
      </c>
      <c r="GL12" s="546"/>
      <c r="GM12" s="546"/>
      <c r="GN12" s="546"/>
      <c r="GO12" s="547"/>
      <c r="GP12" s="545">
        <v>38</v>
      </c>
      <c r="GQ12" s="546"/>
      <c r="GR12" s="546"/>
      <c r="GS12" s="546"/>
      <c r="GT12" s="546"/>
      <c r="GU12" s="546">
        <v>39</v>
      </c>
      <c r="GV12" s="546"/>
      <c r="GW12" s="546"/>
      <c r="GX12" s="546"/>
      <c r="GY12" s="547"/>
      <c r="GZ12" s="545">
        <v>40</v>
      </c>
      <c r="HA12" s="546"/>
      <c r="HB12" s="546"/>
      <c r="HC12" s="546"/>
      <c r="HD12" s="546"/>
      <c r="HE12" s="546">
        <v>41</v>
      </c>
      <c r="HF12" s="546"/>
      <c r="HG12" s="546"/>
      <c r="HH12" s="546"/>
      <c r="HI12" s="547"/>
      <c r="HJ12" s="545">
        <v>42</v>
      </c>
      <c r="HK12" s="546"/>
      <c r="HL12" s="546"/>
      <c r="HM12" s="546"/>
      <c r="HN12" s="546"/>
      <c r="HO12" s="546">
        <v>43</v>
      </c>
      <c r="HP12" s="546"/>
      <c r="HQ12" s="546"/>
      <c r="HR12" s="546"/>
      <c r="HS12" s="547"/>
      <c r="HT12" s="545">
        <v>44</v>
      </c>
      <c r="HU12" s="546"/>
      <c r="HV12" s="546"/>
      <c r="HW12" s="546"/>
      <c r="HX12" s="546"/>
      <c r="HY12" s="546">
        <v>45</v>
      </c>
      <c r="HZ12" s="546"/>
      <c r="IA12" s="546"/>
      <c r="IB12" s="546"/>
      <c r="IC12" s="547"/>
      <c r="ID12" s="545">
        <v>46</v>
      </c>
      <c r="IE12" s="546"/>
      <c r="IF12" s="546"/>
      <c r="IG12" s="546"/>
      <c r="IH12" s="546"/>
      <c r="II12" s="546">
        <v>47</v>
      </c>
      <c r="IJ12" s="546"/>
      <c r="IK12" s="546"/>
      <c r="IL12" s="546"/>
      <c r="IM12" s="547"/>
      <c r="IN12" s="545">
        <v>48</v>
      </c>
      <c r="IO12" s="546"/>
      <c r="IP12" s="546"/>
      <c r="IQ12" s="546"/>
      <c r="IR12" s="546"/>
      <c r="IS12" s="546">
        <v>49</v>
      </c>
      <c r="IT12" s="546"/>
      <c r="IU12" s="546"/>
      <c r="IV12" s="546"/>
      <c r="IW12" s="547"/>
      <c r="IX12" s="545">
        <v>50</v>
      </c>
      <c r="IY12" s="546"/>
      <c r="IZ12" s="546"/>
      <c r="JA12" s="546"/>
      <c r="JB12" s="546"/>
      <c r="JC12" s="546">
        <v>51</v>
      </c>
      <c r="JD12" s="546"/>
      <c r="JE12" s="546"/>
      <c r="JF12" s="546"/>
      <c r="JG12" s="547"/>
      <c r="JH12" s="545">
        <v>52</v>
      </c>
      <c r="JI12" s="546"/>
      <c r="JJ12" s="546"/>
      <c r="JK12" s="546"/>
      <c r="JL12" s="546"/>
      <c r="JM12" s="545">
        <v>53</v>
      </c>
      <c r="JN12" s="546"/>
      <c r="JO12" s="546"/>
      <c r="JP12" s="546"/>
      <c r="JQ12" s="548"/>
    </row>
    <row r="13" spans="2:277" ht="15.75">
      <c r="B13" s="470" t="str">
        <f>MASTER!A5</f>
        <v>DESIGN</v>
      </c>
      <c r="C13" s="470"/>
      <c r="D13" s="471"/>
      <c r="E13" s="472"/>
      <c r="F13" s="472"/>
      <c r="H13" s="435">
        <f>GANTT_D!H11</f>
        <v>1</v>
      </c>
      <c r="I13" s="435">
        <f>GANTT_D!I11</f>
        <v>46</v>
      </c>
      <c r="J13" s="475">
        <f>GANTT_D!J11</f>
        <v>1</v>
      </c>
      <c r="K13" s="475">
        <f>GANTT_D!K11</f>
        <v>10</v>
      </c>
      <c r="L13" s="30"/>
      <c r="M13" s="477" t="str">
        <f t="shared" ref="M13:BX13" si="568">IF(AND(M$9&gt;$H13,M$9&lt;$I13),"-",IF(M$9=$H13,"I",IF(M$9=$I13,"I","")))</f>
        <v>I</v>
      </c>
      <c r="N13" s="478" t="str">
        <f t="shared" si="568"/>
        <v>-</v>
      </c>
      <c r="O13" s="478" t="str">
        <f t="shared" si="568"/>
        <v>-</v>
      </c>
      <c r="P13" s="478" t="str">
        <f t="shared" si="568"/>
        <v>-</v>
      </c>
      <c r="Q13" s="478" t="str">
        <f t="shared" si="568"/>
        <v>-</v>
      </c>
      <c r="R13" s="477" t="str">
        <f t="shared" si="568"/>
        <v>-</v>
      </c>
      <c r="S13" s="478" t="str">
        <f t="shared" si="568"/>
        <v>-</v>
      </c>
      <c r="T13" s="478" t="str">
        <f t="shared" si="568"/>
        <v>-</v>
      </c>
      <c r="U13" s="478" t="str">
        <f t="shared" si="568"/>
        <v>-</v>
      </c>
      <c r="V13" s="478" t="str">
        <f t="shared" si="568"/>
        <v>-</v>
      </c>
      <c r="W13" s="477" t="str">
        <f t="shared" si="568"/>
        <v>-</v>
      </c>
      <c r="X13" s="478" t="str">
        <f t="shared" si="568"/>
        <v>-</v>
      </c>
      <c r="Y13" s="478" t="str">
        <f t="shared" si="568"/>
        <v>-</v>
      </c>
      <c r="Z13" s="478" t="str">
        <f t="shared" si="568"/>
        <v>-</v>
      </c>
      <c r="AA13" s="478" t="str">
        <f t="shared" si="568"/>
        <v>-</v>
      </c>
      <c r="AB13" s="477" t="str">
        <f t="shared" si="568"/>
        <v>-</v>
      </c>
      <c r="AC13" s="478" t="str">
        <f t="shared" si="568"/>
        <v>-</v>
      </c>
      <c r="AD13" s="478" t="str">
        <f t="shared" si="568"/>
        <v>-</v>
      </c>
      <c r="AE13" s="478" t="str">
        <f t="shared" si="568"/>
        <v>-</v>
      </c>
      <c r="AF13" s="478" t="str">
        <f t="shared" si="568"/>
        <v>-</v>
      </c>
      <c r="AG13" s="477" t="str">
        <f t="shared" si="568"/>
        <v>-</v>
      </c>
      <c r="AH13" s="478" t="str">
        <f t="shared" si="568"/>
        <v>-</v>
      </c>
      <c r="AI13" s="478" t="str">
        <f t="shared" si="568"/>
        <v>-</v>
      </c>
      <c r="AJ13" s="478" t="str">
        <f t="shared" si="568"/>
        <v>-</v>
      </c>
      <c r="AK13" s="478" t="str">
        <f t="shared" si="568"/>
        <v>-</v>
      </c>
      <c r="AL13" s="477" t="str">
        <f t="shared" si="568"/>
        <v>-</v>
      </c>
      <c r="AM13" s="478" t="str">
        <f t="shared" si="568"/>
        <v>-</v>
      </c>
      <c r="AN13" s="478" t="str">
        <f t="shared" si="568"/>
        <v>-</v>
      </c>
      <c r="AO13" s="478" t="str">
        <f t="shared" si="568"/>
        <v>-</v>
      </c>
      <c r="AP13" s="478" t="str">
        <f t="shared" si="568"/>
        <v>-</v>
      </c>
      <c r="AQ13" s="477" t="str">
        <f t="shared" si="568"/>
        <v>-</v>
      </c>
      <c r="AR13" s="478" t="str">
        <f t="shared" si="568"/>
        <v>-</v>
      </c>
      <c r="AS13" s="478" t="str">
        <f t="shared" si="568"/>
        <v>-</v>
      </c>
      <c r="AT13" s="478" t="str">
        <f t="shared" si="568"/>
        <v>-</v>
      </c>
      <c r="AU13" s="478" t="str">
        <f t="shared" si="568"/>
        <v>-</v>
      </c>
      <c r="AV13" s="477" t="str">
        <f t="shared" si="568"/>
        <v>-</v>
      </c>
      <c r="AW13" s="478" t="str">
        <f t="shared" si="568"/>
        <v>-</v>
      </c>
      <c r="AX13" s="478" t="str">
        <f t="shared" si="568"/>
        <v>-</v>
      </c>
      <c r="AY13" s="478" t="str">
        <f t="shared" si="568"/>
        <v>-</v>
      </c>
      <c r="AZ13" s="478" t="str">
        <f t="shared" si="568"/>
        <v>-</v>
      </c>
      <c r="BA13" s="477" t="str">
        <f t="shared" si="568"/>
        <v>-</v>
      </c>
      <c r="BB13" s="478" t="str">
        <f t="shared" si="568"/>
        <v>-</v>
      </c>
      <c r="BC13" s="478" t="str">
        <f t="shared" si="568"/>
        <v>-</v>
      </c>
      <c r="BD13" s="478" t="str">
        <f t="shared" si="568"/>
        <v>-</v>
      </c>
      <c r="BE13" s="478" t="str">
        <f t="shared" si="568"/>
        <v>-</v>
      </c>
      <c r="BF13" s="477" t="str">
        <f t="shared" si="568"/>
        <v>I</v>
      </c>
      <c r="BG13" s="478" t="str">
        <f t="shared" si="568"/>
        <v/>
      </c>
      <c r="BH13" s="478" t="str">
        <f t="shared" si="568"/>
        <v/>
      </c>
      <c r="BI13" s="478" t="str">
        <f t="shared" si="568"/>
        <v/>
      </c>
      <c r="BJ13" s="478" t="str">
        <f t="shared" si="568"/>
        <v/>
      </c>
      <c r="BK13" s="477" t="str">
        <f t="shared" si="568"/>
        <v/>
      </c>
      <c r="BL13" s="478" t="str">
        <f t="shared" si="568"/>
        <v/>
      </c>
      <c r="BM13" s="478" t="str">
        <f t="shared" si="568"/>
        <v/>
      </c>
      <c r="BN13" s="478" t="str">
        <f t="shared" si="568"/>
        <v/>
      </c>
      <c r="BO13" s="478" t="str">
        <f t="shared" si="568"/>
        <v/>
      </c>
      <c r="BP13" s="477" t="str">
        <f t="shared" si="568"/>
        <v/>
      </c>
      <c r="BQ13" s="478" t="str">
        <f t="shared" si="568"/>
        <v/>
      </c>
      <c r="BR13" s="478" t="str">
        <f t="shared" si="568"/>
        <v/>
      </c>
      <c r="BS13" s="478" t="str">
        <f t="shared" si="568"/>
        <v/>
      </c>
      <c r="BT13" s="478" t="str">
        <f t="shared" si="568"/>
        <v/>
      </c>
      <c r="BU13" s="477" t="str">
        <f t="shared" si="568"/>
        <v/>
      </c>
      <c r="BV13" s="478" t="str">
        <f t="shared" si="568"/>
        <v/>
      </c>
      <c r="BW13" s="478" t="str">
        <f t="shared" si="568"/>
        <v/>
      </c>
      <c r="BX13" s="478" t="str">
        <f t="shared" si="568"/>
        <v/>
      </c>
      <c r="BY13" s="478" t="str">
        <f t="shared" ref="BY13:EJ13" si="569">IF(AND(BY$9&gt;$H13,BY$9&lt;$I13),"-",IF(BY$9=$H13,"I",IF(BY$9=$I13,"I","")))</f>
        <v/>
      </c>
      <c r="BZ13" s="477" t="str">
        <f t="shared" si="569"/>
        <v/>
      </c>
      <c r="CA13" s="478" t="str">
        <f t="shared" si="569"/>
        <v/>
      </c>
      <c r="CB13" s="478" t="str">
        <f t="shared" si="569"/>
        <v/>
      </c>
      <c r="CC13" s="478" t="str">
        <f t="shared" si="569"/>
        <v/>
      </c>
      <c r="CD13" s="478" t="str">
        <f t="shared" si="569"/>
        <v/>
      </c>
      <c r="CE13" s="477" t="str">
        <f t="shared" si="569"/>
        <v/>
      </c>
      <c r="CF13" s="478" t="str">
        <f t="shared" si="569"/>
        <v/>
      </c>
      <c r="CG13" s="478" t="str">
        <f t="shared" si="569"/>
        <v/>
      </c>
      <c r="CH13" s="478" t="str">
        <f t="shared" si="569"/>
        <v/>
      </c>
      <c r="CI13" s="478" t="str">
        <f t="shared" si="569"/>
        <v/>
      </c>
      <c r="CJ13" s="477" t="str">
        <f t="shared" si="569"/>
        <v/>
      </c>
      <c r="CK13" s="478" t="str">
        <f t="shared" si="569"/>
        <v/>
      </c>
      <c r="CL13" s="478" t="str">
        <f t="shared" si="569"/>
        <v/>
      </c>
      <c r="CM13" s="478" t="str">
        <f t="shared" si="569"/>
        <v/>
      </c>
      <c r="CN13" s="478" t="str">
        <f t="shared" si="569"/>
        <v/>
      </c>
      <c r="CO13" s="477" t="str">
        <f t="shared" si="569"/>
        <v/>
      </c>
      <c r="CP13" s="478" t="str">
        <f t="shared" si="569"/>
        <v/>
      </c>
      <c r="CQ13" s="478" t="str">
        <f t="shared" si="569"/>
        <v/>
      </c>
      <c r="CR13" s="478" t="str">
        <f t="shared" si="569"/>
        <v/>
      </c>
      <c r="CS13" s="478" t="str">
        <f t="shared" si="569"/>
        <v/>
      </c>
      <c r="CT13" s="477" t="str">
        <f t="shared" si="569"/>
        <v/>
      </c>
      <c r="CU13" s="478" t="str">
        <f t="shared" si="569"/>
        <v/>
      </c>
      <c r="CV13" s="478" t="str">
        <f t="shared" si="569"/>
        <v/>
      </c>
      <c r="CW13" s="478" t="str">
        <f t="shared" si="569"/>
        <v/>
      </c>
      <c r="CX13" s="478" t="str">
        <f t="shared" si="569"/>
        <v/>
      </c>
      <c r="CY13" s="477" t="str">
        <f t="shared" si="569"/>
        <v/>
      </c>
      <c r="CZ13" s="478" t="str">
        <f t="shared" si="569"/>
        <v/>
      </c>
      <c r="DA13" s="478" t="str">
        <f t="shared" si="569"/>
        <v/>
      </c>
      <c r="DB13" s="478" t="str">
        <f t="shared" si="569"/>
        <v/>
      </c>
      <c r="DC13" s="478" t="str">
        <f t="shared" si="569"/>
        <v/>
      </c>
      <c r="DD13" s="477" t="str">
        <f t="shared" si="569"/>
        <v/>
      </c>
      <c r="DE13" s="478" t="str">
        <f t="shared" si="569"/>
        <v/>
      </c>
      <c r="DF13" s="478" t="str">
        <f t="shared" si="569"/>
        <v/>
      </c>
      <c r="DG13" s="478" t="str">
        <f t="shared" si="569"/>
        <v/>
      </c>
      <c r="DH13" s="478" t="str">
        <f t="shared" si="569"/>
        <v/>
      </c>
      <c r="DI13" s="477" t="str">
        <f t="shared" si="569"/>
        <v/>
      </c>
      <c r="DJ13" s="478" t="str">
        <f t="shared" si="569"/>
        <v/>
      </c>
      <c r="DK13" s="478" t="str">
        <f t="shared" si="569"/>
        <v/>
      </c>
      <c r="DL13" s="478" t="str">
        <f t="shared" si="569"/>
        <v/>
      </c>
      <c r="DM13" s="478" t="str">
        <f t="shared" si="569"/>
        <v/>
      </c>
      <c r="DN13" s="477" t="str">
        <f t="shared" si="569"/>
        <v/>
      </c>
      <c r="DO13" s="478" t="str">
        <f t="shared" si="569"/>
        <v/>
      </c>
      <c r="DP13" s="478" t="str">
        <f t="shared" si="569"/>
        <v/>
      </c>
      <c r="DQ13" s="478" t="str">
        <f t="shared" si="569"/>
        <v/>
      </c>
      <c r="DR13" s="478" t="str">
        <f t="shared" si="569"/>
        <v/>
      </c>
      <c r="DS13" s="477" t="str">
        <f t="shared" si="569"/>
        <v/>
      </c>
      <c r="DT13" s="478" t="str">
        <f t="shared" si="569"/>
        <v/>
      </c>
      <c r="DU13" s="478" t="str">
        <f t="shared" si="569"/>
        <v/>
      </c>
      <c r="DV13" s="478" t="str">
        <f t="shared" si="569"/>
        <v/>
      </c>
      <c r="DW13" s="478" t="str">
        <f t="shared" si="569"/>
        <v/>
      </c>
      <c r="DX13" s="477" t="str">
        <f t="shared" si="569"/>
        <v/>
      </c>
      <c r="DY13" s="478" t="str">
        <f t="shared" si="569"/>
        <v/>
      </c>
      <c r="DZ13" s="478" t="str">
        <f t="shared" si="569"/>
        <v/>
      </c>
      <c r="EA13" s="478" t="str">
        <f t="shared" si="569"/>
        <v/>
      </c>
      <c r="EB13" s="478" t="str">
        <f t="shared" si="569"/>
        <v/>
      </c>
      <c r="EC13" s="477" t="str">
        <f t="shared" si="569"/>
        <v/>
      </c>
      <c r="ED13" s="478" t="str">
        <f t="shared" si="569"/>
        <v/>
      </c>
      <c r="EE13" s="478" t="str">
        <f t="shared" si="569"/>
        <v/>
      </c>
      <c r="EF13" s="478" t="str">
        <f t="shared" si="569"/>
        <v/>
      </c>
      <c r="EG13" s="478" t="str">
        <f t="shared" si="569"/>
        <v/>
      </c>
      <c r="EH13" s="477" t="str">
        <f t="shared" si="569"/>
        <v/>
      </c>
      <c r="EI13" s="478" t="str">
        <f t="shared" si="569"/>
        <v/>
      </c>
      <c r="EJ13" s="478" t="str">
        <f t="shared" si="569"/>
        <v/>
      </c>
      <c r="EK13" s="478" t="str">
        <f t="shared" ref="EK13:GV13" si="570">IF(AND(EK$9&gt;$H13,EK$9&lt;$I13),"-",IF(EK$9=$H13,"I",IF(EK$9=$I13,"I","")))</f>
        <v/>
      </c>
      <c r="EL13" s="478" t="str">
        <f t="shared" si="570"/>
        <v/>
      </c>
      <c r="EM13" s="477" t="str">
        <f t="shared" si="570"/>
        <v/>
      </c>
      <c r="EN13" s="478" t="str">
        <f t="shared" si="570"/>
        <v/>
      </c>
      <c r="EO13" s="478" t="str">
        <f t="shared" si="570"/>
        <v/>
      </c>
      <c r="EP13" s="478" t="str">
        <f t="shared" si="570"/>
        <v/>
      </c>
      <c r="EQ13" s="478" t="str">
        <f t="shared" si="570"/>
        <v/>
      </c>
      <c r="ER13" s="477" t="str">
        <f t="shared" si="570"/>
        <v/>
      </c>
      <c r="ES13" s="478" t="str">
        <f t="shared" si="570"/>
        <v/>
      </c>
      <c r="ET13" s="478" t="str">
        <f t="shared" si="570"/>
        <v/>
      </c>
      <c r="EU13" s="478" t="str">
        <f t="shared" si="570"/>
        <v/>
      </c>
      <c r="EV13" s="478" t="str">
        <f t="shared" si="570"/>
        <v/>
      </c>
      <c r="EW13" s="477" t="str">
        <f t="shared" si="570"/>
        <v/>
      </c>
      <c r="EX13" s="478" t="str">
        <f t="shared" si="570"/>
        <v/>
      </c>
      <c r="EY13" s="478" t="str">
        <f t="shared" si="570"/>
        <v/>
      </c>
      <c r="EZ13" s="478" t="str">
        <f t="shared" si="570"/>
        <v/>
      </c>
      <c r="FA13" s="478" t="str">
        <f t="shared" si="570"/>
        <v/>
      </c>
      <c r="FB13" s="477" t="str">
        <f t="shared" si="570"/>
        <v/>
      </c>
      <c r="FC13" s="478" t="str">
        <f t="shared" si="570"/>
        <v/>
      </c>
      <c r="FD13" s="478" t="str">
        <f t="shared" si="570"/>
        <v/>
      </c>
      <c r="FE13" s="478" t="str">
        <f t="shared" si="570"/>
        <v/>
      </c>
      <c r="FF13" s="478" t="str">
        <f t="shared" si="570"/>
        <v/>
      </c>
      <c r="FG13" s="477" t="str">
        <f t="shared" si="570"/>
        <v/>
      </c>
      <c r="FH13" s="478" t="str">
        <f t="shared" si="570"/>
        <v/>
      </c>
      <c r="FI13" s="478" t="str">
        <f t="shared" si="570"/>
        <v/>
      </c>
      <c r="FJ13" s="478" t="str">
        <f t="shared" si="570"/>
        <v/>
      </c>
      <c r="FK13" s="478" t="str">
        <f t="shared" si="570"/>
        <v/>
      </c>
      <c r="FL13" s="477" t="str">
        <f t="shared" si="570"/>
        <v/>
      </c>
      <c r="FM13" s="478" t="str">
        <f t="shared" si="570"/>
        <v/>
      </c>
      <c r="FN13" s="478" t="str">
        <f t="shared" si="570"/>
        <v/>
      </c>
      <c r="FO13" s="478" t="str">
        <f t="shared" si="570"/>
        <v/>
      </c>
      <c r="FP13" s="478" t="str">
        <f t="shared" si="570"/>
        <v/>
      </c>
      <c r="FQ13" s="477" t="str">
        <f t="shared" si="570"/>
        <v/>
      </c>
      <c r="FR13" s="478" t="str">
        <f t="shared" si="570"/>
        <v/>
      </c>
      <c r="FS13" s="478" t="str">
        <f t="shared" si="570"/>
        <v/>
      </c>
      <c r="FT13" s="478" t="str">
        <f t="shared" si="570"/>
        <v/>
      </c>
      <c r="FU13" s="478" t="str">
        <f t="shared" si="570"/>
        <v/>
      </c>
      <c r="FV13" s="477" t="str">
        <f t="shared" si="570"/>
        <v/>
      </c>
      <c r="FW13" s="478" t="str">
        <f t="shared" si="570"/>
        <v/>
      </c>
      <c r="FX13" s="478" t="str">
        <f t="shared" si="570"/>
        <v/>
      </c>
      <c r="FY13" s="478" t="str">
        <f t="shared" si="570"/>
        <v/>
      </c>
      <c r="FZ13" s="478" t="str">
        <f t="shared" si="570"/>
        <v/>
      </c>
      <c r="GA13" s="477" t="str">
        <f t="shared" si="570"/>
        <v/>
      </c>
      <c r="GB13" s="478" t="str">
        <f t="shared" si="570"/>
        <v/>
      </c>
      <c r="GC13" s="478" t="str">
        <f t="shared" si="570"/>
        <v/>
      </c>
      <c r="GD13" s="478" t="str">
        <f t="shared" si="570"/>
        <v/>
      </c>
      <c r="GE13" s="478" t="str">
        <f t="shared" si="570"/>
        <v/>
      </c>
      <c r="GF13" s="477" t="str">
        <f t="shared" si="570"/>
        <v/>
      </c>
      <c r="GG13" s="478" t="str">
        <f t="shared" si="570"/>
        <v/>
      </c>
      <c r="GH13" s="478" t="str">
        <f t="shared" si="570"/>
        <v/>
      </c>
      <c r="GI13" s="478" t="str">
        <f t="shared" si="570"/>
        <v/>
      </c>
      <c r="GJ13" s="478" t="str">
        <f t="shared" si="570"/>
        <v/>
      </c>
      <c r="GK13" s="477" t="str">
        <f t="shared" si="570"/>
        <v/>
      </c>
      <c r="GL13" s="478" t="str">
        <f t="shared" si="570"/>
        <v/>
      </c>
      <c r="GM13" s="478" t="str">
        <f t="shared" si="570"/>
        <v/>
      </c>
      <c r="GN13" s="478" t="str">
        <f t="shared" si="570"/>
        <v/>
      </c>
      <c r="GO13" s="478" t="str">
        <f t="shared" si="570"/>
        <v/>
      </c>
      <c r="GP13" s="477" t="str">
        <f t="shared" si="570"/>
        <v/>
      </c>
      <c r="GQ13" s="478" t="str">
        <f t="shared" si="570"/>
        <v/>
      </c>
      <c r="GR13" s="478" t="str">
        <f t="shared" si="570"/>
        <v/>
      </c>
      <c r="GS13" s="478" t="str">
        <f t="shared" si="570"/>
        <v/>
      </c>
      <c r="GT13" s="478" t="str">
        <f t="shared" si="570"/>
        <v/>
      </c>
      <c r="GU13" s="477" t="str">
        <f t="shared" si="570"/>
        <v/>
      </c>
      <c r="GV13" s="478" t="str">
        <f t="shared" si="570"/>
        <v/>
      </c>
      <c r="GW13" s="478" t="str">
        <f t="shared" ref="GW13:JH13" si="571">IF(AND(GW$9&gt;$H13,GW$9&lt;$I13),"-",IF(GW$9=$H13,"I",IF(GW$9=$I13,"I","")))</f>
        <v/>
      </c>
      <c r="GX13" s="478" t="str">
        <f t="shared" si="571"/>
        <v/>
      </c>
      <c r="GY13" s="478" t="str">
        <f t="shared" si="571"/>
        <v/>
      </c>
      <c r="GZ13" s="477" t="str">
        <f t="shared" si="571"/>
        <v/>
      </c>
      <c r="HA13" s="478" t="str">
        <f t="shared" si="571"/>
        <v/>
      </c>
      <c r="HB13" s="478" t="str">
        <f t="shared" si="571"/>
        <v/>
      </c>
      <c r="HC13" s="478" t="str">
        <f t="shared" si="571"/>
        <v/>
      </c>
      <c r="HD13" s="478" t="str">
        <f t="shared" si="571"/>
        <v/>
      </c>
      <c r="HE13" s="477" t="str">
        <f t="shared" si="571"/>
        <v/>
      </c>
      <c r="HF13" s="478" t="str">
        <f t="shared" si="571"/>
        <v/>
      </c>
      <c r="HG13" s="478" t="str">
        <f t="shared" si="571"/>
        <v/>
      </c>
      <c r="HH13" s="478" t="str">
        <f t="shared" si="571"/>
        <v/>
      </c>
      <c r="HI13" s="478" t="str">
        <f t="shared" si="571"/>
        <v/>
      </c>
      <c r="HJ13" s="477" t="str">
        <f t="shared" si="571"/>
        <v/>
      </c>
      <c r="HK13" s="478" t="str">
        <f t="shared" si="571"/>
        <v/>
      </c>
      <c r="HL13" s="478" t="str">
        <f t="shared" si="571"/>
        <v/>
      </c>
      <c r="HM13" s="478" t="str">
        <f t="shared" si="571"/>
        <v/>
      </c>
      <c r="HN13" s="478" t="str">
        <f t="shared" si="571"/>
        <v/>
      </c>
      <c r="HO13" s="477" t="str">
        <f t="shared" si="571"/>
        <v/>
      </c>
      <c r="HP13" s="478" t="str">
        <f t="shared" si="571"/>
        <v/>
      </c>
      <c r="HQ13" s="478" t="str">
        <f t="shared" si="571"/>
        <v/>
      </c>
      <c r="HR13" s="478" t="str">
        <f t="shared" si="571"/>
        <v/>
      </c>
      <c r="HS13" s="478" t="str">
        <f t="shared" si="571"/>
        <v/>
      </c>
      <c r="HT13" s="477" t="str">
        <f t="shared" si="571"/>
        <v/>
      </c>
      <c r="HU13" s="478" t="str">
        <f t="shared" si="571"/>
        <v/>
      </c>
      <c r="HV13" s="478" t="str">
        <f t="shared" si="571"/>
        <v/>
      </c>
      <c r="HW13" s="478" t="str">
        <f t="shared" si="571"/>
        <v/>
      </c>
      <c r="HX13" s="478" t="str">
        <f t="shared" si="571"/>
        <v/>
      </c>
      <c r="HY13" s="477" t="str">
        <f t="shared" si="571"/>
        <v/>
      </c>
      <c r="HZ13" s="478" t="str">
        <f t="shared" si="571"/>
        <v/>
      </c>
      <c r="IA13" s="478" t="str">
        <f t="shared" si="571"/>
        <v/>
      </c>
      <c r="IB13" s="478" t="str">
        <f t="shared" si="571"/>
        <v/>
      </c>
      <c r="IC13" s="478" t="str">
        <f t="shared" si="571"/>
        <v/>
      </c>
      <c r="ID13" s="477" t="str">
        <f t="shared" si="571"/>
        <v/>
      </c>
      <c r="IE13" s="478" t="str">
        <f t="shared" si="571"/>
        <v/>
      </c>
      <c r="IF13" s="478" t="str">
        <f t="shared" si="571"/>
        <v/>
      </c>
      <c r="IG13" s="478" t="str">
        <f t="shared" si="571"/>
        <v/>
      </c>
      <c r="IH13" s="478" t="str">
        <f t="shared" si="571"/>
        <v/>
      </c>
      <c r="II13" s="477" t="str">
        <f t="shared" si="571"/>
        <v/>
      </c>
      <c r="IJ13" s="478" t="str">
        <f t="shared" si="571"/>
        <v/>
      </c>
      <c r="IK13" s="478" t="str">
        <f t="shared" si="571"/>
        <v/>
      </c>
      <c r="IL13" s="478" t="str">
        <f t="shared" si="571"/>
        <v/>
      </c>
      <c r="IM13" s="478" t="str">
        <f t="shared" si="571"/>
        <v/>
      </c>
      <c r="IN13" s="477" t="str">
        <f t="shared" si="571"/>
        <v/>
      </c>
      <c r="IO13" s="478" t="str">
        <f t="shared" si="571"/>
        <v/>
      </c>
      <c r="IP13" s="478" t="str">
        <f t="shared" si="571"/>
        <v/>
      </c>
      <c r="IQ13" s="478" t="str">
        <f t="shared" si="571"/>
        <v/>
      </c>
      <c r="IR13" s="478" t="str">
        <f t="shared" si="571"/>
        <v/>
      </c>
      <c r="IS13" s="477" t="str">
        <f t="shared" si="571"/>
        <v/>
      </c>
      <c r="IT13" s="478" t="str">
        <f t="shared" si="571"/>
        <v/>
      </c>
      <c r="IU13" s="478" t="str">
        <f t="shared" si="571"/>
        <v/>
      </c>
      <c r="IV13" s="478" t="str">
        <f t="shared" si="571"/>
        <v/>
      </c>
      <c r="IW13" s="478" t="str">
        <f t="shared" si="571"/>
        <v/>
      </c>
      <c r="IX13" s="477" t="str">
        <f t="shared" si="571"/>
        <v/>
      </c>
      <c r="IY13" s="478" t="str">
        <f t="shared" si="571"/>
        <v/>
      </c>
      <c r="IZ13" s="478" t="str">
        <f t="shared" si="571"/>
        <v/>
      </c>
      <c r="JA13" s="478" t="str">
        <f t="shared" si="571"/>
        <v/>
      </c>
      <c r="JB13" s="478" t="str">
        <f t="shared" si="571"/>
        <v/>
      </c>
      <c r="JC13" s="477" t="str">
        <f t="shared" si="571"/>
        <v/>
      </c>
      <c r="JD13" s="478" t="str">
        <f t="shared" si="571"/>
        <v/>
      </c>
      <c r="JE13" s="478" t="str">
        <f t="shared" si="571"/>
        <v/>
      </c>
      <c r="JF13" s="478" t="str">
        <f t="shared" si="571"/>
        <v/>
      </c>
      <c r="JG13" s="478" t="str">
        <f t="shared" si="571"/>
        <v/>
      </c>
      <c r="JH13" s="477" t="str">
        <f t="shared" si="571"/>
        <v/>
      </c>
      <c r="JI13" s="478" t="str">
        <f t="shared" ref="JI13:JQ13" si="572">IF(AND(JI$9&gt;$H13,JI$9&lt;$I13),"-",IF(JI$9=$H13,"I",IF(JI$9=$I13,"I","")))</f>
        <v/>
      </c>
      <c r="JJ13" s="478" t="str">
        <f t="shared" si="572"/>
        <v/>
      </c>
      <c r="JK13" s="478" t="str">
        <f t="shared" si="572"/>
        <v/>
      </c>
      <c r="JL13" s="478" t="str">
        <f t="shared" si="572"/>
        <v/>
      </c>
      <c r="JM13" s="477" t="str">
        <f t="shared" si="572"/>
        <v/>
      </c>
      <c r="JN13" s="478" t="str">
        <f t="shared" si="572"/>
        <v/>
      </c>
      <c r="JO13" s="478" t="str">
        <f t="shared" si="572"/>
        <v/>
      </c>
      <c r="JP13" s="478" t="str">
        <f t="shared" si="572"/>
        <v/>
      </c>
      <c r="JQ13" s="482" t="str">
        <f t="shared" si="572"/>
        <v/>
      </c>
    </row>
    <row r="14" spans="2:277">
      <c r="B14" s="543" t="str">
        <f>MASTER!B5</f>
        <v>Technical Review</v>
      </c>
      <c r="C14" s="543"/>
      <c r="D14" s="424" t="s">
        <v>123</v>
      </c>
      <c r="E14" s="434">
        <f>MASTER!C5/REPORT!$H$36</f>
        <v>1.1428571428571428</v>
      </c>
      <c r="F14" s="434">
        <f>IFERROR(IF(AND($E14&lt;5,$E14&lt;&gt;0),1,IF($E14=0,"",ROUNDUP($E14/5,0))),"")</f>
        <v>1</v>
      </c>
      <c r="H14" s="434">
        <f>GANTT_D!H12</f>
        <v>1</v>
      </c>
      <c r="I14" s="434">
        <f>GANTT_D!I12</f>
        <v>1</v>
      </c>
      <c r="J14" s="468">
        <f>GANTT_D!J12</f>
        <v>1</v>
      </c>
      <c r="K14" s="468">
        <f>GANTT_D!K12</f>
        <v>1</v>
      </c>
      <c r="L14" s="424"/>
      <c r="M14" s="477"/>
      <c r="N14" s="478"/>
      <c r="O14" s="478"/>
      <c r="P14" s="478"/>
      <c r="Q14" s="478"/>
      <c r="R14" s="477"/>
      <c r="S14" s="478"/>
      <c r="T14" s="478"/>
      <c r="U14" s="478"/>
      <c r="V14" s="478"/>
      <c r="W14" s="477"/>
      <c r="X14" s="478"/>
      <c r="Y14" s="478"/>
      <c r="Z14" s="478"/>
      <c r="AA14" s="478"/>
      <c r="AB14" s="477"/>
      <c r="AC14" s="478"/>
      <c r="AD14" s="478"/>
      <c r="AE14" s="478"/>
      <c r="AF14" s="478"/>
      <c r="AG14" s="477"/>
      <c r="AH14" s="478"/>
      <c r="AI14" s="478"/>
      <c r="AJ14" s="478"/>
      <c r="AK14" s="478"/>
      <c r="AL14" s="477"/>
      <c r="AM14" s="478"/>
      <c r="AN14" s="478"/>
      <c r="AO14" s="478"/>
      <c r="AP14" s="478"/>
      <c r="AQ14" s="477"/>
      <c r="AR14" s="478"/>
      <c r="AS14" s="478"/>
      <c r="AT14" s="478"/>
      <c r="AU14" s="478"/>
      <c r="AV14" s="477"/>
      <c r="AW14" s="478"/>
      <c r="AX14" s="478"/>
      <c r="AY14" s="478"/>
      <c r="AZ14" s="478"/>
      <c r="BA14" s="477"/>
      <c r="BB14" s="478"/>
      <c r="BC14" s="478"/>
      <c r="BD14" s="478"/>
      <c r="BE14" s="478"/>
      <c r="BF14" s="477"/>
      <c r="BG14" s="478"/>
      <c r="BH14" s="478"/>
      <c r="BI14" s="478"/>
      <c r="BJ14" s="478"/>
      <c r="BK14" s="477"/>
      <c r="BL14" s="478"/>
      <c r="BM14" s="478"/>
      <c r="BN14" s="478"/>
      <c r="BO14" s="478"/>
      <c r="BP14" s="477"/>
      <c r="BQ14" s="478"/>
      <c r="BR14" s="478"/>
      <c r="BS14" s="478"/>
      <c r="BT14" s="478"/>
      <c r="BU14" s="477"/>
      <c r="BV14" s="478"/>
      <c r="BW14" s="478"/>
      <c r="BX14" s="478"/>
      <c r="BY14" s="478"/>
      <c r="BZ14" s="477"/>
      <c r="CA14" s="478"/>
      <c r="CB14" s="478"/>
      <c r="CC14" s="478"/>
      <c r="CD14" s="478"/>
      <c r="CE14" s="477"/>
      <c r="CF14" s="478"/>
      <c r="CG14" s="478"/>
      <c r="CH14" s="478"/>
      <c r="CI14" s="478"/>
      <c r="CJ14" s="477"/>
      <c r="CK14" s="478"/>
      <c r="CL14" s="478"/>
      <c r="CM14" s="478"/>
      <c r="CN14" s="478"/>
      <c r="CO14" s="477"/>
      <c r="CP14" s="478"/>
      <c r="CQ14" s="478"/>
      <c r="CR14" s="478"/>
      <c r="CS14" s="478"/>
      <c r="CT14" s="477"/>
      <c r="CU14" s="478"/>
      <c r="CV14" s="478"/>
      <c r="CW14" s="478"/>
      <c r="CX14" s="478"/>
      <c r="CY14" s="477"/>
      <c r="CZ14" s="478"/>
      <c r="DA14" s="478"/>
      <c r="DB14" s="478"/>
      <c r="DC14" s="478"/>
      <c r="DD14" s="477"/>
      <c r="DE14" s="478"/>
      <c r="DF14" s="478"/>
      <c r="DG14" s="478"/>
      <c r="DH14" s="478"/>
      <c r="DI14" s="477"/>
      <c r="DJ14" s="478"/>
      <c r="DK14" s="478"/>
      <c r="DL14" s="478"/>
      <c r="DM14" s="478"/>
      <c r="DN14" s="477"/>
      <c r="DO14" s="478"/>
      <c r="DP14" s="478"/>
      <c r="DQ14" s="478"/>
      <c r="DR14" s="478"/>
      <c r="DS14" s="477"/>
      <c r="DT14" s="478"/>
      <c r="DU14" s="478"/>
      <c r="DV14" s="478"/>
      <c r="DW14" s="478"/>
      <c r="DX14" s="477"/>
      <c r="DY14" s="478"/>
      <c r="DZ14" s="478"/>
      <c r="EA14" s="478"/>
      <c r="EB14" s="478"/>
      <c r="EC14" s="477"/>
      <c r="ED14" s="478"/>
      <c r="EE14" s="478"/>
      <c r="EF14" s="478"/>
      <c r="EG14" s="478"/>
      <c r="EH14" s="477"/>
      <c r="EI14" s="478"/>
      <c r="EJ14" s="478"/>
      <c r="EK14" s="478"/>
      <c r="EL14" s="478"/>
      <c r="EM14" s="477"/>
      <c r="EN14" s="478"/>
      <c r="EO14" s="478"/>
      <c r="EP14" s="478"/>
      <c r="EQ14" s="478"/>
      <c r="ER14" s="477"/>
      <c r="ES14" s="478"/>
      <c r="ET14" s="478"/>
      <c r="EU14" s="478"/>
      <c r="EV14" s="478"/>
      <c r="EW14" s="477"/>
      <c r="EX14" s="478"/>
      <c r="EY14" s="478"/>
      <c r="EZ14" s="478"/>
      <c r="FA14" s="478"/>
      <c r="FB14" s="477"/>
      <c r="FC14" s="478"/>
      <c r="FD14" s="478"/>
      <c r="FE14" s="478"/>
      <c r="FF14" s="478"/>
      <c r="FG14" s="477"/>
      <c r="FH14" s="478"/>
      <c r="FI14" s="478"/>
      <c r="FJ14" s="478"/>
      <c r="FK14" s="478"/>
      <c r="FL14" s="477"/>
      <c r="FM14" s="478"/>
      <c r="FN14" s="478"/>
      <c r="FO14" s="478"/>
      <c r="FP14" s="478"/>
      <c r="FQ14" s="477"/>
      <c r="FR14" s="478"/>
      <c r="FS14" s="478"/>
      <c r="FT14" s="478"/>
      <c r="FU14" s="478"/>
      <c r="FV14" s="477"/>
      <c r="FW14" s="478"/>
      <c r="FX14" s="478"/>
      <c r="FY14" s="478"/>
      <c r="FZ14" s="478"/>
      <c r="GA14" s="477"/>
      <c r="GB14" s="478"/>
      <c r="GC14" s="478"/>
      <c r="GD14" s="478"/>
      <c r="GE14" s="478"/>
      <c r="GF14" s="477"/>
      <c r="GG14" s="478"/>
      <c r="GH14" s="478"/>
      <c r="GI14" s="478"/>
      <c r="GJ14" s="478"/>
      <c r="GK14" s="477"/>
      <c r="GL14" s="478"/>
      <c r="GM14" s="478"/>
      <c r="GN14" s="478"/>
      <c r="GO14" s="478"/>
      <c r="GP14" s="477"/>
      <c r="GQ14" s="478"/>
      <c r="GR14" s="478"/>
      <c r="GS14" s="478"/>
      <c r="GT14" s="478"/>
      <c r="GU14" s="477"/>
      <c r="GV14" s="478"/>
      <c r="GW14" s="478"/>
      <c r="GX14" s="478"/>
      <c r="GY14" s="478"/>
      <c r="GZ14" s="477"/>
      <c r="HA14" s="478"/>
      <c r="HB14" s="478"/>
      <c r="HC14" s="478"/>
      <c r="HD14" s="478"/>
      <c r="HE14" s="477"/>
      <c r="HF14" s="478"/>
      <c r="HG14" s="478"/>
      <c r="HH14" s="478"/>
      <c r="HI14" s="478"/>
      <c r="HJ14" s="477"/>
      <c r="HK14" s="478"/>
      <c r="HL14" s="478"/>
      <c r="HM14" s="478"/>
      <c r="HN14" s="478"/>
      <c r="HO14" s="477"/>
      <c r="HP14" s="478"/>
      <c r="HQ14" s="478"/>
      <c r="HR14" s="478"/>
      <c r="HS14" s="478"/>
      <c r="HT14" s="477"/>
      <c r="HU14" s="478"/>
      <c r="HV14" s="478"/>
      <c r="HW14" s="478"/>
      <c r="HX14" s="478"/>
      <c r="HY14" s="477"/>
      <c r="HZ14" s="478"/>
      <c r="IA14" s="478"/>
      <c r="IB14" s="478"/>
      <c r="IC14" s="478"/>
      <c r="ID14" s="477"/>
      <c r="IE14" s="478"/>
      <c r="IF14" s="478"/>
      <c r="IG14" s="478"/>
      <c r="IH14" s="478"/>
      <c r="II14" s="477"/>
      <c r="IJ14" s="478"/>
      <c r="IK14" s="478"/>
      <c r="IL14" s="478"/>
      <c r="IM14" s="478"/>
      <c r="IN14" s="477"/>
      <c r="IO14" s="478"/>
      <c r="IP14" s="478"/>
      <c r="IQ14" s="478"/>
      <c r="IR14" s="478"/>
      <c r="IS14" s="477"/>
      <c r="IT14" s="478"/>
      <c r="IU14" s="478"/>
      <c r="IV14" s="478"/>
      <c r="IW14" s="478"/>
      <c r="IX14" s="477"/>
      <c r="IY14" s="478"/>
      <c r="IZ14" s="478"/>
      <c r="JA14" s="478"/>
      <c r="JB14" s="478"/>
      <c r="JC14" s="477"/>
      <c r="JD14" s="478"/>
      <c r="JE14" s="478"/>
      <c r="JF14" s="478"/>
      <c r="JG14" s="478"/>
      <c r="JH14" s="477"/>
      <c r="JI14" s="478"/>
      <c r="JJ14" s="478"/>
      <c r="JK14" s="478"/>
      <c r="JL14" s="478"/>
      <c r="JM14" s="477"/>
      <c r="JN14" s="478"/>
      <c r="JO14" s="478"/>
      <c r="JP14" s="478"/>
      <c r="JQ14" s="482"/>
    </row>
    <row r="15" spans="2:277">
      <c r="B15" s="544" t="str">
        <f>MASTER!B6</f>
        <v>Study Drawing</v>
      </c>
      <c r="C15" s="544"/>
      <c r="D15" s="473" t="s">
        <v>122</v>
      </c>
      <c r="E15" s="465">
        <f>MASTER!C6/REPORT!$H$36</f>
        <v>5.1428571428571432</v>
      </c>
      <c r="F15" s="465">
        <f t="shared" ref="F15:F37" si="573">IFERROR(IF(AND($E15&lt;5,$E15&lt;&gt;0),1,IF($E15=0,"",ROUNDUP($E15/5,0))),"")</f>
        <v>2</v>
      </c>
      <c r="H15" s="434">
        <f>GANTT_D!H13</f>
        <v>2</v>
      </c>
      <c r="I15" s="434">
        <f>GANTT_D!I13</f>
        <v>6</v>
      </c>
      <c r="J15" s="468">
        <f>GANTT_D!J13</f>
        <v>1</v>
      </c>
      <c r="K15" s="468">
        <f>GANTT_D!K13</f>
        <v>2</v>
      </c>
      <c r="L15" s="424"/>
      <c r="M15" s="477"/>
      <c r="N15" s="478"/>
      <c r="O15" s="478"/>
      <c r="P15" s="478"/>
      <c r="Q15" s="478"/>
      <c r="R15" s="477"/>
      <c r="S15" s="478"/>
      <c r="T15" s="478"/>
      <c r="U15" s="478"/>
      <c r="V15" s="478"/>
      <c r="W15" s="477"/>
      <c r="X15" s="478"/>
      <c r="Y15" s="478"/>
      <c r="Z15" s="478"/>
      <c r="AA15" s="478"/>
      <c r="AB15" s="477"/>
      <c r="AC15" s="478"/>
      <c r="AD15" s="478"/>
      <c r="AE15" s="478"/>
      <c r="AF15" s="478"/>
      <c r="AG15" s="477"/>
      <c r="AH15" s="478"/>
      <c r="AI15" s="478"/>
      <c r="AJ15" s="478"/>
      <c r="AK15" s="478"/>
      <c r="AL15" s="477"/>
      <c r="AM15" s="478"/>
      <c r="AN15" s="478"/>
      <c r="AO15" s="478"/>
      <c r="AP15" s="478"/>
      <c r="AQ15" s="477"/>
      <c r="AR15" s="478"/>
      <c r="AS15" s="478"/>
      <c r="AT15" s="478"/>
      <c r="AU15" s="478"/>
      <c r="AV15" s="477"/>
      <c r="AW15" s="478"/>
      <c r="AX15" s="478"/>
      <c r="AY15" s="478"/>
      <c r="AZ15" s="478"/>
      <c r="BA15" s="477"/>
      <c r="BB15" s="478"/>
      <c r="BC15" s="478"/>
      <c r="BD15" s="478"/>
      <c r="BE15" s="478"/>
      <c r="BF15" s="477"/>
      <c r="BG15" s="478"/>
      <c r="BH15" s="478"/>
      <c r="BI15" s="478"/>
      <c r="BJ15" s="478"/>
      <c r="BK15" s="477"/>
      <c r="BL15" s="478"/>
      <c r="BM15" s="478"/>
      <c r="BN15" s="478"/>
      <c r="BO15" s="478"/>
      <c r="BP15" s="477"/>
      <c r="BQ15" s="478"/>
      <c r="BR15" s="478"/>
      <c r="BS15" s="478"/>
      <c r="BT15" s="478"/>
      <c r="BU15" s="477"/>
      <c r="BV15" s="478"/>
      <c r="BW15" s="478"/>
      <c r="BX15" s="478"/>
      <c r="BY15" s="478"/>
      <c r="BZ15" s="477"/>
      <c r="CA15" s="478"/>
      <c r="CB15" s="478"/>
      <c r="CC15" s="478"/>
      <c r="CD15" s="478"/>
      <c r="CE15" s="477"/>
      <c r="CF15" s="478"/>
      <c r="CG15" s="478"/>
      <c r="CH15" s="478"/>
      <c r="CI15" s="478"/>
      <c r="CJ15" s="477"/>
      <c r="CK15" s="478"/>
      <c r="CL15" s="478"/>
      <c r="CM15" s="478"/>
      <c r="CN15" s="478"/>
      <c r="CO15" s="477"/>
      <c r="CP15" s="478"/>
      <c r="CQ15" s="478"/>
      <c r="CR15" s="478"/>
      <c r="CS15" s="478"/>
      <c r="CT15" s="477"/>
      <c r="CU15" s="478"/>
      <c r="CV15" s="478"/>
      <c r="CW15" s="478"/>
      <c r="CX15" s="478"/>
      <c r="CY15" s="477"/>
      <c r="CZ15" s="478"/>
      <c r="DA15" s="478"/>
      <c r="DB15" s="478"/>
      <c r="DC15" s="478"/>
      <c r="DD15" s="477"/>
      <c r="DE15" s="478"/>
      <c r="DF15" s="478"/>
      <c r="DG15" s="478"/>
      <c r="DH15" s="478"/>
      <c r="DI15" s="477"/>
      <c r="DJ15" s="478"/>
      <c r="DK15" s="478"/>
      <c r="DL15" s="478"/>
      <c r="DM15" s="478"/>
      <c r="DN15" s="477"/>
      <c r="DO15" s="478"/>
      <c r="DP15" s="478"/>
      <c r="DQ15" s="478"/>
      <c r="DR15" s="478"/>
      <c r="DS15" s="477"/>
      <c r="DT15" s="478"/>
      <c r="DU15" s="478"/>
      <c r="DV15" s="478"/>
      <c r="DW15" s="478"/>
      <c r="DX15" s="477"/>
      <c r="DY15" s="478"/>
      <c r="DZ15" s="478"/>
      <c r="EA15" s="478"/>
      <c r="EB15" s="478"/>
      <c r="EC15" s="477"/>
      <c r="ED15" s="478"/>
      <c r="EE15" s="478"/>
      <c r="EF15" s="478"/>
      <c r="EG15" s="478"/>
      <c r="EH15" s="477"/>
      <c r="EI15" s="478"/>
      <c r="EJ15" s="478"/>
      <c r="EK15" s="478"/>
      <c r="EL15" s="478"/>
      <c r="EM15" s="477"/>
      <c r="EN15" s="478"/>
      <c r="EO15" s="478"/>
      <c r="EP15" s="478"/>
      <c r="EQ15" s="478"/>
      <c r="ER15" s="477"/>
      <c r="ES15" s="478"/>
      <c r="ET15" s="478"/>
      <c r="EU15" s="478"/>
      <c r="EV15" s="478"/>
      <c r="EW15" s="477"/>
      <c r="EX15" s="478"/>
      <c r="EY15" s="478"/>
      <c r="EZ15" s="478"/>
      <c r="FA15" s="478"/>
      <c r="FB15" s="477"/>
      <c r="FC15" s="478"/>
      <c r="FD15" s="478"/>
      <c r="FE15" s="478"/>
      <c r="FF15" s="478"/>
      <c r="FG15" s="477"/>
      <c r="FH15" s="478"/>
      <c r="FI15" s="478"/>
      <c r="FJ15" s="478"/>
      <c r="FK15" s="478"/>
      <c r="FL15" s="477"/>
      <c r="FM15" s="478"/>
      <c r="FN15" s="478"/>
      <c r="FO15" s="478"/>
      <c r="FP15" s="478"/>
      <c r="FQ15" s="477"/>
      <c r="FR15" s="478"/>
      <c r="FS15" s="478"/>
      <c r="FT15" s="478"/>
      <c r="FU15" s="478"/>
      <c r="FV15" s="477"/>
      <c r="FW15" s="478"/>
      <c r="FX15" s="478"/>
      <c r="FY15" s="478"/>
      <c r="FZ15" s="478"/>
      <c r="GA15" s="477"/>
      <c r="GB15" s="478"/>
      <c r="GC15" s="478"/>
      <c r="GD15" s="478"/>
      <c r="GE15" s="478"/>
      <c r="GF15" s="477"/>
      <c r="GG15" s="478"/>
      <c r="GH15" s="478"/>
      <c r="GI15" s="478"/>
      <c r="GJ15" s="478"/>
      <c r="GK15" s="477"/>
      <c r="GL15" s="478"/>
      <c r="GM15" s="478"/>
      <c r="GN15" s="478"/>
      <c r="GO15" s="478"/>
      <c r="GP15" s="477"/>
      <c r="GQ15" s="478"/>
      <c r="GR15" s="478"/>
      <c r="GS15" s="478"/>
      <c r="GT15" s="478"/>
      <c r="GU15" s="477"/>
      <c r="GV15" s="478"/>
      <c r="GW15" s="478"/>
      <c r="GX15" s="478"/>
      <c r="GY15" s="478"/>
      <c r="GZ15" s="477"/>
      <c r="HA15" s="478"/>
      <c r="HB15" s="478"/>
      <c r="HC15" s="478"/>
      <c r="HD15" s="478"/>
      <c r="HE15" s="477"/>
      <c r="HF15" s="478"/>
      <c r="HG15" s="478"/>
      <c r="HH15" s="478"/>
      <c r="HI15" s="478"/>
      <c r="HJ15" s="477"/>
      <c r="HK15" s="478"/>
      <c r="HL15" s="478"/>
      <c r="HM15" s="478"/>
      <c r="HN15" s="478"/>
      <c r="HO15" s="477"/>
      <c r="HP15" s="478"/>
      <c r="HQ15" s="478"/>
      <c r="HR15" s="478"/>
      <c r="HS15" s="478"/>
      <c r="HT15" s="477"/>
      <c r="HU15" s="478"/>
      <c r="HV15" s="478"/>
      <c r="HW15" s="478"/>
      <c r="HX15" s="478"/>
      <c r="HY15" s="477"/>
      <c r="HZ15" s="478"/>
      <c r="IA15" s="478"/>
      <c r="IB15" s="478"/>
      <c r="IC15" s="478"/>
      <c r="ID15" s="477"/>
      <c r="IE15" s="478"/>
      <c r="IF15" s="478"/>
      <c r="IG15" s="478"/>
      <c r="IH15" s="478"/>
      <c r="II15" s="477"/>
      <c r="IJ15" s="478"/>
      <c r="IK15" s="478"/>
      <c r="IL15" s="478"/>
      <c r="IM15" s="478"/>
      <c r="IN15" s="477"/>
      <c r="IO15" s="478"/>
      <c r="IP15" s="478"/>
      <c r="IQ15" s="478"/>
      <c r="IR15" s="478"/>
      <c r="IS15" s="477"/>
      <c r="IT15" s="478"/>
      <c r="IU15" s="478"/>
      <c r="IV15" s="478"/>
      <c r="IW15" s="478"/>
      <c r="IX15" s="477"/>
      <c r="IY15" s="478"/>
      <c r="IZ15" s="478"/>
      <c r="JA15" s="478"/>
      <c r="JB15" s="478"/>
      <c r="JC15" s="477"/>
      <c r="JD15" s="478"/>
      <c r="JE15" s="478"/>
      <c r="JF15" s="478"/>
      <c r="JG15" s="478"/>
      <c r="JH15" s="477"/>
      <c r="JI15" s="478"/>
      <c r="JJ15" s="478"/>
      <c r="JK15" s="478"/>
      <c r="JL15" s="478"/>
      <c r="JM15" s="477"/>
      <c r="JN15" s="478"/>
      <c r="JO15" s="478"/>
      <c r="JP15" s="478"/>
      <c r="JQ15" s="482"/>
    </row>
    <row r="16" spans="2:277">
      <c r="B16" s="543" t="str">
        <f>MASTER!B7</f>
        <v>Preliminary Sizing</v>
      </c>
      <c r="C16" s="543"/>
      <c r="D16" s="424" t="s">
        <v>123</v>
      </c>
      <c r="E16" s="434">
        <f>MASTER!C7/REPORT!$H$36</f>
        <v>5.1428571428571432</v>
      </c>
      <c r="F16" s="434">
        <f t="shared" si="573"/>
        <v>2</v>
      </c>
      <c r="H16" s="434">
        <f>GANTT_D!H14</f>
        <v>2</v>
      </c>
      <c r="I16" s="434">
        <f>GANTT_D!I14</f>
        <v>6</v>
      </c>
      <c r="J16" s="468">
        <f>GANTT_D!J14</f>
        <v>1</v>
      </c>
      <c r="K16" s="468">
        <f>GANTT_D!K14</f>
        <v>2</v>
      </c>
      <c r="L16" s="424"/>
      <c r="M16" s="477"/>
      <c r="N16" s="478"/>
      <c r="O16" s="478"/>
      <c r="P16" s="478"/>
      <c r="Q16" s="478"/>
      <c r="R16" s="477"/>
      <c r="S16" s="478"/>
      <c r="T16" s="478"/>
      <c r="U16" s="478"/>
      <c r="V16" s="478"/>
      <c r="W16" s="477"/>
      <c r="X16" s="478"/>
      <c r="Y16" s="478"/>
      <c r="Z16" s="478"/>
      <c r="AA16" s="478"/>
      <c r="AB16" s="477"/>
      <c r="AC16" s="478"/>
      <c r="AD16" s="478"/>
      <c r="AE16" s="478"/>
      <c r="AF16" s="478"/>
      <c r="AG16" s="477"/>
      <c r="AH16" s="478"/>
      <c r="AI16" s="478"/>
      <c r="AJ16" s="478"/>
      <c r="AK16" s="478"/>
      <c r="AL16" s="477"/>
      <c r="AM16" s="478"/>
      <c r="AN16" s="478"/>
      <c r="AO16" s="478"/>
      <c r="AP16" s="478"/>
      <c r="AQ16" s="477"/>
      <c r="AR16" s="478"/>
      <c r="AS16" s="478"/>
      <c r="AT16" s="478"/>
      <c r="AU16" s="478"/>
      <c r="AV16" s="477"/>
      <c r="AW16" s="478"/>
      <c r="AX16" s="478"/>
      <c r="AY16" s="478"/>
      <c r="AZ16" s="478"/>
      <c r="BA16" s="477"/>
      <c r="BB16" s="478"/>
      <c r="BC16" s="478"/>
      <c r="BD16" s="478"/>
      <c r="BE16" s="478"/>
      <c r="BF16" s="477"/>
      <c r="BG16" s="478"/>
      <c r="BH16" s="478"/>
      <c r="BI16" s="478"/>
      <c r="BJ16" s="478"/>
      <c r="BK16" s="477"/>
      <c r="BL16" s="478"/>
      <c r="BM16" s="478"/>
      <c r="BN16" s="478"/>
      <c r="BO16" s="478"/>
      <c r="BP16" s="477"/>
      <c r="BQ16" s="478"/>
      <c r="BR16" s="478"/>
      <c r="BS16" s="478"/>
      <c r="BT16" s="478"/>
      <c r="BU16" s="477"/>
      <c r="BV16" s="478"/>
      <c r="BW16" s="478"/>
      <c r="BX16" s="478"/>
      <c r="BY16" s="478"/>
      <c r="BZ16" s="477"/>
      <c r="CA16" s="478"/>
      <c r="CB16" s="478"/>
      <c r="CC16" s="478"/>
      <c r="CD16" s="478"/>
      <c r="CE16" s="477"/>
      <c r="CF16" s="478"/>
      <c r="CG16" s="478"/>
      <c r="CH16" s="478"/>
      <c r="CI16" s="478"/>
      <c r="CJ16" s="477"/>
      <c r="CK16" s="478"/>
      <c r="CL16" s="478"/>
      <c r="CM16" s="478"/>
      <c r="CN16" s="478"/>
      <c r="CO16" s="477"/>
      <c r="CP16" s="478"/>
      <c r="CQ16" s="478"/>
      <c r="CR16" s="478"/>
      <c r="CS16" s="478"/>
      <c r="CT16" s="477"/>
      <c r="CU16" s="478"/>
      <c r="CV16" s="478"/>
      <c r="CW16" s="478"/>
      <c r="CX16" s="478"/>
      <c r="CY16" s="477"/>
      <c r="CZ16" s="478"/>
      <c r="DA16" s="478"/>
      <c r="DB16" s="478"/>
      <c r="DC16" s="478"/>
      <c r="DD16" s="477"/>
      <c r="DE16" s="478"/>
      <c r="DF16" s="478"/>
      <c r="DG16" s="478"/>
      <c r="DH16" s="478"/>
      <c r="DI16" s="477"/>
      <c r="DJ16" s="478"/>
      <c r="DK16" s="478"/>
      <c r="DL16" s="478"/>
      <c r="DM16" s="478"/>
      <c r="DN16" s="477"/>
      <c r="DO16" s="478"/>
      <c r="DP16" s="478"/>
      <c r="DQ16" s="478"/>
      <c r="DR16" s="478"/>
      <c r="DS16" s="477"/>
      <c r="DT16" s="478"/>
      <c r="DU16" s="478"/>
      <c r="DV16" s="478"/>
      <c r="DW16" s="478"/>
      <c r="DX16" s="477"/>
      <c r="DY16" s="478"/>
      <c r="DZ16" s="478"/>
      <c r="EA16" s="478"/>
      <c r="EB16" s="478"/>
      <c r="EC16" s="477"/>
      <c r="ED16" s="478"/>
      <c r="EE16" s="478"/>
      <c r="EF16" s="478"/>
      <c r="EG16" s="478"/>
      <c r="EH16" s="477"/>
      <c r="EI16" s="478"/>
      <c r="EJ16" s="478"/>
      <c r="EK16" s="478"/>
      <c r="EL16" s="478"/>
      <c r="EM16" s="477"/>
      <c r="EN16" s="478"/>
      <c r="EO16" s="478"/>
      <c r="EP16" s="478"/>
      <c r="EQ16" s="478"/>
      <c r="ER16" s="477"/>
      <c r="ES16" s="478"/>
      <c r="ET16" s="478"/>
      <c r="EU16" s="478"/>
      <c r="EV16" s="478"/>
      <c r="EW16" s="477"/>
      <c r="EX16" s="478"/>
      <c r="EY16" s="478"/>
      <c r="EZ16" s="478"/>
      <c r="FA16" s="478"/>
      <c r="FB16" s="477"/>
      <c r="FC16" s="478"/>
      <c r="FD16" s="478"/>
      <c r="FE16" s="478"/>
      <c r="FF16" s="478"/>
      <c r="FG16" s="477"/>
      <c r="FH16" s="478"/>
      <c r="FI16" s="478"/>
      <c r="FJ16" s="478"/>
      <c r="FK16" s="478"/>
      <c r="FL16" s="477"/>
      <c r="FM16" s="478"/>
      <c r="FN16" s="478"/>
      <c r="FO16" s="478"/>
      <c r="FP16" s="478"/>
      <c r="FQ16" s="477"/>
      <c r="FR16" s="478"/>
      <c r="FS16" s="478"/>
      <c r="FT16" s="478"/>
      <c r="FU16" s="478"/>
      <c r="FV16" s="477"/>
      <c r="FW16" s="478"/>
      <c r="FX16" s="478"/>
      <c r="FY16" s="478"/>
      <c r="FZ16" s="478"/>
      <c r="GA16" s="477"/>
      <c r="GB16" s="478"/>
      <c r="GC16" s="478"/>
      <c r="GD16" s="478"/>
      <c r="GE16" s="478"/>
      <c r="GF16" s="477"/>
      <c r="GG16" s="478"/>
      <c r="GH16" s="478"/>
      <c r="GI16" s="478"/>
      <c r="GJ16" s="478"/>
      <c r="GK16" s="477"/>
      <c r="GL16" s="478"/>
      <c r="GM16" s="478"/>
      <c r="GN16" s="478"/>
      <c r="GO16" s="478"/>
      <c r="GP16" s="477"/>
      <c r="GQ16" s="478"/>
      <c r="GR16" s="478"/>
      <c r="GS16" s="478"/>
      <c r="GT16" s="478"/>
      <c r="GU16" s="477"/>
      <c r="GV16" s="478"/>
      <c r="GW16" s="478"/>
      <c r="GX16" s="478"/>
      <c r="GY16" s="478"/>
      <c r="GZ16" s="477"/>
      <c r="HA16" s="478"/>
      <c r="HB16" s="478"/>
      <c r="HC16" s="478"/>
      <c r="HD16" s="478"/>
      <c r="HE16" s="477"/>
      <c r="HF16" s="478"/>
      <c r="HG16" s="478"/>
      <c r="HH16" s="478"/>
      <c r="HI16" s="478"/>
      <c r="HJ16" s="477"/>
      <c r="HK16" s="478"/>
      <c r="HL16" s="478"/>
      <c r="HM16" s="478"/>
      <c r="HN16" s="478"/>
      <c r="HO16" s="477"/>
      <c r="HP16" s="478"/>
      <c r="HQ16" s="478"/>
      <c r="HR16" s="478"/>
      <c r="HS16" s="478"/>
      <c r="HT16" s="477"/>
      <c r="HU16" s="478"/>
      <c r="HV16" s="478"/>
      <c r="HW16" s="478"/>
      <c r="HX16" s="478"/>
      <c r="HY16" s="477"/>
      <c r="HZ16" s="478"/>
      <c r="IA16" s="478"/>
      <c r="IB16" s="478"/>
      <c r="IC16" s="478"/>
      <c r="ID16" s="477"/>
      <c r="IE16" s="478"/>
      <c r="IF16" s="478"/>
      <c r="IG16" s="478"/>
      <c r="IH16" s="478"/>
      <c r="II16" s="477"/>
      <c r="IJ16" s="478"/>
      <c r="IK16" s="478"/>
      <c r="IL16" s="478"/>
      <c r="IM16" s="478"/>
      <c r="IN16" s="477"/>
      <c r="IO16" s="478"/>
      <c r="IP16" s="478"/>
      <c r="IQ16" s="478"/>
      <c r="IR16" s="478"/>
      <c r="IS16" s="477"/>
      <c r="IT16" s="478"/>
      <c r="IU16" s="478"/>
      <c r="IV16" s="478"/>
      <c r="IW16" s="478"/>
      <c r="IX16" s="477"/>
      <c r="IY16" s="478"/>
      <c r="IZ16" s="478"/>
      <c r="JA16" s="478"/>
      <c r="JB16" s="478"/>
      <c r="JC16" s="477"/>
      <c r="JD16" s="478"/>
      <c r="JE16" s="478"/>
      <c r="JF16" s="478"/>
      <c r="JG16" s="478"/>
      <c r="JH16" s="477"/>
      <c r="JI16" s="478"/>
      <c r="JJ16" s="478"/>
      <c r="JK16" s="478"/>
      <c r="JL16" s="478"/>
      <c r="JM16" s="477"/>
      <c r="JN16" s="478"/>
      <c r="JO16" s="478"/>
      <c r="JP16" s="478"/>
      <c r="JQ16" s="482"/>
    </row>
    <row r="17" spans="2:277">
      <c r="B17" s="544" t="str">
        <f>MASTER!B8</f>
        <v>Seal Chamber Drawing</v>
      </c>
      <c r="C17" s="544"/>
      <c r="D17" s="473" t="s">
        <v>122</v>
      </c>
      <c r="E17" s="465">
        <f>MASTER!C8/REPORT!$H$36</f>
        <v>0.5714285714285714</v>
      </c>
      <c r="F17" s="465">
        <f t="shared" si="573"/>
        <v>1</v>
      </c>
      <c r="H17" s="434">
        <f>GANTT_D!H15</f>
        <v>7</v>
      </c>
      <c r="I17" s="434">
        <f>GANTT_D!I15</f>
        <v>7</v>
      </c>
      <c r="J17" s="468">
        <f>GANTT_D!J15</f>
        <v>2</v>
      </c>
      <c r="K17" s="468">
        <f>GANTT_D!K15</f>
        <v>2</v>
      </c>
      <c r="L17" s="424"/>
      <c r="M17" s="477"/>
      <c r="N17" s="478"/>
      <c r="O17" s="478"/>
      <c r="P17" s="478"/>
      <c r="Q17" s="478"/>
      <c r="R17" s="477"/>
      <c r="S17" s="478"/>
      <c r="T17" s="478"/>
      <c r="U17" s="478"/>
      <c r="V17" s="478"/>
      <c r="W17" s="477"/>
      <c r="X17" s="478"/>
      <c r="Y17" s="478"/>
      <c r="Z17" s="478"/>
      <c r="AA17" s="478"/>
      <c r="AB17" s="477"/>
      <c r="AC17" s="478"/>
      <c r="AD17" s="478"/>
      <c r="AE17" s="478"/>
      <c r="AF17" s="478"/>
      <c r="AG17" s="477"/>
      <c r="AH17" s="478"/>
      <c r="AI17" s="478"/>
      <c r="AJ17" s="478"/>
      <c r="AK17" s="478"/>
      <c r="AL17" s="477"/>
      <c r="AM17" s="478"/>
      <c r="AN17" s="478"/>
      <c r="AO17" s="478"/>
      <c r="AP17" s="478"/>
      <c r="AQ17" s="477"/>
      <c r="AR17" s="478"/>
      <c r="AS17" s="478"/>
      <c r="AT17" s="478"/>
      <c r="AU17" s="478"/>
      <c r="AV17" s="477"/>
      <c r="AW17" s="478"/>
      <c r="AX17" s="478"/>
      <c r="AY17" s="478"/>
      <c r="AZ17" s="478"/>
      <c r="BA17" s="477"/>
      <c r="BB17" s="478"/>
      <c r="BC17" s="478"/>
      <c r="BD17" s="478"/>
      <c r="BE17" s="478"/>
      <c r="BF17" s="477"/>
      <c r="BG17" s="478"/>
      <c r="BH17" s="478"/>
      <c r="BI17" s="478"/>
      <c r="BJ17" s="478"/>
      <c r="BK17" s="477"/>
      <c r="BL17" s="478"/>
      <c r="BM17" s="478"/>
      <c r="BN17" s="478"/>
      <c r="BO17" s="478"/>
      <c r="BP17" s="477"/>
      <c r="BQ17" s="478"/>
      <c r="BR17" s="478"/>
      <c r="BS17" s="478"/>
      <c r="BT17" s="478"/>
      <c r="BU17" s="477"/>
      <c r="BV17" s="478"/>
      <c r="BW17" s="478"/>
      <c r="BX17" s="478"/>
      <c r="BY17" s="478"/>
      <c r="BZ17" s="477"/>
      <c r="CA17" s="478"/>
      <c r="CB17" s="478"/>
      <c r="CC17" s="478"/>
      <c r="CD17" s="478"/>
      <c r="CE17" s="477"/>
      <c r="CF17" s="478"/>
      <c r="CG17" s="478"/>
      <c r="CH17" s="478"/>
      <c r="CI17" s="478"/>
      <c r="CJ17" s="477"/>
      <c r="CK17" s="478"/>
      <c r="CL17" s="478"/>
      <c r="CM17" s="478"/>
      <c r="CN17" s="478"/>
      <c r="CO17" s="477"/>
      <c r="CP17" s="478"/>
      <c r="CQ17" s="478"/>
      <c r="CR17" s="478"/>
      <c r="CS17" s="478"/>
      <c r="CT17" s="477"/>
      <c r="CU17" s="478"/>
      <c r="CV17" s="478"/>
      <c r="CW17" s="478"/>
      <c r="CX17" s="478"/>
      <c r="CY17" s="477"/>
      <c r="CZ17" s="478"/>
      <c r="DA17" s="478"/>
      <c r="DB17" s="478"/>
      <c r="DC17" s="478"/>
      <c r="DD17" s="477"/>
      <c r="DE17" s="478"/>
      <c r="DF17" s="478"/>
      <c r="DG17" s="478"/>
      <c r="DH17" s="478"/>
      <c r="DI17" s="477"/>
      <c r="DJ17" s="478"/>
      <c r="DK17" s="478"/>
      <c r="DL17" s="478"/>
      <c r="DM17" s="478"/>
      <c r="DN17" s="477"/>
      <c r="DO17" s="478"/>
      <c r="DP17" s="478"/>
      <c r="DQ17" s="478"/>
      <c r="DR17" s="478"/>
      <c r="DS17" s="477"/>
      <c r="DT17" s="478"/>
      <c r="DU17" s="478"/>
      <c r="DV17" s="478"/>
      <c r="DW17" s="478"/>
      <c r="DX17" s="477"/>
      <c r="DY17" s="478"/>
      <c r="DZ17" s="478"/>
      <c r="EA17" s="478"/>
      <c r="EB17" s="478"/>
      <c r="EC17" s="477"/>
      <c r="ED17" s="478"/>
      <c r="EE17" s="478"/>
      <c r="EF17" s="478"/>
      <c r="EG17" s="478"/>
      <c r="EH17" s="477"/>
      <c r="EI17" s="478"/>
      <c r="EJ17" s="478"/>
      <c r="EK17" s="478"/>
      <c r="EL17" s="478"/>
      <c r="EM17" s="477"/>
      <c r="EN17" s="478"/>
      <c r="EO17" s="478"/>
      <c r="EP17" s="478"/>
      <c r="EQ17" s="478"/>
      <c r="ER17" s="477"/>
      <c r="ES17" s="478"/>
      <c r="ET17" s="478"/>
      <c r="EU17" s="478"/>
      <c r="EV17" s="478"/>
      <c r="EW17" s="477"/>
      <c r="EX17" s="478"/>
      <c r="EY17" s="478"/>
      <c r="EZ17" s="478"/>
      <c r="FA17" s="478"/>
      <c r="FB17" s="477"/>
      <c r="FC17" s="478"/>
      <c r="FD17" s="478"/>
      <c r="FE17" s="478"/>
      <c r="FF17" s="478"/>
      <c r="FG17" s="477"/>
      <c r="FH17" s="478"/>
      <c r="FI17" s="478"/>
      <c r="FJ17" s="478"/>
      <c r="FK17" s="478"/>
      <c r="FL17" s="477"/>
      <c r="FM17" s="478"/>
      <c r="FN17" s="478"/>
      <c r="FO17" s="478"/>
      <c r="FP17" s="478"/>
      <c r="FQ17" s="477"/>
      <c r="FR17" s="478"/>
      <c r="FS17" s="478"/>
      <c r="FT17" s="478"/>
      <c r="FU17" s="478"/>
      <c r="FV17" s="477"/>
      <c r="FW17" s="478"/>
      <c r="FX17" s="478"/>
      <c r="FY17" s="478"/>
      <c r="FZ17" s="478"/>
      <c r="GA17" s="477"/>
      <c r="GB17" s="478"/>
      <c r="GC17" s="478"/>
      <c r="GD17" s="478"/>
      <c r="GE17" s="478"/>
      <c r="GF17" s="477"/>
      <c r="GG17" s="478"/>
      <c r="GH17" s="478"/>
      <c r="GI17" s="478"/>
      <c r="GJ17" s="478"/>
      <c r="GK17" s="477"/>
      <c r="GL17" s="478"/>
      <c r="GM17" s="478"/>
      <c r="GN17" s="478"/>
      <c r="GO17" s="478"/>
      <c r="GP17" s="477"/>
      <c r="GQ17" s="478"/>
      <c r="GR17" s="478"/>
      <c r="GS17" s="478"/>
      <c r="GT17" s="478"/>
      <c r="GU17" s="477"/>
      <c r="GV17" s="478"/>
      <c r="GW17" s="478"/>
      <c r="GX17" s="478"/>
      <c r="GY17" s="478"/>
      <c r="GZ17" s="477"/>
      <c r="HA17" s="478"/>
      <c r="HB17" s="478"/>
      <c r="HC17" s="478"/>
      <c r="HD17" s="478"/>
      <c r="HE17" s="477"/>
      <c r="HF17" s="478"/>
      <c r="HG17" s="478"/>
      <c r="HH17" s="478"/>
      <c r="HI17" s="478"/>
      <c r="HJ17" s="477"/>
      <c r="HK17" s="478"/>
      <c r="HL17" s="478"/>
      <c r="HM17" s="478"/>
      <c r="HN17" s="478"/>
      <c r="HO17" s="477"/>
      <c r="HP17" s="478"/>
      <c r="HQ17" s="478"/>
      <c r="HR17" s="478"/>
      <c r="HS17" s="478"/>
      <c r="HT17" s="477"/>
      <c r="HU17" s="478"/>
      <c r="HV17" s="478"/>
      <c r="HW17" s="478"/>
      <c r="HX17" s="478"/>
      <c r="HY17" s="477"/>
      <c r="HZ17" s="478"/>
      <c r="IA17" s="478"/>
      <c r="IB17" s="478"/>
      <c r="IC17" s="478"/>
      <c r="ID17" s="477"/>
      <c r="IE17" s="478"/>
      <c r="IF17" s="478"/>
      <c r="IG17" s="478"/>
      <c r="IH17" s="478"/>
      <c r="II17" s="477"/>
      <c r="IJ17" s="478"/>
      <c r="IK17" s="478"/>
      <c r="IL17" s="478"/>
      <c r="IM17" s="478"/>
      <c r="IN17" s="477"/>
      <c r="IO17" s="478"/>
      <c r="IP17" s="478"/>
      <c r="IQ17" s="478"/>
      <c r="IR17" s="478"/>
      <c r="IS17" s="477"/>
      <c r="IT17" s="478"/>
      <c r="IU17" s="478"/>
      <c r="IV17" s="478"/>
      <c r="IW17" s="478"/>
      <c r="IX17" s="477"/>
      <c r="IY17" s="478"/>
      <c r="IZ17" s="478"/>
      <c r="JA17" s="478"/>
      <c r="JB17" s="478"/>
      <c r="JC17" s="477"/>
      <c r="JD17" s="478"/>
      <c r="JE17" s="478"/>
      <c r="JF17" s="478"/>
      <c r="JG17" s="478"/>
      <c r="JH17" s="477"/>
      <c r="JI17" s="478"/>
      <c r="JJ17" s="478"/>
      <c r="JK17" s="478"/>
      <c r="JL17" s="478"/>
      <c r="JM17" s="477"/>
      <c r="JN17" s="478"/>
      <c r="JO17" s="478"/>
      <c r="JP17" s="478"/>
      <c r="JQ17" s="482"/>
    </row>
    <row r="18" spans="2:277">
      <c r="B18" s="543" t="str">
        <f>MASTER!B9</f>
        <v>dummy GAD</v>
      </c>
      <c r="C18" s="543"/>
      <c r="D18" s="424" t="s">
        <v>122</v>
      </c>
      <c r="E18" s="434">
        <f>MASTER!C9/REPORT!$H$36</f>
        <v>1.1428571428571428</v>
      </c>
      <c r="F18" s="434">
        <f t="shared" si="573"/>
        <v>1</v>
      </c>
      <c r="H18" s="434">
        <f>GANTT_D!H16</f>
        <v>8</v>
      </c>
      <c r="I18" s="434">
        <f>GANTT_D!I16</f>
        <v>8</v>
      </c>
      <c r="J18" s="468">
        <f>GANTT_D!J16</f>
        <v>2</v>
      </c>
      <c r="K18" s="468">
        <f>GANTT_D!K16</f>
        <v>2</v>
      </c>
      <c r="L18" s="424"/>
      <c r="M18" s="477"/>
      <c r="N18" s="478"/>
      <c r="O18" s="478"/>
      <c r="P18" s="478"/>
      <c r="Q18" s="478"/>
      <c r="R18" s="477"/>
      <c r="S18" s="478"/>
      <c r="T18" s="478"/>
      <c r="U18" s="478"/>
      <c r="V18" s="478"/>
      <c r="W18" s="477"/>
      <c r="X18" s="478"/>
      <c r="Y18" s="478"/>
      <c r="Z18" s="478"/>
      <c r="AA18" s="478"/>
      <c r="AB18" s="477"/>
      <c r="AC18" s="478"/>
      <c r="AD18" s="478"/>
      <c r="AE18" s="478"/>
      <c r="AF18" s="478"/>
      <c r="AG18" s="477"/>
      <c r="AH18" s="478"/>
      <c r="AI18" s="478"/>
      <c r="AJ18" s="478"/>
      <c r="AK18" s="478"/>
      <c r="AL18" s="477"/>
      <c r="AM18" s="478"/>
      <c r="AN18" s="478"/>
      <c r="AO18" s="478"/>
      <c r="AP18" s="478"/>
      <c r="AQ18" s="477"/>
      <c r="AR18" s="478"/>
      <c r="AS18" s="478"/>
      <c r="AT18" s="478"/>
      <c r="AU18" s="478"/>
      <c r="AV18" s="477"/>
      <c r="AW18" s="478"/>
      <c r="AX18" s="478"/>
      <c r="AY18" s="478"/>
      <c r="AZ18" s="478"/>
      <c r="BA18" s="477"/>
      <c r="BB18" s="478"/>
      <c r="BC18" s="478"/>
      <c r="BD18" s="478"/>
      <c r="BE18" s="478"/>
      <c r="BF18" s="477"/>
      <c r="BG18" s="478"/>
      <c r="BH18" s="478"/>
      <c r="BI18" s="478"/>
      <c r="BJ18" s="478"/>
      <c r="BK18" s="477"/>
      <c r="BL18" s="478"/>
      <c r="BM18" s="478"/>
      <c r="BN18" s="478"/>
      <c r="BO18" s="478"/>
      <c r="BP18" s="477"/>
      <c r="BQ18" s="478"/>
      <c r="BR18" s="478"/>
      <c r="BS18" s="478"/>
      <c r="BT18" s="478"/>
      <c r="BU18" s="477"/>
      <c r="BV18" s="478"/>
      <c r="BW18" s="478"/>
      <c r="BX18" s="478"/>
      <c r="BY18" s="478"/>
      <c r="BZ18" s="477"/>
      <c r="CA18" s="478"/>
      <c r="CB18" s="478"/>
      <c r="CC18" s="478"/>
      <c r="CD18" s="478"/>
      <c r="CE18" s="477"/>
      <c r="CF18" s="478"/>
      <c r="CG18" s="478"/>
      <c r="CH18" s="478"/>
      <c r="CI18" s="478"/>
      <c r="CJ18" s="477"/>
      <c r="CK18" s="478"/>
      <c r="CL18" s="478"/>
      <c r="CM18" s="478"/>
      <c r="CN18" s="478"/>
      <c r="CO18" s="477"/>
      <c r="CP18" s="478"/>
      <c r="CQ18" s="478"/>
      <c r="CR18" s="478"/>
      <c r="CS18" s="478"/>
      <c r="CT18" s="477"/>
      <c r="CU18" s="478"/>
      <c r="CV18" s="478"/>
      <c r="CW18" s="478"/>
      <c r="CX18" s="478"/>
      <c r="CY18" s="477"/>
      <c r="CZ18" s="478"/>
      <c r="DA18" s="478"/>
      <c r="DB18" s="478"/>
      <c r="DC18" s="478"/>
      <c r="DD18" s="477"/>
      <c r="DE18" s="478"/>
      <c r="DF18" s="478"/>
      <c r="DG18" s="478"/>
      <c r="DH18" s="478"/>
      <c r="DI18" s="477"/>
      <c r="DJ18" s="478"/>
      <c r="DK18" s="478"/>
      <c r="DL18" s="478"/>
      <c r="DM18" s="478"/>
      <c r="DN18" s="477"/>
      <c r="DO18" s="478"/>
      <c r="DP18" s="478"/>
      <c r="DQ18" s="478"/>
      <c r="DR18" s="478"/>
      <c r="DS18" s="477"/>
      <c r="DT18" s="478"/>
      <c r="DU18" s="478"/>
      <c r="DV18" s="478"/>
      <c r="DW18" s="478"/>
      <c r="DX18" s="477"/>
      <c r="DY18" s="478"/>
      <c r="DZ18" s="478"/>
      <c r="EA18" s="478"/>
      <c r="EB18" s="478"/>
      <c r="EC18" s="477"/>
      <c r="ED18" s="478"/>
      <c r="EE18" s="478"/>
      <c r="EF18" s="478"/>
      <c r="EG18" s="478"/>
      <c r="EH18" s="477"/>
      <c r="EI18" s="478"/>
      <c r="EJ18" s="478"/>
      <c r="EK18" s="478"/>
      <c r="EL18" s="478"/>
      <c r="EM18" s="477"/>
      <c r="EN18" s="478"/>
      <c r="EO18" s="478"/>
      <c r="EP18" s="478"/>
      <c r="EQ18" s="478"/>
      <c r="ER18" s="477"/>
      <c r="ES18" s="478"/>
      <c r="ET18" s="478"/>
      <c r="EU18" s="478"/>
      <c r="EV18" s="478"/>
      <c r="EW18" s="477"/>
      <c r="EX18" s="478"/>
      <c r="EY18" s="478"/>
      <c r="EZ18" s="478"/>
      <c r="FA18" s="478"/>
      <c r="FB18" s="477"/>
      <c r="FC18" s="478"/>
      <c r="FD18" s="478"/>
      <c r="FE18" s="478"/>
      <c r="FF18" s="478"/>
      <c r="FG18" s="477"/>
      <c r="FH18" s="478"/>
      <c r="FI18" s="478"/>
      <c r="FJ18" s="478"/>
      <c r="FK18" s="478"/>
      <c r="FL18" s="477"/>
      <c r="FM18" s="478"/>
      <c r="FN18" s="478"/>
      <c r="FO18" s="478"/>
      <c r="FP18" s="478"/>
      <c r="FQ18" s="477"/>
      <c r="FR18" s="478"/>
      <c r="FS18" s="478"/>
      <c r="FT18" s="478"/>
      <c r="FU18" s="478"/>
      <c r="FV18" s="477"/>
      <c r="FW18" s="478"/>
      <c r="FX18" s="478"/>
      <c r="FY18" s="478"/>
      <c r="FZ18" s="478"/>
      <c r="GA18" s="477"/>
      <c r="GB18" s="478"/>
      <c r="GC18" s="478"/>
      <c r="GD18" s="478"/>
      <c r="GE18" s="478"/>
      <c r="GF18" s="477"/>
      <c r="GG18" s="478"/>
      <c r="GH18" s="478"/>
      <c r="GI18" s="478"/>
      <c r="GJ18" s="478"/>
      <c r="GK18" s="477"/>
      <c r="GL18" s="478"/>
      <c r="GM18" s="478"/>
      <c r="GN18" s="478"/>
      <c r="GO18" s="478"/>
      <c r="GP18" s="477"/>
      <c r="GQ18" s="478"/>
      <c r="GR18" s="478"/>
      <c r="GS18" s="478"/>
      <c r="GT18" s="478"/>
      <c r="GU18" s="477"/>
      <c r="GV18" s="478"/>
      <c r="GW18" s="478"/>
      <c r="GX18" s="478"/>
      <c r="GY18" s="478"/>
      <c r="GZ18" s="477"/>
      <c r="HA18" s="478"/>
      <c r="HB18" s="478"/>
      <c r="HC18" s="478"/>
      <c r="HD18" s="478"/>
      <c r="HE18" s="477"/>
      <c r="HF18" s="478"/>
      <c r="HG18" s="478"/>
      <c r="HH18" s="478"/>
      <c r="HI18" s="478"/>
      <c r="HJ18" s="477"/>
      <c r="HK18" s="478"/>
      <c r="HL18" s="478"/>
      <c r="HM18" s="478"/>
      <c r="HN18" s="478"/>
      <c r="HO18" s="477"/>
      <c r="HP18" s="478"/>
      <c r="HQ18" s="478"/>
      <c r="HR18" s="478"/>
      <c r="HS18" s="478"/>
      <c r="HT18" s="477"/>
      <c r="HU18" s="478"/>
      <c r="HV18" s="478"/>
      <c r="HW18" s="478"/>
      <c r="HX18" s="478"/>
      <c r="HY18" s="477"/>
      <c r="HZ18" s="478"/>
      <c r="IA18" s="478"/>
      <c r="IB18" s="478"/>
      <c r="IC18" s="478"/>
      <c r="ID18" s="477"/>
      <c r="IE18" s="478"/>
      <c r="IF18" s="478"/>
      <c r="IG18" s="478"/>
      <c r="IH18" s="478"/>
      <c r="II18" s="477"/>
      <c r="IJ18" s="478"/>
      <c r="IK18" s="478"/>
      <c r="IL18" s="478"/>
      <c r="IM18" s="478"/>
      <c r="IN18" s="477"/>
      <c r="IO18" s="478"/>
      <c r="IP18" s="478"/>
      <c r="IQ18" s="478"/>
      <c r="IR18" s="478"/>
      <c r="IS18" s="477"/>
      <c r="IT18" s="478"/>
      <c r="IU18" s="478"/>
      <c r="IV18" s="478"/>
      <c r="IW18" s="478"/>
      <c r="IX18" s="477"/>
      <c r="IY18" s="478"/>
      <c r="IZ18" s="478"/>
      <c r="JA18" s="478"/>
      <c r="JB18" s="478"/>
      <c r="JC18" s="477"/>
      <c r="JD18" s="478"/>
      <c r="JE18" s="478"/>
      <c r="JF18" s="478"/>
      <c r="JG18" s="478"/>
      <c r="JH18" s="477"/>
      <c r="JI18" s="478"/>
      <c r="JJ18" s="478"/>
      <c r="JK18" s="478"/>
      <c r="JL18" s="478"/>
      <c r="JM18" s="477"/>
      <c r="JN18" s="478"/>
      <c r="JO18" s="478"/>
      <c r="JP18" s="478"/>
      <c r="JQ18" s="482"/>
    </row>
    <row r="19" spans="2:277">
      <c r="B19" s="544" t="str">
        <f>MASTER!B10</f>
        <v>Fluid Dynamics Analysis</v>
      </c>
      <c r="C19" s="544"/>
      <c r="D19" s="473" t="s">
        <v>365</v>
      </c>
      <c r="E19" s="465">
        <f>MASTER!C10/REPORT!$H$36</f>
        <v>0</v>
      </c>
      <c r="F19" s="465" t="str">
        <f t="shared" si="573"/>
        <v/>
      </c>
      <c r="H19" s="434" t="str">
        <f>GANTT_D!H17</f>
        <v/>
      </c>
      <c r="I19" s="434" t="str">
        <f>GANTT_D!I17</f>
        <v/>
      </c>
      <c r="J19" s="468" t="str">
        <f>GANTT_D!J17</f>
        <v/>
      </c>
      <c r="K19" s="468" t="str">
        <f>GANTT_D!K17</f>
        <v/>
      </c>
      <c r="L19" s="424"/>
      <c r="M19" s="477"/>
      <c r="N19" s="478"/>
      <c r="O19" s="478"/>
      <c r="P19" s="478"/>
      <c r="Q19" s="478"/>
      <c r="R19" s="477"/>
      <c r="S19" s="478"/>
      <c r="T19" s="478"/>
      <c r="U19" s="478"/>
      <c r="V19" s="478"/>
      <c r="W19" s="477"/>
      <c r="X19" s="478"/>
      <c r="Y19" s="478"/>
      <c r="Z19" s="478"/>
      <c r="AA19" s="478"/>
      <c r="AB19" s="477"/>
      <c r="AC19" s="478"/>
      <c r="AD19" s="478"/>
      <c r="AE19" s="478"/>
      <c r="AF19" s="478"/>
      <c r="AG19" s="477"/>
      <c r="AH19" s="478"/>
      <c r="AI19" s="478"/>
      <c r="AJ19" s="478"/>
      <c r="AK19" s="478"/>
      <c r="AL19" s="477"/>
      <c r="AM19" s="478"/>
      <c r="AN19" s="478"/>
      <c r="AO19" s="478"/>
      <c r="AP19" s="478"/>
      <c r="AQ19" s="477"/>
      <c r="AR19" s="478"/>
      <c r="AS19" s="478"/>
      <c r="AT19" s="478"/>
      <c r="AU19" s="478"/>
      <c r="AV19" s="477"/>
      <c r="AW19" s="478"/>
      <c r="AX19" s="478"/>
      <c r="AY19" s="478"/>
      <c r="AZ19" s="478"/>
      <c r="BA19" s="477"/>
      <c r="BB19" s="478"/>
      <c r="BC19" s="478"/>
      <c r="BD19" s="478"/>
      <c r="BE19" s="478"/>
      <c r="BF19" s="477"/>
      <c r="BG19" s="478"/>
      <c r="BH19" s="478"/>
      <c r="BI19" s="478"/>
      <c r="BJ19" s="478"/>
      <c r="BK19" s="477"/>
      <c r="BL19" s="478"/>
      <c r="BM19" s="478"/>
      <c r="BN19" s="478"/>
      <c r="BO19" s="478"/>
      <c r="BP19" s="477"/>
      <c r="BQ19" s="478"/>
      <c r="BR19" s="478"/>
      <c r="BS19" s="478"/>
      <c r="BT19" s="478"/>
      <c r="BU19" s="477"/>
      <c r="BV19" s="478"/>
      <c r="BW19" s="478"/>
      <c r="BX19" s="478"/>
      <c r="BY19" s="478"/>
      <c r="BZ19" s="477"/>
      <c r="CA19" s="478"/>
      <c r="CB19" s="478"/>
      <c r="CC19" s="478"/>
      <c r="CD19" s="478"/>
      <c r="CE19" s="477"/>
      <c r="CF19" s="478"/>
      <c r="CG19" s="478"/>
      <c r="CH19" s="478"/>
      <c r="CI19" s="478"/>
      <c r="CJ19" s="477"/>
      <c r="CK19" s="478"/>
      <c r="CL19" s="478"/>
      <c r="CM19" s="478"/>
      <c r="CN19" s="478"/>
      <c r="CO19" s="477"/>
      <c r="CP19" s="478"/>
      <c r="CQ19" s="478"/>
      <c r="CR19" s="478"/>
      <c r="CS19" s="478"/>
      <c r="CT19" s="477"/>
      <c r="CU19" s="478"/>
      <c r="CV19" s="478"/>
      <c r="CW19" s="478"/>
      <c r="CX19" s="478"/>
      <c r="CY19" s="477"/>
      <c r="CZ19" s="478"/>
      <c r="DA19" s="478"/>
      <c r="DB19" s="478"/>
      <c r="DC19" s="478"/>
      <c r="DD19" s="477"/>
      <c r="DE19" s="478"/>
      <c r="DF19" s="478"/>
      <c r="DG19" s="478"/>
      <c r="DH19" s="478"/>
      <c r="DI19" s="477"/>
      <c r="DJ19" s="478"/>
      <c r="DK19" s="478"/>
      <c r="DL19" s="478"/>
      <c r="DM19" s="478"/>
      <c r="DN19" s="477"/>
      <c r="DO19" s="478"/>
      <c r="DP19" s="478"/>
      <c r="DQ19" s="478"/>
      <c r="DR19" s="478"/>
      <c r="DS19" s="477"/>
      <c r="DT19" s="478"/>
      <c r="DU19" s="478"/>
      <c r="DV19" s="478"/>
      <c r="DW19" s="478"/>
      <c r="DX19" s="477"/>
      <c r="DY19" s="478"/>
      <c r="DZ19" s="478"/>
      <c r="EA19" s="478"/>
      <c r="EB19" s="478"/>
      <c r="EC19" s="477"/>
      <c r="ED19" s="478"/>
      <c r="EE19" s="478"/>
      <c r="EF19" s="478"/>
      <c r="EG19" s="478"/>
      <c r="EH19" s="477"/>
      <c r="EI19" s="478"/>
      <c r="EJ19" s="478"/>
      <c r="EK19" s="478"/>
      <c r="EL19" s="478"/>
      <c r="EM19" s="477"/>
      <c r="EN19" s="478"/>
      <c r="EO19" s="478"/>
      <c r="EP19" s="478"/>
      <c r="EQ19" s="478"/>
      <c r="ER19" s="477"/>
      <c r="ES19" s="478"/>
      <c r="ET19" s="478"/>
      <c r="EU19" s="478"/>
      <c r="EV19" s="478"/>
      <c r="EW19" s="477"/>
      <c r="EX19" s="478"/>
      <c r="EY19" s="478"/>
      <c r="EZ19" s="478"/>
      <c r="FA19" s="478"/>
      <c r="FB19" s="477"/>
      <c r="FC19" s="478"/>
      <c r="FD19" s="478"/>
      <c r="FE19" s="478"/>
      <c r="FF19" s="478"/>
      <c r="FG19" s="477"/>
      <c r="FH19" s="478"/>
      <c r="FI19" s="478"/>
      <c r="FJ19" s="478"/>
      <c r="FK19" s="478"/>
      <c r="FL19" s="477"/>
      <c r="FM19" s="478"/>
      <c r="FN19" s="478"/>
      <c r="FO19" s="478"/>
      <c r="FP19" s="478"/>
      <c r="FQ19" s="477"/>
      <c r="FR19" s="478"/>
      <c r="FS19" s="478"/>
      <c r="FT19" s="478"/>
      <c r="FU19" s="478"/>
      <c r="FV19" s="477"/>
      <c r="FW19" s="478"/>
      <c r="FX19" s="478"/>
      <c r="FY19" s="478"/>
      <c r="FZ19" s="478"/>
      <c r="GA19" s="477"/>
      <c r="GB19" s="478"/>
      <c r="GC19" s="478"/>
      <c r="GD19" s="478"/>
      <c r="GE19" s="478"/>
      <c r="GF19" s="477"/>
      <c r="GG19" s="478"/>
      <c r="GH19" s="478"/>
      <c r="GI19" s="478"/>
      <c r="GJ19" s="478"/>
      <c r="GK19" s="477"/>
      <c r="GL19" s="478"/>
      <c r="GM19" s="478"/>
      <c r="GN19" s="478"/>
      <c r="GO19" s="478"/>
      <c r="GP19" s="477"/>
      <c r="GQ19" s="478"/>
      <c r="GR19" s="478"/>
      <c r="GS19" s="478"/>
      <c r="GT19" s="478"/>
      <c r="GU19" s="477"/>
      <c r="GV19" s="478"/>
      <c r="GW19" s="478"/>
      <c r="GX19" s="478"/>
      <c r="GY19" s="478"/>
      <c r="GZ19" s="477"/>
      <c r="HA19" s="478"/>
      <c r="HB19" s="478"/>
      <c r="HC19" s="478"/>
      <c r="HD19" s="478"/>
      <c r="HE19" s="477"/>
      <c r="HF19" s="478"/>
      <c r="HG19" s="478"/>
      <c r="HH19" s="478"/>
      <c r="HI19" s="478"/>
      <c r="HJ19" s="477"/>
      <c r="HK19" s="478"/>
      <c r="HL19" s="478"/>
      <c r="HM19" s="478"/>
      <c r="HN19" s="478"/>
      <c r="HO19" s="477"/>
      <c r="HP19" s="478"/>
      <c r="HQ19" s="478"/>
      <c r="HR19" s="478"/>
      <c r="HS19" s="478"/>
      <c r="HT19" s="477"/>
      <c r="HU19" s="478"/>
      <c r="HV19" s="478"/>
      <c r="HW19" s="478"/>
      <c r="HX19" s="478"/>
      <c r="HY19" s="477"/>
      <c r="HZ19" s="478"/>
      <c r="IA19" s="478"/>
      <c r="IB19" s="478"/>
      <c r="IC19" s="478"/>
      <c r="ID19" s="477"/>
      <c r="IE19" s="478"/>
      <c r="IF19" s="478"/>
      <c r="IG19" s="478"/>
      <c r="IH19" s="478"/>
      <c r="II19" s="477"/>
      <c r="IJ19" s="478"/>
      <c r="IK19" s="478"/>
      <c r="IL19" s="478"/>
      <c r="IM19" s="478"/>
      <c r="IN19" s="477"/>
      <c r="IO19" s="478"/>
      <c r="IP19" s="478"/>
      <c r="IQ19" s="478"/>
      <c r="IR19" s="478"/>
      <c r="IS19" s="477"/>
      <c r="IT19" s="478"/>
      <c r="IU19" s="478"/>
      <c r="IV19" s="478"/>
      <c r="IW19" s="478"/>
      <c r="IX19" s="477"/>
      <c r="IY19" s="478"/>
      <c r="IZ19" s="478"/>
      <c r="JA19" s="478"/>
      <c r="JB19" s="478"/>
      <c r="JC19" s="477"/>
      <c r="JD19" s="478"/>
      <c r="JE19" s="478"/>
      <c r="JF19" s="478"/>
      <c r="JG19" s="478"/>
      <c r="JH19" s="477"/>
      <c r="JI19" s="478"/>
      <c r="JJ19" s="478"/>
      <c r="JK19" s="478"/>
      <c r="JL19" s="478"/>
      <c r="JM19" s="477"/>
      <c r="JN19" s="478"/>
      <c r="JO19" s="478"/>
      <c r="JP19" s="478"/>
      <c r="JQ19" s="482"/>
    </row>
    <row r="20" spans="2:277" ht="15" customHeight="1">
      <c r="B20" s="543" t="str">
        <f>MASTER!B11</f>
        <v>Special Design: Intake/ Piping</v>
      </c>
      <c r="C20" s="543"/>
      <c r="D20" s="424" t="s">
        <v>365</v>
      </c>
      <c r="E20" s="434">
        <f>MASTER!C11/REPORT!$H$36</f>
        <v>0</v>
      </c>
      <c r="F20" s="434" t="str">
        <f t="shared" si="573"/>
        <v/>
      </c>
      <c r="H20" s="434" t="str">
        <f>GANTT_D!H18</f>
        <v/>
      </c>
      <c r="I20" s="434" t="str">
        <f>GANTT_D!I18</f>
        <v/>
      </c>
      <c r="J20" s="468" t="str">
        <f>GANTT_D!J18</f>
        <v/>
      </c>
      <c r="K20" s="468" t="str">
        <f>GANTT_D!K18</f>
        <v/>
      </c>
      <c r="L20" s="424"/>
      <c r="M20" s="477"/>
      <c r="N20" s="478"/>
      <c r="O20" s="478"/>
      <c r="P20" s="478"/>
      <c r="Q20" s="478"/>
      <c r="R20" s="477"/>
      <c r="S20" s="478"/>
      <c r="T20" s="478"/>
      <c r="U20" s="478"/>
      <c r="V20" s="478"/>
      <c r="W20" s="477"/>
      <c r="X20" s="478"/>
      <c r="Y20" s="478"/>
      <c r="Z20" s="478"/>
      <c r="AA20" s="478"/>
      <c r="AB20" s="477"/>
      <c r="AC20" s="478"/>
      <c r="AD20" s="478"/>
      <c r="AE20" s="478"/>
      <c r="AF20" s="478"/>
      <c r="AG20" s="477"/>
      <c r="AH20" s="478"/>
      <c r="AI20" s="478"/>
      <c r="AJ20" s="478"/>
      <c r="AK20" s="478"/>
      <c r="AL20" s="477"/>
      <c r="AM20" s="478"/>
      <c r="AN20" s="478"/>
      <c r="AO20" s="478"/>
      <c r="AP20" s="478"/>
      <c r="AQ20" s="477"/>
      <c r="AR20" s="478"/>
      <c r="AS20" s="478"/>
      <c r="AT20" s="478"/>
      <c r="AU20" s="478"/>
      <c r="AV20" s="477"/>
      <c r="AW20" s="478"/>
      <c r="AX20" s="478"/>
      <c r="AY20" s="478"/>
      <c r="AZ20" s="478"/>
      <c r="BA20" s="477"/>
      <c r="BB20" s="478"/>
      <c r="BC20" s="478"/>
      <c r="BD20" s="478"/>
      <c r="BE20" s="478"/>
      <c r="BF20" s="477"/>
      <c r="BG20" s="478"/>
      <c r="BH20" s="478"/>
      <c r="BI20" s="478"/>
      <c r="BJ20" s="478"/>
      <c r="BK20" s="477"/>
      <c r="BL20" s="478"/>
      <c r="BM20" s="478"/>
      <c r="BN20" s="478"/>
      <c r="BO20" s="478"/>
      <c r="BP20" s="477"/>
      <c r="BQ20" s="478"/>
      <c r="BR20" s="478"/>
      <c r="BS20" s="478"/>
      <c r="BT20" s="478"/>
      <c r="BU20" s="477"/>
      <c r="BV20" s="478"/>
      <c r="BW20" s="478"/>
      <c r="BX20" s="478"/>
      <c r="BY20" s="478"/>
      <c r="BZ20" s="477"/>
      <c r="CA20" s="478"/>
      <c r="CB20" s="478"/>
      <c r="CC20" s="478"/>
      <c r="CD20" s="478"/>
      <c r="CE20" s="477"/>
      <c r="CF20" s="478"/>
      <c r="CG20" s="478"/>
      <c r="CH20" s="478"/>
      <c r="CI20" s="478"/>
      <c r="CJ20" s="477"/>
      <c r="CK20" s="478"/>
      <c r="CL20" s="478"/>
      <c r="CM20" s="478"/>
      <c r="CN20" s="478"/>
      <c r="CO20" s="477"/>
      <c r="CP20" s="478"/>
      <c r="CQ20" s="478"/>
      <c r="CR20" s="478"/>
      <c r="CS20" s="478"/>
      <c r="CT20" s="477"/>
      <c r="CU20" s="478"/>
      <c r="CV20" s="478"/>
      <c r="CW20" s="478"/>
      <c r="CX20" s="478"/>
      <c r="CY20" s="477"/>
      <c r="CZ20" s="478"/>
      <c r="DA20" s="478"/>
      <c r="DB20" s="478"/>
      <c r="DC20" s="478"/>
      <c r="DD20" s="477"/>
      <c r="DE20" s="478"/>
      <c r="DF20" s="478"/>
      <c r="DG20" s="478"/>
      <c r="DH20" s="478"/>
      <c r="DI20" s="477"/>
      <c r="DJ20" s="478"/>
      <c r="DK20" s="478"/>
      <c r="DL20" s="478"/>
      <c r="DM20" s="478"/>
      <c r="DN20" s="477"/>
      <c r="DO20" s="478"/>
      <c r="DP20" s="478"/>
      <c r="DQ20" s="478"/>
      <c r="DR20" s="478"/>
      <c r="DS20" s="477"/>
      <c r="DT20" s="478"/>
      <c r="DU20" s="478"/>
      <c r="DV20" s="478"/>
      <c r="DW20" s="478"/>
      <c r="DX20" s="477"/>
      <c r="DY20" s="478"/>
      <c r="DZ20" s="478"/>
      <c r="EA20" s="478"/>
      <c r="EB20" s="478"/>
      <c r="EC20" s="477"/>
      <c r="ED20" s="478"/>
      <c r="EE20" s="478"/>
      <c r="EF20" s="478"/>
      <c r="EG20" s="478"/>
      <c r="EH20" s="477"/>
      <c r="EI20" s="478"/>
      <c r="EJ20" s="478"/>
      <c r="EK20" s="478"/>
      <c r="EL20" s="478"/>
      <c r="EM20" s="477"/>
      <c r="EN20" s="478"/>
      <c r="EO20" s="478"/>
      <c r="EP20" s="478"/>
      <c r="EQ20" s="478"/>
      <c r="ER20" s="477"/>
      <c r="ES20" s="478"/>
      <c r="ET20" s="478"/>
      <c r="EU20" s="478"/>
      <c r="EV20" s="478"/>
      <c r="EW20" s="477"/>
      <c r="EX20" s="478"/>
      <c r="EY20" s="478"/>
      <c r="EZ20" s="478"/>
      <c r="FA20" s="478"/>
      <c r="FB20" s="477"/>
      <c r="FC20" s="478"/>
      <c r="FD20" s="478"/>
      <c r="FE20" s="478"/>
      <c r="FF20" s="478"/>
      <c r="FG20" s="477"/>
      <c r="FH20" s="478"/>
      <c r="FI20" s="478"/>
      <c r="FJ20" s="478"/>
      <c r="FK20" s="478"/>
      <c r="FL20" s="477"/>
      <c r="FM20" s="478"/>
      <c r="FN20" s="478"/>
      <c r="FO20" s="478"/>
      <c r="FP20" s="478"/>
      <c r="FQ20" s="477"/>
      <c r="FR20" s="478"/>
      <c r="FS20" s="478"/>
      <c r="FT20" s="478"/>
      <c r="FU20" s="478"/>
      <c r="FV20" s="477"/>
      <c r="FW20" s="478"/>
      <c r="FX20" s="478"/>
      <c r="FY20" s="478"/>
      <c r="FZ20" s="478"/>
      <c r="GA20" s="477"/>
      <c r="GB20" s="478"/>
      <c r="GC20" s="478"/>
      <c r="GD20" s="478"/>
      <c r="GE20" s="478"/>
      <c r="GF20" s="477"/>
      <c r="GG20" s="478"/>
      <c r="GH20" s="478"/>
      <c r="GI20" s="478"/>
      <c r="GJ20" s="478"/>
      <c r="GK20" s="477"/>
      <c r="GL20" s="478"/>
      <c r="GM20" s="478"/>
      <c r="GN20" s="478"/>
      <c r="GO20" s="478"/>
      <c r="GP20" s="477"/>
      <c r="GQ20" s="478"/>
      <c r="GR20" s="478"/>
      <c r="GS20" s="478"/>
      <c r="GT20" s="478"/>
      <c r="GU20" s="477"/>
      <c r="GV20" s="478"/>
      <c r="GW20" s="478"/>
      <c r="GX20" s="478"/>
      <c r="GY20" s="478"/>
      <c r="GZ20" s="477"/>
      <c r="HA20" s="478"/>
      <c r="HB20" s="478"/>
      <c r="HC20" s="478"/>
      <c r="HD20" s="478"/>
      <c r="HE20" s="477"/>
      <c r="HF20" s="478"/>
      <c r="HG20" s="478"/>
      <c r="HH20" s="478"/>
      <c r="HI20" s="478"/>
      <c r="HJ20" s="477"/>
      <c r="HK20" s="478"/>
      <c r="HL20" s="478"/>
      <c r="HM20" s="478"/>
      <c r="HN20" s="478"/>
      <c r="HO20" s="477"/>
      <c r="HP20" s="478"/>
      <c r="HQ20" s="478"/>
      <c r="HR20" s="478"/>
      <c r="HS20" s="478"/>
      <c r="HT20" s="477"/>
      <c r="HU20" s="478"/>
      <c r="HV20" s="478"/>
      <c r="HW20" s="478"/>
      <c r="HX20" s="478"/>
      <c r="HY20" s="477"/>
      <c r="HZ20" s="478"/>
      <c r="IA20" s="478"/>
      <c r="IB20" s="478"/>
      <c r="IC20" s="478"/>
      <c r="ID20" s="477"/>
      <c r="IE20" s="478"/>
      <c r="IF20" s="478"/>
      <c r="IG20" s="478"/>
      <c r="IH20" s="478"/>
      <c r="II20" s="477"/>
      <c r="IJ20" s="478"/>
      <c r="IK20" s="478"/>
      <c r="IL20" s="478"/>
      <c r="IM20" s="478"/>
      <c r="IN20" s="477"/>
      <c r="IO20" s="478"/>
      <c r="IP20" s="478"/>
      <c r="IQ20" s="478"/>
      <c r="IR20" s="478"/>
      <c r="IS20" s="477"/>
      <c r="IT20" s="478"/>
      <c r="IU20" s="478"/>
      <c r="IV20" s="478"/>
      <c r="IW20" s="478"/>
      <c r="IX20" s="477"/>
      <c r="IY20" s="478"/>
      <c r="IZ20" s="478"/>
      <c r="JA20" s="478"/>
      <c r="JB20" s="478"/>
      <c r="JC20" s="477"/>
      <c r="JD20" s="478"/>
      <c r="JE20" s="478"/>
      <c r="JF20" s="478"/>
      <c r="JG20" s="478"/>
      <c r="JH20" s="477"/>
      <c r="JI20" s="478"/>
      <c r="JJ20" s="478"/>
      <c r="JK20" s="478"/>
      <c r="JL20" s="478"/>
      <c r="JM20" s="477"/>
      <c r="JN20" s="478"/>
      <c r="JO20" s="478"/>
      <c r="JP20" s="478"/>
      <c r="JQ20" s="482"/>
    </row>
    <row r="21" spans="2:277">
      <c r="B21" s="544" t="str">
        <f>MASTER!B12</f>
        <v>Structural Analysis</v>
      </c>
      <c r="C21" s="544"/>
      <c r="D21" s="473" t="s">
        <v>366</v>
      </c>
      <c r="E21" s="465">
        <f>MASTER!C12/REPORT!$H$36</f>
        <v>27.857142857142858</v>
      </c>
      <c r="F21" s="465">
        <f t="shared" si="573"/>
        <v>6</v>
      </c>
      <c r="H21" s="434">
        <f>GANTT_D!H19</f>
        <v>19</v>
      </c>
      <c r="I21" s="434">
        <f>GANTT_D!I19</f>
        <v>46</v>
      </c>
      <c r="J21" s="468">
        <f>GANTT_D!J19</f>
        <v>4.5</v>
      </c>
      <c r="K21" s="468">
        <f>GANTT_D!K19</f>
        <v>10</v>
      </c>
      <c r="L21" s="424"/>
      <c r="M21" s="477"/>
      <c r="N21" s="478"/>
      <c r="O21" s="478"/>
      <c r="P21" s="478"/>
      <c r="Q21" s="478"/>
      <c r="R21" s="477"/>
      <c r="S21" s="478"/>
      <c r="T21" s="478"/>
      <c r="U21" s="478"/>
      <c r="V21" s="478"/>
      <c r="W21" s="477"/>
      <c r="X21" s="478"/>
      <c r="Y21" s="478"/>
      <c r="Z21" s="478"/>
      <c r="AA21" s="478"/>
      <c r="AB21" s="477"/>
      <c r="AC21" s="478"/>
      <c r="AD21" s="478"/>
      <c r="AE21" s="478"/>
      <c r="AF21" s="478"/>
      <c r="AG21" s="477"/>
      <c r="AH21" s="478"/>
      <c r="AI21" s="478"/>
      <c r="AJ21" s="478"/>
      <c r="AK21" s="478"/>
      <c r="AL21" s="477"/>
      <c r="AM21" s="478"/>
      <c r="AN21" s="478"/>
      <c r="AO21" s="478"/>
      <c r="AP21" s="478"/>
      <c r="AQ21" s="477"/>
      <c r="AR21" s="478"/>
      <c r="AS21" s="478"/>
      <c r="AT21" s="478"/>
      <c r="AU21" s="478"/>
      <c r="AV21" s="477"/>
      <c r="AW21" s="478"/>
      <c r="AX21" s="478"/>
      <c r="AY21" s="478"/>
      <c r="AZ21" s="478"/>
      <c r="BA21" s="477"/>
      <c r="BB21" s="478"/>
      <c r="BC21" s="478"/>
      <c r="BD21" s="478"/>
      <c r="BE21" s="478"/>
      <c r="BF21" s="477"/>
      <c r="BG21" s="478"/>
      <c r="BH21" s="478"/>
      <c r="BI21" s="478"/>
      <c r="BJ21" s="478"/>
      <c r="BK21" s="477"/>
      <c r="BL21" s="478"/>
      <c r="BM21" s="478"/>
      <c r="BN21" s="478"/>
      <c r="BO21" s="478"/>
      <c r="BP21" s="477"/>
      <c r="BQ21" s="478"/>
      <c r="BR21" s="478"/>
      <c r="BS21" s="478"/>
      <c r="BT21" s="478"/>
      <c r="BU21" s="477"/>
      <c r="BV21" s="478"/>
      <c r="BW21" s="478"/>
      <c r="BX21" s="478"/>
      <c r="BY21" s="478"/>
      <c r="BZ21" s="477"/>
      <c r="CA21" s="478"/>
      <c r="CB21" s="478"/>
      <c r="CC21" s="478"/>
      <c r="CD21" s="478"/>
      <c r="CE21" s="477"/>
      <c r="CF21" s="478"/>
      <c r="CG21" s="478"/>
      <c r="CH21" s="478"/>
      <c r="CI21" s="478"/>
      <c r="CJ21" s="477"/>
      <c r="CK21" s="478"/>
      <c r="CL21" s="478"/>
      <c r="CM21" s="478"/>
      <c r="CN21" s="478"/>
      <c r="CO21" s="477"/>
      <c r="CP21" s="478"/>
      <c r="CQ21" s="478"/>
      <c r="CR21" s="478"/>
      <c r="CS21" s="478"/>
      <c r="CT21" s="477"/>
      <c r="CU21" s="478"/>
      <c r="CV21" s="478"/>
      <c r="CW21" s="478"/>
      <c r="CX21" s="478"/>
      <c r="CY21" s="477"/>
      <c r="CZ21" s="478"/>
      <c r="DA21" s="478"/>
      <c r="DB21" s="478"/>
      <c r="DC21" s="478"/>
      <c r="DD21" s="477"/>
      <c r="DE21" s="478"/>
      <c r="DF21" s="478"/>
      <c r="DG21" s="478"/>
      <c r="DH21" s="478"/>
      <c r="DI21" s="477"/>
      <c r="DJ21" s="478"/>
      <c r="DK21" s="478"/>
      <c r="DL21" s="478"/>
      <c r="DM21" s="478"/>
      <c r="DN21" s="477"/>
      <c r="DO21" s="478"/>
      <c r="DP21" s="478"/>
      <c r="DQ21" s="478"/>
      <c r="DR21" s="478"/>
      <c r="DS21" s="477"/>
      <c r="DT21" s="478"/>
      <c r="DU21" s="478"/>
      <c r="DV21" s="478"/>
      <c r="DW21" s="478"/>
      <c r="DX21" s="477"/>
      <c r="DY21" s="478"/>
      <c r="DZ21" s="478"/>
      <c r="EA21" s="478"/>
      <c r="EB21" s="478"/>
      <c r="EC21" s="477"/>
      <c r="ED21" s="478"/>
      <c r="EE21" s="478"/>
      <c r="EF21" s="478"/>
      <c r="EG21" s="478"/>
      <c r="EH21" s="477"/>
      <c r="EI21" s="478"/>
      <c r="EJ21" s="478"/>
      <c r="EK21" s="478"/>
      <c r="EL21" s="478"/>
      <c r="EM21" s="477"/>
      <c r="EN21" s="478"/>
      <c r="EO21" s="478"/>
      <c r="EP21" s="478"/>
      <c r="EQ21" s="478"/>
      <c r="ER21" s="477"/>
      <c r="ES21" s="478"/>
      <c r="ET21" s="478"/>
      <c r="EU21" s="478"/>
      <c r="EV21" s="478"/>
      <c r="EW21" s="477"/>
      <c r="EX21" s="478"/>
      <c r="EY21" s="478"/>
      <c r="EZ21" s="478"/>
      <c r="FA21" s="478"/>
      <c r="FB21" s="477"/>
      <c r="FC21" s="478"/>
      <c r="FD21" s="478"/>
      <c r="FE21" s="478"/>
      <c r="FF21" s="478"/>
      <c r="FG21" s="477"/>
      <c r="FH21" s="478"/>
      <c r="FI21" s="478"/>
      <c r="FJ21" s="478"/>
      <c r="FK21" s="478"/>
      <c r="FL21" s="477"/>
      <c r="FM21" s="478"/>
      <c r="FN21" s="478"/>
      <c r="FO21" s="478"/>
      <c r="FP21" s="478"/>
      <c r="FQ21" s="477"/>
      <c r="FR21" s="478"/>
      <c r="FS21" s="478"/>
      <c r="FT21" s="478"/>
      <c r="FU21" s="478"/>
      <c r="FV21" s="477"/>
      <c r="FW21" s="478"/>
      <c r="FX21" s="478"/>
      <c r="FY21" s="478"/>
      <c r="FZ21" s="478"/>
      <c r="GA21" s="477"/>
      <c r="GB21" s="478"/>
      <c r="GC21" s="478"/>
      <c r="GD21" s="478"/>
      <c r="GE21" s="478"/>
      <c r="GF21" s="477"/>
      <c r="GG21" s="478"/>
      <c r="GH21" s="478"/>
      <c r="GI21" s="478"/>
      <c r="GJ21" s="478"/>
      <c r="GK21" s="477"/>
      <c r="GL21" s="478"/>
      <c r="GM21" s="478"/>
      <c r="GN21" s="478"/>
      <c r="GO21" s="478"/>
      <c r="GP21" s="477"/>
      <c r="GQ21" s="478"/>
      <c r="GR21" s="478"/>
      <c r="GS21" s="478"/>
      <c r="GT21" s="478"/>
      <c r="GU21" s="477"/>
      <c r="GV21" s="478"/>
      <c r="GW21" s="478"/>
      <c r="GX21" s="478"/>
      <c r="GY21" s="478"/>
      <c r="GZ21" s="477"/>
      <c r="HA21" s="478"/>
      <c r="HB21" s="478"/>
      <c r="HC21" s="478"/>
      <c r="HD21" s="478"/>
      <c r="HE21" s="477"/>
      <c r="HF21" s="478"/>
      <c r="HG21" s="478"/>
      <c r="HH21" s="478"/>
      <c r="HI21" s="478"/>
      <c r="HJ21" s="477"/>
      <c r="HK21" s="478"/>
      <c r="HL21" s="478"/>
      <c r="HM21" s="478"/>
      <c r="HN21" s="478"/>
      <c r="HO21" s="477"/>
      <c r="HP21" s="478"/>
      <c r="HQ21" s="478"/>
      <c r="HR21" s="478"/>
      <c r="HS21" s="478"/>
      <c r="HT21" s="477"/>
      <c r="HU21" s="478"/>
      <c r="HV21" s="478"/>
      <c r="HW21" s="478"/>
      <c r="HX21" s="478"/>
      <c r="HY21" s="477"/>
      <c r="HZ21" s="478"/>
      <c r="IA21" s="478"/>
      <c r="IB21" s="478"/>
      <c r="IC21" s="478"/>
      <c r="ID21" s="477"/>
      <c r="IE21" s="478"/>
      <c r="IF21" s="478"/>
      <c r="IG21" s="478"/>
      <c r="IH21" s="478"/>
      <c r="II21" s="477"/>
      <c r="IJ21" s="478"/>
      <c r="IK21" s="478"/>
      <c r="IL21" s="478"/>
      <c r="IM21" s="478"/>
      <c r="IN21" s="477"/>
      <c r="IO21" s="478"/>
      <c r="IP21" s="478"/>
      <c r="IQ21" s="478"/>
      <c r="IR21" s="478"/>
      <c r="IS21" s="477"/>
      <c r="IT21" s="478"/>
      <c r="IU21" s="478"/>
      <c r="IV21" s="478"/>
      <c r="IW21" s="478"/>
      <c r="IX21" s="477"/>
      <c r="IY21" s="478"/>
      <c r="IZ21" s="478"/>
      <c r="JA21" s="478"/>
      <c r="JB21" s="478"/>
      <c r="JC21" s="477"/>
      <c r="JD21" s="478"/>
      <c r="JE21" s="478"/>
      <c r="JF21" s="478"/>
      <c r="JG21" s="478"/>
      <c r="JH21" s="477"/>
      <c r="JI21" s="478"/>
      <c r="JJ21" s="478"/>
      <c r="JK21" s="478"/>
      <c r="JL21" s="478"/>
      <c r="JM21" s="477"/>
      <c r="JN21" s="478"/>
      <c r="JO21" s="478"/>
      <c r="JP21" s="478"/>
      <c r="JQ21" s="482"/>
    </row>
    <row r="22" spans="2:277" ht="15.75">
      <c r="B22" s="470" t="str">
        <f>MASTER!A13</f>
        <v xml:space="preserve">DWGS AND BOM </v>
      </c>
      <c r="C22" s="470"/>
      <c r="D22" s="472"/>
      <c r="E22" s="466"/>
      <c r="F22" s="466" t="str">
        <f t="shared" si="573"/>
        <v/>
      </c>
      <c r="H22" s="435">
        <f>GANTT_D!H20</f>
        <v>9</v>
      </c>
      <c r="I22" s="435">
        <f>GANTT_D!I20</f>
        <v>47</v>
      </c>
      <c r="J22" s="475">
        <f>GANTT_D!J20</f>
        <v>2.5</v>
      </c>
      <c r="K22" s="475">
        <f>GANTT_D!K20</f>
        <v>10</v>
      </c>
      <c r="L22" s="424"/>
      <c r="M22" s="477" t="str">
        <f t="shared" ref="M22:BX22" si="574">IF(AND(M$9&gt;$H22,M$9&lt;$I22),"-",IF(M$9=$H22,"I",IF(M$9=$I22,"I","")))</f>
        <v/>
      </c>
      <c r="N22" s="478" t="str">
        <f t="shared" si="574"/>
        <v/>
      </c>
      <c r="O22" s="478" t="str">
        <f t="shared" si="574"/>
        <v/>
      </c>
      <c r="P22" s="478" t="str">
        <f t="shared" si="574"/>
        <v/>
      </c>
      <c r="Q22" s="478" t="str">
        <f t="shared" si="574"/>
        <v/>
      </c>
      <c r="R22" s="477" t="str">
        <f t="shared" si="574"/>
        <v/>
      </c>
      <c r="S22" s="478" t="str">
        <f t="shared" si="574"/>
        <v/>
      </c>
      <c r="T22" s="478" t="str">
        <f t="shared" si="574"/>
        <v/>
      </c>
      <c r="U22" s="478" t="str">
        <f t="shared" si="574"/>
        <v>I</v>
      </c>
      <c r="V22" s="478" t="str">
        <f t="shared" si="574"/>
        <v>-</v>
      </c>
      <c r="W22" s="477" t="str">
        <f t="shared" si="574"/>
        <v>-</v>
      </c>
      <c r="X22" s="478" t="str">
        <f t="shared" si="574"/>
        <v>-</v>
      </c>
      <c r="Y22" s="478" t="str">
        <f t="shared" si="574"/>
        <v>-</v>
      </c>
      <c r="Z22" s="478" t="str">
        <f t="shared" si="574"/>
        <v>-</v>
      </c>
      <c r="AA22" s="478" t="str">
        <f t="shared" si="574"/>
        <v>-</v>
      </c>
      <c r="AB22" s="477" t="str">
        <f t="shared" si="574"/>
        <v>-</v>
      </c>
      <c r="AC22" s="478" t="str">
        <f t="shared" si="574"/>
        <v>-</v>
      </c>
      <c r="AD22" s="478" t="str">
        <f t="shared" si="574"/>
        <v>-</v>
      </c>
      <c r="AE22" s="478" t="str">
        <f t="shared" si="574"/>
        <v>-</v>
      </c>
      <c r="AF22" s="478" t="str">
        <f t="shared" si="574"/>
        <v>-</v>
      </c>
      <c r="AG22" s="477" t="str">
        <f t="shared" si="574"/>
        <v>-</v>
      </c>
      <c r="AH22" s="478" t="str">
        <f t="shared" si="574"/>
        <v>-</v>
      </c>
      <c r="AI22" s="478" t="str">
        <f t="shared" si="574"/>
        <v>-</v>
      </c>
      <c r="AJ22" s="478" t="str">
        <f t="shared" si="574"/>
        <v>-</v>
      </c>
      <c r="AK22" s="478" t="str">
        <f t="shared" si="574"/>
        <v>-</v>
      </c>
      <c r="AL22" s="477" t="str">
        <f t="shared" si="574"/>
        <v>-</v>
      </c>
      <c r="AM22" s="478" t="str">
        <f t="shared" si="574"/>
        <v>-</v>
      </c>
      <c r="AN22" s="478" t="str">
        <f t="shared" si="574"/>
        <v>-</v>
      </c>
      <c r="AO22" s="478" t="str">
        <f t="shared" si="574"/>
        <v>-</v>
      </c>
      <c r="AP22" s="478" t="str">
        <f t="shared" si="574"/>
        <v>-</v>
      </c>
      <c r="AQ22" s="477" t="str">
        <f t="shared" si="574"/>
        <v>-</v>
      </c>
      <c r="AR22" s="478" t="str">
        <f t="shared" si="574"/>
        <v>-</v>
      </c>
      <c r="AS22" s="478" t="str">
        <f t="shared" si="574"/>
        <v>-</v>
      </c>
      <c r="AT22" s="478" t="str">
        <f t="shared" si="574"/>
        <v>-</v>
      </c>
      <c r="AU22" s="478" t="str">
        <f t="shared" si="574"/>
        <v>-</v>
      </c>
      <c r="AV22" s="477" t="str">
        <f t="shared" si="574"/>
        <v>-</v>
      </c>
      <c r="AW22" s="478" t="str">
        <f t="shared" si="574"/>
        <v>-</v>
      </c>
      <c r="AX22" s="478" t="str">
        <f t="shared" si="574"/>
        <v>-</v>
      </c>
      <c r="AY22" s="478" t="str">
        <f t="shared" si="574"/>
        <v>-</v>
      </c>
      <c r="AZ22" s="478" t="str">
        <f t="shared" si="574"/>
        <v>-</v>
      </c>
      <c r="BA22" s="477" t="str">
        <f t="shared" si="574"/>
        <v>-</v>
      </c>
      <c r="BB22" s="478" t="str">
        <f t="shared" si="574"/>
        <v>-</v>
      </c>
      <c r="BC22" s="478" t="str">
        <f t="shared" si="574"/>
        <v>-</v>
      </c>
      <c r="BD22" s="478" t="str">
        <f t="shared" si="574"/>
        <v>-</v>
      </c>
      <c r="BE22" s="478" t="str">
        <f t="shared" si="574"/>
        <v>-</v>
      </c>
      <c r="BF22" s="477" t="str">
        <f t="shared" si="574"/>
        <v>-</v>
      </c>
      <c r="BG22" s="478" t="str">
        <f t="shared" si="574"/>
        <v>I</v>
      </c>
      <c r="BH22" s="478" t="str">
        <f t="shared" si="574"/>
        <v/>
      </c>
      <c r="BI22" s="478" t="str">
        <f t="shared" si="574"/>
        <v/>
      </c>
      <c r="BJ22" s="478" t="str">
        <f t="shared" si="574"/>
        <v/>
      </c>
      <c r="BK22" s="477" t="str">
        <f t="shared" si="574"/>
        <v/>
      </c>
      <c r="BL22" s="478" t="str">
        <f t="shared" si="574"/>
        <v/>
      </c>
      <c r="BM22" s="478" t="str">
        <f t="shared" si="574"/>
        <v/>
      </c>
      <c r="BN22" s="478" t="str">
        <f t="shared" si="574"/>
        <v/>
      </c>
      <c r="BO22" s="478" t="str">
        <f t="shared" si="574"/>
        <v/>
      </c>
      <c r="BP22" s="477" t="str">
        <f t="shared" si="574"/>
        <v/>
      </c>
      <c r="BQ22" s="478" t="str">
        <f t="shared" si="574"/>
        <v/>
      </c>
      <c r="BR22" s="478" t="str">
        <f t="shared" si="574"/>
        <v/>
      </c>
      <c r="BS22" s="478" t="str">
        <f t="shared" si="574"/>
        <v/>
      </c>
      <c r="BT22" s="478" t="str">
        <f t="shared" si="574"/>
        <v/>
      </c>
      <c r="BU22" s="477" t="str">
        <f t="shared" si="574"/>
        <v/>
      </c>
      <c r="BV22" s="478" t="str">
        <f t="shared" si="574"/>
        <v/>
      </c>
      <c r="BW22" s="478" t="str">
        <f t="shared" si="574"/>
        <v/>
      </c>
      <c r="BX22" s="478" t="str">
        <f t="shared" si="574"/>
        <v/>
      </c>
      <c r="BY22" s="478" t="str">
        <f t="shared" ref="BY22:EJ22" si="575">IF(AND(BY$9&gt;$H22,BY$9&lt;$I22),"-",IF(BY$9=$H22,"I",IF(BY$9=$I22,"I","")))</f>
        <v/>
      </c>
      <c r="BZ22" s="477" t="str">
        <f t="shared" si="575"/>
        <v/>
      </c>
      <c r="CA22" s="478" t="str">
        <f t="shared" si="575"/>
        <v/>
      </c>
      <c r="CB22" s="478" t="str">
        <f t="shared" si="575"/>
        <v/>
      </c>
      <c r="CC22" s="478" t="str">
        <f t="shared" si="575"/>
        <v/>
      </c>
      <c r="CD22" s="478" t="str">
        <f t="shared" si="575"/>
        <v/>
      </c>
      <c r="CE22" s="477" t="str">
        <f t="shared" si="575"/>
        <v/>
      </c>
      <c r="CF22" s="478" t="str">
        <f t="shared" si="575"/>
        <v/>
      </c>
      <c r="CG22" s="478" t="str">
        <f t="shared" si="575"/>
        <v/>
      </c>
      <c r="CH22" s="478" t="str">
        <f t="shared" si="575"/>
        <v/>
      </c>
      <c r="CI22" s="478" t="str">
        <f t="shared" si="575"/>
        <v/>
      </c>
      <c r="CJ22" s="477" t="str">
        <f t="shared" si="575"/>
        <v/>
      </c>
      <c r="CK22" s="478" t="str">
        <f t="shared" si="575"/>
        <v/>
      </c>
      <c r="CL22" s="478" t="str">
        <f t="shared" si="575"/>
        <v/>
      </c>
      <c r="CM22" s="478" t="str">
        <f t="shared" si="575"/>
        <v/>
      </c>
      <c r="CN22" s="478" t="str">
        <f t="shared" si="575"/>
        <v/>
      </c>
      <c r="CO22" s="477" t="str">
        <f t="shared" si="575"/>
        <v/>
      </c>
      <c r="CP22" s="478" t="str">
        <f t="shared" si="575"/>
        <v/>
      </c>
      <c r="CQ22" s="478" t="str">
        <f t="shared" si="575"/>
        <v/>
      </c>
      <c r="CR22" s="478" t="str">
        <f t="shared" si="575"/>
        <v/>
      </c>
      <c r="CS22" s="478" t="str">
        <f t="shared" si="575"/>
        <v/>
      </c>
      <c r="CT22" s="477" t="str">
        <f t="shared" si="575"/>
        <v/>
      </c>
      <c r="CU22" s="478" t="str">
        <f t="shared" si="575"/>
        <v/>
      </c>
      <c r="CV22" s="478" t="str">
        <f t="shared" si="575"/>
        <v/>
      </c>
      <c r="CW22" s="478" t="str">
        <f t="shared" si="575"/>
        <v/>
      </c>
      <c r="CX22" s="478" t="str">
        <f t="shared" si="575"/>
        <v/>
      </c>
      <c r="CY22" s="477" t="str">
        <f t="shared" si="575"/>
        <v/>
      </c>
      <c r="CZ22" s="478" t="str">
        <f t="shared" si="575"/>
        <v/>
      </c>
      <c r="DA22" s="478" t="str">
        <f t="shared" si="575"/>
        <v/>
      </c>
      <c r="DB22" s="478" t="str">
        <f t="shared" si="575"/>
        <v/>
      </c>
      <c r="DC22" s="478" t="str">
        <f t="shared" si="575"/>
        <v/>
      </c>
      <c r="DD22" s="477" t="str">
        <f t="shared" si="575"/>
        <v/>
      </c>
      <c r="DE22" s="478" t="str">
        <f t="shared" si="575"/>
        <v/>
      </c>
      <c r="DF22" s="478" t="str">
        <f t="shared" si="575"/>
        <v/>
      </c>
      <c r="DG22" s="478" t="str">
        <f t="shared" si="575"/>
        <v/>
      </c>
      <c r="DH22" s="478" t="str">
        <f t="shared" si="575"/>
        <v/>
      </c>
      <c r="DI22" s="477" t="str">
        <f t="shared" si="575"/>
        <v/>
      </c>
      <c r="DJ22" s="478" t="str">
        <f t="shared" si="575"/>
        <v/>
      </c>
      <c r="DK22" s="478" t="str">
        <f t="shared" si="575"/>
        <v/>
      </c>
      <c r="DL22" s="478" t="str">
        <f t="shared" si="575"/>
        <v/>
      </c>
      <c r="DM22" s="478" t="str">
        <f t="shared" si="575"/>
        <v/>
      </c>
      <c r="DN22" s="477" t="str">
        <f t="shared" si="575"/>
        <v/>
      </c>
      <c r="DO22" s="478" t="str">
        <f t="shared" si="575"/>
        <v/>
      </c>
      <c r="DP22" s="478" t="str">
        <f t="shared" si="575"/>
        <v/>
      </c>
      <c r="DQ22" s="478" t="str">
        <f t="shared" si="575"/>
        <v/>
      </c>
      <c r="DR22" s="478" t="str">
        <f t="shared" si="575"/>
        <v/>
      </c>
      <c r="DS22" s="477" t="str">
        <f t="shared" si="575"/>
        <v/>
      </c>
      <c r="DT22" s="478" t="str">
        <f t="shared" si="575"/>
        <v/>
      </c>
      <c r="DU22" s="478" t="str">
        <f t="shared" si="575"/>
        <v/>
      </c>
      <c r="DV22" s="478" t="str">
        <f t="shared" si="575"/>
        <v/>
      </c>
      <c r="DW22" s="478" t="str">
        <f t="shared" si="575"/>
        <v/>
      </c>
      <c r="DX22" s="477" t="str">
        <f t="shared" si="575"/>
        <v/>
      </c>
      <c r="DY22" s="478" t="str">
        <f t="shared" si="575"/>
        <v/>
      </c>
      <c r="DZ22" s="478" t="str">
        <f t="shared" si="575"/>
        <v/>
      </c>
      <c r="EA22" s="478" t="str">
        <f t="shared" si="575"/>
        <v/>
      </c>
      <c r="EB22" s="478" t="str">
        <f t="shared" si="575"/>
        <v/>
      </c>
      <c r="EC22" s="477" t="str">
        <f t="shared" si="575"/>
        <v/>
      </c>
      <c r="ED22" s="478" t="str">
        <f t="shared" si="575"/>
        <v/>
      </c>
      <c r="EE22" s="478" t="str">
        <f t="shared" si="575"/>
        <v/>
      </c>
      <c r="EF22" s="478" t="str">
        <f t="shared" si="575"/>
        <v/>
      </c>
      <c r="EG22" s="478" t="str">
        <f t="shared" si="575"/>
        <v/>
      </c>
      <c r="EH22" s="477" t="str">
        <f t="shared" si="575"/>
        <v/>
      </c>
      <c r="EI22" s="478" t="str">
        <f t="shared" si="575"/>
        <v/>
      </c>
      <c r="EJ22" s="478" t="str">
        <f t="shared" si="575"/>
        <v/>
      </c>
      <c r="EK22" s="478" t="str">
        <f t="shared" ref="EK22:GV22" si="576">IF(AND(EK$9&gt;$H22,EK$9&lt;$I22),"-",IF(EK$9=$H22,"I",IF(EK$9=$I22,"I","")))</f>
        <v/>
      </c>
      <c r="EL22" s="478" t="str">
        <f t="shared" si="576"/>
        <v/>
      </c>
      <c r="EM22" s="477" t="str">
        <f t="shared" si="576"/>
        <v/>
      </c>
      <c r="EN22" s="478" t="str">
        <f t="shared" si="576"/>
        <v/>
      </c>
      <c r="EO22" s="478" t="str">
        <f t="shared" si="576"/>
        <v/>
      </c>
      <c r="EP22" s="478" t="str">
        <f t="shared" si="576"/>
        <v/>
      </c>
      <c r="EQ22" s="478" t="str">
        <f t="shared" si="576"/>
        <v/>
      </c>
      <c r="ER22" s="477" t="str">
        <f t="shared" si="576"/>
        <v/>
      </c>
      <c r="ES22" s="478" t="str">
        <f t="shared" si="576"/>
        <v/>
      </c>
      <c r="ET22" s="478" t="str">
        <f t="shared" si="576"/>
        <v/>
      </c>
      <c r="EU22" s="478" t="str">
        <f t="shared" si="576"/>
        <v/>
      </c>
      <c r="EV22" s="478" t="str">
        <f t="shared" si="576"/>
        <v/>
      </c>
      <c r="EW22" s="477" t="str">
        <f t="shared" si="576"/>
        <v/>
      </c>
      <c r="EX22" s="478" t="str">
        <f t="shared" si="576"/>
        <v/>
      </c>
      <c r="EY22" s="478" t="str">
        <f t="shared" si="576"/>
        <v/>
      </c>
      <c r="EZ22" s="478" t="str">
        <f t="shared" si="576"/>
        <v/>
      </c>
      <c r="FA22" s="478" t="str">
        <f t="shared" si="576"/>
        <v/>
      </c>
      <c r="FB22" s="477" t="str">
        <f t="shared" si="576"/>
        <v/>
      </c>
      <c r="FC22" s="478" t="str">
        <f t="shared" si="576"/>
        <v/>
      </c>
      <c r="FD22" s="478" t="str">
        <f t="shared" si="576"/>
        <v/>
      </c>
      <c r="FE22" s="478" t="str">
        <f t="shared" si="576"/>
        <v/>
      </c>
      <c r="FF22" s="478" t="str">
        <f t="shared" si="576"/>
        <v/>
      </c>
      <c r="FG22" s="477" t="str">
        <f t="shared" si="576"/>
        <v/>
      </c>
      <c r="FH22" s="478" t="str">
        <f t="shared" si="576"/>
        <v/>
      </c>
      <c r="FI22" s="478" t="str">
        <f t="shared" si="576"/>
        <v/>
      </c>
      <c r="FJ22" s="478" t="str">
        <f t="shared" si="576"/>
        <v/>
      </c>
      <c r="FK22" s="478" t="str">
        <f t="shared" si="576"/>
        <v/>
      </c>
      <c r="FL22" s="477" t="str">
        <f t="shared" si="576"/>
        <v/>
      </c>
      <c r="FM22" s="478" t="str">
        <f t="shared" si="576"/>
        <v/>
      </c>
      <c r="FN22" s="478" t="str">
        <f t="shared" si="576"/>
        <v/>
      </c>
      <c r="FO22" s="478" t="str">
        <f t="shared" si="576"/>
        <v/>
      </c>
      <c r="FP22" s="478" t="str">
        <f t="shared" si="576"/>
        <v/>
      </c>
      <c r="FQ22" s="477" t="str">
        <f t="shared" si="576"/>
        <v/>
      </c>
      <c r="FR22" s="478" t="str">
        <f t="shared" si="576"/>
        <v/>
      </c>
      <c r="FS22" s="478" t="str">
        <f t="shared" si="576"/>
        <v/>
      </c>
      <c r="FT22" s="478" t="str">
        <f t="shared" si="576"/>
        <v/>
      </c>
      <c r="FU22" s="478" t="str">
        <f t="shared" si="576"/>
        <v/>
      </c>
      <c r="FV22" s="477" t="str">
        <f t="shared" si="576"/>
        <v/>
      </c>
      <c r="FW22" s="478" t="str">
        <f t="shared" si="576"/>
        <v/>
      </c>
      <c r="FX22" s="478" t="str">
        <f t="shared" si="576"/>
        <v/>
      </c>
      <c r="FY22" s="478" t="str">
        <f t="shared" si="576"/>
        <v/>
      </c>
      <c r="FZ22" s="478" t="str">
        <f t="shared" si="576"/>
        <v/>
      </c>
      <c r="GA22" s="477" t="str">
        <f t="shared" si="576"/>
        <v/>
      </c>
      <c r="GB22" s="478" t="str">
        <f t="shared" si="576"/>
        <v/>
      </c>
      <c r="GC22" s="478" t="str">
        <f t="shared" si="576"/>
        <v/>
      </c>
      <c r="GD22" s="478" t="str">
        <f t="shared" si="576"/>
        <v/>
      </c>
      <c r="GE22" s="478" t="str">
        <f t="shared" si="576"/>
        <v/>
      </c>
      <c r="GF22" s="477" t="str">
        <f t="shared" si="576"/>
        <v/>
      </c>
      <c r="GG22" s="478" t="str">
        <f t="shared" si="576"/>
        <v/>
      </c>
      <c r="GH22" s="478" t="str">
        <f t="shared" si="576"/>
        <v/>
      </c>
      <c r="GI22" s="478" t="str">
        <f t="shared" si="576"/>
        <v/>
      </c>
      <c r="GJ22" s="478" t="str">
        <f t="shared" si="576"/>
        <v/>
      </c>
      <c r="GK22" s="477" t="str">
        <f t="shared" si="576"/>
        <v/>
      </c>
      <c r="GL22" s="478" t="str">
        <f t="shared" si="576"/>
        <v/>
      </c>
      <c r="GM22" s="478" t="str">
        <f t="shared" si="576"/>
        <v/>
      </c>
      <c r="GN22" s="478" t="str">
        <f t="shared" si="576"/>
        <v/>
      </c>
      <c r="GO22" s="478" t="str">
        <f t="shared" si="576"/>
        <v/>
      </c>
      <c r="GP22" s="477" t="str">
        <f t="shared" si="576"/>
        <v/>
      </c>
      <c r="GQ22" s="478" t="str">
        <f t="shared" si="576"/>
        <v/>
      </c>
      <c r="GR22" s="478" t="str">
        <f t="shared" si="576"/>
        <v/>
      </c>
      <c r="GS22" s="478" t="str">
        <f t="shared" si="576"/>
        <v/>
      </c>
      <c r="GT22" s="478" t="str">
        <f t="shared" si="576"/>
        <v/>
      </c>
      <c r="GU22" s="477" t="str">
        <f t="shared" si="576"/>
        <v/>
      </c>
      <c r="GV22" s="478" t="str">
        <f t="shared" si="576"/>
        <v/>
      </c>
      <c r="GW22" s="478" t="str">
        <f t="shared" ref="GW22:JH22" si="577">IF(AND(GW$9&gt;$H22,GW$9&lt;$I22),"-",IF(GW$9=$H22,"I",IF(GW$9=$I22,"I","")))</f>
        <v/>
      </c>
      <c r="GX22" s="478" t="str">
        <f t="shared" si="577"/>
        <v/>
      </c>
      <c r="GY22" s="478" t="str">
        <f t="shared" si="577"/>
        <v/>
      </c>
      <c r="GZ22" s="477" t="str">
        <f t="shared" si="577"/>
        <v/>
      </c>
      <c r="HA22" s="478" t="str">
        <f t="shared" si="577"/>
        <v/>
      </c>
      <c r="HB22" s="478" t="str">
        <f t="shared" si="577"/>
        <v/>
      </c>
      <c r="HC22" s="478" t="str">
        <f t="shared" si="577"/>
        <v/>
      </c>
      <c r="HD22" s="478" t="str">
        <f t="shared" si="577"/>
        <v/>
      </c>
      <c r="HE22" s="477" t="str">
        <f t="shared" si="577"/>
        <v/>
      </c>
      <c r="HF22" s="478" t="str">
        <f t="shared" si="577"/>
        <v/>
      </c>
      <c r="HG22" s="478" t="str">
        <f t="shared" si="577"/>
        <v/>
      </c>
      <c r="HH22" s="478" t="str">
        <f t="shared" si="577"/>
        <v/>
      </c>
      <c r="HI22" s="478" t="str">
        <f t="shared" si="577"/>
        <v/>
      </c>
      <c r="HJ22" s="477" t="str">
        <f t="shared" si="577"/>
        <v/>
      </c>
      <c r="HK22" s="478" t="str">
        <f t="shared" si="577"/>
        <v/>
      </c>
      <c r="HL22" s="478" t="str">
        <f t="shared" si="577"/>
        <v/>
      </c>
      <c r="HM22" s="478" t="str">
        <f t="shared" si="577"/>
        <v/>
      </c>
      <c r="HN22" s="478" t="str">
        <f t="shared" si="577"/>
        <v/>
      </c>
      <c r="HO22" s="477" t="str">
        <f t="shared" si="577"/>
        <v/>
      </c>
      <c r="HP22" s="478" t="str">
        <f t="shared" si="577"/>
        <v/>
      </c>
      <c r="HQ22" s="478" t="str">
        <f t="shared" si="577"/>
        <v/>
      </c>
      <c r="HR22" s="478" t="str">
        <f t="shared" si="577"/>
        <v/>
      </c>
      <c r="HS22" s="478" t="str">
        <f t="shared" si="577"/>
        <v/>
      </c>
      <c r="HT22" s="477" t="str">
        <f t="shared" si="577"/>
        <v/>
      </c>
      <c r="HU22" s="478" t="str">
        <f t="shared" si="577"/>
        <v/>
      </c>
      <c r="HV22" s="478" t="str">
        <f t="shared" si="577"/>
        <v/>
      </c>
      <c r="HW22" s="478" t="str">
        <f t="shared" si="577"/>
        <v/>
      </c>
      <c r="HX22" s="478" t="str">
        <f t="shared" si="577"/>
        <v/>
      </c>
      <c r="HY22" s="477" t="str">
        <f t="shared" si="577"/>
        <v/>
      </c>
      <c r="HZ22" s="478" t="str">
        <f t="shared" si="577"/>
        <v/>
      </c>
      <c r="IA22" s="478" t="str">
        <f t="shared" si="577"/>
        <v/>
      </c>
      <c r="IB22" s="478" t="str">
        <f t="shared" si="577"/>
        <v/>
      </c>
      <c r="IC22" s="478" t="str">
        <f t="shared" si="577"/>
        <v/>
      </c>
      <c r="ID22" s="477" t="str">
        <f t="shared" si="577"/>
        <v/>
      </c>
      <c r="IE22" s="478" t="str">
        <f t="shared" si="577"/>
        <v/>
      </c>
      <c r="IF22" s="478" t="str">
        <f t="shared" si="577"/>
        <v/>
      </c>
      <c r="IG22" s="478" t="str">
        <f t="shared" si="577"/>
        <v/>
      </c>
      <c r="IH22" s="478" t="str">
        <f t="shared" si="577"/>
        <v/>
      </c>
      <c r="II22" s="477" t="str">
        <f t="shared" si="577"/>
        <v/>
      </c>
      <c r="IJ22" s="478" t="str">
        <f t="shared" si="577"/>
        <v/>
      </c>
      <c r="IK22" s="478" t="str">
        <f t="shared" si="577"/>
        <v/>
      </c>
      <c r="IL22" s="478" t="str">
        <f t="shared" si="577"/>
        <v/>
      </c>
      <c r="IM22" s="478" t="str">
        <f t="shared" si="577"/>
        <v/>
      </c>
      <c r="IN22" s="477" t="str">
        <f t="shared" si="577"/>
        <v/>
      </c>
      <c r="IO22" s="478" t="str">
        <f t="shared" si="577"/>
        <v/>
      </c>
      <c r="IP22" s="478" t="str">
        <f t="shared" si="577"/>
        <v/>
      </c>
      <c r="IQ22" s="478" t="str">
        <f t="shared" si="577"/>
        <v/>
      </c>
      <c r="IR22" s="478" t="str">
        <f t="shared" si="577"/>
        <v/>
      </c>
      <c r="IS22" s="477" t="str">
        <f t="shared" si="577"/>
        <v/>
      </c>
      <c r="IT22" s="478" t="str">
        <f t="shared" si="577"/>
        <v/>
      </c>
      <c r="IU22" s="478" t="str">
        <f t="shared" si="577"/>
        <v/>
      </c>
      <c r="IV22" s="478" t="str">
        <f t="shared" si="577"/>
        <v/>
      </c>
      <c r="IW22" s="478" t="str">
        <f t="shared" si="577"/>
        <v/>
      </c>
      <c r="IX22" s="477" t="str">
        <f t="shared" si="577"/>
        <v/>
      </c>
      <c r="IY22" s="478" t="str">
        <f t="shared" si="577"/>
        <v/>
      </c>
      <c r="IZ22" s="478" t="str">
        <f t="shared" si="577"/>
        <v/>
      </c>
      <c r="JA22" s="478" t="str">
        <f t="shared" si="577"/>
        <v/>
      </c>
      <c r="JB22" s="478" t="str">
        <f t="shared" si="577"/>
        <v/>
      </c>
      <c r="JC22" s="477" t="str">
        <f t="shared" si="577"/>
        <v/>
      </c>
      <c r="JD22" s="478" t="str">
        <f t="shared" si="577"/>
        <v/>
      </c>
      <c r="JE22" s="478" t="str">
        <f t="shared" si="577"/>
        <v/>
      </c>
      <c r="JF22" s="478" t="str">
        <f t="shared" si="577"/>
        <v/>
      </c>
      <c r="JG22" s="478" t="str">
        <f t="shared" si="577"/>
        <v/>
      </c>
      <c r="JH22" s="477" t="str">
        <f t="shared" si="577"/>
        <v/>
      </c>
      <c r="JI22" s="478" t="str">
        <f t="shared" ref="JI22:JQ22" si="578">IF(AND(JI$9&gt;$H22,JI$9&lt;$I22),"-",IF(JI$9=$H22,"I",IF(JI$9=$I22,"I","")))</f>
        <v/>
      </c>
      <c r="JJ22" s="478" t="str">
        <f t="shared" si="578"/>
        <v/>
      </c>
      <c r="JK22" s="478" t="str">
        <f t="shared" si="578"/>
        <v/>
      </c>
      <c r="JL22" s="478" t="str">
        <f t="shared" si="578"/>
        <v/>
      </c>
      <c r="JM22" s="477" t="str">
        <f t="shared" si="578"/>
        <v/>
      </c>
      <c r="JN22" s="478" t="str">
        <f t="shared" si="578"/>
        <v/>
      </c>
      <c r="JO22" s="478" t="str">
        <f t="shared" si="578"/>
        <v/>
      </c>
      <c r="JP22" s="478" t="str">
        <f t="shared" si="578"/>
        <v/>
      </c>
      <c r="JQ22" s="482" t="str">
        <f t="shared" si="578"/>
        <v/>
      </c>
    </row>
    <row r="23" spans="2:277">
      <c r="B23" s="544" t="str">
        <f>REPORT!E11&amp;" - "&amp;REPORT!F11</f>
        <v xml:space="preserve">D001 - PATTERN 3D CASING DWG  </v>
      </c>
      <c r="C23" s="544"/>
      <c r="D23" s="473" t="s">
        <v>122</v>
      </c>
      <c r="E23" s="465">
        <f>REPORT!H11</f>
        <v>19.428571428571427</v>
      </c>
      <c r="F23" s="465">
        <f t="shared" si="573"/>
        <v>4</v>
      </c>
      <c r="H23" s="434">
        <f>GANTT_D!H21</f>
        <v>9</v>
      </c>
      <c r="I23" s="434">
        <f>GANTT_D!I21</f>
        <v>27</v>
      </c>
      <c r="J23" s="468">
        <f>GANTT_D!J21</f>
        <v>2.5</v>
      </c>
      <c r="K23" s="468">
        <f>GANTT_D!K21</f>
        <v>6</v>
      </c>
      <c r="L23" s="424"/>
      <c r="M23" s="477"/>
      <c r="N23" s="478"/>
      <c r="O23" s="478"/>
      <c r="P23" s="478"/>
      <c r="Q23" s="478"/>
      <c r="R23" s="477"/>
      <c r="S23" s="478"/>
      <c r="T23" s="478"/>
      <c r="U23" s="478"/>
      <c r="V23" s="478"/>
      <c r="W23" s="477"/>
      <c r="X23" s="478"/>
      <c r="Y23" s="478"/>
      <c r="Z23" s="478"/>
      <c r="AA23" s="478"/>
      <c r="AB23" s="477"/>
      <c r="AC23" s="478"/>
      <c r="AD23" s="478"/>
      <c r="AE23" s="478"/>
      <c r="AF23" s="478"/>
      <c r="AG23" s="477"/>
      <c r="AH23" s="478"/>
      <c r="AI23" s="478"/>
      <c r="AJ23" s="478"/>
      <c r="AK23" s="478"/>
      <c r="AL23" s="477"/>
      <c r="AM23" s="478"/>
      <c r="AN23" s="478"/>
      <c r="AO23" s="478"/>
      <c r="AP23" s="478"/>
      <c r="AQ23" s="477"/>
      <c r="AR23" s="478"/>
      <c r="AS23" s="478"/>
      <c r="AT23" s="478"/>
      <c r="AU23" s="478"/>
      <c r="AV23" s="477"/>
      <c r="AW23" s="478"/>
      <c r="AX23" s="478"/>
      <c r="AY23" s="478"/>
      <c r="AZ23" s="478"/>
      <c r="BA23" s="477"/>
      <c r="BB23" s="478"/>
      <c r="BC23" s="478"/>
      <c r="BD23" s="478"/>
      <c r="BE23" s="478"/>
      <c r="BF23" s="477"/>
      <c r="BG23" s="478"/>
      <c r="BH23" s="478"/>
      <c r="BI23" s="478"/>
      <c r="BJ23" s="478"/>
      <c r="BK23" s="477"/>
      <c r="BL23" s="478"/>
      <c r="BM23" s="478"/>
      <c r="BN23" s="478"/>
      <c r="BO23" s="478"/>
      <c r="BP23" s="477"/>
      <c r="BQ23" s="478"/>
      <c r="BR23" s="478"/>
      <c r="BS23" s="478"/>
      <c r="BT23" s="478"/>
      <c r="BU23" s="477"/>
      <c r="BV23" s="478"/>
      <c r="BW23" s="478"/>
      <c r="BX23" s="478"/>
      <c r="BY23" s="478"/>
      <c r="BZ23" s="477"/>
      <c r="CA23" s="478"/>
      <c r="CB23" s="478"/>
      <c r="CC23" s="478"/>
      <c r="CD23" s="478"/>
      <c r="CE23" s="477"/>
      <c r="CF23" s="478"/>
      <c r="CG23" s="478"/>
      <c r="CH23" s="478"/>
      <c r="CI23" s="478"/>
      <c r="CJ23" s="477"/>
      <c r="CK23" s="478"/>
      <c r="CL23" s="478"/>
      <c r="CM23" s="478"/>
      <c r="CN23" s="478"/>
      <c r="CO23" s="477"/>
      <c r="CP23" s="478"/>
      <c r="CQ23" s="478"/>
      <c r="CR23" s="478"/>
      <c r="CS23" s="478"/>
      <c r="CT23" s="477"/>
      <c r="CU23" s="478"/>
      <c r="CV23" s="478"/>
      <c r="CW23" s="478"/>
      <c r="CX23" s="478"/>
      <c r="CY23" s="477"/>
      <c r="CZ23" s="478"/>
      <c r="DA23" s="478"/>
      <c r="DB23" s="478"/>
      <c r="DC23" s="478"/>
      <c r="DD23" s="477"/>
      <c r="DE23" s="478"/>
      <c r="DF23" s="478"/>
      <c r="DG23" s="478"/>
      <c r="DH23" s="478"/>
      <c r="DI23" s="477"/>
      <c r="DJ23" s="478"/>
      <c r="DK23" s="478"/>
      <c r="DL23" s="478"/>
      <c r="DM23" s="478"/>
      <c r="DN23" s="477"/>
      <c r="DO23" s="478"/>
      <c r="DP23" s="478"/>
      <c r="DQ23" s="478"/>
      <c r="DR23" s="478"/>
      <c r="DS23" s="477"/>
      <c r="DT23" s="478"/>
      <c r="DU23" s="478"/>
      <c r="DV23" s="478"/>
      <c r="DW23" s="478"/>
      <c r="DX23" s="477"/>
      <c r="DY23" s="478"/>
      <c r="DZ23" s="478"/>
      <c r="EA23" s="478"/>
      <c r="EB23" s="478"/>
      <c r="EC23" s="477"/>
      <c r="ED23" s="478"/>
      <c r="EE23" s="478"/>
      <c r="EF23" s="478"/>
      <c r="EG23" s="478"/>
      <c r="EH23" s="477"/>
      <c r="EI23" s="478"/>
      <c r="EJ23" s="478"/>
      <c r="EK23" s="478"/>
      <c r="EL23" s="478"/>
      <c r="EM23" s="477"/>
      <c r="EN23" s="478"/>
      <c r="EO23" s="478"/>
      <c r="EP23" s="478"/>
      <c r="EQ23" s="478"/>
      <c r="ER23" s="477"/>
      <c r="ES23" s="478"/>
      <c r="ET23" s="478"/>
      <c r="EU23" s="478"/>
      <c r="EV23" s="478"/>
      <c r="EW23" s="477"/>
      <c r="EX23" s="478"/>
      <c r="EY23" s="478"/>
      <c r="EZ23" s="478"/>
      <c r="FA23" s="478"/>
      <c r="FB23" s="477"/>
      <c r="FC23" s="478"/>
      <c r="FD23" s="478"/>
      <c r="FE23" s="478"/>
      <c r="FF23" s="478"/>
      <c r="FG23" s="477"/>
      <c r="FH23" s="478"/>
      <c r="FI23" s="478"/>
      <c r="FJ23" s="478"/>
      <c r="FK23" s="478"/>
      <c r="FL23" s="477"/>
      <c r="FM23" s="478"/>
      <c r="FN23" s="478"/>
      <c r="FO23" s="478"/>
      <c r="FP23" s="478"/>
      <c r="FQ23" s="477"/>
      <c r="FR23" s="478"/>
      <c r="FS23" s="478"/>
      <c r="FT23" s="478"/>
      <c r="FU23" s="478"/>
      <c r="FV23" s="477"/>
      <c r="FW23" s="478"/>
      <c r="FX23" s="478"/>
      <c r="FY23" s="478"/>
      <c r="FZ23" s="478"/>
      <c r="GA23" s="477"/>
      <c r="GB23" s="478"/>
      <c r="GC23" s="478"/>
      <c r="GD23" s="478"/>
      <c r="GE23" s="478"/>
      <c r="GF23" s="477"/>
      <c r="GG23" s="478"/>
      <c r="GH23" s="478"/>
      <c r="GI23" s="478"/>
      <c r="GJ23" s="478"/>
      <c r="GK23" s="477"/>
      <c r="GL23" s="478"/>
      <c r="GM23" s="478"/>
      <c r="GN23" s="478"/>
      <c r="GO23" s="478"/>
      <c r="GP23" s="477"/>
      <c r="GQ23" s="478"/>
      <c r="GR23" s="478"/>
      <c r="GS23" s="478"/>
      <c r="GT23" s="478"/>
      <c r="GU23" s="477"/>
      <c r="GV23" s="478"/>
      <c r="GW23" s="478"/>
      <c r="GX23" s="478"/>
      <c r="GY23" s="478"/>
      <c r="GZ23" s="477"/>
      <c r="HA23" s="478"/>
      <c r="HB23" s="478"/>
      <c r="HC23" s="478"/>
      <c r="HD23" s="478"/>
      <c r="HE23" s="477"/>
      <c r="HF23" s="478"/>
      <c r="HG23" s="478"/>
      <c r="HH23" s="478"/>
      <c r="HI23" s="478"/>
      <c r="HJ23" s="477"/>
      <c r="HK23" s="478"/>
      <c r="HL23" s="478"/>
      <c r="HM23" s="478"/>
      <c r="HN23" s="478"/>
      <c r="HO23" s="477"/>
      <c r="HP23" s="478"/>
      <c r="HQ23" s="478"/>
      <c r="HR23" s="478"/>
      <c r="HS23" s="478"/>
      <c r="HT23" s="477"/>
      <c r="HU23" s="478"/>
      <c r="HV23" s="478"/>
      <c r="HW23" s="478"/>
      <c r="HX23" s="478"/>
      <c r="HY23" s="477"/>
      <c r="HZ23" s="478"/>
      <c r="IA23" s="478"/>
      <c r="IB23" s="478"/>
      <c r="IC23" s="478"/>
      <c r="ID23" s="477"/>
      <c r="IE23" s="478"/>
      <c r="IF23" s="478"/>
      <c r="IG23" s="478"/>
      <c r="IH23" s="478"/>
      <c r="II23" s="477"/>
      <c r="IJ23" s="478"/>
      <c r="IK23" s="478"/>
      <c r="IL23" s="478"/>
      <c r="IM23" s="478"/>
      <c r="IN23" s="477"/>
      <c r="IO23" s="478"/>
      <c r="IP23" s="478"/>
      <c r="IQ23" s="478"/>
      <c r="IR23" s="478"/>
      <c r="IS23" s="477"/>
      <c r="IT23" s="478"/>
      <c r="IU23" s="478"/>
      <c r="IV23" s="478"/>
      <c r="IW23" s="478"/>
      <c r="IX23" s="477"/>
      <c r="IY23" s="478"/>
      <c r="IZ23" s="478"/>
      <c r="JA23" s="478"/>
      <c r="JB23" s="478"/>
      <c r="JC23" s="477"/>
      <c r="JD23" s="478"/>
      <c r="JE23" s="478"/>
      <c r="JF23" s="478"/>
      <c r="JG23" s="478"/>
      <c r="JH23" s="477"/>
      <c r="JI23" s="478"/>
      <c r="JJ23" s="478"/>
      <c r="JK23" s="478"/>
      <c r="JL23" s="478"/>
      <c r="JM23" s="477"/>
      <c r="JN23" s="478"/>
      <c r="JO23" s="478"/>
      <c r="JP23" s="478"/>
      <c r="JQ23" s="482"/>
    </row>
    <row r="24" spans="2:277" ht="15" customHeight="1">
      <c r="B24" s="543" t="str">
        <f>REPORT!E12&amp;" - "&amp;REPORT!F12</f>
        <v xml:space="preserve">D002 - PATTERN 3D COVER DWG  </v>
      </c>
      <c r="C24" s="543"/>
      <c r="D24" s="424" t="s">
        <v>122</v>
      </c>
      <c r="E24" s="434">
        <f>REPORT!H12</f>
        <v>0</v>
      </c>
      <c r="F24" s="434" t="str">
        <f t="shared" si="573"/>
        <v/>
      </c>
      <c r="H24" s="434" t="str">
        <f>GANTT_D!H22</f>
        <v/>
      </c>
      <c r="I24" s="434" t="str">
        <f>GANTT_D!I22</f>
        <v/>
      </c>
      <c r="J24" s="468" t="str">
        <f>GANTT_D!J22</f>
        <v/>
      </c>
      <c r="K24" s="468" t="str">
        <f>GANTT_D!K22</f>
        <v/>
      </c>
      <c r="L24" s="424"/>
      <c r="M24" s="477"/>
      <c r="N24" s="478"/>
      <c r="O24" s="478"/>
      <c r="P24" s="478"/>
      <c r="Q24" s="478"/>
      <c r="R24" s="477"/>
      <c r="S24" s="478"/>
      <c r="T24" s="478"/>
      <c r="U24" s="478"/>
      <c r="V24" s="478"/>
      <c r="W24" s="477"/>
      <c r="X24" s="478"/>
      <c r="Y24" s="478"/>
      <c r="Z24" s="478"/>
      <c r="AA24" s="478"/>
      <c r="AB24" s="477"/>
      <c r="AC24" s="478"/>
      <c r="AD24" s="478"/>
      <c r="AE24" s="478"/>
      <c r="AF24" s="478"/>
      <c r="AG24" s="477"/>
      <c r="AH24" s="478"/>
      <c r="AI24" s="478"/>
      <c r="AJ24" s="478"/>
      <c r="AK24" s="478"/>
      <c r="AL24" s="477"/>
      <c r="AM24" s="478"/>
      <c r="AN24" s="478"/>
      <c r="AO24" s="478"/>
      <c r="AP24" s="478"/>
      <c r="AQ24" s="477"/>
      <c r="AR24" s="478"/>
      <c r="AS24" s="478"/>
      <c r="AT24" s="478"/>
      <c r="AU24" s="478"/>
      <c r="AV24" s="477"/>
      <c r="AW24" s="478"/>
      <c r="AX24" s="478"/>
      <c r="AY24" s="478"/>
      <c r="AZ24" s="478"/>
      <c r="BA24" s="477"/>
      <c r="BB24" s="478"/>
      <c r="BC24" s="478"/>
      <c r="BD24" s="478"/>
      <c r="BE24" s="478"/>
      <c r="BF24" s="477"/>
      <c r="BG24" s="478"/>
      <c r="BH24" s="478"/>
      <c r="BI24" s="478"/>
      <c r="BJ24" s="478"/>
      <c r="BK24" s="477"/>
      <c r="BL24" s="478"/>
      <c r="BM24" s="478"/>
      <c r="BN24" s="478"/>
      <c r="BO24" s="478"/>
      <c r="BP24" s="477"/>
      <c r="BQ24" s="478"/>
      <c r="BR24" s="478"/>
      <c r="BS24" s="478"/>
      <c r="BT24" s="478"/>
      <c r="BU24" s="477"/>
      <c r="BV24" s="478"/>
      <c r="BW24" s="478"/>
      <c r="BX24" s="478"/>
      <c r="BY24" s="478"/>
      <c r="BZ24" s="477"/>
      <c r="CA24" s="478"/>
      <c r="CB24" s="478"/>
      <c r="CC24" s="478"/>
      <c r="CD24" s="478"/>
      <c r="CE24" s="477"/>
      <c r="CF24" s="478"/>
      <c r="CG24" s="478"/>
      <c r="CH24" s="478"/>
      <c r="CI24" s="478"/>
      <c r="CJ24" s="477"/>
      <c r="CK24" s="478"/>
      <c r="CL24" s="478"/>
      <c r="CM24" s="478"/>
      <c r="CN24" s="478"/>
      <c r="CO24" s="477"/>
      <c r="CP24" s="478"/>
      <c r="CQ24" s="478"/>
      <c r="CR24" s="478"/>
      <c r="CS24" s="478"/>
      <c r="CT24" s="477"/>
      <c r="CU24" s="478"/>
      <c r="CV24" s="478"/>
      <c r="CW24" s="478"/>
      <c r="CX24" s="478"/>
      <c r="CY24" s="477"/>
      <c r="CZ24" s="478"/>
      <c r="DA24" s="478"/>
      <c r="DB24" s="478"/>
      <c r="DC24" s="478"/>
      <c r="DD24" s="477"/>
      <c r="DE24" s="478"/>
      <c r="DF24" s="478"/>
      <c r="DG24" s="478"/>
      <c r="DH24" s="478"/>
      <c r="DI24" s="477"/>
      <c r="DJ24" s="478"/>
      <c r="DK24" s="478"/>
      <c r="DL24" s="478"/>
      <c r="DM24" s="478"/>
      <c r="DN24" s="477"/>
      <c r="DO24" s="478"/>
      <c r="DP24" s="478"/>
      <c r="DQ24" s="478"/>
      <c r="DR24" s="478"/>
      <c r="DS24" s="477"/>
      <c r="DT24" s="478"/>
      <c r="DU24" s="478"/>
      <c r="DV24" s="478"/>
      <c r="DW24" s="478"/>
      <c r="DX24" s="477"/>
      <c r="DY24" s="478"/>
      <c r="DZ24" s="478"/>
      <c r="EA24" s="478"/>
      <c r="EB24" s="478"/>
      <c r="EC24" s="477"/>
      <c r="ED24" s="478"/>
      <c r="EE24" s="478"/>
      <c r="EF24" s="478"/>
      <c r="EG24" s="478"/>
      <c r="EH24" s="477"/>
      <c r="EI24" s="478"/>
      <c r="EJ24" s="478"/>
      <c r="EK24" s="478"/>
      <c r="EL24" s="478"/>
      <c r="EM24" s="477"/>
      <c r="EN24" s="478"/>
      <c r="EO24" s="478"/>
      <c r="EP24" s="478"/>
      <c r="EQ24" s="478"/>
      <c r="ER24" s="477"/>
      <c r="ES24" s="478"/>
      <c r="ET24" s="478"/>
      <c r="EU24" s="478"/>
      <c r="EV24" s="478"/>
      <c r="EW24" s="477"/>
      <c r="EX24" s="478"/>
      <c r="EY24" s="478"/>
      <c r="EZ24" s="478"/>
      <c r="FA24" s="478"/>
      <c r="FB24" s="477"/>
      <c r="FC24" s="478"/>
      <c r="FD24" s="478"/>
      <c r="FE24" s="478"/>
      <c r="FF24" s="478"/>
      <c r="FG24" s="477"/>
      <c r="FH24" s="478"/>
      <c r="FI24" s="478"/>
      <c r="FJ24" s="478"/>
      <c r="FK24" s="478"/>
      <c r="FL24" s="477"/>
      <c r="FM24" s="478"/>
      <c r="FN24" s="478"/>
      <c r="FO24" s="478"/>
      <c r="FP24" s="478"/>
      <c r="FQ24" s="477"/>
      <c r="FR24" s="478"/>
      <c r="FS24" s="478"/>
      <c r="FT24" s="478"/>
      <c r="FU24" s="478"/>
      <c r="FV24" s="477"/>
      <c r="FW24" s="478"/>
      <c r="FX24" s="478"/>
      <c r="FY24" s="478"/>
      <c r="FZ24" s="478"/>
      <c r="GA24" s="477"/>
      <c r="GB24" s="478"/>
      <c r="GC24" s="478"/>
      <c r="GD24" s="478"/>
      <c r="GE24" s="478"/>
      <c r="GF24" s="477"/>
      <c r="GG24" s="478"/>
      <c r="GH24" s="478"/>
      <c r="GI24" s="478"/>
      <c r="GJ24" s="478"/>
      <c r="GK24" s="477"/>
      <c r="GL24" s="478"/>
      <c r="GM24" s="478"/>
      <c r="GN24" s="478"/>
      <c r="GO24" s="478"/>
      <c r="GP24" s="477"/>
      <c r="GQ24" s="478"/>
      <c r="GR24" s="478"/>
      <c r="GS24" s="478"/>
      <c r="GT24" s="478"/>
      <c r="GU24" s="477"/>
      <c r="GV24" s="478"/>
      <c r="GW24" s="478"/>
      <c r="GX24" s="478"/>
      <c r="GY24" s="478"/>
      <c r="GZ24" s="477"/>
      <c r="HA24" s="478"/>
      <c r="HB24" s="478"/>
      <c r="HC24" s="478"/>
      <c r="HD24" s="478"/>
      <c r="HE24" s="477"/>
      <c r="HF24" s="478"/>
      <c r="HG24" s="478"/>
      <c r="HH24" s="478"/>
      <c r="HI24" s="478"/>
      <c r="HJ24" s="477"/>
      <c r="HK24" s="478"/>
      <c r="HL24" s="478"/>
      <c r="HM24" s="478"/>
      <c r="HN24" s="478"/>
      <c r="HO24" s="477"/>
      <c r="HP24" s="478"/>
      <c r="HQ24" s="478"/>
      <c r="HR24" s="478"/>
      <c r="HS24" s="478"/>
      <c r="HT24" s="477"/>
      <c r="HU24" s="478"/>
      <c r="HV24" s="478"/>
      <c r="HW24" s="478"/>
      <c r="HX24" s="478"/>
      <c r="HY24" s="477"/>
      <c r="HZ24" s="478"/>
      <c r="IA24" s="478"/>
      <c r="IB24" s="478"/>
      <c r="IC24" s="478"/>
      <c r="ID24" s="477"/>
      <c r="IE24" s="478"/>
      <c r="IF24" s="478"/>
      <c r="IG24" s="478"/>
      <c r="IH24" s="478"/>
      <c r="II24" s="477"/>
      <c r="IJ24" s="478"/>
      <c r="IK24" s="478"/>
      <c r="IL24" s="478"/>
      <c r="IM24" s="478"/>
      <c r="IN24" s="477"/>
      <c r="IO24" s="478"/>
      <c r="IP24" s="478"/>
      <c r="IQ24" s="478"/>
      <c r="IR24" s="478"/>
      <c r="IS24" s="477"/>
      <c r="IT24" s="478"/>
      <c r="IU24" s="478"/>
      <c r="IV24" s="478"/>
      <c r="IW24" s="478"/>
      <c r="IX24" s="477"/>
      <c r="IY24" s="478"/>
      <c r="IZ24" s="478"/>
      <c r="JA24" s="478"/>
      <c r="JB24" s="478"/>
      <c r="JC24" s="477"/>
      <c r="JD24" s="478"/>
      <c r="JE24" s="478"/>
      <c r="JF24" s="478"/>
      <c r="JG24" s="478"/>
      <c r="JH24" s="477"/>
      <c r="JI24" s="478"/>
      <c r="JJ24" s="478"/>
      <c r="JK24" s="478"/>
      <c r="JL24" s="478"/>
      <c r="JM24" s="477"/>
      <c r="JN24" s="478"/>
      <c r="JO24" s="478"/>
      <c r="JP24" s="478"/>
      <c r="JQ24" s="482"/>
    </row>
    <row r="25" spans="2:277" ht="15" customHeight="1">
      <c r="B25" s="544" t="str">
        <f>REPORT!E13&amp;" - "&amp;REPORT!F13</f>
        <v xml:space="preserve">D003 - PATTERN 3D IMPELLER DWG  </v>
      </c>
      <c r="C25" s="544"/>
      <c r="D25" s="473" t="s">
        <v>122</v>
      </c>
      <c r="E25" s="465">
        <f>REPORT!H13</f>
        <v>4.5714285714285712</v>
      </c>
      <c r="F25" s="465">
        <f t="shared" si="573"/>
        <v>1</v>
      </c>
      <c r="H25" s="434">
        <f>GANTT_D!H23</f>
        <v>9</v>
      </c>
      <c r="I25" s="434">
        <f>GANTT_D!I23</f>
        <v>13</v>
      </c>
      <c r="J25" s="468">
        <f>GANTT_D!J23</f>
        <v>2.5</v>
      </c>
      <c r="K25" s="468">
        <f>GANTT_D!K23</f>
        <v>3</v>
      </c>
      <c r="L25" s="424"/>
      <c r="M25" s="477"/>
      <c r="N25" s="478"/>
      <c r="O25" s="478"/>
      <c r="P25" s="478"/>
      <c r="Q25" s="478"/>
      <c r="R25" s="477"/>
      <c r="S25" s="478"/>
      <c r="T25" s="478"/>
      <c r="U25" s="478"/>
      <c r="V25" s="478"/>
      <c r="W25" s="477"/>
      <c r="X25" s="478"/>
      <c r="Y25" s="478"/>
      <c r="Z25" s="478"/>
      <c r="AA25" s="478"/>
      <c r="AB25" s="477"/>
      <c r="AC25" s="478"/>
      <c r="AD25" s="478"/>
      <c r="AE25" s="478"/>
      <c r="AF25" s="478"/>
      <c r="AG25" s="477"/>
      <c r="AH25" s="478"/>
      <c r="AI25" s="478"/>
      <c r="AJ25" s="478"/>
      <c r="AK25" s="478"/>
      <c r="AL25" s="477"/>
      <c r="AM25" s="478"/>
      <c r="AN25" s="478"/>
      <c r="AO25" s="478"/>
      <c r="AP25" s="478"/>
      <c r="AQ25" s="477"/>
      <c r="AR25" s="478"/>
      <c r="AS25" s="478"/>
      <c r="AT25" s="478"/>
      <c r="AU25" s="478"/>
      <c r="AV25" s="477"/>
      <c r="AW25" s="478"/>
      <c r="AX25" s="478"/>
      <c r="AY25" s="478"/>
      <c r="AZ25" s="478"/>
      <c r="BA25" s="477"/>
      <c r="BB25" s="478"/>
      <c r="BC25" s="478"/>
      <c r="BD25" s="478"/>
      <c r="BE25" s="478"/>
      <c r="BF25" s="477"/>
      <c r="BG25" s="478"/>
      <c r="BH25" s="478"/>
      <c r="BI25" s="478"/>
      <c r="BJ25" s="478"/>
      <c r="BK25" s="477"/>
      <c r="BL25" s="478"/>
      <c r="BM25" s="478"/>
      <c r="BN25" s="478"/>
      <c r="BO25" s="478"/>
      <c r="BP25" s="477"/>
      <c r="BQ25" s="478"/>
      <c r="BR25" s="478"/>
      <c r="BS25" s="478"/>
      <c r="BT25" s="478"/>
      <c r="BU25" s="477"/>
      <c r="BV25" s="478"/>
      <c r="BW25" s="478"/>
      <c r="BX25" s="478"/>
      <c r="BY25" s="478"/>
      <c r="BZ25" s="477"/>
      <c r="CA25" s="478"/>
      <c r="CB25" s="478"/>
      <c r="CC25" s="478"/>
      <c r="CD25" s="478"/>
      <c r="CE25" s="477"/>
      <c r="CF25" s="478"/>
      <c r="CG25" s="478"/>
      <c r="CH25" s="478"/>
      <c r="CI25" s="478"/>
      <c r="CJ25" s="477"/>
      <c r="CK25" s="478"/>
      <c r="CL25" s="478"/>
      <c r="CM25" s="478"/>
      <c r="CN25" s="478"/>
      <c r="CO25" s="477"/>
      <c r="CP25" s="478"/>
      <c r="CQ25" s="478"/>
      <c r="CR25" s="478"/>
      <c r="CS25" s="478"/>
      <c r="CT25" s="477"/>
      <c r="CU25" s="478"/>
      <c r="CV25" s="478"/>
      <c r="CW25" s="478"/>
      <c r="CX25" s="478"/>
      <c r="CY25" s="477"/>
      <c r="CZ25" s="478"/>
      <c r="DA25" s="478"/>
      <c r="DB25" s="478"/>
      <c r="DC25" s="478"/>
      <c r="DD25" s="477"/>
      <c r="DE25" s="478"/>
      <c r="DF25" s="478"/>
      <c r="DG25" s="478"/>
      <c r="DH25" s="478"/>
      <c r="DI25" s="477"/>
      <c r="DJ25" s="478"/>
      <c r="DK25" s="478"/>
      <c r="DL25" s="478"/>
      <c r="DM25" s="478"/>
      <c r="DN25" s="477"/>
      <c r="DO25" s="478"/>
      <c r="DP25" s="478"/>
      <c r="DQ25" s="478"/>
      <c r="DR25" s="478"/>
      <c r="DS25" s="477"/>
      <c r="DT25" s="478"/>
      <c r="DU25" s="478"/>
      <c r="DV25" s="478"/>
      <c r="DW25" s="478"/>
      <c r="DX25" s="477"/>
      <c r="DY25" s="478"/>
      <c r="DZ25" s="478"/>
      <c r="EA25" s="478"/>
      <c r="EB25" s="478"/>
      <c r="EC25" s="477"/>
      <c r="ED25" s="478"/>
      <c r="EE25" s="478"/>
      <c r="EF25" s="478"/>
      <c r="EG25" s="478"/>
      <c r="EH25" s="477"/>
      <c r="EI25" s="478"/>
      <c r="EJ25" s="478"/>
      <c r="EK25" s="478"/>
      <c r="EL25" s="478"/>
      <c r="EM25" s="477"/>
      <c r="EN25" s="478"/>
      <c r="EO25" s="478"/>
      <c r="EP25" s="478"/>
      <c r="EQ25" s="478"/>
      <c r="ER25" s="477"/>
      <c r="ES25" s="478"/>
      <c r="ET25" s="478"/>
      <c r="EU25" s="478"/>
      <c r="EV25" s="478"/>
      <c r="EW25" s="477"/>
      <c r="EX25" s="478"/>
      <c r="EY25" s="478"/>
      <c r="EZ25" s="478"/>
      <c r="FA25" s="478"/>
      <c r="FB25" s="477"/>
      <c r="FC25" s="478"/>
      <c r="FD25" s="478"/>
      <c r="FE25" s="478"/>
      <c r="FF25" s="478"/>
      <c r="FG25" s="477"/>
      <c r="FH25" s="478"/>
      <c r="FI25" s="478"/>
      <c r="FJ25" s="478"/>
      <c r="FK25" s="478"/>
      <c r="FL25" s="477"/>
      <c r="FM25" s="478"/>
      <c r="FN25" s="478"/>
      <c r="FO25" s="478"/>
      <c r="FP25" s="478"/>
      <c r="FQ25" s="477"/>
      <c r="FR25" s="478"/>
      <c r="FS25" s="478"/>
      <c r="FT25" s="478"/>
      <c r="FU25" s="478"/>
      <c r="FV25" s="477"/>
      <c r="FW25" s="478"/>
      <c r="FX25" s="478"/>
      <c r="FY25" s="478"/>
      <c r="FZ25" s="478"/>
      <c r="GA25" s="477"/>
      <c r="GB25" s="478"/>
      <c r="GC25" s="478"/>
      <c r="GD25" s="478"/>
      <c r="GE25" s="478"/>
      <c r="GF25" s="477"/>
      <c r="GG25" s="478"/>
      <c r="GH25" s="478"/>
      <c r="GI25" s="478"/>
      <c r="GJ25" s="478"/>
      <c r="GK25" s="477"/>
      <c r="GL25" s="478"/>
      <c r="GM25" s="478"/>
      <c r="GN25" s="478"/>
      <c r="GO25" s="478"/>
      <c r="GP25" s="477"/>
      <c r="GQ25" s="478"/>
      <c r="GR25" s="478"/>
      <c r="GS25" s="478"/>
      <c r="GT25" s="478"/>
      <c r="GU25" s="477"/>
      <c r="GV25" s="478"/>
      <c r="GW25" s="478"/>
      <c r="GX25" s="478"/>
      <c r="GY25" s="478"/>
      <c r="GZ25" s="477"/>
      <c r="HA25" s="478"/>
      <c r="HB25" s="478"/>
      <c r="HC25" s="478"/>
      <c r="HD25" s="478"/>
      <c r="HE25" s="477"/>
      <c r="HF25" s="478"/>
      <c r="HG25" s="478"/>
      <c r="HH25" s="478"/>
      <c r="HI25" s="478"/>
      <c r="HJ25" s="477"/>
      <c r="HK25" s="478"/>
      <c r="HL25" s="478"/>
      <c r="HM25" s="478"/>
      <c r="HN25" s="478"/>
      <c r="HO25" s="477"/>
      <c r="HP25" s="478"/>
      <c r="HQ25" s="478"/>
      <c r="HR25" s="478"/>
      <c r="HS25" s="478"/>
      <c r="HT25" s="477"/>
      <c r="HU25" s="478"/>
      <c r="HV25" s="478"/>
      <c r="HW25" s="478"/>
      <c r="HX25" s="478"/>
      <c r="HY25" s="477"/>
      <c r="HZ25" s="478"/>
      <c r="IA25" s="478"/>
      <c r="IB25" s="478"/>
      <c r="IC25" s="478"/>
      <c r="ID25" s="477"/>
      <c r="IE25" s="478"/>
      <c r="IF25" s="478"/>
      <c r="IG25" s="478"/>
      <c r="IH25" s="478"/>
      <c r="II25" s="477"/>
      <c r="IJ25" s="478"/>
      <c r="IK25" s="478"/>
      <c r="IL25" s="478"/>
      <c r="IM25" s="478"/>
      <c r="IN25" s="477"/>
      <c r="IO25" s="478"/>
      <c r="IP25" s="478"/>
      <c r="IQ25" s="478"/>
      <c r="IR25" s="478"/>
      <c r="IS25" s="477"/>
      <c r="IT25" s="478"/>
      <c r="IU25" s="478"/>
      <c r="IV25" s="478"/>
      <c r="IW25" s="478"/>
      <c r="IX25" s="477"/>
      <c r="IY25" s="478"/>
      <c r="IZ25" s="478"/>
      <c r="JA25" s="478"/>
      <c r="JB25" s="478"/>
      <c r="JC25" s="477"/>
      <c r="JD25" s="478"/>
      <c r="JE25" s="478"/>
      <c r="JF25" s="478"/>
      <c r="JG25" s="478"/>
      <c r="JH25" s="477"/>
      <c r="JI25" s="478"/>
      <c r="JJ25" s="478"/>
      <c r="JK25" s="478"/>
      <c r="JL25" s="478"/>
      <c r="JM25" s="477"/>
      <c r="JN25" s="478"/>
      <c r="JO25" s="478"/>
      <c r="JP25" s="478"/>
      <c r="JQ25" s="482"/>
    </row>
    <row r="26" spans="2:277" ht="15" customHeight="1">
      <c r="B26" s="543" t="str">
        <f>REPORT!E14&amp;" - "&amp;REPORT!F14</f>
        <v xml:space="preserve">D004 - PATTERN 3D DIFFUSER DWG  </v>
      </c>
      <c r="C26" s="543"/>
      <c r="D26" s="424" t="s">
        <v>122</v>
      </c>
      <c r="E26" s="434">
        <f>REPORT!H14</f>
        <v>0</v>
      </c>
      <c r="F26" s="434" t="str">
        <f t="shared" si="573"/>
        <v/>
      </c>
      <c r="H26" s="434" t="str">
        <f>GANTT_D!H24</f>
        <v/>
      </c>
      <c r="I26" s="434" t="str">
        <f>GANTT_D!I24</f>
        <v/>
      </c>
      <c r="J26" s="468" t="str">
        <f>GANTT_D!J24</f>
        <v/>
      </c>
      <c r="K26" s="468" t="str">
        <f>GANTT_D!K24</f>
        <v/>
      </c>
      <c r="L26" s="424"/>
      <c r="M26" s="477"/>
      <c r="N26" s="478"/>
      <c r="O26" s="478"/>
      <c r="P26" s="478"/>
      <c r="Q26" s="478"/>
      <c r="R26" s="477"/>
      <c r="S26" s="478"/>
      <c r="T26" s="478"/>
      <c r="U26" s="478"/>
      <c r="V26" s="478"/>
      <c r="W26" s="477"/>
      <c r="X26" s="478"/>
      <c r="Y26" s="478"/>
      <c r="Z26" s="478"/>
      <c r="AA26" s="478"/>
      <c r="AB26" s="477"/>
      <c r="AC26" s="478"/>
      <c r="AD26" s="478"/>
      <c r="AE26" s="478"/>
      <c r="AF26" s="478"/>
      <c r="AG26" s="477"/>
      <c r="AH26" s="478"/>
      <c r="AI26" s="478"/>
      <c r="AJ26" s="478"/>
      <c r="AK26" s="478"/>
      <c r="AL26" s="477"/>
      <c r="AM26" s="478"/>
      <c r="AN26" s="478"/>
      <c r="AO26" s="478"/>
      <c r="AP26" s="478"/>
      <c r="AQ26" s="477"/>
      <c r="AR26" s="478"/>
      <c r="AS26" s="478"/>
      <c r="AT26" s="478"/>
      <c r="AU26" s="478"/>
      <c r="AV26" s="477"/>
      <c r="AW26" s="478"/>
      <c r="AX26" s="478"/>
      <c r="AY26" s="478"/>
      <c r="AZ26" s="478"/>
      <c r="BA26" s="477"/>
      <c r="BB26" s="478"/>
      <c r="BC26" s="478"/>
      <c r="BD26" s="478"/>
      <c r="BE26" s="478"/>
      <c r="BF26" s="477"/>
      <c r="BG26" s="478"/>
      <c r="BH26" s="478"/>
      <c r="BI26" s="478"/>
      <c r="BJ26" s="478"/>
      <c r="BK26" s="477"/>
      <c r="BL26" s="478"/>
      <c r="BM26" s="478"/>
      <c r="BN26" s="478"/>
      <c r="BO26" s="478"/>
      <c r="BP26" s="477"/>
      <c r="BQ26" s="478"/>
      <c r="BR26" s="478"/>
      <c r="BS26" s="478"/>
      <c r="BT26" s="478"/>
      <c r="BU26" s="477"/>
      <c r="BV26" s="478"/>
      <c r="BW26" s="478"/>
      <c r="BX26" s="478"/>
      <c r="BY26" s="478"/>
      <c r="BZ26" s="477"/>
      <c r="CA26" s="478"/>
      <c r="CB26" s="478"/>
      <c r="CC26" s="478"/>
      <c r="CD26" s="478"/>
      <c r="CE26" s="477"/>
      <c r="CF26" s="478"/>
      <c r="CG26" s="478"/>
      <c r="CH26" s="478"/>
      <c r="CI26" s="478"/>
      <c r="CJ26" s="477"/>
      <c r="CK26" s="478"/>
      <c r="CL26" s="478"/>
      <c r="CM26" s="478"/>
      <c r="CN26" s="478"/>
      <c r="CO26" s="477"/>
      <c r="CP26" s="478"/>
      <c r="CQ26" s="478"/>
      <c r="CR26" s="478"/>
      <c r="CS26" s="478"/>
      <c r="CT26" s="477"/>
      <c r="CU26" s="478"/>
      <c r="CV26" s="478"/>
      <c r="CW26" s="478"/>
      <c r="CX26" s="478"/>
      <c r="CY26" s="477"/>
      <c r="CZ26" s="478"/>
      <c r="DA26" s="478"/>
      <c r="DB26" s="478"/>
      <c r="DC26" s="478"/>
      <c r="DD26" s="477"/>
      <c r="DE26" s="478"/>
      <c r="DF26" s="478"/>
      <c r="DG26" s="478"/>
      <c r="DH26" s="478"/>
      <c r="DI26" s="477"/>
      <c r="DJ26" s="478"/>
      <c r="DK26" s="478"/>
      <c r="DL26" s="478"/>
      <c r="DM26" s="478"/>
      <c r="DN26" s="477"/>
      <c r="DO26" s="478"/>
      <c r="DP26" s="478"/>
      <c r="DQ26" s="478"/>
      <c r="DR26" s="478"/>
      <c r="DS26" s="477"/>
      <c r="DT26" s="478"/>
      <c r="DU26" s="478"/>
      <c r="DV26" s="478"/>
      <c r="DW26" s="478"/>
      <c r="DX26" s="477"/>
      <c r="DY26" s="478"/>
      <c r="DZ26" s="478"/>
      <c r="EA26" s="478"/>
      <c r="EB26" s="478"/>
      <c r="EC26" s="477"/>
      <c r="ED26" s="478"/>
      <c r="EE26" s="478"/>
      <c r="EF26" s="478"/>
      <c r="EG26" s="478"/>
      <c r="EH26" s="477"/>
      <c r="EI26" s="478"/>
      <c r="EJ26" s="478"/>
      <c r="EK26" s="478"/>
      <c r="EL26" s="478"/>
      <c r="EM26" s="477"/>
      <c r="EN26" s="478"/>
      <c r="EO26" s="478"/>
      <c r="EP26" s="478"/>
      <c r="EQ26" s="478"/>
      <c r="ER26" s="477"/>
      <c r="ES26" s="478"/>
      <c r="ET26" s="478"/>
      <c r="EU26" s="478"/>
      <c r="EV26" s="478"/>
      <c r="EW26" s="477"/>
      <c r="EX26" s="478"/>
      <c r="EY26" s="478"/>
      <c r="EZ26" s="478"/>
      <c r="FA26" s="478"/>
      <c r="FB26" s="477"/>
      <c r="FC26" s="478"/>
      <c r="FD26" s="478"/>
      <c r="FE26" s="478"/>
      <c r="FF26" s="478"/>
      <c r="FG26" s="477"/>
      <c r="FH26" s="478"/>
      <c r="FI26" s="478"/>
      <c r="FJ26" s="478"/>
      <c r="FK26" s="478"/>
      <c r="FL26" s="477"/>
      <c r="FM26" s="478"/>
      <c r="FN26" s="478"/>
      <c r="FO26" s="478"/>
      <c r="FP26" s="478"/>
      <c r="FQ26" s="477"/>
      <c r="FR26" s="478"/>
      <c r="FS26" s="478"/>
      <c r="FT26" s="478"/>
      <c r="FU26" s="478"/>
      <c r="FV26" s="477"/>
      <c r="FW26" s="478"/>
      <c r="FX26" s="478"/>
      <c r="FY26" s="478"/>
      <c r="FZ26" s="478"/>
      <c r="GA26" s="477"/>
      <c r="GB26" s="478"/>
      <c r="GC26" s="478"/>
      <c r="GD26" s="478"/>
      <c r="GE26" s="478"/>
      <c r="GF26" s="477"/>
      <c r="GG26" s="478"/>
      <c r="GH26" s="478"/>
      <c r="GI26" s="478"/>
      <c r="GJ26" s="478"/>
      <c r="GK26" s="477"/>
      <c r="GL26" s="478"/>
      <c r="GM26" s="478"/>
      <c r="GN26" s="478"/>
      <c r="GO26" s="478"/>
      <c r="GP26" s="477"/>
      <c r="GQ26" s="478"/>
      <c r="GR26" s="478"/>
      <c r="GS26" s="478"/>
      <c r="GT26" s="478"/>
      <c r="GU26" s="477"/>
      <c r="GV26" s="478"/>
      <c r="GW26" s="478"/>
      <c r="GX26" s="478"/>
      <c r="GY26" s="478"/>
      <c r="GZ26" s="477"/>
      <c r="HA26" s="478"/>
      <c r="HB26" s="478"/>
      <c r="HC26" s="478"/>
      <c r="HD26" s="478"/>
      <c r="HE26" s="477"/>
      <c r="HF26" s="478"/>
      <c r="HG26" s="478"/>
      <c r="HH26" s="478"/>
      <c r="HI26" s="478"/>
      <c r="HJ26" s="477"/>
      <c r="HK26" s="478"/>
      <c r="HL26" s="478"/>
      <c r="HM26" s="478"/>
      <c r="HN26" s="478"/>
      <c r="HO26" s="477"/>
      <c r="HP26" s="478"/>
      <c r="HQ26" s="478"/>
      <c r="HR26" s="478"/>
      <c r="HS26" s="478"/>
      <c r="HT26" s="477"/>
      <c r="HU26" s="478"/>
      <c r="HV26" s="478"/>
      <c r="HW26" s="478"/>
      <c r="HX26" s="478"/>
      <c r="HY26" s="477"/>
      <c r="HZ26" s="478"/>
      <c r="IA26" s="478"/>
      <c r="IB26" s="478"/>
      <c r="IC26" s="478"/>
      <c r="ID26" s="477"/>
      <c r="IE26" s="478"/>
      <c r="IF26" s="478"/>
      <c r="IG26" s="478"/>
      <c r="IH26" s="478"/>
      <c r="II26" s="477"/>
      <c r="IJ26" s="478"/>
      <c r="IK26" s="478"/>
      <c r="IL26" s="478"/>
      <c r="IM26" s="478"/>
      <c r="IN26" s="477"/>
      <c r="IO26" s="478"/>
      <c r="IP26" s="478"/>
      <c r="IQ26" s="478"/>
      <c r="IR26" s="478"/>
      <c r="IS26" s="477"/>
      <c r="IT26" s="478"/>
      <c r="IU26" s="478"/>
      <c r="IV26" s="478"/>
      <c r="IW26" s="478"/>
      <c r="IX26" s="477"/>
      <c r="IY26" s="478"/>
      <c r="IZ26" s="478"/>
      <c r="JA26" s="478"/>
      <c r="JB26" s="478"/>
      <c r="JC26" s="477"/>
      <c r="JD26" s="478"/>
      <c r="JE26" s="478"/>
      <c r="JF26" s="478"/>
      <c r="JG26" s="478"/>
      <c r="JH26" s="477"/>
      <c r="JI26" s="478"/>
      <c r="JJ26" s="478"/>
      <c r="JK26" s="478"/>
      <c r="JL26" s="478"/>
      <c r="JM26" s="477"/>
      <c r="JN26" s="478"/>
      <c r="JO26" s="478"/>
      <c r="JP26" s="478"/>
      <c r="JQ26" s="482"/>
    </row>
    <row r="27" spans="2:277" ht="15" customHeight="1">
      <c r="B27" s="544" t="str">
        <f>REPORT!E15&amp;" - "&amp;REPORT!F15</f>
        <v>D005 - PATTERN 3D OTHER DWG</v>
      </c>
      <c r="C27" s="544"/>
      <c r="D27" s="473" t="s">
        <v>122</v>
      </c>
      <c r="E27" s="465">
        <f>REPORT!H15</f>
        <v>0</v>
      </c>
      <c r="F27" s="465" t="str">
        <f t="shared" si="573"/>
        <v/>
      </c>
      <c r="H27" s="434" t="str">
        <f>GANTT_D!H25</f>
        <v/>
      </c>
      <c r="I27" s="434" t="str">
        <f>GANTT_D!I25</f>
        <v/>
      </c>
      <c r="J27" s="468" t="str">
        <f>GANTT_D!J25</f>
        <v/>
      </c>
      <c r="K27" s="468" t="str">
        <f>GANTT_D!K25</f>
        <v/>
      </c>
      <c r="L27" s="424"/>
      <c r="M27" s="477"/>
      <c r="N27" s="478"/>
      <c r="O27" s="478"/>
      <c r="P27" s="478"/>
      <c r="Q27" s="478"/>
      <c r="R27" s="477"/>
      <c r="S27" s="478"/>
      <c r="T27" s="478"/>
      <c r="U27" s="478"/>
      <c r="V27" s="478"/>
      <c r="W27" s="477"/>
      <c r="X27" s="478"/>
      <c r="Y27" s="478"/>
      <c r="Z27" s="478"/>
      <c r="AA27" s="478"/>
      <c r="AB27" s="477"/>
      <c r="AC27" s="478"/>
      <c r="AD27" s="478"/>
      <c r="AE27" s="478"/>
      <c r="AF27" s="478"/>
      <c r="AG27" s="477"/>
      <c r="AH27" s="478"/>
      <c r="AI27" s="478"/>
      <c r="AJ27" s="478"/>
      <c r="AK27" s="478"/>
      <c r="AL27" s="477"/>
      <c r="AM27" s="478"/>
      <c r="AN27" s="478"/>
      <c r="AO27" s="478"/>
      <c r="AP27" s="478"/>
      <c r="AQ27" s="477"/>
      <c r="AR27" s="478"/>
      <c r="AS27" s="478"/>
      <c r="AT27" s="478"/>
      <c r="AU27" s="478"/>
      <c r="AV27" s="477"/>
      <c r="AW27" s="478"/>
      <c r="AX27" s="478"/>
      <c r="AY27" s="478"/>
      <c r="AZ27" s="478"/>
      <c r="BA27" s="477"/>
      <c r="BB27" s="478"/>
      <c r="BC27" s="478"/>
      <c r="BD27" s="478"/>
      <c r="BE27" s="478"/>
      <c r="BF27" s="477"/>
      <c r="BG27" s="478"/>
      <c r="BH27" s="478"/>
      <c r="BI27" s="478"/>
      <c r="BJ27" s="478"/>
      <c r="BK27" s="477"/>
      <c r="BL27" s="478"/>
      <c r="BM27" s="478"/>
      <c r="BN27" s="478"/>
      <c r="BO27" s="478"/>
      <c r="BP27" s="477"/>
      <c r="BQ27" s="478"/>
      <c r="BR27" s="478"/>
      <c r="BS27" s="478"/>
      <c r="BT27" s="478"/>
      <c r="BU27" s="477"/>
      <c r="BV27" s="478"/>
      <c r="BW27" s="478"/>
      <c r="BX27" s="478"/>
      <c r="BY27" s="478"/>
      <c r="BZ27" s="477"/>
      <c r="CA27" s="478"/>
      <c r="CB27" s="478"/>
      <c r="CC27" s="478"/>
      <c r="CD27" s="478"/>
      <c r="CE27" s="477"/>
      <c r="CF27" s="478"/>
      <c r="CG27" s="478"/>
      <c r="CH27" s="478"/>
      <c r="CI27" s="478"/>
      <c r="CJ27" s="477"/>
      <c r="CK27" s="478"/>
      <c r="CL27" s="478"/>
      <c r="CM27" s="478"/>
      <c r="CN27" s="478"/>
      <c r="CO27" s="477"/>
      <c r="CP27" s="478"/>
      <c r="CQ27" s="478"/>
      <c r="CR27" s="478"/>
      <c r="CS27" s="478"/>
      <c r="CT27" s="477"/>
      <c r="CU27" s="478"/>
      <c r="CV27" s="478"/>
      <c r="CW27" s="478"/>
      <c r="CX27" s="478"/>
      <c r="CY27" s="477"/>
      <c r="CZ27" s="478"/>
      <c r="DA27" s="478"/>
      <c r="DB27" s="478"/>
      <c r="DC27" s="478"/>
      <c r="DD27" s="477"/>
      <c r="DE27" s="478"/>
      <c r="DF27" s="478"/>
      <c r="DG27" s="478"/>
      <c r="DH27" s="478"/>
      <c r="DI27" s="477"/>
      <c r="DJ27" s="478"/>
      <c r="DK27" s="478"/>
      <c r="DL27" s="478"/>
      <c r="DM27" s="478"/>
      <c r="DN27" s="477"/>
      <c r="DO27" s="478"/>
      <c r="DP27" s="478"/>
      <c r="DQ27" s="478"/>
      <c r="DR27" s="478"/>
      <c r="DS27" s="477"/>
      <c r="DT27" s="478"/>
      <c r="DU27" s="478"/>
      <c r="DV27" s="478"/>
      <c r="DW27" s="478"/>
      <c r="DX27" s="477"/>
      <c r="DY27" s="478"/>
      <c r="DZ27" s="478"/>
      <c r="EA27" s="478"/>
      <c r="EB27" s="478"/>
      <c r="EC27" s="477"/>
      <c r="ED27" s="478"/>
      <c r="EE27" s="478"/>
      <c r="EF27" s="478"/>
      <c r="EG27" s="478"/>
      <c r="EH27" s="477"/>
      <c r="EI27" s="478"/>
      <c r="EJ27" s="478"/>
      <c r="EK27" s="478"/>
      <c r="EL27" s="478"/>
      <c r="EM27" s="477"/>
      <c r="EN27" s="478"/>
      <c r="EO27" s="478"/>
      <c r="EP27" s="478"/>
      <c r="EQ27" s="478"/>
      <c r="ER27" s="477"/>
      <c r="ES27" s="478"/>
      <c r="ET27" s="478"/>
      <c r="EU27" s="478"/>
      <c r="EV27" s="478"/>
      <c r="EW27" s="477"/>
      <c r="EX27" s="478"/>
      <c r="EY27" s="478"/>
      <c r="EZ27" s="478"/>
      <c r="FA27" s="478"/>
      <c r="FB27" s="477"/>
      <c r="FC27" s="478"/>
      <c r="FD27" s="478"/>
      <c r="FE27" s="478"/>
      <c r="FF27" s="478"/>
      <c r="FG27" s="477"/>
      <c r="FH27" s="478"/>
      <c r="FI27" s="478"/>
      <c r="FJ27" s="478"/>
      <c r="FK27" s="478"/>
      <c r="FL27" s="477"/>
      <c r="FM27" s="478"/>
      <c r="FN27" s="478"/>
      <c r="FO27" s="478"/>
      <c r="FP27" s="478"/>
      <c r="FQ27" s="477"/>
      <c r="FR27" s="478"/>
      <c r="FS27" s="478"/>
      <c r="FT27" s="478"/>
      <c r="FU27" s="478"/>
      <c r="FV27" s="477"/>
      <c r="FW27" s="478"/>
      <c r="FX27" s="478"/>
      <c r="FY27" s="478"/>
      <c r="FZ27" s="478"/>
      <c r="GA27" s="477"/>
      <c r="GB27" s="478"/>
      <c r="GC27" s="478"/>
      <c r="GD27" s="478"/>
      <c r="GE27" s="478"/>
      <c r="GF27" s="477"/>
      <c r="GG27" s="478"/>
      <c r="GH27" s="478"/>
      <c r="GI27" s="478"/>
      <c r="GJ27" s="478"/>
      <c r="GK27" s="477"/>
      <c r="GL27" s="478"/>
      <c r="GM27" s="478"/>
      <c r="GN27" s="478"/>
      <c r="GO27" s="478"/>
      <c r="GP27" s="477"/>
      <c r="GQ27" s="478"/>
      <c r="GR27" s="478"/>
      <c r="GS27" s="478"/>
      <c r="GT27" s="478"/>
      <c r="GU27" s="477"/>
      <c r="GV27" s="478"/>
      <c r="GW27" s="478"/>
      <c r="GX27" s="478"/>
      <c r="GY27" s="478"/>
      <c r="GZ27" s="477"/>
      <c r="HA27" s="478"/>
      <c r="HB27" s="478"/>
      <c r="HC27" s="478"/>
      <c r="HD27" s="478"/>
      <c r="HE27" s="477"/>
      <c r="HF27" s="478"/>
      <c r="HG27" s="478"/>
      <c r="HH27" s="478"/>
      <c r="HI27" s="478"/>
      <c r="HJ27" s="477"/>
      <c r="HK27" s="478"/>
      <c r="HL27" s="478"/>
      <c r="HM27" s="478"/>
      <c r="HN27" s="478"/>
      <c r="HO27" s="477"/>
      <c r="HP27" s="478"/>
      <c r="HQ27" s="478"/>
      <c r="HR27" s="478"/>
      <c r="HS27" s="478"/>
      <c r="HT27" s="477"/>
      <c r="HU27" s="478"/>
      <c r="HV27" s="478"/>
      <c r="HW27" s="478"/>
      <c r="HX27" s="478"/>
      <c r="HY27" s="477"/>
      <c r="HZ27" s="478"/>
      <c r="IA27" s="478"/>
      <c r="IB27" s="478"/>
      <c r="IC27" s="478"/>
      <c r="ID27" s="477"/>
      <c r="IE27" s="478"/>
      <c r="IF27" s="478"/>
      <c r="IG27" s="478"/>
      <c r="IH27" s="478"/>
      <c r="II27" s="477"/>
      <c r="IJ27" s="478"/>
      <c r="IK27" s="478"/>
      <c r="IL27" s="478"/>
      <c r="IM27" s="478"/>
      <c r="IN27" s="477"/>
      <c r="IO27" s="478"/>
      <c r="IP27" s="478"/>
      <c r="IQ27" s="478"/>
      <c r="IR27" s="478"/>
      <c r="IS27" s="477"/>
      <c r="IT27" s="478"/>
      <c r="IU27" s="478"/>
      <c r="IV27" s="478"/>
      <c r="IW27" s="478"/>
      <c r="IX27" s="477"/>
      <c r="IY27" s="478"/>
      <c r="IZ27" s="478"/>
      <c r="JA27" s="478"/>
      <c r="JB27" s="478"/>
      <c r="JC27" s="477"/>
      <c r="JD27" s="478"/>
      <c r="JE27" s="478"/>
      <c r="JF27" s="478"/>
      <c r="JG27" s="478"/>
      <c r="JH27" s="477"/>
      <c r="JI27" s="478"/>
      <c r="JJ27" s="478"/>
      <c r="JK27" s="478"/>
      <c r="JL27" s="478"/>
      <c r="JM27" s="477"/>
      <c r="JN27" s="478"/>
      <c r="JO27" s="478"/>
      <c r="JP27" s="478"/>
      <c r="JQ27" s="482"/>
    </row>
    <row r="28" spans="2:277" ht="15" customHeight="1">
      <c r="B28" s="543" t="str">
        <f>REPORT!E16&amp;" - "&amp;REPORT!F16</f>
        <v xml:space="preserve">D010 - CASTINGS RELEASE PREX E-BOM  </v>
      </c>
      <c r="C28" s="543"/>
      <c r="D28" s="424" t="s">
        <v>122</v>
      </c>
      <c r="E28" s="434">
        <f>REPORT!H16</f>
        <v>2.8571428571428572</v>
      </c>
      <c r="F28" s="434">
        <f t="shared" si="573"/>
        <v>1</v>
      </c>
      <c r="H28" s="434">
        <f>GANTT_D!H26</f>
        <v>28</v>
      </c>
      <c r="I28" s="434">
        <f>GANTT_D!I26</f>
        <v>30</v>
      </c>
      <c r="J28" s="468">
        <f>GANTT_D!J26</f>
        <v>6</v>
      </c>
      <c r="K28" s="468">
        <f>GANTT_D!K26</f>
        <v>6.5</v>
      </c>
      <c r="L28" s="424"/>
      <c r="M28" s="477"/>
      <c r="N28" s="478"/>
      <c r="O28" s="478"/>
      <c r="P28" s="478"/>
      <c r="Q28" s="478"/>
      <c r="R28" s="477"/>
      <c r="S28" s="478"/>
      <c r="T28" s="478"/>
      <c r="U28" s="478"/>
      <c r="V28" s="478"/>
      <c r="W28" s="477"/>
      <c r="X28" s="478"/>
      <c r="Y28" s="478"/>
      <c r="Z28" s="478"/>
      <c r="AA28" s="478"/>
      <c r="AB28" s="477"/>
      <c r="AC28" s="478"/>
      <c r="AD28" s="478"/>
      <c r="AE28" s="478"/>
      <c r="AF28" s="478"/>
      <c r="AG28" s="477"/>
      <c r="AH28" s="478"/>
      <c r="AI28" s="478"/>
      <c r="AJ28" s="478"/>
      <c r="AK28" s="478"/>
      <c r="AL28" s="477"/>
      <c r="AM28" s="478"/>
      <c r="AN28" s="478"/>
      <c r="AO28" s="478"/>
      <c r="AP28" s="478"/>
      <c r="AQ28" s="477"/>
      <c r="AR28" s="478"/>
      <c r="AS28" s="478"/>
      <c r="AT28" s="478"/>
      <c r="AU28" s="478"/>
      <c r="AV28" s="477"/>
      <c r="AW28" s="478"/>
      <c r="AX28" s="478"/>
      <c r="AY28" s="478"/>
      <c r="AZ28" s="478"/>
      <c r="BA28" s="477"/>
      <c r="BB28" s="478"/>
      <c r="BC28" s="478"/>
      <c r="BD28" s="478"/>
      <c r="BE28" s="478"/>
      <c r="BF28" s="477"/>
      <c r="BG28" s="478"/>
      <c r="BH28" s="478"/>
      <c r="BI28" s="478"/>
      <c r="BJ28" s="478"/>
      <c r="BK28" s="477"/>
      <c r="BL28" s="478"/>
      <c r="BM28" s="478"/>
      <c r="BN28" s="478"/>
      <c r="BO28" s="478"/>
      <c r="BP28" s="477"/>
      <c r="BQ28" s="478"/>
      <c r="BR28" s="478"/>
      <c r="BS28" s="478"/>
      <c r="BT28" s="478"/>
      <c r="BU28" s="477"/>
      <c r="BV28" s="478"/>
      <c r="BW28" s="478"/>
      <c r="BX28" s="478"/>
      <c r="BY28" s="478"/>
      <c r="BZ28" s="477"/>
      <c r="CA28" s="478"/>
      <c r="CB28" s="478"/>
      <c r="CC28" s="478"/>
      <c r="CD28" s="478"/>
      <c r="CE28" s="477"/>
      <c r="CF28" s="478"/>
      <c r="CG28" s="478"/>
      <c r="CH28" s="478"/>
      <c r="CI28" s="478"/>
      <c r="CJ28" s="477"/>
      <c r="CK28" s="478"/>
      <c r="CL28" s="478"/>
      <c r="CM28" s="478"/>
      <c r="CN28" s="478"/>
      <c r="CO28" s="477"/>
      <c r="CP28" s="478"/>
      <c r="CQ28" s="478"/>
      <c r="CR28" s="478"/>
      <c r="CS28" s="478"/>
      <c r="CT28" s="477"/>
      <c r="CU28" s="478"/>
      <c r="CV28" s="478"/>
      <c r="CW28" s="478"/>
      <c r="CX28" s="478"/>
      <c r="CY28" s="477"/>
      <c r="CZ28" s="478"/>
      <c r="DA28" s="478"/>
      <c r="DB28" s="478"/>
      <c r="DC28" s="478"/>
      <c r="DD28" s="477"/>
      <c r="DE28" s="478"/>
      <c r="DF28" s="478"/>
      <c r="DG28" s="478"/>
      <c r="DH28" s="478"/>
      <c r="DI28" s="477"/>
      <c r="DJ28" s="478"/>
      <c r="DK28" s="478"/>
      <c r="DL28" s="478"/>
      <c r="DM28" s="478"/>
      <c r="DN28" s="477"/>
      <c r="DO28" s="478"/>
      <c r="DP28" s="478"/>
      <c r="DQ28" s="478"/>
      <c r="DR28" s="478"/>
      <c r="DS28" s="477"/>
      <c r="DT28" s="478"/>
      <c r="DU28" s="478"/>
      <c r="DV28" s="478"/>
      <c r="DW28" s="478"/>
      <c r="DX28" s="477"/>
      <c r="DY28" s="478"/>
      <c r="DZ28" s="478"/>
      <c r="EA28" s="478"/>
      <c r="EB28" s="478"/>
      <c r="EC28" s="477"/>
      <c r="ED28" s="478"/>
      <c r="EE28" s="478"/>
      <c r="EF28" s="478"/>
      <c r="EG28" s="478"/>
      <c r="EH28" s="477"/>
      <c r="EI28" s="478"/>
      <c r="EJ28" s="478"/>
      <c r="EK28" s="478"/>
      <c r="EL28" s="478"/>
      <c r="EM28" s="477"/>
      <c r="EN28" s="478"/>
      <c r="EO28" s="478"/>
      <c r="EP28" s="478"/>
      <c r="EQ28" s="478"/>
      <c r="ER28" s="477"/>
      <c r="ES28" s="478"/>
      <c r="ET28" s="478"/>
      <c r="EU28" s="478"/>
      <c r="EV28" s="478"/>
      <c r="EW28" s="477"/>
      <c r="EX28" s="478"/>
      <c r="EY28" s="478"/>
      <c r="EZ28" s="478"/>
      <c r="FA28" s="478"/>
      <c r="FB28" s="477"/>
      <c r="FC28" s="478"/>
      <c r="FD28" s="478"/>
      <c r="FE28" s="478"/>
      <c r="FF28" s="478"/>
      <c r="FG28" s="477"/>
      <c r="FH28" s="478"/>
      <c r="FI28" s="478"/>
      <c r="FJ28" s="478"/>
      <c r="FK28" s="478"/>
      <c r="FL28" s="477"/>
      <c r="FM28" s="478"/>
      <c r="FN28" s="478"/>
      <c r="FO28" s="478"/>
      <c r="FP28" s="478"/>
      <c r="FQ28" s="477"/>
      <c r="FR28" s="478"/>
      <c r="FS28" s="478"/>
      <c r="FT28" s="478"/>
      <c r="FU28" s="478"/>
      <c r="FV28" s="477"/>
      <c r="FW28" s="478"/>
      <c r="FX28" s="478"/>
      <c r="FY28" s="478"/>
      <c r="FZ28" s="478"/>
      <c r="GA28" s="477"/>
      <c r="GB28" s="478"/>
      <c r="GC28" s="478"/>
      <c r="GD28" s="478"/>
      <c r="GE28" s="478"/>
      <c r="GF28" s="477"/>
      <c r="GG28" s="478"/>
      <c r="GH28" s="478"/>
      <c r="GI28" s="478"/>
      <c r="GJ28" s="478"/>
      <c r="GK28" s="477"/>
      <c r="GL28" s="478"/>
      <c r="GM28" s="478"/>
      <c r="GN28" s="478"/>
      <c r="GO28" s="478"/>
      <c r="GP28" s="477"/>
      <c r="GQ28" s="478"/>
      <c r="GR28" s="478"/>
      <c r="GS28" s="478"/>
      <c r="GT28" s="478"/>
      <c r="GU28" s="477"/>
      <c r="GV28" s="478"/>
      <c r="GW28" s="478"/>
      <c r="GX28" s="478"/>
      <c r="GY28" s="478"/>
      <c r="GZ28" s="477"/>
      <c r="HA28" s="478"/>
      <c r="HB28" s="478"/>
      <c r="HC28" s="478"/>
      <c r="HD28" s="478"/>
      <c r="HE28" s="477"/>
      <c r="HF28" s="478"/>
      <c r="HG28" s="478"/>
      <c r="HH28" s="478"/>
      <c r="HI28" s="478"/>
      <c r="HJ28" s="477"/>
      <c r="HK28" s="478"/>
      <c r="HL28" s="478"/>
      <c r="HM28" s="478"/>
      <c r="HN28" s="478"/>
      <c r="HO28" s="477"/>
      <c r="HP28" s="478"/>
      <c r="HQ28" s="478"/>
      <c r="HR28" s="478"/>
      <c r="HS28" s="478"/>
      <c r="HT28" s="477"/>
      <c r="HU28" s="478"/>
      <c r="HV28" s="478"/>
      <c r="HW28" s="478"/>
      <c r="HX28" s="478"/>
      <c r="HY28" s="477"/>
      <c r="HZ28" s="478"/>
      <c r="IA28" s="478"/>
      <c r="IB28" s="478"/>
      <c r="IC28" s="478"/>
      <c r="ID28" s="477"/>
      <c r="IE28" s="478"/>
      <c r="IF28" s="478"/>
      <c r="IG28" s="478"/>
      <c r="IH28" s="478"/>
      <c r="II28" s="477"/>
      <c r="IJ28" s="478"/>
      <c r="IK28" s="478"/>
      <c r="IL28" s="478"/>
      <c r="IM28" s="478"/>
      <c r="IN28" s="477"/>
      <c r="IO28" s="478"/>
      <c r="IP28" s="478"/>
      <c r="IQ28" s="478"/>
      <c r="IR28" s="478"/>
      <c r="IS28" s="477"/>
      <c r="IT28" s="478"/>
      <c r="IU28" s="478"/>
      <c r="IV28" s="478"/>
      <c r="IW28" s="478"/>
      <c r="IX28" s="477"/>
      <c r="IY28" s="478"/>
      <c r="IZ28" s="478"/>
      <c r="JA28" s="478"/>
      <c r="JB28" s="478"/>
      <c r="JC28" s="477"/>
      <c r="JD28" s="478"/>
      <c r="JE28" s="478"/>
      <c r="JF28" s="478"/>
      <c r="JG28" s="478"/>
      <c r="JH28" s="477"/>
      <c r="JI28" s="478"/>
      <c r="JJ28" s="478"/>
      <c r="JK28" s="478"/>
      <c r="JL28" s="478"/>
      <c r="JM28" s="477"/>
      <c r="JN28" s="478"/>
      <c r="JO28" s="478"/>
      <c r="JP28" s="478"/>
      <c r="JQ28" s="482"/>
    </row>
    <row r="29" spans="2:277" ht="15" customHeight="1">
      <c r="B29" s="544" t="str">
        <f>REPORT!E17&amp;" - "&amp;REPORT!F17</f>
        <v>D015 - PREX E-BOM COMPLETION</v>
      </c>
      <c r="C29" s="544"/>
      <c r="D29" s="473" t="s">
        <v>122</v>
      </c>
      <c r="E29" s="465">
        <f>REPORT!H17</f>
        <v>6.2857142857142856</v>
      </c>
      <c r="F29" s="465">
        <f t="shared" si="573"/>
        <v>2</v>
      </c>
      <c r="H29" s="434">
        <f>GANTT_D!H27</f>
        <v>31</v>
      </c>
      <c r="I29" s="434">
        <f>GANTT_D!I27</f>
        <v>36</v>
      </c>
      <c r="J29" s="468">
        <f>GANTT_D!J27</f>
        <v>7</v>
      </c>
      <c r="K29" s="468">
        <f>GANTT_D!K27</f>
        <v>8</v>
      </c>
      <c r="L29" s="424"/>
      <c r="M29" s="477"/>
      <c r="N29" s="478"/>
      <c r="O29" s="478"/>
      <c r="P29" s="478"/>
      <c r="Q29" s="478"/>
      <c r="R29" s="477"/>
      <c r="S29" s="478"/>
      <c r="T29" s="478"/>
      <c r="U29" s="478"/>
      <c r="V29" s="478"/>
      <c r="W29" s="477"/>
      <c r="X29" s="478"/>
      <c r="Y29" s="478"/>
      <c r="Z29" s="478"/>
      <c r="AA29" s="478"/>
      <c r="AB29" s="477"/>
      <c r="AC29" s="478"/>
      <c r="AD29" s="478"/>
      <c r="AE29" s="478"/>
      <c r="AF29" s="478"/>
      <c r="AG29" s="477"/>
      <c r="AH29" s="478"/>
      <c r="AI29" s="478"/>
      <c r="AJ29" s="478"/>
      <c r="AK29" s="478"/>
      <c r="AL29" s="477"/>
      <c r="AM29" s="478"/>
      <c r="AN29" s="478"/>
      <c r="AO29" s="478"/>
      <c r="AP29" s="478"/>
      <c r="AQ29" s="477"/>
      <c r="AR29" s="478"/>
      <c r="AS29" s="478"/>
      <c r="AT29" s="478"/>
      <c r="AU29" s="478"/>
      <c r="AV29" s="477"/>
      <c r="AW29" s="478"/>
      <c r="AX29" s="478"/>
      <c r="AY29" s="478"/>
      <c r="AZ29" s="478"/>
      <c r="BA29" s="477"/>
      <c r="BB29" s="478"/>
      <c r="BC29" s="478"/>
      <c r="BD29" s="478"/>
      <c r="BE29" s="478"/>
      <c r="BF29" s="477"/>
      <c r="BG29" s="478"/>
      <c r="BH29" s="478"/>
      <c r="BI29" s="478"/>
      <c r="BJ29" s="478"/>
      <c r="BK29" s="477"/>
      <c r="BL29" s="478"/>
      <c r="BM29" s="478"/>
      <c r="BN29" s="478"/>
      <c r="BO29" s="478"/>
      <c r="BP29" s="477"/>
      <c r="BQ29" s="478"/>
      <c r="BR29" s="478"/>
      <c r="BS29" s="478"/>
      <c r="BT29" s="478"/>
      <c r="BU29" s="477"/>
      <c r="BV29" s="478"/>
      <c r="BW29" s="478"/>
      <c r="BX29" s="478"/>
      <c r="BY29" s="478"/>
      <c r="BZ29" s="477"/>
      <c r="CA29" s="478"/>
      <c r="CB29" s="478"/>
      <c r="CC29" s="478"/>
      <c r="CD29" s="478"/>
      <c r="CE29" s="477"/>
      <c r="CF29" s="478"/>
      <c r="CG29" s="478"/>
      <c r="CH29" s="478"/>
      <c r="CI29" s="478"/>
      <c r="CJ29" s="477"/>
      <c r="CK29" s="478"/>
      <c r="CL29" s="478"/>
      <c r="CM29" s="478"/>
      <c r="CN29" s="478"/>
      <c r="CO29" s="477"/>
      <c r="CP29" s="478"/>
      <c r="CQ29" s="478"/>
      <c r="CR29" s="478"/>
      <c r="CS29" s="478"/>
      <c r="CT29" s="477"/>
      <c r="CU29" s="478"/>
      <c r="CV29" s="478"/>
      <c r="CW29" s="478"/>
      <c r="CX29" s="478"/>
      <c r="CY29" s="477"/>
      <c r="CZ29" s="478"/>
      <c r="DA29" s="478"/>
      <c r="DB29" s="478"/>
      <c r="DC29" s="478"/>
      <c r="DD29" s="477"/>
      <c r="DE29" s="478"/>
      <c r="DF29" s="478"/>
      <c r="DG29" s="478"/>
      <c r="DH29" s="478"/>
      <c r="DI29" s="477"/>
      <c r="DJ29" s="478"/>
      <c r="DK29" s="478"/>
      <c r="DL29" s="478"/>
      <c r="DM29" s="478"/>
      <c r="DN29" s="477"/>
      <c r="DO29" s="478"/>
      <c r="DP29" s="478"/>
      <c r="DQ29" s="478"/>
      <c r="DR29" s="478"/>
      <c r="DS29" s="477"/>
      <c r="DT29" s="478"/>
      <c r="DU29" s="478"/>
      <c r="DV29" s="478"/>
      <c r="DW29" s="478"/>
      <c r="DX29" s="477"/>
      <c r="DY29" s="478"/>
      <c r="DZ29" s="478"/>
      <c r="EA29" s="478"/>
      <c r="EB29" s="478"/>
      <c r="EC29" s="477"/>
      <c r="ED29" s="478"/>
      <c r="EE29" s="478"/>
      <c r="EF29" s="478"/>
      <c r="EG29" s="478"/>
      <c r="EH29" s="477"/>
      <c r="EI29" s="478"/>
      <c r="EJ29" s="478"/>
      <c r="EK29" s="478"/>
      <c r="EL29" s="478"/>
      <c r="EM29" s="477"/>
      <c r="EN29" s="478"/>
      <c r="EO29" s="478"/>
      <c r="EP29" s="478"/>
      <c r="EQ29" s="478"/>
      <c r="ER29" s="477"/>
      <c r="ES29" s="478"/>
      <c r="ET29" s="478"/>
      <c r="EU29" s="478"/>
      <c r="EV29" s="478"/>
      <c r="EW29" s="477"/>
      <c r="EX29" s="478"/>
      <c r="EY29" s="478"/>
      <c r="EZ29" s="478"/>
      <c r="FA29" s="478"/>
      <c r="FB29" s="477"/>
      <c r="FC29" s="478"/>
      <c r="FD29" s="478"/>
      <c r="FE29" s="478"/>
      <c r="FF29" s="478"/>
      <c r="FG29" s="477"/>
      <c r="FH29" s="478"/>
      <c r="FI29" s="478"/>
      <c r="FJ29" s="478"/>
      <c r="FK29" s="478"/>
      <c r="FL29" s="477"/>
      <c r="FM29" s="478"/>
      <c r="FN29" s="478"/>
      <c r="FO29" s="478"/>
      <c r="FP29" s="478"/>
      <c r="FQ29" s="477"/>
      <c r="FR29" s="478"/>
      <c r="FS29" s="478"/>
      <c r="FT29" s="478"/>
      <c r="FU29" s="478"/>
      <c r="FV29" s="477"/>
      <c r="FW29" s="478"/>
      <c r="FX29" s="478"/>
      <c r="FY29" s="478"/>
      <c r="FZ29" s="478"/>
      <c r="GA29" s="477"/>
      <c r="GB29" s="478"/>
      <c r="GC29" s="478"/>
      <c r="GD29" s="478"/>
      <c r="GE29" s="478"/>
      <c r="GF29" s="477"/>
      <c r="GG29" s="478"/>
      <c r="GH29" s="478"/>
      <c r="GI29" s="478"/>
      <c r="GJ29" s="478"/>
      <c r="GK29" s="477"/>
      <c r="GL29" s="478"/>
      <c r="GM29" s="478"/>
      <c r="GN29" s="478"/>
      <c r="GO29" s="478"/>
      <c r="GP29" s="477"/>
      <c r="GQ29" s="478"/>
      <c r="GR29" s="478"/>
      <c r="GS29" s="478"/>
      <c r="GT29" s="478"/>
      <c r="GU29" s="477"/>
      <c r="GV29" s="478"/>
      <c r="GW29" s="478"/>
      <c r="GX29" s="478"/>
      <c r="GY29" s="478"/>
      <c r="GZ29" s="477"/>
      <c r="HA29" s="478"/>
      <c r="HB29" s="478"/>
      <c r="HC29" s="478"/>
      <c r="HD29" s="478"/>
      <c r="HE29" s="477"/>
      <c r="HF29" s="478"/>
      <c r="HG29" s="478"/>
      <c r="HH29" s="478"/>
      <c r="HI29" s="478"/>
      <c r="HJ29" s="477"/>
      <c r="HK29" s="478"/>
      <c r="HL29" s="478"/>
      <c r="HM29" s="478"/>
      <c r="HN29" s="478"/>
      <c r="HO29" s="477"/>
      <c r="HP29" s="478"/>
      <c r="HQ29" s="478"/>
      <c r="HR29" s="478"/>
      <c r="HS29" s="478"/>
      <c r="HT29" s="477"/>
      <c r="HU29" s="478"/>
      <c r="HV29" s="478"/>
      <c r="HW29" s="478"/>
      <c r="HX29" s="478"/>
      <c r="HY29" s="477"/>
      <c r="HZ29" s="478"/>
      <c r="IA29" s="478"/>
      <c r="IB29" s="478"/>
      <c r="IC29" s="478"/>
      <c r="ID29" s="477"/>
      <c r="IE29" s="478"/>
      <c r="IF29" s="478"/>
      <c r="IG29" s="478"/>
      <c r="IH29" s="478"/>
      <c r="II29" s="477"/>
      <c r="IJ29" s="478"/>
      <c r="IK29" s="478"/>
      <c r="IL29" s="478"/>
      <c r="IM29" s="478"/>
      <c r="IN29" s="477"/>
      <c r="IO29" s="478"/>
      <c r="IP29" s="478"/>
      <c r="IQ29" s="478"/>
      <c r="IR29" s="478"/>
      <c r="IS29" s="477"/>
      <c r="IT29" s="478"/>
      <c r="IU29" s="478"/>
      <c r="IV29" s="478"/>
      <c r="IW29" s="478"/>
      <c r="IX29" s="477"/>
      <c r="IY29" s="478"/>
      <c r="IZ29" s="478"/>
      <c r="JA29" s="478"/>
      <c r="JB29" s="478"/>
      <c r="JC29" s="477"/>
      <c r="JD29" s="478"/>
      <c r="JE29" s="478"/>
      <c r="JF29" s="478"/>
      <c r="JG29" s="478"/>
      <c r="JH29" s="477"/>
      <c r="JI29" s="478"/>
      <c r="JJ29" s="478"/>
      <c r="JK29" s="478"/>
      <c r="JL29" s="478"/>
      <c r="JM29" s="477"/>
      <c r="JN29" s="478"/>
      <c r="JO29" s="478"/>
      <c r="JP29" s="478"/>
      <c r="JQ29" s="482"/>
    </row>
    <row r="30" spans="2:277" ht="15" customHeight="1">
      <c r="B30" s="543" t="str">
        <f>REPORT!E18&amp;" - "&amp;REPORT!F18</f>
        <v>D018 - PREX VERT &amp; WELD STRUCTURE E-BOM</v>
      </c>
      <c r="C30" s="543"/>
      <c r="D30" s="424" t="s">
        <v>122</v>
      </c>
      <c r="E30" s="434">
        <f>REPORT!H18</f>
        <v>0</v>
      </c>
      <c r="F30" s="434" t="str">
        <f t="shared" si="573"/>
        <v/>
      </c>
      <c r="H30" s="434" t="str">
        <f>GANTT_D!H28</f>
        <v/>
      </c>
      <c r="I30" s="434" t="str">
        <f>GANTT_D!I28</f>
        <v/>
      </c>
      <c r="J30" s="468" t="str">
        <f>GANTT_D!J28</f>
        <v/>
      </c>
      <c r="K30" s="468" t="str">
        <f>GANTT_D!K28</f>
        <v/>
      </c>
      <c r="L30" s="424"/>
      <c r="M30" s="477"/>
      <c r="N30" s="478"/>
      <c r="O30" s="478"/>
      <c r="P30" s="478"/>
      <c r="Q30" s="478"/>
      <c r="R30" s="477"/>
      <c r="S30" s="478"/>
      <c r="T30" s="478"/>
      <c r="U30" s="478"/>
      <c r="V30" s="478"/>
      <c r="W30" s="477"/>
      <c r="X30" s="478"/>
      <c r="Y30" s="478"/>
      <c r="Z30" s="478"/>
      <c r="AA30" s="478"/>
      <c r="AB30" s="477"/>
      <c r="AC30" s="478"/>
      <c r="AD30" s="478"/>
      <c r="AE30" s="478"/>
      <c r="AF30" s="478"/>
      <c r="AG30" s="477"/>
      <c r="AH30" s="478"/>
      <c r="AI30" s="478"/>
      <c r="AJ30" s="478"/>
      <c r="AK30" s="478"/>
      <c r="AL30" s="477"/>
      <c r="AM30" s="478"/>
      <c r="AN30" s="478"/>
      <c r="AO30" s="478"/>
      <c r="AP30" s="478"/>
      <c r="AQ30" s="477"/>
      <c r="AR30" s="478"/>
      <c r="AS30" s="478"/>
      <c r="AT30" s="478"/>
      <c r="AU30" s="478"/>
      <c r="AV30" s="477"/>
      <c r="AW30" s="478"/>
      <c r="AX30" s="478"/>
      <c r="AY30" s="478"/>
      <c r="AZ30" s="478"/>
      <c r="BA30" s="477"/>
      <c r="BB30" s="478"/>
      <c r="BC30" s="478"/>
      <c r="BD30" s="478"/>
      <c r="BE30" s="478"/>
      <c r="BF30" s="477"/>
      <c r="BG30" s="478"/>
      <c r="BH30" s="478"/>
      <c r="BI30" s="478"/>
      <c r="BJ30" s="478"/>
      <c r="BK30" s="477"/>
      <c r="BL30" s="478"/>
      <c r="BM30" s="478"/>
      <c r="BN30" s="478"/>
      <c r="BO30" s="478"/>
      <c r="BP30" s="477"/>
      <c r="BQ30" s="478"/>
      <c r="BR30" s="478"/>
      <c r="BS30" s="478"/>
      <c r="BT30" s="478"/>
      <c r="BU30" s="477"/>
      <c r="BV30" s="478"/>
      <c r="BW30" s="478"/>
      <c r="BX30" s="478"/>
      <c r="BY30" s="478"/>
      <c r="BZ30" s="477"/>
      <c r="CA30" s="478"/>
      <c r="CB30" s="478"/>
      <c r="CC30" s="478"/>
      <c r="CD30" s="478"/>
      <c r="CE30" s="477"/>
      <c r="CF30" s="478"/>
      <c r="CG30" s="478"/>
      <c r="CH30" s="478"/>
      <c r="CI30" s="478"/>
      <c r="CJ30" s="477"/>
      <c r="CK30" s="478"/>
      <c r="CL30" s="478"/>
      <c r="CM30" s="478"/>
      <c r="CN30" s="478"/>
      <c r="CO30" s="477"/>
      <c r="CP30" s="478"/>
      <c r="CQ30" s="478"/>
      <c r="CR30" s="478"/>
      <c r="CS30" s="478"/>
      <c r="CT30" s="477"/>
      <c r="CU30" s="478"/>
      <c r="CV30" s="478"/>
      <c r="CW30" s="478"/>
      <c r="CX30" s="478"/>
      <c r="CY30" s="477"/>
      <c r="CZ30" s="478"/>
      <c r="DA30" s="478"/>
      <c r="DB30" s="478"/>
      <c r="DC30" s="478"/>
      <c r="DD30" s="477"/>
      <c r="DE30" s="478"/>
      <c r="DF30" s="478"/>
      <c r="DG30" s="478"/>
      <c r="DH30" s="478"/>
      <c r="DI30" s="477"/>
      <c r="DJ30" s="478"/>
      <c r="DK30" s="478"/>
      <c r="DL30" s="478"/>
      <c r="DM30" s="478"/>
      <c r="DN30" s="477"/>
      <c r="DO30" s="478"/>
      <c r="DP30" s="478"/>
      <c r="DQ30" s="478"/>
      <c r="DR30" s="478"/>
      <c r="DS30" s="477"/>
      <c r="DT30" s="478"/>
      <c r="DU30" s="478"/>
      <c r="DV30" s="478"/>
      <c r="DW30" s="478"/>
      <c r="DX30" s="477"/>
      <c r="DY30" s="478"/>
      <c r="DZ30" s="478"/>
      <c r="EA30" s="478"/>
      <c r="EB30" s="478"/>
      <c r="EC30" s="477"/>
      <c r="ED30" s="478"/>
      <c r="EE30" s="478"/>
      <c r="EF30" s="478"/>
      <c r="EG30" s="478"/>
      <c r="EH30" s="477"/>
      <c r="EI30" s="478"/>
      <c r="EJ30" s="478"/>
      <c r="EK30" s="478"/>
      <c r="EL30" s="478"/>
      <c r="EM30" s="477"/>
      <c r="EN30" s="478"/>
      <c r="EO30" s="478"/>
      <c r="EP30" s="478"/>
      <c r="EQ30" s="478"/>
      <c r="ER30" s="477"/>
      <c r="ES30" s="478"/>
      <c r="ET30" s="478"/>
      <c r="EU30" s="478"/>
      <c r="EV30" s="478"/>
      <c r="EW30" s="477"/>
      <c r="EX30" s="478"/>
      <c r="EY30" s="478"/>
      <c r="EZ30" s="478"/>
      <c r="FA30" s="478"/>
      <c r="FB30" s="477"/>
      <c r="FC30" s="478"/>
      <c r="FD30" s="478"/>
      <c r="FE30" s="478"/>
      <c r="FF30" s="478"/>
      <c r="FG30" s="477"/>
      <c r="FH30" s="478"/>
      <c r="FI30" s="478"/>
      <c r="FJ30" s="478"/>
      <c r="FK30" s="478"/>
      <c r="FL30" s="477"/>
      <c r="FM30" s="478"/>
      <c r="FN30" s="478"/>
      <c r="FO30" s="478"/>
      <c r="FP30" s="478"/>
      <c r="FQ30" s="477"/>
      <c r="FR30" s="478"/>
      <c r="FS30" s="478"/>
      <c r="FT30" s="478"/>
      <c r="FU30" s="478"/>
      <c r="FV30" s="477"/>
      <c r="FW30" s="478"/>
      <c r="FX30" s="478"/>
      <c r="FY30" s="478"/>
      <c r="FZ30" s="478"/>
      <c r="GA30" s="477"/>
      <c r="GB30" s="478"/>
      <c r="GC30" s="478"/>
      <c r="GD30" s="478"/>
      <c r="GE30" s="478"/>
      <c r="GF30" s="477"/>
      <c r="GG30" s="478"/>
      <c r="GH30" s="478"/>
      <c r="GI30" s="478"/>
      <c r="GJ30" s="478"/>
      <c r="GK30" s="477"/>
      <c r="GL30" s="478"/>
      <c r="GM30" s="478"/>
      <c r="GN30" s="478"/>
      <c r="GO30" s="478"/>
      <c r="GP30" s="477"/>
      <c r="GQ30" s="478"/>
      <c r="GR30" s="478"/>
      <c r="GS30" s="478"/>
      <c r="GT30" s="478"/>
      <c r="GU30" s="477"/>
      <c r="GV30" s="478"/>
      <c r="GW30" s="478"/>
      <c r="GX30" s="478"/>
      <c r="GY30" s="478"/>
      <c r="GZ30" s="477"/>
      <c r="HA30" s="478"/>
      <c r="HB30" s="478"/>
      <c r="HC30" s="478"/>
      <c r="HD30" s="478"/>
      <c r="HE30" s="477"/>
      <c r="HF30" s="478"/>
      <c r="HG30" s="478"/>
      <c r="HH30" s="478"/>
      <c r="HI30" s="478"/>
      <c r="HJ30" s="477"/>
      <c r="HK30" s="478"/>
      <c r="HL30" s="478"/>
      <c r="HM30" s="478"/>
      <c r="HN30" s="478"/>
      <c r="HO30" s="477"/>
      <c r="HP30" s="478"/>
      <c r="HQ30" s="478"/>
      <c r="HR30" s="478"/>
      <c r="HS30" s="478"/>
      <c r="HT30" s="477"/>
      <c r="HU30" s="478"/>
      <c r="HV30" s="478"/>
      <c r="HW30" s="478"/>
      <c r="HX30" s="478"/>
      <c r="HY30" s="477"/>
      <c r="HZ30" s="478"/>
      <c r="IA30" s="478"/>
      <c r="IB30" s="478"/>
      <c r="IC30" s="478"/>
      <c r="ID30" s="477"/>
      <c r="IE30" s="478"/>
      <c r="IF30" s="478"/>
      <c r="IG30" s="478"/>
      <c r="IH30" s="478"/>
      <c r="II30" s="477"/>
      <c r="IJ30" s="478"/>
      <c r="IK30" s="478"/>
      <c r="IL30" s="478"/>
      <c r="IM30" s="478"/>
      <c r="IN30" s="477"/>
      <c r="IO30" s="478"/>
      <c r="IP30" s="478"/>
      <c r="IQ30" s="478"/>
      <c r="IR30" s="478"/>
      <c r="IS30" s="477"/>
      <c r="IT30" s="478"/>
      <c r="IU30" s="478"/>
      <c r="IV30" s="478"/>
      <c r="IW30" s="478"/>
      <c r="IX30" s="477"/>
      <c r="IY30" s="478"/>
      <c r="IZ30" s="478"/>
      <c r="JA30" s="478"/>
      <c r="JB30" s="478"/>
      <c r="JC30" s="477"/>
      <c r="JD30" s="478"/>
      <c r="JE30" s="478"/>
      <c r="JF30" s="478"/>
      <c r="JG30" s="478"/>
      <c r="JH30" s="477"/>
      <c r="JI30" s="478"/>
      <c r="JJ30" s="478"/>
      <c r="JK30" s="478"/>
      <c r="JL30" s="478"/>
      <c r="JM30" s="477"/>
      <c r="JN30" s="478"/>
      <c r="JO30" s="478"/>
      <c r="JP30" s="478"/>
      <c r="JQ30" s="482"/>
    </row>
    <row r="31" spans="2:277">
      <c r="B31" s="544" t="str">
        <f>REPORT!E19&amp;" - "&amp;REPORT!F19</f>
        <v xml:space="preserve">D020 - BSHP E-BOM </v>
      </c>
      <c r="C31" s="544"/>
      <c r="D31" s="473" t="s">
        <v>122</v>
      </c>
      <c r="E31" s="465">
        <f>REPORT!H19</f>
        <v>11.428571428571429</v>
      </c>
      <c r="F31" s="465">
        <f t="shared" si="573"/>
        <v>3</v>
      </c>
      <c r="H31" s="434">
        <f>GANTT_D!H29</f>
        <v>37</v>
      </c>
      <c r="I31" s="434">
        <f>GANTT_D!I29</f>
        <v>47</v>
      </c>
      <c r="J31" s="468">
        <f>GANTT_D!J29</f>
        <v>8</v>
      </c>
      <c r="K31" s="468">
        <f>GANTT_D!K29</f>
        <v>10</v>
      </c>
      <c r="L31" s="424"/>
      <c r="M31" s="477"/>
      <c r="N31" s="478"/>
      <c r="O31" s="478"/>
      <c r="P31" s="478"/>
      <c r="Q31" s="478"/>
      <c r="R31" s="477"/>
      <c r="S31" s="478"/>
      <c r="T31" s="478"/>
      <c r="U31" s="478"/>
      <c r="V31" s="478"/>
      <c r="W31" s="477"/>
      <c r="X31" s="478"/>
      <c r="Y31" s="478"/>
      <c r="Z31" s="478"/>
      <c r="AA31" s="478"/>
      <c r="AB31" s="477"/>
      <c r="AC31" s="478"/>
      <c r="AD31" s="478"/>
      <c r="AE31" s="478"/>
      <c r="AF31" s="478"/>
      <c r="AG31" s="477"/>
      <c r="AH31" s="478"/>
      <c r="AI31" s="478"/>
      <c r="AJ31" s="478"/>
      <c r="AK31" s="478"/>
      <c r="AL31" s="477"/>
      <c r="AM31" s="478"/>
      <c r="AN31" s="478"/>
      <c r="AO31" s="478"/>
      <c r="AP31" s="478"/>
      <c r="AQ31" s="477"/>
      <c r="AR31" s="478"/>
      <c r="AS31" s="478"/>
      <c r="AT31" s="478"/>
      <c r="AU31" s="478"/>
      <c r="AV31" s="477"/>
      <c r="AW31" s="478"/>
      <c r="AX31" s="478"/>
      <c r="AY31" s="478"/>
      <c r="AZ31" s="478"/>
      <c r="BA31" s="477"/>
      <c r="BB31" s="478"/>
      <c r="BC31" s="478"/>
      <c r="BD31" s="478"/>
      <c r="BE31" s="478"/>
      <c r="BF31" s="477"/>
      <c r="BG31" s="478"/>
      <c r="BH31" s="478"/>
      <c r="BI31" s="478"/>
      <c r="BJ31" s="478"/>
      <c r="BK31" s="477"/>
      <c r="BL31" s="478"/>
      <c r="BM31" s="478"/>
      <c r="BN31" s="478"/>
      <c r="BO31" s="478"/>
      <c r="BP31" s="477"/>
      <c r="BQ31" s="478"/>
      <c r="BR31" s="478"/>
      <c r="BS31" s="478"/>
      <c r="BT31" s="478"/>
      <c r="BU31" s="477"/>
      <c r="BV31" s="478"/>
      <c r="BW31" s="478"/>
      <c r="BX31" s="478"/>
      <c r="BY31" s="478"/>
      <c r="BZ31" s="477"/>
      <c r="CA31" s="478"/>
      <c r="CB31" s="478"/>
      <c r="CC31" s="478"/>
      <c r="CD31" s="478"/>
      <c r="CE31" s="477"/>
      <c r="CF31" s="478"/>
      <c r="CG31" s="478"/>
      <c r="CH31" s="478"/>
      <c r="CI31" s="478"/>
      <c r="CJ31" s="477"/>
      <c r="CK31" s="478"/>
      <c r="CL31" s="478"/>
      <c r="CM31" s="478"/>
      <c r="CN31" s="478"/>
      <c r="CO31" s="477"/>
      <c r="CP31" s="478"/>
      <c r="CQ31" s="478"/>
      <c r="CR31" s="478"/>
      <c r="CS31" s="478"/>
      <c r="CT31" s="477"/>
      <c r="CU31" s="478"/>
      <c r="CV31" s="478"/>
      <c r="CW31" s="478"/>
      <c r="CX31" s="478"/>
      <c r="CY31" s="477"/>
      <c r="CZ31" s="478"/>
      <c r="DA31" s="478"/>
      <c r="DB31" s="478"/>
      <c r="DC31" s="478"/>
      <c r="DD31" s="477"/>
      <c r="DE31" s="478"/>
      <c r="DF31" s="478"/>
      <c r="DG31" s="478"/>
      <c r="DH31" s="478"/>
      <c r="DI31" s="477"/>
      <c r="DJ31" s="478"/>
      <c r="DK31" s="478"/>
      <c r="DL31" s="478"/>
      <c r="DM31" s="478"/>
      <c r="DN31" s="477"/>
      <c r="DO31" s="478"/>
      <c r="DP31" s="478"/>
      <c r="DQ31" s="478"/>
      <c r="DR31" s="478"/>
      <c r="DS31" s="477"/>
      <c r="DT31" s="478"/>
      <c r="DU31" s="478"/>
      <c r="DV31" s="478"/>
      <c r="DW31" s="478"/>
      <c r="DX31" s="477"/>
      <c r="DY31" s="478"/>
      <c r="DZ31" s="478"/>
      <c r="EA31" s="478"/>
      <c r="EB31" s="478"/>
      <c r="EC31" s="477"/>
      <c r="ED31" s="478"/>
      <c r="EE31" s="478"/>
      <c r="EF31" s="478"/>
      <c r="EG31" s="478"/>
      <c r="EH31" s="477"/>
      <c r="EI31" s="478"/>
      <c r="EJ31" s="478"/>
      <c r="EK31" s="478"/>
      <c r="EL31" s="478"/>
      <c r="EM31" s="477"/>
      <c r="EN31" s="478"/>
      <c r="EO31" s="478"/>
      <c r="EP31" s="478"/>
      <c r="EQ31" s="478"/>
      <c r="ER31" s="477"/>
      <c r="ES31" s="478"/>
      <c r="ET31" s="478"/>
      <c r="EU31" s="478"/>
      <c r="EV31" s="478"/>
      <c r="EW31" s="477"/>
      <c r="EX31" s="478"/>
      <c r="EY31" s="478"/>
      <c r="EZ31" s="478"/>
      <c r="FA31" s="478"/>
      <c r="FB31" s="477"/>
      <c r="FC31" s="478"/>
      <c r="FD31" s="478"/>
      <c r="FE31" s="478"/>
      <c r="FF31" s="478"/>
      <c r="FG31" s="477"/>
      <c r="FH31" s="478"/>
      <c r="FI31" s="478"/>
      <c r="FJ31" s="478"/>
      <c r="FK31" s="478"/>
      <c r="FL31" s="477"/>
      <c r="FM31" s="478"/>
      <c r="FN31" s="478"/>
      <c r="FO31" s="478"/>
      <c r="FP31" s="478"/>
      <c r="FQ31" s="477"/>
      <c r="FR31" s="478"/>
      <c r="FS31" s="478"/>
      <c r="FT31" s="478"/>
      <c r="FU31" s="478"/>
      <c r="FV31" s="477"/>
      <c r="FW31" s="478"/>
      <c r="FX31" s="478"/>
      <c r="FY31" s="478"/>
      <c r="FZ31" s="478"/>
      <c r="GA31" s="477"/>
      <c r="GB31" s="478"/>
      <c r="GC31" s="478"/>
      <c r="GD31" s="478"/>
      <c r="GE31" s="478"/>
      <c r="GF31" s="477"/>
      <c r="GG31" s="478"/>
      <c r="GH31" s="478"/>
      <c r="GI31" s="478"/>
      <c r="GJ31" s="478"/>
      <c r="GK31" s="477"/>
      <c r="GL31" s="478"/>
      <c r="GM31" s="478"/>
      <c r="GN31" s="478"/>
      <c r="GO31" s="478"/>
      <c r="GP31" s="477"/>
      <c r="GQ31" s="478"/>
      <c r="GR31" s="478"/>
      <c r="GS31" s="478"/>
      <c r="GT31" s="478"/>
      <c r="GU31" s="477"/>
      <c r="GV31" s="478"/>
      <c r="GW31" s="478"/>
      <c r="GX31" s="478"/>
      <c r="GY31" s="478"/>
      <c r="GZ31" s="477"/>
      <c r="HA31" s="478"/>
      <c r="HB31" s="478"/>
      <c r="HC31" s="478"/>
      <c r="HD31" s="478"/>
      <c r="HE31" s="477"/>
      <c r="HF31" s="478"/>
      <c r="HG31" s="478"/>
      <c r="HH31" s="478"/>
      <c r="HI31" s="478"/>
      <c r="HJ31" s="477"/>
      <c r="HK31" s="478"/>
      <c r="HL31" s="478"/>
      <c r="HM31" s="478"/>
      <c r="HN31" s="478"/>
      <c r="HO31" s="477"/>
      <c r="HP31" s="478"/>
      <c r="HQ31" s="478"/>
      <c r="HR31" s="478"/>
      <c r="HS31" s="478"/>
      <c r="HT31" s="477"/>
      <c r="HU31" s="478"/>
      <c r="HV31" s="478"/>
      <c r="HW31" s="478"/>
      <c r="HX31" s="478"/>
      <c r="HY31" s="477"/>
      <c r="HZ31" s="478"/>
      <c r="IA31" s="478"/>
      <c r="IB31" s="478"/>
      <c r="IC31" s="478"/>
      <c r="ID31" s="477"/>
      <c r="IE31" s="478"/>
      <c r="IF31" s="478"/>
      <c r="IG31" s="478"/>
      <c r="IH31" s="478"/>
      <c r="II31" s="477"/>
      <c r="IJ31" s="478"/>
      <c r="IK31" s="478"/>
      <c r="IL31" s="478"/>
      <c r="IM31" s="478"/>
      <c r="IN31" s="477"/>
      <c r="IO31" s="478"/>
      <c r="IP31" s="478"/>
      <c r="IQ31" s="478"/>
      <c r="IR31" s="478"/>
      <c r="IS31" s="477"/>
      <c r="IT31" s="478"/>
      <c r="IU31" s="478"/>
      <c r="IV31" s="478"/>
      <c r="IW31" s="478"/>
      <c r="IX31" s="477"/>
      <c r="IY31" s="478"/>
      <c r="IZ31" s="478"/>
      <c r="JA31" s="478"/>
      <c r="JB31" s="478"/>
      <c r="JC31" s="477"/>
      <c r="JD31" s="478"/>
      <c r="JE31" s="478"/>
      <c r="JF31" s="478"/>
      <c r="JG31" s="478"/>
      <c r="JH31" s="477"/>
      <c r="JI31" s="478"/>
      <c r="JJ31" s="478"/>
      <c r="JK31" s="478"/>
      <c r="JL31" s="478"/>
      <c r="JM31" s="477"/>
      <c r="JN31" s="478"/>
      <c r="JO31" s="478"/>
      <c r="JP31" s="478"/>
      <c r="JQ31" s="482"/>
    </row>
    <row r="32" spans="2:277" ht="15.75">
      <c r="B32" s="470" t="str">
        <f>MASTER!A67</f>
        <v>DOCS</v>
      </c>
      <c r="C32" s="470"/>
      <c r="D32" s="474"/>
      <c r="E32" s="467"/>
      <c r="F32" s="467" t="str">
        <f t="shared" si="573"/>
        <v/>
      </c>
      <c r="H32" s="435">
        <f>GANTT_D!H30</f>
        <v>48</v>
      </c>
      <c r="I32" s="435">
        <f>GANTT_D!I30</f>
        <v>51</v>
      </c>
      <c r="J32" s="475">
        <f>GANTT_D!J30</f>
        <v>10</v>
      </c>
      <c r="K32" s="475">
        <f>GANTT_D!K30</f>
        <v>11</v>
      </c>
      <c r="L32" s="424"/>
      <c r="M32" s="477" t="str">
        <f t="shared" ref="M32:BX32" si="579">IF(AND(M$9&gt;$H32,M$9&lt;$I32),"-",IF(M$9=$H32,"I",IF(M$9=$I32,"I","")))</f>
        <v/>
      </c>
      <c r="N32" s="478" t="str">
        <f t="shared" si="579"/>
        <v/>
      </c>
      <c r="O32" s="478" t="str">
        <f t="shared" si="579"/>
        <v/>
      </c>
      <c r="P32" s="478" t="str">
        <f t="shared" si="579"/>
        <v/>
      </c>
      <c r="Q32" s="478" t="str">
        <f t="shared" si="579"/>
        <v/>
      </c>
      <c r="R32" s="477" t="str">
        <f t="shared" si="579"/>
        <v/>
      </c>
      <c r="S32" s="478" t="str">
        <f t="shared" si="579"/>
        <v/>
      </c>
      <c r="T32" s="478" t="str">
        <f t="shared" si="579"/>
        <v/>
      </c>
      <c r="U32" s="478" t="str">
        <f t="shared" si="579"/>
        <v/>
      </c>
      <c r="V32" s="478" t="str">
        <f t="shared" si="579"/>
        <v/>
      </c>
      <c r="W32" s="477" t="str">
        <f t="shared" si="579"/>
        <v/>
      </c>
      <c r="X32" s="478" t="str">
        <f t="shared" si="579"/>
        <v/>
      </c>
      <c r="Y32" s="478" t="str">
        <f t="shared" si="579"/>
        <v/>
      </c>
      <c r="Z32" s="478" t="str">
        <f t="shared" si="579"/>
        <v/>
      </c>
      <c r="AA32" s="478" t="str">
        <f t="shared" si="579"/>
        <v/>
      </c>
      <c r="AB32" s="477" t="str">
        <f t="shared" si="579"/>
        <v/>
      </c>
      <c r="AC32" s="478" t="str">
        <f t="shared" si="579"/>
        <v/>
      </c>
      <c r="AD32" s="478" t="str">
        <f t="shared" si="579"/>
        <v/>
      </c>
      <c r="AE32" s="478" t="str">
        <f t="shared" si="579"/>
        <v/>
      </c>
      <c r="AF32" s="478" t="str">
        <f t="shared" si="579"/>
        <v/>
      </c>
      <c r="AG32" s="477" t="str">
        <f t="shared" si="579"/>
        <v/>
      </c>
      <c r="AH32" s="478" t="str">
        <f t="shared" si="579"/>
        <v/>
      </c>
      <c r="AI32" s="478" t="str">
        <f t="shared" si="579"/>
        <v/>
      </c>
      <c r="AJ32" s="478" t="str">
        <f t="shared" si="579"/>
        <v/>
      </c>
      <c r="AK32" s="478" t="str">
        <f t="shared" si="579"/>
        <v/>
      </c>
      <c r="AL32" s="477" t="str">
        <f t="shared" si="579"/>
        <v/>
      </c>
      <c r="AM32" s="478" t="str">
        <f t="shared" si="579"/>
        <v/>
      </c>
      <c r="AN32" s="478" t="str">
        <f t="shared" si="579"/>
        <v/>
      </c>
      <c r="AO32" s="478" t="str">
        <f t="shared" si="579"/>
        <v/>
      </c>
      <c r="AP32" s="478" t="str">
        <f t="shared" si="579"/>
        <v/>
      </c>
      <c r="AQ32" s="477" t="str">
        <f t="shared" si="579"/>
        <v/>
      </c>
      <c r="AR32" s="478" t="str">
        <f t="shared" si="579"/>
        <v/>
      </c>
      <c r="AS32" s="478" t="str">
        <f t="shared" si="579"/>
        <v/>
      </c>
      <c r="AT32" s="478" t="str">
        <f t="shared" si="579"/>
        <v/>
      </c>
      <c r="AU32" s="478" t="str">
        <f t="shared" si="579"/>
        <v/>
      </c>
      <c r="AV32" s="477" t="str">
        <f t="shared" si="579"/>
        <v/>
      </c>
      <c r="AW32" s="478" t="str">
        <f t="shared" si="579"/>
        <v/>
      </c>
      <c r="AX32" s="478" t="str">
        <f t="shared" si="579"/>
        <v/>
      </c>
      <c r="AY32" s="478" t="str">
        <f t="shared" si="579"/>
        <v/>
      </c>
      <c r="AZ32" s="478" t="str">
        <f t="shared" si="579"/>
        <v/>
      </c>
      <c r="BA32" s="477" t="str">
        <f t="shared" si="579"/>
        <v/>
      </c>
      <c r="BB32" s="478" t="str">
        <f t="shared" si="579"/>
        <v/>
      </c>
      <c r="BC32" s="478" t="str">
        <f t="shared" si="579"/>
        <v/>
      </c>
      <c r="BD32" s="478" t="str">
        <f t="shared" si="579"/>
        <v/>
      </c>
      <c r="BE32" s="478" t="str">
        <f t="shared" si="579"/>
        <v/>
      </c>
      <c r="BF32" s="477" t="str">
        <f t="shared" si="579"/>
        <v/>
      </c>
      <c r="BG32" s="478" t="str">
        <f t="shared" si="579"/>
        <v/>
      </c>
      <c r="BH32" s="478" t="str">
        <f t="shared" si="579"/>
        <v>I</v>
      </c>
      <c r="BI32" s="478" t="str">
        <f t="shared" si="579"/>
        <v>-</v>
      </c>
      <c r="BJ32" s="478" t="str">
        <f t="shared" si="579"/>
        <v>-</v>
      </c>
      <c r="BK32" s="477" t="str">
        <f t="shared" si="579"/>
        <v>I</v>
      </c>
      <c r="BL32" s="478" t="str">
        <f t="shared" si="579"/>
        <v/>
      </c>
      <c r="BM32" s="478" t="str">
        <f t="shared" si="579"/>
        <v/>
      </c>
      <c r="BN32" s="478" t="str">
        <f t="shared" si="579"/>
        <v/>
      </c>
      <c r="BO32" s="478" t="str">
        <f t="shared" si="579"/>
        <v/>
      </c>
      <c r="BP32" s="477" t="str">
        <f t="shared" si="579"/>
        <v/>
      </c>
      <c r="BQ32" s="478" t="str">
        <f t="shared" si="579"/>
        <v/>
      </c>
      <c r="BR32" s="478" t="str">
        <f t="shared" si="579"/>
        <v/>
      </c>
      <c r="BS32" s="478" t="str">
        <f t="shared" si="579"/>
        <v/>
      </c>
      <c r="BT32" s="478" t="str">
        <f t="shared" si="579"/>
        <v/>
      </c>
      <c r="BU32" s="477" t="str">
        <f t="shared" si="579"/>
        <v/>
      </c>
      <c r="BV32" s="478" t="str">
        <f t="shared" si="579"/>
        <v/>
      </c>
      <c r="BW32" s="478" t="str">
        <f t="shared" si="579"/>
        <v/>
      </c>
      <c r="BX32" s="478" t="str">
        <f t="shared" si="579"/>
        <v/>
      </c>
      <c r="BY32" s="478" t="str">
        <f t="shared" ref="BY32:EJ32" si="580">IF(AND(BY$9&gt;$H32,BY$9&lt;$I32),"-",IF(BY$9=$H32,"I",IF(BY$9=$I32,"I","")))</f>
        <v/>
      </c>
      <c r="BZ32" s="477" t="str">
        <f t="shared" si="580"/>
        <v/>
      </c>
      <c r="CA32" s="478" t="str">
        <f t="shared" si="580"/>
        <v/>
      </c>
      <c r="CB32" s="478" t="str">
        <f t="shared" si="580"/>
        <v/>
      </c>
      <c r="CC32" s="478" t="str">
        <f t="shared" si="580"/>
        <v/>
      </c>
      <c r="CD32" s="478" t="str">
        <f t="shared" si="580"/>
        <v/>
      </c>
      <c r="CE32" s="477" t="str">
        <f t="shared" si="580"/>
        <v/>
      </c>
      <c r="CF32" s="478" t="str">
        <f t="shared" si="580"/>
        <v/>
      </c>
      <c r="CG32" s="478" t="str">
        <f t="shared" si="580"/>
        <v/>
      </c>
      <c r="CH32" s="478" t="str">
        <f t="shared" si="580"/>
        <v/>
      </c>
      <c r="CI32" s="478" t="str">
        <f t="shared" si="580"/>
        <v/>
      </c>
      <c r="CJ32" s="477" t="str">
        <f t="shared" si="580"/>
        <v/>
      </c>
      <c r="CK32" s="478" t="str">
        <f t="shared" si="580"/>
        <v/>
      </c>
      <c r="CL32" s="478" t="str">
        <f t="shared" si="580"/>
        <v/>
      </c>
      <c r="CM32" s="478" t="str">
        <f t="shared" si="580"/>
        <v/>
      </c>
      <c r="CN32" s="478" t="str">
        <f t="shared" si="580"/>
        <v/>
      </c>
      <c r="CO32" s="477" t="str">
        <f t="shared" si="580"/>
        <v/>
      </c>
      <c r="CP32" s="478" t="str">
        <f t="shared" si="580"/>
        <v/>
      </c>
      <c r="CQ32" s="478" t="str">
        <f t="shared" si="580"/>
        <v/>
      </c>
      <c r="CR32" s="478" t="str">
        <f t="shared" si="580"/>
        <v/>
      </c>
      <c r="CS32" s="478" t="str">
        <f t="shared" si="580"/>
        <v/>
      </c>
      <c r="CT32" s="477" t="str">
        <f t="shared" si="580"/>
        <v/>
      </c>
      <c r="CU32" s="478" t="str">
        <f t="shared" si="580"/>
        <v/>
      </c>
      <c r="CV32" s="478" t="str">
        <f t="shared" si="580"/>
        <v/>
      </c>
      <c r="CW32" s="478" t="str">
        <f t="shared" si="580"/>
        <v/>
      </c>
      <c r="CX32" s="478" t="str">
        <f t="shared" si="580"/>
        <v/>
      </c>
      <c r="CY32" s="477" t="str">
        <f t="shared" si="580"/>
        <v/>
      </c>
      <c r="CZ32" s="478" t="str">
        <f t="shared" si="580"/>
        <v/>
      </c>
      <c r="DA32" s="478" t="str">
        <f t="shared" si="580"/>
        <v/>
      </c>
      <c r="DB32" s="478" t="str">
        <f t="shared" si="580"/>
        <v/>
      </c>
      <c r="DC32" s="478" t="str">
        <f t="shared" si="580"/>
        <v/>
      </c>
      <c r="DD32" s="477" t="str">
        <f t="shared" si="580"/>
        <v/>
      </c>
      <c r="DE32" s="478" t="str">
        <f t="shared" si="580"/>
        <v/>
      </c>
      <c r="DF32" s="478" t="str">
        <f t="shared" si="580"/>
        <v/>
      </c>
      <c r="DG32" s="478" t="str">
        <f t="shared" si="580"/>
        <v/>
      </c>
      <c r="DH32" s="478" t="str">
        <f t="shared" si="580"/>
        <v/>
      </c>
      <c r="DI32" s="477" t="str">
        <f t="shared" si="580"/>
        <v/>
      </c>
      <c r="DJ32" s="478" t="str">
        <f t="shared" si="580"/>
        <v/>
      </c>
      <c r="DK32" s="478" t="str">
        <f t="shared" si="580"/>
        <v/>
      </c>
      <c r="DL32" s="478" t="str">
        <f t="shared" si="580"/>
        <v/>
      </c>
      <c r="DM32" s="478" t="str">
        <f t="shared" si="580"/>
        <v/>
      </c>
      <c r="DN32" s="477" t="str">
        <f t="shared" si="580"/>
        <v/>
      </c>
      <c r="DO32" s="478" t="str">
        <f t="shared" si="580"/>
        <v/>
      </c>
      <c r="DP32" s="478" t="str">
        <f t="shared" si="580"/>
        <v/>
      </c>
      <c r="DQ32" s="478" t="str">
        <f t="shared" si="580"/>
        <v/>
      </c>
      <c r="DR32" s="478" t="str">
        <f t="shared" si="580"/>
        <v/>
      </c>
      <c r="DS32" s="477" t="str">
        <f t="shared" si="580"/>
        <v/>
      </c>
      <c r="DT32" s="478" t="str">
        <f t="shared" si="580"/>
        <v/>
      </c>
      <c r="DU32" s="478" t="str">
        <f t="shared" si="580"/>
        <v/>
      </c>
      <c r="DV32" s="478" t="str">
        <f t="shared" si="580"/>
        <v/>
      </c>
      <c r="DW32" s="478" t="str">
        <f t="shared" si="580"/>
        <v/>
      </c>
      <c r="DX32" s="477" t="str">
        <f t="shared" si="580"/>
        <v/>
      </c>
      <c r="DY32" s="478" t="str">
        <f t="shared" si="580"/>
        <v/>
      </c>
      <c r="DZ32" s="478" t="str">
        <f t="shared" si="580"/>
        <v/>
      </c>
      <c r="EA32" s="478" t="str">
        <f t="shared" si="580"/>
        <v/>
      </c>
      <c r="EB32" s="478" t="str">
        <f t="shared" si="580"/>
        <v/>
      </c>
      <c r="EC32" s="477" t="str">
        <f t="shared" si="580"/>
        <v/>
      </c>
      <c r="ED32" s="478" t="str">
        <f t="shared" si="580"/>
        <v/>
      </c>
      <c r="EE32" s="478" t="str">
        <f t="shared" si="580"/>
        <v/>
      </c>
      <c r="EF32" s="478" t="str">
        <f t="shared" si="580"/>
        <v/>
      </c>
      <c r="EG32" s="478" t="str">
        <f t="shared" si="580"/>
        <v/>
      </c>
      <c r="EH32" s="477" t="str">
        <f t="shared" si="580"/>
        <v/>
      </c>
      <c r="EI32" s="478" t="str">
        <f t="shared" si="580"/>
        <v/>
      </c>
      <c r="EJ32" s="478" t="str">
        <f t="shared" si="580"/>
        <v/>
      </c>
      <c r="EK32" s="478" t="str">
        <f t="shared" ref="EK32:GV32" si="581">IF(AND(EK$9&gt;$H32,EK$9&lt;$I32),"-",IF(EK$9=$H32,"I",IF(EK$9=$I32,"I","")))</f>
        <v/>
      </c>
      <c r="EL32" s="478" t="str">
        <f t="shared" si="581"/>
        <v/>
      </c>
      <c r="EM32" s="477" t="str">
        <f t="shared" si="581"/>
        <v/>
      </c>
      <c r="EN32" s="478" t="str">
        <f t="shared" si="581"/>
        <v/>
      </c>
      <c r="EO32" s="478" t="str">
        <f t="shared" si="581"/>
        <v/>
      </c>
      <c r="EP32" s="478" t="str">
        <f t="shared" si="581"/>
        <v/>
      </c>
      <c r="EQ32" s="478" t="str">
        <f t="shared" si="581"/>
        <v/>
      </c>
      <c r="ER32" s="477" t="str">
        <f t="shared" si="581"/>
        <v/>
      </c>
      <c r="ES32" s="478" t="str">
        <f t="shared" si="581"/>
        <v/>
      </c>
      <c r="ET32" s="478" t="str">
        <f t="shared" si="581"/>
        <v/>
      </c>
      <c r="EU32" s="478" t="str">
        <f t="shared" si="581"/>
        <v/>
      </c>
      <c r="EV32" s="478" t="str">
        <f t="shared" si="581"/>
        <v/>
      </c>
      <c r="EW32" s="477" t="str">
        <f t="shared" si="581"/>
        <v/>
      </c>
      <c r="EX32" s="478" t="str">
        <f t="shared" si="581"/>
        <v/>
      </c>
      <c r="EY32" s="478" t="str">
        <f t="shared" si="581"/>
        <v/>
      </c>
      <c r="EZ32" s="478" t="str">
        <f t="shared" si="581"/>
        <v/>
      </c>
      <c r="FA32" s="478" t="str">
        <f t="shared" si="581"/>
        <v/>
      </c>
      <c r="FB32" s="477" t="str">
        <f t="shared" si="581"/>
        <v/>
      </c>
      <c r="FC32" s="478" t="str">
        <f t="shared" si="581"/>
        <v/>
      </c>
      <c r="FD32" s="478" t="str">
        <f t="shared" si="581"/>
        <v/>
      </c>
      <c r="FE32" s="478" t="str">
        <f t="shared" si="581"/>
        <v/>
      </c>
      <c r="FF32" s="478" t="str">
        <f t="shared" si="581"/>
        <v/>
      </c>
      <c r="FG32" s="477" t="str">
        <f t="shared" si="581"/>
        <v/>
      </c>
      <c r="FH32" s="478" t="str">
        <f t="shared" si="581"/>
        <v/>
      </c>
      <c r="FI32" s="478" t="str">
        <f t="shared" si="581"/>
        <v/>
      </c>
      <c r="FJ32" s="478" t="str">
        <f t="shared" si="581"/>
        <v/>
      </c>
      <c r="FK32" s="478" t="str">
        <f t="shared" si="581"/>
        <v/>
      </c>
      <c r="FL32" s="477" t="str">
        <f t="shared" si="581"/>
        <v/>
      </c>
      <c r="FM32" s="478" t="str">
        <f t="shared" si="581"/>
        <v/>
      </c>
      <c r="FN32" s="478" t="str">
        <f t="shared" si="581"/>
        <v/>
      </c>
      <c r="FO32" s="478" t="str">
        <f t="shared" si="581"/>
        <v/>
      </c>
      <c r="FP32" s="478" t="str">
        <f t="shared" si="581"/>
        <v/>
      </c>
      <c r="FQ32" s="477" t="str">
        <f t="shared" si="581"/>
        <v/>
      </c>
      <c r="FR32" s="478" t="str">
        <f t="shared" si="581"/>
        <v/>
      </c>
      <c r="FS32" s="478" t="str">
        <f t="shared" si="581"/>
        <v/>
      </c>
      <c r="FT32" s="478" t="str">
        <f t="shared" si="581"/>
        <v/>
      </c>
      <c r="FU32" s="478" t="str">
        <f t="shared" si="581"/>
        <v/>
      </c>
      <c r="FV32" s="477" t="str">
        <f t="shared" si="581"/>
        <v/>
      </c>
      <c r="FW32" s="478" t="str">
        <f t="shared" si="581"/>
        <v/>
      </c>
      <c r="FX32" s="478" t="str">
        <f t="shared" si="581"/>
        <v/>
      </c>
      <c r="FY32" s="478" t="str">
        <f t="shared" si="581"/>
        <v/>
      </c>
      <c r="FZ32" s="478" t="str">
        <f t="shared" si="581"/>
        <v/>
      </c>
      <c r="GA32" s="477" t="str">
        <f t="shared" si="581"/>
        <v/>
      </c>
      <c r="GB32" s="478" t="str">
        <f t="shared" si="581"/>
        <v/>
      </c>
      <c r="GC32" s="478" t="str">
        <f t="shared" si="581"/>
        <v/>
      </c>
      <c r="GD32" s="478" t="str">
        <f t="shared" si="581"/>
        <v/>
      </c>
      <c r="GE32" s="478" t="str">
        <f t="shared" si="581"/>
        <v/>
      </c>
      <c r="GF32" s="477" t="str">
        <f t="shared" si="581"/>
        <v/>
      </c>
      <c r="GG32" s="478" t="str">
        <f t="shared" si="581"/>
        <v/>
      </c>
      <c r="GH32" s="478" t="str">
        <f t="shared" si="581"/>
        <v/>
      </c>
      <c r="GI32" s="478" t="str">
        <f t="shared" si="581"/>
        <v/>
      </c>
      <c r="GJ32" s="478" t="str">
        <f t="shared" si="581"/>
        <v/>
      </c>
      <c r="GK32" s="477" t="str">
        <f t="shared" si="581"/>
        <v/>
      </c>
      <c r="GL32" s="478" t="str">
        <f t="shared" si="581"/>
        <v/>
      </c>
      <c r="GM32" s="478" t="str">
        <f t="shared" si="581"/>
        <v/>
      </c>
      <c r="GN32" s="478" t="str">
        <f t="shared" si="581"/>
        <v/>
      </c>
      <c r="GO32" s="478" t="str">
        <f t="shared" si="581"/>
        <v/>
      </c>
      <c r="GP32" s="477" t="str">
        <f t="shared" si="581"/>
        <v/>
      </c>
      <c r="GQ32" s="478" t="str">
        <f t="shared" si="581"/>
        <v/>
      </c>
      <c r="GR32" s="478" t="str">
        <f t="shared" si="581"/>
        <v/>
      </c>
      <c r="GS32" s="478" t="str">
        <f t="shared" si="581"/>
        <v/>
      </c>
      <c r="GT32" s="478" t="str">
        <f t="shared" si="581"/>
        <v/>
      </c>
      <c r="GU32" s="477" t="str">
        <f t="shared" si="581"/>
        <v/>
      </c>
      <c r="GV32" s="478" t="str">
        <f t="shared" si="581"/>
        <v/>
      </c>
      <c r="GW32" s="478" t="str">
        <f t="shared" ref="GW32:JH32" si="582">IF(AND(GW$9&gt;$H32,GW$9&lt;$I32),"-",IF(GW$9=$H32,"I",IF(GW$9=$I32,"I","")))</f>
        <v/>
      </c>
      <c r="GX32" s="478" t="str">
        <f t="shared" si="582"/>
        <v/>
      </c>
      <c r="GY32" s="478" t="str">
        <f t="shared" si="582"/>
        <v/>
      </c>
      <c r="GZ32" s="477" t="str">
        <f t="shared" si="582"/>
        <v/>
      </c>
      <c r="HA32" s="478" t="str">
        <f t="shared" si="582"/>
        <v/>
      </c>
      <c r="HB32" s="478" t="str">
        <f t="shared" si="582"/>
        <v/>
      </c>
      <c r="HC32" s="478" t="str">
        <f t="shared" si="582"/>
        <v/>
      </c>
      <c r="HD32" s="478" t="str">
        <f t="shared" si="582"/>
        <v/>
      </c>
      <c r="HE32" s="477" t="str">
        <f t="shared" si="582"/>
        <v/>
      </c>
      <c r="HF32" s="478" t="str">
        <f t="shared" si="582"/>
        <v/>
      </c>
      <c r="HG32" s="478" t="str">
        <f t="shared" si="582"/>
        <v/>
      </c>
      <c r="HH32" s="478" t="str">
        <f t="shared" si="582"/>
        <v/>
      </c>
      <c r="HI32" s="478" t="str">
        <f t="shared" si="582"/>
        <v/>
      </c>
      <c r="HJ32" s="477" t="str">
        <f t="shared" si="582"/>
        <v/>
      </c>
      <c r="HK32" s="478" t="str">
        <f t="shared" si="582"/>
        <v/>
      </c>
      <c r="HL32" s="478" t="str">
        <f t="shared" si="582"/>
        <v/>
      </c>
      <c r="HM32" s="478" t="str">
        <f t="shared" si="582"/>
        <v/>
      </c>
      <c r="HN32" s="478" t="str">
        <f t="shared" si="582"/>
        <v/>
      </c>
      <c r="HO32" s="477" t="str">
        <f t="shared" si="582"/>
        <v/>
      </c>
      <c r="HP32" s="478" t="str">
        <f t="shared" si="582"/>
        <v/>
      </c>
      <c r="HQ32" s="478" t="str">
        <f t="shared" si="582"/>
        <v/>
      </c>
      <c r="HR32" s="478" t="str">
        <f t="shared" si="582"/>
        <v/>
      </c>
      <c r="HS32" s="478" t="str">
        <f t="shared" si="582"/>
        <v/>
      </c>
      <c r="HT32" s="477" t="str">
        <f t="shared" si="582"/>
        <v/>
      </c>
      <c r="HU32" s="478" t="str">
        <f t="shared" si="582"/>
        <v/>
      </c>
      <c r="HV32" s="478" t="str">
        <f t="shared" si="582"/>
        <v/>
      </c>
      <c r="HW32" s="478" t="str">
        <f t="shared" si="582"/>
        <v/>
      </c>
      <c r="HX32" s="478" t="str">
        <f t="shared" si="582"/>
        <v/>
      </c>
      <c r="HY32" s="477" t="str">
        <f t="shared" si="582"/>
        <v/>
      </c>
      <c r="HZ32" s="478" t="str">
        <f t="shared" si="582"/>
        <v/>
      </c>
      <c r="IA32" s="478" t="str">
        <f t="shared" si="582"/>
        <v/>
      </c>
      <c r="IB32" s="478" t="str">
        <f t="shared" si="582"/>
        <v/>
      </c>
      <c r="IC32" s="478" t="str">
        <f t="shared" si="582"/>
        <v/>
      </c>
      <c r="ID32" s="477" t="str">
        <f t="shared" si="582"/>
        <v/>
      </c>
      <c r="IE32" s="478" t="str">
        <f t="shared" si="582"/>
        <v/>
      </c>
      <c r="IF32" s="478" t="str">
        <f t="shared" si="582"/>
        <v/>
      </c>
      <c r="IG32" s="478" t="str">
        <f t="shared" si="582"/>
        <v/>
      </c>
      <c r="IH32" s="478" t="str">
        <f t="shared" si="582"/>
        <v/>
      </c>
      <c r="II32" s="477" t="str">
        <f t="shared" si="582"/>
        <v/>
      </c>
      <c r="IJ32" s="478" t="str">
        <f t="shared" si="582"/>
        <v/>
      </c>
      <c r="IK32" s="478" t="str">
        <f t="shared" si="582"/>
        <v/>
      </c>
      <c r="IL32" s="478" t="str">
        <f t="shared" si="582"/>
        <v/>
      </c>
      <c r="IM32" s="478" t="str">
        <f t="shared" si="582"/>
        <v/>
      </c>
      <c r="IN32" s="477" t="str">
        <f t="shared" si="582"/>
        <v/>
      </c>
      <c r="IO32" s="478" t="str">
        <f t="shared" si="582"/>
        <v/>
      </c>
      <c r="IP32" s="478" t="str">
        <f t="shared" si="582"/>
        <v/>
      </c>
      <c r="IQ32" s="478" t="str">
        <f t="shared" si="582"/>
        <v/>
      </c>
      <c r="IR32" s="478" t="str">
        <f t="shared" si="582"/>
        <v/>
      </c>
      <c r="IS32" s="477" t="str">
        <f t="shared" si="582"/>
        <v/>
      </c>
      <c r="IT32" s="478" t="str">
        <f t="shared" si="582"/>
        <v/>
      </c>
      <c r="IU32" s="478" t="str">
        <f t="shared" si="582"/>
        <v/>
      </c>
      <c r="IV32" s="478" t="str">
        <f t="shared" si="582"/>
        <v/>
      </c>
      <c r="IW32" s="478" t="str">
        <f t="shared" si="582"/>
        <v/>
      </c>
      <c r="IX32" s="477" t="str">
        <f t="shared" si="582"/>
        <v/>
      </c>
      <c r="IY32" s="478" t="str">
        <f t="shared" si="582"/>
        <v/>
      </c>
      <c r="IZ32" s="478" t="str">
        <f t="shared" si="582"/>
        <v/>
      </c>
      <c r="JA32" s="478" t="str">
        <f t="shared" si="582"/>
        <v/>
      </c>
      <c r="JB32" s="478" t="str">
        <f t="shared" si="582"/>
        <v/>
      </c>
      <c r="JC32" s="477" t="str">
        <f t="shared" si="582"/>
        <v/>
      </c>
      <c r="JD32" s="478" t="str">
        <f t="shared" si="582"/>
        <v/>
      </c>
      <c r="JE32" s="478" t="str">
        <f t="shared" si="582"/>
        <v/>
      </c>
      <c r="JF32" s="478" t="str">
        <f t="shared" si="582"/>
        <v/>
      </c>
      <c r="JG32" s="478" t="str">
        <f t="shared" si="582"/>
        <v/>
      </c>
      <c r="JH32" s="477" t="str">
        <f t="shared" si="582"/>
        <v/>
      </c>
      <c r="JI32" s="478" t="str">
        <f t="shared" ref="JI32:JQ32" si="583">IF(AND(JI$9&gt;$H32,JI$9&lt;$I32),"-",IF(JI$9=$H32,"I",IF(JI$9=$I32,"I","")))</f>
        <v/>
      </c>
      <c r="JJ32" s="478" t="str">
        <f t="shared" si="583"/>
        <v/>
      </c>
      <c r="JK32" s="478" t="str">
        <f t="shared" si="583"/>
        <v/>
      </c>
      <c r="JL32" s="478" t="str">
        <f t="shared" si="583"/>
        <v/>
      </c>
      <c r="JM32" s="477" t="str">
        <f t="shared" si="583"/>
        <v/>
      </c>
      <c r="JN32" s="478" t="str">
        <f t="shared" si="583"/>
        <v/>
      </c>
      <c r="JO32" s="478" t="str">
        <f t="shared" si="583"/>
        <v/>
      </c>
      <c r="JP32" s="478" t="str">
        <f t="shared" si="583"/>
        <v/>
      </c>
      <c r="JQ32" s="482" t="str">
        <f t="shared" si="583"/>
        <v/>
      </c>
    </row>
    <row r="33" spans="2:277">
      <c r="B33" s="544" t="str">
        <f>MASTER!B67</f>
        <v>Sectional Drawing and Part List</v>
      </c>
      <c r="C33" s="544"/>
      <c r="D33" s="473" t="s">
        <v>122</v>
      </c>
      <c r="E33" s="465">
        <f>MASTER!C67/REPORT!$H$36</f>
        <v>0.5714285714285714</v>
      </c>
      <c r="F33" s="465">
        <f t="shared" si="573"/>
        <v>1</v>
      </c>
      <c r="H33" s="434">
        <f>GANTT_D!H31</f>
        <v>48</v>
      </c>
      <c r="I33" s="434">
        <f>GANTT_D!I31</f>
        <v>48</v>
      </c>
      <c r="J33" s="468">
        <f>GANTT_D!J31</f>
        <v>10</v>
      </c>
      <c r="K33" s="468">
        <f>GANTT_D!K31</f>
        <v>10</v>
      </c>
      <c r="L33" s="424"/>
      <c r="M33" s="477"/>
      <c r="N33" s="478"/>
      <c r="O33" s="478"/>
      <c r="P33" s="478"/>
      <c r="Q33" s="478"/>
      <c r="R33" s="477"/>
      <c r="S33" s="478"/>
      <c r="T33" s="478"/>
      <c r="U33" s="478"/>
      <c r="V33" s="478"/>
      <c r="W33" s="477"/>
      <c r="X33" s="478"/>
      <c r="Y33" s="478"/>
      <c r="Z33" s="478"/>
      <c r="AA33" s="478"/>
      <c r="AB33" s="477"/>
      <c r="AC33" s="478"/>
      <c r="AD33" s="478"/>
      <c r="AE33" s="478"/>
      <c r="AF33" s="478"/>
      <c r="AG33" s="477"/>
      <c r="AH33" s="478"/>
      <c r="AI33" s="478"/>
      <c r="AJ33" s="478"/>
      <c r="AK33" s="478"/>
      <c r="AL33" s="477"/>
      <c r="AM33" s="478"/>
      <c r="AN33" s="478"/>
      <c r="AO33" s="478"/>
      <c r="AP33" s="478"/>
      <c r="AQ33" s="477"/>
      <c r="AR33" s="478"/>
      <c r="AS33" s="478"/>
      <c r="AT33" s="478"/>
      <c r="AU33" s="478"/>
      <c r="AV33" s="477"/>
      <c r="AW33" s="478"/>
      <c r="AX33" s="478"/>
      <c r="AY33" s="478"/>
      <c r="AZ33" s="478"/>
      <c r="BA33" s="477"/>
      <c r="BB33" s="478"/>
      <c r="BC33" s="478"/>
      <c r="BD33" s="478"/>
      <c r="BE33" s="478"/>
      <c r="BF33" s="477"/>
      <c r="BG33" s="478"/>
      <c r="BH33" s="478"/>
      <c r="BI33" s="478"/>
      <c r="BJ33" s="478"/>
      <c r="BK33" s="477"/>
      <c r="BL33" s="478"/>
      <c r="BM33" s="478"/>
      <c r="BN33" s="478"/>
      <c r="BO33" s="478"/>
      <c r="BP33" s="477"/>
      <c r="BQ33" s="478"/>
      <c r="BR33" s="478"/>
      <c r="BS33" s="478"/>
      <c r="BT33" s="478"/>
      <c r="BU33" s="477"/>
      <c r="BV33" s="478"/>
      <c r="BW33" s="478"/>
      <c r="BX33" s="478"/>
      <c r="BY33" s="478"/>
      <c r="BZ33" s="477"/>
      <c r="CA33" s="478"/>
      <c r="CB33" s="478"/>
      <c r="CC33" s="478"/>
      <c r="CD33" s="478"/>
      <c r="CE33" s="477"/>
      <c r="CF33" s="478"/>
      <c r="CG33" s="478"/>
      <c r="CH33" s="478"/>
      <c r="CI33" s="478"/>
      <c r="CJ33" s="477"/>
      <c r="CK33" s="478"/>
      <c r="CL33" s="478"/>
      <c r="CM33" s="478"/>
      <c r="CN33" s="478"/>
      <c r="CO33" s="477"/>
      <c r="CP33" s="478"/>
      <c r="CQ33" s="478"/>
      <c r="CR33" s="478"/>
      <c r="CS33" s="478"/>
      <c r="CT33" s="477"/>
      <c r="CU33" s="478"/>
      <c r="CV33" s="478"/>
      <c r="CW33" s="478"/>
      <c r="CX33" s="478"/>
      <c r="CY33" s="477"/>
      <c r="CZ33" s="478"/>
      <c r="DA33" s="478"/>
      <c r="DB33" s="478"/>
      <c r="DC33" s="478"/>
      <c r="DD33" s="477"/>
      <c r="DE33" s="478"/>
      <c r="DF33" s="478"/>
      <c r="DG33" s="478"/>
      <c r="DH33" s="478"/>
      <c r="DI33" s="477"/>
      <c r="DJ33" s="478"/>
      <c r="DK33" s="478"/>
      <c r="DL33" s="478"/>
      <c r="DM33" s="478"/>
      <c r="DN33" s="477"/>
      <c r="DO33" s="478"/>
      <c r="DP33" s="478"/>
      <c r="DQ33" s="478"/>
      <c r="DR33" s="478"/>
      <c r="DS33" s="477"/>
      <c r="DT33" s="478"/>
      <c r="DU33" s="478"/>
      <c r="DV33" s="478"/>
      <c r="DW33" s="478"/>
      <c r="DX33" s="477"/>
      <c r="DY33" s="478"/>
      <c r="DZ33" s="478"/>
      <c r="EA33" s="478"/>
      <c r="EB33" s="478"/>
      <c r="EC33" s="477"/>
      <c r="ED33" s="478"/>
      <c r="EE33" s="478"/>
      <c r="EF33" s="478"/>
      <c r="EG33" s="478"/>
      <c r="EH33" s="477"/>
      <c r="EI33" s="478"/>
      <c r="EJ33" s="478"/>
      <c r="EK33" s="478"/>
      <c r="EL33" s="478"/>
      <c r="EM33" s="477"/>
      <c r="EN33" s="478"/>
      <c r="EO33" s="478"/>
      <c r="EP33" s="478"/>
      <c r="EQ33" s="478"/>
      <c r="ER33" s="477"/>
      <c r="ES33" s="478"/>
      <c r="ET33" s="478"/>
      <c r="EU33" s="478"/>
      <c r="EV33" s="478"/>
      <c r="EW33" s="477"/>
      <c r="EX33" s="478"/>
      <c r="EY33" s="478"/>
      <c r="EZ33" s="478"/>
      <c r="FA33" s="478"/>
      <c r="FB33" s="477"/>
      <c r="FC33" s="478"/>
      <c r="FD33" s="478"/>
      <c r="FE33" s="478"/>
      <c r="FF33" s="478"/>
      <c r="FG33" s="477"/>
      <c r="FH33" s="478"/>
      <c r="FI33" s="478"/>
      <c r="FJ33" s="478"/>
      <c r="FK33" s="478"/>
      <c r="FL33" s="477"/>
      <c r="FM33" s="478"/>
      <c r="FN33" s="478"/>
      <c r="FO33" s="478"/>
      <c r="FP33" s="478"/>
      <c r="FQ33" s="477"/>
      <c r="FR33" s="478"/>
      <c r="FS33" s="478"/>
      <c r="FT33" s="478"/>
      <c r="FU33" s="478"/>
      <c r="FV33" s="477"/>
      <c r="FW33" s="478"/>
      <c r="FX33" s="478"/>
      <c r="FY33" s="478"/>
      <c r="FZ33" s="478"/>
      <c r="GA33" s="477"/>
      <c r="GB33" s="478"/>
      <c r="GC33" s="478"/>
      <c r="GD33" s="478"/>
      <c r="GE33" s="478"/>
      <c r="GF33" s="477"/>
      <c r="GG33" s="478"/>
      <c r="GH33" s="478"/>
      <c r="GI33" s="478"/>
      <c r="GJ33" s="478"/>
      <c r="GK33" s="477"/>
      <c r="GL33" s="478"/>
      <c r="GM33" s="478"/>
      <c r="GN33" s="478"/>
      <c r="GO33" s="478"/>
      <c r="GP33" s="477"/>
      <c r="GQ33" s="478"/>
      <c r="GR33" s="478"/>
      <c r="GS33" s="478"/>
      <c r="GT33" s="478"/>
      <c r="GU33" s="477"/>
      <c r="GV33" s="478"/>
      <c r="GW33" s="478"/>
      <c r="GX33" s="478"/>
      <c r="GY33" s="478"/>
      <c r="GZ33" s="477"/>
      <c r="HA33" s="478"/>
      <c r="HB33" s="478"/>
      <c r="HC33" s="478"/>
      <c r="HD33" s="478"/>
      <c r="HE33" s="477"/>
      <c r="HF33" s="478"/>
      <c r="HG33" s="478"/>
      <c r="HH33" s="478"/>
      <c r="HI33" s="478"/>
      <c r="HJ33" s="477"/>
      <c r="HK33" s="478"/>
      <c r="HL33" s="478"/>
      <c r="HM33" s="478"/>
      <c r="HN33" s="478"/>
      <c r="HO33" s="477"/>
      <c r="HP33" s="478"/>
      <c r="HQ33" s="478"/>
      <c r="HR33" s="478"/>
      <c r="HS33" s="478"/>
      <c r="HT33" s="477"/>
      <c r="HU33" s="478"/>
      <c r="HV33" s="478"/>
      <c r="HW33" s="478"/>
      <c r="HX33" s="478"/>
      <c r="HY33" s="477"/>
      <c r="HZ33" s="478"/>
      <c r="IA33" s="478"/>
      <c r="IB33" s="478"/>
      <c r="IC33" s="478"/>
      <c r="ID33" s="477"/>
      <c r="IE33" s="478"/>
      <c r="IF33" s="478"/>
      <c r="IG33" s="478"/>
      <c r="IH33" s="478"/>
      <c r="II33" s="477"/>
      <c r="IJ33" s="478"/>
      <c r="IK33" s="478"/>
      <c r="IL33" s="478"/>
      <c r="IM33" s="478"/>
      <c r="IN33" s="477"/>
      <c r="IO33" s="478"/>
      <c r="IP33" s="478"/>
      <c r="IQ33" s="478"/>
      <c r="IR33" s="478"/>
      <c r="IS33" s="477"/>
      <c r="IT33" s="478"/>
      <c r="IU33" s="478"/>
      <c r="IV33" s="478"/>
      <c r="IW33" s="478"/>
      <c r="IX33" s="477"/>
      <c r="IY33" s="478"/>
      <c r="IZ33" s="478"/>
      <c r="JA33" s="478"/>
      <c r="JB33" s="478"/>
      <c r="JC33" s="477"/>
      <c r="JD33" s="478"/>
      <c r="JE33" s="478"/>
      <c r="JF33" s="478"/>
      <c r="JG33" s="478"/>
      <c r="JH33" s="477"/>
      <c r="JI33" s="478"/>
      <c r="JJ33" s="478"/>
      <c r="JK33" s="478"/>
      <c r="JL33" s="478"/>
      <c r="JM33" s="477"/>
      <c r="JN33" s="478"/>
      <c r="JO33" s="478"/>
      <c r="JP33" s="478"/>
      <c r="JQ33" s="482"/>
    </row>
    <row r="34" spans="2:277">
      <c r="B34" s="543" t="str">
        <f>MASTER!B68</f>
        <v>Tightening Sequence</v>
      </c>
      <c r="C34" s="543"/>
      <c r="D34" s="424" t="s">
        <v>122</v>
      </c>
      <c r="E34" s="434">
        <f>MASTER!C68/REPORT!$H$36</f>
        <v>1.1428571428571428</v>
      </c>
      <c r="F34" s="434">
        <f t="shared" si="573"/>
        <v>1</v>
      </c>
      <c r="H34" s="434">
        <f>GANTT_D!H32</f>
        <v>49</v>
      </c>
      <c r="I34" s="434">
        <f>GANTT_D!I32</f>
        <v>49</v>
      </c>
      <c r="J34" s="468">
        <f>GANTT_D!J32</f>
        <v>10.5</v>
      </c>
      <c r="K34" s="468">
        <f>GANTT_D!K32</f>
        <v>10.5</v>
      </c>
      <c r="L34" s="424"/>
      <c r="M34" s="477"/>
      <c r="N34" s="478"/>
      <c r="O34" s="478"/>
      <c r="P34" s="478"/>
      <c r="Q34" s="478"/>
      <c r="R34" s="477"/>
      <c r="S34" s="478"/>
      <c r="T34" s="478"/>
      <c r="U34" s="478"/>
      <c r="V34" s="478"/>
      <c r="W34" s="477"/>
      <c r="X34" s="478"/>
      <c r="Y34" s="478"/>
      <c r="Z34" s="478"/>
      <c r="AA34" s="478"/>
      <c r="AB34" s="477"/>
      <c r="AC34" s="478"/>
      <c r="AD34" s="478"/>
      <c r="AE34" s="478"/>
      <c r="AF34" s="478"/>
      <c r="AG34" s="477"/>
      <c r="AH34" s="478"/>
      <c r="AI34" s="478"/>
      <c r="AJ34" s="478"/>
      <c r="AK34" s="478"/>
      <c r="AL34" s="477"/>
      <c r="AM34" s="478"/>
      <c r="AN34" s="478"/>
      <c r="AO34" s="478"/>
      <c r="AP34" s="478"/>
      <c r="AQ34" s="477"/>
      <c r="AR34" s="478"/>
      <c r="AS34" s="478"/>
      <c r="AT34" s="478"/>
      <c r="AU34" s="478"/>
      <c r="AV34" s="477"/>
      <c r="AW34" s="478"/>
      <c r="AX34" s="478"/>
      <c r="AY34" s="478"/>
      <c r="AZ34" s="478"/>
      <c r="BA34" s="477"/>
      <c r="BB34" s="478"/>
      <c r="BC34" s="478"/>
      <c r="BD34" s="478"/>
      <c r="BE34" s="478"/>
      <c r="BF34" s="477"/>
      <c r="BG34" s="478"/>
      <c r="BH34" s="478"/>
      <c r="BI34" s="478"/>
      <c r="BJ34" s="478"/>
      <c r="BK34" s="477"/>
      <c r="BL34" s="478"/>
      <c r="BM34" s="478"/>
      <c r="BN34" s="478"/>
      <c r="BO34" s="478"/>
      <c r="BP34" s="477"/>
      <c r="BQ34" s="478"/>
      <c r="BR34" s="478"/>
      <c r="BS34" s="478"/>
      <c r="BT34" s="478"/>
      <c r="BU34" s="477"/>
      <c r="BV34" s="478"/>
      <c r="BW34" s="478"/>
      <c r="BX34" s="478"/>
      <c r="BY34" s="478"/>
      <c r="BZ34" s="477"/>
      <c r="CA34" s="478"/>
      <c r="CB34" s="478"/>
      <c r="CC34" s="478"/>
      <c r="CD34" s="478"/>
      <c r="CE34" s="477"/>
      <c r="CF34" s="478"/>
      <c r="CG34" s="478"/>
      <c r="CH34" s="478"/>
      <c r="CI34" s="478"/>
      <c r="CJ34" s="477"/>
      <c r="CK34" s="478"/>
      <c r="CL34" s="478"/>
      <c r="CM34" s="478"/>
      <c r="CN34" s="478"/>
      <c r="CO34" s="477"/>
      <c r="CP34" s="478"/>
      <c r="CQ34" s="478"/>
      <c r="CR34" s="478"/>
      <c r="CS34" s="478"/>
      <c r="CT34" s="477"/>
      <c r="CU34" s="478"/>
      <c r="CV34" s="478"/>
      <c r="CW34" s="478"/>
      <c r="CX34" s="478"/>
      <c r="CY34" s="477"/>
      <c r="CZ34" s="478"/>
      <c r="DA34" s="478"/>
      <c r="DB34" s="478"/>
      <c r="DC34" s="478"/>
      <c r="DD34" s="477"/>
      <c r="DE34" s="478"/>
      <c r="DF34" s="478"/>
      <c r="DG34" s="478"/>
      <c r="DH34" s="478"/>
      <c r="DI34" s="477"/>
      <c r="DJ34" s="478"/>
      <c r="DK34" s="478"/>
      <c r="DL34" s="478"/>
      <c r="DM34" s="478"/>
      <c r="DN34" s="477"/>
      <c r="DO34" s="478"/>
      <c r="DP34" s="478"/>
      <c r="DQ34" s="478"/>
      <c r="DR34" s="478"/>
      <c r="DS34" s="477"/>
      <c r="DT34" s="478"/>
      <c r="DU34" s="478"/>
      <c r="DV34" s="478"/>
      <c r="DW34" s="478"/>
      <c r="DX34" s="477"/>
      <c r="DY34" s="478"/>
      <c r="DZ34" s="478"/>
      <c r="EA34" s="478"/>
      <c r="EB34" s="478"/>
      <c r="EC34" s="477"/>
      <c r="ED34" s="478"/>
      <c r="EE34" s="478"/>
      <c r="EF34" s="478"/>
      <c r="EG34" s="478"/>
      <c r="EH34" s="477"/>
      <c r="EI34" s="478"/>
      <c r="EJ34" s="478"/>
      <c r="EK34" s="478"/>
      <c r="EL34" s="478"/>
      <c r="EM34" s="477"/>
      <c r="EN34" s="478"/>
      <c r="EO34" s="478"/>
      <c r="EP34" s="478"/>
      <c r="EQ34" s="478"/>
      <c r="ER34" s="477"/>
      <c r="ES34" s="478"/>
      <c r="ET34" s="478"/>
      <c r="EU34" s="478"/>
      <c r="EV34" s="478"/>
      <c r="EW34" s="477"/>
      <c r="EX34" s="478"/>
      <c r="EY34" s="478"/>
      <c r="EZ34" s="478"/>
      <c r="FA34" s="478"/>
      <c r="FB34" s="477"/>
      <c r="FC34" s="478"/>
      <c r="FD34" s="478"/>
      <c r="FE34" s="478"/>
      <c r="FF34" s="478"/>
      <c r="FG34" s="477"/>
      <c r="FH34" s="478"/>
      <c r="FI34" s="478"/>
      <c r="FJ34" s="478"/>
      <c r="FK34" s="478"/>
      <c r="FL34" s="477"/>
      <c r="FM34" s="478"/>
      <c r="FN34" s="478"/>
      <c r="FO34" s="478"/>
      <c r="FP34" s="478"/>
      <c r="FQ34" s="477"/>
      <c r="FR34" s="478"/>
      <c r="FS34" s="478"/>
      <c r="FT34" s="478"/>
      <c r="FU34" s="478"/>
      <c r="FV34" s="477"/>
      <c r="FW34" s="478"/>
      <c r="FX34" s="478"/>
      <c r="FY34" s="478"/>
      <c r="FZ34" s="478"/>
      <c r="GA34" s="477"/>
      <c r="GB34" s="478"/>
      <c r="GC34" s="478"/>
      <c r="GD34" s="478"/>
      <c r="GE34" s="478"/>
      <c r="GF34" s="477"/>
      <c r="GG34" s="478"/>
      <c r="GH34" s="478"/>
      <c r="GI34" s="478"/>
      <c r="GJ34" s="478"/>
      <c r="GK34" s="477"/>
      <c r="GL34" s="478"/>
      <c r="GM34" s="478"/>
      <c r="GN34" s="478"/>
      <c r="GO34" s="478"/>
      <c r="GP34" s="477"/>
      <c r="GQ34" s="478"/>
      <c r="GR34" s="478"/>
      <c r="GS34" s="478"/>
      <c r="GT34" s="478"/>
      <c r="GU34" s="477"/>
      <c r="GV34" s="478"/>
      <c r="GW34" s="478"/>
      <c r="GX34" s="478"/>
      <c r="GY34" s="478"/>
      <c r="GZ34" s="477"/>
      <c r="HA34" s="478"/>
      <c r="HB34" s="478"/>
      <c r="HC34" s="478"/>
      <c r="HD34" s="478"/>
      <c r="HE34" s="477"/>
      <c r="HF34" s="478"/>
      <c r="HG34" s="478"/>
      <c r="HH34" s="478"/>
      <c r="HI34" s="478"/>
      <c r="HJ34" s="477"/>
      <c r="HK34" s="478"/>
      <c r="HL34" s="478"/>
      <c r="HM34" s="478"/>
      <c r="HN34" s="478"/>
      <c r="HO34" s="477"/>
      <c r="HP34" s="478"/>
      <c r="HQ34" s="478"/>
      <c r="HR34" s="478"/>
      <c r="HS34" s="478"/>
      <c r="HT34" s="477"/>
      <c r="HU34" s="478"/>
      <c r="HV34" s="478"/>
      <c r="HW34" s="478"/>
      <c r="HX34" s="478"/>
      <c r="HY34" s="477"/>
      <c r="HZ34" s="478"/>
      <c r="IA34" s="478"/>
      <c r="IB34" s="478"/>
      <c r="IC34" s="478"/>
      <c r="ID34" s="477"/>
      <c r="IE34" s="478"/>
      <c r="IF34" s="478"/>
      <c r="IG34" s="478"/>
      <c r="IH34" s="478"/>
      <c r="II34" s="477"/>
      <c r="IJ34" s="478"/>
      <c r="IK34" s="478"/>
      <c r="IL34" s="478"/>
      <c r="IM34" s="478"/>
      <c r="IN34" s="477"/>
      <c r="IO34" s="478"/>
      <c r="IP34" s="478"/>
      <c r="IQ34" s="478"/>
      <c r="IR34" s="478"/>
      <c r="IS34" s="477"/>
      <c r="IT34" s="478"/>
      <c r="IU34" s="478"/>
      <c r="IV34" s="478"/>
      <c r="IW34" s="478"/>
      <c r="IX34" s="477"/>
      <c r="IY34" s="478"/>
      <c r="IZ34" s="478"/>
      <c r="JA34" s="478"/>
      <c r="JB34" s="478"/>
      <c r="JC34" s="477"/>
      <c r="JD34" s="478"/>
      <c r="JE34" s="478"/>
      <c r="JF34" s="478"/>
      <c r="JG34" s="478"/>
      <c r="JH34" s="477"/>
      <c r="JI34" s="478"/>
      <c r="JJ34" s="478"/>
      <c r="JK34" s="478"/>
      <c r="JL34" s="478"/>
      <c r="JM34" s="477"/>
      <c r="JN34" s="478"/>
      <c r="JO34" s="478"/>
      <c r="JP34" s="478"/>
      <c r="JQ34" s="482"/>
    </row>
    <row r="35" spans="2:277">
      <c r="B35" s="544" t="str">
        <f>MASTER!B69</f>
        <v>Assembly Drawing</v>
      </c>
      <c r="C35" s="544"/>
      <c r="D35" s="473" t="s">
        <v>122</v>
      </c>
      <c r="E35" s="465">
        <f>MASTER!C69/REPORT!$H$36</f>
        <v>1.1428571428571428</v>
      </c>
      <c r="F35" s="465">
        <f t="shared" si="573"/>
        <v>1</v>
      </c>
      <c r="H35" s="434">
        <f>GANTT_D!H33</f>
        <v>50</v>
      </c>
      <c r="I35" s="434">
        <f>GANTT_D!I33</f>
        <v>50</v>
      </c>
      <c r="J35" s="468">
        <f>GANTT_D!J33</f>
        <v>10.5</v>
      </c>
      <c r="K35" s="468">
        <f>GANTT_D!K33</f>
        <v>10.5</v>
      </c>
      <c r="L35" s="424"/>
      <c r="M35" s="477"/>
      <c r="N35" s="478"/>
      <c r="O35" s="478"/>
      <c r="P35" s="478"/>
      <c r="Q35" s="478"/>
      <c r="R35" s="477"/>
      <c r="S35" s="478"/>
      <c r="T35" s="478"/>
      <c r="U35" s="478"/>
      <c r="V35" s="478"/>
      <c r="W35" s="477"/>
      <c r="X35" s="478"/>
      <c r="Y35" s="478"/>
      <c r="Z35" s="478"/>
      <c r="AA35" s="478"/>
      <c r="AB35" s="477"/>
      <c r="AC35" s="478"/>
      <c r="AD35" s="478"/>
      <c r="AE35" s="478"/>
      <c r="AF35" s="478"/>
      <c r="AG35" s="477"/>
      <c r="AH35" s="478"/>
      <c r="AI35" s="478"/>
      <c r="AJ35" s="478"/>
      <c r="AK35" s="478"/>
      <c r="AL35" s="477"/>
      <c r="AM35" s="478"/>
      <c r="AN35" s="478"/>
      <c r="AO35" s="478"/>
      <c r="AP35" s="478"/>
      <c r="AQ35" s="477"/>
      <c r="AR35" s="478"/>
      <c r="AS35" s="478"/>
      <c r="AT35" s="478"/>
      <c r="AU35" s="478"/>
      <c r="AV35" s="477"/>
      <c r="AW35" s="478"/>
      <c r="AX35" s="478"/>
      <c r="AY35" s="478"/>
      <c r="AZ35" s="478"/>
      <c r="BA35" s="477"/>
      <c r="BB35" s="478"/>
      <c r="BC35" s="478"/>
      <c r="BD35" s="478"/>
      <c r="BE35" s="478"/>
      <c r="BF35" s="477"/>
      <c r="BG35" s="478"/>
      <c r="BH35" s="478"/>
      <c r="BI35" s="478"/>
      <c r="BJ35" s="478"/>
      <c r="BK35" s="477"/>
      <c r="BL35" s="478"/>
      <c r="BM35" s="478"/>
      <c r="BN35" s="478"/>
      <c r="BO35" s="478"/>
      <c r="BP35" s="477"/>
      <c r="BQ35" s="478"/>
      <c r="BR35" s="478"/>
      <c r="BS35" s="478"/>
      <c r="BT35" s="478"/>
      <c r="BU35" s="477"/>
      <c r="BV35" s="478"/>
      <c r="BW35" s="478"/>
      <c r="BX35" s="478"/>
      <c r="BY35" s="478"/>
      <c r="BZ35" s="477"/>
      <c r="CA35" s="478"/>
      <c r="CB35" s="478"/>
      <c r="CC35" s="478"/>
      <c r="CD35" s="478"/>
      <c r="CE35" s="477"/>
      <c r="CF35" s="478"/>
      <c r="CG35" s="478"/>
      <c r="CH35" s="478"/>
      <c r="CI35" s="478"/>
      <c r="CJ35" s="477"/>
      <c r="CK35" s="478"/>
      <c r="CL35" s="478"/>
      <c r="CM35" s="478"/>
      <c r="CN35" s="478"/>
      <c r="CO35" s="477"/>
      <c r="CP35" s="478"/>
      <c r="CQ35" s="478"/>
      <c r="CR35" s="478"/>
      <c r="CS35" s="478"/>
      <c r="CT35" s="477"/>
      <c r="CU35" s="478"/>
      <c r="CV35" s="478"/>
      <c r="CW35" s="478"/>
      <c r="CX35" s="478"/>
      <c r="CY35" s="477"/>
      <c r="CZ35" s="478"/>
      <c r="DA35" s="478"/>
      <c r="DB35" s="478"/>
      <c r="DC35" s="478"/>
      <c r="DD35" s="477"/>
      <c r="DE35" s="478"/>
      <c r="DF35" s="478"/>
      <c r="DG35" s="478"/>
      <c r="DH35" s="478"/>
      <c r="DI35" s="477"/>
      <c r="DJ35" s="478"/>
      <c r="DK35" s="478"/>
      <c r="DL35" s="478"/>
      <c r="DM35" s="478"/>
      <c r="DN35" s="477"/>
      <c r="DO35" s="478"/>
      <c r="DP35" s="478"/>
      <c r="DQ35" s="478"/>
      <c r="DR35" s="478"/>
      <c r="DS35" s="477"/>
      <c r="DT35" s="478"/>
      <c r="DU35" s="478"/>
      <c r="DV35" s="478"/>
      <c r="DW35" s="478"/>
      <c r="DX35" s="477"/>
      <c r="DY35" s="478"/>
      <c r="DZ35" s="478"/>
      <c r="EA35" s="478"/>
      <c r="EB35" s="478"/>
      <c r="EC35" s="477"/>
      <c r="ED35" s="478"/>
      <c r="EE35" s="478"/>
      <c r="EF35" s="478"/>
      <c r="EG35" s="478"/>
      <c r="EH35" s="477"/>
      <c r="EI35" s="478"/>
      <c r="EJ35" s="478"/>
      <c r="EK35" s="478"/>
      <c r="EL35" s="478"/>
      <c r="EM35" s="477"/>
      <c r="EN35" s="478"/>
      <c r="EO35" s="478"/>
      <c r="EP35" s="478"/>
      <c r="EQ35" s="478"/>
      <c r="ER35" s="477"/>
      <c r="ES35" s="478"/>
      <c r="ET35" s="478"/>
      <c r="EU35" s="478"/>
      <c r="EV35" s="478"/>
      <c r="EW35" s="477"/>
      <c r="EX35" s="478"/>
      <c r="EY35" s="478"/>
      <c r="EZ35" s="478"/>
      <c r="FA35" s="478"/>
      <c r="FB35" s="477"/>
      <c r="FC35" s="478"/>
      <c r="FD35" s="478"/>
      <c r="FE35" s="478"/>
      <c r="FF35" s="478"/>
      <c r="FG35" s="477"/>
      <c r="FH35" s="478"/>
      <c r="FI35" s="478"/>
      <c r="FJ35" s="478"/>
      <c r="FK35" s="478"/>
      <c r="FL35" s="477"/>
      <c r="FM35" s="478"/>
      <c r="FN35" s="478"/>
      <c r="FO35" s="478"/>
      <c r="FP35" s="478"/>
      <c r="FQ35" s="477"/>
      <c r="FR35" s="478"/>
      <c r="FS35" s="478"/>
      <c r="FT35" s="478"/>
      <c r="FU35" s="478"/>
      <c r="FV35" s="477"/>
      <c r="FW35" s="478"/>
      <c r="FX35" s="478"/>
      <c r="FY35" s="478"/>
      <c r="FZ35" s="478"/>
      <c r="GA35" s="477"/>
      <c r="GB35" s="478"/>
      <c r="GC35" s="478"/>
      <c r="GD35" s="478"/>
      <c r="GE35" s="478"/>
      <c r="GF35" s="477"/>
      <c r="GG35" s="478"/>
      <c r="GH35" s="478"/>
      <c r="GI35" s="478"/>
      <c r="GJ35" s="478"/>
      <c r="GK35" s="477"/>
      <c r="GL35" s="478"/>
      <c r="GM35" s="478"/>
      <c r="GN35" s="478"/>
      <c r="GO35" s="478"/>
      <c r="GP35" s="477"/>
      <c r="GQ35" s="478"/>
      <c r="GR35" s="478"/>
      <c r="GS35" s="478"/>
      <c r="GT35" s="478"/>
      <c r="GU35" s="477"/>
      <c r="GV35" s="478"/>
      <c r="GW35" s="478"/>
      <c r="GX35" s="478"/>
      <c r="GY35" s="478"/>
      <c r="GZ35" s="477"/>
      <c r="HA35" s="478"/>
      <c r="HB35" s="478"/>
      <c r="HC35" s="478"/>
      <c r="HD35" s="478"/>
      <c r="HE35" s="477"/>
      <c r="HF35" s="478"/>
      <c r="HG35" s="478"/>
      <c r="HH35" s="478"/>
      <c r="HI35" s="478"/>
      <c r="HJ35" s="477"/>
      <c r="HK35" s="478"/>
      <c r="HL35" s="478"/>
      <c r="HM35" s="478"/>
      <c r="HN35" s="478"/>
      <c r="HO35" s="477"/>
      <c r="HP35" s="478"/>
      <c r="HQ35" s="478"/>
      <c r="HR35" s="478"/>
      <c r="HS35" s="478"/>
      <c r="HT35" s="477"/>
      <c r="HU35" s="478"/>
      <c r="HV35" s="478"/>
      <c r="HW35" s="478"/>
      <c r="HX35" s="478"/>
      <c r="HY35" s="477"/>
      <c r="HZ35" s="478"/>
      <c r="IA35" s="478"/>
      <c r="IB35" s="478"/>
      <c r="IC35" s="478"/>
      <c r="ID35" s="477"/>
      <c r="IE35" s="478"/>
      <c r="IF35" s="478"/>
      <c r="IG35" s="478"/>
      <c r="IH35" s="478"/>
      <c r="II35" s="477"/>
      <c r="IJ35" s="478"/>
      <c r="IK35" s="478"/>
      <c r="IL35" s="478"/>
      <c r="IM35" s="478"/>
      <c r="IN35" s="477"/>
      <c r="IO35" s="478"/>
      <c r="IP35" s="478"/>
      <c r="IQ35" s="478"/>
      <c r="IR35" s="478"/>
      <c r="IS35" s="477"/>
      <c r="IT35" s="478"/>
      <c r="IU35" s="478"/>
      <c r="IV35" s="478"/>
      <c r="IW35" s="478"/>
      <c r="IX35" s="477"/>
      <c r="IY35" s="478"/>
      <c r="IZ35" s="478"/>
      <c r="JA35" s="478"/>
      <c r="JB35" s="478"/>
      <c r="JC35" s="477"/>
      <c r="JD35" s="478"/>
      <c r="JE35" s="478"/>
      <c r="JF35" s="478"/>
      <c r="JG35" s="478"/>
      <c r="JH35" s="477"/>
      <c r="JI35" s="478"/>
      <c r="JJ35" s="478"/>
      <c r="JK35" s="478"/>
      <c r="JL35" s="478"/>
      <c r="JM35" s="477"/>
      <c r="JN35" s="478"/>
      <c r="JO35" s="478"/>
      <c r="JP35" s="478"/>
      <c r="JQ35" s="482"/>
    </row>
    <row r="36" spans="2:277">
      <c r="B36" s="543" t="str">
        <f>MASTER!B70</f>
        <v>Project calculation reports
(FEM, lateral, torsional, …)</v>
      </c>
      <c r="C36" s="543"/>
      <c r="D36" s="424" t="s">
        <v>123</v>
      </c>
      <c r="E36" s="434">
        <f>IFERROR(MASTER!C70/REPORT!$H$36,0)</f>
        <v>0</v>
      </c>
      <c r="F36" s="434" t="str">
        <f t="shared" si="573"/>
        <v/>
      </c>
      <c r="H36" s="434" t="str">
        <f>GANTT_D!H34</f>
        <v/>
      </c>
      <c r="I36" s="434" t="str">
        <f>GANTT_D!I34</f>
        <v/>
      </c>
      <c r="J36" s="468" t="str">
        <f>GANTT_D!J34</f>
        <v/>
      </c>
      <c r="K36" s="468" t="str">
        <f>GANTT_D!K34</f>
        <v/>
      </c>
      <c r="L36" s="424"/>
      <c r="M36" s="477"/>
      <c r="N36" s="478"/>
      <c r="O36" s="478"/>
      <c r="P36" s="478"/>
      <c r="Q36" s="478"/>
      <c r="R36" s="477"/>
      <c r="S36" s="478"/>
      <c r="T36" s="478"/>
      <c r="U36" s="478"/>
      <c r="V36" s="478"/>
      <c r="W36" s="477"/>
      <c r="X36" s="478"/>
      <c r="Y36" s="478"/>
      <c r="Z36" s="478"/>
      <c r="AA36" s="478"/>
      <c r="AB36" s="477"/>
      <c r="AC36" s="478"/>
      <c r="AD36" s="478"/>
      <c r="AE36" s="478"/>
      <c r="AF36" s="478"/>
      <c r="AG36" s="477"/>
      <c r="AH36" s="478"/>
      <c r="AI36" s="478"/>
      <c r="AJ36" s="478"/>
      <c r="AK36" s="478"/>
      <c r="AL36" s="477"/>
      <c r="AM36" s="478"/>
      <c r="AN36" s="478"/>
      <c r="AO36" s="478"/>
      <c r="AP36" s="478"/>
      <c r="AQ36" s="477"/>
      <c r="AR36" s="478"/>
      <c r="AS36" s="478"/>
      <c r="AT36" s="478"/>
      <c r="AU36" s="478"/>
      <c r="AV36" s="477"/>
      <c r="AW36" s="478"/>
      <c r="AX36" s="478"/>
      <c r="AY36" s="478"/>
      <c r="AZ36" s="478"/>
      <c r="BA36" s="477"/>
      <c r="BB36" s="478"/>
      <c r="BC36" s="478"/>
      <c r="BD36" s="478"/>
      <c r="BE36" s="478"/>
      <c r="BF36" s="477"/>
      <c r="BG36" s="478"/>
      <c r="BH36" s="478"/>
      <c r="BI36" s="478"/>
      <c r="BJ36" s="478"/>
      <c r="BK36" s="477"/>
      <c r="BL36" s="478"/>
      <c r="BM36" s="478"/>
      <c r="BN36" s="478"/>
      <c r="BO36" s="478"/>
      <c r="BP36" s="477"/>
      <c r="BQ36" s="478"/>
      <c r="BR36" s="478"/>
      <c r="BS36" s="478"/>
      <c r="BT36" s="478"/>
      <c r="BU36" s="477"/>
      <c r="BV36" s="478"/>
      <c r="BW36" s="478"/>
      <c r="BX36" s="478"/>
      <c r="BY36" s="478"/>
      <c r="BZ36" s="477"/>
      <c r="CA36" s="478"/>
      <c r="CB36" s="478"/>
      <c r="CC36" s="478"/>
      <c r="CD36" s="478"/>
      <c r="CE36" s="477"/>
      <c r="CF36" s="478"/>
      <c r="CG36" s="478"/>
      <c r="CH36" s="478"/>
      <c r="CI36" s="478"/>
      <c r="CJ36" s="477"/>
      <c r="CK36" s="478"/>
      <c r="CL36" s="478"/>
      <c r="CM36" s="478"/>
      <c r="CN36" s="478"/>
      <c r="CO36" s="477"/>
      <c r="CP36" s="478"/>
      <c r="CQ36" s="478"/>
      <c r="CR36" s="478"/>
      <c r="CS36" s="478"/>
      <c r="CT36" s="477"/>
      <c r="CU36" s="478"/>
      <c r="CV36" s="478"/>
      <c r="CW36" s="478"/>
      <c r="CX36" s="478"/>
      <c r="CY36" s="477"/>
      <c r="CZ36" s="478"/>
      <c r="DA36" s="478"/>
      <c r="DB36" s="478"/>
      <c r="DC36" s="478"/>
      <c r="DD36" s="477"/>
      <c r="DE36" s="478"/>
      <c r="DF36" s="478"/>
      <c r="DG36" s="478"/>
      <c r="DH36" s="478"/>
      <c r="DI36" s="477"/>
      <c r="DJ36" s="478"/>
      <c r="DK36" s="478"/>
      <c r="DL36" s="478"/>
      <c r="DM36" s="478"/>
      <c r="DN36" s="477"/>
      <c r="DO36" s="478"/>
      <c r="DP36" s="478"/>
      <c r="DQ36" s="478"/>
      <c r="DR36" s="478"/>
      <c r="DS36" s="477"/>
      <c r="DT36" s="478"/>
      <c r="DU36" s="478"/>
      <c r="DV36" s="478"/>
      <c r="DW36" s="478"/>
      <c r="DX36" s="477"/>
      <c r="DY36" s="478"/>
      <c r="DZ36" s="478"/>
      <c r="EA36" s="478"/>
      <c r="EB36" s="478"/>
      <c r="EC36" s="477"/>
      <c r="ED36" s="478"/>
      <c r="EE36" s="478"/>
      <c r="EF36" s="478"/>
      <c r="EG36" s="478"/>
      <c r="EH36" s="477"/>
      <c r="EI36" s="478"/>
      <c r="EJ36" s="478"/>
      <c r="EK36" s="478"/>
      <c r="EL36" s="478"/>
      <c r="EM36" s="477"/>
      <c r="EN36" s="478"/>
      <c r="EO36" s="478"/>
      <c r="EP36" s="478"/>
      <c r="EQ36" s="478"/>
      <c r="ER36" s="477"/>
      <c r="ES36" s="478"/>
      <c r="ET36" s="478"/>
      <c r="EU36" s="478"/>
      <c r="EV36" s="478"/>
      <c r="EW36" s="477"/>
      <c r="EX36" s="478"/>
      <c r="EY36" s="478"/>
      <c r="EZ36" s="478"/>
      <c r="FA36" s="478"/>
      <c r="FB36" s="477"/>
      <c r="FC36" s="478"/>
      <c r="FD36" s="478"/>
      <c r="FE36" s="478"/>
      <c r="FF36" s="478"/>
      <c r="FG36" s="477"/>
      <c r="FH36" s="478"/>
      <c r="FI36" s="478"/>
      <c r="FJ36" s="478"/>
      <c r="FK36" s="478"/>
      <c r="FL36" s="477"/>
      <c r="FM36" s="478"/>
      <c r="FN36" s="478"/>
      <c r="FO36" s="478"/>
      <c r="FP36" s="478"/>
      <c r="FQ36" s="477"/>
      <c r="FR36" s="478"/>
      <c r="FS36" s="478"/>
      <c r="FT36" s="478"/>
      <c r="FU36" s="478"/>
      <c r="FV36" s="477"/>
      <c r="FW36" s="478"/>
      <c r="FX36" s="478"/>
      <c r="FY36" s="478"/>
      <c r="FZ36" s="478"/>
      <c r="GA36" s="477"/>
      <c r="GB36" s="478"/>
      <c r="GC36" s="478"/>
      <c r="GD36" s="478"/>
      <c r="GE36" s="478"/>
      <c r="GF36" s="477"/>
      <c r="GG36" s="478"/>
      <c r="GH36" s="478"/>
      <c r="GI36" s="478"/>
      <c r="GJ36" s="478"/>
      <c r="GK36" s="477"/>
      <c r="GL36" s="478"/>
      <c r="GM36" s="478"/>
      <c r="GN36" s="478"/>
      <c r="GO36" s="478"/>
      <c r="GP36" s="477"/>
      <c r="GQ36" s="478"/>
      <c r="GR36" s="478"/>
      <c r="GS36" s="478"/>
      <c r="GT36" s="478"/>
      <c r="GU36" s="477"/>
      <c r="GV36" s="478"/>
      <c r="GW36" s="478"/>
      <c r="GX36" s="478"/>
      <c r="GY36" s="478"/>
      <c r="GZ36" s="477"/>
      <c r="HA36" s="478"/>
      <c r="HB36" s="478"/>
      <c r="HC36" s="478"/>
      <c r="HD36" s="478"/>
      <c r="HE36" s="477"/>
      <c r="HF36" s="478"/>
      <c r="HG36" s="478"/>
      <c r="HH36" s="478"/>
      <c r="HI36" s="478"/>
      <c r="HJ36" s="477"/>
      <c r="HK36" s="478"/>
      <c r="HL36" s="478"/>
      <c r="HM36" s="478"/>
      <c r="HN36" s="478"/>
      <c r="HO36" s="477"/>
      <c r="HP36" s="478"/>
      <c r="HQ36" s="478"/>
      <c r="HR36" s="478"/>
      <c r="HS36" s="478"/>
      <c r="HT36" s="477"/>
      <c r="HU36" s="478"/>
      <c r="HV36" s="478"/>
      <c r="HW36" s="478"/>
      <c r="HX36" s="478"/>
      <c r="HY36" s="477"/>
      <c r="HZ36" s="478"/>
      <c r="IA36" s="478"/>
      <c r="IB36" s="478"/>
      <c r="IC36" s="478"/>
      <c r="ID36" s="477"/>
      <c r="IE36" s="478"/>
      <c r="IF36" s="478"/>
      <c r="IG36" s="478"/>
      <c r="IH36" s="478"/>
      <c r="II36" s="477"/>
      <c r="IJ36" s="478"/>
      <c r="IK36" s="478"/>
      <c r="IL36" s="478"/>
      <c r="IM36" s="478"/>
      <c r="IN36" s="477"/>
      <c r="IO36" s="478"/>
      <c r="IP36" s="478"/>
      <c r="IQ36" s="478"/>
      <c r="IR36" s="478"/>
      <c r="IS36" s="477"/>
      <c r="IT36" s="478"/>
      <c r="IU36" s="478"/>
      <c r="IV36" s="478"/>
      <c r="IW36" s="478"/>
      <c r="IX36" s="477"/>
      <c r="IY36" s="478"/>
      <c r="IZ36" s="478"/>
      <c r="JA36" s="478"/>
      <c r="JB36" s="478"/>
      <c r="JC36" s="477"/>
      <c r="JD36" s="478"/>
      <c r="JE36" s="478"/>
      <c r="JF36" s="478"/>
      <c r="JG36" s="478"/>
      <c r="JH36" s="477"/>
      <c r="JI36" s="478"/>
      <c r="JJ36" s="478"/>
      <c r="JK36" s="478"/>
      <c r="JL36" s="478"/>
      <c r="JM36" s="477"/>
      <c r="JN36" s="478"/>
      <c r="JO36" s="478"/>
      <c r="JP36" s="478"/>
      <c r="JQ36" s="482"/>
    </row>
    <row r="37" spans="2:277">
      <c r="B37" s="544" t="str">
        <f>MASTER!B71</f>
        <v>Check List</v>
      </c>
      <c r="C37" s="544"/>
      <c r="D37" s="473" t="s">
        <v>122</v>
      </c>
      <c r="E37" s="465">
        <f>MASTER!C71/REPORT!$H$36</f>
        <v>1.1428571428571428</v>
      </c>
      <c r="F37" s="465">
        <f t="shared" si="573"/>
        <v>1</v>
      </c>
      <c r="H37" s="434">
        <f>GANTT_D!H35</f>
        <v>51</v>
      </c>
      <c r="I37" s="434">
        <f>GANTT_D!I35</f>
        <v>51</v>
      </c>
      <c r="J37" s="468">
        <f>GANTT_D!J35</f>
        <v>11</v>
      </c>
      <c r="K37" s="468">
        <f>GANTT_D!K35</f>
        <v>11</v>
      </c>
      <c r="L37" s="424"/>
      <c r="M37" s="479"/>
      <c r="N37" s="480"/>
      <c r="O37" s="480"/>
      <c r="P37" s="480"/>
      <c r="Q37" s="480"/>
      <c r="R37" s="479"/>
      <c r="S37" s="480"/>
      <c r="T37" s="480"/>
      <c r="U37" s="480"/>
      <c r="V37" s="480"/>
      <c r="W37" s="479"/>
      <c r="X37" s="480"/>
      <c r="Y37" s="480"/>
      <c r="Z37" s="480"/>
      <c r="AA37" s="480"/>
      <c r="AB37" s="479"/>
      <c r="AC37" s="480"/>
      <c r="AD37" s="480"/>
      <c r="AE37" s="480"/>
      <c r="AF37" s="480"/>
      <c r="AG37" s="479"/>
      <c r="AH37" s="480"/>
      <c r="AI37" s="480"/>
      <c r="AJ37" s="480"/>
      <c r="AK37" s="480"/>
      <c r="AL37" s="479"/>
      <c r="AM37" s="480"/>
      <c r="AN37" s="480"/>
      <c r="AO37" s="480"/>
      <c r="AP37" s="480"/>
      <c r="AQ37" s="479"/>
      <c r="AR37" s="480"/>
      <c r="AS37" s="480"/>
      <c r="AT37" s="480"/>
      <c r="AU37" s="480"/>
      <c r="AV37" s="479"/>
      <c r="AW37" s="480"/>
      <c r="AX37" s="480"/>
      <c r="AY37" s="480"/>
      <c r="AZ37" s="480"/>
      <c r="BA37" s="479"/>
      <c r="BB37" s="480"/>
      <c r="BC37" s="480"/>
      <c r="BD37" s="480"/>
      <c r="BE37" s="480"/>
      <c r="BF37" s="479"/>
      <c r="BG37" s="480"/>
      <c r="BH37" s="480"/>
      <c r="BI37" s="480"/>
      <c r="BJ37" s="480"/>
      <c r="BK37" s="479"/>
      <c r="BL37" s="480"/>
      <c r="BM37" s="480"/>
      <c r="BN37" s="480"/>
      <c r="BO37" s="480"/>
      <c r="BP37" s="479"/>
      <c r="BQ37" s="480"/>
      <c r="BR37" s="480"/>
      <c r="BS37" s="480"/>
      <c r="BT37" s="480"/>
      <c r="BU37" s="479"/>
      <c r="BV37" s="480"/>
      <c r="BW37" s="480"/>
      <c r="BX37" s="480"/>
      <c r="BY37" s="480"/>
      <c r="BZ37" s="479"/>
      <c r="CA37" s="480"/>
      <c r="CB37" s="480"/>
      <c r="CC37" s="480"/>
      <c r="CD37" s="480"/>
      <c r="CE37" s="479"/>
      <c r="CF37" s="480"/>
      <c r="CG37" s="480"/>
      <c r="CH37" s="480"/>
      <c r="CI37" s="480"/>
      <c r="CJ37" s="479"/>
      <c r="CK37" s="480"/>
      <c r="CL37" s="480"/>
      <c r="CM37" s="480"/>
      <c r="CN37" s="480"/>
      <c r="CO37" s="479"/>
      <c r="CP37" s="480"/>
      <c r="CQ37" s="480"/>
      <c r="CR37" s="480"/>
      <c r="CS37" s="480"/>
      <c r="CT37" s="479"/>
      <c r="CU37" s="480"/>
      <c r="CV37" s="480"/>
      <c r="CW37" s="480"/>
      <c r="CX37" s="480"/>
      <c r="CY37" s="479"/>
      <c r="CZ37" s="480"/>
      <c r="DA37" s="480"/>
      <c r="DB37" s="480"/>
      <c r="DC37" s="480"/>
      <c r="DD37" s="479"/>
      <c r="DE37" s="480"/>
      <c r="DF37" s="480"/>
      <c r="DG37" s="480"/>
      <c r="DH37" s="480"/>
      <c r="DI37" s="479"/>
      <c r="DJ37" s="480"/>
      <c r="DK37" s="480"/>
      <c r="DL37" s="480"/>
      <c r="DM37" s="480"/>
      <c r="DN37" s="479"/>
      <c r="DO37" s="480"/>
      <c r="DP37" s="480"/>
      <c r="DQ37" s="480"/>
      <c r="DR37" s="480"/>
      <c r="DS37" s="479"/>
      <c r="DT37" s="480"/>
      <c r="DU37" s="480"/>
      <c r="DV37" s="480"/>
      <c r="DW37" s="480"/>
      <c r="DX37" s="479"/>
      <c r="DY37" s="480"/>
      <c r="DZ37" s="480"/>
      <c r="EA37" s="480"/>
      <c r="EB37" s="480"/>
      <c r="EC37" s="479"/>
      <c r="ED37" s="480"/>
      <c r="EE37" s="480"/>
      <c r="EF37" s="480"/>
      <c r="EG37" s="480"/>
      <c r="EH37" s="479"/>
      <c r="EI37" s="480"/>
      <c r="EJ37" s="480"/>
      <c r="EK37" s="480"/>
      <c r="EL37" s="480"/>
      <c r="EM37" s="479"/>
      <c r="EN37" s="480"/>
      <c r="EO37" s="480"/>
      <c r="EP37" s="480"/>
      <c r="EQ37" s="480"/>
      <c r="ER37" s="479"/>
      <c r="ES37" s="480"/>
      <c r="ET37" s="480"/>
      <c r="EU37" s="480"/>
      <c r="EV37" s="480"/>
      <c r="EW37" s="479"/>
      <c r="EX37" s="480"/>
      <c r="EY37" s="480"/>
      <c r="EZ37" s="480"/>
      <c r="FA37" s="480"/>
      <c r="FB37" s="479"/>
      <c r="FC37" s="480"/>
      <c r="FD37" s="480"/>
      <c r="FE37" s="480"/>
      <c r="FF37" s="480"/>
      <c r="FG37" s="479"/>
      <c r="FH37" s="480"/>
      <c r="FI37" s="480"/>
      <c r="FJ37" s="480"/>
      <c r="FK37" s="480"/>
      <c r="FL37" s="479"/>
      <c r="FM37" s="480"/>
      <c r="FN37" s="480"/>
      <c r="FO37" s="480"/>
      <c r="FP37" s="480"/>
      <c r="FQ37" s="479"/>
      <c r="FR37" s="480"/>
      <c r="FS37" s="480"/>
      <c r="FT37" s="480"/>
      <c r="FU37" s="480"/>
      <c r="FV37" s="479"/>
      <c r="FW37" s="480"/>
      <c r="FX37" s="480"/>
      <c r="FY37" s="480"/>
      <c r="FZ37" s="480"/>
      <c r="GA37" s="479"/>
      <c r="GB37" s="480"/>
      <c r="GC37" s="480"/>
      <c r="GD37" s="480"/>
      <c r="GE37" s="480"/>
      <c r="GF37" s="479"/>
      <c r="GG37" s="480"/>
      <c r="GH37" s="480"/>
      <c r="GI37" s="480"/>
      <c r="GJ37" s="480"/>
      <c r="GK37" s="479"/>
      <c r="GL37" s="480"/>
      <c r="GM37" s="480"/>
      <c r="GN37" s="480"/>
      <c r="GO37" s="480"/>
      <c r="GP37" s="479"/>
      <c r="GQ37" s="480"/>
      <c r="GR37" s="480"/>
      <c r="GS37" s="480"/>
      <c r="GT37" s="480"/>
      <c r="GU37" s="479"/>
      <c r="GV37" s="480"/>
      <c r="GW37" s="480"/>
      <c r="GX37" s="480"/>
      <c r="GY37" s="480"/>
      <c r="GZ37" s="479"/>
      <c r="HA37" s="480"/>
      <c r="HB37" s="480"/>
      <c r="HC37" s="480"/>
      <c r="HD37" s="480"/>
      <c r="HE37" s="479"/>
      <c r="HF37" s="480"/>
      <c r="HG37" s="480"/>
      <c r="HH37" s="480"/>
      <c r="HI37" s="480"/>
      <c r="HJ37" s="479"/>
      <c r="HK37" s="480"/>
      <c r="HL37" s="480"/>
      <c r="HM37" s="480"/>
      <c r="HN37" s="480"/>
      <c r="HO37" s="479"/>
      <c r="HP37" s="480"/>
      <c r="HQ37" s="480"/>
      <c r="HR37" s="480"/>
      <c r="HS37" s="480"/>
      <c r="HT37" s="479"/>
      <c r="HU37" s="480"/>
      <c r="HV37" s="480"/>
      <c r="HW37" s="480"/>
      <c r="HX37" s="480"/>
      <c r="HY37" s="479"/>
      <c r="HZ37" s="480"/>
      <c r="IA37" s="480"/>
      <c r="IB37" s="480"/>
      <c r="IC37" s="480"/>
      <c r="ID37" s="479"/>
      <c r="IE37" s="480"/>
      <c r="IF37" s="480"/>
      <c r="IG37" s="480"/>
      <c r="IH37" s="480"/>
      <c r="II37" s="479"/>
      <c r="IJ37" s="480"/>
      <c r="IK37" s="480"/>
      <c r="IL37" s="480"/>
      <c r="IM37" s="480"/>
      <c r="IN37" s="479"/>
      <c r="IO37" s="480"/>
      <c r="IP37" s="480"/>
      <c r="IQ37" s="480"/>
      <c r="IR37" s="480"/>
      <c r="IS37" s="479"/>
      <c r="IT37" s="480"/>
      <c r="IU37" s="480"/>
      <c r="IV37" s="480"/>
      <c r="IW37" s="480"/>
      <c r="IX37" s="479"/>
      <c r="IY37" s="480"/>
      <c r="IZ37" s="480"/>
      <c r="JA37" s="480"/>
      <c r="JB37" s="480"/>
      <c r="JC37" s="479"/>
      <c r="JD37" s="480"/>
      <c r="JE37" s="480"/>
      <c r="JF37" s="480"/>
      <c r="JG37" s="480"/>
      <c r="JH37" s="479"/>
      <c r="JI37" s="480"/>
      <c r="JJ37" s="480"/>
      <c r="JK37" s="480"/>
      <c r="JL37" s="480"/>
      <c r="JM37" s="479"/>
      <c r="JN37" s="480"/>
      <c r="JO37" s="480"/>
      <c r="JP37" s="480"/>
      <c r="JQ37" s="483"/>
    </row>
    <row r="38" spans="2:277" ht="5.25" customHeight="1">
      <c r="B38" s="426"/>
      <c r="C38" s="426"/>
      <c r="D38" s="424"/>
      <c r="E38" s="424"/>
      <c r="F38" s="424"/>
      <c r="G38" s="424"/>
      <c r="H38" s="424"/>
      <c r="I38" s="424"/>
      <c r="J38" s="424"/>
      <c r="K38" s="424"/>
      <c r="L38" s="424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</row>
    <row r="39" spans="2:277">
      <c r="D39" s="165" t="s">
        <v>378</v>
      </c>
      <c r="E39" s="437">
        <f>GANTT_D!E37</f>
        <v>89.571428571428584</v>
      </c>
      <c r="F39" s="437"/>
    </row>
    <row r="40" spans="2:277">
      <c r="D40" s="165" t="s">
        <v>376</v>
      </c>
      <c r="E40" s="437">
        <f>GANTT_D!E38</f>
        <v>51</v>
      </c>
      <c r="F40" s="441"/>
    </row>
    <row r="41" spans="2:277">
      <c r="D41" s="165" t="s">
        <v>375</v>
      </c>
      <c r="E41" s="437">
        <f>GANTT_D!E39</f>
        <v>71</v>
      </c>
      <c r="F41" s="437"/>
    </row>
    <row r="42" spans="2:277">
      <c r="D42" s="165" t="s">
        <v>377</v>
      </c>
      <c r="E42" s="437">
        <f>GANTT_D!E40</f>
        <v>11</v>
      </c>
      <c r="F42" s="438"/>
    </row>
    <row r="45" spans="2:277">
      <c r="G45" s="440"/>
    </row>
  </sheetData>
  <mergeCells count="76">
    <mergeCell ref="BK12:BO12"/>
    <mergeCell ref="AB2:AD2"/>
    <mergeCell ref="M12:Q12"/>
    <mergeCell ref="R12:V12"/>
    <mergeCell ref="W12:AA12"/>
    <mergeCell ref="AB12:AF12"/>
    <mergeCell ref="AG12:AK12"/>
    <mergeCell ref="AL12:AP12"/>
    <mergeCell ref="AQ12:AU12"/>
    <mergeCell ref="AV12:AZ12"/>
    <mergeCell ref="BA12:BE12"/>
    <mergeCell ref="BF12:BJ12"/>
    <mergeCell ref="DS12:DW12"/>
    <mergeCell ref="BP12:BT12"/>
    <mergeCell ref="BU12:BY12"/>
    <mergeCell ref="BZ12:CD12"/>
    <mergeCell ref="CE12:CI12"/>
    <mergeCell ref="CJ12:CN12"/>
    <mergeCell ref="CO12:CS12"/>
    <mergeCell ref="CT12:CX12"/>
    <mergeCell ref="CY12:DC12"/>
    <mergeCell ref="DD12:DH12"/>
    <mergeCell ref="DI12:DM12"/>
    <mergeCell ref="DN12:DR12"/>
    <mergeCell ref="GA12:GE12"/>
    <mergeCell ref="DX12:EB12"/>
    <mergeCell ref="EC12:EG12"/>
    <mergeCell ref="EH12:EL12"/>
    <mergeCell ref="EM12:EQ12"/>
    <mergeCell ref="ER12:EV12"/>
    <mergeCell ref="EW12:FA12"/>
    <mergeCell ref="JH12:JL12"/>
    <mergeCell ref="JM12:JQ12"/>
    <mergeCell ref="HJ12:HN12"/>
    <mergeCell ref="HO12:HS12"/>
    <mergeCell ref="HT12:HX12"/>
    <mergeCell ref="HY12:IC12"/>
    <mergeCell ref="ID12:IH12"/>
    <mergeCell ref="II12:IM12"/>
    <mergeCell ref="B19:C19"/>
    <mergeCell ref="IN12:IR12"/>
    <mergeCell ref="IS12:IW12"/>
    <mergeCell ref="IX12:JB12"/>
    <mergeCell ref="JC12:JG12"/>
    <mergeCell ref="GF12:GJ12"/>
    <mergeCell ref="GK12:GO12"/>
    <mergeCell ref="GP12:GT12"/>
    <mergeCell ref="GU12:GY12"/>
    <mergeCell ref="GZ12:HD12"/>
    <mergeCell ref="HE12:HI12"/>
    <mergeCell ref="FB12:FF12"/>
    <mergeCell ref="FG12:FK12"/>
    <mergeCell ref="FL12:FP12"/>
    <mergeCell ref="FQ12:FU12"/>
    <mergeCell ref="FV12:FZ12"/>
    <mergeCell ref="B14:C14"/>
    <mergeCell ref="B15:C15"/>
    <mergeCell ref="B16:C16"/>
    <mergeCell ref="B17:C17"/>
    <mergeCell ref="B18:C18"/>
    <mergeCell ref="B23:C23"/>
    <mergeCell ref="B33:C33"/>
    <mergeCell ref="B20:C20"/>
    <mergeCell ref="B21:C21"/>
    <mergeCell ref="B24:C24"/>
    <mergeCell ref="B25:C25"/>
    <mergeCell ref="B26:C26"/>
    <mergeCell ref="B27:C27"/>
    <mergeCell ref="B34:C34"/>
    <mergeCell ref="B35:C35"/>
    <mergeCell ref="B36:C36"/>
    <mergeCell ref="B37:C37"/>
    <mergeCell ref="B28:C28"/>
    <mergeCell ref="B29:C29"/>
    <mergeCell ref="B30:C30"/>
    <mergeCell ref="B31:C31"/>
  </mergeCells>
  <conditionalFormatting sqref="M12:JQ37">
    <cfRule type="expression" dxfId="11" priority="1">
      <formula>M$11&gt;$E$42+2</formula>
    </cfRule>
  </conditionalFormatting>
  <conditionalFormatting sqref="M13:JQ37">
    <cfRule type="expression" dxfId="10" priority="206" stopIfTrue="1">
      <formula>AND($D13=$D$3,M$10&gt;=$H13,M$10&lt;=$I13)</formula>
    </cfRule>
    <cfRule type="expression" dxfId="9" priority="207" stopIfTrue="1">
      <formula>AND($D13=$D$5,M$10&gt;=$H13,M$10&lt;=$I13)</formula>
    </cfRule>
    <cfRule type="expression" dxfId="8" priority="208" stopIfTrue="1">
      <formula>AND($D13=$D$2,M$10&gt;=$H13,M$10&lt;=$I13)</formula>
    </cfRule>
    <cfRule type="expression" dxfId="7" priority="209" stopIfTrue="1">
      <formula>AND($D13=$D$4,M$10&gt;=$H13,M$10&lt;=$I13)</formula>
    </cfRule>
  </conditionalFormatting>
  <dataValidations disablePrompts="1" count="2">
    <dataValidation type="list" allowBlank="1" showInputMessage="1" showErrorMessage="1" sqref="D13" xr:uid="{638796A8-A09D-4099-BD83-4E5506007F08}">
      <formula1>"Goal,Milestone,On Track, Low Risk, Med Risk, High Risk"</formula1>
    </dataValidation>
    <dataValidation type="list" allowBlank="1" showInputMessage="1" showErrorMessage="1" sqref="D14:D37" xr:uid="{33D1E44A-2057-4947-A890-3311D07DCCA6}">
      <formula1>$D$2:$D$5</formula1>
    </dataValidation>
  </dataValidations>
  <pageMargins left="0.7" right="0.7" top="0.75" bottom="0.75" header="0.3" footer="0.3"/>
  <ignoredErrors>
    <ignoredError sqref="DI8:JQ11 DH8:DH11 N8:DG1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CFAC-13C2-4671-8987-160DBE656E74}">
  <sheetPr codeName="Foglio6">
    <tabColor rgb="FF92D050"/>
  </sheetPr>
  <dimension ref="B1:NS43"/>
  <sheetViews>
    <sheetView showGridLines="0" workbookViewId="0">
      <pane xSplit="12" ySplit="10" topLeftCell="M11" activePane="bottomRight" state="frozen"/>
      <selection activeCell="P36" sqref="P36"/>
      <selection pane="topRight" activeCell="P36" sqref="P36"/>
      <selection pane="bottomLeft" activeCell="P36" sqref="P36"/>
      <selection pane="bottomRight" activeCell="V40" sqref="V40"/>
    </sheetView>
  </sheetViews>
  <sheetFormatPr defaultRowHeight="15"/>
  <cols>
    <col min="1" max="1" width="3.42578125" customWidth="1"/>
    <col min="2" max="2" width="29.85546875" customWidth="1"/>
    <col min="3" max="3" width="19.85546875" customWidth="1"/>
    <col min="4" max="4" width="27.140625" bestFit="1" customWidth="1"/>
    <col min="5" max="5" width="12.5703125" customWidth="1"/>
    <col min="6" max="7" width="3.5703125" hidden="1" customWidth="1"/>
    <col min="8" max="12" width="6.5703125" hidden="1" customWidth="1"/>
    <col min="13" max="376" width="2.140625" customWidth="1"/>
    <col min="377" max="383" width="5.85546875" customWidth="1"/>
  </cols>
  <sheetData>
    <row r="1" spans="2:383" ht="10.5" customHeight="1">
      <c r="M1" s="427"/>
    </row>
    <row r="2" spans="2:383" ht="15" customHeight="1">
      <c r="B2" t="str">
        <f>REPORT!B7&amp;": "</f>
        <v xml:space="preserve">Reference Project/Opportunity: </v>
      </c>
      <c r="C2" s="38" t="str">
        <f>REPORT!C7</f>
        <v/>
      </c>
      <c r="D2" s="485" t="s">
        <v>123</v>
      </c>
      <c r="E2" s="419"/>
      <c r="F2" s="419"/>
      <c r="G2" s="419"/>
      <c r="H2" s="419"/>
      <c r="I2" s="419"/>
      <c r="J2" s="419"/>
      <c r="K2" s="419"/>
      <c r="L2" s="419"/>
      <c r="R2" s="428"/>
      <c r="S2" s="421"/>
      <c r="T2" s="158"/>
      <c r="AG2" s="549"/>
      <c r="AH2" s="549"/>
      <c r="AI2" s="549"/>
      <c r="AJ2" s="549"/>
    </row>
    <row r="3" spans="2:383" ht="15" customHeight="1">
      <c r="B3" t="str">
        <f>REPORT!B6&amp;": "</f>
        <v xml:space="preserve">Pump Type: </v>
      </c>
      <c r="C3" s="38" t="str">
        <f>REPORT!C6</f>
        <v/>
      </c>
      <c r="D3" s="486" t="s">
        <v>122</v>
      </c>
      <c r="E3" s="419"/>
      <c r="F3" s="419"/>
      <c r="G3" s="419"/>
      <c r="H3" s="419"/>
      <c r="I3" s="419"/>
      <c r="J3" s="419"/>
      <c r="K3" s="419"/>
      <c r="L3" s="419"/>
    </row>
    <row r="4" spans="2:383" ht="15" customHeight="1">
      <c r="B4" t="str">
        <f>REPORT!B5&amp;": "</f>
        <v xml:space="preserve">Pump Family: </v>
      </c>
      <c r="C4" s="38" t="str">
        <f>REPORT!C5</f>
        <v>BB1 (1 Stage-DS)</v>
      </c>
      <c r="D4" s="430" t="s">
        <v>365</v>
      </c>
      <c r="E4" s="419"/>
      <c r="F4" s="419"/>
      <c r="G4" s="419"/>
      <c r="H4" s="419"/>
      <c r="I4" s="419"/>
      <c r="J4" s="419"/>
      <c r="K4" s="419"/>
      <c r="L4" s="419"/>
    </row>
    <row r="5" spans="2:383" ht="15" customHeight="1">
      <c r="B5" s="38"/>
      <c r="C5" s="38"/>
      <c r="D5" s="431" t="s">
        <v>366</v>
      </c>
      <c r="E5" s="419"/>
      <c r="F5" s="419"/>
      <c r="G5" s="419"/>
      <c r="H5" s="419"/>
      <c r="I5" s="419"/>
      <c r="J5" s="419"/>
      <c r="K5" s="419"/>
      <c r="L5" s="419"/>
      <c r="M5" s="433"/>
      <c r="N5" s="433"/>
      <c r="O5" s="433"/>
      <c r="P5" s="433"/>
      <c r="Q5" s="433"/>
      <c r="R5" s="433"/>
      <c r="S5" s="433"/>
      <c r="T5" s="433"/>
      <c r="U5" s="433"/>
      <c r="V5" s="433"/>
      <c r="W5" s="433"/>
      <c r="X5" s="433"/>
      <c r="Y5" s="433"/>
      <c r="Z5" s="433"/>
      <c r="AA5" s="433"/>
      <c r="AB5" s="433"/>
      <c r="AC5" s="433"/>
      <c r="AD5" s="433"/>
      <c r="AE5" s="433"/>
      <c r="AF5" s="433"/>
      <c r="AG5" s="433"/>
      <c r="AH5" s="433"/>
      <c r="AI5" s="433"/>
      <c r="AJ5" s="433"/>
      <c r="AK5" s="433"/>
      <c r="AL5" s="433"/>
      <c r="AM5" s="433"/>
      <c r="AN5" s="433"/>
      <c r="AO5" s="433"/>
      <c r="AP5" s="433"/>
      <c r="AQ5" s="433"/>
      <c r="AR5" s="433"/>
      <c r="AS5" s="433"/>
      <c r="AT5" s="433"/>
      <c r="AU5" s="433"/>
      <c r="AV5" s="433"/>
      <c r="AW5" s="433"/>
      <c r="AX5" s="433"/>
      <c r="AY5" s="433"/>
      <c r="AZ5" s="433"/>
      <c r="BA5" s="433"/>
      <c r="BB5" s="433"/>
      <c r="BC5" s="433"/>
      <c r="BD5" s="433"/>
      <c r="BE5" s="433"/>
      <c r="BF5" s="433"/>
      <c r="BG5" s="433"/>
      <c r="BH5" s="433"/>
      <c r="BI5" s="433"/>
      <c r="BJ5" s="433"/>
      <c r="BK5" s="433"/>
      <c r="BL5" s="433"/>
      <c r="BM5" s="433"/>
      <c r="BN5" s="433"/>
      <c r="BO5" s="433"/>
      <c r="BP5" s="433"/>
      <c r="BQ5" s="432"/>
    </row>
    <row r="6" spans="2:383">
      <c r="B6" s="421"/>
      <c r="C6" s="421"/>
      <c r="D6" s="421"/>
      <c r="E6" s="422" t="s">
        <v>379</v>
      </c>
      <c r="H6" s="419"/>
      <c r="I6" s="419"/>
      <c r="J6" s="419"/>
      <c r="K6" s="419"/>
      <c r="L6" s="419"/>
      <c r="M6" s="550">
        <v>1</v>
      </c>
      <c r="N6" s="550"/>
      <c r="O6" s="550"/>
      <c r="P6" s="550"/>
      <c r="Q6" s="550"/>
      <c r="R6" s="550"/>
      <c r="S6" s="551"/>
      <c r="T6" s="550">
        <v>2</v>
      </c>
      <c r="U6" s="550"/>
      <c r="V6" s="550"/>
      <c r="W6" s="550"/>
      <c r="X6" s="550"/>
      <c r="Y6" s="550"/>
      <c r="Z6" s="551"/>
      <c r="AA6" s="550">
        <v>3</v>
      </c>
      <c r="AB6" s="550"/>
      <c r="AC6" s="550"/>
      <c r="AD6" s="550"/>
      <c r="AE6" s="550"/>
      <c r="AF6" s="550"/>
      <c r="AG6" s="551"/>
      <c r="AH6" s="550">
        <v>4</v>
      </c>
      <c r="AI6" s="550"/>
      <c r="AJ6" s="550"/>
      <c r="AK6" s="550"/>
      <c r="AL6" s="550"/>
      <c r="AM6" s="550"/>
      <c r="AN6" s="551"/>
      <c r="AO6" s="550">
        <v>5</v>
      </c>
      <c r="AP6" s="550"/>
      <c r="AQ6" s="550"/>
      <c r="AR6" s="550"/>
      <c r="AS6" s="550"/>
      <c r="AT6" s="550"/>
      <c r="AU6" s="551"/>
      <c r="AV6" s="550">
        <v>6</v>
      </c>
      <c r="AW6" s="550"/>
      <c r="AX6" s="550"/>
      <c r="AY6" s="550"/>
      <c r="AZ6" s="550"/>
      <c r="BA6" s="550"/>
      <c r="BB6" s="551"/>
      <c r="BC6" s="550">
        <v>7</v>
      </c>
      <c r="BD6" s="550"/>
      <c r="BE6" s="550"/>
      <c r="BF6" s="550"/>
      <c r="BG6" s="550"/>
      <c r="BH6" s="550"/>
      <c r="BI6" s="551"/>
      <c r="BJ6" s="550">
        <v>8</v>
      </c>
      <c r="BK6" s="550"/>
      <c r="BL6" s="550"/>
      <c r="BM6" s="550"/>
      <c r="BN6" s="550"/>
      <c r="BO6" s="550"/>
      <c r="BP6" s="551"/>
      <c r="BQ6" s="550">
        <v>9</v>
      </c>
      <c r="BR6" s="550"/>
      <c r="BS6" s="550"/>
      <c r="BT6" s="550"/>
      <c r="BU6" s="550"/>
      <c r="BV6" s="550"/>
      <c r="BW6" s="551"/>
      <c r="BX6" s="550">
        <v>10</v>
      </c>
      <c r="BY6" s="550"/>
      <c r="BZ6" s="550"/>
      <c r="CA6" s="550"/>
      <c r="CB6" s="550"/>
      <c r="CC6" s="550"/>
      <c r="CD6" s="551"/>
      <c r="CE6" s="550">
        <v>11</v>
      </c>
      <c r="CF6" s="550"/>
      <c r="CG6" s="550"/>
      <c r="CH6" s="550"/>
      <c r="CI6" s="550"/>
      <c r="CJ6" s="550"/>
      <c r="CK6" s="551"/>
      <c r="CL6" s="552">
        <v>12</v>
      </c>
      <c r="CM6" s="550"/>
      <c r="CN6" s="550"/>
      <c r="CO6" s="550"/>
      <c r="CP6" s="550"/>
      <c r="CQ6" s="550"/>
      <c r="CR6" s="551"/>
      <c r="CS6" s="550">
        <v>13</v>
      </c>
      <c r="CT6" s="550"/>
      <c r="CU6" s="550"/>
      <c r="CV6" s="550"/>
      <c r="CW6" s="550"/>
      <c r="CX6" s="550"/>
      <c r="CY6" s="551"/>
      <c r="CZ6" s="550">
        <v>14</v>
      </c>
      <c r="DA6" s="550"/>
      <c r="DB6" s="550"/>
      <c r="DC6" s="550"/>
      <c r="DD6" s="550"/>
      <c r="DE6" s="550"/>
      <c r="DF6" s="551"/>
      <c r="DG6" s="550">
        <v>15</v>
      </c>
      <c r="DH6" s="550"/>
      <c r="DI6" s="550"/>
      <c r="DJ6" s="550"/>
      <c r="DK6" s="550"/>
      <c r="DL6" s="550"/>
      <c r="DM6" s="551"/>
      <c r="DN6" s="550">
        <v>16</v>
      </c>
      <c r="DO6" s="550"/>
      <c r="DP6" s="550"/>
      <c r="DQ6" s="550"/>
      <c r="DR6" s="550"/>
      <c r="DS6" s="550"/>
      <c r="DT6" s="551"/>
      <c r="DU6" s="550">
        <v>17</v>
      </c>
      <c r="DV6" s="550"/>
      <c r="DW6" s="550"/>
      <c r="DX6" s="550"/>
      <c r="DY6" s="550"/>
      <c r="DZ6" s="550"/>
      <c r="EA6" s="551"/>
      <c r="EB6" s="550">
        <v>18</v>
      </c>
      <c r="EC6" s="550"/>
      <c r="ED6" s="550"/>
      <c r="EE6" s="550"/>
      <c r="EF6" s="550"/>
      <c r="EG6" s="550"/>
      <c r="EH6" s="551"/>
      <c r="EI6" s="550">
        <v>19</v>
      </c>
      <c r="EJ6" s="550"/>
      <c r="EK6" s="550"/>
      <c r="EL6" s="550"/>
      <c r="EM6" s="550"/>
      <c r="EN6" s="550"/>
      <c r="EO6" s="551"/>
      <c r="EP6" s="550">
        <v>20</v>
      </c>
      <c r="EQ6" s="550"/>
      <c r="ER6" s="550"/>
      <c r="ES6" s="550"/>
      <c r="ET6" s="550"/>
      <c r="EU6" s="550"/>
      <c r="EV6" s="551"/>
      <c r="EW6" s="550">
        <v>21</v>
      </c>
      <c r="EX6" s="550"/>
      <c r="EY6" s="550"/>
      <c r="EZ6" s="550"/>
      <c r="FA6" s="550"/>
      <c r="FB6" s="550"/>
      <c r="FC6" s="551"/>
      <c r="FD6" s="550">
        <v>22</v>
      </c>
      <c r="FE6" s="550"/>
      <c r="FF6" s="550"/>
      <c r="FG6" s="550"/>
      <c r="FH6" s="550"/>
      <c r="FI6" s="550"/>
      <c r="FJ6" s="551"/>
      <c r="FK6" s="550">
        <v>23</v>
      </c>
      <c r="FL6" s="550"/>
      <c r="FM6" s="550"/>
      <c r="FN6" s="550"/>
      <c r="FO6" s="550"/>
      <c r="FP6" s="550"/>
      <c r="FQ6" s="551"/>
      <c r="FR6" s="550">
        <v>24</v>
      </c>
      <c r="FS6" s="550"/>
      <c r="FT6" s="550"/>
      <c r="FU6" s="550"/>
      <c r="FV6" s="550"/>
      <c r="FW6" s="550"/>
      <c r="FX6" s="551"/>
      <c r="FY6" s="550">
        <v>25</v>
      </c>
      <c r="FZ6" s="550"/>
      <c r="GA6" s="550"/>
      <c r="GB6" s="550"/>
      <c r="GC6" s="550"/>
      <c r="GD6" s="550"/>
      <c r="GE6" s="551"/>
      <c r="GF6" s="550">
        <v>26</v>
      </c>
      <c r="GG6" s="550"/>
      <c r="GH6" s="550"/>
      <c r="GI6" s="550"/>
      <c r="GJ6" s="550"/>
      <c r="GK6" s="550"/>
      <c r="GL6" s="551"/>
      <c r="GM6" s="550">
        <v>27</v>
      </c>
      <c r="GN6" s="550"/>
      <c r="GO6" s="550"/>
      <c r="GP6" s="550"/>
      <c r="GQ6" s="550"/>
      <c r="GR6" s="550"/>
      <c r="GS6" s="551"/>
      <c r="GT6" s="550">
        <v>28</v>
      </c>
      <c r="GU6" s="550"/>
      <c r="GV6" s="550"/>
      <c r="GW6" s="550"/>
      <c r="GX6" s="550"/>
      <c r="GY6" s="550"/>
      <c r="GZ6" s="551"/>
      <c r="HA6" s="550">
        <v>29</v>
      </c>
      <c r="HB6" s="550"/>
      <c r="HC6" s="550"/>
      <c r="HD6" s="550"/>
      <c r="HE6" s="550"/>
      <c r="HF6" s="550"/>
      <c r="HG6" s="551"/>
      <c r="HH6" s="550">
        <v>30</v>
      </c>
      <c r="HI6" s="550"/>
      <c r="HJ6" s="550"/>
      <c r="HK6" s="550"/>
      <c r="HL6" s="550"/>
      <c r="HM6" s="550"/>
      <c r="HN6" s="551"/>
      <c r="HO6" s="550">
        <v>31</v>
      </c>
      <c r="HP6" s="550"/>
      <c r="HQ6" s="550"/>
      <c r="HR6" s="550"/>
      <c r="HS6" s="550"/>
      <c r="HT6" s="550"/>
      <c r="HU6" s="551"/>
      <c r="HV6" s="550">
        <v>32</v>
      </c>
      <c r="HW6" s="550"/>
      <c r="HX6" s="550"/>
      <c r="HY6" s="550"/>
      <c r="HZ6" s="550"/>
      <c r="IA6" s="550"/>
      <c r="IB6" s="551"/>
      <c r="IC6" s="550">
        <v>33</v>
      </c>
      <c r="ID6" s="550"/>
      <c r="IE6" s="550"/>
      <c r="IF6" s="550"/>
      <c r="IG6" s="550"/>
      <c r="IH6" s="550"/>
      <c r="II6" s="551"/>
      <c r="IJ6" s="550">
        <v>34</v>
      </c>
      <c r="IK6" s="550"/>
      <c r="IL6" s="550"/>
      <c r="IM6" s="550"/>
      <c r="IN6" s="550"/>
      <c r="IO6" s="550"/>
      <c r="IP6" s="551"/>
      <c r="IQ6" s="550">
        <v>35</v>
      </c>
      <c r="IR6" s="550"/>
      <c r="IS6" s="550"/>
      <c r="IT6" s="550"/>
      <c r="IU6" s="550"/>
      <c r="IV6" s="550"/>
      <c r="IW6" s="551"/>
      <c r="IX6" s="550">
        <v>36</v>
      </c>
      <c r="IY6" s="550"/>
      <c r="IZ6" s="550"/>
      <c r="JA6" s="550"/>
      <c r="JB6" s="550"/>
      <c r="JC6" s="550"/>
      <c r="JD6" s="551"/>
      <c r="JE6" s="550">
        <v>37</v>
      </c>
      <c r="JF6" s="550"/>
      <c r="JG6" s="550"/>
      <c r="JH6" s="550"/>
      <c r="JI6" s="550"/>
      <c r="JJ6" s="550"/>
      <c r="JK6" s="551"/>
      <c r="JL6" s="550">
        <v>38</v>
      </c>
      <c r="JM6" s="550"/>
      <c r="JN6" s="550"/>
      <c r="JO6" s="550"/>
      <c r="JP6" s="550"/>
      <c r="JQ6" s="550"/>
      <c r="JR6" s="551"/>
      <c r="JS6" s="550">
        <v>39</v>
      </c>
      <c r="JT6" s="550"/>
      <c r="JU6" s="550"/>
      <c r="JV6" s="550"/>
      <c r="JW6" s="550"/>
      <c r="JX6" s="550"/>
      <c r="JY6" s="551"/>
      <c r="JZ6" s="550">
        <v>40</v>
      </c>
      <c r="KA6" s="550"/>
      <c r="KB6" s="550"/>
      <c r="KC6" s="550"/>
      <c r="KD6" s="550"/>
      <c r="KE6" s="550"/>
      <c r="KF6" s="551"/>
      <c r="KG6" s="550">
        <v>41</v>
      </c>
      <c r="KH6" s="550"/>
      <c r="KI6" s="550"/>
      <c r="KJ6" s="550"/>
      <c r="KK6" s="550"/>
      <c r="KL6" s="550"/>
      <c r="KM6" s="551"/>
      <c r="KN6" s="550">
        <v>42</v>
      </c>
      <c r="KO6" s="550"/>
      <c r="KP6" s="550"/>
      <c r="KQ6" s="550"/>
      <c r="KR6" s="550"/>
      <c r="KS6" s="550"/>
      <c r="KT6" s="551"/>
      <c r="KU6" s="550">
        <v>43</v>
      </c>
      <c r="KV6" s="550"/>
      <c r="KW6" s="550"/>
      <c r="KX6" s="550"/>
      <c r="KY6" s="550"/>
      <c r="KZ6" s="550"/>
      <c r="LA6" s="551"/>
      <c r="LB6" s="550">
        <v>44</v>
      </c>
      <c r="LC6" s="550"/>
      <c r="LD6" s="550"/>
      <c r="LE6" s="550"/>
      <c r="LF6" s="550"/>
      <c r="LG6" s="550"/>
      <c r="LH6" s="551"/>
      <c r="LI6" s="550">
        <v>45</v>
      </c>
      <c r="LJ6" s="550"/>
      <c r="LK6" s="550"/>
      <c r="LL6" s="550"/>
      <c r="LM6" s="550"/>
      <c r="LN6" s="550"/>
      <c r="LO6" s="551"/>
      <c r="LP6" s="550">
        <v>46</v>
      </c>
      <c r="LQ6" s="550"/>
      <c r="LR6" s="550"/>
      <c r="LS6" s="550"/>
      <c r="LT6" s="550"/>
      <c r="LU6" s="550"/>
      <c r="LV6" s="551"/>
      <c r="LW6" s="550">
        <v>47</v>
      </c>
      <c r="LX6" s="550"/>
      <c r="LY6" s="550"/>
      <c r="LZ6" s="550"/>
      <c r="MA6" s="550"/>
      <c r="MB6" s="550"/>
      <c r="MC6" s="551"/>
      <c r="MD6" s="550">
        <v>48</v>
      </c>
      <c r="ME6" s="550"/>
      <c r="MF6" s="550"/>
      <c r="MG6" s="550"/>
      <c r="MH6" s="550"/>
      <c r="MI6" s="550"/>
      <c r="MJ6" s="551"/>
      <c r="MK6" s="550">
        <v>49</v>
      </c>
      <c r="ML6" s="550"/>
      <c r="MM6" s="550"/>
      <c r="MN6" s="550"/>
      <c r="MO6" s="550"/>
      <c r="MP6" s="550"/>
      <c r="MQ6" s="551"/>
      <c r="MR6" s="550">
        <v>50</v>
      </c>
      <c r="MS6" s="550"/>
      <c r="MT6" s="550"/>
      <c r="MU6" s="550"/>
      <c r="MV6" s="550"/>
      <c r="MW6" s="550"/>
      <c r="MX6" s="551"/>
      <c r="MY6" s="550">
        <v>51</v>
      </c>
      <c r="MZ6" s="550"/>
      <c r="NA6" s="550"/>
      <c r="NB6" s="550"/>
      <c r="NC6" s="550"/>
      <c r="ND6" s="550"/>
      <c r="NE6" s="551"/>
      <c r="NF6" s="550">
        <v>52</v>
      </c>
      <c r="NG6" s="550"/>
      <c r="NH6" s="550"/>
      <c r="NI6" s="550"/>
      <c r="NJ6" s="550"/>
      <c r="NK6" s="550"/>
      <c r="NL6" s="551"/>
      <c r="NM6" s="550">
        <v>53</v>
      </c>
      <c r="NN6" s="550"/>
      <c r="NO6" s="550"/>
      <c r="NP6" s="550"/>
      <c r="NQ6" s="550"/>
      <c r="NR6" s="550"/>
      <c r="NS6" s="551"/>
    </row>
    <row r="7" spans="2:383" ht="15" hidden="1" customHeight="1">
      <c r="B7" s="421"/>
      <c r="C7" s="421"/>
      <c r="D7" s="421"/>
      <c r="E7" s="419"/>
      <c r="H7" s="419"/>
      <c r="I7" s="419"/>
      <c r="J7" s="419"/>
      <c r="K7" s="419"/>
      <c r="L7" s="419"/>
      <c r="M7" s="476">
        <f>M6</f>
        <v>1</v>
      </c>
      <c r="N7" s="476">
        <f>M7</f>
        <v>1</v>
      </c>
      <c r="O7" s="476">
        <f>N7</f>
        <v>1</v>
      </c>
      <c r="P7" s="476">
        <f>O7+0.5</f>
        <v>1.5</v>
      </c>
      <c r="Q7" s="476">
        <f t="shared" ref="Q7:S7" si="0">P7</f>
        <v>1.5</v>
      </c>
      <c r="R7" s="476">
        <f t="shared" si="0"/>
        <v>1.5</v>
      </c>
      <c r="S7" s="476">
        <f t="shared" si="0"/>
        <v>1.5</v>
      </c>
      <c r="T7" s="476">
        <f t="shared" ref="T7" si="1">T6</f>
        <v>2</v>
      </c>
      <c r="U7" s="476">
        <f t="shared" ref="U7:V7" si="2">T7</f>
        <v>2</v>
      </c>
      <c r="V7" s="476">
        <f t="shared" si="2"/>
        <v>2</v>
      </c>
      <c r="W7" s="476">
        <f t="shared" ref="W7" si="3">V7+0.5</f>
        <v>2.5</v>
      </c>
      <c r="X7" s="476">
        <f t="shared" ref="X7" si="4">W7</f>
        <v>2.5</v>
      </c>
      <c r="Y7" s="476">
        <f t="shared" ref="Y7" si="5">X7</f>
        <v>2.5</v>
      </c>
      <c r="Z7" s="476">
        <f t="shared" ref="Z7" si="6">Y7</f>
        <v>2.5</v>
      </c>
      <c r="AA7" s="476">
        <f t="shared" ref="AA7" si="7">AA6</f>
        <v>3</v>
      </c>
      <c r="AB7" s="476">
        <f t="shared" ref="AB7:AC7" si="8">AA7</f>
        <v>3</v>
      </c>
      <c r="AC7" s="476">
        <f t="shared" si="8"/>
        <v>3</v>
      </c>
      <c r="AD7" s="476">
        <f t="shared" ref="AD7" si="9">AC7+0.5</f>
        <v>3.5</v>
      </c>
      <c r="AE7" s="476">
        <f t="shared" ref="AE7" si="10">AD7</f>
        <v>3.5</v>
      </c>
      <c r="AF7" s="476">
        <f t="shared" ref="AF7" si="11">AE7</f>
        <v>3.5</v>
      </c>
      <c r="AG7" s="476">
        <f t="shared" ref="AG7" si="12">AF7</f>
        <v>3.5</v>
      </c>
      <c r="AH7" s="476">
        <f t="shared" ref="AH7" si="13">AH6</f>
        <v>4</v>
      </c>
      <c r="AI7" s="476">
        <f t="shared" ref="AI7:AJ7" si="14">AH7</f>
        <v>4</v>
      </c>
      <c r="AJ7" s="476">
        <f t="shared" si="14"/>
        <v>4</v>
      </c>
      <c r="AK7" s="476">
        <f t="shared" ref="AK7" si="15">AJ7+0.5</f>
        <v>4.5</v>
      </c>
      <c r="AL7" s="476">
        <f t="shared" ref="AL7" si="16">AK7</f>
        <v>4.5</v>
      </c>
      <c r="AM7" s="476">
        <f t="shared" ref="AM7" si="17">AL7</f>
        <v>4.5</v>
      </c>
      <c r="AN7" s="476">
        <f t="shared" ref="AN7" si="18">AM7</f>
        <v>4.5</v>
      </c>
      <c r="AO7" s="476">
        <f t="shared" ref="AO7" si="19">AO6</f>
        <v>5</v>
      </c>
      <c r="AP7" s="476">
        <f t="shared" ref="AP7:AQ7" si="20">AO7</f>
        <v>5</v>
      </c>
      <c r="AQ7" s="476">
        <f t="shared" si="20"/>
        <v>5</v>
      </c>
      <c r="AR7" s="476">
        <f t="shared" ref="AR7" si="21">AQ7+0.5</f>
        <v>5.5</v>
      </c>
      <c r="AS7" s="476">
        <f t="shared" ref="AS7" si="22">AR7</f>
        <v>5.5</v>
      </c>
      <c r="AT7" s="476">
        <f t="shared" ref="AT7" si="23">AS7</f>
        <v>5.5</v>
      </c>
      <c r="AU7" s="476">
        <f t="shared" ref="AU7" si="24">AT7</f>
        <v>5.5</v>
      </c>
      <c r="AV7" s="476">
        <f t="shared" ref="AV7" si="25">AV6</f>
        <v>6</v>
      </c>
      <c r="AW7" s="476">
        <f t="shared" ref="AW7:AX7" si="26">AV7</f>
        <v>6</v>
      </c>
      <c r="AX7" s="476">
        <f t="shared" si="26"/>
        <v>6</v>
      </c>
      <c r="AY7" s="476">
        <f t="shared" ref="AY7" si="27">AX7+0.5</f>
        <v>6.5</v>
      </c>
      <c r="AZ7" s="476">
        <f t="shared" ref="AZ7" si="28">AY7</f>
        <v>6.5</v>
      </c>
      <c r="BA7" s="476">
        <f t="shared" ref="BA7" si="29">AZ7</f>
        <v>6.5</v>
      </c>
      <c r="BB7" s="476">
        <f t="shared" ref="BB7" si="30">BA7</f>
        <v>6.5</v>
      </c>
      <c r="BC7" s="476">
        <f t="shared" ref="BC7" si="31">BC6</f>
        <v>7</v>
      </c>
      <c r="BD7" s="476">
        <f t="shared" ref="BD7:BE7" si="32">BC7</f>
        <v>7</v>
      </c>
      <c r="BE7" s="476">
        <f t="shared" si="32"/>
        <v>7</v>
      </c>
      <c r="BF7" s="476">
        <f t="shared" ref="BF7" si="33">BE7+0.5</f>
        <v>7.5</v>
      </c>
      <c r="BG7" s="476">
        <f t="shared" ref="BG7" si="34">BF7</f>
        <v>7.5</v>
      </c>
      <c r="BH7" s="476">
        <f t="shared" ref="BH7" si="35">BG7</f>
        <v>7.5</v>
      </c>
      <c r="BI7" s="476">
        <f t="shared" ref="BI7" si="36">BH7</f>
        <v>7.5</v>
      </c>
      <c r="BJ7" s="476">
        <f t="shared" ref="BJ7" si="37">BJ6</f>
        <v>8</v>
      </c>
      <c r="BK7" s="476">
        <f t="shared" ref="BK7:BL7" si="38">BJ7</f>
        <v>8</v>
      </c>
      <c r="BL7" s="476">
        <f t="shared" si="38"/>
        <v>8</v>
      </c>
      <c r="BM7" s="476">
        <f t="shared" ref="BM7" si="39">BL7+0.5</f>
        <v>8.5</v>
      </c>
      <c r="BN7" s="476">
        <f t="shared" ref="BN7" si="40">BM7</f>
        <v>8.5</v>
      </c>
      <c r="BO7" s="476">
        <f t="shared" ref="BO7" si="41">BN7</f>
        <v>8.5</v>
      </c>
      <c r="BP7" s="476">
        <f t="shared" ref="BP7" si="42">BO7</f>
        <v>8.5</v>
      </c>
      <c r="BQ7" s="476">
        <f t="shared" ref="BQ7" si="43">BQ6</f>
        <v>9</v>
      </c>
      <c r="BR7" s="476">
        <f t="shared" ref="BR7:BS7" si="44">BQ7</f>
        <v>9</v>
      </c>
      <c r="BS7" s="476">
        <f t="shared" si="44"/>
        <v>9</v>
      </c>
      <c r="BT7" s="476">
        <f t="shared" ref="BT7" si="45">BS7+0.5</f>
        <v>9.5</v>
      </c>
      <c r="BU7" s="476">
        <f t="shared" ref="BU7" si="46">BT7</f>
        <v>9.5</v>
      </c>
      <c r="BV7" s="476">
        <f t="shared" ref="BV7" si="47">BU7</f>
        <v>9.5</v>
      </c>
      <c r="BW7" s="476">
        <f t="shared" ref="BW7" si="48">BV7</f>
        <v>9.5</v>
      </c>
      <c r="BX7" s="476">
        <f t="shared" ref="BX7" si="49">BX6</f>
        <v>10</v>
      </c>
      <c r="BY7" s="476">
        <f t="shared" ref="BY7:BZ7" si="50">BX7</f>
        <v>10</v>
      </c>
      <c r="BZ7" s="476">
        <f t="shared" si="50"/>
        <v>10</v>
      </c>
      <c r="CA7" s="476">
        <f t="shared" ref="CA7" si="51">BZ7+0.5</f>
        <v>10.5</v>
      </c>
      <c r="CB7" s="476">
        <f t="shared" ref="CB7" si="52">CA7</f>
        <v>10.5</v>
      </c>
      <c r="CC7" s="476">
        <f t="shared" ref="CC7" si="53">CB7</f>
        <v>10.5</v>
      </c>
      <c r="CD7" s="476">
        <f t="shared" ref="CD7" si="54">CC7</f>
        <v>10.5</v>
      </c>
      <c r="CE7" s="476">
        <f t="shared" ref="CE7" si="55">CE6</f>
        <v>11</v>
      </c>
      <c r="CF7" s="476">
        <f t="shared" ref="CF7:CG7" si="56">CE7</f>
        <v>11</v>
      </c>
      <c r="CG7" s="476">
        <f t="shared" si="56"/>
        <v>11</v>
      </c>
      <c r="CH7" s="476">
        <f t="shared" ref="CH7" si="57">CG7+0.5</f>
        <v>11.5</v>
      </c>
      <c r="CI7" s="476">
        <f t="shared" ref="CI7" si="58">CH7</f>
        <v>11.5</v>
      </c>
      <c r="CJ7" s="476">
        <f t="shared" ref="CJ7" si="59">CI7</f>
        <v>11.5</v>
      </c>
      <c r="CK7" s="476">
        <f t="shared" ref="CK7" si="60">CJ7</f>
        <v>11.5</v>
      </c>
      <c r="CL7" s="476">
        <f t="shared" ref="CL7" si="61">CL6</f>
        <v>12</v>
      </c>
      <c r="CM7" s="476">
        <f t="shared" ref="CM7:CN7" si="62">CL7</f>
        <v>12</v>
      </c>
      <c r="CN7" s="476">
        <f t="shared" si="62"/>
        <v>12</v>
      </c>
      <c r="CO7" s="476">
        <f t="shared" ref="CO7" si="63">CN7+0.5</f>
        <v>12.5</v>
      </c>
      <c r="CP7" s="476">
        <f t="shared" ref="CP7" si="64">CO7</f>
        <v>12.5</v>
      </c>
      <c r="CQ7" s="476">
        <f t="shared" ref="CQ7" si="65">CP7</f>
        <v>12.5</v>
      </c>
      <c r="CR7" s="476">
        <f t="shared" ref="CR7" si="66">CQ7</f>
        <v>12.5</v>
      </c>
      <c r="CS7" s="476">
        <f t="shared" ref="CS7" si="67">CS6</f>
        <v>13</v>
      </c>
      <c r="CT7" s="476">
        <f t="shared" ref="CT7:CU7" si="68">CS7</f>
        <v>13</v>
      </c>
      <c r="CU7" s="476">
        <f t="shared" si="68"/>
        <v>13</v>
      </c>
      <c r="CV7" s="476">
        <f t="shared" ref="CV7" si="69">CU7+0.5</f>
        <v>13.5</v>
      </c>
      <c r="CW7" s="476">
        <f t="shared" ref="CW7" si="70">CV7</f>
        <v>13.5</v>
      </c>
      <c r="CX7" s="476">
        <f t="shared" ref="CX7" si="71">CW7</f>
        <v>13.5</v>
      </c>
      <c r="CY7" s="476">
        <f t="shared" ref="CY7" si="72">CX7</f>
        <v>13.5</v>
      </c>
      <c r="CZ7" s="476">
        <f t="shared" ref="CZ7" si="73">CZ6</f>
        <v>14</v>
      </c>
      <c r="DA7" s="476">
        <f t="shared" ref="DA7:DB7" si="74">CZ7</f>
        <v>14</v>
      </c>
      <c r="DB7" s="476">
        <f t="shared" si="74"/>
        <v>14</v>
      </c>
      <c r="DC7" s="476">
        <f t="shared" ref="DC7" si="75">DB7+0.5</f>
        <v>14.5</v>
      </c>
      <c r="DD7" s="476">
        <f t="shared" ref="DD7" si="76">DC7</f>
        <v>14.5</v>
      </c>
      <c r="DE7" s="476">
        <f t="shared" ref="DE7" si="77">DD7</f>
        <v>14.5</v>
      </c>
      <c r="DF7" s="476">
        <f t="shared" ref="DF7" si="78">DE7</f>
        <v>14.5</v>
      </c>
      <c r="DG7" s="476">
        <f t="shared" ref="DG7" si="79">DG6</f>
        <v>15</v>
      </c>
      <c r="DH7" s="476">
        <f t="shared" ref="DH7:DI7" si="80">DG7</f>
        <v>15</v>
      </c>
      <c r="DI7" s="476">
        <f t="shared" si="80"/>
        <v>15</v>
      </c>
      <c r="DJ7" s="476">
        <f t="shared" ref="DJ7" si="81">DI7+0.5</f>
        <v>15.5</v>
      </c>
      <c r="DK7" s="476">
        <f t="shared" ref="DK7" si="82">DJ7</f>
        <v>15.5</v>
      </c>
      <c r="DL7" s="476">
        <f t="shared" ref="DL7" si="83">DK7</f>
        <v>15.5</v>
      </c>
      <c r="DM7" s="476">
        <f t="shared" ref="DM7" si="84">DL7</f>
        <v>15.5</v>
      </c>
      <c r="DN7" s="476">
        <f t="shared" ref="DN7" si="85">DN6</f>
        <v>16</v>
      </c>
      <c r="DO7" s="476">
        <f t="shared" ref="DO7:DP7" si="86">DN7</f>
        <v>16</v>
      </c>
      <c r="DP7" s="476">
        <f t="shared" si="86"/>
        <v>16</v>
      </c>
      <c r="DQ7" s="476">
        <f t="shared" ref="DQ7" si="87">DP7+0.5</f>
        <v>16.5</v>
      </c>
      <c r="DR7" s="476">
        <f t="shared" ref="DR7" si="88">DQ7</f>
        <v>16.5</v>
      </c>
      <c r="DS7" s="476">
        <f t="shared" ref="DS7" si="89">DR7</f>
        <v>16.5</v>
      </c>
      <c r="DT7" s="476">
        <f t="shared" ref="DT7" si="90">DS7</f>
        <v>16.5</v>
      </c>
      <c r="DU7" s="476">
        <f t="shared" ref="DU7" si="91">DU6</f>
        <v>17</v>
      </c>
      <c r="DV7" s="476">
        <f t="shared" ref="DV7:DW7" si="92">DU7</f>
        <v>17</v>
      </c>
      <c r="DW7" s="476">
        <f t="shared" si="92"/>
        <v>17</v>
      </c>
      <c r="DX7" s="476">
        <f t="shared" ref="DX7" si="93">DW7+0.5</f>
        <v>17.5</v>
      </c>
      <c r="DY7" s="476">
        <f t="shared" ref="DY7" si="94">DX7</f>
        <v>17.5</v>
      </c>
      <c r="DZ7" s="476">
        <f t="shared" ref="DZ7" si="95">DY7</f>
        <v>17.5</v>
      </c>
      <c r="EA7" s="476">
        <f t="shared" ref="EA7" si="96">DZ7</f>
        <v>17.5</v>
      </c>
      <c r="EB7" s="476">
        <f t="shared" ref="EB7" si="97">EB6</f>
        <v>18</v>
      </c>
      <c r="EC7" s="476">
        <f t="shared" ref="EC7:ED7" si="98">EB7</f>
        <v>18</v>
      </c>
      <c r="ED7" s="476">
        <f t="shared" si="98"/>
        <v>18</v>
      </c>
      <c r="EE7" s="476">
        <f t="shared" ref="EE7" si="99">ED7+0.5</f>
        <v>18.5</v>
      </c>
      <c r="EF7" s="476">
        <f t="shared" ref="EF7" si="100">EE7</f>
        <v>18.5</v>
      </c>
      <c r="EG7" s="476">
        <f t="shared" ref="EG7" si="101">EF7</f>
        <v>18.5</v>
      </c>
      <c r="EH7" s="476">
        <f t="shared" ref="EH7" si="102">EG7</f>
        <v>18.5</v>
      </c>
      <c r="EI7" s="476">
        <f t="shared" ref="EI7" si="103">EI6</f>
        <v>19</v>
      </c>
      <c r="EJ7" s="476">
        <f t="shared" ref="EJ7:EK7" si="104">EI7</f>
        <v>19</v>
      </c>
      <c r="EK7" s="476">
        <f t="shared" si="104"/>
        <v>19</v>
      </c>
      <c r="EL7" s="476">
        <f t="shared" ref="EL7" si="105">EK7+0.5</f>
        <v>19.5</v>
      </c>
      <c r="EM7" s="476">
        <f t="shared" ref="EM7" si="106">EL7</f>
        <v>19.5</v>
      </c>
      <c r="EN7" s="476">
        <f t="shared" ref="EN7" si="107">EM7</f>
        <v>19.5</v>
      </c>
      <c r="EO7" s="476">
        <f t="shared" ref="EO7" si="108">EN7</f>
        <v>19.5</v>
      </c>
      <c r="EP7" s="476">
        <f t="shared" ref="EP7" si="109">EP6</f>
        <v>20</v>
      </c>
      <c r="EQ7" s="476">
        <f t="shared" ref="EQ7:ER7" si="110">EP7</f>
        <v>20</v>
      </c>
      <c r="ER7" s="476">
        <f t="shared" si="110"/>
        <v>20</v>
      </c>
      <c r="ES7" s="476">
        <f t="shared" ref="ES7" si="111">ER7+0.5</f>
        <v>20.5</v>
      </c>
      <c r="ET7" s="476">
        <f t="shared" ref="ET7" si="112">ES7</f>
        <v>20.5</v>
      </c>
      <c r="EU7" s="476">
        <f t="shared" ref="EU7" si="113">ET7</f>
        <v>20.5</v>
      </c>
      <c r="EV7" s="476">
        <f t="shared" ref="EV7" si="114">EU7</f>
        <v>20.5</v>
      </c>
      <c r="EW7" s="476">
        <f t="shared" ref="EW7" si="115">EW6</f>
        <v>21</v>
      </c>
      <c r="EX7" s="476">
        <f t="shared" ref="EX7:EY7" si="116">EW7</f>
        <v>21</v>
      </c>
      <c r="EY7" s="476">
        <f t="shared" si="116"/>
        <v>21</v>
      </c>
      <c r="EZ7" s="476">
        <f t="shared" ref="EZ7" si="117">EY7+0.5</f>
        <v>21.5</v>
      </c>
      <c r="FA7" s="476">
        <f t="shared" ref="FA7" si="118">EZ7</f>
        <v>21.5</v>
      </c>
      <c r="FB7" s="476">
        <f t="shared" ref="FB7" si="119">FA7</f>
        <v>21.5</v>
      </c>
      <c r="FC7" s="476">
        <f t="shared" ref="FC7" si="120">FB7</f>
        <v>21.5</v>
      </c>
      <c r="FD7" s="476">
        <f t="shared" ref="FD7" si="121">FD6</f>
        <v>22</v>
      </c>
      <c r="FE7" s="476">
        <f t="shared" ref="FE7:FF7" si="122">FD7</f>
        <v>22</v>
      </c>
      <c r="FF7" s="476">
        <f t="shared" si="122"/>
        <v>22</v>
      </c>
      <c r="FG7" s="476">
        <f t="shared" ref="FG7" si="123">FF7+0.5</f>
        <v>22.5</v>
      </c>
      <c r="FH7" s="476">
        <f t="shared" ref="FH7" si="124">FG7</f>
        <v>22.5</v>
      </c>
      <c r="FI7" s="476">
        <f t="shared" ref="FI7" si="125">FH7</f>
        <v>22.5</v>
      </c>
      <c r="FJ7" s="476">
        <f t="shared" ref="FJ7" si="126">FI7</f>
        <v>22.5</v>
      </c>
      <c r="FK7" s="476">
        <f t="shared" ref="FK7" si="127">FK6</f>
        <v>23</v>
      </c>
      <c r="FL7" s="476">
        <f t="shared" ref="FL7:FM7" si="128">FK7</f>
        <v>23</v>
      </c>
      <c r="FM7" s="476">
        <f t="shared" si="128"/>
        <v>23</v>
      </c>
      <c r="FN7" s="476">
        <f t="shared" ref="FN7" si="129">FM7+0.5</f>
        <v>23.5</v>
      </c>
      <c r="FO7" s="476">
        <f t="shared" ref="FO7" si="130">FN7</f>
        <v>23.5</v>
      </c>
      <c r="FP7" s="476">
        <f t="shared" ref="FP7" si="131">FO7</f>
        <v>23.5</v>
      </c>
      <c r="FQ7" s="476">
        <f t="shared" ref="FQ7" si="132">FP7</f>
        <v>23.5</v>
      </c>
      <c r="FR7" s="476">
        <f t="shared" ref="FR7" si="133">FR6</f>
        <v>24</v>
      </c>
      <c r="FS7" s="476">
        <f t="shared" ref="FS7:FT7" si="134">FR7</f>
        <v>24</v>
      </c>
      <c r="FT7" s="476">
        <f t="shared" si="134"/>
        <v>24</v>
      </c>
      <c r="FU7" s="476">
        <f t="shared" ref="FU7" si="135">FT7+0.5</f>
        <v>24.5</v>
      </c>
      <c r="FV7" s="476">
        <f t="shared" ref="FV7" si="136">FU7</f>
        <v>24.5</v>
      </c>
      <c r="FW7" s="476">
        <f t="shared" ref="FW7" si="137">FV7</f>
        <v>24.5</v>
      </c>
      <c r="FX7" s="476">
        <f t="shared" ref="FX7" si="138">FW7</f>
        <v>24.5</v>
      </c>
      <c r="FY7" s="476">
        <f t="shared" ref="FY7" si="139">FY6</f>
        <v>25</v>
      </c>
      <c r="FZ7" s="476">
        <f t="shared" ref="FZ7:GA7" si="140">FY7</f>
        <v>25</v>
      </c>
      <c r="GA7" s="476">
        <f t="shared" si="140"/>
        <v>25</v>
      </c>
      <c r="GB7" s="476">
        <f t="shared" ref="GB7" si="141">GA7+0.5</f>
        <v>25.5</v>
      </c>
      <c r="GC7" s="476">
        <f t="shared" ref="GC7" si="142">GB7</f>
        <v>25.5</v>
      </c>
      <c r="GD7" s="476">
        <f t="shared" ref="GD7" si="143">GC7</f>
        <v>25.5</v>
      </c>
      <c r="GE7" s="476">
        <f t="shared" ref="GE7" si="144">GD7</f>
        <v>25.5</v>
      </c>
      <c r="GF7" s="476">
        <f t="shared" ref="GF7" si="145">GF6</f>
        <v>26</v>
      </c>
      <c r="GG7" s="476">
        <f t="shared" ref="GG7:GH7" si="146">GF7</f>
        <v>26</v>
      </c>
      <c r="GH7" s="476">
        <f t="shared" si="146"/>
        <v>26</v>
      </c>
      <c r="GI7" s="476">
        <f t="shared" ref="GI7" si="147">GH7+0.5</f>
        <v>26.5</v>
      </c>
      <c r="GJ7" s="476">
        <f t="shared" ref="GJ7" si="148">GI7</f>
        <v>26.5</v>
      </c>
      <c r="GK7" s="476">
        <f t="shared" ref="GK7" si="149">GJ7</f>
        <v>26.5</v>
      </c>
      <c r="GL7" s="476">
        <f t="shared" ref="GL7" si="150">GK7</f>
        <v>26.5</v>
      </c>
      <c r="GM7" s="476">
        <f t="shared" ref="GM7" si="151">GM6</f>
        <v>27</v>
      </c>
      <c r="GN7" s="476">
        <f t="shared" ref="GN7:GO7" si="152">GM7</f>
        <v>27</v>
      </c>
      <c r="GO7" s="476">
        <f t="shared" si="152"/>
        <v>27</v>
      </c>
      <c r="GP7" s="476">
        <f t="shared" ref="GP7" si="153">GO7+0.5</f>
        <v>27.5</v>
      </c>
      <c r="GQ7" s="476">
        <f t="shared" ref="GQ7" si="154">GP7</f>
        <v>27.5</v>
      </c>
      <c r="GR7" s="476">
        <f t="shared" ref="GR7" si="155">GQ7</f>
        <v>27.5</v>
      </c>
      <c r="GS7" s="476">
        <f t="shared" ref="GS7" si="156">GR7</f>
        <v>27.5</v>
      </c>
      <c r="GT7" s="476">
        <f t="shared" ref="GT7" si="157">GT6</f>
        <v>28</v>
      </c>
      <c r="GU7" s="476">
        <f t="shared" ref="GU7:GV7" si="158">GT7</f>
        <v>28</v>
      </c>
      <c r="GV7" s="476">
        <f t="shared" si="158"/>
        <v>28</v>
      </c>
      <c r="GW7" s="476">
        <f t="shared" ref="GW7" si="159">GV7+0.5</f>
        <v>28.5</v>
      </c>
      <c r="GX7" s="476">
        <f t="shared" ref="GX7" si="160">GW7</f>
        <v>28.5</v>
      </c>
      <c r="GY7" s="476">
        <f t="shared" ref="GY7" si="161">GX7</f>
        <v>28.5</v>
      </c>
      <c r="GZ7" s="476">
        <f t="shared" ref="GZ7" si="162">GY7</f>
        <v>28.5</v>
      </c>
      <c r="HA7" s="476">
        <f t="shared" ref="HA7" si="163">HA6</f>
        <v>29</v>
      </c>
      <c r="HB7" s="476">
        <f t="shared" ref="HB7:HC7" si="164">HA7</f>
        <v>29</v>
      </c>
      <c r="HC7" s="476">
        <f t="shared" si="164"/>
        <v>29</v>
      </c>
      <c r="HD7" s="476">
        <f t="shared" ref="HD7" si="165">HC7+0.5</f>
        <v>29.5</v>
      </c>
      <c r="HE7" s="476">
        <f t="shared" ref="HE7" si="166">HD7</f>
        <v>29.5</v>
      </c>
      <c r="HF7" s="476">
        <f t="shared" ref="HF7" si="167">HE7</f>
        <v>29.5</v>
      </c>
      <c r="HG7" s="476">
        <f t="shared" ref="HG7" si="168">HF7</f>
        <v>29.5</v>
      </c>
      <c r="HH7" s="476">
        <f t="shared" ref="HH7" si="169">HH6</f>
        <v>30</v>
      </c>
      <c r="HI7" s="476">
        <f t="shared" ref="HI7:HJ7" si="170">HH7</f>
        <v>30</v>
      </c>
      <c r="HJ7" s="476">
        <f t="shared" si="170"/>
        <v>30</v>
      </c>
      <c r="HK7" s="476">
        <f t="shared" ref="HK7" si="171">HJ7+0.5</f>
        <v>30.5</v>
      </c>
      <c r="HL7" s="476">
        <f t="shared" ref="HL7" si="172">HK7</f>
        <v>30.5</v>
      </c>
      <c r="HM7" s="476">
        <f t="shared" ref="HM7" si="173">HL7</f>
        <v>30.5</v>
      </c>
      <c r="HN7" s="476">
        <f t="shared" ref="HN7" si="174">HM7</f>
        <v>30.5</v>
      </c>
      <c r="HO7" s="476">
        <f t="shared" ref="HO7" si="175">HO6</f>
        <v>31</v>
      </c>
      <c r="HP7" s="476">
        <f t="shared" ref="HP7:HQ7" si="176">HO7</f>
        <v>31</v>
      </c>
      <c r="HQ7" s="476">
        <f t="shared" si="176"/>
        <v>31</v>
      </c>
      <c r="HR7" s="476">
        <f t="shared" ref="HR7" si="177">HQ7+0.5</f>
        <v>31.5</v>
      </c>
      <c r="HS7" s="476">
        <f t="shared" ref="HS7" si="178">HR7</f>
        <v>31.5</v>
      </c>
      <c r="HT7" s="476">
        <f t="shared" ref="HT7" si="179">HS7</f>
        <v>31.5</v>
      </c>
      <c r="HU7" s="476">
        <f t="shared" ref="HU7" si="180">HT7</f>
        <v>31.5</v>
      </c>
      <c r="HV7" s="476">
        <f t="shared" ref="HV7" si="181">HV6</f>
        <v>32</v>
      </c>
      <c r="HW7" s="476">
        <f t="shared" ref="HW7:HX7" si="182">HV7</f>
        <v>32</v>
      </c>
      <c r="HX7" s="476">
        <f t="shared" si="182"/>
        <v>32</v>
      </c>
      <c r="HY7" s="476">
        <f t="shared" ref="HY7" si="183">HX7+0.5</f>
        <v>32.5</v>
      </c>
      <c r="HZ7" s="476">
        <f t="shared" ref="HZ7" si="184">HY7</f>
        <v>32.5</v>
      </c>
      <c r="IA7" s="476">
        <f t="shared" ref="IA7" si="185">HZ7</f>
        <v>32.5</v>
      </c>
      <c r="IB7" s="476">
        <f t="shared" ref="IB7" si="186">IA7</f>
        <v>32.5</v>
      </c>
      <c r="IC7" s="476">
        <f t="shared" ref="IC7" si="187">IC6</f>
        <v>33</v>
      </c>
      <c r="ID7" s="476">
        <f t="shared" ref="ID7:IE7" si="188">IC7</f>
        <v>33</v>
      </c>
      <c r="IE7" s="476">
        <f t="shared" si="188"/>
        <v>33</v>
      </c>
      <c r="IF7" s="476">
        <f t="shared" ref="IF7" si="189">IE7+0.5</f>
        <v>33.5</v>
      </c>
      <c r="IG7" s="476">
        <f t="shared" ref="IG7" si="190">IF7</f>
        <v>33.5</v>
      </c>
      <c r="IH7" s="476">
        <f t="shared" ref="IH7" si="191">IG7</f>
        <v>33.5</v>
      </c>
      <c r="II7" s="476">
        <f t="shared" ref="II7" si="192">IH7</f>
        <v>33.5</v>
      </c>
      <c r="IJ7" s="476">
        <f t="shared" ref="IJ7" si="193">IJ6</f>
        <v>34</v>
      </c>
      <c r="IK7" s="476">
        <f t="shared" ref="IK7:IL7" si="194">IJ7</f>
        <v>34</v>
      </c>
      <c r="IL7" s="476">
        <f t="shared" si="194"/>
        <v>34</v>
      </c>
      <c r="IM7" s="476">
        <f t="shared" ref="IM7" si="195">IL7+0.5</f>
        <v>34.5</v>
      </c>
      <c r="IN7" s="476">
        <f t="shared" ref="IN7" si="196">IM7</f>
        <v>34.5</v>
      </c>
      <c r="IO7" s="476">
        <f t="shared" ref="IO7" si="197">IN7</f>
        <v>34.5</v>
      </c>
      <c r="IP7" s="476">
        <f t="shared" ref="IP7" si="198">IO7</f>
        <v>34.5</v>
      </c>
      <c r="IQ7" s="476">
        <f t="shared" ref="IQ7" si="199">IQ6</f>
        <v>35</v>
      </c>
      <c r="IR7" s="476">
        <f t="shared" ref="IR7:IS7" si="200">IQ7</f>
        <v>35</v>
      </c>
      <c r="IS7" s="476">
        <f t="shared" si="200"/>
        <v>35</v>
      </c>
      <c r="IT7" s="476">
        <f t="shared" ref="IT7" si="201">IS7+0.5</f>
        <v>35.5</v>
      </c>
      <c r="IU7" s="476">
        <f t="shared" ref="IU7" si="202">IT7</f>
        <v>35.5</v>
      </c>
      <c r="IV7" s="476">
        <f t="shared" ref="IV7" si="203">IU7</f>
        <v>35.5</v>
      </c>
      <c r="IW7" s="476">
        <f t="shared" ref="IW7" si="204">IV7</f>
        <v>35.5</v>
      </c>
      <c r="IX7" s="476">
        <f t="shared" ref="IX7" si="205">IX6</f>
        <v>36</v>
      </c>
      <c r="IY7" s="476">
        <f t="shared" ref="IY7:IZ7" si="206">IX7</f>
        <v>36</v>
      </c>
      <c r="IZ7" s="476">
        <f t="shared" si="206"/>
        <v>36</v>
      </c>
      <c r="JA7" s="476">
        <f t="shared" ref="JA7" si="207">IZ7+0.5</f>
        <v>36.5</v>
      </c>
      <c r="JB7" s="476">
        <f t="shared" ref="JB7" si="208">JA7</f>
        <v>36.5</v>
      </c>
      <c r="JC7" s="476">
        <f t="shared" ref="JC7" si="209">JB7</f>
        <v>36.5</v>
      </c>
      <c r="JD7" s="476">
        <f t="shared" ref="JD7" si="210">JC7</f>
        <v>36.5</v>
      </c>
      <c r="JE7" s="476">
        <f t="shared" ref="JE7" si="211">JE6</f>
        <v>37</v>
      </c>
      <c r="JF7" s="476">
        <f t="shared" ref="JF7:JG7" si="212">JE7</f>
        <v>37</v>
      </c>
      <c r="JG7" s="476">
        <f t="shared" si="212"/>
        <v>37</v>
      </c>
      <c r="JH7" s="476">
        <f t="shared" ref="JH7" si="213">JG7+0.5</f>
        <v>37.5</v>
      </c>
      <c r="JI7" s="476">
        <f t="shared" ref="JI7" si="214">JH7</f>
        <v>37.5</v>
      </c>
      <c r="JJ7" s="476">
        <f t="shared" ref="JJ7" si="215">JI7</f>
        <v>37.5</v>
      </c>
      <c r="JK7" s="476">
        <f t="shared" ref="JK7" si="216">JJ7</f>
        <v>37.5</v>
      </c>
      <c r="JL7" s="476">
        <f t="shared" ref="JL7" si="217">JL6</f>
        <v>38</v>
      </c>
      <c r="JM7" s="476">
        <f t="shared" ref="JM7:JN7" si="218">JL7</f>
        <v>38</v>
      </c>
      <c r="JN7" s="476">
        <f t="shared" si="218"/>
        <v>38</v>
      </c>
      <c r="JO7" s="476">
        <f t="shared" ref="JO7" si="219">JN7+0.5</f>
        <v>38.5</v>
      </c>
      <c r="JP7" s="476">
        <f t="shared" ref="JP7" si="220">JO7</f>
        <v>38.5</v>
      </c>
      <c r="JQ7" s="476">
        <f t="shared" ref="JQ7" si="221">JP7</f>
        <v>38.5</v>
      </c>
      <c r="JR7" s="476">
        <f t="shared" ref="JR7" si="222">JQ7</f>
        <v>38.5</v>
      </c>
      <c r="JS7" s="476">
        <f t="shared" ref="JS7" si="223">JS6</f>
        <v>39</v>
      </c>
      <c r="JT7" s="476">
        <f t="shared" ref="JT7:JU7" si="224">JS7</f>
        <v>39</v>
      </c>
      <c r="JU7" s="476">
        <f t="shared" si="224"/>
        <v>39</v>
      </c>
      <c r="JV7" s="476">
        <f t="shared" ref="JV7" si="225">JU7+0.5</f>
        <v>39.5</v>
      </c>
      <c r="JW7" s="476">
        <f t="shared" ref="JW7" si="226">JV7</f>
        <v>39.5</v>
      </c>
      <c r="JX7" s="476">
        <f t="shared" ref="JX7" si="227">JW7</f>
        <v>39.5</v>
      </c>
      <c r="JY7" s="476">
        <f t="shared" ref="JY7" si="228">JX7</f>
        <v>39.5</v>
      </c>
      <c r="JZ7" s="476">
        <f t="shared" ref="JZ7" si="229">JZ6</f>
        <v>40</v>
      </c>
      <c r="KA7" s="476">
        <f t="shared" ref="KA7:KB7" si="230">JZ7</f>
        <v>40</v>
      </c>
      <c r="KB7" s="476">
        <f t="shared" si="230"/>
        <v>40</v>
      </c>
      <c r="KC7" s="476">
        <f t="shared" ref="KC7" si="231">KB7+0.5</f>
        <v>40.5</v>
      </c>
      <c r="KD7" s="476">
        <f t="shared" ref="KD7" si="232">KC7</f>
        <v>40.5</v>
      </c>
      <c r="KE7" s="476">
        <f t="shared" ref="KE7" si="233">KD7</f>
        <v>40.5</v>
      </c>
      <c r="KF7" s="476">
        <f t="shared" ref="KF7" si="234">KE7</f>
        <v>40.5</v>
      </c>
      <c r="KG7" s="476">
        <f t="shared" ref="KG7" si="235">KG6</f>
        <v>41</v>
      </c>
      <c r="KH7" s="476">
        <f t="shared" ref="KH7:KI7" si="236">KG7</f>
        <v>41</v>
      </c>
      <c r="KI7" s="476">
        <f t="shared" si="236"/>
        <v>41</v>
      </c>
      <c r="KJ7" s="476">
        <f t="shared" ref="KJ7" si="237">KI7+0.5</f>
        <v>41.5</v>
      </c>
      <c r="KK7" s="476">
        <f t="shared" ref="KK7" si="238">KJ7</f>
        <v>41.5</v>
      </c>
      <c r="KL7" s="476">
        <f t="shared" ref="KL7" si="239">KK7</f>
        <v>41.5</v>
      </c>
      <c r="KM7" s="476">
        <f t="shared" ref="KM7" si="240">KL7</f>
        <v>41.5</v>
      </c>
      <c r="KN7" s="476">
        <f t="shared" ref="KN7" si="241">KN6</f>
        <v>42</v>
      </c>
      <c r="KO7" s="476">
        <f t="shared" ref="KO7:KP7" si="242">KN7</f>
        <v>42</v>
      </c>
      <c r="KP7" s="476">
        <f t="shared" si="242"/>
        <v>42</v>
      </c>
      <c r="KQ7" s="476">
        <f t="shared" ref="KQ7" si="243">KP7+0.5</f>
        <v>42.5</v>
      </c>
      <c r="KR7" s="476">
        <f t="shared" ref="KR7" si="244">KQ7</f>
        <v>42.5</v>
      </c>
      <c r="KS7" s="476">
        <f t="shared" ref="KS7" si="245">KR7</f>
        <v>42.5</v>
      </c>
      <c r="KT7" s="476">
        <f t="shared" ref="KT7" si="246">KS7</f>
        <v>42.5</v>
      </c>
      <c r="KU7" s="476">
        <f t="shared" ref="KU7" si="247">KU6</f>
        <v>43</v>
      </c>
      <c r="KV7" s="476">
        <f t="shared" ref="KV7:KW7" si="248">KU7</f>
        <v>43</v>
      </c>
      <c r="KW7" s="476">
        <f t="shared" si="248"/>
        <v>43</v>
      </c>
      <c r="KX7" s="476">
        <f t="shared" ref="KX7" si="249">KW7+0.5</f>
        <v>43.5</v>
      </c>
      <c r="KY7" s="476">
        <f t="shared" ref="KY7" si="250">KX7</f>
        <v>43.5</v>
      </c>
      <c r="KZ7" s="476">
        <f t="shared" ref="KZ7" si="251">KY7</f>
        <v>43.5</v>
      </c>
      <c r="LA7" s="476">
        <f t="shared" ref="LA7" si="252">KZ7</f>
        <v>43.5</v>
      </c>
      <c r="LB7" s="476">
        <f t="shared" ref="LB7" si="253">LB6</f>
        <v>44</v>
      </c>
      <c r="LC7" s="476">
        <f t="shared" ref="LC7:LD7" si="254">LB7</f>
        <v>44</v>
      </c>
      <c r="LD7" s="476">
        <f t="shared" si="254"/>
        <v>44</v>
      </c>
      <c r="LE7" s="476">
        <f t="shared" ref="LE7" si="255">LD7+0.5</f>
        <v>44.5</v>
      </c>
      <c r="LF7" s="476">
        <f t="shared" ref="LF7" si="256">LE7</f>
        <v>44.5</v>
      </c>
      <c r="LG7" s="476">
        <f t="shared" ref="LG7" si="257">LF7</f>
        <v>44.5</v>
      </c>
      <c r="LH7" s="476">
        <f t="shared" ref="LH7" si="258">LG7</f>
        <v>44.5</v>
      </c>
      <c r="LI7" s="476">
        <f t="shared" ref="LI7" si="259">LI6</f>
        <v>45</v>
      </c>
      <c r="LJ7" s="476">
        <f t="shared" ref="LJ7:LK7" si="260">LI7</f>
        <v>45</v>
      </c>
      <c r="LK7" s="476">
        <f t="shared" si="260"/>
        <v>45</v>
      </c>
      <c r="LL7" s="476">
        <f t="shared" ref="LL7" si="261">LK7+0.5</f>
        <v>45.5</v>
      </c>
      <c r="LM7" s="476">
        <f t="shared" ref="LM7" si="262">LL7</f>
        <v>45.5</v>
      </c>
      <c r="LN7" s="476">
        <f t="shared" ref="LN7" si="263">LM7</f>
        <v>45.5</v>
      </c>
      <c r="LO7" s="476">
        <f t="shared" ref="LO7" si="264">LN7</f>
        <v>45.5</v>
      </c>
      <c r="LP7" s="476">
        <f t="shared" ref="LP7" si="265">LP6</f>
        <v>46</v>
      </c>
      <c r="LQ7" s="476">
        <f t="shared" ref="LQ7:LR7" si="266">LP7</f>
        <v>46</v>
      </c>
      <c r="LR7" s="476">
        <f t="shared" si="266"/>
        <v>46</v>
      </c>
      <c r="LS7" s="476">
        <f t="shared" ref="LS7" si="267">LR7+0.5</f>
        <v>46.5</v>
      </c>
      <c r="LT7" s="476">
        <f t="shared" ref="LT7" si="268">LS7</f>
        <v>46.5</v>
      </c>
      <c r="LU7" s="476">
        <f t="shared" ref="LU7" si="269">LT7</f>
        <v>46.5</v>
      </c>
      <c r="LV7" s="476">
        <f t="shared" ref="LV7" si="270">LU7</f>
        <v>46.5</v>
      </c>
      <c r="LW7" s="476">
        <f t="shared" ref="LW7" si="271">LW6</f>
        <v>47</v>
      </c>
      <c r="LX7" s="476">
        <f t="shared" ref="LX7:LY7" si="272">LW7</f>
        <v>47</v>
      </c>
      <c r="LY7" s="476">
        <f t="shared" si="272"/>
        <v>47</v>
      </c>
      <c r="LZ7" s="476">
        <f t="shared" ref="LZ7" si="273">LY7+0.5</f>
        <v>47.5</v>
      </c>
      <c r="MA7" s="476">
        <f t="shared" ref="MA7" si="274">LZ7</f>
        <v>47.5</v>
      </c>
      <c r="MB7" s="476">
        <f t="shared" ref="MB7" si="275">MA7</f>
        <v>47.5</v>
      </c>
      <c r="MC7" s="476">
        <f t="shared" ref="MC7" si="276">MB7</f>
        <v>47.5</v>
      </c>
      <c r="MD7" s="476">
        <f t="shared" ref="MD7" si="277">MD6</f>
        <v>48</v>
      </c>
      <c r="ME7" s="476">
        <f t="shared" ref="ME7:MF7" si="278">MD7</f>
        <v>48</v>
      </c>
      <c r="MF7" s="476">
        <f t="shared" si="278"/>
        <v>48</v>
      </c>
      <c r="MG7" s="476">
        <f t="shared" ref="MG7" si="279">MF7+0.5</f>
        <v>48.5</v>
      </c>
      <c r="MH7" s="476">
        <f t="shared" ref="MH7" si="280">MG7</f>
        <v>48.5</v>
      </c>
      <c r="MI7" s="476">
        <f t="shared" ref="MI7" si="281">MH7</f>
        <v>48.5</v>
      </c>
      <c r="MJ7" s="476">
        <f t="shared" ref="MJ7" si="282">MI7</f>
        <v>48.5</v>
      </c>
      <c r="MK7" s="476">
        <f t="shared" ref="MK7" si="283">MK6</f>
        <v>49</v>
      </c>
      <c r="ML7" s="476">
        <f t="shared" ref="ML7:MM7" si="284">MK7</f>
        <v>49</v>
      </c>
      <c r="MM7" s="476">
        <f t="shared" si="284"/>
        <v>49</v>
      </c>
      <c r="MN7" s="476">
        <f t="shared" ref="MN7" si="285">MM7+0.5</f>
        <v>49.5</v>
      </c>
      <c r="MO7" s="476">
        <f t="shared" ref="MO7" si="286">MN7</f>
        <v>49.5</v>
      </c>
      <c r="MP7" s="476">
        <f t="shared" ref="MP7" si="287">MO7</f>
        <v>49.5</v>
      </c>
      <c r="MQ7" s="476">
        <f t="shared" ref="MQ7" si="288">MP7</f>
        <v>49.5</v>
      </c>
      <c r="MR7" s="476">
        <f t="shared" ref="MR7" si="289">MR6</f>
        <v>50</v>
      </c>
      <c r="MS7" s="476">
        <f t="shared" ref="MS7:MT7" si="290">MR7</f>
        <v>50</v>
      </c>
      <c r="MT7" s="476">
        <f t="shared" si="290"/>
        <v>50</v>
      </c>
      <c r="MU7" s="476">
        <f t="shared" ref="MU7" si="291">MT7+0.5</f>
        <v>50.5</v>
      </c>
      <c r="MV7" s="476">
        <f t="shared" ref="MV7" si="292">MU7</f>
        <v>50.5</v>
      </c>
      <c r="MW7" s="476">
        <f t="shared" ref="MW7" si="293">MV7</f>
        <v>50.5</v>
      </c>
      <c r="MX7" s="476">
        <f t="shared" ref="MX7" si="294">MW7</f>
        <v>50.5</v>
      </c>
      <c r="MY7" s="476">
        <f t="shared" ref="MY7" si="295">MY6</f>
        <v>51</v>
      </c>
      <c r="MZ7" s="476">
        <f t="shared" ref="MZ7:NA7" si="296">MY7</f>
        <v>51</v>
      </c>
      <c r="NA7" s="476">
        <f t="shared" si="296"/>
        <v>51</v>
      </c>
      <c r="NB7" s="476">
        <f t="shared" ref="NB7" si="297">NA7+0.5</f>
        <v>51.5</v>
      </c>
      <c r="NC7" s="476">
        <f t="shared" ref="NC7" si="298">NB7</f>
        <v>51.5</v>
      </c>
      <c r="ND7" s="476">
        <f t="shared" ref="ND7" si="299">NC7</f>
        <v>51.5</v>
      </c>
      <c r="NE7" s="476">
        <f t="shared" ref="NE7" si="300">ND7</f>
        <v>51.5</v>
      </c>
      <c r="NF7" s="476">
        <f t="shared" ref="NF7" si="301">NF6</f>
        <v>52</v>
      </c>
      <c r="NG7" s="476">
        <f t="shared" ref="NG7:NH7" si="302">NF7</f>
        <v>52</v>
      </c>
      <c r="NH7" s="476">
        <f t="shared" si="302"/>
        <v>52</v>
      </c>
      <c r="NI7" s="476">
        <f t="shared" ref="NI7" si="303">NH7+0.5</f>
        <v>52.5</v>
      </c>
      <c r="NJ7" s="476">
        <f t="shared" ref="NJ7" si="304">NI7</f>
        <v>52.5</v>
      </c>
      <c r="NK7" s="476">
        <f t="shared" ref="NK7" si="305">NJ7</f>
        <v>52.5</v>
      </c>
      <c r="NL7" s="476">
        <f t="shared" ref="NL7" si="306">NK7</f>
        <v>52.5</v>
      </c>
      <c r="NM7" s="476">
        <f t="shared" ref="NM7" si="307">NM6</f>
        <v>53</v>
      </c>
      <c r="NN7" s="476">
        <f t="shared" ref="NN7:NO7" si="308">NM7</f>
        <v>53</v>
      </c>
      <c r="NO7" s="476">
        <f t="shared" si="308"/>
        <v>53</v>
      </c>
      <c r="NP7" s="476">
        <f t="shared" ref="NP7" si="309">NO7+0.5</f>
        <v>53.5</v>
      </c>
      <c r="NQ7" s="476">
        <f t="shared" ref="NQ7" si="310">NP7</f>
        <v>53.5</v>
      </c>
      <c r="NR7" s="476">
        <f t="shared" ref="NR7" si="311">NQ7</f>
        <v>53.5</v>
      </c>
      <c r="NS7" s="476">
        <f t="shared" ref="NS7" si="312">NR7</f>
        <v>53.5</v>
      </c>
    </row>
    <row r="8" spans="2:383" ht="15" hidden="1" customHeight="1">
      <c r="B8" s="421"/>
      <c r="C8" s="421"/>
      <c r="D8" s="421"/>
      <c r="E8" s="419"/>
      <c r="H8" s="419"/>
      <c r="I8" s="419"/>
      <c r="J8" s="419"/>
      <c r="K8" s="419"/>
      <c r="L8" s="419"/>
      <c r="M8" s="436">
        <v>1</v>
      </c>
      <c r="N8" s="436">
        <f>M8+1</f>
        <v>2</v>
      </c>
      <c r="O8" s="436">
        <f>N8+1</f>
        <v>3</v>
      </c>
      <c r="P8" s="436">
        <f>O8+1</f>
        <v>4</v>
      </c>
      <c r="Q8" s="436">
        <f>P8+1</f>
        <v>5</v>
      </c>
      <c r="R8" s="436"/>
      <c r="S8" s="436"/>
      <c r="T8" s="436">
        <f>Q8+1</f>
        <v>6</v>
      </c>
      <c r="U8" s="436">
        <f>T8+1</f>
        <v>7</v>
      </c>
      <c r="V8" s="436">
        <f>U8+1</f>
        <v>8</v>
      </c>
      <c r="W8" s="436">
        <f>V8+1</f>
        <v>9</v>
      </c>
      <c r="X8" s="436">
        <f>W8+1</f>
        <v>10</v>
      </c>
      <c r="Y8" s="436"/>
      <c r="Z8" s="436"/>
      <c r="AA8" s="436">
        <f t="shared" ref="AA8" si="313">X8+1</f>
        <v>11</v>
      </c>
      <c r="AB8" s="436">
        <f t="shared" ref="AB8:AE8" si="314">AA8+1</f>
        <v>12</v>
      </c>
      <c r="AC8" s="436">
        <f t="shared" si="314"/>
        <v>13</v>
      </c>
      <c r="AD8" s="436">
        <f t="shared" si="314"/>
        <v>14</v>
      </c>
      <c r="AE8" s="436">
        <f t="shared" si="314"/>
        <v>15</v>
      </c>
      <c r="AF8" s="436"/>
      <c r="AG8" s="436"/>
      <c r="AH8" s="436">
        <f t="shared" ref="AH8" si="315">AE8+1</f>
        <v>16</v>
      </c>
      <c r="AI8" s="436">
        <f t="shared" ref="AI8:AL8" si="316">AH8+1</f>
        <v>17</v>
      </c>
      <c r="AJ8" s="436">
        <f t="shared" si="316"/>
        <v>18</v>
      </c>
      <c r="AK8" s="436">
        <f t="shared" si="316"/>
        <v>19</v>
      </c>
      <c r="AL8" s="436">
        <f t="shared" si="316"/>
        <v>20</v>
      </c>
      <c r="AM8" s="436"/>
      <c r="AN8" s="436"/>
      <c r="AO8" s="436">
        <f t="shared" ref="AO8" si="317">AL8+1</f>
        <v>21</v>
      </c>
      <c r="AP8" s="436">
        <f t="shared" ref="AP8:AS8" si="318">AO8+1</f>
        <v>22</v>
      </c>
      <c r="AQ8" s="436">
        <f t="shared" si="318"/>
        <v>23</v>
      </c>
      <c r="AR8" s="436">
        <f t="shared" si="318"/>
        <v>24</v>
      </c>
      <c r="AS8" s="436">
        <f t="shared" si="318"/>
        <v>25</v>
      </c>
      <c r="AT8" s="436"/>
      <c r="AU8" s="436"/>
      <c r="AV8" s="436">
        <f t="shared" ref="AV8" si="319">AS8+1</f>
        <v>26</v>
      </c>
      <c r="AW8" s="436">
        <f t="shared" ref="AW8:AZ8" si="320">AV8+1</f>
        <v>27</v>
      </c>
      <c r="AX8" s="436">
        <f t="shared" si="320"/>
        <v>28</v>
      </c>
      <c r="AY8" s="436">
        <f t="shared" si="320"/>
        <v>29</v>
      </c>
      <c r="AZ8" s="436">
        <f t="shared" si="320"/>
        <v>30</v>
      </c>
      <c r="BA8" s="436"/>
      <c r="BB8" s="436"/>
      <c r="BC8" s="436">
        <f t="shared" ref="BC8" si="321">AZ8+1</f>
        <v>31</v>
      </c>
      <c r="BD8" s="436">
        <f t="shared" ref="BD8:BG8" si="322">BC8+1</f>
        <v>32</v>
      </c>
      <c r="BE8" s="436">
        <f t="shared" si="322"/>
        <v>33</v>
      </c>
      <c r="BF8" s="436">
        <f t="shared" si="322"/>
        <v>34</v>
      </c>
      <c r="BG8" s="436">
        <f t="shared" si="322"/>
        <v>35</v>
      </c>
      <c r="BH8" s="436"/>
      <c r="BI8" s="436"/>
      <c r="BJ8" s="436">
        <f t="shared" ref="BJ8" si="323">BG8+1</f>
        <v>36</v>
      </c>
      <c r="BK8" s="436">
        <f t="shared" ref="BK8:BN8" si="324">BJ8+1</f>
        <v>37</v>
      </c>
      <c r="BL8" s="436">
        <f t="shared" si="324"/>
        <v>38</v>
      </c>
      <c r="BM8" s="436">
        <f t="shared" si="324"/>
        <v>39</v>
      </c>
      <c r="BN8" s="436">
        <f t="shared" si="324"/>
        <v>40</v>
      </c>
      <c r="BO8" s="436"/>
      <c r="BP8" s="436"/>
      <c r="BQ8" s="436">
        <f t="shared" ref="BQ8" si="325">BN8+1</f>
        <v>41</v>
      </c>
      <c r="BR8" s="436">
        <f t="shared" ref="BR8:BU8" si="326">BQ8+1</f>
        <v>42</v>
      </c>
      <c r="BS8" s="436">
        <f t="shared" si="326"/>
        <v>43</v>
      </c>
      <c r="BT8" s="436">
        <f t="shared" si="326"/>
        <v>44</v>
      </c>
      <c r="BU8" s="436">
        <f t="shared" si="326"/>
        <v>45</v>
      </c>
      <c r="BV8" s="436"/>
      <c r="BW8" s="436"/>
      <c r="BX8" s="436">
        <f t="shared" ref="BX8" si="327">BU8+1</f>
        <v>46</v>
      </c>
      <c r="BY8" s="436">
        <f t="shared" ref="BY8:CB8" si="328">BX8+1</f>
        <v>47</v>
      </c>
      <c r="BZ8" s="436">
        <f t="shared" si="328"/>
        <v>48</v>
      </c>
      <c r="CA8" s="436">
        <f t="shared" si="328"/>
        <v>49</v>
      </c>
      <c r="CB8" s="436">
        <f t="shared" si="328"/>
        <v>50</v>
      </c>
      <c r="CC8" s="436"/>
      <c r="CD8" s="436"/>
      <c r="CE8" s="436">
        <f t="shared" ref="CE8" si="329">CB8+1</f>
        <v>51</v>
      </c>
      <c r="CF8" s="436">
        <f t="shared" ref="CF8:CI8" si="330">CE8+1</f>
        <v>52</v>
      </c>
      <c r="CG8" s="436">
        <f t="shared" si="330"/>
        <v>53</v>
      </c>
      <c r="CH8" s="436">
        <f t="shared" si="330"/>
        <v>54</v>
      </c>
      <c r="CI8" s="436">
        <f t="shared" si="330"/>
        <v>55</v>
      </c>
      <c r="CJ8" s="436"/>
      <c r="CK8" s="436"/>
      <c r="CL8" s="436">
        <f t="shared" ref="CL8" si="331">CI8+1</f>
        <v>56</v>
      </c>
      <c r="CM8" s="436">
        <f t="shared" ref="CM8:CP8" si="332">CL8+1</f>
        <v>57</v>
      </c>
      <c r="CN8" s="436">
        <f t="shared" si="332"/>
        <v>58</v>
      </c>
      <c r="CO8" s="436">
        <f t="shared" si="332"/>
        <v>59</v>
      </c>
      <c r="CP8" s="436">
        <f t="shared" si="332"/>
        <v>60</v>
      </c>
      <c r="CQ8" s="436"/>
      <c r="CR8" s="436"/>
      <c r="CS8" s="436">
        <f t="shared" ref="CS8" si="333">CP8+1</f>
        <v>61</v>
      </c>
      <c r="CT8" s="436">
        <f t="shared" ref="CT8:CW8" si="334">CS8+1</f>
        <v>62</v>
      </c>
      <c r="CU8" s="436">
        <f t="shared" si="334"/>
        <v>63</v>
      </c>
      <c r="CV8" s="436">
        <f t="shared" si="334"/>
        <v>64</v>
      </c>
      <c r="CW8" s="436">
        <f t="shared" si="334"/>
        <v>65</v>
      </c>
      <c r="CX8" s="436"/>
      <c r="CY8" s="436"/>
      <c r="CZ8" s="436">
        <f t="shared" ref="CZ8" si="335">CW8+1</f>
        <v>66</v>
      </c>
      <c r="DA8" s="436">
        <f t="shared" ref="DA8:DD8" si="336">CZ8+1</f>
        <v>67</v>
      </c>
      <c r="DB8" s="436">
        <f t="shared" si="336"/>
        <v>68</v>
      </c>
      <c r="DC8" s="436">
        <f t="shared" si="336"/>
        <v>69</v>
      </c>
      <c r="DD8" s="436">
        <f t="shared" si="336"/>
        <v>70</v>
      </c>
      <c r="DE8" s="436"/>
      <c r="DF8" s="436"/>
      <c r="DG8" s="436">
        <f t="shared" ref="DG8" si="337">DD8+1</f>
        <v>71</v>
      </c>
      <c r="DH8" s="436">
        <f t="shared" ref="DH8:DK8" si="338">DG8+1</f>
        <v>72</v>
      </c>
      <c r="DI8" s="436">
        <f t="shared" si="338"/>
        <v>73</v>
      </c>
      <c r="DJ8" s="436">
        <f t="shared" si="338"/>
        <v>74</v>
      </c>
      <c r="DK8" s="436">
        <f t="shared" si="338"/>
        <v>75</v>
      </c>
      <c r="DL8" s="436"/>
      <c r="DM8" s="436"/>
      <c r="DN8" s="436">
        <f t="shared" ref="DN8" si="339">DK8+1</f>
        <v>76</v>
      </c>
      <c r="DO8" s="436">
        <f t="shared" ref="DO8:DR8" si="340">DN8+1</f>
        <v>77</v>
      </c>
      <c r="DP8" s="436">
        <f t="shared" si="340"/>
        <v>78</v>
      </c>
      <c r="DQ8" s="436">
        <f t="shared" si="340"/>
        <v>79</v>
      </c>
      <c r="DR8" s="436">
        <f t="shared" si="340"/>
        <v>80</v>
      </c>
      <c r="DS8" s="436"/>
      <c r="DT8" s="436"/>
      <c r="DU8" s="436">
        <f t="shared" ref="DU8" si="341">DR8+1</f>
        <v>81</v>
      </c>
      <c r="DV8" s="436">
        <f t="shared" ref="DV8:DY8" si="342">DU8+1</f>
        <v>82</v>
      </c>
      <c r="DW8" s="436">
        <f t="shared" si="342"/>
        <v>83</v>
      </c>
      <c r="DX8" s="436">
        <f t="shared" si="342"/>
        <v>84</v>
      </c>
      <c r="DY8" s="436">
        <f t="shared" si="342"/>
        <v>85</v>
      </c>
      <c r="DZ8" s="436"/>
      <c r="EA8" s="436"/>
      <c r="EB8" s="436">
        <f t="shared" ref="EB8" si="343">DY8+1</f>
        <v>86</v>
      </c>
      <c r="EC8" s="436">
        <f t="shared" ref="EC8:EF8" si="344">EB8+1</f>
        <v>87</v>
      </c>
      <c r="ED8" s="436">
        <f t="shared" si="344"/>
        <v>88</v>
      </c>
      <c r="EE8" s="436">
        <f t="shared" si="344"/>
        <v>89</v>
      </c>
      <c r="EF8" s="436">
        <f t="shared" si="344"/>
        <v>90</v>
      </c>
      <c r="EG8" s="436"/>
      <c r="EH8" s="436"/>
      <c r="EI8" s="436">
        <f t="shared" ref="EI8" si="345">EF8+1</f>
        <v>91</v>
      </c>
      <c r="EJ8" s="436">
        <f t="shared" ref="EJ8:EM8" si="346">EI8+1</f>
        <v>92</v>
      </c>
      <c r="EK8" s="436">
        <f t="shared" si="346"/>
        <v>93</v>
      </c>
      <c r="EL8" s="436">
        <f t="shared" si="346"/>
        <v>94</v>
      </c>
      <c r="EM8" s="436">
        <f t="shared" si="346"/>
        <v>95</v>
      </c>
      <c r="EN8" s="436"/>
      <c r="EO8" s="436"/>
      <c r="EP8" s="436">
        <f t="shared" ref="EP8" si="347">EM8+1</f>
        <v>96</v>
      </c>
      <c r="EQ8" s="436">
        <f t="shared" ref="EQ8:ET8" si="348">EP8+1</f>
        <v>97</v>
      </c>
      <c r="ER8" s="436">
        <f t="shared" si="348"/>
        <v>98</v>
      </c>
      <c r="ES8" s="436">
        <f t="shared" si="348"/>
        <v>99</v>
      </c>
      <c r="ET8" s="436">
        <f t="shared" si="348"/>
        <v>100</v>
      </c>
      <c r="EU8" s="436"/>
      <c r="EV8" s="436"/>
      <c r="EW8" s="436">
        <f t="shared" ref="EW8" si="349">ET8+1</f>
        <v>101</v>
      </c>
      <c r="EX8" s="436">
        <f t="shared" ref="EX8:FA8" si="350">EW8+1</f>
        <v>102</v>
      </c>
      <c r="EY8" s="436">
        <f t="shared" si="350"/>
        <v>103</v>
      </c>
      <c r="EZ8" s="436">
        <f t="shared" si="350"/>
        <v>104</v>
      </c>
      <c r="FA8" s="436">
        <f t="shared" si="350"/>
        <v>105</v>
      </c>
      <c r="FB8" s="436"/>
      <c r="FC8" s="436"/>
      <c r="FD8" s="436">
        <f t="shared" ref="FD8" si="351">FA8+1</f>
        <v>106</v>
      </c>
      <c r="FE8" s="436">
        <f t="shared" ref="FE8:FH8" si="352">FD8+1</f>
        <v>107</v>
      </c>
      <c r="FF8" s="436">
        <f t="shared" si="352"/>
        <v>108</v>
      </c>
      <c r="FG8" s="436">
        <f t="shared" si="352"/>
        <v>109</v>
      </c>
      <c r="FH8" s="436">
        <f t="shared" si="352"/>
        <v>110</v>
      </c>
      <c r="FI8" s="436"/>
      <c r="FJ8" s="436"/>
      <c r="FK8" s="436">
        <f t="shared" ref="FK8" si="353">FH8+1</f>
        <v>111</v>
      </c>
      <c r="FL8" s="436">
        <f t="shared" ref="FL8:FO8" si="354">FK8+1</f>
        <v>112</v>
      </c>
      <c r="FM8" s="436">
        <f t="shared" si="354"/>
        <v>113</v>
      </c>
      <c r="FN8" s="436">
        <f t="shared" si="354"/>
        <v>114</v>
      </c>
      <c r="FO8" s="436">
        <f t="shared" si="354"/>
        <v>115</v>
      </c>
      <c r="FP8" s="436"/>
      <c r="FQ8" s="436"/>
      <c r="FR8" s="436">
        <f t="shared" ref="FR8" si="355">FO8+1</f>
        <v>116</v>
      </c>
      <c r="FS8" s="436">
        <f t="shared" ref="FS8:FV8" si="356">FR8+1</f>
        <v>117</v>
      </c>
      <c r="FT8" s="436">
        <f t="shared" si="356"/>
        <v>118</v>
      </c>
      <c r="FU8" s="436">
        <f t="shared" si="356"/>
        <v>119</v>
      </c>
      <c r="FV8" s="436">
        <f t="shared" si="356"/>
        <v>120</v>
      </c>
      <c r="FW8" s="436"/>
      <c r="FX8" s="436"/>
      <c r="FY8" s="436">
        <f t="shared" ref="FY8" si="357">FV8+1</f>
        <v>121</v>
      </c>
      <c r="FZ8" s="436">
        <f t="shared" ref="FZ8:GC8" si="358">FY8+1</f>
        <v>122</v>
      </c>
      <c r="GA8" s="436">
        <f t="shared" si="358"/>
        <v>123</v>
      </c>
      <c r="GB8" s="436">
        <f t="shared" si="358"/>
        <v>124</v>
      </c>
      <c r="GC8" s="436">
        <f t="shared" si="358"/>
        <v>125</v>
      </c>
      <c r="GD8" s="436"/>
      <c r="GE8" s="436"/>
      <c r="GF8" s="436">
        <f t="shared" ref="GF8" si="359">GC8+1</f>
        <v>126</v>
      </c>
      <c r="GG8" s="436">
        <f t="shared" ref="GG8:GJ8" si="360">GF8+1</f>
        <v>127</v>
      </c>
      <c r="GH8" s="436">
        <f t="shared" si="360"/>
        <v>128</v>
      </c>
      <c r="GI8" s="436">
        <f t="shared" si="360"/>
        <v>129</v>
      </c>
      <c r="GJ8" s="436">
        <f t="shared" si="360"/>
        <v>130</v>
      </c>
      <c r="GK8" s="436"/>
      <c r="GL8" s="436"/>
      <c r="GM8" s="436">
        <f t="shared" ref="GM8" si="361">GJ8+1</f>
        <v>131</v>
      </c>
      <c r="GN8" s="436">
        <f t="shared" ref="GN8:GQ8" si="362">GM8+1</f>
        <v>132</v>
      </c>
      <c r="GO8" s="436">
        <f t="shared" si="362"/>
        <v>133</v>
      </c>
      <c r="GP8" s="436">
        <f t="shared" si="362"/>
        <v>134</v>
      </c>
      <c r="GQ8" s="436">
        <f t="shared" si="362"/>
        <v>135</v>
      </c>
      <c r="GR8" s="436"/>
      <c r="GS8" s="436"/>
      <c r="GT8" s="436">
        <f t="shared" ref="GT8" si="363">GQ8+1</f>
        <v>136</v>
      </c>
      <c r="GU8" s="436">
        <f t="shared" ref="GU8:GX8" si="364">GT8+1</f>
        <v>137</v>
      </c>
      <c r="GV8" s="436">
        <f t="shared" si="364"/>
        <v>138</v>
      </c>
      <c r="GW8" s="436">
        <f t="shared" si="364"/>
        <v>139</v>
      </c>
      <c r="GX8" s="436">
        <f t="shared" si="364"/>
        <v>140</v>
      </c>
      <c r="GY8" s="436"/>
      <c r="GZ8" s="436"/>
      <c r="HA8" s="436">
        <f t="shared" ref="HA8" si="365">GX8+1</f>
        <v>141</v>
      </c>
      <c r="HB8" s="436">
        <f t="shared" ref="HB8:HE8" si="366">HA8+1</f>
        <v>142</v>
      </c>
      <c r="HC8" s="436">
        <f t="shared" si="366"/>
        <v>143</v>
      </c>
      <c r="HD8" s="436">
        <f t="shared" si="366"/>
        <v>144</v>
      </c>
      <c r="HE8" s="436">
        <f t="shared" si="366"/>
        <v>145</v>
      </c>
      <c r="HF8" s="436"/>
      <c r="HG8" s="436"/>
      <c r="HH8" s="436">
        <f t="shared" ref="HH8" si="367">HE8+1</f>
        <v>146</v>
      </c>
      <c r="HI8" s="436">
        <f t="shared" ref="HI8:HL8" si="368">HH8+1</f>
        <v>147</v>
      </c>
      <c r="HJ8" s="436">
        <f t="shared" si="368"/>
        <v>148</v>
      </c>
      <c r="HK8" s="436">
        <f t="shared" si="368"/>
        <v>149</v>
      </c>
      <c r="HL8" s="436">
        <f t="shared" si="368"/>
        <v>150</v>
      </c>
      <c r="HM8" s="436"/>
      <c r="HN8" s="436"/>
      <c r="HO8" s="436">
        <f t="shared" ref="HO8" si="369">HL8+1</f>
        <v>151</v>
      </c>
      <c r="HP8" s="436">
        <f t="shared" ref="HP8:HS8" si="370">HO8+1</f>
        <v>152</v>
      </c>
      <c r="HQ8" s="436">
        <f t="shared" si="370"/>
        <v>153</v>
      </c>
      <c r="HR8" s="436">
        <f t="shared" si="370"/>
        <v>154</v>
      </c>
      <c r="HS8" s="436">
        <f t="shared" si="370"/>
        <v>155</v>
      </c>
      <c r="HT8" s="436"/>
      <c r="HU8" s="436"/>
      <c r="HV8" s="436">
        <f t="shared" ref="HV8" si="371">HS8+1</f>
        <v>156</v>
      </c>
      <c r="HW8" s="436">
        <f t="shared" ref="HW8:HZ8" si="372">HV8+1</f>
        <v>157</v>
      </c>
      <c r="HX8" s="436">
        <f t="shared" si="372"/>
        <v>158</v>
      </c>
      <c r="HY8" s="436">
        <f t="shared" si="372"/>
        <v>159</v>
      </c>
      <c r="HZ8" s="436">
        <f t="shared" si="372"/>
        <v>160</v>
      </c>
      <c r="IA8" s="436"/>
      <c r="IB8" s="436"/>
      <c r="IC8" s="436">
        <f t="shared" ref="IC8" si="373">HZ8+1</f>
        <v>161</v>
      </c>
      <c r="ID8" s="436">
        <f t="shared" ref="ID8" si="374">IC8+1</f>
        <v>162</v>
      </c>
      <c r="IE8" s="436">
        <f t="shared" ref="IE8" si="375">ID8+1</f>
        <v>163</v>
      </c>
      <c r="IF8" s="436">
        <f t="shared" ref="IF8" si="376">IE8+1</f>
        <v>164</v>
      </c>
      <c r="IG8" s="436">
        <f t="shared" ref="IG8" si="377">IF8+1</f>
        <v>165</v>
      </c>
      <c r="IH8" s="436"/>
      <c r="II8" s="436"/>
      <c r="IJ8" s="436">
        <f t="shared" ref="IJ8" si="378">IG8+1</f>
        <v>166</v>
      </c>
      <c r="IK8" s="436">
        <f t="shared" ref="IK8" si="379">IJ8+1</f>
        <v>167</v>
      </c>
      <c r="IL8" s="436">
        <f t="shared" ref="IL8" si="380">IK8+1</f>
        <v>168</v>
      </c>
      <c r="IM8" s="436">
        <f t="shared" ref="IM8" si="381">IL8+1</f>
        <v>169</v>
      </c>
      <c r="IN8" s="436">
        <f t="shared" ref="IN8" si="382">IM8+1</f>
        <v>170</v>
      </c>
      <c r="IO8" s="436"/>
      <c r="IP8" s="436"/>
      <c r="IQ8" s="436">
        <f t="shared" ref="IQ8" si="383">IN8+1</f>
        <v>171</v>
      </c>
      <c r="IR8" s="436">
        <f t="shared" ref="IR8" si="384">IQ8+1</f>
        <v>172</v>
      </c>
      <c r="IS8" s="436">
        <f t="shared" ref="IS8" si="385">IR8+1</f>
        <v>173</v>
      </c>
      <c r="IT8" s="436">
        <f t="shared" ref="IT8" si="386">IS8+1</f>
        <v>174</v>
      </c>
      <c r="IU8" s="436">
        <f t="shared" ref="IU8" si="387">IT8+1</f>
        <v>175</v>
      </c>
      <c r="IV8" s="436"/>
      <c r="IW8" s="436"/>
      <c r="IX8" s="436">
        <f t="shared" ref="IX8" si="388">IU8+1</f>
        <v>176</v>
      </c>
      <c r="IY8" s="436">
        <f t="shared" ref="IY8:IY10" si="389">IX8+1</f>
        <v>177</v>
      </c>
      <c r="IZ8" s="436">
        <f t="shared" ref="IZ8:IZ10" si="390">IY8+1</f>
        <v>178</v>
      </c>
      <c r="JA8" s="436">
        <f t="shared" ref="JA8:JA10" si="391">IZ8+1</f>
        <v>179</v>
      </c>
      <c r="JB8" s="436">
        <f t="shared" ref="JB8:JB10" si="392">JA8+1</f>
        <v>180</v>
      </c>
      <c r="JC8" s="436"/>
      <c r="JD8" s="436"/>
      <c r="JE8" s="436">
        <f t="shared" ref="JE8" si="393">JB8+1</f>
        <v>181</v>
      </c>
      <c r="JF8" s="436">
        <f t="shared" ref="JF8:JF10" si="394">JE8+1</f>
        <v>182</v>
      </c>
      <c r="JG8" s="436">
        <f t="shared" ref="JG8:JG10" si="395">JF8+1</f>
        <v>183</v>
      </c>
      <c r="JH8" s="436">
        <f t="shared" ref="JH8:JH10" si="396">JG8+1</f>
        <v>184</v>
      </c>
      <c r="JI8" s="436">
        <f t="shared" ref="JI8:JI10" si="397">JH8+1</f>
        <v>185</v>
      </c>
      <c r="JJ8" s="436"/>
      <c r="JK8" s="436"/>
      <c r="JL8" s="436">
        <f t="shared" ref="JL8" si="398">JI8+1</f>
        <v>186</v>
      </c>
      <c r="JM8" s="436">
        <f t="shared" ref="JM8:JM10" si="399">JL8+1</f>
        <v>187</v>
      </c>
      <c r="JN8" s="436">
        <f t="shared" ref="JN8:JN10" si="400">JM8+1</f>
        <v>188</v>
      </c>
      <c r="JO8" s="436">
        <f t="shared" ref="JO8:JO10" si="401">JN8+1</f>
        <v>189</v>
      </c>
      <c r="JP8" s="436">
        <f t="shared" ref="JP8:JP10" si="402">JO8+1</f>
        <v>190</v>
      </c>
      <c r="JQ8" s="436"/>
      <c r="JR8" s="436"/>
      <c r="JS8" s="436">
        <f t="shared" ref="JS8" si="403">JP8+1</f>
        <v>191</v>
      </c>
      <c r="JT8" s="436">
        <f t="shared" ref="JT8:JT10" si="404">JS8+1</f>
        <v>192</v>
      </c>
      <c r="JU8" s="436">
        <f t="shared" ref="JU8:JU10" si="405">JT8+1</f>
        <v>193</v>
      </c>
      <c r="JV8" s="436">
        <f t="shared" ref="JV8:JV10" si="406">JU8+1</f>
        <v>194</v>
      </c>
      <c r="JW8" s="436">
        <f t="shared" ref="JW8:JW10" si="407">JV8+1</f>
        <v>195</v>
      </c>
      <c r="JX8" s="436"/>
      <c r="JY8" s="436"/>
      <c r="JZ8" s="436">
        <f t="shared" ref="JZ8" si="408">JW8+1</f>
        <v>196</v>
      </c>
      <c r="KA8" s="436">
        <f t="shared" ref="KA8:KA10" si="409">JZ8+1</f>
        <v>197</v>
      </c>
      <c r="KB8" s="436">
        <f t="shared" ref="KB8:KB10" si="410">KA8+1</f>
        <v>198</v>
      </c>
      <c r="KC8" s="436">
        <f t="shared" ref="KC8:KC10" si="411">KB8+1</f>
        <v>199</v>
      </c>
      <c r="KD8" s="436">
        <f t="shared" ref="KD8:KD10" si="412">KC8+1</f>
        <v>200</v>
      </c>
      <c r="KE8" s="436"/>
      <c r="KF8" s="436"/>
      <c r="KG8" s="436">
        <f t="shared" ref="KG8" si="413">KD8+1</f>
        <v>201</v>
      </c>
      <c r="KH8" s="436">
        <f t="shared" ref="KH8:KH10" si="414">KG8+1</f>
        <v>202</v>
      </c>
      <c r="KI8" s="436">
        <f t="shared" ref="KI8:KI10" si="415">KH8+1</f>
        <v>203</v>
      </c>
      <c r="KJ8" s="436">
        <f t="shared" ref="KJ8:KJ10" si="416">KI8+1</f>
        <v>204</v>
      </c>
      <c r="KK8" s="436">
        <f t="shared" ref="KK8:KK10" si="417">KJ8+1</f>
        <v>205</v>
      </c>
      <c r="KL8" s="436"/>
      <c r="KM8" s="436"/>
      <c r="KN8" s="436">
        <f t="shared" ref="KN8" si="418">KK8+1</f>
        <v>206</v>
      </c>
      <c r="KO8" s="436">
        <f t="shared" ref="KO8:KO10" si="419">KN8+1</f>
        <v>207</v>
      </c>
      <c r="KP8" s="436">
        <f t="shared" ref="KP8:KP10" si="420">KO8+1</f>
        <v>208</v>
      </c>
      <c r="KQ8" s="436">
        <f t="shared" ref="KQ8:KQ10" si="421">KP8+1</f>
        <v>209</v>
      </c>
      <c r="KR8" s="436">
        <f t="shared" ref="KR8:KR10" si="422">KQ8+1</f>
        <v>210</v>
      </c>
      <c r="KS8" s="436"/>
      <c r="KT8" s="436"/>
      <c r="KU8" s="436">
        <f t="shared" ref="KU8" si="423">KR8+1</f>
        <v>211</v>
      </c>
      <c r="KV8" s="436">
        <f t="shared" ref="KV8:KV10" si="424">KU8+1</f>
        <v>212</v>
      </c>
      <c r="KW8" s="436">
        <f t="shared" ref="KW8:KW10" si="425">KV8+1</f>
        <v>213</v>
      </c>
      <c r="KX8" s="436">
        <f t="shared" ref="KX8:KX10" si="426">KW8+1</f>
        <v>214</v>
      </c>
      <c r="KY8" s="436">
        <f t="shared" ref="KY8:KY10" si="427">KX8+1</f>
        <v>215</v>
      </c>
      <c r="KZ8" s="436"/>
      <c r="LA8" s="436"/>
      <c r="LB8" s="436">
        <f t="shared" ref="LB8" si="428">KY8+1</f>
        <v>216</v>
      </c>
      <c r="LC8" s="436">
        <f t="shared" ref="LC8:LC10" si="429">LB8+1</f>
        <v>217</v>
      </c>
      <c r="LD8" s="436">
        <f t="shared" ref="LD8:LD10" si="430">LC8+1</f>
        <v>218</v>
      </c>
      <c r="LE8" s="436">
        <f t="shared" ref="LE8:LE10" si="431">LD8+1</f>
        <v>219</v>
      </c>
      <c r="LF8" s="436">
        <f t="shared" ref="LF8:LF10" si="432">LE8+1</f>
        <v>220</v>
      </c>
      <c r="LG8" s="436"/>
      <c r="LH8" s="436"/>
      <c r="LI8" s="436">
        <f t="shared" ref="LI8" si="433">LF8+1</f>
        <v>221</v>
      </c>
      <c r="LJ8" s="436">
        <f t="shared" ref="LJ8:LJ10" si="434">LI8+1</f>
        <v>222</v>
      </c>
      <c r="LK8" s="436">
        <f t="shared" ref="LK8:LK10" si="435">LJ8+1</f>
        <v>223</v>
      </c>
      <c r="LL8" s="436">
        <f t="shared" ref="LL8:LL10" si="436">LK8+1</f>
        <v>224</v>
      </c>
      <c r="LM8" s="436">
        <f t="shared" ref="LM8:LM10" si="437">LL8+1</f>
        <v>225</v>
      </c>
      <c r="LN8" s="436"/>
      <c r="LO8" s="436"/>
      <c r="LP8" s="436">
        <f t="shared" ref="LP8" si="438">LM8+1</f>
        <v>226</v>
      </c>
      <c r="LQ8" s="436">
        <f t="shared" ref="LQ8:LQ10" si="439">LP8+1</f>
        <v>227</v>
      </c>
      <c r="LR8" s="436">
        <f t="shared" ref="LR8:LR10" si="440">LQ8+1</f>
        <v>228</v>
      </c>
      <c r="LS8" s="436">
        <f t="shared" ref="LS8:LS10" si="441">LR8+1</f>
        <v>229</v>
      </c>
      <c r="LT8" s="436">
        <f t="shared" ref="LT8:LT10" si="442">LS8+1</f>
        <v>230</v>
      </c>
      <c r="LU8" s="436"/>
      <c r="LV8" s="436"/>
      <c r="LW8" s="436">
        <f t="shared" ref="LW8" si="443">LT8+1</f>
        <v>231</v>
      </c>
      <c r="LX8" s="436">
        <f t="shared" ref="LX8:LX10" si="444">LW8+1</f>
        <v>232</v>
      </c>
      <c r="LY8" s="436">
        <f t="shared" ref="LY8:LY10" si="445">LX8+1</f>
        <v>233</v>
      </c>
      <c r="LZ8" s="436">
        <f t="shared" ref="LZ8:LZ10" si="446">LY8+1</f>
        <v>234</v>
      </c>
      <c r="MA8" s="436">
        <f t="shared" ref="MA8:MA10" si="447">LZ8+1</f>
        <v>235</v>
      </c>
      <c r="MB8" s="436"/>
      <c r="MC8" s="436"/>
      <c r="MD8" s="436">
        <f t="shared" ref="MD8" si="448">MA8+1</f>
        <v>236</v>
      </c>
      <c r="ME8" s="436">
        <f t="shared" ref="ME8:ME10" si="449">MD8+1</f>
        <v>237</v>
      </c>
      <c r="MF8" s="436">
        <f t="shared" ref="MF8:MF10" si="450">ME8+1</f>
        <v>238</v>
      </c>
      <c r="MG8" s="436">
        <f t="shared" ref="MG8:MG10" si="451">MF8+1</f>
        <v>239</v>
      </c>
      <c r="MH8" s="436">
        <f t="shared" ref="MH8:MH10" si="452">MG8+1</f>
        <v>240</v>
      </c>
      <c r="MI8" s="436"/>
      <c r="MJ8" s="436"/>
      <c r="MK8" s="436">
        <f t="shared" ref="MK8" si="453">MH8+1</f>
        <v>241</v>
      </c>
      <c r="ML8" s="436">
        <f t="shared" ref="ML8:ML10" si="454">MK8+1</f>
        <v>242</v>
      </c>
      <c r="MM8" s="436">
        <f t="shared" ref="MM8:MM10" si="455">ML8+1</f>
        <v>243</v>
      </c>
      <c r="MN8" s="436">
        <f t="shared" ref="MN8:MN10" si="456">MM8+1</f>
        <v>244</v>
      </c>
      <c r="MO8" s="436">
        <f t="shared" ref="MO8:MO10" si="457">MN8+1</f>
        <v>245</v>
      </c>
      <c r="MP8" s="436"/>
      <c r="MQ8" s="436"/>
      <c r="MR8" s="436">
        <f t="shared" ref="MR8" si="458">MO8+1</f>
        <v>246</v>
      </c>
      <c r="MS8" s="436">
        <f t="shared" ref="MS8:MS10" si="459">MR8+1</f>
        <v>247</v>
      </c>
      <c r="MT8" s="436">
        <f t="shared" ref="MT8:MT10" si="460">MS8+1</f>
        <v>248</v>
      </c>
      <c r="MU8" s="436">
        <f t="shared" ref="MU8:MU10" si="461">MT8+1</f>
        <v>249</v>
      </c>
      <c r="MV8" s="436">
        <f t="shared" ref="MV8:MV10" si="462">MU8+1</f>
        <v>250</v>
      </c>
      <c r="MW8" s="436"/>
      <c r="MX8" s="436"/>
      <c r="MY8" s="436">
        <f t="shared" ref="MY8" si="463">MV8+1</f>
        <v>251</v>
      </c>
      <c r="MZ8" s="436">
        <f t="shared" ref="MZ8:MZ10" si="464">MY8+1</f>
        <v>252</v>
      </c>
      <c r="NA8" s="436">
        <f t="shared" ref="NA8:NA10" si="465">MZ8+1</f>
        <v>253</v>
      </c>
      <c r="NB8" s="436">
        <f t="shared" ref="NB8:NB10" si="466">NA8+1</f>
        <v>254</v>
      </c>
      <c r="NC8" s="436">
        <f t="shared" ref="NC8:NC10" si="467">NB8+1</f>
        <v>255</v>
      </c>
      <c r="ND8" s="436"/>
      <c r="NE8" s="436"/>
      <c r="NF8" s="436">
        <f t="shared" ref="NF8" si="468">NC8+1</f>
        <v>256</v>
      </c>
      <c r="NG8" s="436">
        <f t="shared" ref="NG8:NG10" si="469">NF8+1</f>
        <v>257</v>
      </c>
      <c r="NH8" s="436">
        <f t="shared" ref="NH8:NH10" si="470">NG8+1</f>
        <v>258</v>
      </c>
      <c r="NI8" s="436">
        <f t="shared" ref="NI8:NI10" si="471">NH8+1</f>
        <v>259</v>
      </c>
      <c r="NJ8" s="436">
        <f t="shared" ref="NJ8:NJ10" si="472">NI8+1</f>
        <v>260</v>
      </c>
      <c r="NK8" s="436"/>
      <c r="NL8" s="436"/>
      <c r="NM8" s="436">
        <f t="shared" ref="NM8" si="473">NJ8+1</f>
        <v>261</v>
      </c>
      <c r="NN8" s="436">
        <f t="shared" ref="NN8:NN10" si="474">NM8+1</f>
        <v>262</v>
      </c>
      <c r="NO8" s="436">
        <f t="shared" ref="NO8:NO10" si="475">NN8+1</f>
        <v>263</v>
      </c>
      <c r="NP8" s="436">
        <f t="shared" ref="NP8:NP10" si="476">NO8+1</f>
        <v>264</v>
      </c>
      <c r="NQ8" s="436">
        <f t="shared" ref="NQ8:NQ10" si="477">NP8+1</f>
        <v>265</v>
      </c>
      <c r="NR8" s="436"/>
      <c r="NS8" s="436"/>
    </row>
    <row r="9" spans="2:383" ht="15" hidden="1" customHeight="1">
      <c r="B9" s="421"/>
      <c r="C9" s="421"/>
      <c r="D9" s="421"/>
      <c r="E9" s="419"/>
      <c r="H9" s="419"/>
      <c r="I9" s="419"/>
      <c r="J9" s="419"/>
      <c r="K9" s="419"/>
      <c r="L9" s="419"/>
      <c r="M9" s="436">
        <f>M6</f>
        <v>1</v>
      </c>
      <c r="N9" s="436">
        <f>M9</f>
        <v>1</v>
      </c>
      <c r="O9" s="436">
        <f t="shared" ref="O9:S9" si="478">N9</f>
        <v>1</v>
      </c>
      <c r="P9" s="436">
        <f t="shared" si="478"/>
        <v>1</v>
      </c>
      <c r="Q9" s="436">
        <f t="shared" si="478"/>
        <v>1</v>
      </c>
      <c r="R9" s="436">
        <f t="shared" si="478"/>
        <v>1</v>
      </c>
      <c r="S9" s="436">
        <f t="shared" si="478"/>
        <v>1</v>
      </c>
      <c r="T9" s="436">
        <f>T6</f>
        <v>2</v>
      </c>
      <c r="U9" s="436">
        <f>T9</f>
        <v>2</v>
      </c>
      <c r="V9" s="436">
        <f t="shared" ref="V9:Z9" si="479">U9</f>
        <v>2</v>
      </c>
      <c r="W9" s="436">
        <f t="shared" si="479"/>
        <v>2</v>
      </c>
      <c r="X9" s="436">
        <f t="shared" si="479"/>
        <v>2</v>
      </c>
      <c r="Y9" s="436">
        <f t="shared" si="479"/>
        <v>2</v>
      </c>
      <c r="Z9" s="436">
        <f t="shared" si="479"/>
        <v>2</v>
      </c>
      <c r="AA9" s="436">
        <f>AA6</f>
        <v>3</v>
      </c>
      <c r="AB9" s="436">
        <f>AA9</f>
        <v>3</v>
      </c>
      <c r="AC9" s="436">
        <f t="shared" ref="AC9:AG9" si="480">AB9</f>
        <v>3</v>
      </c>
      <c r="AD9" s="436">
        <f t="shared" si="480"/>
        <v>3</v>
      </c>
      <c r="AE9" s="436">
        <f t="shared" si="480"/>
        <v>3</v>
      </c>
      <c r="AF9" s="436">
        <f t="shared" si="480"/>
        <v>3</v>
      </c>
      <c r="AG9" s="436">
        <f t="shared" si="480"/>
        <v>3</v>
      </c>
      <c r="AH9" s="436">
        <f>AH6</f>
        <v>4</v>
      </c>
      <c r="AI9" s="436">
        <f>AH9</f>
        <v>4</v>
      </c>
      <c r="AJ9" s="436">
        <f t="shared" ref="AJ9:AN9" si="481">AI9</f>
        <v>4</v>
      </c>
      <c r="AK9" s="436">
        <f t="shared" si="481"/>
        <v>4</v>
      </c>
      <c r="AL9" s="436">
        <f t="shared" si="481"/>
        <v>4</v>
      </c>
      <c r="AM9" s="436">
        <f t="shared" si="481"/>
        <v>4</v>
      </c>
      <c r="AN9" s="436">
        <f t="shared" si="481"/>
        <v>4</v>
      </c>
      <c r="AO9" s="436">
        <f>AO6</f>
        <v>5</v>
      </c>
      <c r="AP9" s="436">
        <f>AO9</f>
        <v>5</v>
      </c>
      <c r="AQ9" s="436">
        <f t="shared" ref="AQ9:AU9" si="482">AP9</f>
        <v>5</v>
      </c>
      <c r="AR9" s="436">
        <f t="shared" si="482"/>
        <v>5</v>
      </c>
      <c r="AS9" s="436">
        <f t="shared" si="482"/>
        <v>5</v>
      </c>
      <c r="AT9" s="436">
        <f t="shared" si="482"/>
        <v>5</v>
      </c>
      <c r="AU9" s="436">
        <f t="shared" si="482"/>
        <v>5</v>
      </c>
      <c r="AV9" s="436">
        <f t="shared" ref="AV9" si="483">AV6</f>
        <v>6</v>
      </c>
      <c r="AW9" s="436">
        <f t="shared" ref="AW9:DF9" si="484">AV9</f>
        <v>6</v>
      </c>
      <c r="AX9" s="436">
        <f t="shared" si="484"/>
        <v>6</v>
      </c>
      <c r="AY9" s="436">
        <f t="shared" si="484"/>
        <v>6</v>
      </c>
      <c r="AZ9" s="436">
        <f t="shared" si="484"/>
        <v>6</v>
      </c>
      <c r="BA9" s="436">
        <f t="shared" si="484"/>
        <v>6</v>
      </c>
      <c r="BB9" s="436">
        <f t="shared" si="484"/>
        <v>6</v>
      </c>
      <c r="BC9" s="436">
        <f t="shared" ref="BC9" si="485">BC6</f>
        <v>7</v>
      </c>
      <c r="BD9" s="436">
        <f t="shared" ref="BD9" si="486">BC9</f>
        <v>7</v>
      </c>
      <c r="BE9" s="436">
        <f t="shared" si="484"/>
        <v>7</v>
      </c>
      <c r="BF9" s="436">
        <f t="shared" si="484"/>
        <v>7</v>
      </c>
      <c r="BG9" s="436">
        <f t="shared" si="484"/>
        <v>7</v>
      </c>
      <c r="BH9" s="436">
        <f t="shared" si="484"/>
        <v>7</v>
      </c>
      <c r="BI9" s="436">
        <f t="shared" si="484"/>
        <v>7</v>
      </c>
      <c r="BJ9" s="436">
        <f t="shared" ref="BJ9" si="487">BJ6</f>
        <v>8</v>
      </c>
      <c r="BK9" s="436">
        <f t="shared" ref="BK9" si="488">BJ9</f>
        <v>8</v>
      </c>
      <c r="BL9" s="436">
        <f t="shared" si="484"/>
        <v>8</v>
      </c>
      <c r="BM9" s="436">
        <f t="shared" si="484"/>
        <v>8</v>
      </c>
      <c r="BN9" s="436">
        <f t="shared" si="484"/>
        <v>8</v>
      </c>
      <c r="BO9" s="436">
        <f t="shared" si="484"/>
        <v>8</v>
      </c>
      <c r="BP9" s="436">
        <f t="shared" si="484"/>
        <v>8</v>
      </c>
      <c r="BQ9" s="436">
        <f t="shared" ref="BQ9" si="489">BQ6</f>
        <v>9</v>
      </c>
      <c r="BR9" s="436">
        <f t="shared" ref="BR9" si="490">BQ9</f>
        <v>9</v>
      </c>
      <c r="BS9" s="436">
        <f t="shared" si="484"/>
        <v>9</v>
      </c>
      <c r="BT9" s="436">
        <f t="shared" si="484"/>
        <v>9</v>
      </c>
      <c r="BU9" s="436">
        <f t="shared" si="484"/>
        <v>9</v>
      </c>
      <c r="BV9" s="436">
        <f t="shared" si="484"/>
        <v>9</v>
      </c>
      <c r="BW9" s="436">
        <f t="shared" si="484"/>
        <v>9</v>
      </c>
      <c r="BX9" s="436">
        <f t="shared" ref="BX9" si="491">BX6</f>
        <v>10</v>
      </c>
      <c r="BY9" s="436">
        <f t="shared" ref="BY9" si="492">BX9</f>
        <v>10</v>
      </c>
      <c r="BZ9" s="436">
        <f t="shared" si="484"/>
        <v>10</v>
      </c>
      <c r="CA9" s="436">
        <f t="shared" si="484"/>
        <v>10</v>
      </c>
      <c r="CB9" s="436">
        <f t="shared" si="484"/>
        <v>10</v>
      </c>
      <c r="CC9" s="436">
        <f t="shared" si="484"/>
        <v>10</v>
      </c>
      <c r="CD9" s="436">
        <f t="shared" si="484"/>
        <v>10</v>
      </c>
      <c r="CE9" s="436">
        <f t="shared" ref="CE9" si="493">CE6</f>
        <v>11</v>
      </c>
      <c r="CF9" s="436">
        <f t="shared" ref="CF9" si="494">CE9</f>
        <v>11</v>
      </c>
      <c r="CG9" s="436">
        <f t="shared" si="484"/>
        <v>11</v>
      </c>
      <c r="CH9" s="436">
        <f t="shared" si="484"/>
        <v>11</v>
      </c>
      <c r="CI9" s="436">
        <f t="shared" si="484"/>
        <v>11</v>
      </c>
      <c r="CJ9" s="436">
        <f t="shared" si="484"/>
        <v>11</v>
      </c>
      <c r="CK9" s="436">
        <f t="shared" si="484"/>
        <v>11</v>
      </c>
      <c r="CL9" s="436">
        <f t="shared" ref="CL9" si="495">CL6</f>
        <v>12</v>
      </c>
      <c r="CM9" s="436">
        <f t="shared" ref="CM9" si="496">CL9</f>
        <v>12</v>
      </c>
      <c r="CN9" s="436">
        <f t="shared" si="484"/>
        <v>12</v>
      </c>
      <c r="CO9" s="436">
        <f t="shared" si="484"/>
        <v>12</v>
      </c>
      <c r="CP9" s="436">
        <f t="shared" si="484"/>
        <v>12</v>
      </c>
      <c r="CQ9" s="436">
        <f t="shared" si="484"/>
        <v>12</v>
      </c>
      <c r="CR9" s="436">
        <f t="shared" si="484"/>
        <v>12</v>
      </c>
      <c r="CS9" s="436">
        <f t="shared" ref="CS9" si="497">CS6</f>
        <v>13</v>
      </c>
      <c r="CT9" s="436">
        <f t="shared" ref="CT9" si="498">CS9</f>
        <v>13</v>
      </c>
      <c r="CU9" s="436">
        <f t="shared" si="484"/>
        <v>13</v>
      </c>
      <c r="CV9" s="436">
        <f t="shared" si="484"/>
        <v>13</v>
      </c>
      <c r="CW9" s="436">
        <f t="shared" si="484"/>
        <v>13</v>
      </c>
      <c r="CX9" s="436">
        <f t="shared" si="484"/>
        <v>13</v>
      </c>
      <c r="CY9" s="436">
        <f t="shared" si="484"/>
        <v>13</v>
      </c>
      <c r="CZ9" s="436">
        <f t="shared" ref="CZ9" si="499">CZ6</f>
        <v>14</v>
      </c>
      <c r="DA9" s="436">
        <f t="shared" ref="DA9" si="500">CZ9</f>
        <v>14</v>
      </c>
      <c r="DB9" s="436">
        <f t="shared" si="484"/>
        <v>14</v>
      </c>
      <c r="DC9" s="436">
        <f t="shared" si="484"/>
        <v>14</v>
      </c>
      <c r="DD9" s="436">
        <f t="shared" si="484"/>
        <v>14</v>
      </c>
      <c r="DE9" s="436">
        <f t="shared" si="484"/>
        <v>14</v>
      </c>
      <c r="DF9" s="436">
        <f t="shared" si="484"/>
        <v>14</v>
      </c>
      <c r="DG9" s="436">
        <f t="shared" ref="DG9" si="501">DG6</f>
        <v>15</v>
      </c>
      <c r="DH9" s="436">
        <f t="shared" ref="DH9:FQ9" si="502">DG9</f>
        <v>15</v>
      </c>
      <c r="DI9" s="436">
        <f t="shared" si="502"/>
        <v>15</v>
      </c>
      <c r="DJ9" s="436">
        <f t="shared" si="502"/>
        <v>15</v>
      </c>
      <c r="DK9" s="436">
        <f t="shared" si="502"/>
        <v>15</v>
      </c>
      <c r="DL9" s="436">
        <f t="shared" si="502"/>
        <v>15</v>
      </c>
      <c r="DM9" s="436">
        <f t="shared" si="502"/>
        <v>15</v>
      </c>
      <c r="DN9" s="436">
        <f t="shared" ref="DN9" si="503">DN6</f>
        <v>16</v>
      </c>
      <c r="DO9" s="436">
        <f t="shared" ref="DO9" si="504">DN9</f>
        <v>16</v>
      </c>
      <c r="DP9" s="436">
        <f t="shared" si="502"/>
        <v>16</v>
      </c>
      <c r="DQ9" s="436">
        <f t="shared" si="502"/>
        <v>16</v>
      </c>
      <c r="DR9" s="436">
        <f t="shared" si="502"/>
        <v>16</v>
      </c>
      <c r="DS9" s="436">
        <f t="shared" si="502"/>
        <v>16</v>
      </c>
      <c r="DT9" s="436">
        <f t="shared" si="502"/>
        <v>16</v>
      </c>
      <c r="DU9" s="436">
        <f t="shared" ref="DU9" si="505">DU6</f>
        <v>17</v>
      </c>
      <c r="DV9" s="436">
        <f t="shared" ref="DV9" si="506">DU9</f>
        <v>17</v>
      </c>
      <c r="DW9" s="436">
        <f t="shared" si="502"/>
        <v>17</v>
      </c>
      <c r="DX9" s="436">
        <f t="shared" si="502"/>
        <v>17</v>
      </c>
      <c r="DY9" s="436">
        <f t="shared" si="502"/>
        <v>17</v>
      </c>
      <c r="DZ9" s="436">
        <f t="shared" si="502"/>
        <v>17</v>
      </c>
      <c r="EA9" s="436">
        <f t="shared" si="502"/>
        <v>17</v>
      </c>
      <c r="EB9" s="436">
        <f t="shared" ref="EB9" si="507">EB6</f>
        <v>18</v>
      </c>
      <c r="EC9" s="436">
        <f t="shared" ref="EC9" si="508">EB9</f>
        <v>18</v>
      </c>
      <c r="ED9" s="436">
        <f t="shared" si="502"/>
        <v>18</v>
      </c>
      <c r="EE9" s="436">
        <f t="shared" si="502"/>
        <v>18</v>
      </c>
      <c r="EF9" s="436">
        <f t="shared" si="502"/>
        <v>18</v>
      </c>
      <c r="EG9" s="436">
        <f t="shared" si="502"/>
        <v>18</v>
      </c>
      <c r="EH9" s="436">
        <f t="shared" si="502"/>
        <v>18</v>
      </c>
      <c r="EI9" s="436">
        <f t="shared" ref="EI9" si="509">EI6</f>
        <v>19</v>
      </c>
      <c r="EJ9" s="436">
        <f t="shared" ref="EJ9" si="510">EI9</f>
        <v>19</v>
      </c>
      <c r="EK9" s="436">
        <f t="shared" si="502"/>
        <v>19</v>
      </c>
      <c r="EL9" s="436">
        <f t="shared" si="502"/>
        <v>19</v>
      </c>
      <c r="EM9" s="436">
        <f t="shared" si="502"/>
        <v>19</v>
      </c>
      <c r="EN9" s="436">
        <f t="shared" si="502"/>
        <v>19</v>
      </c>
      <c r="EO9" s="436">
        <f t="shared" si="502"/>
        <v>19</v>
      </c>
      <c r="EP9" s="436">
        <f t="shared" ref="EP9" si="511">EP6</f>
        <v>20</v>
      </c>
      <c r="EQ9" s="436">
        <f t="shared" ref="EQ9" si="512">EP9</f>
        <v>20</v>
      </c>
      <c r="ER9" s="436">
        <f t="shared" si="502"/>
        <v>20</v>
      </c>
      <c r="ES9" s="436">
        <f t="shared" si="502"/>
        <v>20</v>
      </c>
      <c r="ET9" s="436">
        <f t="shared" si="502"/>
        <v>20</v>
      </c>
      <c r="EU9" s="436">
        <f t="shared" si="502"/>
        <v>20</v>
      </c>
      <c r="EV9" s="436">
        <f t="shared" si="502"/>
        <v>20</v>
      </c>
      <c r="EW9" s="436">
        <f t="shared" ref="EW9" si="513">EW6</f>
        <v>21</v>
      </c>
      <c r="EX9" s="436">
        <f t="shared" ref="EX9" si="514">EW9</f>
        <v>21</v>
      </c>
      <c r="EY9" s="436">
        <f t="shared" si="502"/>
        <v>21</v>
      </c>
      <c r="EZ9" s="436">
        <f t="shared" si="502"/>
        <v>21</v>
      </c>
      <c r="FA9" s="436">
        <f t="shared" si="502"/>
        <v>21</v>
      </c>
      <c r="FB9" s="436">
        <f t="shared" si="502"/>
        <v>21</v>
      </c>
      <c r="FC9" s="436">
        <f t="shared" si="502"/>
        <v>21</v>
      </c>
      <c r="FD9" s="436">
        <f t="shared" ref="FD9" si="515">FD6</f>
        <v>22</v>
      </c>
      <c r="FE9" s="436">
        <f t="shared" ref="FE9" si="516">FD9</f>
        <v>22</v>
      </c>
      <c r="FF9" s="436">
        <f t="shared" si="502"/>
        <v>22</v>
      </c>
      <c r="FG9" s="436">
        <f t="shared" si="502"/>
        <v>22</v>
      </c>
      <c r="FH9" s="436">
        <f t="shared" si="502"/>
        <v>22</v>
      </c>
      <c r="FI9" s="436">
        <f t="shared" si="502"/>
        <v>22</v>
      </c>
      <c r="FJ9" s="436">
        <f t="shared" si="502"/>
        <v>22</v>
      </c>
      <c r="FK9" s="436">
        <f t="shared" ref="FK9" si="517">FK6</f>
        <v>23</v>
      </c>
      <c r="FL9" s="436">
        <f t="shared" ref="FL9" si="518">FK9</f>
        <v>23</v>
      </c>
      <c r="FM9" s="436">
        <f t="shared" si="502"/>
        <v>23</v>
      </c>
      <c r="FN9" s="436">
        <f t="shared" si="502"/>
        <v>23</v>
      </c>
      <c r="FO9" s="436">
        <f t="shared" si="502"/>
        <v>23</v>
      </c>
      <c r="FP9" s="436">
        <f t="shared" si="502"/>
        <v>23</v>
      </c>
      <c r="FQ9" s="436">
        <f t="shared" si="502"/>
        <v>23</v>
      </c>
      <c r="FR9" s="436">
        <f t="shared" ref="FR9" si="519">FR6</f>
        <v>24</v>
      </c>
      <c r="FS9" s="436">
        <f t="shared" ref="FS9:IB9" si="520">FR9</f>
        <v>24</v>
      </c>
      <c r="FT9" s="436">
        <f t="shared" si="520"/>
        <v>24</v>
      </c>
      <c r="FU9" s="436">
        <f t="shared" si="520"/>
        <v>24</v>
      </c>
      <c r="FV9" s="436">
        <f t="shared" si="520"/>
        <v>24</v>
      </c>
      <c r="FW9" s="436">
        <f t="shared" si="520"/>
        <v>24</v>
      </c>
      <c r="FX9" s="436">
        <f t="shared" si="520"/>
        <v>24</v>
      </c>
      <c r="FY9" s="436">
        <f t="shared" ref="FY9" si="521">FY6</f>
        <v>25</v>
      </c>
      <c r="FZ9" s="436">
        <f t="shared" ref="FZ9" si="522">FY9</f>
        <v>25</v>
      </c>
      <c r="GA9" s="436">
        <f t="shared" si="520"/>
        <v>25</v>
      </c>
      <c r="GB9" s="436">
        <f t="shared" si="520"/>
        <v>25</v>
      </c>
      <c r="GC9" s="436">
        <f t="shared" si="520"/>
        <v>25</v>
      </c>
      <c r="GD9" s="436">
        <f t="shared" si="520"/>
        <v>25</v>
      </c>
      <c r="GE9" s="436">
        <f t="shared" si="520"/>
        <v>25</v>
      </c>
      <c r="GF9" s="436">
        <f t="shared" ref="GF9" si="523">GF6</f>
        <v>26</v>
      </c>
      <c r="GG9" s="436">
        <f t="shared" ref="GG9" si="524">GF9</f>
        <v>26</v>
      </c>
      <c r="GH9" s="436">
        <f t="shared" si="520"/>
        <v>26</v>
      </c>
      <c r="GI9" s="436">
        <f t="shared" si="520"/>
        <v>26</v>
      </c>
      <c r="GJ9" s="436">
        <f t="shared" si="520"/>
        <v>26</v>
      </c>
      <c r="GK9" s="436">
        <f t="shared" si="520"/>
        <v>26</v>
      </c>
      <c r="GL9" s="436">
        <f t="shared" si="520"/>
        <v>26</v>
      </c>
      <c r="GM9" s="436">
        <f t="shared" ref="GM9" si="525">GM6</f>
        <v>27</v>
      </c>
      <c r="GN9" s="436">
        <f t="shared" ref="GN9" si="526">GM9</f>
        <v>27</v>
      </c>
      <c r="GO9" s="436">
        <f t="shared" si="520"/>
        <v>27</v>
      </c>
      <c r="GP9" s="436">
        <f t="shared" si="520"/>
        <v>27</v>
      </c>
      <c r="GQ9" s="436">
        <f t="shared" si="520"/>
        <v>27</v>
      </c>
      <c r="GR9" s="436">
        <f t="shared" si="520"/>
        <v>27</v>
      </c>
      <c r="GS9" s="436">
        <f t="shared" si="520"/>
        <v>27</v>
      </c>
      <c r="GT9" s="436">
        <f t="shared" ref="GT9" si="527">GT6</f>
        <v>28</v>
      </c>
      <c r="GU9" s="436">
        <f t="shared" ref="GU9" si="528">GT9</f>
        <v>28</v>
      </c>
      <c r="GV9" s="436">
        <f t="shared" si="520"/>
        <v>28</v>
      </c>
      <c r="GW9" s="436">
        <f t="shared" si="520"/>
        <v>28</v>
      </c>
      <c r="GX9" s="436">
        <f t="shared" si="520"/>
        <v>28</v>
      </c>
      <c r="GY9" s="436">
        <f t="shared" si="520"/>
        <v>28</v>
      </c>
      <c r="GZ9" s="436">
        <f t="shared" si="520"/>
        <v>28</v>
      </c>
      <c r="HA9" s="436">
        <f t="shared" ref="HA9" si="529">HA6</f>
        <v>29</v>
      </c>
      <c r="HB9" s="436">
        <f t="shared" ref="HB9" si="530">HA9</f>
        <v>29</v>
      </c>
      <c r="HC9" s="436">
        <f t="shared" si="520"/>
        <v>29</v>
      </c>
      <c r="HD9" s="436">
        <f t="shared" si="520"/>
        <v>29</v>
      </c>
      <c r="HE9" s="436">
        <f t="shared" si="520"/>
        <v>29</v>
      </c>
      <c r="HF9" s="436">
        <f t="shared" si="520"/>
        <v>29</v>
      </c>
      <c r="HG9" s="436">
        <f t="shared" si="520"/>
        <v>29</v>
      </c>
      <c r="HH9" s="436">
        <f t="shared" ref="HH9" si="531">HH6</f>
        <v>30</v>
      </c>
      <c r="HI9" s="436">
        <f t="shared" ref="HI9" si="532">HH9</f>
        <v>30</v>
      </c>
      <c r="HJ9" s="436">
        <f t="shared" si="520"/>
        <v>30</v>
      </c>
      <c r="HK9" s="436">
        <f t="shared" si="520"/>
        <v>30</v>
      </c>
      <c r="HL9" s="436">
        <f t="shared" si="520"/>
        <v>30</v>
      </c>
      <c r="HM9" s="436">
        <f t="shared" si="520"/>
        <v>30</v>
      </c>
      <c r="HN9" s="436">
        <f t="shared" si="520"/>
        <v>30</v>
      </c>
      <c r="HO9" s="436">
        <f t="shared" ref="HO9" si="533">HO6</f>
        <v>31</v>
      </c>
      <c r="HP9" s="436">
        <f t="shared" ref="HP9" si="534">HO9</f>
        <v>31</v>
      </c>
      <c r="HQ9" s="436">
        <f t="shared" si="520"/>
        <v>31</v>
      </c>
      <c r="HR9" s="436">
        <f t="shared" si="520"/>
        <v>31</v>
      </c>
      <c r="HS9" s="436">
        <f t="shared" si="520"/>
        <v>31</v>
      </c>
      <c r="HT9" s="436">
        <f t="shared" si="520"/>
        <v>31</v>
      </c>
      <c r="HU9" s="436">
        <f t="shared" si="520"/>
        <v>31</v>
      </c>
      <c r="HV9" s="436">
        <f t="shared" ref="HV9" si="535">HV6</f>
        <v>32</v>
      </c>
      <c r="HW9" s="436">
        <f t="shared" ref="HW9" si="536">HV9</f>
        <v>32</v>
      </c>
      <c r="HX9" s="436">
        <f t="shared" si="520"/>
        <v>32</v>
      </c>
      <c r="HY9" s="436">
        <f t="shared" si="520"/>
        <v>32</v>
      </c>
      <c r="HZ9" s="436">
        <f t="shared" si="520"/>
        <v>32</v>
      </c>
      <c r="IA9" s="436">
        <f t="shared" si="520"/>
        <v>32</v>
      </c>
      <c r="IB9" s="436">
        <f t="shared" si="520"/>
        <v>32</v>
      </c>
      <c r="IC9" s="436">
        <f t="shared" ref="IC9" si="537">IC6</f>
        <v>33</v>
      </c>
      <c r="ID9" s="436">
        <f t="shared" ref="ID9:KM9" si="538">IC9</f>
        <v>33</v>
      </c>
      <c r="IE9" s="436">
        <f t="shared" si="538"/>
        <v>33</v>
      </c>
      <c r="IF9" s="436">
        <f t="shared" si="538"/>
        <v>33</v>
      </c>
      <c r="IG9" s="436">
        <f t="shared" si="538"/>
        <v>33</v>
      </c>
      <c r="IH9" s="436">
        <f t="shared" si="538"/>
        <v>33</v>
      </c>
      <c r="II9" s="436">
        <f t="shared" si="538"/>
        <v>33</v>
      </c>
      <c r="IJ9" s="436">
        <f t="shared" ref="IJ9" si="539">IJ6</f>
        <v>34</v>
      </c>
      <c r="IK9" s="436">
        <f t="shared" ref="IK9" si="540">IJ9</f>
        <v>34</v>
      </c>
      <c r="IL9" s="436">
        <f t="shared" si="538"/>
        <v>34</v>
      </c>
      <c r="IM9" s="436">
        <f t="shared" si="538"/>
        <v>34</v>
      </c>
      <c r="IN9" s="436">
        <f t="shared" si="538"/>
        <v>34</v>
      </c>
      <c r="IO9" s="436">
        <f t="shared" si="538"/>
        <v>34</v>
      </c>
      <c r="IP9" s="436">
        <f t="shared" si="538"/>
        <v>34</v>
      </c>
      <c r="IQ9" s="436">
        <f t="shared" ref="IQ9" si="541">IQ6</f>
        <v>35</v>
      </c>
      <c r="IR9" s="436">
        <f t="shared" ref="IR9" si="542">IQ9</f>
        <v>35</v>
      </c>
      <c r="IS9" s="436">
        <f t="shared" si="538"/>
        <v>35</v>
      </c>
      <c r="IT9" s="436">
        <f t="shared" si="538"/>
        <v>35</v>
      </c>
      <c r="IU9" s="436">
        <f t="shared" si="538"/>
        <v>35</v>
      </c>
      <c r="IV9" s="436">
        <f t="shared" si="538"/>
        <v>35</v>
      </c>
      <c r="IW9" s="436">
        <f t="shared" si="538"/>
        <v>35</v>
      </c>
      <c r="IX9" s="436">
        <f t="shared" ref="IX9" si="543">IX6</f>
        <v>36</v>
      </c>
      <c r="IY9" s="436">
        <f t="shared" ref="IY9" si="544">IX9</f>
        <v>36</v>
      </c>
      <c r="IZ9" s="436">
        <f t="shared" si="538"/>
        <v>36</v>
      </c>
      <c r="JA9" s="436">
        <f t="shared" si="538"/>
        <v>36</v>
      </c>
      <c r="JB9" s="436">
        <f t="shared" si="538"/>
        <v>36</v>
      </c>
      <c r="JC9" s="436">
        <f t="shared" si="538"/>
        <v>36</v>
      </c>
      <c r="JD9" s="436">
        <f t="shared" si="538"/>
        <v>36</v>
      </c>
      <c r="JE9" s="436">
        <f t="shared" ref="JE9" si="545">JE6</f>
        <v>37</v>
      </c>
      <c r="JF9" s="436">
        <f t="shared" ref="JF9" si="546">JE9</f>
        <v>37</v>
      </c>
      <c r="JG9" s="436">
        <f t="shared" si="538"/>
        <v>37</v>
      </c>
      <c r="JH9" s="436">
        <f t="shared" si="538"/>
        <v>37</v>
      </c>
      <c r="JI9" s="436">
        <f t="shared" si="538"/>
        <v>37</v>
      </c>
      <c r="JJ9" s="436">
        <f t="shared" si="538"/>
        <v>37</v>
      </c>
      <c r="JK9" s="436">
        <f t="shared" si="538"/>
        <v>37</v>
      </c>
      <c r="JL9" s="436">
        <f t="shared" ref="JL9" si="547">JL6</f>
        <v>38</v>
      </c>
      <c r="JM9" s="436">
        <f t="shared" ref="JM9" si="548">JL9</f>
        <v>38</v>
      </c>
      <c r="JN9" s="436">
        <f t="shared" si="538"/>
        <v>38</v>
      </c>
      <c r="JO9" s="436">
        <f t="shared" si="538"/>
        <v>38</v>
      </c>
      <c r="JP9" s="436">
        <f t="shared" si="538"/>
        <v>38</v>
      </c>
      <c r="JQ9" s="436">
        <f t="shared" si="538"/>
        <v>38</v>
      </c>
      <c r="JR9" s="436">
        <f t="shared" si="538"/>
        <v>38</v>
      </c>
      <c r="JS9" s="436">
        <f t="shared" ref="JS9" si="549">JS6</f>
        <v>39</v>
      </c>
      <c r="JT9" s="436">
        <f t="shared" ref="JT9" si="550">JS9</f>
        <v>39</v>
      </c>
      <c r="JU9" s="436">
        <f t="shared" si="538"/>
        <v>39</v>
      </c>
      <c r="JV9" s="436">
        <f t="shared" si="538"/>
        <v>39</v>
      </c>
      <c r="JW9" s="436">
        <f t="shared" si="538"/>
        <v>39</v>
      </c>
      <c r="JX9" s="436">
        <f t="shared" si="538"/>
        <v>39</v>
      </c>
      <c r="JY9" s="436">
        <f t="shared" si="538"/>
        <v>39</v>
      </c>
      <c r="JZ9" s="436">
        <f t="shared" ref="JZ9" si="551">JZ6</f>
        <v>40</v>
      </c>
      <c r="KA9" s="436">
        <f t="shared" ref="KA9" si="552">JZ9</f>
        <v>40</v>
      </c>
      <c r="KB9" s="436">
        <f t="shared" si="538"/>
        <v>40</v>
      </c>
      <c r="KC9" s="436">
        <f t="shared" si="538"/>
        <v>40</v>
      </c>
      <c r="KD9" s="436">
        <f t="shared" si="538"/>
        <v>40</v>
      </c>
      <c r="KE9" s="436">
        <f t="shared" si="538"/>
        <v>40</v>
      </c>
      <c r="KF9" s="436">
        <f t="shared" si="538"/>
        <v>40</v>
      </c>
      <c r="KG9" s="436">
        <f t="shared" ref="KG9" si="553">KG6</f>
        <v>41</v>
      </c>
      <c r="KH9" s="436">
        <f t="shared" ref="KH9" si="554">KG9</f>
        <v>41</v>
      </c>
      <c r="KI9" s="436">
        <f t="shared" si="538"/>
        <v>41</v>
      </c>
      <c r="KJ9" s="436">
        <f t="shared" si="538"/>
        <v>41</v>
      </c>
      <c r="KK9" s="436">
        <f t="shared" si="538"/>
        <v>41</v>
      </c>
      <c r="KL9" s="436">
        <f t="shared" si="538"/>
        <v>41</v>
      </c>
      <c r="KM9" s="436">
        <f t="shared" si="538"/>
        <v>41</v>
      </c>
      <c r="KN9" s="436">
        <f t="shared" ref="KN9" si="555">KN6</f>
        <v>42</v>
      </c>
      <c r="KO9" s="436">
        <f t="shared" ref="KO9:MX9" si="556">KN9</f>
        <v>42</v>
      </c>
      <c r="KP9" s="436">
        <f t="shared" si="556"/>
        <v>42</v>
      </c>
      <c r="KQ9" s="436">
        <f t="shared" si="556"/>
        <v>42</v>
      </c>
      <c r="KR9" s="436">
        <f t="shared" si="556"/>
        <v>42</v>
      </c>
      <c r="KS9" s="436">
        <f t="shared" si="556"/>
        <v>42</v>
      </c>
      <c r="KT9" s="436">
        <f t="shared" si="556"/>
        <v>42</v>
      </c>
      <c r="KU9" s="436">
        <f t="shared" ref="KU9" si="557">KU6</f>
        <v>43</v>
      </c>
      <c r="KV9" s="436">
        <f t="shared" ref="KV9" si="558">KU9</f>
        <v>43</v>
      </c>
      <c r="KW9" s="436">
        <f t="shared" si="556"/>
        <v>43</v>
      </c>
      <c r="KX9" s="436">
        <f t="shared" si="556"/>
        <v>43</v>
      </c>
      <c r="KY9" s="436">
        <f t="shared" si="556"/>
        <v>43</v>
      </c>
      <c r="KZ9" s="436">
        <f t="shared" si="556"/>
        <v>43</v>
      </c>
      <c r="LA9" s="436">
        <f t="shared" si="556"/>
        <v>43</v>
      </c>
      <c r="LB9" s="436">
        <f t="shared" ref="LB9" si="559">LB6</f>
        <v>44</v>
      </c>
      <c r="LC9" s="436">
        <f t="shared" ref="LC9" si="560">LB9</f>
        <v>44</v>
      </c>
      <c r="LD9" s="436">
        <f t="shared" si="556"/>
        <v>44</v>
      </c>
      <c r="LE9" s="436">
        <f t="shared" si="556"/>
        <v>44</v>
      </c>
      <c r="LF9" s="436">
        <f t="shared" si="556"/>
        <v>44</v>
      </c>
      <c r="LG9" s="436">
        <f t="shared" si="556"/>
        <v>44</v>
      </c>
      <c r="LH9" s="436">
        <f t="shared" si="556"/>
        <v>44</v>
      </c>
      <c r="LI9" s="436">
        <f t="shared" ref="LI9" si="561">LI6</f>
        <v>45</v>
      </c>
      <c r="LJ9" s="436">
        <f t="shared" ref="LJ9" si="562">LI9</f>
        <v>45</v>
      </c>
      <c r="LK9" s="436">
        <f t="shared" si="556"/>
        <v>45</v>
      </c>
      <c r="LL9" s="436">
        <f t="shared" si="556"/>
        <v>45</v>
      </c>
      <c r="LM9" s="436">
        <f t="shared" si="556"/>
        <v>45</v>
      </c>
      <c r="LN9" s="436">
        <f t="shared" si="556"/>
        <v>45</v>
      </c>
      <c r="LO9" s="436">
        <f t="shared" si="556"/>
        <v>45</v>
      </c>
      <c r="LP9" s="436">
        <f t="shared" ref="LP9" si="563">LP6</f>
        <v>46</v>
      </c>
      <c r="LQ9" s="436">
        <f t="shared" ref="LQ9" si="564">LP9</f>
        <v>46</v>
      </c>
      <c r="LR9" s="436">
        <f t="shared" si="556"/>
        <v>46</v>
      </c>
      <c r="LS9" s="436">
        <f t="shared" si="556"/>
        <v>46</v>
      </c>
      <c r="LT9" s="436">
        <f t="shared" si="556"/>
        <v>46</v>
      </c>
      <c r="LU9" s="436">
        <f t="shared" si="556"/>
        <v>46</v>
      </c>
      <c r="LV9" s="436">
        <f t="shared" si="556"/>
        <v>46</v>
      </c>
      <c r="LW9" s="436">
        <f t="shared" ref="LW9" si="565">LW6</f>
        <v>47</v>
      </c>
      <c r="LX9" s="436">
        <f t="shared" ref="LX9" si="566">LW9</f>
        <v>47</v>
      </c>
      <c r="LY9" s="436">
        <f t="shared" si="556"/>
        <v>47</v>
      </c>
      <c r="LZ9" s="436">
        <f t="shared" si="556"/>
        <v>47</v>
      </c>
      <c r="MA9" s="436">
        <f t="shared" si="556"/>
        <v>47</v>
      </c>
      <c r="MB9" s="436">
        <f t="shared" si="556"/>
        <v>47</v>
      </c>
      <c r="MC9" s="436">
        <f t="shared" si="556"/>
        <v>47</v>
      </c>
      <c r="MD9" s="436">
        <f t="shared" ref="MD9" si="567">MD6</f>
        <v>48</v>
      </c>
      <c r="ME9" s="436">
        <f t="shared" ref="ME9" si="568">MD9</f>
        <v>48</v>
      </c>
      <c r="MF9" s="436">
        <f t="shared" si="556"/>
        <v>48</v>
      </c>
      <c r="MG9" s="436">
        <f t="shared" si="556"/>
        <v>48</v>
      </c>
      <c r="MH9" s="436">
        <f t="shared" si="556"/>
        <v>48</v>
      </c>
      <c r="MI9" s="436">
        <f t="shared" si="556"/>
        <v>48</v>
      </c>
      <c r="MJ9" s="436">
        <f t="shared" si="556"/>
        <v>48</v>
      </c>
      <c r="MK9" s="436">
        <f t="shared" ref="MK9" si="569">MK6</f>
        <v>49</v>
      </c>
      <c r="ML9" s="436">
        <f t="shared" ref="ML9" si="570">MK9</f>
        <v>49</v>
      </c>
      <c r="MM9" s="436">
        <f t="shared" si="556"/>
        <v>49</v>
      </c>
      <c r="MN9" s="436">
        <f t="shared" si="556"/>
        <v>49</v>
      </c>
      <c r="MO9" s="436">
        <f t="shared" si="556"/>
        <v>49</v>
      </c>
      <c r="MP9" s="436">
        <f t="shared" si="556"/>
        <v>49</v>
      </c>
      <c r="MQ9" s="436">
        <f t="shared" si="556"/>
        <v>49</v>
      </c>
      <c r="MR9" s="436">
        <f t="shared" ref="MR9" si="571">MR6</f>
        <v>50</v>
      </c>
      <c r="MS9" s="436">
        <f t="shared" ref="MS9" si="572">MR9</f>
        <v>50</v>
      </c>
      <c r="MT9" s="436">
        <f t="shared" si="556"/>
        <v>50</v>
      </c>
      <c r="MU9" s="436">
        <f t="shared" si="556"/>
        <v>50</v>
      </c>
      <c r="MV9" s="436">
        <f t="shared" si="556"/>
        <v>50</v>
      </c>
      <c r="MW9" s="436">
        <f t="shared" si="556"/>
        <v>50</v>
      </c>
      <c r="MX9" s="436">
        <f t="shared" si="556"/>
        <v>50</v>
      </c>
      <c r="MY9" s="436">
        <f t="shared" ref="MY9" si="573">MY6</f>
        <v>51</v>
      </c>
      <c r="MZ9" s="436">
        <f t="shared" ref="MZ9:NS9" si="574">MY9</f>
        <v>51</v>
      </c>
      <c r="NA9" s="436">
        <f t="shared" si="574"/>
        <v>51</v>
      </c>
      <c r="NB9" s="436">
        <f t="shared" si="574"/>
        <v>51</v>
      </c>
      <c r="NC9" s="436">
        <f t="shared" si="574"/>
        <v>51</v>
      </c>
      <c r="ND9" s="436">
        <f t="shared" si="574"/>
        <v>51</v>
      </c>
      <c r="NE9" s="436">
        <f t="shared" si="574"/>
        <v>51</v>
      </c>
      <c r="NF9" s="436">
        <f t="shared" ref="NF9" si="575">NF6</f>
        <v>52</v>
      </c>
      <c r="NG9" s="436">
        <f t="shared" ref="NG9" si="576">NF9</f>
        <v>52</v>
      </c>
      <c r="NH9" s="436">
        <f t="shared" si="574"/>
        <v>52</v>
      </c>
      <c r="NI9" s="436">
        <f t="shared" si="574"/>
        <v>52</v>
      </c>
      <c r="NJ9" s="436">
        <f t="shared" si="574"/>
        <v>52</v>
      </c>
      <c r="NK9" s="436">
        <f t="shared" si="574"/>
        <v>52</v>
      </c>
      <c r="NL9" s="436">
        <f t="shared" si="574"/>
        <v>52</v>
      </c>
      <c r="NM9" s="436">
        <f t="shared" ref="NM9" si="577">NM6</f>
        <v>53</v>
      </c>
      <c r="NN9" s="436">
        <f t="shared" ref="NN9" si="578">NM9</f>
        <v>53</v>
      </c>
      <c r="NO9" s="436">
        <f t="shared" si="574"/>
        <v>53</v>
      </c>
      <c r="NP9" s="436">
        <f t="shared" si="574"/>
        <v>53</v>
      </c>
      <c r="NQ9" s="436">
        <f t="shared" si="574"/>
        <v>53</v>
      </c>
      <c r="NR9" s="436">
        <f t="shared" si="574"/>
        <v>53</v>
      </c>
      <c r="NS9" s="436">
        <f t="shared" si="574"/>
        <v>53</v>
      </c>
    </row>
    <row r="10" spans="2:383">
      <c r="B10" s="469" t="s">
        <v>19</v>
      </c>
      <c r="C10" s="469"/>
      <c r="D10" s="422" t="s">
        <v>374</v>
      </c>
      <c r="E10" s="422" t="s">
        <v>370</v>
      </c>
      <c r="H10" s="429" t="s">
        <v>395</v>
      </c>
      <c r="I10" s="429" t="s">
        <v>396</v>
      </c>
      <c r="J10" s="429" t="s">
        <v>393</v>
      </c>
      <c r="K10" s="429" t="s">
        <v>394</v>
      </c>
      <c r="L10" s="429"/>
      <c r="M10" s="423">
        <v>1</v>
      </c>
      <c r="N10" s="423">
        <f>M10+1</f>
        <v>2</v>
      </c>
      <c r="O10" s="423">
        <f t="shared" ref="O10:BZ10" si="579">N10+1</f>
        <v>3</v>
      </c>
      <c r="P10" s="423">
        <f t="shared" si="579"/>
        <v>4</v>
      </c>
      <c r="Q10" s="423">
        <f t="shared" si="579"/>
        <v>5</v>
      </c>
      <c r="R10" s="423">
        <f t="shared" si="579"/>
        <v>6</v>
      </c>
      <c r="S10" s="423">
        <f t="shared" si="579"/>
        <v>7</v>
      </c>
      <c r="T10" s="423">
        <f t="shared" si="579"/>
        <v>8</v>
      </c>
      <c r="U10" s="423">
        <f t="shared" si="579"/>
        <v>9</v>
      </c>
      <c r="V10" s="423">
        <f t="shared" si="579"/>
        <v>10</v>
      </c>
      <c r="W10" s="423">
        <f t="shared" si="579"/>
        <v>11</v>
      </c>
      <c r="X10" s="423">
        <f t="shared" si="579"/>
        <v>12</v>
      </c>
      <c r="Y10" s="423">
        <f t="shared" si="579"/>
        <v>13</v>
      </c>
      <c r="Z10" s="423">
        <f t="shared" si="579"/>
        <v>14</v>
      </c>
      <c r="AA10" s="423">
        <f t="shared" si="579"/>
        <v>15</v>
      </c>
      <c r="AB10" s="423">
        <f t="shared" si="579"/>
        <v>16</v>
      </c>
      <c r="AC10" s="423">
        <f t="shared" si="579"/>
        <v>17</v>
      </c>
      <c r="AD10" s="423">
        <f t="shared" si="579"/>
        <v>18</v>
      </c>
      <c r="AE10" s="423">
        <f t="shared" si="579"/>
        <v>19</v>
      </c>
      <c r="AF10" s="423">
        <f t="shared" si="579"/>
        <v>20</v>
      </c>
      <c r="AG10" s="423">
        <f t="shared" si="579"/>
        <v>21</v>
      </c>
      <c r="AH10" s="423">
        <f t="shared" si="579"/>
        <v>22</v>
      </c>
      <c r="AI10" s="423">
        <f t="shared" si="579"/>
        <v>23</v>
      </c>
      <c r="AJ10" s="423">
        <f t="shared" si="579"/>
        <v>24</v>
      </c>
      <c r="AK10" s="423">
        <f t="shared" si="579"/>
        <v>25</v>
      </c>
      <c r="AL10" s="423">
        <f t="shared" si="579"/>
        <v>26</v>
      </c>
      <c r="AM10" s="423">
        <f t="shared" si="579"/>
        <v>27</v>
      </c>
      <c r="AN10" s="423">
        <f t="shared" si="579"/>
        <v>28</v>
      </c>
      <c r="AO10" s="423">
        <f t="shared" si="579"/>
        <v>29</v>
      </c>
      <c r="AP10" s="423">
        <f t="shared" si="579"/>
        <v>30</v>
      </c>
      <c r="AQ10" s="423">
        <f t="shared" si="579"/>
        <v>31</v>
      </c>
      <c r="AR10" s="423">
        <f t="shared" si="579"/>
        <v>32</v>
      </c>
      <c r="AS10" s="423">
        <f t="shared" si="579"/>
        <v>33</v>
      </c>
      <c r="AT10" s="423">
        <f t="shared" si="579"/>
        <v>34</v>
      </c>
      <c r="AU10" s="423">
        <f t="shared" si="579"/>
        <v>35</v>
      </c>
      <c r="AV10" s="423">
        <f t="shared" si="579"/>
        <v>36</v>
      </c>
      <c r="AW10" s="423">
        <f t="shared" si="579"/>
        <v>37</v>
      </c>
      <c r="AX10" s="423">
        <f t="shared" si="579"/>
        <v>38</v>
      </c>
      <c r="AY10" s="423">
        <f t="shared" si="579"/>
        <v>39</v>
      </c>
      <c r="AZ10" s="423">
        <f t="shared" si="579"/>
        <v>40</v>
      </c>
      <c r="BA10" s="423">
        <f t="shared" si="579"/>
        <v>41</v>
      </c>
      <c r="BB10" s="423">
        <f t="shared" si="579"/>
        <v>42</v>
      </c>
      <c r="BC10" s="423">
        <f t="shared" si="579"/>
        <v>43</v>
      </c>
      <c r="BD10" s="423">
        <f t="shared" si="579"/>
        <v>44</v>
      </c>
      <c r="BE10" s="423">
        <f t="shared" si="579"/>
        <v>45</v>
      </c>
      <c r="BF10" s="423">
        <f t="shared" si="579"/>
        <v>46</v>
      </c>
      <c r="BG10" s="423">
        <f t="shared" si="579"/>
        <v>47</v>
      </c>
      <c r="BH10" s="423">
        <f t="shared" si="579"/>
        <v>48</v>
      </c>
      <c r="BI10" s="423">
        <f t="shared" si="579"/>
        <v>49</v>
      </c>
      <c r="BJ10" s="423">
        <f t="shared" si="579"/>
        <v>50</v>
      </c>
      <c r="BK10" s="423">
        <f t="shared" si="579"/>
        <v>51</v>
      </c>
      <c r="BL10" s="423">
        <f t="shared" si="579"/>
        <v>52</v>
      </c>
      <c r="BM10" s="423">
        <f t="shared" si="579"/>
        <v>53</v>
      </c>
      <c r="BN10" s="423">
        <f t="shared" si="579"/>
        <v>54</v>
      </c>
      <c r="BO10" s="423">
        <f t="shared" si="579"/>
        <v>55</v>
      </c>
      <c r="BP10" s="423">
        <f t="shared" si="579"/>
        <v>56</v>
      </c>
      <c r="BQ10" s="423">
        <f t="shared" si="579"/>
        <v>57</v>
      </c>
      <c r="BR10" s="423">
        <f t="shared" si="579"/>
        <v>58</v>
      </c>
      <c r="BS10" s="423">
        <f t="shared" si="579"/>
        <v>59</v>
      </c>
      <c r="BT10" s="423">
        <f t="shared" si="579"/>
        <v>60</v>
      </c>
      <c r="BU10" s="423">
        <f t="shared" si="579"/>
        <v>61</v>
      </c>
      <c r="BV10" s="423">
        <f t="shared" si="579"/>
        <v>62</v>
      </c>
      <c r="BW10" s="423">
        <f t="shared" si="579"/>
        <v>63</v>
      </c>
      <c r="BX10" s="423">
        <f t="shared" si="579"/>
        <v>64</v>
      </c>
      <c r="BY10" s="423">
        <f t="shared" si="579"/>
        <v>65</v>
      </c>
      <c r="BZ10" s="423">
        <f t="shared" si="579"/>
        <v>66</v>
      </c>
      <c r="CA10" s="423">
        <f t="shared" ref="CA10:DM10" si="580">BZ10+1</f>
        <v>67</v>
      </c>
      <c r="CB10" s="423">
        <f t="shared" si="580"/>
        <v>68</v>
      </c>
      <c r="CC10" s="423">
        <f t="shared" si="580"/>
        <v>69</v>
      </c>
      <c r="CD10" s="423">
        <f t="shared" si="580"/>
        <v>70</v>
      </c>
      <c r="CE10" s="423">
        <f t="shared" si="580"/>
        <v>71</v>
      </c>
      <c r="CF10" s="423">
        <f t="shared" si="580"/>
        <v>72</v>
      </c>
      <c r="CG10" s="423">
        <f t="shared" si="580"/>
        <v>73</v>
      </c>
      <c r="CH10" s="423">
        <f t="shared" si="580"/>
        <v>74</v>
      </c>
      <c r="CI10" s="423">
        <f t="shared" si="580"/>
        <v>75</v>
      </c>
      <c r="CJ10" s="423">
        <f t="shared" si="580"/>
        <v>76</v>
      </c>
      <c r="CK10" s="423">
        <f t="shared" si="580"/>
        <v>77</v>
      </c>
      <c r="CL10" s="423">
        <f t="shared" si="580"/>
        <v>78</v>
      </c>
      <c r="CM10" s="423">
        <f t="shared" si="580"/>
        <v>79</v>
      </c>
      <c r="CN10" s="423">
        <f t="shared" si="580"/>
        <v>80</v>
      </c>
      <c r="CO10" s="423">
        <f t="shared" si="580"/>
        <v>81</v>
      </c>
      <c r="CP10" s="423">
        <f t="shared" si="580"/>
        <v>82</v>
      </c>
      <c r="CQ10" s="423">
        <f t="shared" si="580"/>
        <v>83</v>
      </c>
      <c r="CR10" s="423">
        <f t="shared" si="580"/>
        <v>84</v>
      </c>
      <c r="CS10" s="423">
        <f t="shared" si="580"/>
        <v>85</v>
      </c>
      <c r="CT10" s="423">
        <f t="shared" si="580"/>
        <v>86</v>
      </c>
      <c r="CU10" s="423">
        <f t="shared" si="580"/>
        <v>87</v>
      </c>
      <c r="CV10" s="423">
        <f t="shared" si="580"/>
        <v>88</v>
      </c>
      <c r="CW10" s="423">
        <f t="shared" si="580"/>
        <v>89</v>
      </c>
      <c r="CX10" s="423">
        <f t="shared" si="580"/>
        <v>90</v>
      </c>
      <c r="CY10" s="423">
        <f t="shared" si="580"/>
        <v>91</v>
      </c>
      <c r="CZ10" s="423">
        <f t="shared" si="580"/>
        <v>92</v>
      </c>
      <c r="DA10" s="423">
        <f t="shared" si="580"/>
        <v>93</v>
      </c>
      <c r="DB10" s="423">
        <f t="shared" si="580"/>
        <v>94</v>
      </c>
      <c r="DC10" s="423">
        <f t="shared" si="580"/>
        <v>95</v>
      </c>
      <c r="DD10" s="423">
        <f t="shared" si="580"/>
        <v>96</v>
      </c>
      <c r="DE10" s="423">
        <f t="shared" si="580"/>
        <v>97</v>
      </c>
      <c r="DF10" s="423">
        <f t="shared" si="580"/>
        <v>98</v>
      </c>
      <c r="DG10" s="423">
        <f t="shared" si="580"/>
        <v>99</v>
      </c>
      <c r="DH10" s="423">
        <f t="shared" si="580"/>
        <v>100</v>
      </c>
      <c r="DI10" s="423">
        <f t="shared" si="580"/>
        <v>101</v>
      </c>
      <c r="DJ10" s="423">
        <f t="shared" si="580"/>
        <v>102</v>
      </c>
      <c r="DK10" s="423">
        <f t="shared" si="580"/>
        <v>103</v>
      </c>
      <c r="DL10" s="423">
        <f t="shared" si="580"/>
        <v>104</v>
      </c>
      <c r="DM10" s="423">
        <f t="shared" si="580"/>
        <v>105</v>
      </c>
      <c r="DN10" s="423">
        <f t="shared" ref="DN10:FY10" si="581">DM10+1</f>
        <v>106</v>
      </c>
      <c r="DO10" s="423">
        <f t="shared" si="581"/>
        <v>107</v>
      </c>
      <c r="DP10" s="423">
        <f t="shared" si="581"/>
        <v>108</v>
      </c>
      <c r="DQ10" s="423">
        <f t="shared" si="581"/>
        <v>109</v>
      </c>
      <c r="DR10" s="423">
        <f t="shared" si="581"/>
        <v>110</v>
      </c>
      <c r="DS10" s="423">
        <f t="shared" si="581"/>
        <v>111</v>
      </c>
      <c r="DT10" s="423">
        <f t="shared" si="581"/>
        <v>112</v>
      </c>
      <c r="DU10" s="423">
        <f t="shared" si="581"/>
        <v>113</v>
      </c>
      <c r="DV10" s="423">
        <f t="shared" si="581"/>
        <v>114</v>
      </c>
      <c r="DW10" s="423">
        <f t="shared" si="581"/>
        <v>115</v>
      </c>
      <c r="DX10" s="423">
        <f t="shared" si="581"/>
        <v>116</v>
      </c>
      <c r="DY10" s="423">
        <f t="shared" si="581"/>
        <v>117</v>
      </c>
      <c r="DZ10" s="423">
        <f t="shared" si="581"/>
        <v>118</v>
      </c>
      <c r="EA10" s="423">
        <f t="shared" si="581"/>
        <v>119</v>
      </c>
      <c r="EB10" s="423">
        <f t="shared" si="581"/>
        <v>120</v>
      </c>
      <c r="EC10" s="423">
        <f t="shared" si="581"/>
        <v>121</v>
      </c>
      <c r="ED10" s="423">
        <f t="shared" si="581"/>
        <v>122</v>
      </c>
      <c r="EE10" s="423">
        <f t="shared" si="581"/>
        <v>123</v>
      </c>
      <c r="EF10" s="423">
        <f t="shared" si="581"/>
        <v>124</v>
      </c>
      <c r="EG10" s="423">
        <f t="shared" si="581"/>
        <v>125</v>
      </c>
      <c r="EH10" s="423">
        <f t="shared" si="581"/>
        <v>126</v>
      </c>
      <c r="EI10" s="423">
        <f t="shared" si="581"/>
        <v>127</v>
      </c>
      <c r="EJ10" s="423">
        <f t="shared" si="581"/>
        <v>128</v>
      </c>
      <c r="EK10" s="423">
        <f t="shared" si="581"/>
        <v>129</v>
      </c>
      <c r="EL10" s="423">
        <f t="shared" si="581"/>
        <v>130</v>
      </c>
      <c r="EM10" s="423">
        <f t="shared" si="581"/>
        <v>131</v>
      </c>
      <c r="EN10" s="423">
        <f t="shared" si="581"/>
        <v>132</v>
      </c>
      <c r="EO10" s="423">
        <f t="shared" si="581"/>
        <v>133</v>
      </c>
      <c r="EP10" s="423">
        <f t="shared" si="581"/>
        <v>134</v>
      </c>
      <c r="EQ10" s="423">
        <f t="shared" si="581"/>
        <v>135</v>
      </c>
      <c r="ER10" s="423">
        <f t="shared" si="581"/>
        <v>136</v>
      </c>
      <c r="ES10" s="423">
        <f t="shared" si="581"/>
        <v>137</v>
      </c>
      <c r="ET10" s="423">
        <f t="shared" si="581"/>
        <v>138</v>
      </c>
      <c r="EU10" s="423">
        <f t="shared" si="581"/>
        <v>139</v>
      </c>
      <c r="EV10" s="423">
        <f t="shared" si="581"/>
        <v>140</v>
      </c>
      <c r="EW10" s="423">
        <f t="shared" si="581"/>
        <v>141</v>
      </c>
      <c r="EX10" s="423">
        <f t="shared" si="581"/>
        <v>142</v>
      </c>
      <c r="EY10" s="423">
        <f t="shared" si="581"/>
        <v>143</v>
      </c>
      <c r="EZ10" s="423">
        <f t="shared" si="581"/>
        <v>144</v>
      </c>
      <c r="FA10" s="423">
        <f t="shared" si="581"/>
        <v>145</v>
      </c>
      <c r="FB10" s="423">
        <f t="shared" si="581"/>
        <v>146</v>
      </c>
      <c r="FC10" s="423">
        <f t="shared" si="581"/>
        <v>147</v>
      </c>
      <c r="FD10" s="423">
        <f t="shared" si="581"/>
        <v>148</v>
      </c>
      <c r="FE10" s="423">
        <f t="shared" si="581"/>
        <v>149</v>
      </c>
      <c r="FF10" s="423">
        <f t="shared" si="581"/>
        <v>150</v>
      </c>
      <c r="FG10" s="423">
        <f t="shared" si="581"/>
        <v>151</v>
      </c>
      <c r="FH10" s="423">
        <f t="shared" si="581"/>
        <v>152</v>
      </c>
      <c r="FI10" s="423">
        <f t="shared" si="581"/>
        <v>153</v>
      </c>
      <c r="FJ10" s="423">
        <f t="shared" si="581"/>
        <v>154</v>
      </c>
      <c r="FK10" s="423">
        <f t="shared" si="581"/>
        <v>155</v>
      </c>
      <c r="FL10" s="423">
        <f t="shared" si="581"/>
        <v>156</v>
      </c>
      <c r="FM10" s="423">
        <f t="shared" si="581"/>
        <v>157</v>
      </c>
      <c r="FN10" s="423">
        <f t="shared" si="581"/>
        <v>158</v>
      </c>
      <c r="FO10" s="423">
        <f t="shared" si="581"/>
        <v>159</v>
      </c>
      <c r="FP10" s="423">
        <f t="shared" si="581"/>
        <v>160</v>
      </c>
      <c r="FQ10" s="423">
        <f t="shared" si="581"/>
        <v>161</v>
      </c>
      <c r="FR10" s="423">
        <f t="shared" si="581"/>
        <v>162</v>
      </c>
      <c r="FS10" s="423">
        <f t="shared" si="581"/>
        <v>163</v>
      </c>
      <c r="FT10" s="423">
        <f t="shared" si="581"/>
        <v>164</v>
      </c>
      <c r="FU10" s="423">
        <f t="shared" si="581"/>
        <v>165</v>
      </c>
      <c r="FV10" s="423">
        <f t="shared" si="581"/>
        <v>166</v>
      </c>
      <c r="FW10" s="423">
        <f t="shared" si="581"/>
        <v>167</v>
      </c>
      <c r="FX10" s="423">
        <f t="shared" si="581"/>
        <v>168</v>
      </c>
      <c r="FY10" s="423">
        <f t="shared" si="581"/>
        <v>169</v>
      </c>
      <c r="FZ10" s="423">
        <f t="shared" ref="FZ10:IB10" si="582">FY10+1</f>
        <v>170</v>
      </c>
      <c r="GA10" s="423">
        <f t="shared" si="582"/>
        <v>171</v>
      </c>
      <c r="GB10" s="423">
        <f t="shared" si="582"/>
        <v>172</v>
      </c>
      <c r="GC10" s="423">
        <f t="shared" si="582"/>
        <v>173</v>
      </c>
      <c r="GD10" s="423">
        <f t="shared" si="582"/>
        <v>174</v>
      </c>
      <c r="GE10" s="423">
        <f t="shared" si="582"/>
        <v>175</v>
      </c>
      <c r="GF10" s="423">
        <f t="shared" si="582"/>
        <v>176</v>
      </c>
      <c r="GG10" s="423">
        <f t="shared" si="582"/>
        <v>177</v>
      </c>
      <c r="GH10" s="423">
        <f t="shared" si="582"/>
        <v>178</v>
      </c>
      <c r="GI10" s="423">
        <f t="shared" si="582"/>
        <v>179</v>
      </c>
      <c r="GJ10" s="423">
        <f t="shared" si="582"/>
        <v>180</v>
      </c>
      <c r="GK10" s="423">
        <f t="shared" si="582"/>
        <v>181</v>
      </c>
      <c r="GL10" s="423">
        <f t="shared" si="582"/>
        <v>182</v>
      </c>
      <c r="GM10" s="423">
        <f t="shared" si="582"/>
        <v>183</v>
      </c>
      <c r="GN10" s="423">
        <f t="shared" si="582"/>
        <v>184</v>
      </c>
      <c r="GO10" s="423">
        <f t="shared" si="582"/>
        <v>185</v>
      </c>
      <c r="GP10" s="423">
        <f t="shared" si="582"/>
        <v>186</v>
      </c>
      <c r="GQ10" s="423">
        <f t="shared" si="582"/>
        <v>187</v>
      </c>
      <c r="GR10" s="423">
        <f t="shared" si="582"/>
        <v>188</v>
      </c>
      <c r="GS10" s="423">
        <f t="shared" si="582"/>
        <v>189</v>
      </c>
      <c r="GT10" s="423">
        <f t="shared" si="582"/>
        <v>190</v>
      </c>
      <c r="GU10" s="423">
        <f t="shared" si="582"/>
        <v>191</v>
      </c>
      <c r="GV10" s="423">
        <f t="shared" si="582"/>
        <v>192</v>
      </c>
      <c r="GW10" s="423">
        <f t="shared" si="582"/>
        <v>193</v>
      </c>
      <c r="GX10" s="423">
        <f t="shared" si="582"/>
        <v>194</v>
      </c>
      <c r="GY10" s="423">
        <f t="shared" si="582"/>
        <v>195</v>
      </c>
      <c r="GZ10" s="423">
        <f t="shared" si="582"/>
        <v>196</v>
      </c>
      <c r="HA10" s="423">
        <f t="shared" si="582"/>
        <v>197</v>
      </c>
      <c r="HB10" s="423">
        <f t="shared" si="582"/>
        <v>198</v>
      </c>
      <c r="HC10" s="423">
        <f t="shared" si="582"/>
        <v>199</v>
      </c>
      <c r="HD10" s="423">
        <f t="shared" si="582"/>
        <v>200</v>
      </c>
      <c r="HE10" s="423">
        <f t="shared" si="582"/>
        <v>201</v>
      </c>
      <c r="HF10" s="423">
        <f t="shared" si="582"/>
        <v>202</v>
      </c>
      <c r="HG10" s="423">
        <f t="shared" si="582"/>
        <v>203</v>
      </c>
      <c r="HH10" s="423">
        <f t="shared" si="582"/>
        <v>204</v>
      </c>
      <c r="HI10" s="423">
        <f t="shared" si="582"/>
        <v>205</v>
      </c>
      <c r="HJ10" s="423">
        <f t="shared" si="582"/>
        <v>206</v>
      </c>
      <c r="HK10" s="423">
        <f t="shared" si="582"/>
        <v>207</v>
      </c>
      <c r="HL10" s="423">
        <f t="shared" si="582"/>
        <v>208</v>
      </c>
      <c r="HM10" s="423">
        <f t="shared" si="582"/>
        <v>209</v>
      </c>
      <c r="HN10" s="423">
        <f t="shared" si="582"/>
        <v>210</v>
      </c>
      <c r="HO10" s="423">
        <f t="shared" si="582"/>
        <v>211</v>
      </c>
      <c r="HP10" s="423">
        <f t="shared" si="582"/>
        <v>212</v>
      </c>
      <c r="HQ10" s="423">
        <f t="shared" si="582"/>
        <v>213</v>
      </c>
      <c r="HR10" s="423">
        <f t="shared" si="582"/>
        <v>214</v>
      </c>
      <c r="HS10" s="423">
        <f t="shared" si="582"/>
        <v>215</v>
      </c>
      <c r="HT10" s="423">
        <f t="shared" si="582"/>
        <v>216</v>
      </c>
      <c r="HU10" s="423">
        <f t="shared" si="582"/>
        <v>217</v>
      </c>
      <c r="HV10" s="423">
        <f>HU10+1</f>
        <v>218</v>
      </c>
      <c r="HW10" s="423">
        <f t="shared" si="582"/>
        <v>219</v>
      </c>
      <c r="HX10" s="423">
        <f t="shared" si="582"/>
        <v>220</v>
      </c>
      <c r="HY10" s="423">
        <f t="shared" si="582"/>
        <v>221</v>
      </c>
      <c r="HZ10" s="423">
        <f t="shared" si="582"/>
        <v>222</v>
      </c>
      <c r="IA10" s="423">
        <f t="shared" si="582"/>
        <v>223</v>
      </c>
      <c r="IB10" s="423">
        <f t="shared" si="582"/>
        <v>224</v>
      </c>
      <c r="IC10" s="423">
        <f t="shared" ref="IC10" si="583">IB10+1</f>
        <v>225</v>
      </c>
      <c r="ID10" s="423">
        <f t="shared" ref="ID10" si="584">IC10+1</f>
        <v>226</v>
      </c>
      <c r="IE10" s="423">
        <f t="shared" ref="IE10" si="585">ID10+1</f>
        <v>227</v>
      </c>
      <c r="IF10" s="423">
        <f t="shared" ref="IF10" si="586">IE10+1</f>
        <v>228</v>
      </c>
      <c r="IG10" s="423">
        <f t="shared" ref="IG10" si="587">IF10+1</f>
        <v>229</v>
      </c>
      <c r="IH10" s="423">
        <f t="shared" ref="IH10" si="588">IG10+1</f>
        <v>230</v>
      </c>
      <c r="II10" s="423">
        <f t="shared" ref="II10" si="589">IH10+1</f>
        <v>231</v>
      </c>
      <c r="IJ10" s="423">
        <f t="shared" ref="IJ10" si="590">II10+1</f>
        <v>232</v>
      </c>
      <c r="IK10" s="423">
        <f t="shared" ref="IK10" si="591">IJ10+1</f>
        <v>233</v>
      </c>
      <c r="IL10" s="423">
        <f t="shared" ref="IL10" si="592">IK10+1</f>
        <v>234</v>
      </c>
      <c r="IM10" s="423">
        <f t="shared" ref="IM10" si="593">IL10+1</f>
        <v>235</v>
      </c>
      <c r="IN10" s="423">
        <f t="shared" ref="IN10" si="594">IM10+1</f>
        <v>236</v>
      </c>
      <c r="IO10" s="423">
        <f t="shared" ref="IO10" si="595">IN10+1</f>
        <v>237</v>
      </c>
      <c r="IP10" s="423">
        <f t="shared" ref="IP10" si="596">IO10+1</f>
        <v>238</v>
      </c>
      <c r="IQ10" s="423">
        <f t="shared" ref="IQ10" si="597">IP10+1</f>
        <v>239</v>
      </c>
      <c r="IR10" s="423">
        <f t="shared" ref="IR10" si="598">IQ10+1</f>
        <v>240</v>
      </c>
      <c r="IS10" s="423">
        <f t="shared" ref="IS10" si="599">IR10+1</f>
        <v>241</v>
      </c>
      <c r="IT10" s="423">
        <f t="shared" ref="IT10" si="600">IS10+1</f>
        <v>242</v>
      </c>
      <c r="IU10" s="423">
        <f t="shared" ref="IU10" si="601">IT10+1</f>
        <v>243</v>
      </c>
      <c r="IV10" s="423">
        <f t="shared" ref="IV10" si="602">IU10+1</f>
        <v>244</v>
      </c>
      <c r="IW10" s="423">
        <f t="shared" ref="IW10" si="603">IV10+1</f>
        <v>245</v>
      </c>
      <c r="IX10" s="423">
        <f t="shared" ref="IX10" si="604">IW10+1</f>
        <v>246</v>
      </c>
      <c r="IY10" s="423">
        <f t="shared" si="389"/>
        <v>247</v>
      </c>
      <c r="IZ10" s="423">
        <f t="shared" si="390"/>
        <v>248</v>
      </c>
      <c r="JA10" s="423">
        <f t="shared" si="391"/>
        <v>249</v>
      </c>
      <c r="JB10" s="423">
        <f t="shared" si="392"/>
        <v>250</v>
      </c>
      <c r="JC10" s="423">
        <f t="shared" ref="JC10" si="605">JB10+1</f>
        <v>251</v>
      </c>
      <c r="JD10" s="423">
        <f t="shared" ref="JD10" si="606">JC10+1</f>
        <v>252</v>
      </c>
      <c r="JE10" s="423">
        <f t="shared" ref="JE10" si="607">JD10+1</f>
        <v>253</v>
      </c>
      <c r="JF10" s="423">
        <f t="shared" si="394"/>
        <v>254</v>
      </c>
      <c r="JG10" s="423">
        <f t="shared" si="395"/>
        <v>255</v>
      </c>
      <c r="JH10" s="423">
        <f t="shared" si="396"/>
        <v>256</v>
      </c>
      <c r="JI10" s="423">
        <f t="shared" si="397"/>
        <v>257</v>
      </c>
      <c r="JJ10" s="423">
        <f t="shared" ref="JJ10" si="608">JI10+1</f>
        <v>258</v>
      </c>
      <c r="JK10" s="423">
        <f t="shared" ref="JK10" si="609">JJ10+1</f>
        <v>259</v>
      </c>
      <c r="JL10" s="423">
        <f t="shared" ref="JL10" si="610">JK10+1</f>
        <v>260</v>
      </c>
      <c r="JM10" s="423">
        <f t="shared" si="399"/>
        <v>261</v>
      </c>
      <c r="JN10" s="423">
        <f t="shared" si="400"/>
        <v>262</v>
      </c>
      <c r="JO10" s="423">
        <f t="shared" si="401"/>
        <v>263</v>
      </c>
      <c r="JP10" s="423">
        <f t="shared" si="402"/>
        <v>264</v>
      </c>
      <c r="JQ10" s="423">
        <f t="shared" ref="JQ10" si="611">JP10+1</f>
        <v>265</v>
      </c>
      <c r="JR10" s="423">
        <f t="shared" ref="JR10" si="612">JQ10+1</f>
        <v>266</v>
      </c>
      <c r="JS10" s="423">
        <f t="shared" ref="JS10" si="613">JR10+1</f>
        <v>267</v>
      </c>
      <c r="JT10" s="423">
        <f t="shared" si="404"/>
        <v>268</v>
      </c>
      <c r="JU10" s="423">
        <f t="shared" si="405"/>
        <v>269</v>
      </c>
      <c r="JV10" s="423">
        <f t="shared" si="406"/>
        <v>270</v>
      </c>
      <c r="JW10" s="423">
        <f t="shared" si="407"/>
        <v>271</v>
      </c>
      <c r="JX10" s="423">
        <f t="shared" ref="JX10" si="614">JW10+1</f>
        <v>272</v>
      </c>
      <c r="JY10" s="423">
        <f t="shared" ref="JY10" si="615">JX10+1</f>
        <v>273</v>
      </c>
      <c r="JZ10" s="423">
        <f t="shared" ref="JZ10" si="616">JY10+1</f>
        <v>274</v>
      </c>
      <c r="KA10" s="423">
        <f t="shared" si="409"/>
        <v>275</v>
      </c>
      <c r="KB10" s="423">
        <f t="shared" si="410"/>
        <v>276</v>
      </c>
      <c r="KC10" s="423">
        <f t="shared" si="411"/>
        <v>277</v>
      </c>
      <c r="KD10" s="423">
        <f t="shared" si="412"/>
        <v>278</v>
      </c>
      <c r="KE10" s="423">
        <f t="shared" ref="KE10" si="617">KD10+1</f>
        <v>279</v>
      </c>
      <c r="KF10" s="423">
        <f t="shared" ref="KF10" si="618">KE10+1</f>
        <v>280</v>
      </c>
      <c r="KG10" s="423">
        <f t="shared" ref="KG10" si="619">KF10+1</f>
        <v>281</v>
      </c>
      <c r="KH10" s="423">
        <f t="shared" si="414"/>
        <v>282</v>
      </c>
      <c r="KI10" s="423">
        <f t="shared" si="415"/>
        <v>283</v>
      </c>
      <c r="KJ10" s="423">
        <f t="shared" si="416"/>
        <v>284</v>
      </c>
      <c r="KK10" s="423">
        <f t="shared" si="417"/>
        <v>285</v>
      </c>
      <c r="KL10" s="423">
        <f t="shared" ref="KL10" si="620">KK10+1</f>
        <v>286</v>
      </c>
      <c r="KM10" s="423">
        <f t="shared" ref="KM10" si="621">KL10+1</f>
        <v>287</v>
      </c>
      <c r="KN10" s="423">
        <f t="shared" ref="KN10" si="622">KM10+1</f>
        <v>288</v>
      </c>
      <c r="KO10" s="423">
        <f t="shared" si="419"/>
        <v>289</v>
      </c>
      <c r="KP10" s="423">
        <f t="shared" si="420"/>
        <v>290</v>
      </c>
      <c r="KQ10" s="423">
        <f t="shared" si="421"/>
        <v>291</v>
      </c>
      <c r="KR10" s="423">
        <f t="shared" si="422"/>
        <v>292</v>
      </c>
      <c r="KS10" s="423">
        <f t="shared" ref="KS10" si="623">KR10+1</f>
        <v>293</v>
      </c>
      <c r="KT10" s="423">
        <f t="shared" ref="KT10" si="624">KS10+1</f>
        <v>294</v>
      </c>
      <c r="KU10" s="423">
        <f t="shared" ref="KU10" si="625">KT10+1</f>
        <v>295</v>
      </c>
      <c r="KV10" s="423">
        <f t="shared" si="424"/>
        <v>296</v>
      </c>
      <c r="KW10" s="423">
        <f t="shared" si="425"/>
        <v>297</v>
      </c>
      <c r="KX10" s="423">
        <f t="shared" si="426"/>
        <v>298</v>
      </c>
      <c r="KY10" s="423">
        <f t="shared" si="427"/>
        <v>299</v>
      </c>
      <c r="KZ10" s="423">
        <f t="shared" ref="KZ10" si="626">KY10+1</f>
        <v>300</v>
      </c>
      <c r="LA10" s="423">
        <f t="shared" ref="LA10" si="627">KZ10+1</f>
        <v>301</v>
      </c>
      <c r="LB10" s="423">
        <f t="shared" ref="LB10" si="628">LA10+1</f>
        <v>302</v>
      </c>
      <c r="LC10" s="423">
        <f t="shared" si="429"/>
        <v>303</v>
      </c>
      <c r="LD10" s="423">
        <f t="shared" si="430"/>
        <v>304</v>
      </c>
      <c r="LE10" s="423">
        <f t="shared" si="431"/>
        <v>305</v>
      </c>
      <c r="LF10" s="423">
        <f t="shared" si="432"/>
        <v>306</v>
      </c>
      <c r="LG10" s="423">
        <f t="shared" ref="LG10" si="629">LF10+1</f>
        <v>307</v>
      </c>
      <c r="LH10" s="423">
        <f t="shared" ref="LH10" si="630">LG10+1</f>
        <v>308</v>
      </c>
      <c r="LI10" s="423">
        <f t="shared" ref="LI10" si="631">LH10+1</f>
        <v>309</v>
      </c>
      <c r="LJ10" s="423">
        <f t="shared" si="434"/>
        <v>310</v>
      </c>
      <c r="LK10" s="423">
        <f t="shared" si="435"/>
        <v>311</v>
      </c>
      <c r="LL10" s="423">
        <f t="shared" si="436"/>
        <v>312</v>
      </c>
      <c r="LM10" s="423">
        <f t="shared" si="437"/>
        <v>313</v>
      </c>
      <c r="LN10" s="423">
        <f t="shared" ref="LN10" si="632">LM10+1</f>
        <v>314</v>
      </c>
      <c r="LO10" s="423">
        <f t="shared" ref="LO10" si="633">LN10+1</f>
        <v>315</v>
      </c>
      <c r="LP10" s="423">
        <f t="shared" ref="LP10" si="634">LO10+1</f>
        <v>316</v>
      </c>
      <c r="LQ10" s="423">
        <f t="shared" si="439"/>
        <v>317</v>
      </c>
      <c r="LR10" s="423">
        <f t="shared" si="440"/>
        <v>318</v>
      </c>
      <c r="LS10" s="423">
        <f t="shared" si="441"/>
        <v>319</v>
      </c>
      <c r="LT10" s="423">
        <f t="shared" si="442"/>
        <v>320</v>
      </c>
      <c r="LU10" s="423">
        <f t="shared" ref="LU10" si="635">LT10+1</f>
        <v>321</v>
      </c>
      <c r="LV10" s="423">
        <f t="shared" ref="LV10" si="636">LU10+1</f>
        <v>322</v>
      </c>
      <c r="LW10" s="423">
        <f t="shared" ref="LW10" si="637">LV10+1</f>
        <v>323</v>
      </c>
      <c r="LX10" s="423">
        <f t="shared" si="444"/>
        <v>324</v>
      </c>
      <c r="LY10" s="423">
        <f t="shared" si="445"/>
        <v>325</v>
      </c>
      <c r="LZ10" s="423">
        <f t="shared" si="446"/>
        <v>326</v>
      </c>
      <c r="MA10" s="423">
        <f t="shared" si="447"/>
        <v>327</v>
      </c>
      <c r="MB10" s="423">
        <f t="shared" ref="MB10" si="638">MA10+1</f>
        <v>328</v>
      </c>
      <c r="MC10" s="423">
        <f t="shared" ref="MC10" si="639">MB10+1</f>
        <v>329</v>
      </c>
      <c r="MD10" s="423">
        <f t="shared" ref="MD10" si="640">MC10+1</f>
        <v>330</v>
      </c>
      <c r="ME10" s="423">
        <f t="shared" si="449"/>
        <v>331</v>
      </c>
      <c r="MF10" s="423">
        <f t="shared" si="450"/>
        <v>332</v>
      </c>
      <c r="MG10" s="423">
        <f t="shared" si="451"/>
        <v>333</v>
      </c>
      <c r="MH10" s="423">
        <f t="shared" si="452"/>
        <v>334</v>
      </c>
      <c r="MI10" s="423">
        <f t="shared" ref="MI10" si="641">MH10+1</f>
        <v>335</v>
      </c>
      <c r="MJ10" s="423">
        <f t="shared" ref="MJ10" si="642">MI10+1</f>
        <v>336</v>
      </c>
      <c r="MK10" s="423">
        <f t="shared" ref="MK10" si="643">MJ10+1</f>
        <v>337</v>
      </c>
      <c r="ML10" s="423">
        <f t="shared" si="454"/>
        <v>338</v>
      </c>
      <c r="MM10" s="423">
        <f t="shared" si="455"/>
        <v>339</v>
      </c>
      <c r="MN10" s="423">
        <f t="shared" si="456"/>
        <v>340</v>
      </c>
      <c r="MO10" s="423">
        <f t="shared" si="457"/>
        <v>341</v>
      </c>
      <c r="MP10" s="423">
        <f t="shared" ref="MP10" si="644">MO10+1</f>
        <v>342</v>
      </c>
      <c r="MQ10" s="423">
        <f t="shared" ref="MQ10" si="645">MP10+1</f>
        <v>343</v>
      </c>
      <c r="MR10" s="423">
        <f t="shared" ref="MR10" si="646">MQ10+1</f>
        <v>344</v>
      </c>
      <c r="MS10" s="423">
        <f t="shared" si="459"/>
        <v>345</v>
      </c>
      <c r="MT10" s="423">
        <f t="shared" si="460"/>
        <v>346</v>
      </c>
      <c r="MU10" s="423">
        <f t="shared" si="461"/>
        <v>347</v>
      </c>
      <c r="MV10" s="423">
        <f t="shared" si="462"/>
        <v>348</v>
      </c>
      <c r="MW10" s="423">
        <f t="shared" ref="MW10" si="647">MV10+1</f>
        <v>349</v>
      </c>
      <c r="MX10" s="423">
        <f t="shared" ref="MX10" si="648">MW10+1</f>
        <v>350</v>
      </c>
      <c r="MY10" s="423">
        <f t="shared" ref="MY10" si="649">MX10+1</f>
        <v>351</v>
      </c>
      <c r="MZ10" s="423">
        <f t="shared" si="464"/>
        <v>352</v>
      </c>
      <c r="NA10" s="423">
        <f t="shared" si="465"/>
        <v>353</v>
      </c>
      <c r="NB10" s="423">
        <f t="shared" si="466"/>
        <v>354</v>
      </c>
      <c r="NC10" s="423">
        <f t="shared" si="467"/>
        <v>355</v>
      </c>
      <c r="ND10" s="423">
        <f t="shared" ref="ND10" si="650">NC10+1</f>
        <v>356</v>
      </c>
      <c r="NE10" s="423">
        <f t="shared" ref="NE10" si="651">ND10+1</f>
        <v>357</v>
      </c>
      <c r="NF10" s="423">
        <f t="shared" ref="NF10" si="652">NE10+1</f>
        <v>358</v>
      </c>
      <c r="NG10" s="423">
        <f t="shared" si="469"/>
        <v>359</v>
      </c>
      <c r="NH10" s="423">
        <f t="shared" si="470"/>
        <v>360</v>
      </c>
      <c r="NI10" s="423">
        <f t="shared" si="471"/>
        <v>361</v>
      </c>
      <c r="NJ10" s="423">
        <f t="shared" si="472"/>
        <v>362</v>
      </c>
      <c r="NK10" s="423">
        <f t="shared" ref="NK10" si="653">NJ10+1</f>
        <v>363</v>
      </c>
      <c r="NL10" s="423">
        <f t="shared" ref="NL10" si="654">NK10+1</f>
        <v>364</v>
      </c>
      <c r="NM10" s="423">
        <f t="shared" ref="NM10" si="655">NL10+1</f>
        <v>365</v>
      </c>
      <c r="NN10" s="423">
        <f t="shared" si="474"/>
        <v>366</v>
      </c>
      <c r="NO10" s="423">
        <f t="shared" si="475"/>
        <v>367</v>
      </c>
      <c r="NP10" s="423">
        <f t="shared" si="476"/>
        <v>368</v>
      </c>
      <c r="NQ10" s="423">
        <f t="shared" si="477"/>
        <v>369</v>
      </c>
      <c r="NR10" s="423">
        <f t="shared" ref="NR10" si="656">NQ10+1</f>
        <v>370</v>
      </c>
      <c r="NS10" s="423">
        <f t="shared" ref="NS10" si="657">NR10+1</f>
        <v>371</v>
      </c>
    </row>
    <row r="11" spans="2:383" ht="15.75">
      <c r="B11" s="470" t="str">
        <f>MASTER!A5</f>
        <v>DESIGN</v>
      </c>
      <c r="C11" s="470"/>
      <c r="D11" s="471"/>
      <c r="E11" s="472"/>
      <c r="H11" s="435">
        <f>MIN(H12:H19)</f>
        <v>1</v>
      </c>
      <c r="I11" s="435">
        <f>MAX(I12:I19)</f>
        <v>46</v>
      </c>
      <c r="J11" s="475">
        <f>MIN(J12:J19)</f>
        <v>1</v>
      </c>
      <c r="K11" s="475">
        <f>MAX(K12:K19)</f>
        <v>10</v>
      </c>
      <c r="L11" s="30"/>
      <c r="M11" s="425" t="str">
        <f>IF(AND(M$8&gt;$H11,M$8&lt;$I11),"-",IF(M$8=$H11,"I",IF(M$8=$I11,"I","")))</f>
        <v>I</v>
      </c>
      <c r="N11" s="425" t="str">
        <f t="shared" ref="N11:BY11" si="658">IF(AND(N$8&gt;$H11,N$8&lt;$I11),"-",IF(N$8=$H11,"I",IF(N$8=$I11,"I","")))</f>
        <v>-</v>
      </c>
      <c r="O11" s="425" t="str">
        <f t="shared" si="658"/>
        <v>-</v>
      </c>
      <c r="P11" s="425" t="str">
        <f t="shared" si="658"/>
        <v>-</v>
      </c>
      <c r="Q11" s="425" t="str">
        <f t="shared" si="658"/>
        <v>-</v>
      </c>
      <c r="R11" s="439" t="str">
        <f t="shared" si="658"/>
        <v/>
      </c>
      <c r="S11" s="439" t="str">
        <f t="shared" si="658"/>
        <v/>
      </c>
      <c r="T11" s="425" t="str">
        <f t="shared" si="658"/>
        <v>-</v>
      </c>
      <c r="U11" s="425" t="str">
        <f t="shared" si="658"/>
        <v>-</v>
      </c>
      <c r="V11" s="425" t="str">
        <f t="shared" si="658"/>
        <v>-</v>
      </c>
      <c r="W11" s="425" t="str">
        <f t="shared" si="658"/>
        <v>-</v>
      </c>
      <c r="X11" s="425" t="str">
        <f t="shared" si="658"/>
        <v>-</v>
      </c>
      <c r="Y11" s="439" t="str">
        <f t="shared" si="658"/>
        <v/>
      </c>
      <c r="Z11" s="439" t="str">
        <f t="shared" si="658"/>
        <v/>
      </c>
      <c r="AA11" s="425" t="str">
        <f t="shared" si="658"/>
        <v>-</v>
      </c>
      <c r="AB11" s="425" t="str">
        <f t="shared" si="658"/>
        <v>-</v>
      </c>
      <c r="AC11" s="425" t="str">
        <f t="shared" si="658"/>
        <v>-</v>
      </c>
      <c r="AD11" s="425" t="str">
        <f t="shared" si="658"/>
        <v>-</v>
      </c>
      <c r="AE11" s="425" t="str">
        <f t="shared" si="658"/>
        <v>-</v>
      </c>
      <c r="AF11" s="439" t="str">
        <f t="shared" si="658"/>
        <v/>
      </c>
      <c r="AG11" s="439" t="str">
        <f t="shared" si="658"/>
        <v/>
      </c>
      <c r="AH11" s="425" t="str">
        <f t="shared" si="658"/>
        <v>-</v>
      </c>
      <c r="AI11" s="425" t="str">
        <f t="shared" si="658"/>
        <v>-</v>
      </c>
      <c r="AJ11" s="425" t="str">
        <f t="shared" si="658"/>
        <v>-</v>
      </c>
      <c r="AK11" s="425" t="str">
        <f t="shared" si="658"/>
        <v>-</v>
      </c>
      <c r="AL11" s="425" t="str">
        <f t="shared" si="658"/>
        <v>-</v>
      </c>
      <c r="AM11" s="439" t="str">
        <f t="shared" si="658"/>
        <v/>
      </c>
      <c r="AN11" s="439" t="str">
        <f t="shared" si="658"/>
        <v/>
      </c>
      <c r="AO11" s="425" t="str">
        <f t="shared" si="658"/>
        <v>-</v>
      </c>
      <c r="AP11" s="425" t="str">
        <f t="shared" si="658"/>
        <v>-</v>
      </c>
      <c r="AQ11" s="425" t="str">
        <f t="shared" si="658"/>
        <v>-</v>
      </c>
      <c r="AR11" s="425" t="str">
        <f t="shared" si="658"/>
        <v>-</v>
      </c>
      <c r="AS11" s="425" t="str">
        <f t="shared" si="658"/>
        <v>-</v>
      </c>
      <c r="AT11" s="439" t="str">
        <f t="shared" si="658"/>
        <v/>
      </c>
      <c r="AU11" s="439" t="str">
        <f t="shared" si="658"/>
        <v/>
      </c>
      <c r="AV11" s="425" t="str">
        <f t="shared" si="658"/>
        <v>-</v>
      </c>
      <c r="AW11" s="425" t="str">
        <f t="shared" si="658"/>
        <v>-</v>
      </c>
      <c r="AX11" s="425" t="str">
        <f t="shared" si="658"/>
        <v>-</v>
      </c>
      <c r="AY11" s="425" t="str">
        <f t="shared" si="658"/>
        <v>-</v>
      </c>
      <c r="AZ11" s="425" t="str">
        <f t="shared" si="658"/>
        <v>-</v>
      </c>
      <c r="BA11" s="439" t="str">
        <f t="shared" si="658"/>
        <v/>
      </c>
      <c r="BB11" s="439" t="str">
        <f t="shared" si="658"/>
        <v/>
      </c>
      <c r="BC11" s="425" t="str">
        <f t="shared" si="658"/>
        <v>-</v>
      </c>
      <c r="BD11" s="425" t="str">
        <f t="shared" si="658"/>
        <v>-</v>
      </c>
      <c r="BE11" s="425" t="str">
        <f t="shared" si="658"/>
        <v>-</v>
      </c>
      <c r="BF11" s="425" t="str">
        <f t="shared" si="658"/>
        <v>-</v>
      </c>
      <c r="BG11" s="425" t="str">
        <f t="shared" si="658"/>
        <v>-</v>
      </c>
      <c r="BH11" s="439" t="str">
        <f t="shared" si="658"/>
        <v/>
      </c>
      <c r="BI11" s="439" t="str">
        <f t="shared" si="658"/>
        <v/>
      </c>
      <c r="BJ11" s="425" t="str">
        <f t="shared" si="658"/>
        <v>-</v>
      </c>
      <c r="BK11" s="425" t="str">
        <f t="shared" si="658"/>
        <v>-</v>
      </c>
      <c r="BL11" s="425" t="str">
        <f t="shared" si="658"/>
        <v>-</v>
      </c>
      <c r="BM11" s="425" t="str">
        <f t="shared" si="658"/>
        <v>-</v>
      </c>
      <c r="BN11" s="425" t="str">
        <f t="shared" si="658"/>
        <v>-</v>
      </c>
      <c r="BO11" s="439" t="str">
        <f t="shared" si="658"/>
        <v/>
      </c>
      <c r="BP11" s="439" t="str">
        <f t="shared" si="658"/>
        <v/>
      </c>
      <c r="BQ11" s="425" t="str">
        <f t="shared" si="658"/>
        <v>-</v>
      </c>
      <c r="BR11" s="425" t="str">
        <f t="shared" si="658"/>
        <v>-</v>
      </c>
      <c r="BS11" s="425" t="str">
        <f t="shared" si="658"/>
        <v>-</v>
      </c>
      <c r="BT11" s="425" t="str">
        <f t="shared" si="658"/>
        <v>-</v>
      </c>
      <c r="BU11" s="425" t="str">
        <f t="shared" si="658"/>
        <v>-</v>
      </c>
      <c r="BV11" s="439" t="str">
        <f t="shared" si="658"/>
        <v/>
      </c>
      <c r="BW11" s="439" t="str">
        <f t="shared" si="658"/>
        <v/>
      </c>
      <c r="BX11" s="425" t="str">
        <f t="shared" si="658"/>
        <v>I</v>
      </c>
      <c r="BY11" s="425" t="str">
        <f t="shared" si="658"/>
        <v/>
      </c>
      <c r="BZ11" s="425" t="str">
        <f t="shared" ref="BZ11:EK11" si="659">IF(AND(BZ$8&gt;$H11,BZ$8&lt;$I11),"-",IF(BZ$8=$H11,"I",IF(BZ$8=$I11,"I","")))</f>
        <v/>
      </c>
      <c r="CA11" s="425" t="str">
        <f t="shared" si="659"/>
        <v/>
      </c>
      <c r="CB11" s="425" t="str">
        <f t="shared" si="659"/>
        <v/>
      </c>
      <c r="CC11" s="439" t="str">
        <f t="shared" si="659"/>
        <v/>
      </c>
      <c r="CD11" s="439" t="str">
        <f t="shared" si="659"/>
        <v/>
      </c>
      <c r="CE11" s="425" t="str">
        <f t="shared" si="659"/>
        <v/>
      </c>
      <c r="CF11" s="425" t="str">
        <f t="shared" si="659"/>
        <v/>
      </c>
      <c r="CG11" s="425" t="str">
        <f t="shared" si="659"/>
        <v/>
      </c>
      <c r="CH11" s="425" t="str">
        <f t="shared" si="659"/>
        <v/>
      </c>
      <c r="CI11" s="425" t="str">
        <f t="shared" si="659"/>
        <v/>
      </c>
      <c r="CJ11" s="439" t="str">
        <f t="shared" si="659"/>
        <v/>
      </c>
      <c r="CK11" s="439" t="str">
        <f t="shared" si="659"/>
        <v/>
      </c>
      <c r="CL11" s="425" t="str">
        <f t="shared" si="659"/>
        <v/>
      </c>
      <c r="CM11" s="425" t="str">
        <f t="shared" si="659"/>
        <v/>
      </c>
      <c r="CN11" s="425" t="str">
        <f t="shared" si="659"/>
        <v/>
      </c>
      <c r="CO11" s="425" t="str">
        <f t="shared" si="659"/>
        <v/>
      </c>
      <c r="CP11" s="425" t="str">
        <f t="shared" si="659"/>
        <v/>
      </c>
      <c r="CQ11" s="439" t="str">
        <f t="shared" si="659"/>
        <v/>
      </c>
      <c r="CR11" s="439" t="str">
        <f t="shared" si="659"/>
        <v/>
      </c>
      <c r="CS11" s="425" t="str">
        <f t="shared" si="659"/>
        <v/>
      </c>
      <c r="CT11" s="425" t="str">
        <f t="shared" si="659"/>
        <v/>
      </c>
      <c r="CU11" s="425" t="str">
        <f t="shared" si="659"/>
        <v/>
      </c>
      <c r="CV11" s="425" t="str">
        <f t="shared" si="659"/>
        <v/>
      </c>
      <c r="CW11" s="425" t="str">
        <f t="shared" si="659"/>
        <v/>
      </c>
      <c r="CX11" s="439" t="str">
        <f t="shared" si="659"/>
        <v/>
      </c>
      <c r="CY11" s="439" t="str">
        <f t="shared" si="659"/>
        <v/>
      </c>
      <c r="CZ11" s="425" t="str">
        <f t="shared" si="659"/>
        <v/>
      </c>
      <c r="DA11" s="425" t="str">
        <f t="shared" si="659"/>
        <v/>
      </c>
      <c r="DB11" s="425" t="str">
        <f t="shared" si="659"/>
        <v/>
      </c>
      <c r="DC11" s="425" t="str">
        <f t="shared" si="659"/>
        <v/>
      </c>
      <c r="DD11" s="425" t="str">
        <f t="shared" si="659"/>
        <v/>
      </c>
      <c r="DE11" s="439" t="str">
        <f t="shared" si="659"/>
        <v/>
      </c>
      <c r="DF11" s="439" t="str">
        <f t="shared" si="659"/>
        <v/>
      </c>
      <c r="DG11" s="425" t="str">
        <f t="shared" si="659"/>
        <v/>
      </c>
      <c r="DH11" s="425" t="str">
        <f t="shared" si="659"/>
        <v/>
      </c>
      <c r="DI11" s="425" t="str">
        <f t="shared" si="659"/>
        <v/>
      </c>
      <c r="DJ11" s="425" t="str">
        <f t="shared" si="659"/>
        <v/>
      </c>
      <c r="DK11" s="425" t="str">
        <f t="shared" si="659"/>
        <v/>
      </c>
      <c r="DL11" s="439" t="str">
        <f t="shared" si="659"/>
        <v/>
      </c>
      <c r="DM11" s="439" t="str">
        <f t="shared" si="659"/>
        <v/>
      </c>
      <c r="DN11" s="425" t="str">
        <f t="shared" si="659"/>
        <v/>
      </c>
      <c r="DO11" s="425" t="str">
        <f t="shared" si="659"/>
        <v/>
      </c>
      <c r="DP11" s="425" t="str">
        <f t="shared" si="659"/>
        <v/>
      </c>
      <c r="DQ11" s="425" t="str">
        <f t="shared" si="659"/>
        <v/>
      </c>
      <c r="DR11" s="425" t="str">
        <f t="shared" si="659"/>
        <v/>
      </c>
      <c r="DS11" s="439" t="str">
        <f t="shared" si="659"/>
        <v/>
      </c>
      <c r="DT11" s="439" t="str">
        <f t="shared" si="659"/>
        <v/>
      </c>
      <c r="DU11" s="425" t="str">
        <f t="shared" si="659"/>
        <v/>
      </c>
      <c r="DV11" s="425" t="str">
        <f t="shared" si="659"/>
        <v/>
      </c>
      <c r="DW11" s="425" t="str">
        <f t="shared" si="659"/>
        <v/>
      </c>
      <c r="DX11" s="425" t="str">
        <f t="shared" si="659"/>
        <v/>
      </c>
      <c r="DY11" s="425" t="str">
        <f t="shared" si="659"/>
        <v/>
      </c>
      <c r="DZ11" s="439" t="str">
        <f t="shared" si="659"/>
        <v/>
      </c>
      <c r="EA11" s="439" t="str">
        <f t="shared" si="659"/>
        <v/>
      </c>
      <c r="EB11" s="425" t="str">
        <f t="shared" si="659"/>
        <v/>
      </c>
      <c r="EC11" s="425" t="str">
        <f t="shared" si="659"/>
        <v/>
      </c>
      <c r="ED11" s="425" t="str">
        <f t="shared" si="659"/>
        <v/>
      </c>
      <c r="EE11" s="425" t="str">
        <f t="shared" si="659"/>
        <v/>
      </c>
      <c r="EF11" s="425" t="str">
        <f t="shared" si="659"/>
        <v/>
      </c>
      <c r="EG11" s="439" t="str">
        <f t="shared" si="659"/>
        <v/>
      </c>
      <c r="EH11" s="439" t="str">
        <f t="shared" si="659"/>
        <v/>
      </c>
      <c r="EI11" s="425" t="str">
        <f t="shared" si="659"/>
        <v/>
      </c>
      <c r="EJ11" s="425" t="str">
        <f t="shared" si="659"/>
        <v/>
      </c>
      <c r="EK11" s="425" t="str">
        <f t="shared" si="659"/>
        <v/>
      </c>
      <c r="EL11" s="425" t="str">
        <f t="shared" ref="EL11:GW11" si="660">IF(AND(EL$8&gt;$H11,EL$8&lt;$I11),"-",IF(EL$8=$H11,"I",IF(EL$8=$I11,"I","")))</f>
        <v/>
      </c>
      <c r="EM11" s="425" t="str">
        <f t="shared" si="660"/>
        <v/>
      </c>
      <c r="EN11" s="439" t="str">
        <f t="shared" si="660"/>
        <v/>
      </c>
      <c r="EO11" s="439" t="str">
        <f t="shared" si="660"/>
        <v/>
      </c>
      <c r="EP11" s="425" t="str">
        <f t="shared" si="660"/>
        <v/>
      </c>
      <c r="EQ11" s="425" t="str">
        <f t="shared" si="660"/>
        <v/>
      </c>
      <c r="ER11" s="425" t="str">
        <f t="shared" si="660"/>
        <v/>
      </c>
      <c r="ES11" s="425" t="str">
        <f t="shared" si="660"/>
        <v/>
      </c>
      <c r="ET11" s="425" t="str">
        <f t="shared" si="660"/>
        <v/>
      </c>
      <c r="EU11" s="439" t="str">
        <f t="shared" si="660"/>
        <v/>
      </c>
      <c r="EV11" s="439" t="str">
        <f t="shared" si="660"/>
        <v/>
      </c>
      <c r="EW11" s="425" t="str">
        <f t="shared" si="660"/>
        <v/>
      </c>
      <c r="EX11" s="425" t="str">
        <f t="shared" si="660"/>
        <v/>
      </c>
      <c r="EY11" s="425" t="str">
        <f t="shared" si="660"/>
        <v/>
      </c>
      <c r="EZ11" s="425" t="str">
        <f t="shared" si="660"/>
        <v/>
      </c>
      <c r="FA11" s="425" t="str">
        <f t="shared" si="660"/>
        <v/>
      </c>
      <c r="FB11" s="439" t="str">
        <f t="shared" si="660"/>
        <v/>
      </c>
      <c r="FC11" s="439" t="str">
        <f t="shared" si="660"/>
        <v/>
      </c>
      <c r="FD11" s="425" t="str">
        <f t="shared" si="660"/>
        <v/>
      </c>
      <c r="FE11" s="425" t="str">
        <f t="shared" si="660"/>
        <v/>
      </c>
      <c r="FF11" s="425" t="str">
        <f t="shared" si="660"/>
        <v/>
      </c>
      <c r="FG11" s="425" t="str">
        <f t="shared" si="660"/>
        <v/>
      </c>
      <c r="FH11" s="425" t="str">
        <f t="shared" si="660"/>
        <v/>
      </c>
      <c r="FI11" s="439" t="str">
        <f t="shared" si="660"/>
        <v/>
      </c>
      <c r="FJ11" s="439" t="str">
        <f t="shared" si="660"/>
        <v/>
      </c>
      <c r="FK11" s="425" t="str">
        <f t="shared" si="660"/>
        <v/>
      </c>
      <c r="FL11" s="425" t="str">
        <f t="shared" si="660"/>
        <v/>
      </c>
      <c r="FM11" s="425" t="str">
        <f t="shared" si="660"/>
        <v/>
      </c>
      <c r="FN11" s="425" t="str">
        <f t="shared" si="660"/>
        <v/>
      </c>
      <c r="FO11" s="425" t="str">
        <f t="shared" si="660"/>
        <v/>
      </c>
      <c r="FP11" s="439" t="str">
        <f t="shared" si="660"/>
        <v/>
      </c>
      <c r="FQ11" s="439" t="str">
        <f t="shared" si="660"/>
        <v/>
      </c>
      <c r="FR11" s="425" t="str">
        <f t="shared" si="660"/>
        <v/>
      </c>
      <c r="FS11" s="425" t="str">
        <f t="shared" si="660"/>
        <v/>
      </c>
      <c r="FT11" s="425" t="str">
        <f t="shared" si="660"/>
        <v/>
      </c>
      <c r="FU11" s="425" t="str">
        <f t="shared" si="660"/>
        <v/>
      </c>
      <c r="FV11" s="425" t="str">
        <f t="shared" si="660"/>
        <v/>
      </c>
      <c r="FW11" s="439" t="str">
        <f t="shared" si="660"/>
        <v/>
      </c>
      <c r="FX11" s="439" t="str">
        <f t="shared" si="660"/>
        <v/>
      </c>
      <c r="FY11" s="425" t="str">
        <f t="shared" si="660"/>
        <v/>
      </c>
      <c r="FZ11" s="425" t="str">
        <f t="shared" si="660"/>
        <v/>
      </c>
      <c r="GA11" s="425" t="str">
        <f t="shared" si="660"/>
        <v/>
      </c>
      <c r="GB11" s="425" t="str">
        <f t="shared" si="660"/>
        <v/>
      </c>
      <c r="GC11" s="425" t="str">
        <f t="shared" si="660"/>
        <v/>
      </c>
      <c r="GD11" s="439" t="str">
        <f t="shared" si="660"/>
        <v/>
      </c>
      <c r="GE11" s="439" t="str">
        <f t="shared" si="660"/>
        <v/>
      </c>
      <c r="GF11" s="425" t="str">
        <f t="shared" si="660"/>
        <v/>
      </c>
      <c r="GG11" s="425" t="str">
        <f t="shared" si="660"/>
        <v/>
      </c>
      <c r="GH11" s="425" t="str">
        <f t="shared" si="660"/>
        <v/>
      </c>
      <c r="GI11" s="425" t="str">
        <f t="shared" si="660"/>
        <v/>
      </c>
      <c r="GJ11" s="425" t="str">
        <f t="shared" si="660"/>
        <v/>
      </c>
      <c r="GK11" s="439" t="str">
        <f t="shared" si="660"/>
        <v/>
      </c>
      <c r="GL11" s="439" t="str">
        <f t="shared" si="660"/>
        <v/>
      </c>
      <c r="GM11" s="425" t="str">
        <f t="shared" si="660"/>
        <v/>
      </c>
      <c r="GN11" s="425" t="str">
        <f t="shared" si="660"/>
        <v/>
      </c>
      <c r="GO11" s="425" t="str">
        <f t="shared" si="660"/>
        <v/>
      </c>
      <c r="GP11" s="425" t="str">
        <f t="shared" si="660"/>
        <v/>
      </c>
      <c r="GQ11" s="425" t="str">
        <f t="shared" si="660"/>
        <v/>
      </c>
      <c r="GR11" s="439" t="str">
        <f t="shared" si="660"/>
        <v/>
      </c>
      <c r="GS11" s="439" t="str">
        <f t="shared" si="660"/>
        <v/>
      </c>
      <c r="GT11" s="425" t="str">
        <f t="shared" si="660"/>
        <v/>
      </c>
      <c r="GU11" s="425" t="str">
        <f t="shared" si="660"/>
        <v/>
      </c>
      <c r="GV11" s="425" t="str">
        <f t="shared" si="660"/>
        <v/>
      </c>
      <c r="GW11" s="425" t="str">
        <f t="shared" si="660"/>
        <v/>
      </c>
      <c r="GX11" s="425" t="str">
        <f t="shared" ref="GX11:JI11" si="661">IF(AND(GX$8&gt;$H11,GX$8&lt;$I11),"-",IF(GX$8=$H11,"I",IF(GX$8=$I11,"I","")))</f>
        <v/>
      </c>
      <c r="GY11" s="439" t="str">
        <f t="shared" si="661"/>
        <v/>
      </c>
      <c r="GZ11" s="439" t="str">
        <f t="shared" si="661"/>
        <v/>
      </c>
      <c r="HA11" s="425" t="str">
        <f t="shared" si="661"/>
        <v/>
      </c>
      <c r="HB11" s="425" t="str">
        <f t="shared" si="661"/>
        <v/>
      </c>
      <c r="HC11" s="425" t="str">
        <f t="shared" si="661"/>
        <v/>
      </c>
      <c r="HD11" s="425" t="str">
        <f t="shared" si="661"/>
        <v/>
      </c>
      <c r="HE11" s="425" t="str">
        <f t="shared" si="661"/>
        <v/>
      </c>
      <c r="HF11" s="439" t="str">
        <f t="shared" si="661"/>
        <v/>
      </c>
      <c r="HG11" s="439" t="str">
        <f t="shared" si="661"/>
        <v/>
      </c>
      <c r="HH11" s="425" t="str">
        <f t="shared" si="661"/>
        <v/>
      </c>
      <c r="HI11" s="425" t="str">
        <f t="shared" si="661"/>
        <v/>
      </c>
      <c r="HJ11" s="425" t="str">
        <f t="shared" si="661"/>
        <v/>
      </c>
      <c r="HK11" s="425" t="str">
        <f t="shared" si="661"/>
        <v/>
      </c>
      <c r="HL11" s="425" t="str">
        <f t="shared" si="661"/>
        <v/>
      </c>
      <c r="HM11" s="439" t="str">
        <f t="shared" si="661"/>
        <v/>
      </c>
      <c r="HN11" s="439" t="str">
        <f t="shared" si="661"/>
        <v/>
      </c>
      <c r="HO11" s="425" t="str">
        <f t="shared" si="661"/>
        <v/>
      </c>
      <c r="HP11" s="425" t="str">
        <f t="shared" si="661"/>
        <v/>
      </c>
      <c r="HQ11" s="425" t="str">
        <f t="shared" si="661"/>
        <v/>
      </c>
      <c r="HR11" s="425" t="str">
        <f t="shared" si="661"/>
        <v/>
      </c>
      <c r="HS11" s="425" t="str">
        <f t="shared" si="661"/>
        <v/>
      </c>
      <c r="HT11" s="439" t="str">
        <f t="shared" si="661"/>
        <v/>
      </c>
      <c r="HU11" s="439" t="str">
        <f t="shared" si="661"/>
        <v/>
      </c>
      <c r="HV11" s="425" t="str">
        <f t="shared" si="661"/>
        <v/>
      </c>
      <c r="HW11" s="425" t="str">
        <f t="shared" si="661"/>
        <v/>
      </c>
      <c r="HX11" s="425" t="str">
        <f t="shared" si="661"/>
        <v/>
      </c>
      <c r="HY11" s="425" t="str">
        <f t="shared" si="661"/>
        <v/>
      </c>
      <c r="HZ11" s="425" t="str">
        <f t="shared" si="661"/>
        <v/>
      </c>
      <c r="IA11" s="439" t="str">
        <f t="shared" si="661"/>
        <v/>
      </c>
      <c r="IB11" s="439" t="str">
        <f t="shared" si="661"/>
        <v/>
      </c>
      <c r="IC11" s="425" t="str">
        <f t="shared" si="661"/>
        <v/>
      </c>
      <c r="ID11" s="425" t="str">
        <f t="shared" si="661"/>
        <v/>
      </c>
      <c r="IE11" s="425" t="str">
        <f t="shared" si="661"/>
        <v/>
      </c>
      <c r="IF11" s="425" t="str">
        <f t="shared" si="661"/>
        <v/>
      </c>
      <c r="IG11" s="425" t="str">
        <f t="shared" si="661"/>
        <v/>
      </c>
      <c r="IH11" s="439" t="str">
        <f t="shared" si="661"/>
        <v/>
      </c>
      <c r="II11" s="439" t="str">
        <f t="shared" si="661"/>
        <v/>
      </c>
      <c r="IJ11" s="425" t="str">
        <f t="shared" si="661"/>
        <v/>
      </c>
      <c r="IK11" s="425" t="str">
        <f t="shared" si="661"/>
        <v/>
      </c>
      <c r="IL11" s="425" t="str">
        <f t="shared" si="661"/>
        <v/>
      </c>
      <c r="IM11" s="425" t="str">
        <f t="shared" si="661"/>
        <v/>
      </c>
      <c r="IN11" s="425" t="str">
        <f t="shared" si="661"/>
        <v/>
      </c>
      <c r="IO11" s="439" t="str">
        <f t="shared" si="661"/>
        <v/>
      </c>
      <c r="IP11" s="439" t="str">
        <f t="shared" si="661"/>
        <v/>
      </c>
      <c r="IQ11" s="425" t="str">
        <f t="shared" si="661"/>
        <v/>
      </c>
      <c r="IR11" s="425" t="str">
        <f t="shared" si="661"/>
        <v/>
      </c>
      <c r="IS11" s="425" t="str">
        <f t="shared" si="661"/>
        <v/>
      </c>
      <c r="IT11" s="425" t="str">
        <f t="shared" si="661"/>
        <v/>
      </c>
      <c r="IU11" s="425" t="str">
        <f t="shared" si="661"/>
        <v/>
      </c>
      <c r="IV11" s="439" t="str">
        <f t="shared" si="661"/>
        <v/>
      </c>
      <c r="IW11" s="439" t="str">
        <f t="shared" si="661"/>
        <v/>
      </c>
      <c r="IX11" s="425" t="str">
        <f t="shared" si="661"/>
        <v/>
      </c>
      <c r="IY11" s="425" t="str">
        <f t="shared" si="661"/>
        <v/>
      </c>
      <c r="IZ11" s="425" t="str">
        <f t="shared" si="661"/>
        <v/>
      </c>
      <c r="JA11" s="425" t="str">
        <f t="shared" si="661"/>
        <v/>
      </c>
      <c r="JB11" s="425" t="str">
        <f t="shared" si="661"/>
        <v/>
      </c>
      <c r="JC11" s="439" t="str">
        <f t="shared" si="661"/>
        <v/>
      </c>
      <c r="JD11" s="439" t="str">
        <f t="shared" si="661"/>
        <v/>
      </c>
      <c r="JE11" s="425" t="str">
        <f t="shared" si="661"/>
        <v/>
      </c>
      <c r="JF11" s="425" t="str">
        <f t="shared" si="661"/>
        <v/>
      </c>
      <c r="JG11" s="425" t="str">
        <f t="shared" si="661"/>
        <v/>
      </c>
      <c r="JH11" s="425" t="str">
        <f t="shared" si="661"/>
        <v/>
      </c>
      <c r="JI11" s="425" t="str">
        <f t="shared" si="661"/>
        <v/>
      </c>
      <c r="JJ11" s="439" t="str">
        <f t="shared" ref="JJ11:LU11" si="662">IF(AND(JJ$8&gt;$H11,JJ$8&lt;$I11),"-",IF(JJ$8=$H11,"I",IF(JJ$8=$I11,"I","")))</f>
        <v/>
      </c>
      <c r="JK11" s="439" t="str">
        <f t="shared" si="662"/>
        <v/>
      </c>
      <c r="JL11" s="425" t="str">
        <f t="shared" si="662"/>
        <v/>
      </c>
      <c r="JM11" s="425" t="str">
        <f t="shared" si="662"/>
        <v/>
      </c>
      <c r="JN11" s="425" t="str">
        <f t="shared" si="662"/>
        <v/>
      </c>
      <c r="JO11" s="425" t="str">
        <f t="shared" si="662"/>
        <v/>
      </c>
      <c r="JP11" s="425" t="str">
        <f t="shared" si="662"/>
        <v/>
      </c>
      <c r="JQ11" s="439" t="str">
        <f t="shared" si="662"/>
        <v/>
      </c>
      <c r="JR11" s="439" t="str">
        <f t="shared" si="662"/>
        <v/>
      </c>
      <c r="JS11" s="425" t="str">
        <f t="shared" si="662"/>
        <v/>
      </c>
      <c r="JT11" s="425" t="str">
        <f t="shared" si="662"/>
        <v/>
      </c>
      <c r="JU11" s="425" t="str">
        <f t="shared" si="662"/>
        <v/>
      </c>
      <c r="JV11" s="425" t="str">
        <f t="shared" si="662"/>
        <v/>
      </c>
      <c r="JW11" s="425" t="str">
        <f t="shared" si="662"/>
        <v/>
      </c>
      <c r="JX11" s="439" t="str">
        <f t="shared" si="662"/>
        <v/>
      </c>
      <c r="JY11" s="439" t="str">
        <f t="shared" si="662"/>
        <v/>
      </c>
      <c r="JZ11" s="425" t="str">
        <f t="shared" si="662"/>
        <v/>
      </c>
      <c r="KA11" s="425" t="str">
        <f t="shared" si="662"/>
        <v/>
      </c>
      <c r="KB11" s="425" t="str">
        <f t="shared" si="662"/>
        <v/>
      </c>
      <c r="KC11" s="425" t="str">
        <f t="shared" si="662"/>
        <v/>
      </c>
      <c r="KD11" s="425" t="str">
        <f t="shared" si="662"/>
        <v/>
      </c>
      <c r="KE11" s="439" t="str">
        <f t="shared" si="662"/>
        <v/>
      </c>
      <c r="KF11" s="439" t="str">
        <f t="shared" si="662"/>
        <v/>
      </c>
      <c r="KG11" s="425" t="str">
        <f t="shared" si="662"/>
        <v/>
      </c>
      <c r="KH11" s="425" t="str">
        <f t="shared" si="662"/>
        <v/>
      </c>
      <c r="KI11" s="425" t="str">
        <f t="shared" si="662"/>
        <v/>
      </c>
      <c r="KJ11" s="425" t="str">
        <f t="shared" si="662"/>
        <v/>
      </c>
      <c r="KK11" s="425" t="str">
        <f t="shared" si="662"/>
        <v/>
      </c>
      <c r="KL11" s="439" t="str">
        <f t="shared" si="662"/>
        <v/>
      </c>
      <c r="KM11" s="439" t="str">
        <f t="shared" si="662"/>
        <v/>
      </c>
      <c r="KN11" s="425" t="str">
        <f t="shared" si="662"/>
        <v/>
      </c>
      <c r="KO11" s="425" t="str">
        <f t="shared" si="662"/>
        <v/>
      </c>
      <c r="KP11" s="425" t="str">
        <f t="shared" si="662"/>
        <v/>
      </c>
      <c r="KQ11" s="425" t="str">
        <f t="shared" si="662"/>
        <v/>
      </c>
      <c r="KR11" s="425" t="str">
        <f t="shared" si="662"/>
        <v/>
      </c>
      <c r="KS11" s="439" t="str">
        <f t="shared" si="662"/>
        <v/>
      </c>
      <c r="KT11" s="439" t="str">
        <f t="shared" si="662"/>
        <v/>
      </c>
      <c r="KU11" s="425" t="str">
        <f t="shared" si="662"/>
        <v/>
      </c>
      <c r="KV11" s="425" t="str">
        <f t="shared" si="662"/>
        <v/>
      </c>
      <c r="KW11" s="425" t="str">
        <f t="shared" si="662"/>
        <v/>
      </c>
      <c r="KX11" s="425" t="str">
        <f t="shared" si="662"/>
        <v/>
      </c>
      <c r="KY11" s="425" t="str">
        <f t="shared" si="662"/>
        <v/>
      </c>
      <c r="KZ11" s="439" t="str">
        <f t="shared" si="662"/>
        <v/>
      </c>
      <c r="LA11" s="439" t="str">
        <f t="shared" si="662"/>
        <v/>
      </c>
      <c r="LB11" s="425" t="str">
        <f t="shared" si="662"/>
        <v/>
      </c>
      <c r="LC11" s="425" t="str">
        <f t="shared" si="662"/>
        <v/>
      </c>
      <c r="LD11" s="425" t="str">
        <f t="shared" si="662"/>
        <v/>
      </c>
      <c r="LE11" s="425" t="str">
        <f t="shared" si="662"/>
        <v/>
      </c>
      <c r="LF11" s="425" t="str">
        <f t="shared" si="662"/>
        <v/>
      </c>
      <c r="LG11" s="439" t="str">
        <f t="shared" si="662"/>
        <v/>
      </c>
      <c r="LH11" s="439" t="str">
        <f t="shared" si="662"/>
        <v/>
      </c>
      <c r="LI11" s="425" t="str">
        <f t="shared" si="662"/>
        <v/>
      </c>
      <c r="LJ11" s="425" t="str">
        <f t="shared" si="662"/>
        <v/>
      </c>
      <c r="LK11" s="425" t="str">
        <f t="shared" si="662"/>
        <v/>
      </c>
      <c r="LL11" s="425" t="str">
        <f t="shared" si="662"/>
        <v/>
      </c>
      <c r="LM11" s="425" t="str">
        <f t="shared" si="662"/>
        <v/>
      </c>
      <c r="LN11" s="439" t="str">
        <f t="shared" si="662"/>
        <v/>
      </c>
      <c r="LO11" s="439" t="str">
        <f t="shared" si="662"/>
        <v/>
      </c>
      <c r="LP11" s="425" t="str">
        <f t="shared" si="662"/>
        <v/>
      </c>
      <c r="LQ11" s="425" t="str">
        <f t="shared" si="662"/>
        <v/>
      </c>
      <c r="LR11" s="425" t="str">
        <f t="shared" si="662"/>
        <v/>
      </c>
      <c r="LS11" s="425" t="str">
        <f t="shared" si="662"/>
        <v/>
      </c>
      <c r="LT11" s="425" t="str">
        <f t="shared" si="662"/>
        <v/>
      </c>
      <c r="LU11" s="439" t="str">
        <f t="shared" si="662"/>
        <v/>
      </c>
      <c r="LV11" s="439" t="str">
        <f t="shared" ref="LV11:NS11" si="663">IF(AND(LV$8&gt;$H11,LV$8&lt;$I11),"-",IF(LV$8=$H11,"I",IF(LV$8=$I11,"I","")))</f>
        <v/>
      </c>
      <c r="LW11" s="425" t="str">
        <f t="shared" si="663"/>
        <v/>
      </c>
      <c r="LX11" s="425" t="str">
        <f t="shared" si="663"/>
        <v/>
      </c>
      <c r="LY11" s="425" t="str">
        <f t="shared" si="663"/>
        <v/>
      </c>
      <c r="LZ11" s="425" t="str">
        <f t="shared" si="663"/>
        <v/>
      </c>
      <c r="MA11" s="425" t="str">
        <f t="shared" si="663"/>
        <v/>
      </c>
      <c r="MB11" s="439" t="str">
        <f t="shared" si="663"/>
        <v/>
      </c>
      <c r="MC11" s="439" t="str">
        <f t="shared" si="663"/>
        <v/>
      </c>
      <c r="MD11" s="425" t="str">
        <f t="shared" si="663"/>
        <v/>
      </c>
      <c r="ME11" s="425" t="str">
        <f t="shared" si="663"/>
        <v/>
      </c>
      <c r="MF11" s="425" t="str">
        <f t="shared" si="663"/>
        <v/>
      </c>
      <c r="MG11" s="425" t="str">
        <f t="shared" si="663"/>
        <v/>
      </c>
      <c r="MH11" s="425" t="str">
        <f t="shared" si="663"/>
        <v/>
      </c>
      <c r="MI11" s="439" t="str">
        <f t="shared" si="663"/>
        <v/>
      </c>
      <c r="MJ11" s="439" t="str">
        <f t="shared" si="663"/>
        <v/>
      </c>
      <c r="MK11" s="425" t="str">
        <f t="shared" si="663"/>
        <v/>
      </c>
      <c r="ML11" s="425" t="str">
        <f t="shared" si="663"/>
        <v/>
      </c>
      <c r="MM11" s="425" t="str">
        <f t="shared" si="663"/>
        <v/>
      </c>
      <c r="MN11" s="425" t="str">
        <f t="shared" si="663"/>
        <v/>
      </c>
      <c r="MO11" s="425" t="str">
        <f t="shared" si="663"/>
        <v/>
      </c>
      <c r="MP11" s="439" t="str">
        <f t="shared" si="663"/>
        <v/>
      </c>
      <c r="MQ11" s="439" t="str">
        <f t="shared" si="663"/>
        <v/>
      </c>
      <c r="MR11" s="425" t="str">
        <f t="shared" si="663"/>
        <v/>
      </c>
      <c r="MS11" s="425" t="str">
        <f t="shared" si="663"/>
        <v/>
      </c>
      <c r="MT11" s="425" t="str">
        <f t="shared" si="663"/>
        <v/>
      </c>
      <c r="MU11" s="425" t="str">
        <f t="shared" si="663"/>
        <v/>
      </c>
      <c r="MV11" s="425" t="str">
        <f t="shared" si="663"/>
        <v/>
      </c>
      <c r="MW11" s="439" t="str">
        <f t="shared" si="663"/>
        <v/>
      </c>
      <c r="MX11" s="439" t="str">
        <f t="shared" si="663"/>
        <v/>
      </c>
      <c r="MY11" s="425" t="str">
        <f t="shared" si="663"/>
        <v/>
      </c>
      <c r="MZ11" s="425" t="str">
        <f t="shared" si="663"/>
        <v/>
      </c>
      <c r="NA11" s="425" t="str">
        <f t="shared" si="663"/>
        <v/>
      </c>
      <c r="NB11" s="425" t="str">
        <f t="shared" si="663"/>
        <v/>
      </c>
      <c r="NC11" s="425" t="str">
        <f t="shared" si="663"/>
        <v/>
      </c>
      <c r="ND11" s="439" t="str">
        <f t="shared" si="663"/>
        <v/>
      </c>
      <c r="NE11" s="439" t="str">
        <f t="shared" si="663"/>
        <v/>
      </c>
      <c r="NF11" s="425" t="str">
        <f t="shared" si="663"/>
        <v/>
      </c>
      <c r="NG11" s="425" t="str">
        <f t="shared" si="663"/>
        <v/>
      </c>
      <c r="NH11" s="425" t="str">
        <f t="shared" si="663"/>
        <v/>
      </c>
      <c r="NI11" s="425" t="str">
        <f t="shared" si="663"/>
        <v/>
      </c>
      <c r="NJ11" s="425" t="str">
        <f t="shared" si="663"/>
        <v/>
      </c>
      <c r="NK11" s="439" t="str">
        <f t="shared" si="663"/>
        <v/>
      </c>
      <c r="NL11" s="439" t="str">
        <f t="shared" si="663"/>
        <v/>
      </c>
      <c r="NM11" s="425" t="str">
        <f t="shared" si="663"/>
        <v/>
      </c>
      <c r="NN11" s="425" t="str">
        <f t="shared" si="663"/>
        <v/>
      </c>
      <c r="NO11" s="425" t="str">
        <f t="shared" si="663"/>
        <v/>
      </c>
      <c r="NP11" s="425" t="str">
        <f t="shared" si="663"/>
        <v/>
      </c>
      <c r="NQ11" s="425" t="str">
        <f t="shared" si="663"/>
        <v/>
      </c>
      <c r="NR11" s="439" t="str">
        <f t="shared" si="663"/>
        <v/>
      </c>
      <c r="NS11" s="439" t="str">
        <f t="shared" si="663"/>
        <v/>
      </c>
    </row>
    <row r="12" spans="2:383">
      <c r="B12" s="543" t="str">
        <f>MASTER!B5</f>
        <v>Technical Review</v>
      </c>
      <c r="C12" s="543"/>
      <c r="D12" s="424" t="s">
        <v>123</v>
      </c>
      <c r="E12" s="434">
        <f>MASTER!C5/REPORT!$H$36</f>
        <v>1.1428571428571428</v>
      </c>
      <c r="H12" s="434">
        <v>1</v>
      </c>
      <c r="I12" s="434">
        <f t="shared" ref="I12" si="664">ROUND(H12+E12-1,0)</f>
        <v>1</v>
      </c>
      <c r="J12" s="468" cm="1">
        <f t="array" ref="J12">IF(GANTT_D!$E12&lt;&gt;0,INDEX($M$7:$NT$7,,MATCH(H12,$M$8:$NT$8,0)),"")</f>
        <v>1</v>
      </c>
      <c r="K12" s="468" cm="1">
        <f t="array" ref="K12">IF(GANTT_D!$E12&lt;&gt;0,INDEX($M$7:$NT$7,,MATCH(I12,$M$8:$NT$8,0)),"")</f>
        <v>1</v>
      </c>
      <c r="L12" s="424"/>
      <c r="M12" s="425"/>
      <c r="N12" s="425"/>
      <c r="O12" s="425"/>
      <c r="P12" s="425"/>
      <c r="Q12" s="425"/>
      <c r="R12" s="439"/>
      <c r="S12" s="439"/>
      <c r="T12" s="425"/>
      <c r="U12" s="425"/>
      <c r="V12" s="425"/>
      <c r="W12" s="425"/>
      <c r="X12" s="425"/>
      <c r="Y12" s="439"/>
      <c r="Z12" s="439"/>
      <c r="AA12" s="425"/>
      <c r="AB12" s="425"/>
      <c r="AC12" s="425"/>
      <c r="AD12" s="425"/>
      <c r="AE12" s="425"/>
      <c r="AF12" s="439"/>
      <c r="AG12" s="439"/>
      <c r="AH12" s="425"/>
      <c r="AI12" s="425"/>
      <c r="AJ12" s="425"/>
      <c r="AK12" s="425"/>
      <c r="AL12" s="425"/>
      <c r="AM12" s="439"/>
      <c r="AN12" s="439"/>
      <c r="AO12" s="425"/>
      <c r="AP12" s="425"/>
      <c r="AQ12" s="425"/>
      <c r="AR12" s="425"/>
      <c r="AS12" s="425"/>
      <c r="AT12" s="439"/>
      <c r="AU12" s="439"/>
      <c r="AV12" s="425"/>
      <c r="AW12" s="425"/>
      <c r="AX12" s="425"/>
      <c r="AY12" s="425"/>
      <c r="AZ12" s="425"/>
      <c r="BA12" s="439"/>
      <c r="BB12" s="439"/>
      <c r="BC12" s="425"/>
      <c r="BD12" s="425"/>
      <c r="BE12" s="425"/>
      <c r="BF12" s="425"/>
      <c r="BG12" s="425"/>
      <c r="BH12" s="439"/>
      <c r="BI12" s="439"/>
      <c r="BJ12" s="425"/>
      <c r="BK12" s="425"/>
      <c r="BL12" s="425"/>
      <c r="BM12" s="425"/>
      <c r="BN12" s="425"/>
      <c r="BO12" s="439"/>
      <c r="BP12" s="439"/>
      <c r="BQ12" s="425"/>
      <c r="BR12" s="425"/>
      <c r="BS12" s="425"/>
      <c r="BT12" s="425"/>
      <c r="BU12" s="425"/>
      <c r="BV12" s="439"/>
      <c r="BW12" s="439"/>
      <c r="BX12" s="425"/>
      <c r="BY12" s="425"/>
      <c r="BZ12" s="425"/>
      <c r="CA12" s="425"/>
      <c r="CB12" s="425"/>
      <c r="CC12" s="439"/>
      <c r="CD12" s="439"/>
      <c r="CE12" s="425"/>
      <c r="CF12" s="425"/>
      <c r="CG12" s="425"/>
      <c r="CH12" s="425"/>
      <c r="CI12" s="425"/>
      <c r="CJ12" s="439"/>
      <c r="CK12" s="439"/>
      <c r="CL12" s="425"/>
      <c r="CM12" s="425"/>
      <c r="CN12" s="425"/>
      <c r="CO12" s="425"/>
      <c r="CP12" s="425"/>
      <c r="CQ12" s="439"/>
      <c r="CR12" s="439"/>
      <c r="CS12" s="425"/>
      <c r="CT12" s="425"/>
      <c r="CU12" s="425"/>
      <c r="CV12" s="425"/>
      <c r="CW12" s="425"/>
      <c r="CX12" s="439"/>
      <c r="CY12" s="439"/>
      <c r="CZ12" s="425"/>
      <c r="DA12" s="425"/>
      <c r="DB12" s="425"/>
      <c r="DC12" s="425"/>
      <c r="DD12" s="425"/>
      <c r="DE12" s="439"/>
      <c r="DF12" s="439"/>
      <c r="DG12" s="425"/>
      <c r="DH12" s="425"/>
      <c r="DI12" s="425"/>
      <c r="DJ12" s="425"/>
      <c r="DK12" s="425"/>
      <c r="DL12" s="439"/>
      <c r="DM12" s="439"/>
      <c r="DN12" s="425"/>
      <c r="DO12" s="425"/>
      <c r="DP12" s="425"/>
      <c r="DQ12" s="425"/>
      <c r="DR12" s="425"/>
      <c r="DS12" s="439"/>
      <c r="DT12" s="439"/>
      <c r="DU12" s="425"/>
      <c r="DV12" s="425"/>
      <c r="DW12" s="425"/>
      <c r="DX12" s="425"/>
      <c r="DY12" s="425"/>
      <c r="DZ12" s="439"/>
      <c r="EA12" s="439"/>
      <c r="EB12" s="425"/>
      <c r="EC12" s="425"/>
      <c r="ED12" s="425"/>
      <c r="EE12" s="425"/>
      <c r="EF12" s="425"/>
      <c r="EG12" s="439"/>
      <c r="EH12" s="439"/>
      <c r="EI12" s="425"/>
      <c r="EJ12" s="425"/>
      <c r="EK12" s="425"/>
      <c r="EL12" s="425"/>
      <c r="EM12" s="425"/>
      <c r="EN12" s="439"/>
      <c r="EO12" s="439"/>
      <c r="EP12" s="425"/>
      <c r="EQ12" s="425"/>
      <c r="ER12" s="425"/>
      <c r="ES12" s="425"/>
      <c r="ET12" s="425"/>
      <c r="EU12" s="439"/>
      <c r="EV12" s="439"/>
      <c r="EW12" s="425"/>
      <c r="EX12" s="425"/>
      <c r="EY12" s="425"/>
      <c r="EZ12" s="425"/>
      <c r="FA12" s="425"/>
      <c r="FB12" s="439"/>
      <c r="FC12" s="439"/>
      <c r="FD12" s="425"/>
      <c r="FE12" s="425"/>
      <c r="FF12" s="425"/>
      <c r="FG12" s="425"/>
      <c r="FH12" s="425"/>
      <c r="FI12" s="439"/>
      <c r="FJ12" s="439"/>
      <c r="FK12" s="425"/>
      <c r="FL12" s="425"/>
      <c r="FM12" s="425"/>
      <c r="FN12" s="425"/>
      <c r="FO12" s="425"/>
      <c r="FP12" s="439"/>
      <c r="FQ12" s="439"/>
      <c r="FR12" s="425"/>
      <c r="FS12" s="425"/>
      <c r="FT12" s="425"/>
      <c r="FU12" s="425"/>
      <c r="FV12" s="425"/>
      <c r="FW12" s="439"/>
      <c r="FX12" s="439"/>
      <c r="FY12" s="425"/>
      <c r="FZ12" s="425"/>
      <c r="GA12" s="425"/>
      <c r="GB12" s="425"/>
      <c r="GC12" s="425"/>
      <c r="GD12" s="439"/>
      <c r="GE12" s="439"/>
      <c r="GF12" s="425"/>
      <c r="GG12" s="425"/>
      <c r="GH12" s="425"/>
      <c r="GI12" s="425"/>
      <c r="GJ12" s="425"/>
      <c r="GK12" s="439"/>
      <c r="GL12" s="439"/>
      <c r="GM12" s="425"/>
      <c r="GN12" s="425"/>
      <c r="GO12" s="425"/>
      <c r="GP12" s="425"/>
      <c r="GQ12" s="425"/>
      <c r="GR12" s="439"/>
      <c r="GS12" s="439"/>
      <c r="GT12" s="425"/>
      <c r="GU12" s="425"/>
      <c r="GV12" s="425"/>
      <c r="GW12" s="425"/>
      <c r="GX12" s="425"/>
      <c r="GY12" s="439"/>
      <c r="GZ12" s="439"/>
      <c r="HA12" s="425"/>
      <c r="HB12" s="425"/>
      <c r="HC12" s="425"/>
      <c r="HD12" s="425"/>
      <c r="HE12" s="425"/>
      <c r="HF12" s="439"/>
      <c r="HG12" s="439"/>
      <c r="HH12" s="425"/>
      <c r="HI12" s="425"/>
      <c r="HJ12" s="425"/>
      <c r="HK12" s="425"/>
      <c r="HL12" s="425"/>
      <c r="HM12" s="439"/>
      <c r="HN12" s="439"/>
      <c r="HO12" s="425"/>
      <c r="HP12" s="425"/>
      <c r="HQ12" s="425"/>
      <c r="HR12" s="425"/>
      <c r="HS12" s="425"/>
      <c r="HT12" s="439"/>
      <c r="HU12" s="439"/>
      <c r="HV12" s="425"/>
      <c r="HW12" s="425"/>
      <c r="HX12" s="425"/>
      <c r="HY12" s="425"/>
      <c r="HZ12" s="425"/>
      <c r="IA12" s="439"/>
      <c r="IB12" s="439"/>
      <c r="IC12" s="425"/>
      <c r="ID12" s="425"/>
      <c r="IE12" s="425"/>
      <c r="IF12" s="425"/>
      <c r="IG12" s="425"/>
      <c r="IH12" s="439"/>
      <c r="II12" s="439"/>
      <c r="IJ12" s="425"/>
      <c r="IK12" s="425"/>
      <c r="IL12" s="425"/>
      <c r="IM12" s="425"/>
      <c r="IN12" s="425"/>
      <c r="IO12" s="439"/>
      <c r="IP12" s="439"/>
      <c r="IQ12" s="425"/>
      <c r="IR12" s="425"/>
      <c r="IS12" s="425"/>
      <c r="IT12" s="425"/>
      <c r="IU12" s="425"/>
      <c r="IV12" s="439"/>
      <c r="IW12" s="439"/>
      <c r="IX12" s="425"/>
      <c r="IY12" s="425"/>
      <c r="IZ12" s="425"/>
      <c r="JA12" s="425"/>
      <c r="JB12" s="425"/>
      <c r="JC12" s="439"/>
      <c r="JD12" s="439"/>
      <c r="JE12" s="425"/>
      <c r="JF12" s="425"/>
      <c r="JG12" s="425"/>
      <c r="JH12" s="425"/>
      <c r="JI12" s="425"/>
      <c r="JJ12" s="439"/>
      <c r="JK12" s="439"/>
      <c r="JL12" s="425"/>
      <c r="JM12" s="425"/>
      <c r="JN12" s="425"/>
      <c r="JO12" s="425"/>
      <c r="JP12" s="425"/>
      <c r="JQ12" s="439"/>
      <c r="JR12" s="439"/>
      <c r="JS12" s="425"/>
      <c r="JT12" s="425"/>
      <c r="JU12" s="425"/>
      <c r="JV12" s="425"/>
      <c r="JW12" s="425"/>
      <c r="JX12" s="439"/>
      <c r="JY12" s="439"/>
      <c r="JZ12" s="425"/>
      <c r="KA12" s="425"/>
      <c r="KB12" s="425"/>
      <c r="KC12" s="425"/>
      <c r="KD12" s="425"/>
      <c r="KE12" s="439"/>
      <c r="KF12" s="439"/>
      <c r="KG12" s="425"/>
      <c r="KH12" s="425"/>
      <c r="KI12" s="425"/>
      <c r="KJ12" s="425"/>
      <c r="KK12" s="425"/>
      <c r="KL12" s="439"/>
      <c r="KM12" s="439"/>
      <c r="KN12" s="425"/>
      <c r="KO12" s="425"/>
      <c r="KP12" s="425"/>
      <c r="KQ12" s="425"/>
      <c r="KR12" s="425"/>
      <c r="KS12" s="439"/>
      <c r="KT12" s="439"/>
      <c r="KU12" s="425"/>
      <c r="KV12" s="425"/>
      <c r="KW12" s="425"/>
      <c r="KX12" s="425"/>
      <c r="KY12" s="425"/>
      <c r="KZ12" s="439"/>
      <c r="LA12" s="439"/>
      <c r="LB12" s="425"/>
      <c r="LC12" s="425"/>
      <c r="LD12" s="425"/>
      <c r="LE12" s="425"/>
      <c r="LF12" s="425"/>
      <c r="LG12" s="439"/>
      <c r="LH12" s="439"/>
      <c r="LI12" s="425"/>
      <c r="LJ12" s="425"/>
      <c r="LK12" s="425"/>
      <c r="LL12" s="425"/>
      <c r="LM12" s="425"/>
      <c r="LN12" s="439"/>
      <c r="LO12" s="439"/>
      <c r="LP12" s="425"/>
      <c r="LQ12" s="425"/>
      <c r="LR12" s="425"/>
      <c r="LS12" s="425"/>
      <c r="LT12" s="425"/>
      <c r="LU12" s="439"/>
      <c r="LV12" s="439"/>
      <c r="LW12" s="425"/>
      <c r="LX12" s="425"/>
      <c r="LY12" s="425"/>
      <c r="LZ12" s="425"/>
      <c r="MA12" s="425"/>
      <c r="MB12" s="439"/>
      <c r="MC12" s="439"/>
      <c r="MD12" s="425"/>
      <c r="ME12" s="425"/>
      <c r="MF12" s="425"/>
      <c r="MG12" s="425"/>
      <c r="MH12" s="425"/>
      <c r="MI12" s="439"/>
      <c r="MJ12" s="439"/>
      <c r="MK12" s="425"/>
      <c r="ML12" s="425"/>
      <c r="MM12" s="425"/>
      <c r="MN12" s="425"/>
      <c r="MO12" s="425"/>
      <c r="MP12" s="439"/>
      <c r="MQ12" s="439"/>
      <c r="MR12" s="425"/>
      <c r="MS12" s="425"/>
      <c r="MT12" s="425"/>
      <c r="MU12" s="425"/>
      <c r="MV12" s="425"/>
      <c r="MW12" s="439"/>
      <c r="MX12" s="439"/>
      <c r="MY12" s="425"/>
      <c r="MZ12" s="425"/>
      <c r="NA12" s="425"/>
      <c r="NB12" s="425"/>
      <c r="NC12" s="425"/>
      <c r="ND12" s="439"/>
      <c r="NE12" s="439"/>
      <c r="NF12" s="425"/>
      <c r="NG12" s="425"/>
      <c r="NH12" s="425"/>
      <c r="NI12" s="425"/>
      <c r="NJ12" s="425"/>
      <c r="NK12" s="439"/>
      <c r="NL12" s="439"/>
      <c r="NM12" s="425"/>
      <c r="NN12" s="425"/>
      <c r="NO12" s="425"/>
      <c r="NP12" s="425"/>
      <c r="NQ12" s="425"/>
      <c r="NR12" s="439"/>
      <c r="NS12" s="439"/>
    </row>
    <row r="13" spans="2:383">
      <c r="B13" s="544" t="str">
        <f>MASTER!B6</f>
        <v>Study Drawing</v>
      </c>
      <c r="C13" s="544"/>
      <c r="D13" s="473" t="s">
        <v>122</v>
      </c>
      <c r="E13" s="465">
        <f>MASTER!C6/REPORT!$H$36</f>
        <v>5.1428571428571432</v>
      </c>
      <c r="H13" s="434">
        <f>IF(E13&lt;&gt;0,I12+1,"")</f>
        <v>2</v>
      </c>
      <c r="I13" s="434">
        <f t="shared" ref="I13:I19" si="665">IF(E13&lt;&gt;0,ROUND(H13+E13-1,0),"")</f>
        <v>6</v>
      </c>
      <c r="J13" s="468" cm="1">
        <f t="array" ref="J13">IF(GANTT_D!$E13&lt;&gt;0,INDEX($M$7:$NT$7,,MATCH(H13,$M$8:$NT$8,0)),"")</f>
        <v>1</v>
      </c>
      <c r="K13" s="468" cm="1">
        <f t="array" ref="K13">IF(GANTT_D!$E13&lt;&gt;0,INDEX($M$7:$NT$7,,MATCH(I13,$M$8:$NT$8,0)),"")</f>
        <v>2</v>
      </c>
      <c r="L13" s="424"/>
      <c r="M13" s="425"/>
      <c r="N13" s="425"/>
      <c r="O13" s="425"/>
      <c r="P13" s="425"/>
      <c r="Q13" s="425"/>
      <c r="R13" s="439"/>
      <c r="S13" s="439"/>
      <c r="T13" s="425"/>
      <c r="U13" s="425"/>
      <c r="V13" s="425"/>
      <c r="W13" s="425"/>
      <c r="X13" s="425"/>
      <c r="Y13" s="439"/>
      <c r="Z13" s="439"/>
      <c r="AA13" s="425"/>
      <c r="AB13" s="425"/>
      <c r="AC13" s="425"/>
      <c r="AD13" s="425"/>
      <c r="AE13" s="425"/>
      <c r="AF13" s="439"/>
      <c r="AG13" s="439"/>
      <c r="AH13" s="425"/>
      <c r="AI13" s="425"/>
      <c r="AJ13" s="425"/>
      <c r="AK13" s="425"/>
      <c r="AL13" s="425"/>
      <c r="AM13" s="439"/>
      <c r="AN13" s="439"/>
      <c r="AO13" s="425"/>
      <c r="AP13" s="425"/>
      <c r="AQ13" s="425"/>
      <c r="AR13" s="425"/>
      <c r="AS13" s="425"/>
      <c r="AT13" s="439"/>
      <c r="AU13" s="439"/>
      <c r="AV13" s="425"/>
      <c r="AW13" s="425"/>
      <c r="AX13" s="425"/>
      <c r="AY13" s="425"/>
      <c r="AZ13" s="425"/>
      <c r="BA13" s="439"/>
      <c r="BB13" s="439"/>
      <c r="BC13" s="425"/>
      <c r="BD13" s="425"/>
      <c r="BE13" s="425"/>
      <c r="BF13" s="425"/>
      <c r="BG13" s="425"/>
      <c r="BH13" s="439"/>
      <c r="BI13" s="439"/>
      <c r="BJ13" s="425"/>
      <c r="BK13" s="425"/>
      <c r="BL13" s="425"/>
      <c r="BM13" s="425"/>
      <c r="BN13" s="425"/>
      <c r="BO13" s="439"/>
      <c r="BP13" s="439"/>
      <c r="BQ13" s="425"/>
      <c r="BR13" s="425"/>
      <c r="BS13" s="425"/>
      <c r="BT13" s="425"/>
      <c r="BU13" s="425"/>
      <c r="BV13" s="439"/>
      <c r="BW13" s="439"/>
      <c r="BX13" s="425"/>
      <c r="BY13" s="425"/>
      <c r="BZ13" s="425"/>
      <c r="CA13" s="425"/>
      <c r="CB13" s="425"/>
      <c r="CC13" s="439"/>
      <c r="CD13" s="439"/>
      <c r="CE13" s="425"/>
      <c r="CF13" s="425"/>
      <c r="CG13" s="425"/>
      <c r="CH13" s="425"/>
      <c r="CI13" s="425"/>
      <c r="CJ13" s="439"/>
      <c r="CK13" s="439"/>
      <c r="CL13" s="425"/>
      <c r="CM13" s="425"/>
      <c r="CN13" s="425"/>
      <c r="CO13" s="425"/>
      <c r="CP13" s="425"/>
      <c r="CQ13" s="439"/>
      <c r="CR13" s="439"/>
      <c r="CS13" s="425"/>
      <c r="CT13" s="425"/>
      <c r="CU13" s="425"/>
      <c r="CV13" s="425"/>
      <c r="CW13" s="425"/>
      <c r="CX13" s="439"/>
      <c r="CY13" s="439"/>
      <c r="CZ13" s="425"/>
      <c r="DA13" s="425"/>
      <c r="DB13" s="425"/>
      <c r="DC13" s="425"/>
      <c r="DD13" s="425"/>
      <c r="DE13" s="439"/>
      <c r="DF13" s="439"/>
      <c r="DG13" s="425"/>
      <c r="DH13" s="425"/>
      <c r="DI13" s="425"/>
      <c r="DJ13" s="425"/>
      <c r="DK13" s="425"/>
      <c r="DL13" s="439"/>
      <c r="DM13" s="439"/>
      <c r="DN13" s="425"/>
      <c r="DO13" s="425"/>
      <c r="DP13" s="425"/>
      <c r="DQ13" s="425"/>
      <c r="DR13" s="425"/>
      <c r="DS13" s="439"/>
      <c r="DT13" s="439"/>
      <c r="DU13" s="425"/>
      <c r="DV13" s="425"/>
      <c r="DW13" s="425"/>
      <c r="DX13" s="425"/>
      <c r="DY13" s="425"/>
      <c r="DZ13" s="439"/>
      <c r="EA13" s="439"/>
      <c r="EB13" s="425"/>
      <c r="EC13" s="425"/>
      <c r="ED13" s="425"/>
      <c r="EE13" s="425"/>
      <c r="EF13" s="425"/>
      <c r="EG13" s="439"/>
      <c r="EH13" s="439"/>
      <c r="EI13" s="425"/>
      <c r="EJ13" s="425"/>
      <c r="EK13" s="425"/>
      <c r="EL13" s="425"/>
      <c r="EM13" s="425"/>
      <c r="EN13" s="439"/>
      <c r="EO13" s="439"/>
      <c r="EP13" s="425"/>
      <c r="EQ13" s="425"/>
      <c r="ER13" s="425"/>
      <c r="ES13" s="425"/>
      <c r="ET13" s="425"/>
      <c r="EU13" s="439"/>
      <c r="EV13" s="439"/>
      <c r="EW13" s="425"/>
      <c r="EX13" s="425"/>
      <c r="EY13" s="425"/>
      <c r="EZ13" s="425"/>
      <c r="FA13" s="425"/>
      <c r="FB13" s="439"/>
      <c r="FC13" s="439"/>
      <c r="FD13" s="425"/>
      <c r="FE13" s="425"/>
      <c r="FF13" s="425"/>
      <c r="FG13" s="425"/>
      <c r="FH13" s="425"/>
      <c r="FI13" s="439"/>
      <c r="FJ13" s="439"/>
      <c r="FK13" s="425"/>
      <c r="FL13" s="425"/>
      <c r="FM13" s="425"/>
      <c r="FN13" s="425"/>
      <c r="FO13" s="425"/>
      <c r="FP13" s="439"/>
      <c r="FQ13" s="439"/>
      <c r="FR13" s="425"/>
      <c r="FS13" s="425"/>
      <c r="FT13" s="425"/>
      <c r="FU13" s="425"/>
      <c r="FV13" s="425"/>
      <c r="FW13" s="439"/>
      <c r="FX13" s="439"/>
      <c r="FY13" s="425"/>
      <c r="FZ13" s="425"/>
      <c r="GA13" s="425"/>
      <c r="GB13" s="425"/>
      <c r="GC13" s="425"/>
      <c r="GD13" s="439"/>
      <c r="GE13" s="439"/>
      <c r="GF13" s="425"/>
      <c r="GG13" s="425"/>
      <c r="GH13" s="425"/>
      <c r="GI13" s="425"/>
      <c r="GJ13" s="425"/>
      <c r="GK13" s="439"/>
      <c r="GL13" s="439"/>
      <c r="GM13" s="425"/>
      <c r="GN13" s="425"/>
      <c r="GO13" s="425"/>
      <c r="GP13" s="425"/>
      <c r="GQ13" s="425"/>
      <c r="GR13" s="439"/>
      <c r="GS13" s="439"/>
      <c r="GT13" s="425"/>
      <c r="GU13" s="425"/>
      <c r="GV13" s="425"/>
      <c r="GW13" s="425"/>
      <c r="GX13" s="425"/>
      <c r="GY13" s="439"/>
      <c r="GZ13" s="439"/>
      <c r="HA13" s="425"/>
      <c r="HB13" s="425"/>
      <c r="HC13" s="425"/>
      <c r="HD13" s="425"/>
      <c r="HE13" s="425"/>
      <c r="HF13" s="439"/>
      <c r="HG13" s="439"/>
      <c r="HH13" s="425"/>
      <c r="HI13" s="425"/>
      <c r="HJ13" s="425"/>
      <c r="HK13" s="425"/>
      <c r="HL13" s="425"/>
      <c r="HM13" s="439"/>
      <c r="HN13" s="439"/>
      <c r="HO13" s="425"/>
      <c r="HP13" s="425"/>
      <c r="HQ13" s="425"/>
      <c r="HR13" s="425"/>
      <c r="HS13" s="425"/>
      <c r="HT13" s="439"/>
      <c r="HU13" s="439"/>
      <c r="HV13" s="425"/>
      <c r="HW13" s="425"/>
      <c r="HX13" s="425"/>
      <c r="HY13" s="425"/>
      <c r="HZ13" s="425"/>
      <c r="IA13" s="439"/>
      <c r="IB13" s="439"/>
      <c r="IC13" s="425"/>
      <c r="ID13" s="425"/>
      <c r="IE13" s="425"/>
      <c r="IF13" s="425"/>
      <c r="IG13" s="425"/>
      <c r="IH13" s="439"/>
      <c r="II13" s="439"/>
      <c r="IJ13" s="425"/>
      <c r="IK13" s="425"/>
      <c r="IL13" s="425"/>
      <c r="IM13" s="425"/>
      <c r="IN13" s="425"/>
      <c r="IO13" s="439"/>
      <c r="IP13" s="439"/>
      <c r="IQ13" s="425"/>
      <c r="IR13" s="425"/>
      <c r="IS13" s="425"/>
      <c r="IT13" s="425"/>
      <c r="IU13" s="425"/>
      <c r="IV13" s="439"/>
      <c r="IW13" s="439"/>
      <c r="IX13" s="425"/>
      <c r="IY13" s="425"/>
      <c r="IZ13" s="425"/>
      <c r="JA13" s="425"/>
      <c r="JB13" s="425"/>
      <c r="JC13" s="439"/>
      <c r="JD13" s="439"/>
      <c r="JE13" s="425"/>
      <c r="JF13" s="425"/>
      <c r="JG13" s="425"/>
      <c r="JH13" s="425"/>
      <c r="JI13" s="425"/>
      <c r="JJ13" s="439"/>
      <c r="JK13" s="439"/>
      <c r="JL13" s="425"/>
      <c r="JM13" s="425"/>
      <c r="JN13" s="425"/>
      <c r="JO13" s="425"/>
      <c r="JP13" s="425"/>
      <c r="JQ13" s="439"/>
      <c r="JR13" s="439"/>
      <c r="JS13" s="425"/>
      <c r="JT13" s="425"/>
      <c r="JU13" s="425"/>
      <c r="JV13" s="425"/>
      <c r="JW13" s="425"/>
      <c r="JX13" s="439"/>
      <c r="JY13" s="439"/>
      <c r="JZ13" s="425"/>
      <c r="KA13" s="425"/>
      <c r="KB13" s="425"/>
      <c r="KC13" s="425"/>
      <c r="KD13" s="425"/>
      <c r="KE13" s="439"/>
      <c r="KF13" s="439"/>
      <c r="KG13" s="425"/>
      <c r="KH13" s="425"/>
      <c r="KI13" s="425"/>
      <c r="KJ13" s="425"/>
      <c r="KK13" s="425"/>
      <c r="KL13" s="439"/>
      <c r="KM13" s="439"/>
      <c r="KN13" s="425"/>
      <c r="KO13" s="425"/>
      <c r="KP13" s="425"/>
      <c r="KQ13" s="425"/>
      <c r="KR13" s="425"/>
      <c r="KS13" s="439"/>
      <c r="KT13" s="439"/>
      <c r="KU13" s="425"/>
      <c r="KV13" s="425"/>
      <c r="KW13" s="425"/>
      <c r="KX13" s="425"/>
      <c r="KY13" s="425"/>
      <c r="KZ13" s="439"/>
      <c r="LA13" s="439"/>
      <c r="LB13" s="425"/>
      <c r="LC13" s="425"/>
      <c r="LD13" s="425"/>
      <c r="LE13" s="425"/>
      <c r="LF13" s="425"/>
      <c r="LG13" s="439"/>
      <c r="LH13" s="439"/>
      <c r="LI13" s="425"/>
      <c r="LJ13" s="425"/>
      <c r="LK13" s="425"/>
      <c r="LL13" s="425"/>
      <c r="LM13" s="425"/>
      <c r="LN13" s="439"/>
      <c r="LO13" s="439"/>
      <c r="LP13" s="425"/>
      <c r="LQ13" s="425"/>
      <c r="LR13" s="425"/>
      <c r="LS13" s="425"/>
      <c r="LT13" s="425"/>
      <c r="LU13" s="439"/>
      <c r="LV13" s="439"/>
      <c r="LW13" s="425"/>
      <c r="LX13" s="425"/>
      <c r="LY13" s="425"/>
      <c r="LZ13" s="425"/>
      <c r="MA13" s="425"/>
      <c r="MB13" s="439"/>
      <c r="MC13" s="439"/>
      <c r="MD13" s="425"/>
      <c r="ME13" s="425"/>
      <c r="MF13" s="425"/>
      <c r="MG13" s="425"/>
      <c r="MH13" s="425"/>
      <c r="MI13" s="439"/>
      <c r="MJ13" s="439"/>
      <c r="MK13" s="425"/>
      <c r="ML13" s="425"/>
      <c r="MM13" s="425"/>
      <c r="MN13" s="425"/>
      <c r="MO13" s="425"/>
      <c r="MP13" s="439"/>
      <c r="MQ13" s="439"/>
      <c r="MR13" s="425"/>
      <c r="MS13" s="425"/>
      <c r="MT13" s="425"/>
      <c r="MU13" s="425"/>
      <c r="MV13" s="425"/>
      <c r="MW13" s="439"/>
      <c r="MX13" s="439"/>
      <c r="MY13" s="425"/>
      <c r="MZ13" s="425"/>
      <c r="NA13" s="425"/>
      <c r="NB13" s="425"/>
      <c r="NC13" s="425"/>
      <c r="ND13" s="439"/>
      <c r="NE13" s="439"/>
      <c r="NF13" s="425"/>
      <c r="NG13" s="425"/>
      <c r="NH13" s="425"/>
      <c r="NI13" s="425"/>
      <c r="NJ13" s="425"/>
      <c r="NK13" s="439"/>
      <c r="NL13" s="439"/>
      <c r="NM13" s="425"/>
      <c r="NN13" s="425"/>
      <c r="NO13" s="425"/>
      <c r="NP13" s="425"/>
      <c r="NQ13" s="425"/>
      <c r="NR13" s="439"/>
      <c r="NS13" s="439"/>
    </row>
    <row r="14" spans="2:383">
      <c r="B14" s="543" t="str">
        <f>MASTER!B7</f>
        <v>Preliminary Sizing</v>
      </c>
      <c r="C14" s="543"/>
      <c r="D14" s="424" t="s">
        <v>123</v>
      </c>
      <c r="E14" s="434">
        <f>MASTER!C7/REPORT!$H$36</f>
        <v>5.1428571428571432</v>
      </c>
      <c r="H14" s="434">
        <f>IF(E14&lt;&gt;0,H13,"")</f>
        <v>2</v>
      </c>
      <c r="I14" s="434">
        <f t="shared" si="665"/>
        <v>6</v>
      </c>
      <c r="J14" s="468" cm="1">
        <f t="array" ref="J14">IF(GANTT_D!$E14&lt;&gt;0,INDEX($M$7:$NT$7,,MATCH(H14,$M$8:$NT$8,0)),"")</f>
        <v>1</v>
      </c>
      <c r="K14" s="468" cm="1">
        <f t="array" ref="K14">IF(GANTT_D!$E14&lt;&gt;0,INDEX($M$7:$NT$7,,MATCH(I14,$M$8:$NT$8,0)),"")</f>
        <v>2</v>
      </c>
      <c r="L14" s="424"/>
      <c r="M14" s="425"/>
      <c r="N14" s="425"/>
      <c r="O14" s="425"/>
      <c r="P14" s="425"/>
      <c r="Q14" s="425"/>
      <c r="R14" s="439"/>
      <c r="S14" s="439"/>
      <c r="T14" s="425"/>
      <c r="U14" s="425"/>
      <c r="V14" s="425"/>
      <c r="W14" s="425"/>
      <c r="X14" s="425"/>
      <c r="Y14" s="439"/>
      <c r="Z14" s="439"/>
      <c r="AA14" s="425"/>
      <c r="AB14" s="425"/>
      <c r="AC14" s="425"/>
      <c r="AD14" s="425"/>
      <c r="AE14" s="425"/>
      <c r="AF14" s="439"/>
      <c r="AG14" s="439"/>
      <c r="AH14" s="425"/>
      <c r="AI14" s="425"/>
      <c r="AJ14" s="425"/>
      <c r="AK14" s="425"/>
      <c r="AL14" s="425"/>
      <c r="AM14" s="439"/>
      <c r="AN14" s="439"/>
      <c r="AO14" s="425"/>
      <c r="AP14" s="425"/>
      <c r="AQ14" s="425"/>
      <c r="AR14" s="425"/>
      <c r="AS14" s="425"/>
      <c r="AT14" s="439"/>
      <c r="AU14" s="439"/>
      <c r="AV14" s="425"/>
      <c r="AW14" s="425"/>
      <c r="AX14" s="425"/>
      <c r="AY14" s="425"/>
      <c r="AZ14" s="425"/>
      <c r="BA14" s="439"/>
      <c r="BB14" s="439"/>
      <c r="BC14" s="425"/>
      <c r="BD14" s="425"/>
      <c r="BE14" s="425"/>
      <c r="BF14" s="425"/>
      <c r="BG14" s="425"/>
      <c r="BH14" s="439"/>
      <c r="BI14" s="439"/>
      <c r="BJ14" s="425"/>
      <c r="BK14" s="425"/>
      <c r="BL14" s="425"/>
      <c r="BM14" s="425"/>
      <c r="BN14" s="425"/>
      <c r="BO14" s="439"/>
      <c r="BP14" s="439"/>
      <c r="BQ14" s="425"/>
      <c r="BR14" s="425"/>
      <c r="BS14" s="425"/>
      <c r="BT14" s="425"/>
      <c r="BU14" s="425"/>
      <c r="BV14" s="439"/>
      <c r="BW14" s="439"/>
      <c r="BX14" s="425"/>
      <c r="BY14" s="425"/>
      <c r="BZ14" s="425"/>
      <c r="CA14" s="425"/>
      <c r="CB14" s="425"/>
      <c r="CC14" s="439"/>
      <c r="CD14" s="439"/>
      <c r="CE14" s="425"/>
      <c r="CF14" s="425"/>
      <c r="CG14" s="425"/>
      <c r="CH14" s="425"/>
      <c r="CI14" s="425"/>
      <c r="CJ14" s="439"/>
      <c r="CK14" s="439"/>
      <c r="CL14" s="425"/>
      <c r="CM14" s="425"/>
      <c r="CN14" s="425"/>
      <c r="CO14" s="425"/>
      <c r="CP14" s="425"/>
      <c r="CQ14" s="439"/>
      <c r="CR14" s="439"/>
      <c r="CS14" s="425"/>
      <c r="CT14" s="425"/>
      <c r="CU14" s="425"/>
      <c r="CV14" s="425"/>
      <c r="CW14" s="425"/>
      <c r="CX14" s="439"/>
      <c r="CY14" s="439"/>
      <c r="CZ14" s="425"/>
      <c r="DA14" s="425"/>
      <c r="DB14" s="425"/>
      <c r="DC14" s="425"/>
      <c r="DD14" s="425"/>
      <c r="DE14" s="439"/>
      <c r="DF14" s="439"/>
      <c r="DG14" s="425"/>
      <c r="DH14" s="425"/>
      <c r="DI14" s="425"/>
      <c r="DJ14" s="425"/>
      <c r="DK14" s="425"/>
      <c r="DL14" s="439"/>
      <c r="DM14" s="439"/>
      <c r="DN14" s="425"/>
      <c r="DO14" s="425"/>
      <c r="DP14" s="425"/>
      <c r="DQ14" s="425"/>
      <c r="DR14" s="425"/>
      <c r="DS14" s="439"/>
      <c r="DT14" s="439"/>
      <c r="DU14" s="425"/>
      <c r="DV14" s="425"/>
      <c r="DW14" s="425"/>
      <c r="DX14" s="425"/>
      <c r="DY14" s="425"/>
      <c r="DZ14" s="439"/>
      <c r="EA14" s="439"/>
      <c r="EB14" s="425"/>
      <c r="EC14" s="425"/>
      <c r="ED14" s="425"/>
      <c r="EE14" s="425"/>
      <c r="EF14" s="425"/>
      <c r="EG14" s="439"/>
      <c r="EH14" s="439"/>
      <c r="EI14" s="425"/>
      <c r="EJ14" s="425"/>
      <c r="EK14" s="425"/>
      <c r="EL14" s="425"/>
      <c r="EM14" s="425"/>
      <c r="EN14" s="439"/>
      <c r="EO14" s="439"/>
      <c r="EP14" s="425"/>
      <c r="EQ14" s="425"/>
      <c r="ER14" s="425"/>
      <c r="ES14" s="425"/>
      <c r="ET14" s="425"/>
      <c r="EU14" s="439"/>
      <c r="EV14" s="439"/>
      <c r="EW14" s="425"/>
      <c r="EX14" s="425"/>
      <c r="EY14" s="425"/>
      <c r="EZ14" s="425"/>
      <c r="FA14" s="425"/>
      <c r="FB14" s="439"/>
      <c r="FC14" s="439"/>
      <c r="FD14" s="425"/>
      <c r="FE14" s="425"/>
      <c r="FF14" s="425"/>
      <c r="FG14" s="425"/>
      <c r="FH14" s="425"/>
      <c r="FI14" s="439"/>
      <c r="FJ14" s="439"/>
      <c r="FK14" s="425"/>
      <c r="FL14" s="425"/>
      <c r="FM14" s="425"/>
      <c r="FN14" s="425"/>
      <c r="FO14" s="425"/>
      <c r="FP14" s="439"/>
      <c r="FQ14" s="439"/>
      <c r="FR14" s="425"/>
      <c r="FS14" s="425"/>
      <c r="FT14" s="425"/>
      <c r="FU14" s="425"/>
      <c r="FV14" s="425"/>
      <c r="FW14" s="439"/>
      <c r="FX14" s="439"/>
      <c r="FY14" s="425"/>
      <c r="FZ14" s="425"/>
      <c r="GA14" s="425"/>
      <c r="GB14" s="425"/>
      <c r="GC14" s="425"/>
      <c r="GD14" s="439"/>
      <c r="GE14" s="439"/>
      <c r="GF14" s="425"/>
      <c r="GG14" s="425"/>
      <c r="GH14" s="425"/>
      <c r="GI14" s="425"/>
      <c r="GJ14" s="425"/>
      <c r="GK14" s="439"/>
      <c r="GL14" s="439"/>
      <c r="GM14" s="425"/>
      <c r="GN14" s="425"/>
      <c r="GO14" s="425"/>
      <c r="GP14" s="425"/>
      <c r="GQ14" s="425"/>
      <c r="GR14" s="439"/>
      <c r="GS14" s="439"/>
      <c r="GT14" s="425"/>
      <c r="GU14" s="425"/>
      <c r="GV14" s="425"/>
      <c r="GW14" s="425"/>
      <c r="GX14" s="425"/>
      <c r="GY14" s="439"/>
      <c r="GZ14" s="439"/>
      <c r="HA14" s="425"/>
      <c r="HB14" s="425"/>
      <c r="HC14" s="425"/>
      <c r="HD14" s="425"/>
      <c r="HE14" s="425"/>
      <c r="HF14" s="439"/>
      <c r="HG14" s="439"/>
      <c r="HH14" s="425"/>
      <c r="HI14" s="425"/>
      <c r="HJ14" s="425"/>
      <c r="HK14" s="425"/>
      <c r="HL14" s="425"/>
      <c r="HM14" s="439"/>
      <c r="HN14" s="439"/>
      <c r="HO14" s="425"/>
      <c r="HP14" s="425"/>
      <c r="HQ14" s="425"/>
      <c r="HR14" s="425"/>
      <c r="HS14" s="425"/>
      <c r="HT14" s="439"/>
      <c r="HU14" s="439"/>
      <c r="HV14" s="425"/>
      <c r="HW14" s="425"/>
      <c r="HX14" s="425"/>
      <c r="HY14" s="425"/>
      <c r="HZ14" s="425"/>
      <c r="IA14" s="439"/>
      <c r="IB14" s="439"/>
      <c r="IC14" s="425"/>
      <c r="ID14" s="425"/>
      <c r="IE14" s="425"/>
      <c r="IF14" s="425"/>
      <c r="IG14" s="425"/>
      <c r="IH14" s="439"/>
      <c r="II14" s="439"/>
      <c r="IJ14" s="425"/>
      <c r="IK14" s="425"/>
      <c r="IL14" s="425"/>
      <c r="IM14" s="425"/>
      <c r="IN14" s="425"/>
      <c r="IO14" s="439"/>
      <c r="IP14" s="439"/>
      <c r="IQ14" s="425"/>
      <c r="IR14" s="425"/>
      <c r="IS14" s="425"/>
      <c r="IT14" s="425"/>
      <c r="IU14" s="425"/>
      <c r="IV14" s="439"/>
      <c r="IW14" s="439"/>
      <c r="IX14" s="425"/>
      <c r="IY14" s="425"/>
      <c r="IZ14" s="425"/>
      <c r="JA14" s="425"/>
      <c r="JB14" s="425"/>
      <c r="JC14" s="439"/>
      <c r="JD14" s="439"/>
      <c r="JE14" s="425"/>
      <c r="JF14" s="425"/>
      <c r="JG14" s="425"/>
      <c r="JH14" s="425"/>
      <c r="JI14" s="425"/>
      <c r="JJ14" s="439"/>
      <c r="JK14" s="439"/>
      <c r="JL14" s="425"/>
      <c r="JM14" s="425"/>
      <c r="JN14" s="425"/>
      <c r="JO14" s="425"/>
      <c r="JP14" s="425"/>
      <c r="JQ14" s="439"/>
      <c r="JR14" s="439"/>
      <c r="JS14" s="425"/>
      <c r="JT14" s="425"/>
      <c r="JU14" s="425"/>
      <c r="JV14" s="425"/>
      <c r="JW14" s="425"/>
      <c r="JX14" s="439"/>
      <c r="JY14" s="439"/>
      <c r="JZ14" s="425"/>
      <c r="KA14" s="425"/>
      <c r="KB14" s="425"/>
      <c r="KC14" s="425"/>
      <c r="KD14" s="425"/>
      <c r="KE14" s="439"/>
      <c r="KF14" s="439"/>
      <c r="KG14" s="425"/>
      <c r="KH14" s="425"/>
      <c r="KI14" s="425"/>
      <c r="KJ14" s="425"/>
      <c r="KK14" s="425"/>
      <c r="KL14" s="439"/>
      <c r="KM14" s="439"/>
      <c r="KN14" s="425"/>
      <c r="KO14" s="425"/>
      <c r="KP14" s="425"/>
      <c r="KQ14" s="425"/>
      <c r="KR14" s="425"/>
      <c r="KS14" s="439"/>
      <c r="KT14" s="439"/>
      <c r="KU14" s="425"/>
      <c r="KV14" s="425"/>
      <c r="KW14" s="425"/>
      <c r="KX14" s="425"/>
      <c r="KY14" s="425"/>
      <c r="KZ14" s="439"/>
      <c r="LA14" s="439"/>
      <c r="LB14" s="425"/>
      <c r="LC14" s="425"/>
      <c r="LD14" s="425"/>
      <c r="LE14" s="425"/>
      <c r="LF14" s="425"/>
      <c r="LG14" s="439"/>
      <c r="LH14" s="439"/>
      <c r="LI14" s="425"/>
      <c r="LJ14" s="425"/>
      <c r="LK14" s="425"/>
      <c r="LL14" s="425"/>
      <c r="LM14" s="425"/>
      <c r="LN14" s="439"/>
      <c r="LO14" s="439"/>
      <c r="LP14" s="425"/>
      <c r="LQ14" s="425"/>
      <c r="LR14" s="425"/>
      <c r="LS14" s="425"/>
      <c r="LT14" s="425"/>
      <c r="LU14" s="439"/>
      <c r="LV14" s="439"/>
      <c r="LW14" s="425"/>
      <c r="LX14" s="425"/>
      <c r="LY14" s="425"/>
      <c r="LZ14" s="425"/>
      <c r="MA14" s="425"/>
      <c r="MB14" s="439"/>
      <c r="MC14" s="439"/>
      <c r="MD14" s="425"/>
      <c r="ME14" s="425"/>
      <c r="MF14" s="425"/>
      <c r="MG14" s="425"/>
      <c r="MH14" s="425"/>
      <c r="MI14" s="439"/>
      <c r="MJ14" s="439"/>
      <c r="MK14" s="425"/>
      <c r="ML14" s="425"/>
      <c r="MM14" s="425"/>
      <c r="MN14" s="425"/>
      <c r="MO14" s="425"/>
      <c r="MP14" s="439"/>
      <c r="MQ14" s="439"/>
      <c r="MR14" s="425"/>
      <c r="MS14" s="425"/>
      <c r="MT14" s="425"/>
      <c r="MU14" s="425"/>
      <c r="MV14" s="425"/>
      <c r="MW14" s="439"/>
      <c r="MX14" s="439"/>
      <c r="MY14" s="425"/>
      <c r="MZ14" s="425"/>
      <c r="NA14" s="425"/>
      <c r="NB14" s="425"/>
      <c r="NC14" s="425"/>
      <c r="ND14" s="439"/>
      <c r="NE14" s="439"/>
      <c r="NF14" s="425"/>
      <c r="NG14" s="425"/>
      <c r="NH14" s="425"/>
      <c r="NI14" s="425"/>
      <c r="NJ14" s="425"/>
      <c r="NK14" s="439"/>
      <c r="NL14" s="439"/>
      <c r="NM14" s="425"/>
      <c r="NN14" s="425"/>
      <c r="NO14" s="425"/>
      <c r="NP14" s="425"/>
      <c r="NQ14" s="425"/>
      <c r="NR14" s="439"/>
      <c r="NS14" s="439"/>
    </row>
    <row r="15" spans="2:383">
      <c r="B15" s="544" t="str">
        <f>MASTER!B8</f>
        <v>Seal Chamber Drawing</v>
      </c>
      <c r="C15" s="544"/>
      <c r="D15" s="473" t="s">
        <v>122</v>
      </c>
      <c r="E15" s="465">
        <f>MASTER!C8/REPORT!$H$36</f>
        <v>0.5714285714285714</v>
      </c>
      <c r="H15" s="434">
        <f>IF(E15&lt;&gt;0,MAX(I12:I14)+1,"")</f>
        <v>7</v>
      </c>
      <c r="I15" s="434">
        <f t="shared" si="665"/>
        <v>7</v>
      </c>
      <c r="J15" s="468" cm="1">
        <f t="array" ref="J15">IF(GANTT_D!$E15&lt;&gt;0,INDEX($M$7:$NT$7,,MATCH(H15,$M$8:$NT$8,0)),"")</f>
        <v>2</v>
      </c>
      <c r="K15" s="468" cm="1">
        <f t="array" ref="K15">IF(GANTT_D!$E15&lt;&gt;0,INDEX($M$7:$NT$7,,MATCH(I15,$M$8:$NT$8,0)),"")</f>
        <v>2</v>
      </c>
      <c r="L15" s="424"/>
      <c r="M15" s="425"/>
      <c r="N15" s="425"/>
      <c r="O15" s="425"/>
      <c r="P15" s="425"/>
      <c r="Q15" s="425"/>
      <c r="R15" s="439"/>
      <c r="S15" s="439"/>
      <c r="T15" s="425"/>
      <c r="U15" s="425"/>
      <c r="V15" s="425"/>
      <c r="W15" s="425"/>
      <c r="X15" s="425"/>
      <c r="Y15" s="439"/>
      <c r="Z15" s="439"/>
      <c r="AA15" s="425"/>
      <c r="AB15" s="425"/>
      <c r="AC15" s="425"/>
      <c r="AD15" s="425"/>
      <c r="AE15" s="425"/>
      <c r="AF15" s="439"/>
      <c r="AG15" s="439"/>
      <c r="AH15" s="425"/>
      <c r="AI15" s="425"/>
      <c r="AJ15" s="425"/>
      <c r="AK15" s="425"/>
      <c r="AL15" s="425"/>
      <c r="AM15" s="439"/>
      <c r="AN15" s="439"/>
      <c r="AO15" s="425"/>
      <c r="AP15" s="425"/>
      <c r="AQ15" s="425"/>
      <c r="AR15" s="425"/>
      <c r="AS15" s="425"/>
      <c r="AT15" s="439"/>
      <c r="AU15" s="439"/>
      <c r="AV15" s="425"/>
      <c r="AW15" s="425"/>
      <c r="AX15" s="425"/>
      <c r="AY15" s="425"/>
      <c r="AZ15" s="425"/>
      <c r="BA15" s="439"/>
      <c r="BB15" s="439"/>
      <c r="BC15" s="425"/>
      <c r="BD15" s="425"/>
      <c r="BE15" s="425"/>
      <c r="BF15" s="425"/>
      <c r="BG15" s="425"/>
      <c r="BH15" s="439"/>
      <c r="BI15" s="439"/>
      <c r="BJ15" s="425"/>
      <c r="BK15" s="425"/>
      <c r="BL15" s="425"/>
      <c r="BM15" s="425"/>
      <c r="BN15" s="425"/>
      <c r="BO15" s="439"/>
      <c r="BP15" s="439"/>
      <c r="BQ15" s="425"/>
      <c r="BR15" s="425"/>
      <c r="BS15" s="425"/>
      <c r="BT15" s="425"/>
      <c r="BU15" s="425"/>
      <c r="BV15" s="439"/>
      <c r="BW15" s="439"/>
      <c r="BX15" s="425"/>
      <c r="BY15" s="425"/>
      <c r="BZ15" s="425"/>
      <c r="CA15" s="425"/>
      <c r="CB15" s="425"/>
      <c r="CC15" s="439"/>
      <c r="CD15" s="439"/>
      <c r="CE15" s="425"/>
      <c r="CF15" s="425"/>
      <c r="CG15" s="425"/>
      <c r="CH15" s="425"/>
      <c r="CI15" s="425"/>
      <c r="CJ15" s="439"/>
      <c r="CK15" s="439"/>
      <c r="CL15" s="425"/>
      <c r="CM15" s="425"/>
      <c r="CN15" s="425"/>
      <c r="CO15" s="425"/>
      <c r="CP15" s="425"/>
      <c r="CQ15" s="439"/>
      <c r="CR15" s="439"/>
      <c r="CS15" s="425"/>
      <c r="CT15" s="425"/>
      <c r="CU15" s="425"/>
      <c r="CV15" s="425"/>
      <c r="CW15" s="425"/>
      <c r="CX15" s="439"/>
      <c r="CY15" s="439"/>
      <c r="CZ15" s="425"/>
      <c r="DA15" s="425"/>
      <c r="DB15" s="425"/>
      <c r="DC15" s="425"/>
      <c r="DD15" s="425"/>
      <c r="DE15" s="439"/>
      <c r="DF15" s="439"/>
      <c r="DG15" s="425"/>
      <c r="DH15" s="425"/>
      <c r="DI15" s="425"/>
      <c r="DJ15" s="425"/>
      <c r="DK15" s="425"/>
      <c r="DL15" s="439"/>
      <c r="DM15" s="439"/>
      <c r="DN15" s="425"/>
      <c r="DO15" s="425"/>
      <c r="DP15" s="425"/>
      <c r="DQ15" s="425"/>
      <c r="DR15" s="425"/>
      <c r="DS15" s="439"/>
      <c r="DT15" s="439"/>
      <c r="DU15" s="425"/>
      <c r="DV15" s="425"/>
      <c r="DW15" s="425"/>
      <c r="DX15" s="425"/>
      <c r="DY15" s="425"/>
      <c r="DZ15" s="439"/>
      <c r="EA15" s="439"/>
      <c r="EB15" s="425"/>
      <c r="EC15" s="425"/>
      <c r="ED15" s="425"/>
      <c r="EE15" s="425"/>
      <c r="EF15" s="425"/>
      <c r="EG15" s="439"/>
      <c r="EH15" s="439"/>
      <c r="EI15" s="425"/>
      <c r="EJ15" s="425"/>
      <c r="EK15" s="425"/>
      <c r="EL15" s="425"/>
      <c r="EM15" s="425"/>
      <c r="EN15" s="439"/>
      <c r="EO15" s="439"/>
      <c r="EP15" s="425"/>
      <c r="EQ15" s="425"/>
      <c r="ER15" s="425"/>
      <c r="ES15" s="425"/>
      <c r="ET15" s="425"/>
      <c r="EU15" s="439"/>
      <c r="EV15" s="439"/>
      <c r="EW15" s="425"/>
      <c r="EX15" s="425"/>
      <c r="EY15" s="425"/>
      <c r="EZ15" s="425"/>
      <c r="FA15" s="425"/>
      <c r="FB15" s="439"/>
      <c r="FC15" s="439"/>
      <c r="FD15" s="425"/>
      <c r="FE15" s="425"/>
      <c r="FF15" s="425"/>
      <c r="FG15" s="425"/>
      <c r="FH15" s="425"/>
      <c r="FI15" s="439"/>
      <c r="FJ15" s="439"/>
      <c r="FK15" s="425"/>
      <c r="FL15" s="425"/>
      <c r="FM15" s="425"/>
      <c r="FN15" s="425"/>
      <c r="FO15" s="425"/>
      <c r="FP15" s="439"/>
      <c r="FQ15" s="439"/>
      <c r="FR15" s="425"/>
      <c r="FS15" s="425"/>
      <c r="FT15" s="425"/>
      <c r="FU15" s="425"/>
      <c r="FV15" s="425"/>
      <c r="FW15" s="439"/>
      <c r="FX15" s="439"/>
      <c r="FY15" s="425"/>
      <c r="FZ15" s="425"/>
      <c r="GA15" s="425"/>
      <c r="GB15" s="425"/>
      <c r="GC15" s="425"/>
      <c r="GD15" s="439"/>
      <c r="GE15" s="439"/>
      <c r="GF15" s="425"/>
      <c r="GG15" s="425"/>
      <c r="GH15" s="425"/>
      <c r="GI15" s="425"/>
      <c r="GJ15" s="425"/>
      <c r="GK15" s="439"/>
      <c r="GL15" s="439"/>
      <c r="GM15" s="425"/>
      <c r="GN15" s="425"/>
      <c r="GO15" s="425"/>
      <c r="GP15" s="425"/>
      <c r="GQ15" s="425"/>
      <c r="GR15" s="439"/>
      <c r="GS15" s="439"/>
      <c r="GT15" s="425"/>
      <c r="GU15" s="425"/>
      <c r="GV15" s="425"/>
      <c r="GW15" s="425"/>
      <c r="GX15" s="425"/>
      <c r="GY15" s="439"/>
      <c r="GZ15" s="439"/>
      <c r="HA15" s="425"/>
      <c r="HB15" s="425"/>
      <c r="HC15" s="425"/>
      <c r="HD15" s="425"/>
      <c r="HE15" s="425"/>
      <c r="HF15" s="439"/>
      <c r="HG15" s="439"/>
      <c r="HH15" s="425"/>
      <c r="HI15" s="425"/>
      <c r="HJ15" s="425"/>
      <c r="HK15" s="425"/>
      <c r="HL15" s="425"/>
      <c r="HM15" s="439"/>
      <c r="HN15" s="439"/>
      <c r="HO15" s="425"/>
      <c r="HP15" s="425"/>
      <c r="HQ15" s="425"/>
      <c r="HR15" s="425"/>
      <c r="HS15" s="425"/>
      <c r="HT15" s="439"/>
      <c r="HU15" s="439"/>
      <c r="HV15" s="425"/>
      <c r="HW15" s="425"/>
      <c r="HX15" s="425"/>
      <c r="HY15" s="425"/>
      <c r="HZ15" s="425"/>
      <c r="IA15" s="439"/>
      <c r="IB15" s="439"/>
      <c r="IC15" s="425"/>
      <c r="ID15" s="425"/>
      <c r="IE15" s="425"/>
      <c r="IF15" s="425"/>
      <c r="IG15" s="425"/>
      <c r="IH15" s="439"/>
      <c r="II15" s="439"/>
      <c r="IJ15" s="425"/>
      <c r="IK15" s="425"/>
      <c r="IL15" s="425"/>
      <c r="IM15" s="425"/>
      <c r="IN15" s="425"/>
      <c r="IO15" s="439"/>
      <c r="IP15" s="439"/>
      <c r="IQ15" s="425"/>
      <c r="IR15" s="425"/>
      <c r="IS15" s="425"/>
      <c r="IT15" s="425"/>
      <c r="IU15" s="425"/>
      <c r="IV15" s="439"/>
      <c r="IW15" s="439"/>
      <c r="IX15" s="425"/>
      <c r="IY15" s="425"/>
      <c r="IZ15" s="425"/>
      <c r="JA15" s="425"/>
      <c r="JB15" s="425"/>
      <c r="JC15" s="439"/>
      <c r="JD15" s="439"/>
      <c r="JE15" s="425"/>
      <c r="JF15" s="425"/>
      <c r="JG15" s="425"/>
      <c r="JH15" s="425"/>
      <c r="JI15" s="425"/>
      <c r="JJ15" s="439"/>
      <c r="JK15" s="439"/>
      <c r="JL15" s="425"/>
      <c r="JM15" s="425"/>
      <c r="JN15" s="425"/>
      <c r="JO15" s="425"/>
      <c r="JP15" s="425"/>
      <c r="JQ15" s="439"/>
      <c r="JR15" s="439"/>
      <c r="JS15" s="425"/>
      <c r="JT15" s="425"/>
      <c r="JU15" s="425"/>
      <c r="JV15" s="425"/>
      <c r="JW15" s="425"/>
      <c r="JX15" s="439"/>
      <c r="JY15" s="439"/>
      <c r="JZ15" s="425"/>
      <c r="KA15" s="425"/>
      <c r="KB15" s="425"/>
      <c r="KC15" s="425"/>
      <c r="KD15" s="425"/>
      <c r="KE15" s="439"/>
      <c r="KF15" s="439"/>
      <c r="KG15" s="425"/>
      <c r="KH15" s="425"/>
      <c r="KI15" s="425"/>
      <c r="KJ15" s="425"/>
      <c r="KK15" s="425"/>
      <c r="KL15" s="439"/>
      <c r="KM15" s="439"/>
      <c r="KN15" s="425"/>
      <c r="KO15" s="425"/>
      <c r="KP15" s="425"/>
      <c r="KQ15" s="425"/>
      <c r="KR15" s="425"/>
      <c r="KS15" s="439"/>
      <c r="KT15" s="439"/>
      <c r="KU15" s="425"/>
      <c r="KV15" s="425"/>
      <c r="KW15" s="425"/>
      <c r="KX15" s="425"/>
      <c r="KY15" s="425"/>
      <c r="KZ15" s="439"/>
      <c r="LA15" s="439"/>
      <c r="LB15" s="425"/>
      <c r="LC15" s="425"/>
      <c r="LD15" s="425"/>
      <c r="LE15" s="425"/>
      <c r="LF15" s="425"/>
      <c r="LG15" s="439"/>
      <c r="LH15" s="439"/>
      <c r="LI15" s="425"/>
      <c r="LJ15" s="425"/>
      <c r="LK15" s="425"/>
      <c r="LL15" s="425"/>
      <c r="LM15" s="425"/>
      <c r="LN15" s="439"/>
      <c r="LO15" s="439"/>
      <c r="LP15" s="425"/>
      <c r="LQ15" s="425"/>
      <c r="LR15" s="425"/>
      <c r="LS15" s="425"/>
      <c r="LT15" s="425"/>
      <c r="LU15" s="439"/>
      <c r="LV15" s="439"/>
      <c r="LW15" s="425"/>
      <c r="LX15" s="425"/>
      <c r="LY15" s="425"/>
      <c r="LZ15" s="425"/>
      <c r="MA15" s="425"/>
      <c r="MB15" s="439"/>
      <c r="MC15" s="439"/>
      <c r="MD15" s="425"/>
      <c r="ME15" s="425"/>
      <c r="MF15" s="425"/>
      <c r="MG15" s="425"/>
      <c r="MH15" s="425"/>
      <c r="MI15" s="439"/>
      <c r="MJ15" s="439"/>
      <c r="MK15" s="425"/>
      <c r="ML15" s="425"/>
      <c r="MM15" s="425"/>
      <c r="MN15" s="425"/>
      <c r="MO15" s="425"/>
      <c r="MP15" s="439"/>
      <c r="MQ15" s="439"/>
      <c r="MR15" s="425"/>
      <c r="MS15" s="425"/>
      <c r="MT15" s="425"/>
      <c r="MU15" s="425"/>
      <c r="MV15" s="425"/>
      <c r="MW15" s="439"/>
      <c r="MX15" s="439"/>
      <c r="MY15" s="425"/>
      <c r="MZ15" s="425"/>
      <c r="NA15" s="425"/>
      <c r="NB15" s="425"/>
      <c r="NC15" s="425"/>
      <c r="ND15" s="439"/>
      <c r="NE15" s="439"/>
      <c r="NF15" s="425"/>
      <c r="NG15" s="425"/>
      <c r="NH15" s="425"/>
      <c r="NI15" s="425"/>
      <c r="NJ15" s="425"/>
      <c r="NK15" s="439"/>
      <c r="NL15" s="439"/>
      <c r="NM15" s="425"/>
      <c r="NN15" s="425"/>
      <c r="NO15" s="425"/>
      <c r="NP15" s="425"/>
      <c r="NQ15" s="425"/>
      <c r="NR15" s="439"/>
      <c r="NS15" s="439"/>
    </row>
    <row r="16" spans="2:383">
      <c r="B16" s="543" t="str">
        <f>MASTER!B9</f>
        <v>dummy GAD</v>
      </c>
      <c r="C16" s="543"/>
      <c r="D16" s="424" t="s">
        <v>122</v>
      </c>
      <c r="E16" s="434">
        <f>MASTER!C9/REPORT!$H$36</f>
        <v>1.1428571428571428</v>
      </c>
      <c r="H16" s="434">
        <f>IF(E16&lt;&gt;0,I15+1,"")</f>
        <v>8</v>
      </c>
      <c r="I16" s="434">
        <f t="shared" si="665"/>
        <v>8</v>
      </c>
      <c r="J16" s="468" cm="1">
        <f t="array" ref="J16">IF(GANTT_D!$E16&lt;&gt;0,INDEX($M$7:$NT$7,,MATCH(H16,$M$8:$NT$8,0)),"")</f>
        <v>2</v>
      </c>
      <c r="K16" s="468" cm="1">
        <f t="array" ref="K16">IF(GANTT_D!$E16&lt;&gt;0,INDEX($M$7:$NT$7,,MATCH(I16,$M$8:$NT$8,0)),"")</f>
        <v>2</v>
      </c>
      <c r="L16" s="424"/>
      <c r="M16" s="425"/>
      <c r="N16" s="425"/>
      <c r="O16" s="425"/>
      <c r="P16" s="425"/>
      <c r="Q16" s="425"/>
      <c r="R16" s="439"/>
      <c r="S16" s="439"/>
      <c r="T16" s="425"/>
      <c r="U16" s="425"/>
      <c r="V16" s="425"/>
      <c r="W16" s="425"/>
      <c r="X16" s="425"/>
      <c r="Y16" s="439"/>
      <c r="Z16" s="439"/>
      <c r="AA16" s="425"/>
      <c r="AB16" s="425"/>
      <c r="AC16" s="425"/>
      <c r="AD16" s="425"/>
      <c r="AE16" s="425"/>
      <c r="AF16" s="439"/>
      <c r="AG16" s="439"/>
      <c r="AH16" s="425"/>
      <c r="AI16" s="425"/>
      <c r="AJ16" s="425"/>
      <c r="AK16" s="425"/>
      <c r="AL16" s="425"/>
      <c r="AM16" s="439"/>
      <c r="AN16" s="439"/>
      <c r="AO16" s="425"/>
      <c r="AP16" s="425"/>
      <c r="AQ16" s="425"/>
      <c r="AR16" s="425"/>
      <c r="AS16" s="425"/>
      <c r="AT16" s="439"/>
      <c r="AU16" s="439"/>
      <c r="AV16" s="425"/>
      <c r="AW16" s="425"/>
      <c r="AX16" s="425"/>
      <c r="AY16" s="425"/>
      <c r="AZ16" s="425"/>
      <c r="BA16" s="439"/>
      <c r="BB16" s="439"/>
      <c r="BC16" s="425"/>
      <c r="BD16" s="425"/>
      <c r="BE16" s="425"/>
      <c r="BF16" s="425"/>
      <c r="BG16" s="425"/>
      <c r="BH16" s="439"/>
      <c r="BI16" s="439"/>
      <c r="BJ16" s="425"/>
      <c r="BK16" s="425"/>
      <c r="BL16" s="425"/>
      <c r="BM16" s="425"/>
      <c r="BN16" s="425"/>
      <c r="BO16" s="439"/>
      <c r="BP16" s="439"/>
      <c r="BQ16" s="425"/>
      <c r="BR16" s="425"/>
      <c r="BS16" s="425"/>
      <c r="BT16" s="425"/>
      <c r="BU16" s="425"/>
      <c r="BV16" s="439"/>
      <c r="BW16" s="439"/>
      <c r="BX16" s="425"/>
      <c r="BY16" s="425"/>
      <c r="BZ16" s="425"/>
      <c r="CA16" s="425"/>
      <c r="CB16" s="425"/>
      <c r="CC16" s="439"/>
      <c r="CD16" s="439"/>
      <c r="CE16" s="425"/>
      <c r="CF16" s="425"/>
      <c r="CG16" s="425"/>
      <c r="CH16" s="425"/>
      <c r="CI16" s="425"/>
      <c r="CJ16" s="439"/>
      <c r="CK16" s="439"/>
      <c r="CL16" s="425"/>
      <c r="CM16" s="425"/>
      <c r="CN16" s="425"/>
      <c r="CO16" s="425"/>
      <c r="CP16" s="425"/>
      <c r="CQ16" s="439"/>
      <c r="CR16" s="439"/>
      <c r="CS16" s="425"/>
      <c r="CT16" s="425"/>
      <c r="CU16" s="425"/>
      <c r="CV16" s="425"/>
      <c r="CW16" s="425"/>
      <c r="CX16" s="439"/>
      <c r="CY16" s="439"/>
      <c r="CZ16" s="425"/>
      <c r="DA16" s="425"/>
      <c r="DB16" s="425"/>
      <c r="DC16" s="425"/>
      <c r="DD16" s="425"/>
      <c r="DE16" s="439"/>
      <c r="DF16" s="439"/>
      <c r="DG16" s="425"/>
      <c r="DH16" s="425"/>
      <c r="DI16" s="425"/>
      <c r="DJ16" s="425"/>
      <c r="DK16" s="425"/>
      <c r="DL16" s="439"/>
      <c r="DM16" s="439"/>
      <c r="DN16" s="425"/>
      <c r="DO16" s="425"/>
      <c r="DP16" s="425"/>
      <c r="DQ16" s="425"/>
      <c r="DR16" s="425"/>
      <c r="DS16" s="439"/>
      <c r="DT16" s="439"/>
      <c r="DU16" s="425"/>
      <c r="DV16" s="425"/>
      <c r="DW16" s="425"/>
      <c r="DX16" s="425"/>
      <c r="DY16" s="425"/>
      <c r="DZ16" s="439"/>
      <c r="EA16" s="439"/>
      <c r="EB16" s="425"/>
      <c r="EC16" s="425"/>
      <c r="ED16" s="425"/>
      <c r="EE16" s="425"/>
      <c r="EF16" s="425"/>
      <c r="EG16" s="439"/>
      <c r="EH16" s="439"/>
      <c r="EI16" s="425"/>
      <c r="EJ16" s="425"/>
      <c r="EK16" s="425"/>
      <c r="EL16" s="425"/>
      <c r="EM16" s="425"/>
      <c r="EN16" s="439"/>
      <c r="EO16" s="439"/>
      <c r="EP16" s="425"/>
      <c r="EQ16" s="425"/>
      <c r="ER16" s="425"/>
      <c r="ES16" s="425"/>
      <c r="ET16" s="425"/>
      <c r="EU16" s="439"/>
      <c r="EV16" s="439"/>
      <c r="EW16" s="425"/>
      <c r="EX16" s="425"/>
      <c r="EY16" s="425"/>
      <c r="EZ16" s="425"/>
      <c r="FA16" s="425"/>
      <c r="FB16" s="439"/>
      <c r="FC16" s="439"/>
      <c r="FD16" s="425"/>
      <c r="FE16" s="425"/>
      <c r="FF16" s="425"/>
      <c r="FG16" s="425"/>
      <c r="FH16" s="425"/>
      <c r="FI16" s="439"/>
      <c r="FJ16" s="439"/>
      <c r="FK16" s="425"/>
      <c r="FL16" s="425"/>
      <c r="FM16" s="425"/>
      <c r="FN16" s="425"/>
      <c r="FO16" s="425"/>
      <c r="FP16" s="439"/>
      <c r="FQ16" s="439"/>
      <c r="FR16" s="425"/>
      <c r="FS16" s="425"/>
      <c r="FT16" s="425"/>
      <c r="FU16" s="425"/>
      <c r="FV16" s="425"/>
      <c r="FW16" s="439"/>
      <c r="FX16" s="439"/>
      <c r="FY16" s="425"/>
      <c r="FZ16" s="425"/>
      <c r="GA16" s="425"/>
      <c r="GB16" s="425"/>
      <c r="GC16" s="425"/>
      <c r="GD16" s="439"/>
      <c r="GE16" s="439"/>
      <c r="GF16" s="425"/>
      <c r="GG16" s="425"/>
      <c r="GH16" s="425"/>
      <c r="GI16" s="425"/>
      <c r="GJ16" s="425"/>
      <c r="GK16" s="439"/>
      <c r="GL16" s="439"/>
      <c r="GM16" s="425"/>
      <c r="GN16" s="425"/>
      <c r="GO16" s="425"/>
      <c r="GP16" s="425"/>
      <c r="GQ16" s="425"/>
      <c r="GR16" s="439"/>
      <c r="GS16" s="439"/>
      <c r="GT16" s="425"/>
      <c r="GU16" s="425"/>
      <c r="GV16" s="425"/>
      <c r="GW16" s="425"/>
      <c r="GX16" s="425"/>
      <c r="GY16" s="439"/>
      <c r="GZ16" s="439"/>
      <c r="HA16" s="425"/>
      <c r="HB16" s="425"/>
      <c r="HC16" s="425"/>
      <c r="HD16" s="425"/>
      <c r="HE16" s="425"/>
      <c r="HF16" s="439"/>
      <c r="HG16" s="439"/>
      <c r="HH16" s="425"/>
      <c r="HI16" s="425"/>
      <c r="HJ16" s="425"/>
      <c r="HK16" s="425"/>
      <c r="HL16" s="425"/>
      <c r="HM16" s="439"/>
      <c r="HN16" s="439"/>
      <c r="HO16" s="425"/>
      <c r="HP16" s="425"/>
      <c r="HQ16" s="425"/>
      <c r="HR16" s="425"/>
      <c r="HS16" s="425"/>
      <c r="HT16" s="439"/>
      <c r="HU16" s="439"/>
      <c r="HV16" s="425"/>
      <c r="HW16" s="425"/>
      <c r="HX16" s="425"/>
      <c r="HY16" s="425"/>
      <c r="HZ16" s="425"/>
      <c r="IA16" s="439"/>
      <c r="IB16" s="439"/>
      <c r="IC16" s="425"/>
      <c r="ID16" s="425"/>
      <c r="IE16" s="425"/>
      <c r="IF16" s="425"/>
      <c r="IG16" s="425"/>
      <c r="IH16" s="439"/>
      <c r="II16" s="439"/>
      <c r="IJ16" s="425"/>
      <c r="IK16" s="425"/>
      <c r="IL16" s="425"/>
      <c r="IM16" s="425"/>
      <c r="IN16" s="425"/>
      <c r="IO16" s="439"/>
      <c r="IP16" s="439"/>
      <c r="IQ16" s="425"/>
      <c r="IR16" s="425"/>
      <c r="IS16" s="425"/>
      <c r="IT16" s="425"/>
      <c r="IU16" s="425"/>
      <c r="IV16" s="439"/>
      <c r="IW16" s="439"/>
      <c r="IX16" s="425"/>
      <c r="IY16" s="425"/>
      <c r="IZ16" s="425"/>
      <c r="JA16" s="425"/>
      <c r="JB16" s="425"/>
      <c r="JC16" s="439"/>
      <c r="JD16" s="439"/>
      <c r="JE16" s="425"/>
      <c r="JF16" s="425"/>
      <c r="JG16" s="425"/>
      <c r="JH16" s="425"/>
      <c r="JI16" s="425"/>
      <c r="JJ16" s="439"/>
      <c r="JK16" s="439"/>
      <c r="JL16" s="425"/>
      <c r="JM16" s="425"/>
      <c r="JN16" s="425"/>
      <c r="JO16" s="425"/>
      <c r="JP16" s="425"/>
      <c r="JQ16" s="439"/>
      <c r="JR16" s="439"/>
      <c r="JS16" s="425"/>
      <c r="JT16" s="425"/>
      <c r="JU16" s="425"/>
      <c r="JV16" s="425"/>
      <c r="JW16" s="425"/>
      <c r="JX16" s="439"/>
      <c r="JY16" s="439"/>
      <c r="JZ16" s="425"/>
      <c r="KA16" s="425"/>
      <c r="KB16" s="425"/>
      <c r="KC16" s="425"/>
      <c r="KD16" s="425"/>
      <c r="KE16" s="439"/>
      <c r="KF16" s="439"/>
      <c r="KG16" s="425"/>
      <c r="KH16" s="425"/>
      <c r="KI16" s="425"/>
      <c r="KJ16" s="425"/>
      <c r="KK16" s="425"/>
      <c r="KL16" s="439"/>
      <c r="KM16" s="439"/>
      <c r="KN16" s="425"/>
      <c r="KO16" s="425"/>
      <c r="KP16" s="425"/>
      <c r="KQ16" s="425"/>
      <c r="KR16" s="425"/>
      <c r="KS16" s="439"/>
      <c r="KT16" s="439"/>
      <c r="KU16" s="425"/>
      <c r="KV16" s="425"/>
      <c r="KW16" s="425"/>
      <c r="KX16" s="425"/>
      <c r="KY16" s="425"/>
      <c r="KZ16" s="439"/>
      <c r="LA16" s="439"/>
      <c r="LB16" s="425"/>
      <c r="LC16" s="425"/>
      <c r="LD16" s="425"/>
      <c r="LE16" s="425"/>
      <c r="LF16" s="425"/>
      <c r="LG16" s="439"/>
      <c r="LH16" s="439"/>
      <c r="LI16" s="425"/>
      <c r="LJ16" s="425"/>
      <c r="LK16" s="425"/>
      <c r="LL16" s="425"/>
      <c r="LM16" s="425"/>
      <c r="LN16" s="439"/>
      <c r="LO16" s="439"/>
      <c r="LP16" s="425"/>
      <c r="LQ16" s="425"/>
      <c r="LR16" s="425"/>
      <c r="LS16" s="425"/>
      <c r="LT16" s="425"/>
      <c r="LU16" s="439"/>
      <c r="LV16" s="439"/>
      <c r="LW16" s="425"/>
      <c r="LX16" s="425"/>
      <c r="LY16" s="425"/>
      <c r="LZ16" s="425"/>
      <c r="MA16" s="425"/>
      <c r="MB16" s="439"/>
      <c r="MC16" s="439"/>
      <c r="MD16" s="425"/>
      <c r="ME16" s="425"/>
      <c r="MF16" s="425"/>
      <c r="MG16" s="425"/>
      <c r="MH16" s="425"/>
      <c r="MI16" s="439"/>
      <c r="MJ16" s="439"/>
      <c r="MK16" s="425"/>
      <c r="ML16" s="425"/>
      <c r="MM16" s="425"/>
      <c r="MN16" s="425"/>
      <c r="MO16" s="425"/>
      <c r="MP16" s="439"/>
      <c r="MQ16" s="439"/>
      <c r="MR16" s="425"/>
      <c r="MS16" s="425"/>
      <c r="MT16" s="425"/>
      <c r="MU16" s="425"/>
      <c r="MV16" s="425"/>
      <c r="MW16" s="439"/>
      <c r="MX16" s="439"/>
      <c r="MY16" s="425"/>
      <c r="MZ16" s="425"/>
      <c r="NA16" s="425"/>
      <c r="NB16" s="425"/>
      <c r="NC16" s="425"/>
      <c r="ND16" s="439"/>
      <c r="NE16" s="439"/>
      <c r="NF16" s="425"/>
      <c r="NG16" s="425"/>
      <c r="NH16" s="425"/>
      <c r="NI16" s="425"/>
      <c r="NJ16" s="425"/>
      <c r="NK16" s="439"/>
      <c r="NL16" s="439"/>
      <c r="NM16" s="425"/>
      <c r="NN16" s="425"/>
      <c r="NO16" s="425"/>
      <c r="NP16" s="425"/>
      <c r="NQ16" s="425"/>
      <c r="NR16" s="439"/>
      <c r="NS16" s="439"/>
    </row>
    <row r="17" spans="2:383">
      <c r="B17" s="544" t="str">
        <f>MASTER!B10</f>
        <v>Fluid Dynamics Analysis</v>
      </c>
      <c r="C17" s="544"/>
      <c r="D17" s="473" t="s">
        <v>365</v>
      </c>
      <c r="E17" s="465">
        <f>MASTER!C10/REPORT!$H$36</f>
        <v>0</v>
      </c>
      <c r="H17" s="434" t="str">
        <f>IF(E17&lt;&gt;0,I13+1,"")</f>
        <v/>
      </c>
      <c r="I17" s="434" t="str">
        <f t="shared" si="665"/>
        <v/>
      </c>
      <c r="J17" s="468" t="str" cm="1">
        <f t="array" ref="J17">IF(GANTT_D!$E17&lt;&gt;0,INDEX($M$7:$NT$7,,MATCH(H17,$M$8:$NT$8,0)),"")</f>
        <v/>
      </c>
      <c r="K17" s="468" t="str" cm="1">
        <f t="array" ref="K17">IF(GANTT_D!$E17&lt;&gt;0,INDEX($M$7:$NT$7,,MATCH(I17,$M$8:$NT$8,0)),"")</f>
        <v/>
      </c>
      <c r="L17" s="424"/>
      <c r="M17" s="425"/>
      <c r="N17" s="425"/>
      <c r="O17" s="425"/>
      <c r="P17" s="425"/>
      <c r="Q17" s="425"/>
      <c r="R17" s="439"/>
      <c r="S17" s="439"/>
      <c r="T17" s="425"/>
      <c r="U17" s="425"/>
      <c r="V17" s="425"/>
      <c r="W17" s="425"/>
      <c r="X17" s="425"/>
      <c r="Y17" s="439"/>
      <c r="Z17" s="439"/>
      <c r="AA17" s="425"/>
      <c r="AB17" s="425"/>
      <c r="AC17" s="425"/>
      <c r="AD17" s="425"/>
      <c r="AE17" s="425"/>
      <c r="AF17" s="439"/>
      <c r="AG17" s="439"/>
      <c r="AH17" s="425"/>
      <c r="AI17" s="425"/>
      <c r="AJ17" s="425"/>
      <c r="AK17" s="425"/>
      <c r="AL17" s="425"/>
      <c r="AM17" s="439"/>
      <c r="AN17" s="439"/>
      <c r="AO17" s="425"/>
      <c r="AP17" s="425"/>
      <c r="AQ17" s="425"/>
      <c r="AR17" s="425"/>
      <c r="AS17" s="425"/>
      <c r="AT17" s="439"/>
      <c r="AU17" s="439"/>
      <c r="AV17" s="425"/>
      <c r="AW17" s="425"/>
      <c r="AX17" s="425"/>
      <c r="AY17" s="425"/>
      <c r="AZ17" s="425"/>
      <c r="BA17" s="439"/>
      <c r="BB17" s="439"/>
      <c r="BC17" s="425"/>
      <c r="BD17" s="425"/>
      <c r="BE17" s="425"/>
      <c r="BF17" s="425"/>
      <c r="BG17" s="425"/>
      <c r="BH17" s="439"/>
      <c r="BI17" s="439"/>
      <c r="BJ17" s="425"/>
      <c r="BK17" s="425"/>
      <c r="BL17" s="425"/>
      <c r="BM17" s="425"/>
      <c r="BN17" s="425"/>
      <c r="BO17" s="439"/>
      <c r="BP17" s="439"/>
      <c r="BQ17" s="425"/>
      <c r="BR17" s="425"/>
      <c r="BS17" s="425"/>
      <c r="BT17" s="425"/>
      <c r="BU17" s="425"/>
      <c r="BV17" s="439"/>
      <c r="BW17" s="439"/>
      <c r="BX17" s="425"/>
      <c r="BY17" s="425"/>
      <c r="BZ17" s="425"/>
      <c r="CA17" s="425"/>
      <c r="CB17" s="425"/>
      <c r="CC17" s="439"/>
      <c r="CD17" s="439"/>
      <c r="CE17" s="425"/>
      <c r="CF17" s="425"/>
      <c r="CG17" s="425"/>
      <c r="CH17" s="425"/>
      <c r="CI17" s="425"/>
      <c r="CJ17" s="439"/>
      <c r="CK17" s="439"/>
      <c r="CL17" s="425"/>
      <c r="CM17" s="425"/>
      <c r="CN17" s="425"/>
      <c r="CO17" s="425"/>
      <c r="CP17" s="425"/>
      <c r="CQ17" s="439"/>
      <c r="CR17" s="439"/>
      <c r="CS17" s="425"/>
      <c r="CT17" s="425"/>
      <c r="CU17" s="425"/>
      <c r="CV17" s="425"/>
      <c r="CW17" s="425"/>
      <c r="CX17" s="439"/>
      <c r="CY17" s="439"/>
      <c r="CZ17" s="425"/>
      <c r="DA17" s="425"/>
      <c r="DB17" s="425"/>
      <c r="DC17" s="425"/>
      <c r="DD17" s="425"/>
      <c r="DE17" s="439"/>
      <c r="DF17" s="439"/>
      <c r="DG17" s="425"/>
      <c r="DH17" s="425"/>
      <c r="DI17" s="425"/>
      <c r="DJ17" s="425"/>
      <c r="DK17" s="425"/>
      <c r="DL17" s="439"/>
      <c r="DM17" s="439"/>
      <c r="DN17" s="425"/>
      <c r="DO17" s="425"/>
      <c r="DP17" s="425"/>
      <c r="DQ17" s="425"/>
      <c r="DR17" s="425"/>
      <c r="DS17" s="439"/>
      <c r="DT17" s="439"/>
      <c r="DU17" s="425"/>
      <c r="DV17" s="425"/>
      <c r="DW17" s="425"/>
      <c r="DX17" s="425"/>
      <c r="DY17" s="425"/>
      <c r="DZ17" s="439"/>
      <c r="EA17" s="439"/>
      <c r="EB17" s="425"/>
      <c r="EC17" s="425"/>
      <c r="ED17" s="425"/>
      <c r="EE17" s="425"/>
      <c r="EF17" s="425"/>
      <c r="EG17" s="439"/>
      <c r="EH17" s="439"/>
      <c r="EI17" s="425"/>
      <c r="EJ17" s="425"/>
      <c r="EK17" s="425"/>
      <c r="EL17" s="425"/>
      <c r="EM17" s="425"/>
      <c r="EN17" s="439"/>
      <c r="EO17" s="439"/>
      <c r="EP17" s="425"/>
      <c r="EQ17" s="425"/>
      <c r="ER17" s="425"/>
      <c r="ES17" s="425"/>
      <c r="ET17" s="425"/>
      <c r="EU17" s="439"/>
      <c r="EV17" s="439"/>
      <c r="EW17" s="425"/>
      <c r="EX17" s="425"/>
      <c r="EY17" s="425"/>
      <c r="EZ17" s="425"/>
      <c r="FA17" s="425"/>
      <c r="FB17" s="439"/>
      <c r="FC17" s="439"/>
      <c r="FD17" s="425"/>
      <c r="FE17" s="425"/>
      <c r="FF17" s="425"/>
      <c r="FG17" s="425"/>
      <c r="FH17" s="425"/>
      <c r="FI17" s="439"/>
      <c r="FJ17" s="439"/>
      <c r="FK17" s="425"/>
      <c r="FL17" s="425"/>
      <c r="FM17" s="425"/>
      <c r="FN17" s="425"/>
      <c r="FO17" s="425"/>
      <c r="FP17" s="439"/>
      <c r="FQ17" s="439"/>
      <c r="FR17" s="425"/>
      <c r="FS17" s="425"/>
      <c r="FT17" s="425"/>
      <c r="FU17" s="425"/>
      <c r="FV17" s="425"/>
      <c r="FW17" s="439"/>
      <c r="FX17" s="439"/>
      <c r="FY17" s="425"/>
      <c r="FZ17" s="425"/>
      <c r="GA17" s="425"/>
      <c r="GB17" s="425"/>
      <c r="GC17" s="425"/>
      <c r="GD17" s="439"/>
      <c r="GE17" s="439"/>
      <c r="GF17" s="425"/>
      <c r="GG17" s="425"/>
      <c r="GH17" s="425"/>
      <c r="GI17" s="425"/>
      <c r="GJ17" s="425"/>
      <c r="GK17" s="439"/>
      <c r="GL17" s="439"/>
      <c r="GM17" s="425"/>
      <c r="GN17" s="425"/>
      <c r="GO17" s="425"/>
      <c r="GP17" s="425"/>
      <c r="GQ17" s="425"/>
      <c r="GR17" s="439"/>
      <c r="GS17" s="439"/>
      <c r="GT17" s="425"/>
      <c r="GU17" s="425"/>
      <c r="GV17" s="425"/>
      <c r="GW17" s="425"/>
      <c r="GX17" s="425"/>
      <c r="GY17" s="439"/>
      <c r="GZ17" s="439"/>
      <c r="HA17" s="425"/>
      <c r="HB17" s="425"/>
      <c r="HC17" s="425"/>
      <c r="HD17" s="425"/>
      <c r="HE17" s="425"/>
      <c r="HF17" s="439"/>
      <c r="HG17" s="439"/>
      <c r="HH17" s="425"/>
      <c r="HI17" s="425"/>
      <c r="HJ17" s="425"/>
      <c r="HK17" s="425"/>
      <c r="HL17" s="425"/>
      <c r="HM17" s="439"/>
      <c r="HN17" s="439"/>
      <c r="HO17" s="425"/>
      <c r="HP17" s="425"/>
      <c r="HQ17" s="425"/>
      <c r="HR17" s="425"/>
      <c r="HS17" s="425"/>
      <c r="HT17" s="439"/>
      <c r="HU17" s="439"/>
      <c r="HV17" s="425"/>
      <c r="HW17" s="425"/>
      <c r="HX17" s="425"/>
      <c r="HY17" s="425"/>
      <c r="HZ17" s="425"/>
      <c r="IA17" s="439"/>
      <c r="IB17" s="439"/>
      <c r="IC17" s="425"/>
      <c r="ID17" s="425"/>
      <c r="IE17" s="425"/>
      <c r="IF17" s="425"/>
      <c r="IG17" s="425"/>
      <c r="IH17" s="439"/>
      <c r="II17" s="439"/>
      <c r="IJ17" s="425"/>
      <c r="IK17" s="425"/>
      <c r="IL17" s="425"/>
      <c r="IM17" s="425"/>
      <c r="IN17" s="425"/>
      <c r="IO17" s="439"/>
      <c r="IP17" s="439"/>
      <c r="IQ17" s="425"/>
      <c r="IR17" s="425"/>
      <c r="IS17" s="425"/>
      <c r="IT17" s="425"/>
      <c r="IU17" s="425"/>
      <c r="IV17" s="439"/>
      <c r="IW17" s="439"/>
      <c r="IX17" s="425"/>
      <c r="IY17" s="425"/>
      <c r="IZ17" s="425"/>
      <c r="JA17" s="425"/>
      <c r="JB17" s="425"/>
      <c r="JC17" s="439"/>
      <c r="JD17" s="439"/>
      <c r="JE17" s="425"/>
      <c r="JF17" s="425"/>
      <c r="JG17" s="425"/>
      <c r="JH17" s="425"/>
      <c r="JI17" s="425"/>
      <c r="JJ17" s="439"/>
      <c r="JK17" s="439"/>
      <c r="JL17" s="425"/>
      <c r="JM17" s="425"/>
      <c r="JN17" s="425"/>
      <c r="JO17" s="425"/>
      <c r="JP17" s="425"/>
      <c r="JQ17" s="439"/>
      <c r="JR17" s="439"/>
      <c r="JS17" s="425"/>
      <c r="JT17" s="425"/>
      <c r="JU17" s="425"/>
      <c r="JV17" s="425"/>
      <c r="JW17" s="425"/>
      <c r="JX17" s="439"/>
      <c r="JY17" s="439"/>
      <c r="JZ17" s="425"/>
      <c r="KA17" s="425"/>
      <c r="KB17" s="425"/>
      <c r="KC17" s="425"/>
      <c r="KD17" s="425"/>
      <c r="KE17" s="439"/>
      <c r="KF17" s="439"/>
      <c r="KG17" s="425"/>
      <c r="KH17" s="425"/>
      <c r="KI17" s="425"/>
      <c r="KJ17" s="425"/>
      <c r="KK17" s="425"/>
      <c r="KL17" s="439"/>
      <c r="KM17" s="439"/>
      <c r="KN17" s="425"/>
      <c r="KO17" s="425"/>
      <c r="KP17" s="425"/>
      <c r="KQ17" s="425"/>
      <c r="KR17" s="425"/>
      <c r="KS17" s="439"/>
      <c r="KT17" s="439"/>
      <c r="KU17" s="425"/>
      <c r="KV17" s="425"/>
      <c r="KW17" s="425"/>
      <c r="KX17" s="425"/>
      <c r="KY17" s="425"/>
      <c r="KZ17" s="439"/>
      <c r="LA17" s="439"/>
      <c r="LB17" s="425"/>
      <c r="LC17" s="425"/>
      <c r="LD17" s="425"/>
      <c r="LE17" s="425"/>
      <c r="LF17" s="425"/>
      <c r="LG17" s="439"/>
      <c r="LH17" s="439"/>
      <c r="LI17" s="425"/>
      <c r="LJ17" s="425"/>
      <c r="LK17" s="425"/>
      <c r="LL17" s="425"/>
      <c r="LM17" s="425"/>
      <c r="LN17" s="439"/>
      <c r="LO17" s="439"/>
      <c r="LP17" s="425"/>
      <c r="LQ17" s="425"/>
      <c r="LR17" s="425"/>
      <c r="LS17" s="425"/>
      <c r="LT17" s="425"/>
      <c r="LU17" s="439"/>
      <c r="LV17" s="439"/>
      <c r="LW17" s="425"/>
      <c r="LX17" s="425"/>
      <c r="LY17" s="425"/>
      <c r="LZ17" s="425"/>
      <c r="MA17" s="425"/>
      <c r="MB17" s="439"/>
      <c r="MC17" s="439"/>
      <c r="MD17" s="425"/>
      <c r="ME17" s="425"/>
      <c r="MF17" s="425"/>
      <c r="MG17" s="425"/>
      <c r="MH17" s="425"/>
      <c r="MI17" s="439"/>
      <c r="MJ17" s="439"/>
      <c r="MK17" s="425"/>
      <c r="ML17" s="425"/>
      <c r="MM17" s="425"/>
      <c r="MN17" s="425"/>
      <c r="MO17" s="425"/>
      <c r="MP17" s="439"/>
      <c r="MQ17" s="439"/>
      <c r="MR17" s="425"/>
      <c r="MS17" s="425"/>
      <c r="MT17" s="425"/>
      <c r="MU17" s="425"/>
      <c r="MV17" s="425"/>
      <c r="MW17" s="439"/>
      <c r="MX17" s="439"/>
      <c r="MY17" s="425"/>
      <c r="MZ17" s="425"/>
      <c r="NA17" s="425"/>
      <c r="NB17" s="425"/>
      <c r="NC17" s="425"/>
      <c r="ND17" s="439"/>
      <c r="NE17" s="439"/>
      <c r="NF17" s="425"/>
      <c r="NG17" s="425"/>
      <c r="NH17" s="425"/>
      <c r="NI17" s="425"/>
      <c r="NJ17" s="425"/>
      <c r="NK17" s="439"/>
      <c r="NL17" s="439"/>
      <c r="NM17" s="425"/>
      <c r="NN17" s="425"/>
      <c r="NO17" s="425"/>
      <c r="NP17" s="425"/>
      <c r="NQ17" s="425"/>
      <c r="NR17" s="439"/>
      <c r="NS17" s="439"/>
    </row>
    <row r="18" spans="2:383">
      <c r="B18" s="543" t="str">
        <f>MASTER!B11</f>
        <v>Special Design: Intake/ Piping</v>
      </c>
      <c r="C18" s="543"/>
      <c r="D18" s="424" t="s">
        <v>365</v>
      </c>
      <c r="E18" s="434">
        <f>MASTER!C11/REPORT!$H$36</f>
        <v>0</v>
      </c>
      <c r="H18" s="434" t="str">
        <f>IF(E18&lt;&gt;0,I17+1,"")</f>
        <v/>
      </c>
      <c r="I18" s="434" t="str">
        <f t="shared" si="665"/>
        <v/>
      </c>
      <c r="J18" s="468" t="str" cm="1">
        <f t="array" ref="J18">IF(GANTT_D!$E18&lt;&gt;0,INDEX($M$7:$NT$7,,MATCH(H18,$M$8:$NT$8,0)),"")</f>
        <v/>
      </c>
      <c r="K18" s="468" t="str" cm="1">
        <f t="array" ref="K18">IF(GANTT_D!$E18&lt;&gt;0,INDEX($M$7:$NT$7,,MATCH(I18,$M$8:$NT$8,0)),"")</f>
        <v/>
      </c>
      <c r="L18" s="424"/>
      <c r="M18" s="425"/>
      <c r="N18" s="425"/>
      <c r="O18" s="425"/>
      <c r="P18" s="425"/>
      <c r="Q18" s="425"/>
      <c r="R18" s="439"/>
      <c r="S18" s="439"/>
      <c r="T18" s="425"/>
      <c r="U18" s="425"/>
      <c r="V18" s="425"/>
      <c r="W18" s="425"/>
      <c r="X18" s="425"/>
      <c r="Y18" s="439"/>
      <c r="Z18" s="439"/>
      <c r="AA18" s="425"/>
      <c r="AB18" s="425"/>
      <c r="AC18" s="425"/>
      <c r="AD18" s="425"/>
      <c r="AE18" s="425"/>
      <c r="AF18" s="439"/>
      <c r="AG18" s="439"/>
      <c r="AH18" s="425"/>
      <c r="AI18" s="425"/>
      <c r="AJ18" s="425"/>
      <c r="AK18" s="425"/>
      <c r="AL18" s="425"/>
      <c r="AM18" s="439"/>
      <c r="AN18" s="439"/>
      <c r="AO18" s="425"/>
      <c r="AP18" s="425"/>
      <c r="AQ18" s="425"/>
      <c r="AR18" s="425"/>
      <c r="AS18" s="425"/>
      <c r="AT18" s="439"/>
      <c r="AU18" s="439"/>
      <c r="AV18" s="425"/>
      <c r="AW18" s="425"/>
      <c r="AX18" s="425"/>
      <c r="AY18" s="425"/>
      <c r="AZ18" s="425"/>
      <c r="BA18" s="439"/>
      <c r="BB18" s="439"/>
      <c r="BC18" s="425"/>
      <c r="BD18" s="425"/>
      <c r="BE18" s="425"/>
      <c r="BF18" s="425"/>
      <c r="BG18" s="425"/>
      <c r="BH18" s="439"/>
      <c r="BI18" s="439"/>
      <c r="BJ18" s="425"/>
      <c r="BK18" s="425"/>
      <c r="BL18" s="425"/>
      <c r="BM18" s="425"/>
      <c r="BN18" s="425"/>
      <c r="BO18" s="439"/>
      <c r="BP18" s="439"/>
      <c r="BQ18" s="425"/>
      <c r="BR18" s="425"/>
      <c r="BS18" s="425"/>
      <c r="BT18" s="425"/>
      <c r="BU18" s="425"/>
      <c r="BV18" s="439"/>
      <c r="BW18" s="439"/>
      <c r="BX18" s="425"/>
      <c r="BY18" s="425"/>
      <c r="BZ18" s="425"/>
      <c r="CA18" s="425"/>
      <c r="CB18" s="425"/>
      <c r="CC18" s="439"/>
      <c r="CD18" s="439"/>
      <c r="CE18" s="425"/>
      <c r="CF18" s="425"/>
      <c r="CG18" s="425"/>
      <c r="CH18" s="425"/>
      <c r="CI18" s="425"/>
      <c r="CJ18" s="439"/>
      <c r="CK18" s="439"/>
      <c r="CL18" s="425"/>
      <c r="CM18" s="425"/>
      <c r="CN18" s="425"/>
      <c r="CO18" s="425"/>
      <c r="CP18" s="425"/>
      <c r="CQ18" s="439"/>
      <c r="CR18" s="439"/>
      <c r="CS18" s="425"/>
      <c r="CT18" s="425"/>
      <c r="CU18" s="425"/>
      <c r="CV18" s="425"/>
      <c r="CW18" s="425"/>
      <c r="CX18" s="439"/>
      <c r="CY18" s="439"/>
      <c r="CZ18" s="425"/>
      <c r="DA18" s="425"/>
      <c r="DB18" s="425"/>
      <c r="DC18" s="425"/>
      <c r="DD18" s="425"/>
      <c r="DE18" s="439"/>
      <c r="DF18" s="439"/>
      <c r="DG18" s="425"/>
      <c r="DH18" s="425"/>
      <c r="DI18" s="425"/>
      <c r="DJ18" s="425"/>
      <c r="DK18" s="425"/>
      <c r="DL18" s="439"/>
      <c r="DM18" s="439"/>
      <c r="DN18" s="425"/>
      <c r="DO18" s="425"/>
      <c r="DP18" s="425"/>
      <c r="DQ18" s="425"/>
      <c r="DR18" s="425"/>
      <c r="DS18" s="439"/>
      <c r="DT18" s="439"/>
      <c r="DU18" s="425"/>
      <c r="DV18" s="425"/>
      <c r="DW18" s="425"/>
      <c r="DX18" s="425"/>
      <c r="DY18" s="425"/>
      <c r="DZ18" s="439"/>
      <c r="EA18" s="439"/>
      <c r="EB18" s="425"/>
      <c r="EC18" s="425"/>
      <c r="ED18" s="425"/>
      <c r="EE18" s="425"/>
      <c r="EF18" s="425"/>
      <c r="EG18" s="439"/>
      <c r="EH18" s="439"/>
      <c r="EI18" s="425"/>
      <c r="EJ18" s="425"/>
      <c r="EK18" s="425"/>
      <c r="EL18" s="425"/>
      <c r="EM18" s="425"/>
      <c r="EN18" s="439"/>
      <c r="EO18" s="439"/>
      <c r="EP18" s="425"/>
      <c r="EQ18" s="425"/>
      <c r="ER18" s="425"/>
      <c r="ES18" s="425"/>
      <c r="ET18" s="425"/>
      <c r="EU18" s="439"/>
      <c r="EV18" s="439"/>
      <c r="EW18" s="425"/>
      <c r="EX18" s="425"/>
      <c r="EY18" s="425"/>
      <c r="EZ18" s="425"/>
      <c r="FA18" s="425"/>
      <c r="FB18" s="439"/>
      <c r="FC18" s="439"/>
      <c r="FD18" s="425"/>
      <c r="FE18" s="425"/>
      <c r="FF18" s="425"/>
      <c r="FG18" s="425"/>
      <c r="FH18" s="425"/>
      <c r="FI18" s="439"/>
      <c r="FJ18" s="439"/>
      <c r="FK18" s="425"/>
      <c r="FL18" s="425"/>
      <c r="FM18" s="425"/>
      <c r="FN18" s="425"/>
      <c r="FO18" s="425"/>
      <c r="FP18" s="439"/>
      <c r="FQ18" s="439"/>
      <c r="FR18" s="425"/>
      <c r="FS18" s="425"/>
      <c r="FT18" s="425"/>
      <c r="FU18" s="425"/>
      <c r="FV18" s="425"/>
      <c r="FW18" s="439"/>
      <c r="FX18" s="439"/>
      <c r="FY18" s="425"/>
      <c r="FZ18" s="425"/>
      <c r="GA18" s="425"/>
      <c r="GB18" s="425"/>
      <c r="GC18" s="425"/>
      <c r="GD18" s="439"/>
      <c r="GE18" s="439"/>
      <c r="GF18" s="425"/>
      <c r="GG18" s="425"/>
      <c r="GH18" s="425"/>
      <c r="GI18" s="425"/>
      <c r="GJ18" s="425"/>
      <c r="GK18" s="439"/>
      <c r="GL18" s="439"/>
      <c r="GM18" s="425"/>
      <c r="GN18" s="425"/>
      <c r="GO18" s="425"/>
      <c r="GP18" s="425"/>
      <c r="GQ18" s="425"/>
      <c r="GR18" s="439"/>
      <c r="GS18" s="439"/>
      <c r="GT18" s="425"/>
      <c r="GU18" s="425"/>
      <c r="GV18" s="425"/>
      <c r="GW18" s="425"/>
      <c r="GX18" s="425"/>
      <c r="GY18" s="439"/>
      <c r="GZ18" s="439"/>
      <c r="HA18" s="425"/>
      <c r="HB18" s="425"/>
      <c r="HC18" s="425"/>
      <c r="HD18" s="425"/>
      <c r="HE18" s="425"/>
      <c r="HF18" s="439"/>
      <c r="HG18" s="439"/>
      <c r="HH18" s="425"/>
      <c r="HI18" s="425"/>
      <c r="HJ18" s="425"/>
      <c r="HK18" s="425"/>
      <c r="HL18" s="425"/>
      <c r="HM18" s="439"/>
      <c r="HN18" s="439"/>
      <c r="HO18" s="425"/>
      <c r="HP18" s="425"/>
      <c r="HQ18" s="425"/>
      <c r="HR18" s="425"/>
      <c r="HS18" s="425"/>
      <c r="HT18" s="439"/>
      <c r="HU18" s="439"/>
      <c r="HV18" s="425"/>
      <c r="HW18" s="425"/>
      <c r="HX18" s="425"/>
      <c r="HY18" s="425"/>
      <c r="HZ18" s="425"/>
      <c r="IA18" s="439"/>
      <c r="IB18" s="439"/>
      <c r="IC18" s="425"/>
      <c r="ID18" s="425"/>
      <c r="IE18" s="425"/>
      <c r="IF18" s="425"/>
      <c r="IG18" s="425"/>
      <c r="IH18" s="439"/>
      <c r="II18" s="439"/>
      <c r="IJ18" s="425"/>
      <c r="IK18" s="425"/>
      <c r="IL18" s="425"/>
      <c r="IM18" s="425"/>
      <c r="IN18" s="425"/>
      <c r="IO18" s="439"/>
      <c r="IP18" s="439"/>
      <c r="IQ18" s="425"/>
      <c r="IR18" s="425"/>
      <c r="IS18" s="425"/>
      <c r="IT18" s="425"/>
      <c r="IU18" s="425"/>
      <c r="IV18" s="439"/>
      <c r="IW18" s="439"/>
      <c r="IX18" s="425"/>
      <c r="IY18" s="425"/>
      <c r="IZ18" s="425"/>
      <c r="JA18" s="425"/>
      <c r="JB18" s="425"/>
      <c r="JC18" s="439"/>
      <c r="JD18" s="439"/>
      <c r="JE18" s="425"/>
      <c r="JF18" s="425"/>
      <c r="JG18" s="425"/>
      <c r="JH18" s="425"/>
      <c r="JI18" s="425"/>
      <c r="JJ18" s="439"/>
      <c r="JK18" s="439"/>
      <c r="JL18" s="425"/>
      <c r="JM18" s="425"/>
      <c r="JN18" s="425"/>
      <c r="JO18" s="425"/>
      <c r="JP18" s="425"/>
      <c r="JQ18" s="439"/>
      <c r="JR18" s="439"/>
      <c r="JS18" s="425"/>
      <c r="JT18" s="425"/>
      <c r="JU18" s="425"/>
      <c r="JV18" s="425"/>
      <c r="JW18" s="425"/>
      <c r="JX18" s="439"/>
      <c r="JY18" s="439"/>
      <c r="JZ18" s="425"/>
      <c r="KA18" s="425"/>
      <c r="KB18" s="425"/>
      <c r="KC18" s="425"/>
      <c r="KD18" s="425"/>
      <c r="KE18" s="439"/>
      <c r="KF18" s="439"/>
      <c r="KG18" s="425"/>
      <c r="KH18" s="425"/>
      <c r="KI18" s="425"/>
      <c r="KJ18" s="425"/>
      <c r="KK18" s="425"/>
      <c r="KL18" s="439"/>
      <c r="KM18" s="439"/>
      <c r="KN18" s="425"/>
      <c r="KO18" s="425"/>
      <c r="KP18" s="425"/>
      <c r="KQ18" s="425"/>
      <c r="KR18" s="425"/>
      <c r="KS18" s="439"/>
      <c r="KT18" s="439"/>
      <c r="KU18" s="425"/>
      <c r="KV18" s="425"/>
      <c r="KW18" s="425"/>
      <c r="KX18" s="425"/>
      <c r="KY18" s="425"/>
      <c r="KZ18" s="439"/>
      <c r="LA18" s="439"/>
      <c r="LB18" s="425"/>
      <c r="LC18" s="425"/>
      <c r="LD18" s="425"/>
      <c r="LE18" s="425"/>
      <c r="LF18" s="425"/>
      <c r="LG18" s="439"/>
      <c r="LH18" s="439"/>
      <c r="LI18" s="425"/>
      <c r="LJ18" s="425"/>
      <c r="LK18" s="425"/>
      <c r="LL18" s="425"/>
      <c r="LM18" s="425"/>
      <c r="LN18" s="439"/>
      <c r="LO18" s="439"/>
      <c r="LP18" s="425"/>
      <c r="LQ18" s="425"/>
      <c r="LR18" s="425"/>
      <c r="LS18" s="425"/>
      <c r="LT18" s="425"/>
      <c r="LU18" s="439"/>
      <c r="LV18" s="439"/>
      <c r="LW18" s="425"/>
      <c r="LX18" s="425"/>
      <c r="LY18" s="425"/>
      <c r="LZ18" s="425"/>
      <c r="MA18" s="425"/>
      <c r="MB18" s="439"/>
      <c r="MC18" s="439"/>
      <c r="MD18" s="425"/>
      <c r="ME18" s="425"/>
      <c r="MF18" s="425"/>
      <c r="MG18" s="425"/>
      <c r="MH18" s="425"/>
      <c r="MI18" s="439"/>
      <c r="MJ18" s="439"/>
      <c r="MK18" s="425"/>
      <c r="ML18" s="425"/>
      <c r="MM18" s="425"/>
      <c r="MN18" s="425"/>
      <c r="MO18" s="425"/>
      <c r="MP18" s="439"/>
      <c r="MQ18" s="439"/>
      <c r="MR18" s="425"/>
      <c r="MS18" s="425"/>
      <c r="MT18" s="425"/>
      <c r="MU18" s="425"/>
      <c r="MV18" s="425"/>
      <c r="MW18" s="439"/>
      <c r="MX18" s="439"/>
      <c r="MY18" s="425"/>
      <c r="MZ18" s="425"/>
      <c r="NA18" s="425"/>
      <c r="NB18" s="425"/>
      <c r="NC18" s="425"/>
      <c r="ND18" s="439"/>
      <c r="NE18" s="439"/>
      <c r="NF18" s="425"/>
      <c r="NG18" s="425"/>
      <c r="NH18" s="425"/>
      <c r="NI18" s="425"/>
      <c r="NJ18" s="425"/>
      <c r="NK18" s="439"/>
      <c r="NL18" s="439"/>
      <c r="NM18" s="425"/>
      <c r="NN18" s="425"/>
      <c r="NO18" s="425"/>
      <c r="NP18" s="425"/>
      <c r="NQ18" s="425"/>
      <c r="NR18" s="439"/>
      <c r="NS18" s="439"/>
    </row>
    <row r="19" spans="2:383">
      <c r="B19" s="544" t="str">
        <f>MASTER!B12</f>
        <v>Structural Analysis</v>
      </c>
      <c r="C19" s="544"/>
      <c r="D19" s="473" t="s">
        <v>366</v>
      </c>
      <c r="E19" s="465">
        <f>MASTER!C12/REPORT!$H$36</f>
        <v>27.857142857142858</v>
      </c>
      <c r="H19" s="434">
        <f>IF(E19&lt;&gt;0,ROUND(MAX(IF(E21&lt;&gt;0,AVERAGE(H21:I21),0),IF(E22&lt;&gt;0,AVERAGE(H22:I22),0),IF(E23&lt;&gt;0,AVERAGE(H23:I23),0),IF(E24&lt;&gt;0,AVERAGE(H24:I24),0),IF(E28&lt;&gt;0,AVERAGE(H28:I28),0))+1,0),"")</f>
        <v>19</v>
      </c>
      <c r="I19" s="434">
        <f t="shared" si="665"/>
        <v>46</v>
      </c>
      <c r="J19" s="468" cm="1">
        <f t="array" ref="J19">IF(GANTT_D!$E19&lt;&gt;0,INDEX($M$7:$NT$7,,MATCH(H19,$M$8:$NT$8,0)),"")</f>
        <v>4.5</v>
      </c>
      <c r="K19" s="468" cm="1">
        <f t="array" ref="K19">IF(GANTT_D!$E19&lt;&gt;0,INDEX($M$7:$NT$7,,MATCH(I19,$M$8:$NT$8,0)),"")</f>
        <v>10</v>
      </c>
      <c r="L19" s="424"/>
      <c r="M19" s="425"/>
      <c r="N19" s="425"/>
      <c r="O19" s="425"/>
      <c r="P19" s="425"/>
      <c r="Q19" s="425"/>
      <c r="R19" s="439"/>
      <c r="S19" s="439"/>
      <c r="T19" s="425"/>
      <c r="U19" s="425"/>
      <c r="V19" s="425"/>
      <c r="W19" s="425"/>
      <c r="X19" s="425"/>
      <c r="Y19" s="439"/>
      <c r="Z19" s="439"/>
      <c r="AA19" s="425"/>
      <c r="AB19" s="425"/>
      <c r="AC19" s="425"/>
      <c r="AD19" s="425"/>
      <c r="AE19" s="425"/>
      <c r="AF19" s="439"/>
      <c r="AG19" s="439"/>
      <c r="AH19" s="425"/>
      <c r="AI19" s="425"/>
      <c r="AJ19" s="425"/>
      <c r="AK19" s="425"/>
      <c r="AL19" s="425"/>
      <c r="AM19" s="439"/>
      <c r="AN19" s="439"/>
      <c r="AO19" s="425"/>
      <c r="AP19" s="425"/>
      <c r="AQ19" s="425"/>
      <c r="AR19" s="425"/>
      <c r="AS19" s="425"/>
      <c r="AT19" s="439"/>
      <c r="AU19" s="439"/>
      <c r="AV19" s="425"/>
      <c r="AW19" s="425"/>
      <c r="AX19" s="425"/>
      <c r="AY19" s="425"/>
      <c r="AZ19" s="425"/>
      <c r="BA19" s="439"/>
      <c r="BB19" s="439"/>
      <c r="BC19" s="425"/>
      <c r="BD19" s="425"/>
      <c r="BE19" s="425"/>
      <c r="BF19" s="425"/>
      <c r="BG19" s="425"/>
      <c r="BH19" s="439"/>
      <c r="BI19" s="439"/>
      <c r="BJ19" s="425"/>
      <c r="BK19" s="425"/>
      <c r="BL19" s="425"/>
      <c r="BM19" s="425"/>
      <c r="BN19" s="425"/>
      <c r="BO19" s="439"/>
      <c r="BP19" s="439"/>
      <c r="BQ19" s="425"/>
      <c r="BR19" s="425"/>
      <c r="BS19" s="425"/>
      <c r="BT19" s="425"/>
      <c r="BU19" s="425"/>
      <c r="BV19" s="439"/>
      <c r="BW19" s="439"/>
      <c r="BX19" s="425"/>
      <c r="BY19" s="425"/>
      <c r="BZ19" s="425"/>
      <c r="CA19" s="425"/>
      <c r="CB19" s="425"/>
      <c r="CC19" s="439"/>
      <c r="CD19" s="439"/>
      <c r="CE19" s="425"/>
      <c r="CF19" s="425"/>
      <c r="CG19" s="425"/>
      <c r="CH19" s="425"/>
      <c r="CI19" s="425"/>
      <c r="CJ19" s="439"/>
      <c r="CK19" s="439"/>
      <c r="CL19" s="425"/>
      <c r="CM19" s="425"/>
      <c r="CN19" s="425"/>
      <c r="CO19" s="425"/>
      <c r="CP19" s="425"/>
      <c r="CQ19" s="439"/>
      <c r="CR19" s="439"/>
      <c r="CS19" s="425"/>
      <c r="CT19" s="425"/>
      <c r="CU19" s="425"/>
      <c r="CV19" s="425"/>
      <c r="CW19" s="425"/>
      <c r="CX19" s="439"/>
      <c r="CY19" s="439"/>
      <c r="CZ19" s="425"/>
      <c r="DA19" s="425"/>
      <c r="DB19" s="425"/>
      <c r="DC19" s="425"/>
      <c r="DD19" s="425"/>
      <c r="DE19" s="439"/>
      <c r="DF19" s="439"/>
      <c r="DG19" s="425"/>
      <c r="DH19" s="425"/>
      <c r="DI19" s="425"/>
      <c r="DJ19" s="425"/>
      <c r="DK19" s="425"/>
      <c r="DL19" s="439"/>
      <c r="DM19" s="439"/>
      <c r="DN19" s="425"/>
      <c r="DO19" s="425"/>
      <c r="DP19" s="425"/>
      <c r="DQ19" s="425"/>
      <c r="DR19" s="425"/>
      <c r="DS19" s="439"/>
      <c r="DT19" s="439"/>
      <c r="DU19" s="425"/>
      <c r="DV19" s="425"/>
      <c r="DW19" s="425"/>
      <c r="DX19" s="425"/>
      <c r="DY19" s="425"/>
      <c r="DZ19" s="439"/>
      <c r="EA19" s="439"/>
      <c r="EB19" s="425"/>
      <c r="EC19" s="425"/>
      <c r="ED19" s="425"/>
      <c r="EE19" s="425"/>
      <c r="EF19" s="425"/>
      <c r="EG19" s="439"/>
      <c r="EH19" s="439"/>
      <c r="EI19" s="425"/>
      <c r="EJ19" s="425"/>
      <c r="EK19" s="425"/>
      <c r="EL19" s="425"/>
      <c r="EM19" s="425"/>
      <c r="EN19" s="439"/>
      <c r="EO19" s="439"/>
      <c r="EP19" s="425"/>
      <c r="EQ19" s="425"/>
      <c r="ER19" s="425"/>
      <c r="ES19" s="425"/>
      <c r="ET19" s="425"/>
      <c r="EU19" s="439"/>
      <c r="EV19" s="439"/>
      <c r="EW19" s="425"/>
      <c r="EX19" s="425"/>
      <c r="EY19" s="425"/>
      <c r="EZ19" s="425"/>
      <c r="FA19" s="425"/>
      <c r="FB19" s="439"/>
      <c r="FC19" s="439"/>
      <c r="FD19" s="425"/>
      <c r="FE19" s="425"/>
      <c r="FF19" s="425"/>
      <c r="FG19" s="425"/>
      <c r="FH19" s="425"/>
      <c r="FI19" s="439"/>
      <c r="FJ19" s="439"/>
      <c r="FK19" s="425"/>
      <c r="FL19" s="425"/>
      <c r="FM19" s="425"/>
      <c r="FN19" s="425"/>
      <c r="FO19" s="425"/>
      <c r="FP19" s="439"/>
      <c r="FQ19" s="439"/>
      <c r="FR19" s="425"/>
      <c r="FS19" s="425"/>
      <c r="FT19" s="425"/>
      <c r="FU19" s="425"/>
      <c r="FV19" s="425"/>
      <c r="FW19" s="439"/>
      <c r="FX19" s="439"/>
      <c r="FY19" s="425"/>
      <c r="FZ19" s="425"/>
      <c r="GA19" s="425"/>
      <c r="GB19" s="425"/>
      <c r="GC19" s="425"/>
      <c r="GD19" s="439"/>
      <c r="GE19" s="439"/>
      <c r="GF19" s="425"/>
      <c r="GG19" s="425"/>
      <c r="GH19" s="425"/>
      <c r="GI19" s="425"/>
      <c r="GJ19" s="425"/>
      <c r="GK19" s="439"/>
      <c r="GL19" s="439"/>
      <c r="GM19" s="425"/>
      <c r="GN19" s="425"/>
      <c r="GO19" s="425"/>
      <c r="GP19" s="425"/>
      <c r="GQ19" s="425"/>
      <c r="GR19" s="439"/>
      <c r="GS19" s="439"/>
      <c r="GT19" s="425"/>
      <c r="GU19" s="425"/>
      <c r="GV19" s="425"/>
      <c r="GW19" s="425"/>
      <c r="GX19" s="425"/>
      <c r="GY19" s="439"/>
      <c r="GZ19" s="439"/>
      <c r="HA19" s="425"/>
      <c r="HB19" s="425"/>
      <c r="HC19" s="425"/>
      <c r="HD19" s="425"/>
      <c r="HE19" s="425"/>
      <c r="HF19" s="439"/>
      <c r="HG19" s="439"/>
      <c r="HH19" s="425"/>
      <c r="HI19" s="425"/>
      <c r="HJ19" s="425"/>
      <c r="HK19" s="425"/>
      <c r="HL19" s="425"/>
      <c r="HM19" s="439"/>
      <c r="HN19" s="439"/>
      <c r="HO19" s="425"/>
      <c r="HP19" s="425"/>
      <c r="HQ19" s="425"/>
      <c r="HR19" s="425"/>
      <c r="HS19" s="425"/>
      <c r="HT19" s="439"/>
      <c r="HU19" s="439"/>
      <c r="HV19" s="425"/>
      <c r="HW19" s="425"/>
      <c r="HX19" s="425"/>
      <c r="HY19" s="425"/>
      <c r="HZ19" s="425"/>
      <c r="IA19" s="439"/>
      <c r="IB19" s="439"/>
      <c r="IC19" s="425"/>
      <c r="ID19" s="425"/>
      <c r="IE19" s="425"/>
      <c r="IF19" s="425"/>
      <c r="IG19" s="425"/>
      <c r="IH19" s="439"/>
      <c r="II19" s="439"/>
      <c r="IJ19" s="425"/>
      <c r="IK19" s="425"/>
      <c r="IL19" s="425"/>
      <c r="IM19" s="425"/>
      <c r="IN19" s="425"/>
      <c r="IO19" s="439"/>
      <c r="IP19" s="439"/>
      <c r="IQ19" s="425"/>
      <c r="IR19" s="425"/>
      <c r="IS19" s="425"/>
      <c r="IT19" s="425"/>
      <c r="IU19" s="425"/>
      <c r="IV19" s="439"/>
      <c r="IW19" s="439"/>
      <c r="IX19" s="425"/>
      <c r="IY19" s="425"/>
      <c r="IZ19" s="425"/>
      <c r="JA19" s="425"/>
      <c r="JB19" s="425"/>
      <c r="JC19" s="439"/>
      <c r="JD19" s="439"/>
      <c r="JE19" s="425"/>
      <c r="JF19" s="425"/>
      <c r="JG19" s="425"/>
      <c r="JH19" s="425"/>
      <c r="JI19" s="425"/>
      <c r="JJ19" s="439"/>
      <c r="JK19" s="439"/>
      <c r="JL19" s="425"/>
      <c r="JM19" s="425"/>
      <c r="JN19" s="425"/>
      <c r="JO19" s="425"/>
      <c r="JP19" s="425"/>
      <c r="JQ19" s="439"/>
      <c r="JR19" s="439"/>
      <c r="JS19" s="425"/>
      <c r="JT19" s="425"/>
      <c r="JU19" s="425"/>
      <c r="JV19" s="425"/>
      <c r="JW19" s="425"/>
      <c r="JX19" s="439"/>
      <c r="JY19" s="439"/>
      <c r="JZ19" s="425"/>
      <c r="KA19" s="425"/>
      <c r="KB19" s="425"/>
      <c r="KC19" s="425"/>
      <c r="KD19" s="425"/>
      <c r="KE19" s="439"/>
      <c r="KF19" s="439"/>
      <c r="KG19" s="425"/>
      <c r="KH19" s="425"/>
      <c r="KI19" s="425"/>
      <c r="KJ19" s="425"/>
      <c r="KK19" s="425"/>
      <c r="KL19" s="439"/>
      <c r="KM19" s="439"/>
      <c r="KN19" s="425"/>
      <c r="KO19" s="425"/>
      <c r="KP19" s="425"/>
      <c r="KQ19" s="425"/>
      <c r="KR19" s="425"/>
      <c r="KS19" s="439"/>
      <c r="KT19" s="439"/>
      <c r="KU19" s="425"/>
      <c r="KV19" s="425"/>
      <c r="KW19" s="425"/>
      <c r="KX19" s="425"/>
      <c r="KY19" s="425"/>
      <c r="KZ19" s="439"/>
      <c r="LA19" s="439"/>
      <c r="LB19" s="425"/>
      <c r="LC19" s="425"/>
      <c r="LD19" s="425"/>
      <c r="LE19" s="425"/>
      <c r="LF19" s="425"/>
      <c r="LG19" s="439"/>
      <c r="LH19" s="439"/>
      <c r="LI19" s="425"/>
      <c r="LJ19" s="425"/>
      <c r="LK19" s="425"/>
      <c r="LL19" s="425"/>
      <c r="LM19" s="425"/>
      <c r="LN19" s="439"/>
      <c r="LO19" s="439"/>
      <c r="LP19" s="425"/>
      <c r="LQ19" s="425"/>
      <c r="LR19" s="425"/>
      <c r="LS19" s="425"/>
      <c r="LT19" s="425"/>
      <c r="LU19" s="439"/>
      <c r="LV19" s="439"/>
      <c r="LW19" s="425"/>
      <c r="LX19" s="425"/>
      <c r="LY19" s="425"/>
      <c r="LZ19" s="425"/>
      <c r="MA19" s="425"/>
      <c r="MB19" s="439"/>
      <c r="MC19" s="439"/>
      <c r="MD19" s="425"/>
      <c r="ME19" s="425"/>
      <c r="MF19" s="425"/>
      <c r="MG19" s="425"/>
      <c r="MH19" s="425"/>
      <c r="MI19" s="439"/>
      <c r="MJ19" s="439"/>
      <c r="MK19" s="425"/>
      <c r="ML19" s="425"/>
      <c r="MM19" s="425"/>
      <c r="MN19" s="425"/>
      <c r="MO19" s="425"/>
      <c r="MP19" s="439"/>
      <c r="MQ19" s="439"/>
      <c r="MR19" s="425"/>
      <c r="MS19" s="425"/>
      <c r="MT19" s="425"/>
      <c r="MU19" s="425"/>
      <c r="MV19" s="425"/>
      <c r="MW19" s="439"/>
      <c r="MX19" s="439"/>
      <c r="MY19" s="425"/>
      <c r="MZ19" s="425"/>
      <c r="NA19" s="425"/>
      <c r="NB19" s="425"/>
      <c r="NC19" s="425"/>
      <c r="ND19" s="439"/>
      <c r="NE19" s="439"/>
      <c r="NF19" s="425"/>
      <c r="NG19" s="425"/>
      <c r="NH19" s="425"/>
      <c r="NI19" s="425"/>
      <c r="NJ19" s="425"/>
      <c r="NK19" s="439"/>
      <c r="NL19" s="439"/>
      <c r="NM19" s="425"/>
      <c r="NN19" s="425"/>
      <c r="NO19" s="425"/>
      <c r="NP19" s="425"/>
      <c r="NQ19" s="425"/>
      <c r="NR19" s="439"/>
      <c r="NS19" s="439"/>
    </row>
    <row r="20" spans="2:383" ht="15.75">
      <c r="B20" s="470" t="str">
        <f>MASTER!A13</f>
        <v xml:space="preserve">DWGS AND BOM </v>
      </c>
      <c r="C20" s="470"/>
      <c r="D20" s="472"/>
      <c r="E20" s="466"/>
      <c r="H20" s="435">
        <f>MIN(H21:H29)</f>
        <v>9</v>
      </c>
      <c r="I20" s="435">
        <f>MAX(I21:I29)</f>
        <v>47</v>
      </c>
      <c r="J20" s="475">
        <f>MIN(J21:J29)</f>
        <v>2.5</v>
      </c>
      <c r="K20" s="475">
        <f>MAX(K21:K29)</f>
        <v>10</v>
      </c>
      <c r="L20" s="424"/>
      <c r="M20" s="425" t="str">
        <f>IF(AND(M$8&gt;$H20,M$8&lt;$I20),"-",IF(M$8=$H20,"I",IF(M$8=$I20,"I","")))</f>
        <v/>
      </c>
      <c r="N20" s="425" t="str">
        <f t="shared" ref="N20:BY20" si="666">IF(AND(N$8&gt;$H20,N$8&lt;$I20),"-",IF(N$8=$H20,"I",IF(N$8=$I20,"I","")))</f>
        <v/>
      </c>
      <c r="O20" s="425" t="str">
        <f t="shared" si="666"/>
        <v/>
      </c>
      <c r="P20" s="425" t="str">
        <f t="shared" si="666"/>
        <v/>
      </c>
      <c r="Q20" s="425" t="str">
        <f t="shared" si="666"/>
        <v/>
      </c>
      <c r="R20" s="439" t="str">
        <f t="shared" si="666"/>
        <v/>
      </c>
      <c r="S20" s="439" t="str">
        <f t="shared" si="666"/>
        <v/>
      </c>
      <c r="T20" s="425" t="str">
        <f t="shared" si="666"/>
        <v/>
      </c>
      <c r="U20" s="425" t="str">
        <f t="shared" si="666"/>
        <v/>
      </c>
      <c r="V20" s="425" t="str">
        <f t="shared" si="666"/>
        <v/>
      </c>
      <c r="W20" s="425" t="str">
        <f t="shared" si="666"/>
        <v>I</v>
      </c>
      <c r="X20" s="425" t="str">
        <f t="shared" si="666"/>
        <v>-</v>
      </c>
      <c r="Y20" s="439" t="str">
        <f t="shared" si="666"/>
        <v/>
      </c>
      <c r="Z20" s="439" t="str">
        <f t="shared" si="666"/>
        <v/>
      </c>
      <c r="AA20" s="425" t="str">
        <f t="shared" si="666"/>
        <v>-</v>
      </c>
      <c r="AB20" s="425" t="str">
        <f t="shared" si="666"/>
        <v>-</v>
      </c>
      <c r="AC20" s="425" t="str">
        <f t="shared" si="666"/>
        <v>-</v>
      </c>
      <c r="AD20" s="425" t="str">
        <f t="shared" si="666"/>
        <v>-</v>
      </c>
      <c r="AE20" s="425" t="str">
        <f t="shared" si="666"/>
        <v>-</v>
      </c>
      <c r="AF20" s="439" t="str">
        <f t="shared" si="666"/>
        <v/>
      </c>
      <c r="AG20" s="439" t="str">
        <f t="shared" si="666"/>
        <v/>
      </c>
      <c r="AH20" s="425" t="str">
        <f t="shared" si="666"/>
        <v>-</v>
      </c>
      <c r="AI20" s="425" t="str">
        <f t="shared" si="666"/>
        <v>-</v>
      </c>
      <c r="AJ20" s="425" t="str">
        <f t="shared" si="666"/>
        <v>-</v>
      </c>
      <c r="AK20" s="425" t="str">
        <f t="shared" si="666"/>
        <v>-</v>
      </c>
      <c r="AL20" s="425" t="str">
        <f t="shared" si="666"/>
        <v>-</v>
      </c>
      <c r="AM20" s="439" t="str">
        <f t="shared" si="666"/>
        <v/>
      </c>
      <c r="AN20" s="439" t="str">
        <f t="shared" si="666"/>
        <v/>
      </c>
      <c r="AO20" s="425" t="str">
        <f t="shared" si="666"/>
        <v>-</v>
      </c>
      <c r="AP20" s="425" t="str">
        <f t="shared" si="666"/>
        <v>-</v>
      </c>
      <c r="AQ20" s="425" t="str">
        <f t="shared" si="666"/>
        <v>-</v>
      </c>
      <c r="AR20" s="425" t="str">
        <f t="shared" si="666"/>
        <v>-</v>
      </c>
      <c r="AS20" s="425" t="str">
        <f t="shared" si="666"/>
        <v>-</v>
      </c>
      <c r="AT20" s="439" t="str">
        <f t="shared" si="666"/>
        <v/>
      </c>
      <c r="AU20" s="439" t="str">
        <f t="shared" si="666"/>
        <v/>
      </c>
      <c r="AV20" s="425" t="str">
        <f t="shared" si="666"/>
        <v>-</v>
      </c>
      <c r="AW20" s="425" t="str">
        <f t="shared" si="666"/>
        <v>-</v>
      </c>
      <c r="AX20" s="425" t="str">
        <f t="shared" si="666"/>
        <v>-</v>
      </c>
      <c r="AY20" s="425" t="str">
        <f t="shared" si="666"/>
        <v>-</v>
      </c>
      <c r="AZ20" s="425" t="str">
        <f t="shared" si="666"/>
        <v>-</v>
      </c>
      <c r="BA20" s="439" t="str">
        <f t="shared" si="666"/>
        <v/>
      </c>
      <c r="BB20" s="439" t="str">
        <f t="shared" si="666"/>
        <v/>
      </c>
      <c r="BC20" s="425" t="str">
        <f t="shared" si="666"/>
        <v>-</v>
      </c>
      <c r="BD20" s="425" t="str">
        <f t="shared" si="666"/>
        <v>-</v>
      </c>
      <c r="BE20" s="425" t="str">
        <f t="shared" si="666"/>
        <v>-</v>
      </c>
      <c r="BF20" s="425" t="str">
        <f t="shared" si="666"/>
        <v>-</v>
      </c>
      <c r="BG20" s="425" t="str">
        <f t="shared" si="666"/>
        <v>-</v>
      </c>
      <c r="BH20" s="439" t="str">
        <f t="shared" si="666"/>
        <v/>
      </c>
      <c r="BI20" s="439" t="str">
        <f t="shared" si="666"/>
        <v/>
      </c>
      <c r="BJ20" s="425" t="str">
        <f t="shared" si="666"/>
        <v>-</v>
      </c>
      <c r="BK20" s="425" t="str">
        <f t="shared" si="666"/>
        <v>-</v>
      </c>
      <c r="BL20" s="425" t="str">
        <f t="shared" si="666"/>
        <v>-</v>
      </c>
      <c r="BM20" s="425" t="str">
        <f t="shared" si="666"/>
        <v>-</v>
      </c>
      <c r="BN20" s="425" t="str">
        <f t="shared" si="666"/>
        <v>-</v>
      </c>
      <c r="BO20" s="439" t="str">
        <f t="shared" si="666"/>
        <v/>
      </c>
      <c r="BP20" s="439" t="str">
        <f t="shared" si="666"/>
        <v/>
      </c>
      <c r="BQ20" s="425" t="str">
        <f t="shared" si="666"/>
        <v>-</v>
      </c>
      <c r="BR20" s="425" t="str">
        <f t="shared" si="666"/>
        <v>-</v>
      </c>
      <c r="BS20" s="425" t="str">
        <f t="shared" si="666"/>
        <v>-</v>
      </c>
      <c r="BT20" s="425" t="str">
        <f t="shared" si="666"/>
        <v>-</v>
      </c>
      <c r="BU20" s="425" t="str">
        <f t="shared" si="666"/>
        <v>-</v>
      </c>
      <c r="BV20" s="439" t="str">
        <f t="shared" si="666"/>
        <v/>
      </c>
      <c r="BW20" s="439" t="str">
        <f t="shared" si="666"/>
        <v/>
      </c>
      <c r="BX20" s="425" t="str">
        <f t="shared" si="666"/>
        <v>-</v>
      </c>
      <c r="BY20" s="425" t="str">
        <f t="shared" si="666"/>
        <v>I</v>
      </c>
      <c r="BZ20" s="425" t="str">
        <f t="shared" ref="BZ20:EK20" si="667">IF(AND(BZ$8&gt;$H20,BZ$8&lt;$I20),"-",IF(BZ$8=$H20,"I",IF(BZ$8=$I20,"I","")))</f>
        <v/>
      </c>
      <c r="CA20" s="425" t="str">
        <f t="shared" si="667"/>
        <v/>
      </c>
      <c r="CB20" s="425" t="str">
        <f t="shared" si="667"/>
        <v/>
      </c>
      <c r="CC20" s="439" t="str">
        <f t="shared" si="667"/>
        <v/>
      </c>
      <c r="CD20" s="439" t="str">
        <f t="shared" si="667"/>
        <v/>
      </c>
      <c r="CE20" s="425" t="str">
        <f t="shared" si="667"/>
        <v/>
      </c>
      <c r="CF20" s="425" t="str">
        <f t="shared" si="667"/>
        <v/>
      </c>
      <c r="CG20" s="425" t="str">
        <f t="shared" si="667"/>
        <v/>
      </c>
      <c r="CH20" s="425" t="str">
        <f t="shared" si="667"/>
        <v/>
      </c>
      <c r="CI20" s="425" t="str">
        <f t="shared" si="667"/>
        <v/>
      </c>
      <c r="CJ20" s="439" t="str">
        <f t="shared" si="667"/>
        <v/>
      </c>
      <c r="CK20" s="439" t="str">
        <f t="shared" si="667"/>
        <v/>
      </c>
      <c r="CL20" s="425" t="str">
        <f t="shared" si="667"/>
        <v/>
      </c>
      <c r="CM20" s="425" t="str">
        <f t="shared" si="667"/>
        <v/>
      </c>
      <c r="CN20" s="425" t="str">
        <f t="shared" si="667"/>
        <v/>
      </c>
      <c r="CO20" s="425" t="str">
        <f t="shared" si="667"/>
        <v/>
      </c>
      <c r="CP20" s="425" t="str">
        <f t="shared" si="667"/>
        <v/>
      </c>
      <c r="CQ20" s="439" t="str">
        <f t="shared" si="667"/>
        <v/>
      </c>
      <c r="CR20" s="439" t="str">
        <f t="shared" si="667"/>
        <v/>
      </c>
      <c r="CS20" s="425" t="str">
        <f t="shared" si="667"/>
        <v/>
      </c>
      <c r="CT20" s="425" t="str">
        <f t="shared" si="667"/>
        <v/>
      </c>
      <c r="CU20" s="425" t="str">
        <f t="shared" si="667"/>
        <v/>
      </c>
      <c r="CV20" s="425" t="str">
        <f t="shared" si="667"/>
        <v/>
      </c>
      <c r="CW20" s="425" t="str">
        <f t="shared" si="667"/>
        <v/>
      </c>
      <c r="CX20" s="439" t="str">
        <f t="shared" si="667"/>
        <v/>
      </c>
      <c r="CY20" s="439" t="str">
        <f t="shared" si="667"/>
        <v/>
      </c>
      <c r="CZ20" s="425" t="str">
        <f t="shared" si="667"/>
        <v/>
      </c>
      <c r="DA20" s="425" t="str">
        <f t="shared" si="667"/>
        <v/>
      </c>
      <c r="DB20" s="425" t="str">
        <f t="shared" si="667"/>
        <v/>
      </c>
      <c r="DC20" s="425" t="str">
        <f t="shared" si="667"/>
        <v/>
      </c>
      <c r="DD20" s="425" t="str">
        <f t="shared" si="667"/>
        <v/>
      </c>
      <c r="DE20" s="439" t="str">
        <f t="shared" si="667"/>
        <v/>
      </c>
      <c r="DF20" s="439" t="str">
        <f t="shared" si="667"/>
        <v/>
      </c>
      <c r="DG20" s="425" t="str">
        <f t="shared" si="667"/>
        <v/>
      </c>
      <c r="DH20" s="425" t="str">
        <f t="shared" si="667"/>
        <v/>
      </c>
      <c r="DI20" s="425" t="str">
        <f t="shared" si="667"/>
        <v/>
      </c>
      <c r="DJ20" s="425" t="str">
        <f t="shared" si="667"/>
        <v/>
      </c>
      <c r="DK20" s="425" t="str">
        <f t="shared" si="667"/>
        <v/>
      </c>
      <c r="DL20" s="439" t="str">
        <f t="shared" si="667"/>
        <v/>
      </c>
      <c r="DM20" s="439" t="str">
        <f t="shared" si="667"/>
        <v/>
      </c>
      <c r="DN20" s="425" t="str">
        <f t="shared" si="667"/>
        <v/>
      </c>
      <c r="DO20" s="425" t="str">
        <f t="shared" si="667"/>
        <v/>
      </c>
      <c r="DP20" s="425" t="str">
        <f t="shared" si="667"/>
        <v/>
      </c>
      <c r="DQ20" s="425" t="str">
        <f t="shared" si="667"/>
        <v/>
      </c>
      <c r="DR20" s="425" t="str">
        <f t="shared" si="667"/>
        <v/>
      </c>
      <c r="DS20" s="439" t="str">
        <f t="shared" si="667"/>
        <v/>
      </c>
      <c r="DT20" s="439" t="str">
        <f t="shared" si="667"/>
        <v/>
      </c>
      <c r="DU20" s="425" t="str">
        <f t="shared" si="667"/>
        <v/>
      </c>
      <c r="DV20" s="425" t="str">
        <f t="shared" si="667"/>
        <v/>
      </c>
      <c r="DW20" s="425" t="str">
        <f t="shared" si="667"/>
        <v/>
      </c>
      <c r="DX20" s="425" t="str">
        <f t="shared" si="667"/>
        <v/>
      </c>
      <c r="DY20" s="425" t="str">
        <f t="shared" si="667"/>
        <v/>
      </c>
      <c r="DZ20" s="439" t="str">
        <f t="shared" si="667"/>
        <v/>
      </c>
      <c r="EA20" s="439" t="str">
        <f t="shared" si="667"/>
        <v/>
      </c>
      <c r="EB20" s="425" t="str">
        <f t="shared" si="667"/>
        <v/>
      </c>
      <c r="EC20" s="425" t="str">
        <f t="shared" si="667"/>
        <v/>
      </c>
      <c r="ED20" s="425" t="str">
        <f t="shared" si="667"/>
        <v/>
      </c>
      <c r="EE20" s="425" t="str">
        <f t="shared" si="667"/>
        <v/>
      </c>
      <c r="EF20" s="425" t="str">
        <f t="shared" si="667"/>
        <v/>
      </c>
      <c r="EG20" s="439" t="str">
        <f t="shared" si="667"/>
        <v/>
      </c>
      <c r="EH20" s="439" t="str">
        <f t="shared" si="667"/>
        <v/>
      </c>
      <c r="EI20" s="425" t="str">
        <f t="shared" si="667"/>
        <v/>
      </c>
      <c r="EJ20" s="425" t="str">
        <f t="shared" si="667"/>
        <v/>
      </c>
      <c r="EK20" s="425" t="str">
        <f t="shared" si="667"/>
        <v/>
      </c>
      <c r="EL20" s="425" t="str">
        <f t="shared" ref="EL20:GW20" si="668">IF(AND(EL$8&gt;$H20,EL$8&lt;$I20),"-",IF(EL$8=$H20,"I",IF(EL$8=$I20,"I","")))</f>
        <v/>
      </c>
      <c r="EM20" s="425" t="str">
        <f t="shared" si="668"/>
        <v/>
      </c>
      <c r="EN20" s="439" t="str">
        <f t="shared" si="668"/>
        <v/>
      </c>
      <c r="EO20" s="439" t="str">
        <f t="shared" si="668"/>
        <v/>
      </c>
      <c r="EP20" s="425" t="str">
        <f t="shared" si="668"/>
        <v/>
      </c>
      <c r="EQ20" s="425" t="str">
        <f t="shared" si="668"/>
        <v/>
      </c>
      <c r="ER20" s="425" t="str">
        <f t="shared" si="668"/>
        <v/>
      </c>
      <c r="ES20" s="425" t="str">
        <f t="shared" si="668"/>
        <v/>
      </c>
      <c r="ET20" s="425" t="str">
        <f t="shared" si="668"/>
        <v/>
      </c>
      <c r="EU20" s="439" t="str">
        <f t="shared" si="668"/>
        <v/>
      </c>
      <c r="EV20" s="439" t="str">
        <f t="shared" si="668"/>
        <v/>
      </c>
      <c r="EW20" s="425" t="str">
        <f t="shared" si="668"/>
        <v/>
      </c>
      <c r="EX20" s="425" t="str">
        <f t="shared" si="668"/>
        <v/>
      </c>
      <c r="EY20" s="425" t="str">
        <f t="shared" si="668"/>
        <v/>
      </c>
      <c r="EZ20" s="425" t="str">
        <f t="shared" si="668"/>
        <v/>
      </c>
      <c r="FA20" s="425" t="str">
        <f t="shared" si="668"/>
        <v/>
      </c>
      <c r="FB20" s="439" t="str">
        <f t="shared" si="668"/>
        <v/>
      </c>
      <c r="FC20" s="439" t="str">
        <f t="shared" si="668"/>
        <v/>
      </c>
      <c r="FD20" s="425" t="str">
        <f t="shared" si="668"/>
        <v/>
      </c>
      <c r="FE20" s="425" t="str">
        <f t="shared" si="668"/>
        <v/>
      </c>
      <c r="FF20" s="425" t="str">
        <f t="shared" si="668"/>
        <v/>
      </c>
      <c r="FG20" s="425" t="str">
        <f t="shared" si="668"/>
        <v/>
      </c>
      <c r="FH20" s="425" t="str">
        <f t="shared" si="668"/>
        <v/>
      </c>
      <c r="FI20" s="439" t="str">
        <f t="shared" si="668"/>
        <v/>
      </c>
      <c r="FJ20" s="439" t="str">
        <f t="shared" si="668"/>
        <v/>
      </c>
      <c r="FK20" s="425" t="str">
        <f t="shared" si="668"/>
        <v/>
      </c>
      <c r="FL20" s="425" t="str">
        <f t="shared" si="668"/>
        <v/>
      </c>
      <c r="FM20" s="425" t="str">
        <f t="shared" si="668"/>
        <v/>
      </c>
      <c r="FN20" s="425" t="str">
        <f t="shared" si="668"/>
        <v/>
      </c>
      <c r="FO20" s="425" t="str">
        <f t="shared" si="668"/>
        <v/>
      </c>
      <c r="FP20" s="439" t="str">
        <f t="shared" si="668"/>
        <v/>
      </c>
      <c r="FQ20" s="439" t="str">
        <f t="shared" si="668"/>
        <v/>
      </c>
      <c r="FR20" s="425" t="str">
        <f t="shared" si="668"/>
        <v/>
      </c>
      <c r="FS20" s="425" t="str">
        <f t="shared" si="668"/>
        <v/>
      </c>
      <c r="FT20" s="425" t="str">
        <f t="shared" si="668"/>
        <v/>
      </c>
      <c r="FU20" s="425" t="str">
        <f t="shared" si="668"/>
        <v/>
      </c>
      <c r="FV20" s="425" t="str">
        <f t="shared" si="668"/>
        <v/>
      </c>
      <c r="FW20" s="439" t="str">
        <f t="shared" si="668"/>
        <v/>
      </c>
      <c r="FX20" s="439" t="str">
        <f t="shared" si="668"/>
        <v/>
      </c>
      <c r="FY20" s="425" t="str">
        <f t="shared" si="668"/>
        <v/>
      </c>
      <c r="FZ20" s="425" t="str">
        <f t="shared" si="668"/>
        <v/>
      </c>
      <c r="GA20" s="425" t="str">
        <f t="shared" si="668"/>
        <v/>
      </c>
      <c r="GB20" s="425" t="str">
        <f t="shared" si="668"/>
        <v/>
      </c>
      <c r="GC20" s="425" t="str">
        <f t="shared" si="668"/>
        <v/>
      </c>
      <c r="GD20" s="439" t="str">
        <f t="shared" si="668"/>
        <v/>
      </c>
      <c r="GE20" s="439" t="str">
        <f t="shared" si="668"/>
        <v/>
      </c>
      <c r="GF20" s="425" t="str">
        <f t="shared" si="668"/>
        <v/>
      </c>
      <c r="GG20" s="425" t="str">
        <f t="shared" si="668"/>
        <v/>
      </c>
      <c r="GH20" s="425" t="str">
        <f t="shared" si="668"/>
        <v/>
      </c>
      <c r="GI20" s="425" t="str">
        <f t="shared" si="668"/>
        <v/>
      </c>
      <c r="GJ20" s="425" t="str">
        <f t="shared" si="668"/>
        <v/>
      </c>
      <c r="GK20" s="439" t="str">
        <f t="shared" si="668"/>
        <v/>
      </c>
      <c r="GL20" s="439" t="str">
        <f t="shared" si="668"/>
        <v/>
      </c>
      <c r="GM20" s="425" t="str">
        <f t="shared" si="668"/>
        <v/>
      </c>
      <c r="GN20" s="425" t="str">
        <f t="shared" si="668"/>
        <v/>
      </c>
      <c r="GO20" s="425" t="str">
        <f t="shared" si="668"/>
        <v/>
      </c>
      <c r="GP20" s="425" t="str">
        <f t="shared" si="668"/>
        <v/>
      </c>
      <c r="GQ20" s="425" t="str">
        <f t="shared" si="668"/>
        <v/>
      </c>
      <c r="GR20" s="439" t="str">
        <f t="shared" si="668"/>
        <v/>
      </c>
      <c r="GS20" s="439" t="str">
        <f t="shared" si="668"/>
        <v/>
      </c>
      <c r="GT20" s="425" t="str">
        <f t="shared" si="668"/>
        <v/>
      </c>
      <c r="GU20" s="425" t="str">
        <f t="shared" si="668"/>
        <v/>
      </c>
      <c r="GV20" s="425" t="str">
        <f t="shared" si="668"/>
        <v/>
      </c>
      <c r="GW20" s="425" t="str">
        <f t="shared" si="668"/>
        <v/>
      </c>
      <c r="GX20" s="425" t="str">
        <f t="shared" ref="GX20:JI20" si="669">IF(AND(GX$8&gt;$H20,GX$8&lt;$I20),"-",IF(GX$8=$H20,"I",IF(GX$8=$I20,"I","")))</f>
        <v/>
      </c>
      <c r="GY20" s="439" t="str">
        <f t="shared" si="669"/>
        <v/>
      </c>
      <c r="GZ20" s="439" t="str">
        <f t="shared" si="669"/>
        <v/>
      </c>
      <c r="HA20" s="425" t="str">
        <f t="shared" si="669"/>
        <v/>
      </c>
      <c r="HB20" s="425" t="str">
        <f t="shared" si="669"/>
        <v/>
      </c>
      <c r="HC20" s="425" t="str">
        <f t="shared" si="669"/>
        <v/>
      </c>
      <c r="HD20" s="425" t="str">
        <f t="shared" si="669"/>
        <v/>
      </c>
      <c r="HE20" s="425" t="str">
        <f t="shared" si="669"/>
        <v/>
      </c>
      <c r="HF20" s="439" t="str">
        <f t="shared" si="669"/>
        <v/>
      </c>
      <c r="HG20" s="439" t="str">
        <f t="shared" si="669"/>
        <v/>
      </c>
      <c r="HH20" s="425" t="str">
        <f t="shared" si="669"/>
        <v/>
      </c>
      <c r="HI20" s="425" t="str">
        <f t="shared" si="669"/>
        <v/>
      </c>
      <c r="HJ20" s="425" t="str">
        <f t="shared" si="669"/>
        <v/>
      </c>
      <c r="HK20" s="425" t="str">
        <f t="shared" si="669"/>
        <v/>
      </c>
      <c r="HL20" s="425" t="str">
        <f t="shared" si="669"/>
        <v/>
      </c>
      <c r="HM20" s="439" t="str">
        <f t="shared" si="669"/>
        <v/>
      </c>
      <c r="HN20" s="439" t="str">
        <f t="shared" si="669"/>
        <v/>
      </c>
      <c r="HO20" s="425" t="str">
        <f t="shared" si="669"/>
        <v/>
      </c>
      <c r="HP20" s="425" t="str">
        <f t="shared" si="669"/>
        <v/>
      </c>
      <c r="HQ20" s="425" t="str">
        <f t="shared" si="669"/>
        <v/>
      </c>
      <c r="HR20" s="425" t="str">
        <f t="shared" si="669"/>
        <v/>
      </c>
      <c r="HS20" s="425" t="str">
        <f t="shared" si="669"/>
        <v/>
      </c>
      <c r="HT20" s="439" t="str">
        <f t="shared" si="669"/>
        <v/>
      </c>
      <c r="HU20" s="439" t="str">
        <f t="shared" si="669"/>
        <v/>
      </c>
      <c r="HV20" s="425" t="str">
        <f t="shared" si="669"/>
        <v/>
      </c>
      <c r="HW20" s="425" t="str">
        <f t="shared" si="669"/>
        <v/>
      </c>
      <c r="HX20" s="425" t="str">
        <f t="shared" si="669"/>
        <v/>
      </c>
      <c r="HY20" s="425" t="str">
        <f t="shared" si="669"/>
        <v/>
      </c>
      <c r="HZ20" s="425" t="str">
        <f t="shared" si="669"/>
        <v/>
      </c>
      <c r="IA20" s="439" t="str">
        <f t="shared" si="669"/>
        <v/>
      </c>
      <c r="IB20" s="439" t="str">
        <f t="shared" si="669"/>
        <v/>
      </c>
      <c r="IC20" s="425" t="str">
        <f t="shared" si="669"/>
        <v/>
      </c>
      <c r="ID20" s="425" t="str">
        <f t="shared" si="669"/>
        <v/>
      </c>
      <c r="IE20" s="425" t="str">
        <f t="shared" si="669"/>
        <v/>
      </c>
      <c r="IF20" s="425" t="str">
        <f t="shared" si="669"/>
        <v/>
      </c>
      <c r="IG20" s="425" t="str">
        <f t="shared" si="669"/>
        <v/>
      </c>
      <c r="IH20" s="439" t="str">
        <f t="shared" si="669"/>
        <v/>
      </c>
      <c r="II20" s="439" t="str">
        <f t="shared" si="669"/>
        <v/>
      </c>
      <c r="IJ20" s="425" t="str">
        <f t="shared" si="669"/>
        <v/>
      </c>
      <c r="IK20" s="425" t="str">
        <f t="shared" si="669"/>
        <v/>
      </c>
      <c r="IL20" s="425" t="str">
        <f t="shared" si="669"/>
        <v/>
      </c>
      <c r="IM20" s="425" t="str">
        <f t="shared" si="669"/>
        <v/>
      </c>
      <c r="IN20" s="425" t="str">
        <f t="shared" si="669"/>
        <v/>
      </c>
      <c r="IO20" s="439" t="str">
        <f t="shared" si="669"/>
        <v/>
      </c>
      <c r="IP20" s="439" t="str">
        <f t="shared" si="669"/>
        <v/>
      </c>
      <c r="IQ20" s="425" t="str">
        <f t="shared" si="669"/>
        <v/>
      </c>
      <c r="IR20" s="425" t="str">
        <f t="shared" si="669"/>
        <v/>
      </c>
      <c r="IS20" s="425" t="str">
        <f t="shared" si="669"/>
        <v/>
      </c>
      <c r="IT20" s="425" t="str">
        <f t="shared" si="669"/>
        <v/>
      </c>
      <c r="IU20" s="425" t="str">
        <f t="shared" si="669"/>
        <v/>
      </c>
      <c r="IV20" s="439" t="str">
        <f t="shared" si="669"/>
        <v/>
      </c>
      <c r="IW20" s="439" t="str">
        <f t="shared" si="669"/>
        <v/>
      </c>
      <c r="IX20" s="425" t="str">
        <f t="shared" si="669"/>
        <v/>
      </c>
      <c r="IY20" s="425" t="str">
        <f t="shared" si="669"/>
        <v/>
      </c>
      <c r="IZ20" s="425" t="str">
        <f t="shared" si="669"/>
        <v/>
      </c>
      <c r="JA20" s="425" t="str">
        <f t="shared" si="669"/>
        <v/>
      </c>
      <c r="JB20" s="425" t="str">
        <f t="shared" si="669"/>
        <v/>
      </c>
      <c r="JC20" s="439" t="str">
        <f t="shared" si="669"/>
        <v/>
      </c>
      <c r="JD20" s="439" t="str">
        <f t="shared" si="669"/>
        <v/>
      </c>
      <c r="JE20" s="425" t="str">
        <f t="shared" si="669"/>
        <v/>
      </c>
      <c r="JF20" s="425" t="str">
        <f t="shared" si="669"/>
        <v/>
      </c>
      <c r="JG20" s="425" t="str">
        <f t="shared" si="669"/>
        <v/>
      </c>
      <c r="JH20" s="425" t="str">
        <f t="shared" si="669"/>
        <v/>
      </c>
      <c r="JI20" s="425" t="str">
        <f t="shared" si="669"/>
        <v/>
      </c>
      <c r="JJ20" s="439" t="str">
        <f t="shared" ref="JJ20:LU20" si="670">IF(AND(JJ$8&gt;$H20,JJ$8&lt;$I20),"-",IF(JJ$8=$H20,"I",IF(JJ$8=$I20,"I","")))</f>
        <v/>
      </c>
      <c r="JK20" s="439" t="str">
        <f t="shared" si="670"/>
        <v/>
      </c>
      <c r="JL20" s="425" t="str">
        <f t="shared" si="670"/>
        <v/>
      </c>
      <c r="JM20" s="425" t="str">
        <f t="shared" si="670"/>
        <v/>
      </c>
      <c r="JN20" s="425" t="str">
        <f t="shared" si="670"/>
        <v/>
      </c>
      <c r="JO20" s="425" t="str">
        <f t="shared" si="670"/>
        <v/>
      </c>
      <c r="JP20" s="425" t="str">
        <f t="shared" si="670"/>
        <v/>
      </c>
      <c r="JQ20" s="439" t="str">
        <f t="shared" si="670"/>
        <v/>
      </c>
      <c r="JR20" s="439" t="str">
        <f t="shared" si="670"/>
        <v/>
      </c>
      <c r="JS20" s="425" t="str">
        <f t="shared" si="670"/>
        <v/>
      </c>
      <c r="JT20" s="425" t="str">
        <f t="shared" si="670"/>
        <v/>
      </c>
      <c r="JU20" s="425" t="str">
        <f t="shared" si="670"/>
        <v/>
      </c>
      <c r="JV20" s="425" t="str">
        <f t="shared" si="670"/>
        <v/>
      </c>
      <c r="JW20" s="425" t="str">
        <f t="shared" si="670"/>
        <v/>
      </c>
      <c r="JX20" s="439" t="str">
        <f t="shared" si="670"/>
        <v/>
      </c>
      <c r="JY20" s="439" t="str">
        <f t="shared" si="670"/>
        <v/>
      </c>
      <c r="JZ20" s="425" t="str">
        <f t="shared" si="670"/>
        <v/>
      </c>
      <c r="KA20" s="425" t="str">
        <f t="shared" si="670"/>
        <v/>
      </c>
      <c r="KB20" s="425" t="str">
        <f t="shared" si="670"/>
        <v/>
      </c>
      <c r="KC20" s="425" t="str">
        <f t="shared" si="670"/>
        <v/>
      </c>
      <c r="KD20" s="425" t="str">
        <f t="shared" si="670"/>
        <v/>
      </c>
      <c r="KE20" s="439" t="str">
        <f t="shared" si="670"/>
        <v/>
      </c>
      <c r="KF20" s="439" t="str">
        <f t="shared" si="670"/>
        <v/>
      </c>
      <c r="KG20" s="425" t="str">
        <f t="shared" si="670"/>
        <v/>
      </c>
      <c r="KH20" s="425" t="str">
        <f t="shared" si="670"/>
        <v/>
      </c>
      <c r="KI20" s="425" t="str">
        <f t="shared" si="670"/>
        <v/>
      </c>
      <c r="KJ20" s="425" t="str">
        <f t="shared" si="670"/>
        <v/>
      </c>
      <c r="KK20" s="425" t="str">
        <f t="shared" si="670"/>
        <v/>
      </c>
      <c r="KL20" s="439" t="str">
        <f t="shared" si="670"/>
        <v/>
      </c>
      <c r="KM20" s="439" t="str">
        <f t="shared" si="670"/>
        <v/>
      </c>
      <c r="KN20" s="425" t="str">
        <f t="shared" si="670"/>
        <v/>
      </c>
      <c r="KO20" s="425" t="str">
        <f t="shared" si="670"/>
        <v/>
      </c>
      <c r="KP20" s="425" t="str">
        <f t="shared" si="670"/>
        <v/>
      </c>
      <c r="KQ20" s="425" t="str">
        <f t="shared" si="670"/>
        <v/>
      </c>
      <c r="KR20" s="425" t="str">
        <f t="shared" si="670"/>
        <v/>
      </c>
      <c r="KS20" s="439" t="str">
        <f t="shared" si="670"/>
        <v/>
      </c>
      <c r="KT20" s="439" t="str">
        <f t="shared" si="670"/>
        <v/>
      </c>
      <c r="KU20" s="425" t="str">
        <f t="shared" si="670"/>
        <v/>
      </c>
      <c r="KV20" s="425" t="str">
        <f t="shared" si="670"/>
        <v/>
      </c>
      <c r="KW20" s="425" t="str">
        <f t="shared" si="670"/>
        <v/>
      </c>
      <c r="KX20" s="425" t="str">
        <f t="shared" si="670"/>
        <v/>
      </c>
      <c r="KY20" s="425" t="str">
        <f t="shared" si="670"/>
        <v/>
      </c>
      <c r="KZ20" s="439" t="str">
        <f t="shared" si="670"/>
        <v/>
      </c>
      <c r="LA20" s="439" t="str">
        <f t="shared" si="670"/>
        <v/>
      </c>
      <c r="LB20" s="425" t="str">
        <f t="shared" si="670"/>
        <v/>
      </c>
      <c r="LC20" s="425" t="str">
        <f t="shared" si="670"/>
        <v/>
      </c>
      <c r="LD20" s="425" t="str">
        <f t="shared" si="670"/>
        <v/>
      </c>
      <c r="LE20" s="425" t="str">
        <f t="shared" si="670"/>
        <v/>
      </c>
      <c r="LF20" s="425" t="str">
        <f t="shared" si="670"/>
        <v/>
      </c>
      <c r="LG20" s="439" t="str">
        <f t="shared" si="670"/>
        <v/>
      </c>
      <c r="LH20" s="439" t="str">
        <f t="shared" si="670"/>
        <v/>
      </c>
      <c r="LI20" s="425" t="str">
        <f t="shared" si="670"/>
        <v/>
      </c>
      <c r="LJ20" s="425" t="str">
        <f t="shared" si="670"/>
        <v/>
      </c>
      <c r="LK20" s="425" t="str">
        <f t="shared" si="670"/>
        <v/>
      </c>
      <c r="LL20" s="425" t="str">
        <f t="shared" si="670"/>
        <v/>
      </c>
      <c r="LM20" s="425" t="str">
        <f t="shared" si="670"/>
        <v/>
      </c>
      <c r="LN20" s="439" t="str">
        <f t="shared" si="670"/>
        <v/>
      </c>
      <c r="LO20" s="439" t="str">
        <f t="shared" si="670"/>
        <v/>
      </c>
      <c r="LP20" s="425" t="str">
        <f t="shared" si="670"/>
        <v/>
      </c>
      <c r="LQ20" s="425" t="str">
        <f t="shared" si="670"/>
        <v/>
      </c>
      <c r="LR20" s="425" t="str">
        <f t="shared" si="670"/>
        <v/>
      </c>
      <c r="LS20" s="425" t="str">
        <f t="shared" si="670"/>
        <v/>
      </c>
      <c r="LT20" s="425" t="str">
        <f t="shared" si="670"/>
        <v/>
      </c>
      <c r="LU20" s="439" t="str">
        <f t="shared" si="670"/>
        <v/>
      </c>
      <c r="LV20" s="439" t="str">
        <f t="shared" ref="LV20:NS20" si="671">IF(AND(LV$8&gt;$H20,LV$8&lt;$I20),"-",IF(LV$8=$H20,"I",IF(LV$8=$I20,"I","")))</f>
        <v/>
      </c>
      <c r="LW20" s="425" t="str">
        <f t="shared" si="671"/>
        <v/>
      </c>
      <c r="LX20" s="425" t="str">
        <f t="shared" si="671"/>
        <v/>
      </c>
      <c r="LY20" s="425" t="str">
        <f t="shared" si="671"/>
        <v/>
      </c>
      <c r="LZ20" s="425" t="str">
        <f t="shared" si="671"/>
        <v/>
      </c>
      <c r="MA20" s="425" t="str">
        <f t="shared" si="671"/>
        <v/>
      </c>
      <c r="MB20" s="439" t="str">
        <f t="shared" si="671"/>
        <v/>
      </c>
      <c r="MC20" s="439" t="str">
        <f t="shared" si="671"/>
        <v/>
      </c>
      <c r="MD20" s="425" t="str">
        <f t="shared" si="671"/>
        <v/>
      </c>
      <c r="ME20" s="425" t="str">
        <f t="shared" si="671"/>
        <v/>
      </c>
      <c r="MF20" s="425" t="str">
        <f t="shared" si="671"/>
        <v/>
      </c>
      <c r="MG20" s="425" t="str">
        <f t="shared" si="671"/>
        <v/>
      </c>
      <c r="MH20" s="425" t="str">
        <f t="shared" si="671"/>
        <v/>
      </c>
      <c r="MI20" s="439" t="str">
        <f t="shared" si="671"/>
        <v/>
      </c>
      <c r="MJ20" s="439" t="str">
        <f t="shared" si="671"/>
        <v/>
      </c>
      <c r="MK20" s="425" t="str">
        <f t="shared" si="671"/>
        <v/>
      </c>
      <c r="ML20" s="425" t="str">
        <f t="shared" si="671"/>
        <v/>
      </c>
      <c r="MM20" s="425" t="str">
        <f t="shared" si="671"/>
        <v/>
      </c>
      <c r="MN20" s="425" t="str">
        <f t="shared" si="671"/>
        <v/>
      </c>
      <c r="MO20" s="425" t="str">
        <f t="shared" si="671"/>
        <v/>
      </c>
      <c r="MP20" s="439" t="str">
        <f t="shared" si="671"/>
        <v/>
      </c>
      <c r="MQ20" s="439" t="str">
        <f t="shared" si="671"/>
        <v/>
      </c>
      <c r="MR20" s="425" t="str">
        <f t="shared" si="671"/>
        <v/>
      </c>
      <c r="MS20" s="425" t="str">
        <f t="shared" si="671"/>
        <v/>
      </c>
      <c r="MT20" s="425" t="str">
        <f t="shared" si="671"/>
        <v/>
      </c>
      <c r="MU20" s="425" t="str">
        <f t="shared" si="671"/>
        <v/>
      </c>
      <c r="MV20" s="425" t="str">
        <f t="shared" si="671"/>
        <v/>
      </c>
      <c r="MW20" s="439" t="str">
        <f t="shared" si="671"/>
        <v/>
      </c>
      <c r="MX20" s="439" t="str">
        <f t="shared" si="671"/>
        <v/>
      </c>
      <c r="MY20" s="425" t="str">
        <f t="shared" si="671"/>
        <v/>
      </c>
      <c r="MZ20" s="425" t="str">
        <f t="shared" si="671"/>
        <v/>
      </c>
      <c r="NA20" s="425" t="str">
        <f t="shared" si="671"/>
        <v/>
      </c>
      <c r="NB20" s="425" t="str">
        <f t="shared" si="671"/>
        <v/>
      </c>
      <c r="NC20" s="425" t="str">
        <f t="shared" si="671"/>
        <v/>
      </c>
      <c r="ND20" s="439" t="str">
        <f t="shared" si="671"/>
        <v/>
      </c>
      <c r="NE20" s="439" t="str">
        <f t="shared" si="671"/>
        <v/>
      </c>
      <c r="NF20" s="425" t="str">
        <f t="shared" si="671"/>
        <v/>
      </c>
      <c r="NG20" s="425" t="str">
        <f t="shared" si="671"/>
        <v/>
      </c>
      <c r="NH20" s="425" t="str">
        <f t="shared" si="671"/>
        <v/>
      </c>
      <c r="NI20" s="425" t="str">
        <f t="shared" si="671"/>
        <v/>
      </c>
      <c r="NJ20" s="425" t="str">
        <f t="shared" si="671"/>
        <v/>
      </c>
      <c r="NK20" s="439" t="str">
        <f t="shared" si="671"/>
        <v/>
      </c>
      <c r="NL20" s="439" t="str">
        <f t="shared" si="671"/>
        <v/>
      </c>
      <c r="NM20" s="425" t="str">
        <f t="shared" si="671"/>
        <v/>
      </c>
      <c r="NN20" s="425" t="str">
        <f t="shared" si="671"/>
        <v/>
      </c>
      <c r="NO20" s="425" t="str">
        <f t="shared" si="671"/>
        <v/>
      </c>
      <c r="NP20" s="425" t="str">
        <f t="shared" si="671"/>
        <v/>
      </c>
      <c r="NQ20" s="425" t="str">
        <f t="shared" si="671"/>
        <v/>
      </c>
      <c r="NR20" s="439" t="str">
        <f t="shared" si="671"/>
        <v/>
      </c>
      <c r="NS20" s="439" t="str">
        <f t="shared" si="671"/>
        <v/>
      </c>
    </row>
    <row r="21" spans="2:383">
      <c r="B21" s="544" t="str">
        <f>REPORT!E11&amp;" - "&amp;REPORT!F11</f>
        <v xml:space="preserve">D001 - PATTERN 3D CASING DWG  </v>
      </c>
      <c r="C21" s="544"/>
      <c r="D21" s="473" t="s">
        <v>122</v>
      </c>
      <c r="E21" s="465">
        <f>REPORT!H11</f>
        <v>19.428571428571427</v>
      </c>
      <c r="H21" s="434">
        <f>IF(E21&lt;&gt;0,MAX(I16,I13)+1,"")</f>
        <v>9</v>
      </c>
      <c r="I21" s="434">
        <f t="shared" ref="I21:I29" si="672">IF(E21&lt;&gt;0,ROUND(H21+E21-1,0),"")</f>
        <v>27</v>
      </c>
      <c r="J21" s="468" cm="1">
        <f t="array" ref="J21">IF(GANTT_D!$E21&lt;&gt;0,INDEX($M$7:$NT$7,,MATCH(H21,$M$8:$NT$8,0)),"")</f>
        <v>2.5</v>
      </c>
      <c r="K21" s="468" cm="1">
        <f t="array" ref="K21">IF(GANTT_D!$E21&lt;&gt;0,INDEX($M$7:$NT$7,,MATCH(I21,$M$8:$NT$8,0)),"")</f>
        <v>6</v>
      </c>
      <c r="L21" s="424"/>
      <c r="M21" s="425"/>
      <c r="N21" s="425"/>
      <c r="O21" s="425"/>
      <c r="P21" s="425"/>
      <c r="Q21" s="425"/>
      <c r="R21" s="439"/>
      <c r="S21" s="439"/>
      <c r="T21" s="425"/>
      <c r="U21" s="425"/>
      <c r="V21" s="425"/>
      <c r="W21" s="425"/>
      <c r="X21" s="425"/>
      <c r="Y21" s="439"/>
      <c r="Z21" s="439"/>
      <c r="AA21" s="425"/>
      <c r="AB21" s="425"/>
      <c r="AC21" s="425"/>
      <c r="AD21" s="425"/>
      <c r="AE21" s="425"/>
      <c r="AF21" s="439"/>
      <c r="AG21" s="439"/>
      <c r="AH21" s="425"/>
      <c r="AI21" s="425"/>
      <c r="AJ21" s="425"/>
      <c r="AK21" s="425"/>
      <c r="AL21" s="425"/>
      <c r="AM21" s="439"/>
      <c r="AN21" s="439"/>
      <c r="AO21" s="425"/>
      <c r="AP21" s="425"/>
      <c r="AQ21" s="425"/>
      <c r="AR21" s="425"/>
      <c r="AS21" s="425"/>
      <c r="AT21" s="439"/>
      <c r="AU21" s="439"/>
      <c r="AV21" s="425"/>
      <c r="AW21" s="425"/>
      <c r="AX21" s="425"/>
      <c r="AY21" s="425"/>
      <c r="AZ21" s="425"/>
      <c r="BA21" s="439"/>
      <c r="BB21" s="439"/>
      <c r="BC21" s="425"/>
      <c r="BD21" s="425"/>
      <c r="BE21" s="425"/>
      <c r="BF21" s="425"/>
      <c r="BG21" s="425"/>
      <c r="BH21" s="439"/>
      <c r="BI21" s="439"/>
      <c r="BJ21" s="425"/>
      <c r="BK21" s="425"/>
      <c r="BL21" s="425"/>
      <c r="BM21" s="425"/>
      <c r="BN21" s="425"/>
      <c r="BO21" s="439"/>
      <c r="BP21" s="439"/>
      <c r="BQ21" s="425"/>
      <c r="BR21" s="425"/>
      <c r="BS21" s="425"/>
      <c r="BT21" s="425"/>
      <c r="BU21" s="425"/>
      <c r="BV21" s="439"/>
      <c r="BW21" s="439"/>
      <c r="BX21" s="425"/>
      <c r="BY21" s="425"/>
      <c r="BZ21" s="425"/>
      <c r="CA21" s="425"/>
      <c r="CB21" s="425"/>
      <c r="CC21" s="439"/>
      <c r="CD21" s="439"/>
      <c r="CE21" s="425"/>
      <c r="CF21" s="425"/>
      <c r="CG21" s="425"/>
      <c r="CH21" s="425"/>
      <c r="CI21" s="425"/>
      <c r="CJ21" s="439"/>
      <c r="CK21" s="439"/>
      <c r="CL21" s="425"/>
      <c r="CM21" s="425"/>
      <c r="CN21" s="425"/>
      <c r="CO21" s="425"/>
      <c r="CP21" s="425"/>
      <c r="CQ21" s="439"/>
      <c r="CR21" s="439"/>
      <c r="CS21" s="425"/>
      <c r="CT21" s="425"/>
      <c r="CU21" s="425"/>
      <c r="CV21" s="425"/>
      <c r="CW21" s="425"/>
      <c r="CX21" s="439"/>
      <c r="CY21" s="439"/>
      <c r="CZ21" s="425"/>
      <c r="DA21" s="425"/>
      <c r="DB21" s="425"/>
      <c r="DC21" s="425"/>
      <c r="DD21" s="425"/>
      <c r="DE21" s="439"/>
      <c r="DF21" s="439"/>
      <c r="DG21" s="425"/>
      <c r="DH21" s="425"/>
      <c r="DI21" s="425"/>
      <c r="DJ21" s="425"/>
      <c r="DK21" s="425"/>
      <c r="DL21" s="439"/>
      <c r="DM21" s="439"/>
      <c r="DN21" s="425"/>
      <c r="DO21" s="425"/>
      <c r="DP21" s="425"/>
      <c r="DQ21" s="425"/>
      <c r="DR21" s="425"/>
      <c r="DS21" s="439"/>
      <c r="DT21" s="439"/>
      <c r="DU21" s="425"/>
      <c r="DV21" s="425"/>
      <c r="DW21" s="425"/>
      <c r="DX21" s="425"/>
      <c r="DY21" s="425"/>
      <c r="DZ21" s="439"/>
      <c r="EA21" s="439"/>
      <c r="EB21" s="425"/>
      <c r="EC21" s="425"/>
      <c r="ED21" s="425"/>
      <c r="EE21" s="425"/>
      <c r="EF21" s="425"/>
      <c r="EG21" s="439"/>
      <c r="EH21" s="439"/>
      <c r="EI21" s="425"/>
      <c r="EJ21" s="425"/>
      <c r="EK21" s="425"/>
      <c r="EL21" s="425"/>
      <c r="EM21" s="425"/>
      <c r="EN21" s="439"/>
      <c r="EO21" s="439"/>
      <c r="EP21" s="425"/>
      <c r="EQ21" s="425"/>
      <c r="ER21" s="425"/>
      <c r="ES21" s="425"/>
      <c r="ET21" s="425"/>
      <c r="EU21" s="439"/>
      <c r="EV21" s="439"/>
      <c r="EW21" s="425"/>
      <c r="EX21" s="425"/>
      <c r="EY21" s="425"/>
      <c r="EZ21" s="425"/>
      <c r="FA21" s="425"/>
      <c r="FB21" s="439"/>
      <c r="FC21" s="439"/>
      <c r="FD21" s="425"/>
      <c r="FE21" s="425"/>
      <c r="FF21" s="425"/>
      <c r="FG21" s="425"/>
      <c r="FH21" s="425"/>
      <c r="FI21" s="439"/>
      <c r="FJ21" s="439"/>
      <c r="FK21" s="425"/>
      <c r="FL21" s="425"/>
      <c r="FM21" s="425"/>
      <c r="FN21" s="425"/>
      <c r="FO21" s="425"/>
      <c r="FP21" s="439"/>
      <c r="FQ21" s="439"/>
      <c r="FR21" s="425"/>
      <c r="FS21" s="425"/>
      <c r="FT21" s="425"/>
      <c r="FU21" s="425"/>
      <c r="FV21" s="425"/>
      <c r="FW21" s="439"/>
      <c r="FX21" s="439"/>
      <c r="FY21" s="425"/>
      <c r="FZ21" s="425"/>
      <c r="GA21" s="425"/>
      <c r="GB21" s="425"/>
      <c r="GC21" s="425"/>
      <c r="GD21" s="439"/>
      <c r="GE21" s="439"/>
      <c r="GF21" s="425"/>
      <c r="GG21" s="425"/>
      <c r="GH21" s="425"/>
      <c r="GI21" s="425"/>
      <c r="GJ21" s="425"/>
      <c r="GK21" s="439"/>
      <c r="GL21" s="439"/>
      <c r="GM21" s="425"/>
      <c r="GN21" s="425"/>
      <c r="GO21" s="425"/>
      <c r="GP21" s="425"/>
      <c r="GQ21" s="425"/>
      <c r="GR21" s="439"/>
      <c r="GS21" s="439"/>
      <c r="GT21" s="425"/>
      <c r="GU21" s="425"/>
      <c r="GV21" s="425"/>
      <c r="GW21" s="425"/>
      <c r="GX21" s="425"/>
      <c r="GY21" s="439"/>
      <c r="GZ21" s="439"/>
      <c r="HA21" s="425"/>
      <c r="HB21" s="425"/>
      <c r="HC21" s="425"/>
      <c r="HD21" s="425"/>
      <c r="HE21" s="425"/>
      <c r="HF21" s="439"/>
      <c r="HG21" s="439"/>
      <c r="HH21" s="425"/>
      <c r="HI21" s="425"/>
      <c r="HJ21" s="425"/>
      <c r="HK21" s="425"/>
      <c r="HL21" s="425"/>
      <c r="HM21" s="439"/>
      <c r="HN21" s="439"/>
      <c r="HO21" s="425"/>
      <c r="HP21" s="425"/>
      <c r="HQ21" s="425"/>
      <c r="HR21" s="425"/>
      <c r="HS21" s="425"/>
      <c r="HT21" s="439"/>
      <c r="HU21" s="439"/>
      <c r="HV21" s="425"/>
      <c r="HW21" s="425"/>
      <c r="HX21" s="425"/>
      <c r="HY21" s="425"/>
      <c r="HZ21" s="425"/>
      <c r="IA21" s="439"/>
      <c r="IB21" s="439"/>
      <c r="IC21" s="425"/>
      <c r="ID21" s="425"/>
      <c r="IE21" s="425"/>
      <c r="IF21" s="425"/>
      <c r="IG21" s="425"/>
      <c r="IH21" s="439"/>
      <c r="II21" s="439"/>
      <c r="IJ21" s="425"/>
      <c r="IK21" s="425"/>
      <c r="IL21" s="425"/>
      <c r="IM21" s="425"/>
      <c r="IN21" s="425"/>
      <c r="IO21" s="439"/>
      <c r="IP21" s="439"/>
      <c r="IQ21" s="425"/>
      <c r="IR21" s="425"/>
      <c r="IS21" s="425"/>
      <c r="IT21" s="425"/>
      <c r="IU21" s="425"/>
      <c r="IV21" s="439"/>
      <c r="IW21" s="439"/>
      <c r="IX21" s="425"/>
      <c r="IY21" s="425"/>
      <c r="IZ21" s="425"/>
      <c r="JA21" s="425"/>
      <c r="JB21" s="425"/>
      <c r="JC21" s="439"/>
      <c r="JD21" s="439"/>
      <c r="JE21" s="425"/>
      <c r="JF21" s="425"/>
      <c r="JG21" s="425"/>
      <c r="JH21" s="425"/>
      <c r="JI21" s="425"/>
      <c r="JJ21" s="439"/>
      <c r="JK21" s="439"/>
      <c r="JL21" s="425"/>
      <c r="JM21" s="425"/>
      <c r="JN21" s="425"/>
      <c r="JO21" s="425"/>
      <c r="JP21" s="425"/>
      <c r="JQ21" s="439"/>
      <c r="JR21" s="439"/>
      <c r="JS21" s="425"/>
      <c r="JT21" s="425"/>
      <c r="JU21" s="425"/>
      <c r="JV21" s="425"/>
      <c r="JW21" s="425"/>
      <c r="JX21" s="439"/>
      <c r="JY21" s="439"/>
      <c r="JZ21" s="425"/>
      <c r="KA21" s="425"/>
      <c r="KB21" s="425"/>
      <c r="KC21" s="425"/>
      <c r="KD21" s="425"/>
      <c r="KE21" s="439"/>
      <c r="KF21" s="439"/>
      <c r="KG21" s="425"/>
      <c r="KH21" s="425"/>
      <c r="KI21" s="425"/>
      <c r="KJ21" s="425"/>
      <c r="KK21" s="425"/>
      <c r="KL21" s="439"/>
      <c r="KM21" s="439"/>
      <c r="KN21" s="425"/>
      <c r="KO21" s="425"/>
      <c r="KP21" s="425"/>
      <c r="KQ21" s="425"/>
      <c r="KR21" s="425"/>
      <c r="KS21" s="439"/>
      <c r="KT21" s="439"/>
      <c r="KU21" s="425"/>
      <c r="KV21" s="425"/>
      <c r="KW21" s="425"/>
      <c r="KX21" s="425"/>
      <c r="KY21" s="425"/>
      <c r="KZ21" s="439"/>
      <c r="LA21" s="439"/>
      <c r="LB21" s="425"/>
      <c r="LC21" s="425"/>
      <c r="LD21" s="425"/>
      <c r="LE21" s="425"/>
      <c r="LF21" s="425"/>
      <c r="LG21" s="439"/>
      <c r="LH21" s="439"/>
      <c r="LI21" s="425"/>
      <c r="LJ21" s="425"/>
      <c r="LK21" s="425"/>
      <c r="LL21" s="425"/>
      <c r="LM21" s="425"/>
      <c r="LN21" s="439"/>
      <c r="LO21" s="439"/>
      <c r="LP21" s="425"/>
      <c r="LQ21" s="425"/>
      <c r="LR21" s="425"/>
      <c r="LS21" s="425"/>
      <c r="LT21" s="425"/>
      <c r="LU21" s="439"/>
      <c r="LV21" s="439"/>
      <c r="LW21" s="425"/>
      <c r="LX21" s="425"/>
      <c r="LY21" s="425"/>
      <c r="LZ21" s="425"/>
      <c r="MA21" s="425"/>
      <c r="MB21" s="439"/>
      <c r="MC21" s="439"/>
      <c r="MD21" s="425"/>
      <c r="ME21" s="425"/>
      <c r="MF21" s="425"/>
      <c r="MG21" s="425"/>
      <c r="MH21" s="425"/>
      <c r="MI21" s="439"/>
      <c r="MJ21" s="439"/>
      <c r="MK21" s="425"/>
      <c r="ML21" s="425"/>
      <c r="MM21" s="425"/>
      <c r="MN21" s="425"/>
      <c r="MO21" s="425"/>
      <c r="MP21" s="439"/>
      <c r="MQ21" s="439"/>
      <c r="MR21" s="425"/>
      <c r="MS21" s="425"/>
      <c r="MT21" s="425"/>
      <c r="MU21" s="425"/>
      <c r="MV21" s="425"/>
      <c r="MW21" s="439"/>
      <c r="MX21" s="439"/>
      <c r="MY21" s="425"/>
      <c r="MZ21" s="425"/>
      <c r="NA21" s="425"/>
      <c r="NB21" s="425"/>
      <c r="NC21" s="425"/>
      <c r="ND21" s="439"/>
      <c r="NE21" s="439"/>
      <c r="NF21" s="425"/>
      <c r="NG21" s="425"/>
      <c r="NH21" s="425"/>
      <c r="NI21" s="425"/>
      <c r="NJ21" s="425"/>
      <c r="NK21" s="439"/>
      <c r="NL21" s="439"/>
      <c r="NM21" s="425"/>
      <c r="NN21" s="425"/>
      <c r="NO21" s="425"/>
      <c r="NP21" s="425"/>
      <c r="NQ21" s="425"/>
      <c r="NR21" s="439"/>
      <c r="NS21" s="439"/>
    </row>
    <row r="22" spans="2:383">
      <c r="B22" s="543" t="str">
        <f>REPORT!E12&amp;" - "&amp;REPORT!F12</f>
        <v xml:space="preserve">D002 - PATTERN 3D COVER DWG  </v>
      </c>
      <c r="C22" s="543"/>
      <c r="D22" s="424" t="s">
        <v>122</v>
      </c>
      <c r="E22" s="434">
        <f>REPORT!H12</f>
        <v>0</v>
      </c>
      <c r="H22" s="434" t="str">
        <f>IF(E22&lt;&gt;0,I21+1,"")</f>
        <v/>
      </c>
      <c r="I22" s="434" t="str">
        <f t="shared" si="672"/>
        <v/>
      </c>
      <c r="J22" s="468" t="str" cm="1">
        <f t="array" ref="J22">IF(GANTT_D!$E22&lt;&gt;0,INDEX($M$7:$NT$7,,MATCH(H22,$M$8:$NT$8,0)),"")</f>
        <v/>
      </c>
      <c r="K22" s="468" t="str" cm="1">
        <f t="array" ref="K22">IF(GANTT_D!$E22&lt;&gt;0,INDEX($M$7:$NT$7,,MATCH(I22,$M$8:$NT$8,0)),"")</f>
        <v/>
      </c>
      <c r="L22" s="424"/>
      <c r="M22" s="425"/>
      <c r="N22" s="425"/>
      <c r="O22" s="425"/>
      <c r="P22" s="425"/>
      <c r="Q22" s="425"/>
      <c r="R22" s="439"/>
      <c r="S22" s="439"/>
      <c r="T22" s="425"/>
      <c r="U22" s="425"/>
      <c r="V22" s="425"/>
      <c r="W22" s="425"/>
      <c r="X22" s="425"/>
      <c r="Y22" s="439"/>
      <c r="Z22" s="439"/>
      <c r="AA22" s="425"/>
      <c r="AB22" s="425"/>
      <c r="AC22" s="425"/>
      <c r="AD22" s="425"/>
      <c r="AE22" s="425"/>
      <c r="AF22" s="439"/>
      <c r="AG22" s="439"/>
      <c r="AH22" s="425"/>
      <c r="AI22" s="425"/>
      <c r="AJ22" s="425"/>
      <c r="AK22" s="425"/>
      <c r="AL22" s="425"/>
      <c r="AM22" s="439"/>
      <c r="AN22" s="439"/>
      <c r="AO22" s="425"/>
      <c r="AP22" s="425"/>
      <c r="AQ22" s="425"/>
      <c r="AR22" s="425"/>
      <c r="AS22" s="425"/>
      <c r="AT22" s="439"/>
      <c r="AU22" s="439"/>
      <c r="AV22" s="425"/>
      <c r="AW22" s="425"/>
      <c r="AX22" s="425"/>
      <c r="AY22" s="425"/>
      <c r="AZ22" s="425"/>
      <c r="BA22" s="439"/>
      <c r="BB22" s="439"/>
      <c r="BC22" s="425"/>
      <c r="BD22" s="425"/>
      <c r="BE22" s="425"/>
      <c r="BF22" s="425"/>
      <c r="BG22" s="425"/>
      <c r="BH22" s="439"/>
      <c r="BI22" s="439"/>
      <c r="BJ22" s="425"/>
      <c r="BK22" s="425"/>
      <c r="BL22" s="425"/>
      <c r="BM22" s="425"/>
      <c r="BN22" s="425"/>
      <c r="BO22" s="439"/>
      <c r="BP22" s="439"/>
      <c r="BQ22" s="425"/>
      <c r="BR22" s="425"/>
      <c r="BS22" s="425"/>
      <c r="BT22" s="425"/>
      <c r="BU22" s="425"/>
      <c r="BV22" s="439"/>
      <c r="BW22" s="439"/>
      <c r="BX22" s="425"/>
      <c r="BY22" s="425"/>
      <c r="BZ22" s="425"/>
      <c r="CA22" s="425"/>
      <c r="CB22" s="425"/>
      <c r="CC22" s="439"/>
      <c r="CD22" s="439"/>
      <c r="CE22" s="425"/>
      <c r="CF22" s="425"/>
      <c r="CG22" s="425"/>
      <c r="CH22" s="425"/>
      <c r="CI22" s="425"/>
      <c r="CJ22" s="439"/>
      <c r="CK22" s="439"/>
      <c r="CL22" s="425"/>
      <c r="CM22" s="425"/>
      <c r="CN22" s="425"/>
      <c r="CO22" s="425"/>
      <c r="CP22" s="425"/>
      <c r="CQ22" s="439"/>
      <c r="CR22" s="439"/>
      <c r="CS22" s="425"/>
      <c r="CT22" s="425"/>
      <c r="CU22" s="425"/>
      <c r="CV22" s="425"/>
      <c r="CW22" s="425"/>
      <c r="CX22" s="439"/>
      <c r="CY22" s="439"/>
      <c r="CZ22" s="425"/>
      <c r="DA22" s="425"/>
      <c r="DB22" s="425"/>
      <c r="DC22" s="425"/>
      <c r="DD22" s="425"/>
      <c r="DE22" s="439"/>
      <c r="DF22" s="439"/>
      <c r="DG22" s="425"/>
      <c r="DH22" s="425"/>
      <c r="DI22" s="425"/>
      <c r="DJ22" s="425"/>
      <c r="DK22" s="425"/>
      <c r="DL22" s="439"/>
      <c r="DM22" s="439"/>
      <c r="DN22" s="425"/>
      <c r="DO22" s="425"/>
      <c r="DP22" s="425"/>
      <c r="DQ22" s="425"/>
      <c r="DR22" s="425"/>
      <c r="DS22" s="439"/>
      <c r="DT22" s="439"/>
      <c r="DU22" s="425"/>
      <c r="DV22" s="425"/>
      <c r="DW22" s="425"/>
      <c r="DX22" s="425"/>
      <c r="DY22" s="425"/>
      <c r="DZ22" s="439"/>
      <c r="EA22" s="439"/>
      <c r="EB22" s="425"/>
      <c r="EC22" s="425"/>
      <c r="ED22" s="425"/>
      <c r="EE22" s="425"/>
      <c r="EF22" s="425"/>
      <c r="EG22" s="439"/>
      <c r="EH22" s="439"/>
      <c r="EI22" s="425"/>
      <c r="EJ22" s="425"/>
      <c r="EK22" s="425"/>
      <c r="EL22" s="425"/>
      <c r="EM22" s="425"/>
      <c r="EN22" s="439"/>
      <c r="EO22" s="439"/>
      <c r="EP22" s="425"/>
      <c r="EQ22" s="425"/>
      <c r="ER22" s="425"/>
      <c r="ES22" s="425"/>
      <c r="ET22" s="425"/>
      <c r="EU22" s="439"/>
      <c r="EV22" s="439"/>
      <c r="EW22" s="425"/>
      <c r="EX22" s="425"/>
      <c r="EY22" s="425"/>
      <c r="EZ22" s="425"/>
      <c r="FA22" s="425"/>
      <c r="FB22" s="439"/>
      <c r="FC22" s="439"/>
      <c r="FD22" s="425"/>
      <c r="FE22" s="425"/>
      <c r="FF22" s="425"/>
      <c r="FG22" s="425"/>
      <c r="FH22" s="425"/>
      <c r="FI22" s="439"/>
      <c r="FJ22" s="439"/>
      <c r="FK22" s="425"/>
      <c r="FL22" s="425"/>
      <c r="FM22" s="425"/>
      <c r="FN22" s="425"/>
      <c r="FO22" s="425"/>
      <c r="FP22" s="439"/>
      <c r="FQ22" s="439"/>
      <c r="FR22" s="425"/>
      <c r="FS22" s="425"/>
      <c r="FT22" s="425"/>
      <c r="FU22" s="425"/>
      <c r="FV22" s="425"/>
      <c r="FW22" s="439"/>
      <c r="FX22" s="439"/>
      <c r="FY22" s="425"/>
      <c r="FZ22" s="425"/>
      <c r="GA22" s="425"/>
      <c r="GB22" s="425"/>
      <c r="GC22" s="425"/>
      <c r="GD22" s="439"/>
      <c r="GE22" s="439"/>
      <c r="GF22" s="425"/>
      <c r="GG22" s="425"/>
      <c r="GH22" s="425"/>
      <c r="GI22" s="425"/>
      <c r="GJ22" s="425"/>
      <c r="GK22" s="439"/>
      <c r="GL22" s="439"/>
      <c r="GM22" s="425"/>
      <c r="GN22" s="425"/>
      <c r="GO22" s="425"/>
      <c r="GP22" s="425"/>
      <c r="GQ22" s="425"/>
      <c r="GR22" s="439"/>
      <c r="GS22" s="439"/>
      <c r="GT22" s="425"/>
      <c r="GU22" s="425"/>
      <c r="GV22" s="425"/>
      <c r="GW22" s="425"/>
      <c r="GX22" s="425"/>
      <c r="GY22" s="439"/>
      <c r="GZ22" s="439"/>
      <c r="HA22" s="425"/>
      <c r="HB22" s="425"/>
      <c r="HC22" s="425"/>
      <c r="HD22" s="425"/>
      <c r="HE22" s="425"/>
      <c r="HF22" s="439"/>
      <c r="HG22" s="439"/>
      <c r="HH22" s="425"/>
      <c r="HI22" s="425"/>
      <c r="HJ22" s="425"/>
      <c r="HK22" s="425"/>
      <c r="HL22" s="425"/>
      <c r="HM22" s="439"/>
      <c r="HN22" s="439"/>
      <c r="HO22" s="425"/>
      <c r="HP22" s="425"/>
      <c r="HQ22" s="425"/>
      <c r="HR22" s="425"/>
      <c r="HS22" s="425"/>
      <c r="HT22" s="439"/>
      <c r="HU22" s="439"/>
      <c r="HV22" s="425"/>
      <c r="HW22" s="425"/>
      <c r="HX22" s="425"/>
      <c r="HY22" s="425"/>
      <c r="HZ22" s="425"/>
      <c r="IA22" s="439"/>
      <c r="IB22" s="439"/>
      <c r="IC22" s="425"/>
      <c r="ID22" s="425"/>
      <c r="IE22" s="425"/>
      <c r="IF22" s="425"/>
      <c r="IG22" s="425"/>
      <c r="IH22" s="439"/>
      <c r="II22" s="439"/>
      <c r="IJ22" s="425"/>
      <c r="IK22" s="425"/>
      <c r="IL22" s="425"/>
      <c r="IM22" s="425"/>
      <c r="IN22" s="425"/>
      <c r="IO22" s="439"/>
      <c r="IP22" s="439"/>
      <c r="IQ22" s="425"/>
      <c r="IR22" s="425"/>
      <c r="IS22" s="425"/>
      <c r="IT22" s="425"/>
      <c r="IU22" s="425"/>
      <c r="IV22" s="439"/>
      <c r="IW22" s="439"/>
      <c r="IX22" s="425"/>
      <c r="IY22" s="425"/>
      <c r="IZ22" s="425"/>
      <c r="JA22" s="425"/>
      <c r="JB22" s="425"/>
      <c r="JC22" s="439"/>
      <c r="JD22" s="439"/>
      <c r="JE22" s="425"/>
      <c r="JF22" s="425"/>
      <c r="JG22" s="425"/>
      <c r="JH22" s="425"/>
      <c r="JI22" s="425"/>
      <c r="JJ22" s="439"/>
      <c r="JK22" s="439"/>
      <c r="JL22" s="425"/>
      <c r="JM22" s="425"/>
      <c r="JN22" s="425"/>
      <c r="JO22" s="425"/>
      <c r="JP22" s="425"/>
      <c r="JQ22" s="439"/>
      <c r="JR22" s="439"/>
      <c r="JS22" s="425"/>
      <c r="JT22" s="425"/>
      <c r="JU22" s="425"/>
      <c r="JV22" s="425"/>
      <c r="JW22" s="425"/>
      <c r="JX22" s="439"/>
      <c r="JY22" s="439"/>
      <c r="JZ22" s="425"/>
      <c r="KA22" s="425"/>
      <c r="KB22" s="425"/>
      <c r="KC22" s="425"/>
      <c r="KD22" s="425"/>
      <c r="KE22" s="439"/>
      <c r="KF22" s="439"/>
      <c r="KG22" s="425"/>
      <c r="KH22" s="425"/>
      <c r="KI22" s="425"/>
      <c r="KJ22" s="425"/>
      <c r="KK22" s="425"/>
      <c r="KL22" s="439"/>
      <c r="KM22" s="439"/>
      <c r="KN22" s="425"/>
      <c r="KO22" s="425"/>
      <c r="KP22" s="425"/>
      <c r="KQ22" s="425"/>
      <c r="KR22" s="425"/>
      <c r="KS22" s="439"/>
      <c r="KT22" s="439"/>
      <c r="KU22" s="425"/>
      <c r="KV22" s="425"/>
      <c r="KW22" s="425"/>
      <c r="KX22" s="425"/>
      <c r="KY22" s="425"/>
      <c r="KZ22" s="439"/>
      <c r="LA22" s="439"/>
      <c r="LB22" s="425"/>
      <c r="LC22" s="425"/>
      <c r="LD22" s="425"/>
      <c r="LE22" s="425"/>
      <c r="LF22" s="425"/>
      <c r="LG22" s="439"/>
      <c r="LH22" s="439"/>
      <c r="LI22" s="425"/>
      <c r="LJ22" s="425"/>
      <c r="LK22" s="425"/>
      <c r="LL22" s="425"/>
      <c r="LM22" s="425"/>
      <c r="LN22" s="439"/>
      <c r="LO22" s="439"/>
      <c r="LP22" s="425"/>
      <c r="LQ22" s="425"/>
      <c r="LR22" s="425"/>
      <c r="LS22" s="425"/>
      <c r="LT22" s="425"/>
      <c r="LU22" s="439"/>
      <c r="LV22" s="439"/>
      <c r="LW22" s="425"/>
      <c r="LX22" s="425"/>
      <c r="LY22" s="425"/>
      <c r="LZ22" s="425"/>
      <c r="MA22" s="425"/>
      <c r="MB22" s="439"/>
      <c r="MC22" s="439"/>
      <c r="MD22" s="425"/>
      <c r="ME22" s="425"/>
      <c r="MF22" s="425"/>
      <c r="MG22" s="425"/>
      <c r="MH22" s="425"/>
      <c r="MI22" s="439"/>
      <c r="MJ22" s="439"/>
      <c r="MK22" s="425"/>
      <c r="ML22" s="425"/>
      <c r="MM22" s="425"/>
      <c r="MN22" s="425"/>
      <c r="MO22" s="425"/>
      <c r="MP22" s="439"/>
      <c r="MQ22" s="439"/>
      <c r="MR22" s="425"/>
      <c r="MS22" s="425"/>
      <c r="MT22" s="425"/>
      <c r="MU22" s="425"/>
      <c r="MV22" s="425"/>
      <c r="MW22" s="439"/>
      <c r="MX22" s="439"/>
      <c r="MY22" s="425"/>
      <c r="MZ22" s="425"/>
      <c r="NA22" s="425"/>
      <c r="NB22" s="425"/>
      <c r="NC22" s="425"/>
      <c r="ND22" s="439"/>
      <c r="NE22" s="439"/>
      <c r="NF22" s="425"/>
      <c r="NG22" s="425"/>
      <c r="NH22" s="425"/>
      <c r="NI22" s="425"/>
      <c r="NJ22" s="425"/>
      <c r="NK22" s="439"/>
      <c r="NL22" s="439"/>
      <c r="NM22" s="425"/>
      <c r="NN22" s="425"/>
      <c r="NO22" s="425"/>
      <c r="NP22" s="425"/>
      <c r="NQ22" s="425"/>
      <c r="NR22" s="439"/>
      <c r="NS22" s="439"/>
    </row>
    <row r="23" spans="2:383" ht="15" customHeight="1">
      <c r="B23" s="544" t="str">
        <f>REPORT!E13&amp;" - "&amp;REPORT!F13</f>
        <v xml:space="preserve">D003 - PATTERN 3D IMPELLER DWG  </v>
      </c>
      <c r="C23" s="544"/>
      <c r="D23" s="473" t="s">
        <v>122</v>
      </c>
      <c r="E23" s="465">
        <f>REPORT!H13</f>
        <v>4.5714285714285712</v>
      </c>
      <c r="H23" s="434">
        <f>IF(E23&lt;&gt;0,H21,"")</f>
        <v>9</v>
      </c>
      <c r="I23" s="434">
        <f t="shared" si="672"/>
        <v>13</v>
      </c>
      <c r="J23" s="468" cm="1">
        <f t="array" ref="J23">IF(GANTT_D!$E23&lt;&gt;0,INDEX($M$7:$NT$7,,MATCH(H23,$M$8:$NT$8,0)),"")</f>
        <v>2.5</v>
      </c>
      <c r="K23" s="468" cm="1">
        <f t="array" ref="K23">IF(GANTT_D!$E23&lt;&gt;0,INDEX($M$7:$NT$7,,MATCH(I23,$M$8:$NT$8,0)),"")</f>
        <v>3</v>
      </c>
      <c r="L23" s="424"/>
      <c r="M23" s="425"/>
      <c r="N23" s="425"/>
      <c r="O23" s="425"/>
      <c r="P23" s="425"/>
      <c r="Q23" s="425"/>
      <c r="R23" s="439"/>
      <c r="S23" s="439"/>
      <c r="T23" s="425"/>
      <c r="U23" s="425"/>
      <c r="V23" s="425"/>
      <c r="W23" s="425"/>
      <c r="X23" s="425"/>
      <c r="Y23" s="439"/>
      <c r="Z23" s="439"/>
      <c r="AA23" s="425"/>
      <c r="AB23" s="425"/>
      <c r="AC23" s="425"/>
      <c r="AD23" s="425"/>
      <c r="AE23" s="425"/>
      <c r="AF23" s="439"/>
      <c r="AG23" s="439"/>
      <c r="AH23" s="425"/>
      <c r="AI23" s="425"/>
      <c r="AJ23" s="425"/>
      <c r="AK23" s="425"/>
      <c r="AL23" s="425"/>
      <c r="AM23" s="439"/>
      <c r="AN23" s="439"/>
      <c r="AO23" s="425"/>
      <c r="AP23" s="425"/>
      <c r="AQ23" s="425"/>
      <c r="AR23" s="425"/>
      <c r="AS23" s="425"/>
      <c r="AT23" s="439"/>
      <c r="AU23" s="439"/>
      <c r="AV23" s="425"/>
      <c r="AW23" s="425"/>
      <c r="AX23" s="425"/>
      <c r="AY23" s="425"/>
      <c r="AZ23" s="425"/>
      <c r="BA23" s="439"/>
      <c r="BB23" s="439"/>
      <c r="BC23" s="425"/>
      <c r="BD23" s="425"/>
      <c r="BE23" s="425"/>
      <c r="BF23" s="425"/>
      <c r="BG23" s="425"/>
      <c r="BH23" s="439"/>
      <c r="BI23" s="439"/>
      <c r="BJ23" s="425"/>
      <c r="BK23" s="425"/>
      <c r="BL23" s="425"/>
      <c r="BM23" s="425"/>
      <c r="BN23" s="425"/>
      <c r="BO23" s="439"/>
      <c r="BP23" s="439"/>
      <c r="BQ23" s="425"/>
      <c r="BR23" s="425"/>
      <c r="BS23" s="425"/>
      <c r="BT23" s="425"/>
      <c r="BU23" s="425"/>
      <c r="BV23" s="439"/>
      <c r="BW23" s="439"/>
      <c r="BX23" s="425"/>
      <c r="BY23" s="425"/>
      <c r="BZ23" s="425"/>
      <c r="CA23" s="425"/>
      <c r="CB23" s="425"/>
      <c r="CC23" s="439"/>
      <c r="CD23" s="439"/>
      <c r="CE23" s="425"/>
      <c r="CF23" s="425"/>
      <c r="CG23" s="425"/>
      <c r="CH23" s="425"/>
      <c r="CI23" s="425"/>
      <c r="CJ23" s="439"/>
      <c r="CK23" s="439"/>
      <c r="CL23" s="425"/>
      <c r="CM23" s="425"/>
      <c r="CN23" s="425"/>
      <c r="CO23" s="425"/>
      <c r="CP23" s="425"/>
      <c r="CQ23" s="439"/>
      <c r="CR23" s="439"/>
      <c r="CS23" s="425"/>
      <c r="CT23" s="425"/>
      <c r="CU23" s="425"/>
      <c r="CV23" s="425"/>
      <c r="CW23" s="425"/>
      <c r="CX23" s="439"/>
      <c r="CY23" s="439"/>
      <c r="CZ23" s="425"/>
      <c r="DA23" s="425"/>
      <c r="DB23" s="425"/>
      <c r="DC23" s="425"/>
      <c r="DD23" s="425"/>
      <c r="DE23" s="439"/>
      <c r="DF23" s="439"/>
      <c r="DG23" s="425"/>
      <c r="DH23" s="425"/>
      <c r="DI23" s="425"/>
      <c r="DJ23" s="425"/>
      <c r="DK23" s="425"/>
      <c r="DL23" s="439"/>
      <c r="DM23" s="439"/>
      <c r="DN23" s="425"/>
      <c r="DO23" s="425"/>
      <c r="DP23" s="425"/>
      <c r="DQ23" s="425"/>
      <c r="DR23" s="425"/>
      <c r="DS23" s="439"/>
      <c r="DT23" s="439"/>
      <c r="DU23" s="425"/>
      <c r="DV23" s="425"/>
      <c r="DW23" s="425"/>
      <c r="DX23" s="425"/>
      <c r="DY23" s="425"/>
      <c r="DZ23" s="439"/>
      <c r="EA23" s="439"/>
      <c r="EB23" s="425"/>
      <c r="EC23" s="425"/>
      <c r="ED23" s="425"/>
      <c r="EE23" s="425"/>
      <c r="EF23" s="425"/>
      <c r="EG23" s="439"/>
      <c r="EH23" s="439"/>
      <c r="EI23" s="425"/>
      <c r="EJ23" s="425"/>
      <c r="EK23" s="425"/>
      <c r="EL23" s="425"/>
      <c r="EM23" s="425"/>
      <c r="EN23" s="439"/>
      <c r="EO23" s="439"/>
      <c r="EP23" s="425"/>
      <c r="EQ23" s="425"/>
      <c r="ER23" s="425"/>
      <c r="ES23" s="425"/>
      <c r="ET23" s="425"/>
      <c r="EU23" s="439"/>
      <c r="EV23" s="439"/>
      <c r="EW23" s="425"/>
      <c r="EX23" s="425"/>
      <c r="EY23" s="425"/>
      <c r="EZ23" s="425"/>
      <c r="FA23" s="425"/>
      <c r="FB23" s="439"/>
      <c r="FC23" s="439"/>
      <c r="FD23" s="425"/>
      <c r="FE23" s="425"/>
      <c r="FF23" s="425"/>
      <c r="FG23" s="425"/>
      <c r="FH23" s="425"/>
      <c r="FI23" s="439"/>
      <c r="FJ23" s="439"/>
      <c r="FK23" s="425"/>
      <c r="FL23" s="425"/>
      <c r="FM23" s="425"/>
      <c r="FN23" s="425"/>
      <c r="FO23" s="425"/>
      <c r="FP23" s="439"/>
      <c r="FQ23" s="439"/>
      <c r="FR23" s="425"/>
      <c r="FS23" s="425"/>
      <c r="FT23" s="425"/>
      <c r="FU23" s="425"/>
      <c r="FV23" s="425"/>
      <c r="FW23" s="439"/>
      <c r="FX23" s="439"/>
      <c r="FY23" s="425"/>
      <c r="FZ23" s="425"/>
      <c r="GA23" s="425"/>
      <c r="GB23" s="425"/>
      <c r="GC23" s="425"/>
      <c r="GD23" s="439"/>
      <c r="GE23" s="439"/>
      <c r="GF23" s="425"/>
      <c r="GG23" s="425"/>
      <c r="GH23" s="425"/>
      <c r="GI23" s="425"/>
      <c r="GJ23" s="425"/>
      <c r="GK23" s="439"/>
      <c r="GL23" s="439"/>
      <c r="GM23" s="425"/>
      <c r="GN23" s="425"/>
      <c r="GO23" s="425"/>
      <c r="GP23" s="425"/>
      <c r="GQ23" s="425"/>
      <c r="GR23" s="439"/>
      <c r="GS23" s="439"/>
      <c r="GT23" s="425"/>
      <c r="GU23" s="425"/>
      <c r="GV23" s="425"/>
      <c r="GW23" s="425"/>
      <c r="GX23" s="425"/>
      <c r="GY23" s="439"/>
      <c r="GZ23" s="439"/>
      <c r="HA23" s="425"/>
      <c r="HB23" s="425"/>
      <c r="HC23" s="425"/>
      <c r="HD23" s="425"/>
      <c r="HE23" s="425"/>
      <c r="HF23" s="439"/>
      <c r="HG23" s="439"/>
      <c r="HH23" s="425"/>
      <c r="HI23" s="425"/>
      <c r="HJ23" s="425"/>
      <c r="HK23" s="425"/>
      <c r="HL23" s="425"/>
      <c r="HM23" s="439"/>
      <c r="HN23" s="439"/>
      <c r="HO23" s="425"/>
      <c r="HP23" s="425"/>
      <c r="HQ23" s="425"/>
      <c r="HR23" s="425"/>
      <c r="HS23" s="425"/>
      <c r="HT23" s="439"/>
      <c r="HU23" s="439"/>
      <c r="HV23" s="425"/>
      <c r="HW23" s="425"/>
      <c r="HX23" s="425"/>
      <c r="HY23" s="425"/>
      <c r="HZ23" s="425"/>
      <c r="IA23" s="439"/>
      <c r="IB23" s="439"/>
      <c r="IC23" s="425"/>
      <c r="ID23" s="425"/>
      <c r="IE23" s="425"/>
      <c r="IF23" s="425"/>
      <c r="IG23" s="425"/>
      <c r="IH23" s="439"/>
      <c r="II23" s="439"/>
      <c r="IJ23" s="425"/>
      <c r="IK23" s="425"/>
      <c r="IL23" s="425"/>
      <c r="IM23" s="425"/>
      <c r="IN23" s="425"/>
      <c r="IO23" s="439"/>
      <c r="IP23" s="439"/>
      <c r="IQ23" s="425"/>
      <c r="IR23" s="425"/>
      <c r="IS23" s="425"/>
      <c r="IT23" s="425"/>
      <c r="IU23" s="425"/>
      <c r="IV23" s="439"/>
      <c r="IW23" s="439"/>
      <c r="IX23" s="425"/>
      <c r="IY23" s="425"/>
      <c r="IZ23" s="425"/>
      <c r="JA23" s="425"/>
      <c r="JB23" s="425"/>
      <c r="JC23" s="439"/>
      <c r="JD23" s="439"/>
      <c r="JE23" s="425"/>
      <c r="JF23" s="425"/>
      <c r="JG23" s="425"/>
      <c r="JH23" s="425"/>
      <c r="JI23" s="425"/>
      <c r="JJ23" s="439"/>
      <c r="JK23" s="439"/>
      <c r="JL23" s="425"/>
      <c r="JM23" s="425"/>
      <c r="JN23" s="425"/>
      <c r="JO23" s="425"/>
      <c r="JP23" s="425"/>
      <c r="JQ23" s="439"/>
      <c r="JR23" s="439"/>
      <c r="JS23" s="425"/>
      <c r="JT23" s="425"/>
      <c r="JU23" s="425"/>
      <c r="JV23" s="425"/>
      <c r="JW23" s="425"/>
      <c r="JX23" s="439"/>
      <c r="JY23" s="439"/>
      <c r="JZ23" s="425"/>
      <c r="KA23" s="425"/>
      <c r="KB23" s="425"/>
      <c r="KC23" s="425"/>
      <c r="KD23" s="425"/>
      <c r="KE23" s="439"/>
      <c r="KF23" s="439"/>
      <c r="KG23" s="425"/>
      <c r="KH23" s="425"/>
      <c r="KI23" s="425"/>
      <c r="KJ23" s="425"/>
      <c r="KK23" s="425"/>
      <c r="KL23" s="439"/>
      <c r="KM23" s="439"/>
      <c r="KN23" s="425"/>
      <c r="KO23" s="425"/>
      <c r="KP23" s="425"/>
      <c r="KQ23" s="425"/>
      <c r="KR23" s="425"/>
      <c r="KS23" s="439"/>
      <c r="KT23" s="439"/>
      <c r="KU23" s="425"/>
      <c r="KV23" s="425"/>
      <c r="KW23" s="425"/>
      <c r="KX23" s="425"/>
      <c r="KY23" s="425"/>
      <c r="KZ23" s="439"/>
      <c r="LA23" s="439"/>
      <c r="LB23" s="425"/>
      <c r="LC23" s="425"/>
      <c r="LD23" s="425"/>
      <c r="LE23" s="425"/>
      <c r="LF23" s="425"/>
      <c r="LG23" s="439"/>
      <c r="LH23" s="439"/>
      <c r="LI23" s="425"/>
      <c r="LJ23" s="425"/>
      <c r="LK23" s="425"/>
      <c r="LL23" s="425"/>
      <c r="LM23" s="425"/>
      <c r="LN23" s="439"/>
      <c r="LO23" s="439"/>
      <c r="LP23" s="425"/>
      <c r="LQ23" s="425"/>
      <c r="LR23" s="425"/>
      <c r="LS23" s="425"/>
      <c r="LT23" s="425"/>
      <c r="LU23" s="439"/>
      <c r="LV23" s="439"/>
      <c r="LW23" s="425"/>
      <c r="LX23" s="425"/>
      <c r="LY23" s="425"/>
      <c r="LZ23" s="425"/>
      <c r="MA23" s="425"/>
      <c r="MB23" s="439"/>
      <c r="MC23" s="439"/>
      <c r="MD23" s="425"/>
      <c r="ME23" s="425"/>
      <c r="MF23" s="425"/>
      <c r="MG23" s="425"/>
      <c r="MH23" s="425"/>
      <c r="MI23" s="439"/>
      <c r="MJ23" s="439"/>
      <c r="MK23" s="425"/>
      <c r="ML23" s="425"/>
      <c r="MM23" s="425"/>
      <c r="MN23" s="425"/>
      <c r="MO23" s="425"/>
      <c r="MP23" s="439"/>
      <c r="MQ23" s="439"/>
      <c r="MR23" s="425"/>
      <c r="MS23" s="425"/>
      <c r="MT23" s="425"/>
      <c r="MU23" s="425"/>
      <c r="MV23" s="425"/>
      <c r="MW23" s="439"/>
      <c r="MX23" s="439"/>
      <c r="MY23" s="425"/>
      <c r="MZ23" s="425"/>
      <c r="NA23" s="425"/>
      <c r="NB23" s="425"/>
      <c r="NC23" s="425"/>
      <c r="ND23" s="439"/>
      <c r="NE23" s="439"/>
      <c r="NF23" s="425"/>
      <c r="NG23" s="425"/>
      <c r="NH23" s="425"/>
      <c r="NI23" s="425"/>
      <c r="NJ23" s="425"/>
      <c r="NK23" s="439"/>
      <c r="NL23" s="439"/>
      <c r="NM23" s="425"/>
      <c r="NN23" s="425"/>
      <c r="NO23" s="425"/>
      <c r="NP23" s="425"/>
      <c r="NQ23" s="425"/>
      <c r="NR23" s="439"/>
      <c r="NS23" s="439"/>
    </row>
    <row r="24" spans="2:383">
      <c r="B24" s="543" t="str">
        <f>REPORT!E14&amp;" - "&amp;REPORT!F14</f>
        <v xml:space="preserve">D004 - PATTERN 3D DIFFUSER DWG  </v>
      </c>
      <c r="C24" s="543"/>
      <c r="D24" s="424" t="s">
        <v>122</v>
      </c>
      <c r="E24" s="434">
        <f>REPORT!H14</f>
        <v>0</v>
      </c>
      <c r="H24" s="434" t="str">
        <f>IF(E24&lt;&gt;0,I23+1,"")</f>
        <v/>
      </c>
      <c r="I24" s="434" t="str">
        <f t="shared" si="672"/>
        <v/>
      </c>
      <c r="J24" s="468" t="str" cm="1">
        <f t="array" ref="J24">IF(GANTT_D!$E24&lt;&gt;0,INDEX($M$7:$NT$7,,MATCH(H24,$M$8:$NT$8,0)),"")</f>
        <v/>
      </c>
      <c r="K24" s="468" t="str" cm="1">
        <f t="array" ref="K24">IF(GANTT_D!$E24&lt;&gt;0,INDEX($M$7:$NT$7,,MATCH(I24,$M$8:$NT$8,0)),"")</f>
        <v/>
      </c>
      <c r="L24" s="424"/>
      <c r="M24" s="425"/>
      <c r="N24" s="425"/>
      <c r="O24" s="425"/>
      <c r="P24" s="425"/>
      <c r="Q24" s="425"/>
      <c r="R24" s="439"/>
      <c r="S24" s="439"/>
      <c r="T24" s="425"/>
      <c r="U24" s="425"/>
      <c r="V24" s="425"/>
      <c r="W24" s="425"/>
      <c r="X24" s="425"/>
      <c r="Y24" s="439"/>
      <c r="Z24" s="439"/>
      <c r="AA24" s="425"/>
      <c r="AB24" s="425"/>
      <c r="AC24" s="425"/>
      <c r="AD24" s="425"/>
      <c r="AE24" s="425"/>
      <c r="AF24" s="439"/>
      <c r="AG24" s="439"/>
      <c r="AH24" s="425"/>
      <c r="AI24" s="425"/>
      <c r="AJ24" s="425"/>
      <c r="AK24" s="425"/>
      <c r="AL24" s="425"/>
      <c r="AM24" s="439"/>
      <c r="AN24" s="439"/>
      <c r="AO24" s="425"/>
      <c r="AP24" s="425"/>
      <c r="AQ24" s="425"/>
      <c r="AR24" s="425"/>
      <c r="AS24" s="425"/>
      <c r="AT24" s="439"/>
      <c r="AU24" s="439"/>
      <c r="AV24" s="425"/>
      <c r="AW24" s="425"/>
      <c r="AX24" s="425"/>
      <c r="AY24" s="425"/>
      <c r="AZ24" s="425"/>
      <c r="BA24" s="439"/>
      <c r="BB24" s="439"/>
      <c r="BC24" s="425"/>
      <c r="BD24" s="425"/>
      <c r="BE24" s="425"/>
      <c r="BF24" s="425"/>
      <c r="BG24" s="425"/>
      <c r="BH24" s="439"/>
      <c r="BI24" s="439"/>
      <c r="BJ24" s="425"/>
      <c r="BK24" s="425"/>
      <c r="BL24" s="425"/>
      <c r="BM24" s="425"/>
      <c r="BN24" s="425"/>
      <c r="BO24" s="439"/>
      <c r="BP24" s="439"/>
      <c r="BQ24" s="425"/>
      <c r="BR24" s="425"/>
      <c r="BS24" s="425"/>
      <c r="BT24" s="425"/>
      <c r="BU24" s="425"/>
      <c r="BV24" s="439"/>
      <c r="BW24" s="439"/>
      <c r="BX24" s="425"/>
      <c r="BY24" s="425"/>
      <c r="BZ24" s="425"/>
      <c r="CA24" s="425"/>
      <c r="CB24" s="425"/>
      <c r="CC24" s="439"/>
      <c r="CD24" s="439"/>
      <c r="CE24" s="425"/>
      <c r="CF24" s="425"/>
      <c r="CG24" s="425"/>
      <c r="CH24" s="425"/>
      <c r="CI24" s="425"/>
      <c r="CJ24" s="439"/>
      <c r="CK24" s="439"/>
      <c r="CL24" s="425"/>
      <c r="CM24" s="425"/>
      <c r="CN24" s="425"/>
      <c r="CO24" s="425"/>
      <c r="CP24" s="425"/>
      <c r="CQ24" s="439"/>
      <c r="CR24" s="439"/>
      <c r="CS24" s="425"/>
      <c r="CT24" s="425"/>
      <c r="CU24" s="425"/>
      <c r="CV24" s="425"/>
      <c r="CW24" s="425"/>
      <c r="CX24" s="439"/>
      <c r="CY24" s="439"/>
      <c r="CZ24" s="425"/>
      <c r="DA24" s="425"/>
      <c r="DB24" s="425"/>
      <c r="DC24" s="425"/>
      <c r="DD24" s="425"/>
      <c r="DE24" s="439"/>
      <c r="DF24" s="439"/>
      <c r="DG24" s="425"/>
      <c r="DH24" s="425"/>
      <c r="DI24" s="425"/>
      <c r="DJ24" s="425"/>
      <c r="DK24" s="425"/>
      <c r="DL24" s="439"/>
      <c r="DM24" s="439"/>
      <c r="DN24" s="425"/>
      <c r="DO24" s="425"/>
      <c r="DP24" s="425"/>
      <c r="DQ24" s="425"/>
      <c r="DR24" s="425"/>
      <c r="DS24" s="439"/>
      <c r="DT24" s="439"/>
      <c r="DU24" s="425"/>
      <c r="DV24" s="425"/>
      <c r="DW24" s="425"/>
      <c r="DX24" s="425"/>
      <c r="DY24" s="425"/>
      <c r="DZ24" s="439"/>
      <c r="EA24" s="439"/>
      <c r="EB24" s="425"/>
      <c r="EC24" s="425"/>
      <c r="ED24" s="425"/>
      <c r="EE24" s="425"/>
      <c r="EF24" s="425"/>
      <c r="EG24" s="439"/>
      <c r="EH24" s="439"/>
      <c r="EI24" s="425"/>
      <c r="EJ24" s="425"/>
      <c r="EK24" s="425"/>
      <c r="EL24" s="425"/>
      <c r="EM24" s="425"/>
      <c r="EN24" s="439"/>
      <c r="EO24" s="439"/>
      <c r="EP24" s="425"/>
      <c r="EQ24" s="425"/>
      <c r="ER24" s="425"/>
      <c r="ES24" s="425"/>
      <c r="ET24" s="425"/>
      <c r="EU24" s="439"/>
      <c r="EV24" s="439"/>
      <c r="EW24" s="425"/>
      <c r="EX24" s="425"/>
      <c r="EY24" s="425"/>
      <c r="EZ24" s="425"/>
      <c r="FA24" s="425"/>
      <c r="FB24" s="439"/>
      <c r="FC24" s="439"/>
      <c r="FD24" s="425"/>
      <c r="FE24" s="425"/>
      <c r="FF24" s="425"/>
      <c r="FG24" s="425"/>
      <c r="FH24" s="425"/>
      <c r="FI24" s="439"/>
      <c r="FJ24" s="439"/>
      <c r="FK24" s="425"/>
      <c r="FL24" s="425"/>
      <c r="FM24" s="425"/>
      <c r="FN24" s="425"/>
      <c r="FO24" s="425"/>
      <c r="FP24" s="439"/>
      <c r="FQ24" s="439"/>
      <c r="FR24" s="425"/>
      <c r="FS24" s="425"/>
      <c r="FT24" s="425"/>
      <c r="FU24" s="425"/>
      <c r="FV24" s="425"/>
      <c r="FW24" s="439"/>
      <c r="FX24" s="439"/>
      <c r="FY24" s="425"/>
      <c r="FZ24" s="425"/>
      <c r="GA24" s="425"/>
      <c r="GB24" s="425"/>
      <c r="GC24" s="425"/>
      <c r="GD24" s="439"/>
      <c r="GE24" s="439"/>
      <c r="GF24" s="425"/>
      <c r="GG24" s="425"/>
      <c r="GH24" s="425"/>
      <c r="GI24" s="425"/>
      <c r="GJ24" s="425"/>
      <c r="GK24" s="439"/>
      <c r="GL24" s="439"/>
      <c r="GM24" s="425"/>
      <c r="GN24" s="425"/>
      <c r="GO24" s="425"/>
      <c r="GP24" s="425"/>
      <c r="GQ24" s="425"/>
      <c r="GR24" s="439"/>
      <c r="GS24" s="439"/>
      <c r="GT24" s="425"/>
      <c r="GU24" s="425"/>
      <c r="GV24" s="425"/>
      <c r="GW24" s="425"/>
      <c r="GX24" s="425"/>
      <c r="GY24" s="439"/>
      <c r="GZ24" s="439"/>
      <c r="HA24" s="425"/>
      <c r="HB24" s="425"/>
      <c r="HC24" s="425"/>
      <c r="HD24" s="425"/>
      <c r="HE24" s="425"/>
      <c r="HF24" s="439"/>
      <c r="HG24" s="439"/>
      <c r="HH24" s="425"/>
      <c r="HI24" s="425"/>
      <c r="HJ24" s="425"/>
      <c r="HK24" s="425"/>
      <c r="HL24" s="425"/>
      <c r="HM24" s="439"/>
      <c r="HN24" s="439"/>
      <c r="HO24" s="425"/>
      <c r="HP24" s="425"/>
      <c r="HQ24" s="425"/>
      <c r="HR24" s="425"/>
      <c r="HS24" s="425"/>
      <c r="HT24" s="439"/>
      <c r="HU24" s="439"/>
      <c r="HV24" s="425"/>
      <c r="HW24" s="425"/>
      <c r="HX24" s="425"/>
      <c r="HY24" s="425"/>
      <c r="HZ24" s="425"/>
      <c r="IA24" s="439"/>
      <c r="IB24" s="439"/>
      <c r="IC24" s="425"/>
      <c r="ID24" s="425"/>
      <c r="IE24" s="425"/>
      <c r="IF24" s="425"/>
      <c r="IG24" s="425"/>
      <c r="IH24" s="439"/>
      <c r="II24" s="439"/>
      <c r="IJ24" s="425"/>
      <c r="IK24" s="425"/>
      <c r="IL24" s="425"/>
      <c r="IM24" s="425"/>
      <c r="IN24" s="425"/>
      <c r="IO24" s="439"/>
      <c r="IP24" s="439"/>
      <c r="IQ24" s="425"/>
      <c r="IR24" s="425"/>
      <c r="IS24" s="425"/>
      <c r="IT24" s="425"/>
      <c r="IU24" s="425"/>
      <c r="IV24" s="439"/>
      <c r="IW24" s="439"/>
      <c r="IX24" s="425"/>
      <c r="IY24" s="425"/>
      <c r="IZ24" s="425"/>
      <c r="JA24" s="425"/>
      <c r="JB24" s="425"/>
      <c r="JC24" s="439"/>
      <c r="JD24" s="439"/>
      <c r="JE24" s="425"/>
      <c r="JF24" s="425"/>
      <c r="JG24" s="425"/>
      <c r="JH24" s="425"/>
      <c r="JI24" s="425"/>
      <c r="JJ24" s="439"/>
      <c r="JK24" s="439"/>
      <c r="JL24" s="425"/>
      <c r="JM24" s="425"/>
      <c r="JN24" s="425"/>
      <c r="JO24" s="425"/>
      <c r="JP24" s="425"/>
      <c r="JQ24" s="439"/>
      <c r="JR24" s="439"/>
      <c r="JS24" s="425"/>
      <c r="JT24" s="425"/>
      <c r="JU24" s="425"/>
      <c r="JV24" s="425"/>
      <c r="JW24" s="425"/>
      <c r="JX24" s="439"/>
      <c r="JY24" s="439"/>
      <c r="JZ24" s="425"/>
      <c r="KA24" s="425"/>
      <c r="KB24" s="425"/>
      <c r="KC24" s="425"/>
      <c r="KD24" s="425"/>
      <c r="KE24" s="439"/>
      <c r="KF24" s="439"/>
      <c r="KG24" s="425"/>
      <c r="KH24" s="425"/>
      <c r="KI24" s="425"/>
      <c r="KJ24" s="425"/>
      <c r="KK24" s="425"/>
      <c r="KL24" s="439"/>
      <c r="KM24" s="439"/>
      <c r="KN24" s="425"/>
      <c r="KO24" s="425"/>
      <c r="KP24" s="425"/>
      <c r="KQ24" s="425"/>
      <c r="KR24" s="425"/>
      <c r="KS24" s="439"/>
      <c r="KT24" s="439"/>
      <c r="KU24" s="425"/>
      <c r="KV24" s="425"/>
      <c r="KW24" s="425"/>
      <c r="KX24" s="425"/>
      <c r="KY24" s="425"/>
      <c r="KZ24" s="439"/>
      <c r="LA24" s="439"/>
      <c r="LB24" s="425"/>
      <c r="LC24" s="425"/>
      <c r="LD24" s="425"/>
      <c r="LE24" s="425"/>
      <c r="LF24" s="425"/>
      <c r="LG24" s="439"/>
      <c r="LH24" s="439"/>
      <c r="LI24" s="425"/>
      <c r="LJ24" s="425"/>
      <c r="LK24" s="425"/>
      <c r="LL24" s="425"/>
      <c r="LM24" s="425"/>
      <c r="LN24" s="439"/>
      <c r="LO24" s="439"/>
      <c r="LP24" s="425"/>
      <c r="LQ24" s="425"/>
      <c r="LR24" s="425"/>
      <c r="LS24" s="425"/>
      <c r="LT24" s="425"/>
      <c r="LU24" s="439"/>
      <c r="LV24" s="439"/>
      <c r="LW24" s="425"/>
      <c r="LX24" s="425"/>
      <c r="LY24" s="425"/>
      <c r="LZ24" s="425"/>
      <c r="MA24" s="425"/>
      <c r="MB24" s="439"/>
      <c r="MC24" s="439"/>
      <c r="MD24" s="425"/>
      <c r="ME24" s="425"/>
      <c r="MF24" s="425"/>
      <c r="MG24" s="425"/>
      <c r="MH24" s="425"/>
      <c r="MI24" s="439"/>
      <c r="MJ24" s="439"/>
      <c r="MK24" s="425"/>
      <c r="ML24" s="425"/>
      <c r="MM24" s="425"/>
      <c r="MN24" s="425"/>
      <c r="MO24" s="425"/>
      <c r="MP24" s="439"/>
      <c r="MQ24" s="439"/>
      <c r="MR24" s="425"/>
      <c r="MS24" s="425"/>
      <c r="MT24" s="425"/>
      <c r="MU24" s="425"/>
      <c r="MV24" s="425"/>
      <c r="MW24" s="439"/>
      <c r="MX24" s="439"/>
      <c r="MY24" s="425"/>
      <c r="MZ24" s="425"/>
      <c r="NA24" s="425"/>
      <c r="NB24" s="425"/>
      <c r="NC24" s="425"/>
      <c r="ND24" s="439"/>
      <c r="NE24" s="439"/>
      <c r="NF24" s="425"/>
      <c r="NG24" s="425"/>
      <c r="NH24" s="425"/>
      <c r="NI24" s="425"/>
      <c r="NJ24" s="425"/>
      <c r="NK24" s="439"/>
      <c r="NL24" s="439"/>
      <c r="NM24" s="425"/>
      <c r="NN24" s="425"/>
      <c r="NO24" s="425"/>
      <c r="NP24" s="425"/>
      <c r="NQ24" s="425"/>
      <c r="NR24" s="439"/>
      <c r="NS24" s="439"/>
    </row>
    <row r="25" spans="2:383">
      <c r="B25" s="544" t="str">
        <f>REPORT!E15&amp;" - "&amp;REPORT!F15</f>
        <v>D005 - PATTERN 3D OTHER DWG</v>
      </c>
      <c r="C25" s="544"/>
      <c r="D25" s="473" t="s">
        <v>122</v>
      </c>
      <c r="E25" s="465">
        <f>REPORT!H15</f>
        <v>0</v>
      </c>
      <c r="H25" s="434" t="str">
        <f>IF(E25&lt;&gt;0,MIN(I21:I24)+1,"")</f>
        <v/>
      </c>
      <c r="I25" s="434" t="str">
        <f t="shared" si="672"/>
        <v/>
      </c>
      <c r="J25" s="468" t="str" cm="1">
        <f t="array" ref="J25">IF(GANTT_D!$E25&lt;&gt;0,INDEX($M$7:$NT$7,,MATCH(H25,$M$8:$NT$8,0)),"")</f>
        <v/>
      </c>
      <c r="K25" s="468" t="str" cm="1">
        <f t="array" ref="K25">IF(GANTT_D!$E25&lt;&gt;0,INDEX($M$7:$NT$7,,MATCH(I25,$M$8:$NT$8,0)),"")</f>
        <v/>
      </c>
      <c r="L25" s="424"/>
      <c r="M25" s="425"/>
      <c r="N25" s="425"/>
      <c r="O25" s="425"/>
      <c r="P25" s="425"/>
      <c r="Q25" s="425"/>
      <c r="R25" s="439"/>
      <c r="S25" s="439"/>
      <c r="T25" s="425"/>
      <c r="U25" s="425"/>
      <c r="V25" s="425"/>
      <c r="W25" s="425"/>
      <c r="X25" s="425"/>
      <c r="Y25" s="439"/>
      <c r="Z25" s="439"/>
      <c r="AA25" s="425"/>
      <c r="AB25" s="425"/>
      <c r="AC25" s="425"/>
      <c r="AD25" s="425"/>
      <c r="AE25" s="425"/>
      <c r="AF25" s="439"/>
      <c r="AG25" s="439"/>
      <c r="AH25" s="425"/>
      <c r="AI25" s="425"/>
      <c r="AJ25" s="425"/>
      <c r="AK25" s="425"/>
      <c r="AL25" s="425"/>
      <c r="AM25" s="439"/>
      <c r="AN25" s="439"/>
      <c r="AO25" s="425"/>
      <c r="AP25" s="425"/>
      <c r="AQ25" s="425"/>
      <c r="AR25" s="425"/>
      <c r="AS25" s="425"/>
      <c r="AT25" s="439"/>
      <c r="AU25" s="439"/>
      <c r="AV25" s="425"/>
      <c r="AW25" s="425"/>
      <c r="AX25" s="425"/>
      <c r="AY25" s="425"/>
      <c r="AZ25" s="425"/>
      <c r="BA25" s="439"/>
      <c r="BB25" s="439"/>
      <c r="BC25" s="425"/>
      <c r="BD25" s="425"/>
      <c r="BE25" s="425"/>
      <c r="BF25" s="425"/>
      <c r="BG25" s="425"/>
      <c r="BH25" s="439"/>
      <c r="BI25" s="439"/>
      <c r="BJ25" s="425"/>
      <c r="BK25" s="425"/>
      <c r="BL25" s="425"/>
      <c r="BM25" s="425"/>
      <c r="BN25" s="425"/>
      <c r="BO25" s="439"/>
      <c r="BP25" s="439"/>
      <c r="BQ25" s="425"/>
      <c r="BR25" s="425"/>
      <c r="BS25" s="425"/>
      <c r="BT25" s="425"/>
      <c r="BU25" s="425"/>
      <c r="BV25" s="439"/>
      <c r="BW25" s="439"/>
      <c r="BX25" s="425"/>
      <c r="BY25" s="425"/>
      <c r="BZ25" s="425"/>
      <c r="CA25" s="425"/>
      <c r="CB25" s="425"/>
      <c r="CC25" s="439"/>
      <c r="CD25" s="439"/>
      <c r="CE25" s="425"/>
      <c r="CF25" s="425"/>
      <c r="CG25" s="425"/>
      <c r="CH25" s="425"/>
      <c r="CI25" s="425"/>
      <c r="CJ25" s="439"/>
      <c r="CK25" s="439"/>
      <c r="CL25" s="425"/>
      <c r="CM25" s="425"/>
      <c r="CN25" s="425"/>
      <c r="CO25" s="425"/>
      <c r="CP25" s="425"/>
      <c r="CQ25" s="439"/>
      <c r="CR25" s="439"/>
      <c r="CS25" s="425"/>
      <c r="CT25" s="425"/>
      <c r="CU25" s="425"/>
      <c r="CV25" s="425"/>
      <c r="CW25" s="425"/>
      <c r="CX25" s="439"/>
      <c r="CY25" s="439"/>
      <c r="CZ25" s="425"/>
      <c r="DA25" s="425"/>
      <c r="DB25" s="425"/>
      <c r="DC25" s="425"/>
      <c r="DD25" s="425"/>
      <c r="DE25" s="439"/>
      <c r="DF25" s="439"/>
      <c r="DG25" s="425"/>
      <c r="DH25" s="425"/>
      <c r="DI25" s="425"/>
      <c r="DJ25" s="425"/>
      <c r="DK25" s="425"/>
      <c r="DL25" s="439"/>
      <c r="DM25" s="439"/>
      <c r="DN25" s="425"/>
      <c r="DO25" s="425"/>
      <c r="DP25" s="425"/>
      <c r="DQ25" s="425"/>
      <c r="DR25" s="425"/>
      <c r="DS25" s="439"/>
      <c r="DT25" s="439"/>
      <c r="DU25" s="425"/>
      <c r="DV25" s="425"/>
      <c r="DW25" s="425"/>
      <c r="DX25" s="425"/>
      <c r="DY25" s="425"/>
      <c r="DZ25" s="439"/>
      <c r="EA25" s="439"/>
      <c r="EB25" s="425"/>
      <c r="EC25" s="425"/>
      <c r="ED25" s="425"/>
      <c r="EE25" s="425"/>
      <c r="EF25" s="425"/>
      <c r="EG25" s="439"/>
      <c r="EH25" s="439"/>
      <c r="EI25" s="425"/>
      <c r="EJ25" s="425"/>
      <c r="EK25" s="425"/>
      <c r="EL25" s="425"/>
      <c r="EM25" s="425"/>
      <c r="EN25" s="439"/>
      <c r="EO25" s="439"/>
      <c r="EP25" s="425"/>
      <c r="EQ25" s="425"/>
      <c r="ER25" s="425"/>
      <c r="ES25" s="425"/>
      <c r="ET25" s="425"/>
      <c r="EU25" s="439"/>
      <c r="EV25" s="439"/>
      <c r="EW25" s="425"/>
      <c r="EX25" s="425"/>
      <c r="EY25" s="425"/>
      <c r="EZ25" s="425"/>
      <c r="FA25" s="425"/>
      <c r="FB25" s="439"/>
      <c r="FC25" s="439"/>
      <c r="FD25" s="425"/>
      <c r="FE25" s="425"/>
      <c r="FF25" s="425"/>
      <c r="FG25" s="425"/>
      <c r="FH25" s="425"/>
      <c r="FI25" s="439"/>
      <c r="FJ25" s="439"/>
      <c r="FK25" s="425"/>
      <c r="FL25" s="425"/>
      <c r="FM25" s="425"/>
      <c r="FN25" s="425"/>
      <c r="FO25" s="425"/>
      <c r="FP25" s="439"/>
      <c r="FQ25" s="439"/>
      <c r="FR25" s="425"/>
      <c r="FS25" s="425"/>
      <c r="FT25" s="425"/>
      <c r="FU25" s="425"/>
      <c r="FV25" s="425"/>
      <c r="FW25" s="439"/>
      <c r="FX25" s="439"/>
      <c r="FY25" s="425"/>
      <c r="FZ25" s="425"/>
      <c r="GA25" s="425"/>
      <c r="GB25" s="425"/>
      <c r="GC25" s="425"/>
      <c r="GD25" s="439"/>
      <c r="GE25" s="439"/>
      <c r="GF25" s="425"/>
      <c r="GG25" s="425"/>
      <c r="GH25" s="425"/>
      <c r="GI25" s="425"/>
      <c r="GJ25" s="425"/>
      <c r="GK25" s="439"/>
      <c r="GL25" s="439"/>
      <c r="GM25" s="425"/>
      <c r="GN25" s="425"/>
      <c r="GO25" s="425"/>
      <c r="GP25" s="425"/>
      <c r="GQ25" s="425"/>
      <c r="GR25" s="439"/>
      <c r="GS25" s="439"/>
      <c r="GT25" s="425"/>
      <c r="GU25" s="425"/>
      <c r="GV25" s="425"/>
      <c r="GW25" s="425"/>
      <c r="GX25" s="425"/>
      <c r="GY25" s="439"/>
      <c r="GZ25" s="439"/>
      <c r="HA25" s="425"/>
      <c r="HB25" s="425"/>
      <c r="HC25" s="425"/>
      <c r="HD25" s="425"/>
      <c r="HE25" s="425"/>
      <c r="HF25" s="439"/>
      <c r="HG25" s="439"/>
      <c r="HH25" s="425"/>
      <c r="HI25" s="425"/>
      <c r="HJ25" s="425"/>
      <c r="HK25" s="425"/>
      <c r="HL25" s="425"/>
      <c r="HM25" s="439"/>
      <c r="HN25" s="439"/>
      <c r="HO25" s="425"/>
      <c r="HP25" s="425"/>
      <c r="HQ25" s="425"/>
      <c r="HR25" s="425"/>
      <c r="HS25" s="425"/>
      <c r="HT25" s="439"/>
      <c r="HU25" s="439"/>
      <c r="HV25" s="425"/>
      <c r="HW25" s="425"/>
      <c r="HX25" s="425"/>
      <c r="HY25" s="425"/>
      <c r="HZ25" s="425"/>
      <c r="IA25" s="439"/>
      <c r="IB25" s="439"/>
      <c r="IC25" s="425"/>
      <c r="ID25" s="425"/>
      <c r="IE25" s="425"/>
      <c r="IF25" s="425"/>
      <c r="IG25" s="425"/>
      <c r="IH25" s="439"/>
      <c r="II25" s="439"/>
      <c r="IJ25" s="425"/>
      <c r="IK25" s="425"/>
      <c r="IL25" s="425"/>
      <c r="IM25" s="425"/>
      <c r="IN25" s="425"/>
      <c r="IO25" s="439"/>
      <c r="IP25" s="439"/>
      <c r="IQ25" s="425"/>
      <c r="IR25" s="425"/>
      <c r="IS25" s="425"/>
      <c r="IT25" s="425"/>
      <c r="IU25" s="425"/>
      <c r="IV25" s="439"/>
      <c r="IW25" s="439"/>
      <c r="IX25" s="425"/>
      <c r="IY25" s="425"/>
      <c r="IZ25" s="425"/>
      <c r="JA25" s="425"/>
      <c r="JB25" s="425"/>
      <c r="JC25" s="439"/>
      <c r="JD25" s="439"/>
      <c r="JE25" s="425"/>
      <c r="JF25" s="425"/>
      <c r="JG25" s="425"/>
      <c r="JH25" s="425"/>
      <c r="JI25" s="425"/>
      <c r="JJ25" s="439"/>
      <c r="JK25" s="439"/>
      <c r="JL25" s="425"/>
      <c r="JM25" s="425"/>
      <c r="JN25" s="425"/>
      <c r="JO25" s="425"/>
      <c r="JP25" s="425"/>
      <c r="JQ25" s="439"/>
      <c r="JR25" s="439"/>
      <c r="JS25" s="425"/>
      <c r="JT25" s="425"/>
      <c r="JU25" s="425"/>
      <c r="JV25" s="425"/>
      <c r="JW25" s="425"/>
      <c r="JX25" s="439"/>
      <c r="JY25" s="439"/>
      <c r="JZ25" s="425"/>
      <c r="KA25" s="425"/>
      <c r="KB25" s="425"/>
      <c r="KC25" s="425"/>
      <c r="KD25" s="425"/>
      <c r="KE25" s="439"/>
      <c r="KF25" s="439"/>
      <c r="KG25" s="425"/>
      <c r="KH25" s="425"/>
      <c r="KI25" s="425"/>
      <c r="KJ25" s="425"/>
      <c r="KK25" s="425"/>
      <c r="KL25" s="439"/>
      <c r="KM25" s="439"/>
      <c r="KN25" s="425"/>
      <c r="KO25" s="425"/>
      <c r="KP25" s="425"/>
      <c r="KQ25" s="425"/>
      <c r="KR25" s="425"/>
      <c r="KS25" s="439"/>
      <c r="KT25" s="439"/>
      <c r="KU25" s="425"/>
      <c r="KV25" s="425"/>
      <c r="KW25" s="425"/>
      <c r="KX25" s="425"/>
      <c r="KY25" s="425"/>
      <c r="KZ25" s="439"/>
      <c r="LA25" s="439"/>
      <c r="LB25" s="425"/>
      <c r="LC25" s="425"/>
      <c r="LD25" s="425"/>
      <c r="LE25" s="425"/>
      <c r="LF25" s="425"/>
      <c r="LG25" s="439"/>
      <c r="LH25" s="439"/>
      <c r="LI25" s="425"/>
      <c r="LJ25" s="425"/>
      <c r="LK25" s="425"/>
      <c r="LL25" s="425"/>
      <c r="LM25" s="425"/>
      <c r="LN25" s="439"/>
      <c r="LO25" s="439"/>
      <c r="LP25" s="425"/>
      <c r="LQ25" s="425"/>
      <c r="LR25" s="425"/>
      <c r="LS25" s="425"/>
      <c r="LT25" s="425"/>
      <c r="LU25" s="439"/>
      <c r="LV25" s="439"/>
      <c r="LW25" s="425"/>
      <c r="LX25" s="425"/>
      <c r="LY25" s="425"/>
      <c r="LZ25" s="425"/>
      <c r="MA25" s="425"/>
      <c r="MB25" s="439"/>
      <c r="MC25" s="439"/>
      <c r="MD25" s="425"/>
      <c r="ME25" s="425"/>
      <c r="MF25" s="425"/>
      <c r="MG25" s="425"/>
      <c r="MH25" s="425"/>
      <c r="MI25" s="439"/>
      <c r="MJ25" s="439"/>
      <c r="MK25" s="425"/>
      <c r="ML25" s="425"/>
      <c r="MM25" s="425"/>
      <c r="MN25" s="425"/>
      <c r="MO25" s="425"/>
      <c r="MP25" s="439"/>
      <c r="MQ25" s="439"/>
      <c r="MR25" s="425"/>
      <c r="MS25" s="425"/>
      <c r="MT25" s="425"/>
      <c r="MU25" s="425"/>
      <c r="MV25" s="425"/>
      <c r="MW25" s="439"/>
      <c r="MX25" s="439"/>
      <c r="MY25" s="425"/>
      <c r="MZ25" s="425"/>
      <c r="NA25" s="425"/>
      <c r="NB25" s="425"/>
      <c r="NC25" s="425"/>
      <c r="ND25" s="439"/>
      <c r="NE25" s="439"/>
      <c r="NF25" s="425"/>
      <c r="NG25" s="425"/>
      <c r="NH25" s="425"/>
      <c r="NI25" s="425"/>
      <c r="NJ25" s="425"/>
      <c r="NK25" s="439"/>
      <c r="NL25" s="439"/>
      <c r="NM25" s="425"/>
      <c r="NN25" s="425"/>
      <c r="NO25" s="425"/>
      <c r="NP25" s="425"/>
      <c r="NQ25" s="425"/>
      <c r="NR25" s="439"/>
      <c r="NS25" s="439"/>
    </row>
    <row r="26" spans="2:383">
      <c r="B26" s="543" t="str">
        <f>REPORT!E16&amp;" - "&amp;REPORT!F16</f>
        <v xml:space="preserve">D010 - CASTINGS RELEASE PREX E-BOM  </v>
      </c>
      <c r="C26" s="543"/>
      <c r="D26" s="424" t="s">
        <v>122</v>
      </c>
      <c r="E26" s="434">
        <f>REPORT!H16</f>
        <v>2.8571428571428572</v>
      </c>
      <c r="H26" s="434">
        <f>IF(E26&lt;&gt;0,MAX(I21:I24)+1,"")</f>
        <v>28</v>
      </c>
      <c r="I26" s="434">
        <f t="shared" si="672"/>
        <v>30</v>
      </c>
      <c r="J26" s="468" cm="1">
        <f t="array" ref="J26">IF(GANTT_D!$E26&lt;&gt;0,INDEX($M$7:$NT$7,,MATCH(H26,$M$8:$NT$8,0)),"")</f>
        <v>6</v>
      </c>
      <c r="K26" s="468" cm="1">
        <f t="array" ref="K26">IF(GANTT_D!$E26&lt;&gt;0,INDEX($M$7:$NT$7,,MATCH(I26,$M$8:$NT$8,0)),"")</f>
        <v>6.5</v>
      </c>
      <c r="L26" s="424"/>
      <c r="M26" s="425"/>
      <c r="N26" s="425"/>
      <c r="O26" s="425"/>
      <c r="P26" s="425"/>
      <c r="Q26" s="425"/>
      <c r="R26" s="439"/>
      <c r="S26" s="439"/>
      <c r="T26" s="425"/>
      <c r="U26" s="425"/>
      <c r="V26" s="425"/>
      <c r="W26" s="425"/>
      <c r="X26" s="425"/>
      <c r="Y26" s="439"/>
      <c r="Z26" s="439"/>
      <c r="AA26" s="425"/>
      <c r="AB26" s="425"/>
      <c r="AC26" s="425"/>
      <c r="AD26" s="425"/>
      <c r="AE26" s="425"/>
      <c r="AF26" s="439"/>
      <c r="AG26" s="439"/>
      <c r="AH26" s="425"/>
      <c r="AI26" s="425"/>
      <c r="AJ26" s="425"/>
      <c r="AK26" s="425"/>
      <c r="AL26" s="425"/>
      <c r="AM26" s="439"/>
      <c r="AN26" s="439"/>
      <c r="AO26" s="425"/>
      <c r="AP26" s="425"/>
      <c r="AQ26" s="425"/>
      <c r="AR26" s="425"/>
      <c r="AS26" s="425"/>
      <c r="AT26" s="439"/>
      <c r="AU26" s="439"/>
      <c r="AV26" s="425"/>
      <c r="AW26" s="425"/>
      <c r="AX26" s="425"/>
      <c r="AY26" s="425"/>
      <c r="AZ26" s="425"/>
      <c r="BA26" s="439"/>
      <c r="BB26" s="439"/>
      <c r="BC26" s="425"/>
      <c r="BD26" s="425"/>
      <c r="BE26" s="425"/>
      <c r="BF26" s="425"/>
      <c r="BG26" s="425"/>
      <c r="BH26" s="439"/>
      <c r="BI26" s="439"/>
      <c r="BJ26" s="425"/>
      <c r="BK26" s="425"/>
      <c r="BL26" s="425"/>
      <c r="BM26" s="425"/>
      <c r="BN26" s="425"/>
      <c r="BO26" s="439"/>
      <c r="BP26" s="439"/>
      <c r="BQ26" s="425"/>
      <c r="BR26" s="425"/>
      <c r="BS26" s="425"/>
      <c r="BT26" s="425"/>
      <c r="BU26" s="425"/>
      <c r="BV26" s="439"/>
      <c r="BW26" s="439"/>
      <c r="BX26" s="425"/>
      <c r="BY26" s="425"/>
      <c r="BZ26" s="425"/>
      <c r="CA26" s="425"/>
      <c r="CB26" s="425"/>
      <c r="CC26" s="439"/>
      <c r="CD26" s="439"/>
      <c r="CE26" s="425"/>
      <c r="CF26" s="425"/>
      <c r="CG26" s="425"/>
      <c r="CH26" s="425"/>
      <c r="CI26" s="425"/>
      <c r="CJ26" s="439"/>
      <c r="CK26" s="439"/>
      <c r="CL26" s="425"/>
      <c r="CM26" s="425"/>
      <c r="CN26" s="425"/>
      <c r="CO26" s="425"/>
      <c r="CP26" s="425"/>
      <c r="CQ26" s="439"/>
      <c r="CR26" s="439"/>
      <c r="CS26" s="425"/>
      <c r="CT26" s="425"/>
      <c r="CU26" s="425"/>
      <c r="CV26" s="425"/>
      <c r="CW26" s="425"/>
      <c r="CX26" s="439"/>
      <c r="CY26" s="439"/>
      <c r="CZ26" s="425"/>
      <c r="DA26" s="425"/>
      <c r="DB26" s="425"/>
      <c r="DC26" s="425"/>
      <c r="DD26" s="425"/>
      <c r="DE26" s="439"/>
      <c r="DF26" s="439"/>
      <c r="DG26" s="425"/>
      <c r="DH26" s="425"/>
      <c r="DI26" s="425"/>
      <c r="DJ26" s="425"/>
      <c r="DK26" s="425"/>
      <c r="DL26" s="439"/>
      <c r="DM26" s="439"/>
      <c r="DN26" s="425"/>
      <c r="DO26" s="425"/>
      <c r="DP26" s="425"/>
      <c r="DQ26" s="425"/>
      <c r="DR26" s="425"/>
      <c r="DS26" s="439"/>
      <c r="DT26" s="439"/>
      <c r="DU26" s="425"/>
      <c r="DV26" s="425"/>
      <c r="DW26" s="425"/>
      <c r="DX26" s="425"/>
      <c r="DY26" s="425"/>
      <c r="DZ26" s="439"/>
      <c r="EA26" s="439"/>
      <c r="EB26" s="425"/>
      <c r="EC26" s="425"/>
      <c r="ED26" s="425"/>
      <c r="EE26" s="425"/>
      <c r="EF26" s="425"/>
      <c r="EG26" s="439"/>
      <c r="EH26" s="439"/>
      <c r="EI26" s="425"/>
      <c r="EJ26" s="425"/>
      <c r="EK26" s="425"/>
      <c r="EL26" s="425"/>
      <c r="EM26" s="425"/>
      <c r="EN26" s="439"/>
      <c r="EO26" s="439"/>
      <c r="EP26" s="425"/>
      <c r="EQ26" s="425"/>
      <c r="ER26" s="425"/>
      <c r="ES26" s="425"/>
      <c r="ET26" s="425"/>
      <c r="EU26" s="439"/>
      <c r="EV26" s="439"/>
      <c r="EW26" s="425"/>
      <c r="EX26" s="425"/>
      <c r="EY26" s="425"/>
      <c r="EZ26" s="425"/>
      <c r="FA26" s="425"/>
      <c r="FB26" s="439"/>
      <c r="FC26" s="439"/>
      <c r="FD26" s="425"/>
      <c r="FE26" s="425"/>
      <c r="FF26" s="425"/>
      <c r="FG26" s="425"/>
      <c r="FH26" s="425"/>
      <c r="FI26" s="439"/>
      <c r="FJ26" s="439"/>
      <c r="FK26" s="425"/>
      <c r="FL26" s="425"/>
      <c r="FM26" s="425"/>
      <c r="FN26" s="425"/>
      <c r="FO26" s="425"/>
      <c r="FP26" s="439"/>
      <c r="FQ26" s="439"/>
      <c r="FR26" s="425"/>
      <c r="FS26" s="425"/>
      <c r="FT26" s="425"/>
      <c r="FU26" s="425"/>
      <c r="FV26" s="425"/>
      <c r="FW26" s="439"/>
      <c r="FX26" s="439"/>
      <c r="FY26" s="425"/>
      <c r="FZ26" s="425"/>
      <c r="GA26" s="425"/>
      <c r="GB26" s="425"/>
      <c r="GC26" s="425"/>
      <c r="GD26" s="439"/>
      <c r="GE26" s="439"/>
      <c r="GF26" s="425"/>
      <c r="GG26" s="425"/>
      <c r="GH26" s="425"/>
      <c r="GI26" s="425"/>
      <c r="GJ26" s="425"/>
      <c r="GK26" s="439"/>
      <c r="GL26" s="439"/>
      <c r="GM26" s="425"/>
      <c r="GN26" s="425"/>
      <c r="GO26" s="425"/>
      <c r="GP26" s="425"/>
      <c r="GQ26" s="425"/>
      <c r="GR26" s="439"/>
      <c r="GS26" s="439"/>
      <c r="GT26" s="425"/>
      <c r="GU26" s="425"/>
      <c r="GV26" s="425"/>
      <c r="GW26" s="425"/>
      <c r="GX26" s="425"/>
      <c r="GY26" s="439"/>
      <c r="GZ26" s="439"/>
      <c r="HA26" s="425"/>
      <c r="HB26" s="425"/>
      <c r="HC26" s="425"/>
      <c r="HD26" s="425"/>
      <c r="HE26" s="425"/>
      <c r="HF26" s="439"/>
      <c r="HG26" s="439"/>
      <c r="HH26" s="425"/>
      <c r="HI26" s="425"/>
      <c r="HJ26" s="425"/>
      <c r="HK26" s="425"/>
      <c r="HL26" s="425"/>
      <c r="HM26" s="439"/>
      <c r="HN26" s="439"/>
      <c r="HO26" s="425"/>
      <c r="HP26" s="425"/>
      <c r="HQ26" s="425"/>
      <c r="HR26" s="425"/>
      <c r="HS26" s="425"/>
      <c r="HT26" s="439"/>
      <c r="HU26" s="439"/>
      <c r="HV26" s="425"/>
      <c r="HW26" s="425"/>
      <c r="HX26" s="425"/>
      <c r="HY26" s="425"/>
      <c r="HZ26" s="425"/>
      <c r="IA26" s="439"/>
      <c r="IB26" s="439"/>
      <c r="IC26" s="425"/>
      <c r="ID26" s="425"/>
      <c r="IE26" s="425"/>
      <c r="IF26" s="425"/>
      <c r="IG26" s="425"/>
      <c r="IH26" s="439"/>
      <c r="II26" s="439"/>
      <c r="IJ26" s="425"/>
      <c r="IK26" s="425"/>
      <c r="IL26" s="425"/>
      <c r="IM26" s="425"/>
      <c r="IN26" s="425"/>
      <c r="IO26" s="439"/>
      <c r="IP26" s="439"/>
      <c r="IQ26" s="425"/>
      <c r="IR26" s="425"/>
      <c r="IS26" s="425"/>
      <c r="IT26" s="425"/>
      <c r="IU26" s="425"/>
      <c r="IV26" s="439"/>
      <c r="IW26" s="439"/>
      <c r="IX26" s="425"/>
      <c r="IY26" s="425"/>
      <c r="IZ26" s="425"/>
      <c r="JA26" s="425"/>
      <c r="JB26" s="425"/>
      <c r="JC26" s="439"/>
      <c r="JD26" s="439"/>
      <c r="JE26" s="425"/>
      <c r="JF26" s="425"/>
      <c r="JG26" s="425"/>
      <c r="JH26" s="425"/>
      <c r="JI26" s="425"/>
      <c r="JJ26" s="439"/>
      <c r="JK26" s="439"/>
      <c r="JL26" s="425"/>
      <c r="JM26" s="425"/>
      <c r="JN26" s="425"/>
      <c r="JO26" s="425"/>
      <c r="JP26" s="425"/>
      <c r="JQ26" s="439"/>
      <c r="JR26" s="439"/>
      <c r="JS26" s="425"/>
      <c r="JT26" s="425"/>
      <c r="JU26" s="425"/>
      <c r="JV26" s="425"/>
      <c r="JW26" s="425"/>
      <c r="JX26" s="439"/>
      <c r="JY26" s="439"/>
      <c r="JZ26" s="425"/>
      <c r="KA26" s="425"/>
      <c r="KB26" s="425"/>
      <c r="KC26" s="425"/>
      <c r="KD26" s="425"/>
      <c r="KE26" s="439"/>
      <c r="KF26" s="439"/>
      <c r="KG26" s="425"/>
      <c r="KH26" s="425"/>
      <c r="KI26" s="425"/>
      <c r="KJ26" s="425"/>
      <c r="KK26" s="425"/>
      <c r="KL26" s="439"/>
      <c r="KM26" s="439"/>
      <c r="KN26" s="425"/>
      <c r="KO26" s="425"/>
      <c r="KP26" s="425"/>
      <c r="KQ26" s="425"/>
      <c r="KR26" s="425"/>
      <c r="KS26" s="439"/>
      <c r="KT26" s="439"/>
      <c r="KU26" s="425"/>
      <c r="KV26" s="425"/>
      <c r="KW26" s="425"/>
      <c r="KX26" s="425"/>
      <c r="KY26" s="425"/>
      <c r="KZ26" s="439"/>
      <c r="LA26" s="439"/>
      <c r="LB26" s="425"/>
      <c r="LC26" s="425"/>
      <c r="LD26" s="425"/>
      <c r="LE26" s="425"/>
      <c r="LF26" s="425"/>
      <c r="LG26" s="439"/>
      <c r="LH26" s="439"/>
      <c r="LI26" s="425"/>
      <c r="LJ26" s="425"/>
      <c r="LK26" s="425"/>
      <c r="LL26" s="425"/>
      <c r="LM26" s="425"/>
      <c r="LN26" s="439"/>
      <c r="LO26" s="439"/>
      <c r="LP26" s="425"/>
      <c r="LQ26" s="425"/>
      <c r="LR26" s="425"/>
      <c r="LS26" s="425"/>
      <c r="LT26" s="425"/>
      <c r="LU26" s="439"/>
      <c r="LV26" s="439"/>
      <c r="LW26" s="425"/>
      <c r="LX26" s="425"/>
      <c r="LY26" s="425"/>
      <c r="LZ26" s="425"/>
      <c r="MA26" s="425"/>
      <c r="MB26" s="439"/>
      <c r="MC26" s="439"/>
      <c r="MD26" s="425"/>
      <c r="ME26" s="425"/>
      <c r="MF26" s="425"/>
      <c r="MG26" s="425"/>
      <c r="MH26" s="425"/>
      <c r="MI26" s="439"/>
      <c r="MJ26" s="439"/>
      <c r="MK26" s="425"/>
      <c r="ML26" s="425"/>
      <c r="MM26" s="425"/>
      <c r="MN26" s="425"/>
      <c r="MO26" s="425"/>
      <c r="MP26" s="439"/>
      <c r="MQ26" s="439"/>
      <c r="MR26" s="425"/>
      <c r="MS26" s="425"/>
      <c r="MT26" s="425"/>
      <c r="MU26" s="425"/>
      <c r="MV26" s="425"/>
      <c r="MW26" s="439"/>
      <c r="MX26" s="439"/>
      <c r="MY26" s="425"/>
      <c r="MZ26" s="425"/>
      <c r="NA26" s="425"/>
      <c r="NB26" s="425"/>
      <c r="NC26" s="425"/>
      <c r="ND26" s="439"/>
      <c r="NE26" s="439"/>
      <c r="NF26" s="425"/>
      <c r="NG26" s="425"/>
      <c r="NH26" s="425"/>
      <c r="NI26" s="425"/>
      <c r="NJ26" s="425"/>
      <c r="NK26" s="439"/>
      <c r="NL26" s="439"/>
      <c r="NM26" s="425"/>
      <c r="NN26" s="425"/>
      <c r="NO26" s="425"/>
      <c r="NP26" s="425"/>
      <c r="NQ26" s="425"/>
      <c r="NR26" s="439"/>
      <c r="NS26" s="439"/>
    </row>
    <row r="27" spans="2:383">
      <c r="B27" s="544" t="str">
        <f>REPORT!E17&amp;" - "&amp;REPORT!F17</f>
        <v>D015 - PREX E-BOM COMPLETION</v>
      </c>
      <c r="C27" s="544"/>
      <c r="D27" s="473" t="s">
        <v>122</v>
      </c>
      <c r="E27" s="465">
        <f>REPORT!H17</f>
        <v>6.2857142857142856</v>
      </c>
      <c r="H27" s="434">
        <f>IF(E27&lt;&gt;0,I26+1,"")</f>
        <v>31</v>
      </c>
      <c r="I27" s="434">
        <f t="shared" si="672"/>
        <v>36</v>
      </c>
      <c r="J27" s="468" cm="1">
        <f t="array" ref="J27">IF(GANTT_D!$E27&lt;&gt;0,INDEX($M$7:$NT$7,,MATCH(H27,$M$8:$NT$8,0)),"")</f>
        <v>7</v>
      </c>
      <c r="K27" s="468" cm="1">
        <f t="array" ref="K27">IF(GANTT_D!$E27&lt;&gt;0,INDEX($M$7:$NT$7,,MATCH(I27,$M$8:$NT$8,0)),"")</f>
        <v>8</v>
      </c>
      <c r="L27" s="424"/>
      <c r="M27" s="425"/>
      <c r="N27" s="425"/>
      <c r="O27" s="425"/>
      <c r="P27" s="425"/>
      <c r="Q27" s="425"/>
      <c r="R27" s="439"/>
      <c r="S27" s="439"/>
      <c r="T27" s="425"/>
      <c r="U27" s="425"/>
      <c r="V27" s="425"/>
      <c r="W27" s="425"/>
      <c r="X27" s="425"/>
      <c r="Y27" s="439"/>
      <c r="Z27" s="439"/>
      <c r="AA27" s="425"/>
      <c r="AB27" s="425"/>
      <c r="AC27" s="425"/>
      <c r="AD27" s="425"/>
      <c r="AE27" s="425"/>
      <c r="AF27" s="439"/>
      <c r="AG27" s="439"/>
      <c r="AH27" s="425"/>
      <c r="AI27" s="425"/>
      <c r="AJ27" s="425"/>
      <c r="AK27" s="425"/>
      <c r="AL27" s="425"/>
      <c r="AM27" s="439"/>
      <c r="AN27" s="439"/>
      <c r="AO27" s="425"/>
      <c r="AP27" s="425"/>
      <c r="AQ27" s="425"/>
      <c r="AR27" s="425"/>
      <c r="AS27" s="425"/>
      <c r="AT27" s="439"/>
      <c r="AU27" s="439"/>
      <c r="AV27" s="425"/>
      <c r="AW27" s="425"/>
      <c r="AX27" s="425"/>
      <c r="AY27" s="425"/>
      <c r="AZ27" s="425"/>
      <c r="BA27" s="439"/>
      <c r="BB27" s="439"/>
      <c r="BC27" s="425"/>
      <c r="BD27" s="425"/>
      <c r="BE27" s="425"/>
      <c r="BF27" s="425"/>
      <c r="BG27" s="425"/>
      <c r="BH27" s="439"/>
      <c r="BI27" s="439"/>
      <c r="BJ27" s="425"/>
      <c r="BK27" s="425"/>
      <c r="BL27" s="425"/>
      <c r="BM27" s="425"/>
      <c r="BN27" s="425"/>
      <c r="BO27" s="439"/>
      <c r="BP27" s="439"/>
      <c r="BQ27" s="425"/>
      <c r="BR27" s="425"/>
      <c r="BS27" s="425"/>
      <c r="BT27" s="425"/>
      <c r="BU27" s="425"/>
      <c r="BV27" s="439"/>
      <c r="BW27" s="439"/>
      <c r="BX27" s="425"/>
      <c r="BY27" s="425"/>
      <c r="BZ27" s="425"/>
      <c r="CA27" s="425"/>
      <c r="CB27" s="425"/>
      <c r="CC27" s="439"/>
      <c r="CD27" s="439"/>
      <c r="CE27" s="425"/>
      <c r="CF27" s="425"/>
      <c r="CG27" s="425"/>
      <c r="CH27" s="425"/>
      <c r="CI27" s="425"/>
      <c r="CJ27" s="439"/>
      <c r="CK27" s="439"/>
      <c r="CL27" s="425"/>
      <c r="CM27" s="425"/>
      <c r="CN27" s="425"/>
      <c r="CO27" s="425"/>
      <c r="CP27" s="425"/>
      <c r="CQ27" s="439"/>
      <c r="CR27" s="439"/>
      <c r="CS27" s="425"/>
      <c r="CT27" s="425"/>
      <c r="CU27" s="425"/>
      <c r="CV27" s="425"/>
      <c r="CW27" s="425"/>
      <c r="CX27" s="439"/>
      <c r="CY27" s="439"/>
      <c r="CZ27" s="425"/>
      <c r="DA27" s="425"/>
      <c r="DB27" s="425"/>
      <c r="DC27" s="425"/>
      <c r="DD27" s="425"/>
      <c r="DE27" s="439"/>
      <c r="DF27" s="439"/>
      <c r="DG27" s="425"/>
      <c r="DH27" s="425"/>
      <c r="DI27" s="425"/>
      <c r="DJ27" s="425"/>
      <c r="DK27" s="425"/>
      <c r="DL27" s="439"/>
      <c r="DM27" s="439"/>
      <c r="DN27" s="425"/>
      <c r="DO27" s="425"/>
      <c r="DP27" s="425"/>
      <c r="DQ27" s="425"/>
      <c r="DR27" s="425"/>
      <c r="DS27" s="439"/>
      <c r="DT27" s="439"/>
      <c r="DU27" s="425"/>
      <c r="DV27" s="425"/>
      <c r="DW27" s="425"/>
      <c r="DX27" s="425"/>
      <c r="DY27" s="425"/>
      <c r="DZ27" s="439"/>
      <c r="EA27" s="439"/>
      <c r="EB27" s="425"/>
      <c r="EC27" s="425"/>
      <c r="ED27" s="425"/>
      <c r="EE27" s="425"/>
      <c r="EF27" s="425"/>
      <c r="EG27" s="439"/>
      <c r="EH27" s="439"/>
      <c r="EI27" s="425"/>
      <c r="EJ27" s="425"/>
      <c r="EK27" s="425"/>
      <c r="EL27" s="425"/>
      <c r="EM27" s="425"/>
      <c r="EN27" s="439"/>
      <c r="EO27" s="439"/>
      <c r="EP27" s="425"/>
      <c r="EQ27" s="425"/>
      <c r="ER27" s="425"/>
      <c r="ES27" s="425"/>
      <c r="ET27" s="425"/>
      <c r="EU27" s="439"/>
      <c r="EV27" s="439"/>
      <c r="EW27" s="425"/>
      <c r="EX27" s="425"/>
      <c r="EY27" s="425"/>
      <c r="EZ27" s="425"/>
      <c r="FA27" s="425"/>
      <c r="FB27" s="439"/>
      <c r="FC27" s="439"/>
      <c r="FD27" s="425"/>
      <c r="FE27" s="425"/>
      <c r="FF27" s="425"/>
      <c r="FG27" s="425"/>
      <c r="FH27" s="425"/>
      <c r="FI27" s="439"/>
      <c r="FJ27" s="439"/>
      <c r="FK27" s="425"/>
      <c r="FL27" s="425"/>
      <c r="FM27" s="425"/>
      <c r="FN27" s="425"/>
      <c r="FO27" s="425"/>
      <c r="FP27" s="439"/>
      <c r="FQ27" s="439"/>
      <c r="FR27" s="425"/>
      <c r="FS27" s="425"/>
      <c r="FT27" s="425"/>
      <c r="FU27" s="425"/>
      <c r="FV27" s="425"/>
      <c r="FW27" s="439"/>
      <c r="FX27" s="439"/>
      <c r="FY27" s="425"/>
      <c r="FZ27" s="425"/>
      <c r="GA27" s="425"/>
      <c r="GB27" s="425"/>
      <c r="GC27" s="425"/>
      <c r="GD27" s="439"/>
      <c r="GE27" s="439"/>
      <c r="GF27" s="425"/>
      <c r="GG27" s="425"/>
      <c r="GH27" s="425"/>
      <c r="GI27" s="425"/>
      <c r="GJ27" s="425"/>
      <c r="GK27" s="439"/>
      <c r="GL27" s="439"/>
      <c r="GM27" s="425"/>
      <c r="GN27" s="425"/>
      <c r="GO27" s="425"/>
      <c r="GP27" s="425"/>
      <c r="GQ27" s="425"/>
      <c r="GR27" s="439"/>
      <c r="GS27" s="439"/>
      <c r="GT27" s="425"/>
      <c r="GU27" s="425"/>
      <c r="GV27" s="425"/>
      <c r="GW27" s="425"/>
      <c r="GX27" s="425"/>
      <c r="GY27" s="439"/>
      <c r="GZ27" s="439"/>
      <c r="HA27" s="425"/>
      <c r="HB27" s="425"/>
      <c r="HC27" s="425"/>
      <c r="HD27" s="425"/>
      <c r="HE27" s="425"/>
      <c r="HF27" s="439"/>
      <c r="HG27" s="439"/>
      <c r="HH27" s="425"/>
      <c r="HI27" s="425"/>
      <c r="HJ27" s="425"/>
      <c r="HK27" s="425"/>
      <c r="HL27" s="425"/>
      <c r="HM27" s="439"/>
      <c r="HN27" s="439"/>
      <c r="HO27" s="425"/>
      <c r="HP27" s="425"/>
      <c r="HQ27" s="425"/>
      <c r="HR27" s="425"/>
      <c r="HS27" s="425"/>
      <c r="HT27" s="439"/>
      <c r="HU27" s="439"/>
      <c r="HV27" s="425"/>
      <c r="HW27" s="425"/>
      <c r="HX27" s="425"/>
      <c r="HY27" s="425"/>
      <c r="HZ27" s="425"/>
      <c r="IA27" s="439"/>
      <c r="IB27" s="439"/>
      <c r="IC27" s="425"/>
      <c r="ID27" s="425"/>
      <c r="IE27" s="425"/>
      <c r="IF27" s="425"/>
      <c r="IG27" s="425"/>
      <c r="IH27" s="439"/>
      <c r="II27" s="439"/>
      <c r="IJ27" s="425"/>
      <c r="IK27" s="425"/>
      <c r="IL27" s="425"/>
      <c r="IM27" s="425"/>
      <c r="IN27" s="425"/>
      <c r="IO27" s="439"/>
      <c r="IP27" s="439"/>
      <c r="IQ27" s="425"/>
      <c r="IR27" s="425"/>
      <c r="IS27" s="425"/>
      <c r="IT27" s="425"/>
      <c r="IU27" s="425"/>
      <c r="IV27" s="439"/>
      <c r="IW27" s="439"/>
      <c r="IX27" s="425"/>
      <c r="IY27" s="425"/>
      <c r="IZ27" s="425"/>
      <c r="JA27" s="425"/>
      <c r="JB27" s="425"/>
      <c r="JC27" s="439"/>
      <c r="JD27" s="439"/>
      <c r="JE27" s="425"/>
      <c r="JF27" s="425"/>
      <c r="JG27" s="425"/>
      <c r="JH27" s="425"/>
      <c r="JI27" s="425"/>
      <c r="JJ27" s="439"/>
      <c r="JK27" s="439"/>
      <c r="JL27" s="425"/>
      <c r="JM27" s="425"/>
      <c r="JN27" s="425"/>
      <c r="JO27" s="425"/>
      <c r="JP27" s="425"/>
      <c r="JQ27" s="439"/>
      <c r="JR27" s="439"/>
      <c r="JS27" s="425"/>
      <c r="JT27" s="425"/>
      <c r="JU27" s="425"/>
      <c r="JV27" s="425"/>
      <c r="JW27" s="425"/>
      <c r="JX27" s="439"/>
      <c r="JY27" s="439"/>
      <c r="JZ27" s="425"/>
      <c r="KA27" s="425"/>
      <c r="KB27" s="425"/>
      <c r="KC27" s="425"/>
      <c r="KD27" s="425"/>
      <c r="KE27" s="439"/>
      <c r="KF27" s="439"/>
      <c r="KG27" s="425"/>
      <c r="KH27" s="425"/>
      <c r="KI27" s="425"/>
      <c r="KJ27" s="425"/>
      <c r="KK27" s="425"/>
      <c r="KL27" s="439"/>
      <c r="KM27" s="439"/>
      <c r="KN27" s="425"/>
      <c r="KO27" s="425"/>
      <c r="KP27" s="425"/>
      <c r="KQ27" s="425"/>
      <c r="KR27" s="425"/>
      <c r="KS27" s="439"/>
      <c r="KT27" s="439"/>
      <c r="KU27" s="425"/>
      <c r="KV27" s="425"/>
      <c r="KW27" s="425"/>
      <c r="KX27" s="425"/>
      <c r="KY27" s="425"/>
      <c r="KZ27" s="439"/>
      <c r="LA27" s="439"/>
      <c r="LB27" s="425"/>
      <c r="LC27" s="425"/>
      <c r="LD27" s="425"/>
      <c r="LE27" s="425"/>
      <c r="LF27" s="425"/>
      <c r="LG27" s="439"/>
      <c r="LH27" s="439"/>
      <c r="LI27" s="425"/>
      <c r="LJ27" s="425"/>
      <c r="LK27" s="425"/>
      <c r="LL27" s="425"/>
      <c r="LM27" s="425"/>
      <c r="LN27" s="439"/>
      <c r="LO27" s="439"/>
      <c r="LP27" s="425"/>
      <c r="LQ27" s="425"/>
      <c r="LR27" s="425"/>
      <c r="LS27" s="425"/>
      <c r="LT27" s="425"/>
      <c r="LU27" s="439"/>
      <c r="LV27" s="439"/>
      <c r="LW27" s="425"/>
      <c r="LX27" s="425"/>
      <c r="LY27" s="425"/>
      <c r="LZ27" s="425"/>
      <c r="MA27" s="425"/>
      <c r="MB27" s="439"/>
      <c r="MC27" s="439"/>
      <c r="MD27" s="425"/>
      <c r="ME27" s="425"/>
      <c r="MF27" s="425"/>
      <c r="MG27" s="425"/>
      <c r="MH27" s="425"/>
      <c r="MI27" s="439"/>
      <c r="MJ27" s="439"/>
      <c r="MK27" s="425"/>
      <c r="ML27" s="425"/>
      <c r="MM27" s="425"/>
      <c r="MN27" s="425"/>
      <c r="MO27" s="425"/>
      <c r="MP27" s="439"/>
      <c r="MQ27" s="439"/>
      <c r="MR27" s="425"/>
      <c r="MS27" s="425"/>
      <c r="MT27" s="425"/>
      <c r="MU27" s="425"/>
      <c r="MV27" s="425"/>
      <c r="MW27" s="439"/>
      <c r="MX27" s="439"/>
      <c r="MY27" s="425"/>
      <c r="MZ27" s="425"/>
      <c r="NA27" s="425"/>
      <c r="NB27" s="425"/>
      <c r="NC27" s="425"/>
      <c r="ND27" s="439"/>
      <c r="NE27" s="439"/>
      <c r="NF27" s="425"/>
      <c r="NG27" s="425"/>
      <c r="NH27" s="425"/>
      <c r="NI27" s="425"/>
      <c r="NJ27" s="425"/>
      <c r="NK27" s="439"/>
      <c r="NL27" s="439"/>
      <c r="NM27" s="425"/>
      <c r="NN27" s="425"/>
      <c r="NO27" s="425"/>
      <c r="NP27" s="425"/>
      <c r="NQ27" s="425"/>
      <c r="NR27" s="439"/>
      <c r="NS27" s="439"/>
    </row>
    <row r="28" spans="2:383">
      <c r="B28" s="543" t="str">
        <f>REPORT!E18&amp;" - "&amp;REPORT!F18</f>
        <v>D018 - PREX VERT &amp; WELD STRUCTURE E-BOM</v>
      </c>
      <c r="C28" s="543"/>
      <c r="D28" s="424" t="s">
        <v>122</v>
      </c>
      <c r="E28" s="434">
        <f>REPORT!H18</f>
        <v>0</v>
      </c>
      <c r="H28" s="434" t="str">
        <f>IF(E28&lt;&gt;0,I27+1,"")</f>
        <v/>
      </c>
      <c r="I28" s="434" t="str">
        <f t="shared" si="672"/>
        <v/>
      </c>
      <c r="J28" s="468" t="str" cm="1">
        <f t="array" ref="J28">IF(GANTT_D!$E28&lt;&gt;0,INDEX($M$7:$NT$7,,MATCH(H28,$M$8:$NT$8,0)),"")</f>
        <v/>
      </c>
      <c r="K28" s="468" t="str" cm="1">
        <f t="array" ref="K28">IF(GANTT_D!$E28&lt;&gt;0,INDEX($M$7:$NT$7,,MATCH(I28,$M$8:$NT$8,0)),"")</f>
        <v/>
      </c>
      <c r="L28" s="424"/>
      <c r="M28" s="425"/>
      <c r="N28" s="425"/>
      <c r="O28" s="425"/>
      <c r="P28" s="425"/>
      <c r="Q28" s="425"/>
      <c r="R28" s="439"/>
      <c r="S28" s="439"/>
      <c r="T28" s="425"/>
      <c r="U28" s="425"/>
      <c r="V28" s="425"/>
      <c r="W28" s="425"/>
      <c r="X28" s="425"/>
      <c r="Y28" s="439"/>
      <c r="Z28" s="439"/>
      <c r="AA28" s="425"/>
      <c r="AB28" s="425"/>
      <c r="AC28" s="425"/>
      <c r="AD28" s="425"/>
      <c r="AE28" s="425"/>
      <c r="AF28" s="439"/>
      <c r="AG28" s="439"/>
      <c r="AH28" s="425"/>
      <c r="AI28" s="425"/>
      <c r="AJ28" s="425"/>
      <c r="AK28" s="425"/>
      <c r="AL28" s="425"/>
      <c r="AM28" s="439"/>
      <c r="AN28" s="439"/>
      <c r="AO28" s="425"/>
      <c r="AP28" s="425"/>
      <c r="AQ28" s="425"/>
      <c r="AR28" s="425"/>
      <c r="AS28" s="425"/>
      <c r="AT28" s="439"/>
      <c r="AU28" s="439"/>
      <c r="AV28" s="425"/>
      <c r="AW28" s="425"/>
      <c r="AX28" s="425"/>
      <c r="AY28" s="425"/>
      <c r="AZ28" s="425"/>
      <c r="BA28" s="439"/>
      <c r="BB28" s="439"/>
      <c r="BC28" s="425"/>
      <c r="BD28" s="425"/>
      <c r="BE28" s="425"/>
      <c r="BF28" s="425"/>
      <c r="BG28" s="425"/>
      <c r="BH28" s="439"/>
      <c r="BI28" s="439"/>
      <c r="BJ28" s="425"/>
      <c r="BK28" s="425"/>
      <c r="BL28" s="425"/>
      <c r="BM28" s="425"/>
      <c r="BN28" s="425"/>
      <c r="BO28" s="439"/>
      <c r="BP28" s="439"/>
      <c r="BQ28" s="425"/>
      <c r="BR28" s="425"/>
      <c r="BS28" s="425"/>
      <c r="BT28" s="425"/>
      <c r="BU28" s="425"/>
      <c r="BV28" s="439"/>
      <c r="BW28" s="439"/>
      <c r="BX28" s="425"/>
      <c r="BY28" s="425"/>
      <c r="BZ28" s="425"/>
      <c r="CA28" s="425"/>
      <c r="CB28" s="425"/>
      <c r="CC28" s="439"/>
      <c r="CD28" s="439"/>
      <c r="CE28" s="425"/>
      <c r="CF28" s="425"/>
      <c r="CG28" s="425"/>
      <c r="CH28" s="425"/>
      <c r="CI28" s="425"/>
      <c r="CJ28" s="439"/>
      <c r="CK28" s="439"/>
      <c r="CL28" s="425"/>
      <c r="CM28" s="425"/>
      <c r="CN28" s="425"/>
      <c r="CO28" s="425"/>
      <c r="CP28" s="425"/>
      <c r="CQ28" s="439"/>
      <c r="CR28" s="439"/>
      <c r="CS28" s="425"/>
      <c r="CT28" s="425"/>
      <c r="CU28" s="425"/>
      <c r="CV28" s="425"/>
      <c r="CW28" s="425"/>
      <c r="CX28" s="439"/>
      <c r="CY28" s="439"/>
      <c r="CZ28" s="425"/>
      <c r="DA28" s="425"/>
      <c r="DB28" s="425"/>
      <c r="DC28" s="425"/>
      <c r="DD28" s="425"/>
      <c r="DE28" s="439"/>
      <c r="DF28" s="439"/>
      <c r="DG28" s="425"/>
      <c r="DH28" s="425"/>
      <c r="DI28" s="425"/>
      <c r="DJ28" s="425"/>
      <c r="DK28" s="425"/>
      <c r="DL28" s="439"/>
      <c r="DM28" s="439"/>
      <c r="DN28" s="425"/>
      <c r="DO28" s="425"/>
      <c r="DP28" s="425"/>
      <c r="DQ28" s="425"/>
      <c r="DR28" s="425"/>
      <c r="DS28" s="439"/>
      <c r="DT28" s="439"/>
      <c r="DU28" s="425"/>
      <c r="DV28" s="425"/>
      <c r="DW28" s="425"/>
      <c r="DX28" s="425"/>
      <c r="DY28" s="425"/>
      <c r="DZ28" s="439"/>
      <c r="EA28" s="439"/>
      <c r="EB28" s="425"/>
      <c r="EC28" s="425"/>
      <c r="ED28" s="425"/>
      <c r="EE28" s="425"/>
      <c r="EF28" s="425"/>
      <c r="EG28" s="439"/>
      <c r="EH28" s="439"/>
      <c r="EI28" s="425"/>
      <c r="EJ28" s="425"/>
      <c r="EK28" s="425"/>
      <c r="EL28" s="425"/>
      <c r="EM28" s="425"/>
      <c r="EN28" s="439"/>
      <c r="EO28" s="439"/>
      <c r="EP28" s="425"/>
      <c r="EQ28" s="425"/>
      <c r="ER28" s="425"/>
      <c r="ES28" s="425"/>
      <c r="ET28" s="425"/>
      <c r="EU28" s="439"/>
      <c r="EV28" s="439"/>
      <c r="EW28" s="425"/>
      <c r="EX28" s="425"/>
      <c r="EY28" s="425"/>
      <c r="EZ28" s="425"/>
      <c r="FA28" s="425"/>
      <c r="FB28" s="439"/>
      <c r="FC28" s="439"/>
      <c r="FD28" s="425"/>
      <c r="FE28" s="425"/>
      <c r="FF28" s="425"/>
      <c r="FG28" s="425"/>
      <c r="FH28" s="425"/>
      <c r="FI28" s="439"/>
      <c r="FJ28" s="439"/>
      <c r="FK28" s="425"/>
      <c r="FL28" s="425"/>
      <c r="FM28" s="425"/>
      <c r="FN28" s="425"/>
      <c r="FO28" s="425"/>
      <c r="FP28" s="439"/>
      <c r="FQ28" s="439"/>
      <c r="FR28" s="425"/>
      <c r="FS28" s="425"/>
      <c r="FT28" s="425"/>
      <c r="FU28" s="425"/>
      <c r="FV28" s="425"/>
      <c r="FW28" s="439"/>
      <c r="FX28" s="439"/>
      <c r="FY28" s="425"/>
      <c r="FZ28" s="425"/>
      <c r="GA28" s="425"/>
      <c r="GB28" s="425"/>
      <c r="GC28" s="425"/>
      <c r="GD28" s="439"/>
      <c r="GE28" s="439"/>
      <c r="GF28" s="425"/>
      <c r="GG28" s="425"/>
      <c r="GH28" s="425"/>
      <c r="GI28" s="425"/>
      <c r="GJ28" s="425"/>
      <c r="GK28" s="439"/>
      <c r="GL28" s="439"/>
      <c r="GM28" s="425"/>
      <c r="GN28" s="425"/>
      <c r="GO28" s="425"/>
      <c r="GP28" s="425"/>
      <c r="GQ28" s="425"/>
      <c r="GR28" s="439"/>
      <c r="GS28" s="439"/>
      <c r="GT28" s="425"/>
      <c r="GU28" s="425"/>
      <c r="GV28" s="425"/>
      <c r="GW28" s="425"/>
      <c r="GX28" s="425"/>
      <c r="GY28" s="439"/>
      <c r="GZ28" s="439"/>
      <c r="HA28" s="425"/>
      <c r="HB28" s="425"/>
      <c r="HC28" s="425"/>
      <c r="HD28" s="425"/>
      <c r="HE28" s="425"/>
      <c r="HF28" s="439"/>
      <c r="HG28" s="439"/>
      <c r="HH28" s="425"/>
      <c r="HI28" s="425"/>
      <c r="HJ28" s="425"/>
      <c r="HK28" s="425"/>
      <c r="HL28" s="425"/>
      <c r="HM28" s="439"/>
      <c r="HN28" s="439"/>
      <c r="HO28" s="425"/>
      <c r="HP28" s="425"/>
      <c r="HQ28" s="425"/>
      <c r="HR28" s="425"/>
      <c r="HS28" s="425"/>
      <c r="HT28" s="439"/>
      <c r="HU28" s="439"/>
      <c r="HV28" s="425"/>
      <c r="HW28" s="425"/>
      <c r="HX28" s="425"/>
      <c r="HY28" s="425"/>
      <c r="HZ28" s="425"/>
      <c r="IA28" s="439"/>
      <c r="IB28" s="439"/>
      <c r="IC28" s="425"/>
      <c r="ID28" s="425"/>
      <c r="IE28" s="425"/>
      <c r="IF28" s="425"/>
      <c r="IG28" s="425"/>
      <c r="IH28" s="439"/>
      <c r="II28" s="439"/>
      <c r="IJ28" s="425"/>
      <c r="IK28" s="425"/>
      <c r="IL28" s="425"/>
      <c r="IM28" s="425"/>
      <c r="IN28" s="425"/>
      <c r="IO28" s="439"/>
      <c r="IP28" s="439"/>
      <c r="IQ28" s="425"/>
      <c r="IR28" s="425"/>
      <c r="IS28" s="425"/>
      <c r="IT28" s="425"/>
      <c r="IU28" s="425"/>
      <c r="IV28" s="439"/>
      <c r="IW28" s="439"/>
      <c r="IX28" s="425"/>
      <c r="IY28" s="425"/>
      <c r="IZ28" s="425"/>
      <c r="JA28" s="425"/>
      <c r="JB28" s="425"/>
      <c r="JC28" s="439"/>
      <c r="JD28" s="439"/>
      <c r="JE28" s="425"/>
      <c r="JF28" s="425"/>
      <c r="JG28" s="425"/>
      <c r="JH28" s="425"/>
      <c r="JI28" s="425"/>
      <c r="JJ28" s="439"/>
      <c r="JK28" s="439"/>
      <c r="JL28" s="425"/>
      <c r="JM28" s="425"/>
      <c r="JN28" s="425"/>
      <c r="JO28" s="425"/>
      <c r="JP28" s="425"/>
      <c r="JQ28" s="439"/>
      <c r="JR28" s="439"/>
      <c r="JS28" s="425"/>
      <c r="JT28" s="425"/>
      <c r="JU28" s="425"/>
      <c r="JV28" s="425"/>
      <c r="JW28" s="425"/>
      <c r="JX28" s="439"/>
      <c r="JY28" s="439"/>
      <c r="JZ28" s="425"/>
      <c r="KA28" s="425"/>
      <c r="KB28" s="425"/>
      <c r="KC28" s="425"/>
      <c r="KD28" s="425"/>
      <c r="KE28" s="439"/>
      <c r="KF28" s="439"/>
      <c r="KG28" s="425"/>
      <c r="KH28" s="425"/>
      <c r="KI28" s="425"/>
      <c r="KJ28" s="425"/>
      <c r="KK28" s="425"/>
      <c r="KL28" s="439"/>
      <c r="KM28" s="439"/>
      <c r="KN28" s="425"/>
      <c r="KO28" s="425"/>
      <c r="KP28" s="425"/>
      <c r="KQ28" s="425"/>
      <c r="KR28" s="425"/>
      <c r="KS28" s="439"/>
      <c r="KT28" s="439"/>
      <c r="KU28" s="425"/>
      <c r="KV28" s="425"/>
      <c r="KW28" s="425"/>
      <c r="KX28" s="425"/>
      <c r="KY28" s="425"/>
      <c r="KZ28" s="439"/>
      <c r="LA28" s="439"/>
      <c r="LB28" s="425"/>
      <c r="LC28" s="425"/>
      <c r="LD28" s="425"/>
      <c r="LE28" s="425"/>
      <c r="LF28" s="425"/>
      <c r="LG28" s="439"/>
      <c r="LH28" s="439"/>
      <c r="LI28" s="425"/>
      <c r="LJ28" s="425"/>
      <c r="LK28" s="425"/>
      <c r="LL28" s="425"/>
      <c r="LM28" s="425"/>
      <c r="LN28" s="439"/>
      <c r="LO28" s="439"/>
      <c r="LP28" s="425"/>
      <c r="LQ28" s="425"/>
      <c r="LR28" s="425"/>
      <c r="LS28" s="425"/>
      <c r="LT28" s="425"/>
      <c r="LU28" s="439"/>
      <c r="LV28" s="439"/>
      <c r="LW28" s="425"/>
      <c r="LX28" s="425"/>
      <c r="LY28" s="425"/>
      <c r="LZ28" s="425"/>
      <c r="MA28" s="425"/>
      <c r="MB28" s="439"/>
      <c r="MC28" s="439"/>
      <c r="MD28" s="425"/>
      <c r="ME28" s="425"/>
      <c r="MF28" s="425"/>
      <c r="MG28" s="425"/>
      <c r="MH28" s="425"/>
      <c r="MI28" s="439"/>
      <c r="MJ28" s="439"/>
      <c r="MK28" s="425"/>
      <c r="ML28" s="425"/>
      <c r="MM28" s="425"/>
      <c r="MN28" s="425"/>
      <c r="MO28" s="425"/>
      <c r="MP28" s="439"/>
      <c r="MQ28" s="439"/>
      <c r="MR28" s="425"/>
      <c r="MS28" s="425"/>
      <c r="MT28" s="425"/>
      <c r="MU28" s="425"/>
      <c r="MV28" s="425"/>
      <c r="MW28" s="439"/>
      <c r="MX28" s="439"/>
      <c r="MY28" s="425"/>
      <c r="MZ28" s="425"/>
      <c r="NA28" s="425"/>
      <c r="NB28" s="425"/>
      <c r="NC28" s="425"/>
      <c r="ND28" s="439"/>
      <c r="NE28" s="439"/>
      <c r="NF28" s="425"/>
      <c r="NG28" s="425"/>
      <c r="NH28" s="425"/>
      <c r="NI28" s="425"/>
      <c r="NJ28" s="425"/>
      <c r="NK28" s="439"/>
      <c r="NL28" s="439"/>
      <c r="NM28" s="425"/>
      <c r="NN28" s="425"/>
      <c r="NO28" s="425"/>
      <c r="NP28" s="425"/>
      <c r="NQ28" s="425"/>
      <c r="NR28" s="439"/>
      <c r="NS28" s="439"/>
    </row>
    <row r="29" spans="2:383">
      <c r="B29" s="544" t="str">
        <f>REPORT!E19&amp;" - "&amp;REPORT!F19</f>
        <v xml:space="preserve">D020 - BSHP E-BOM </v>
      </c>
      <c r="C29" s="544"/>
      <c r="D29" s="473" t="s">
        <v>122</v>
      </c>
      <c r="E29" s="465">
        <f>REPORT!H19</f>
        <v>11.428571428571429</v>
      </c>
      <c r="H29" s="434">
        <f>IF(E29&lt;&gt;0,MAX(I27:I28)+1,"")</f>
        <v>37</v>
      </c>
      <c r="I29" s="434">
        <f t="shared" si="672"/>
        <v>47</v>
      </c>
      <c r="J29" s="468" cm="1">
        <f t="array" ref="J29">IF(GANTT_D!$E29&lt;&gt;0,INDEX($M$7:$NT$7,,MATCH(H29,$M$8:$NT$8,0)),"")</f>
        <v>8</v>
      </c>
      <c r="K29" s="468" cm="1">
        <f t="array" ref="K29">IF(GANTT_D!$E29&lt;&gt;0,INDEX($M$7:$NT$7,,MATCH(I29,$M$8:$NT$8,0)),"")</f>
        <v>10</v>
      </c>
      <c r="L29" s="424"/>
      <c r="M29" s="425"/>
      <c r="N29" s="425"/>
      <c r="O29" s="425"/>
      <c r="P29" s="425"/>
      <c r="Q29" s="425"/>
      <c r="R29" s="439"/>
      <c r="S29" s="439"/>
      <c r="T29" s="425"/>
      <c r="U29" s="425"/>
      <c r="V29" s="425"/>
      <c r="W29" s="425"/>
      <c r="X29" s="425"/>
      <c r="Y29" s="439"/>
      <c r="Z29" s="439"/>
      <c r="AA29" s="425"/>
      <c r="AB29" s="425"/>
      <c r="AC29" s="425"/>
      <c r="AD29" s="425"/>
      <c r="AE29" s="425"/>
      <c r="AF29" s="439"/>
      <c r="AG29" s="439"/>
      <c r="AH29" s="425"/>
      <c r="AI29" s="425"/>
      <c r="AJ29" s="425"/>
      <c r="AK29" s="425"/>
      <c r="AL29" s="425"/>
      <c r="AM29" s="439"/>
      <c r="AN29" s="439"/>
      <c r="AO29" s="425"/>
      <c r="AP29" s="425"/>
      <c r="AQ29" s="425"/>
      <c r="AR29" s="425"/>
      <c r="AS29" s="425"/>
      <c r="AT29" s="439"/>
      <c r="AU29" s="439"/>
      <c r="AV29" s="425"/>
      <c r="AW29" s="425"/>
      <c r="AX29" s="425"/>
      <c r="AY29" s="425"/>
      <c r="AZ29" s="425"/>
      <c r="BA29" s="439"/>
      <c r="BB29" s="439"/>
      <c r="BC29" s="425"/>
      <c r="BD29" s="425"/>
      <c r="BE29" s="425"/>
      <c r="BF29" s="425"/>
      <c r="BG29" s="425"/>
      <c r="BH29" s="439"/>
      <c r="BI29" s="439"/>
      <c r="BJ29" s="425"/>
      <c r="BK29" s="425"/>
      <c r="BL29" s="425"/>
      <c r="BM29" s="425"/>
      <c r="BN29" s="425"/>
      <c r="BO29" s="439"/>
      <c r="BP29" s="439"/>
      <c r="BQ29" s="425"/>
      <c r="BR29" s="425"/>
      <c r="BS29" s="425"/>
      <c r="BT29" s="425"/>
      <c r="BU29" s="425"/>
      <c r="BV29" s="439"/>
      <c r="BW29" s="439"/>
      <c r="BX29" s="425"/>
      <c r="BY29" s="425"/>
      <c r="BZ29" s="425"/>
      <c r="CA29" s="425"/>
      <c r="CB29" s="425"/>
      <c r="CC29" s="439"/>
      <c r="CD29" s="439"/>
      <c r="CE29" s="425"/>
      <c r="CF29" s="425"/>
      <c r="CG29" s="425"/>
      <c r="CH29" s="425"/>
      <c r="CI29" s="425"/>
      <c r="CJ29" s="439"/>
      <c r="CK29" s="439"/>
      <c r="CL29" s="425"/>
      <c r="CM29" s="425"/>
      <c r="CN29" s="425"/>
      <c r="CO29" s="425"/>
      <c r="CP29" s="425"/>
      <c r="CQ29" s="439"/>
      <c r="CR29" s="439"/>
      <c r="CS29" s="425"/>
      <c r="CT29" s="425"/>
      <c r="CU29" s="425"/>
      <c r="CV29" s="425"/>
      <c r="CW29" s="425"/>
      <c r="CX29" s="439"/>
      <c r="CY29" s="439"/>
      <c r="CZ29" s="425"/>
      <c r="DA29" s="425"/>
      <c r="DB29" s="425"/>
      <c r="DC29" s="425"/>
      <c r="DD29" s="425"/>
      <c r="DE29" s="439"/>
      <c r="DF29" s="439"/>
      <c r="DG29" s="425"/>
      <c r="DH29" s="425"/>
      <c r="DI29" s="425"/>
      <c r="DJ29" s="425"/>
      <c r="DK29" s="425"/>
      <c r="DL29" s="439"/>
      <c r="DM29" s="439"/>
      <c r="DN29" s="425"/>
      <c r="DO29" s="425"/>
      <c r="DP29" s="425"/>
      <c r="DQ29" s="425"/>
      <c r="DR29" s="425"/>
      <c r="DS29" s="439"/>
      <c r="DT29" s="439"/>
      <c r="DU29" s="425"/>
      <c r="DV29" s="425"/>
      <c r="DW29" s="425"/>
      <c r="DX29" s="425"/>
      <c r="DY29" s="425"/>
      <c r="DZ29" s="439"/>
      <c r="EA29" s="439"/>
      <c r="EB29" s="425"/>
      <c r="EC29" s="425"/>
      <c r="ED29" s="425"/>
      <c r="EE29" s="425"/>
      <c r="EF29" s="425"/>
      <c r="EG29" s="439"/>
      <c r="EH29" s="439"/>
      <c r="EI29" s="425"/>
      <c r="EJ29" s="425"/>
      <c r="EK29" s="425"/>
      <c r="EL29" s="425"/>
      <c r="EM29" s="425"/>
      <c r="EN29" s="439"/>
      <c r="EO29" s="439"/>
      <c r="EP29" s="425"/>
      <c r="EQ29" s="425"/>
      <c r="ER29" s="425"/>
      <c r="ES29" s="425"/>
      <c r="ET29" s="425"/>
      <c r="EU29" s="439"/>
      <c r="EV29" s="439"/>
      <c r="EW29" s="425"/>
      <c r="EX29" s="425"/>
      <c r="EY29" s="425"/>
      <c r="EZ29" s="425"/>
      <c r="FA29" s="425"/>
      <c r="FB29" s="439"/>
      <c r="FC29" s="439"/>
      <c r="FD29" s="425"/>
      <c r="FE29" s="425"/>
      <c r="FF29" s="425"/>
      <c r="FG29" s="425"/>
      <c r="FH29" s="425"/>
      <c r="FI29" s="439"/>
      <c r="FJ29" s="439"/>
      <c r="FK29" s="425"/>
      <c r="FL29" s="425"/>
      <c r="FM29" s="425"/>
      <c r="FN29" s="425"/>
      <c r="FO29" s="425"/>
      <c r="FP29" s="439"/>
      <c r="FQ29" s="439"/>
      <c r="FR29" s="425"/>
      <c r="FS29" s="425"/>
      <c r="FT29" s="425"/>
      <c r="FU29" s="425"/>
      <c r="FV29" s="425"/>
      <c r="FW29" s="439"/>
      <c r="FX29" s="439"/>
      <c r="FY29" s="425"/>
      <c r="FZ29" s="425"/>
      <c r="GA29" s="425"/>
      <c r="GB29" s="425"/>
      <c r="GC29" s="425"/>
      <c r="GD29" s="439"/>
      <c r="GE29" s="439"/>
      <c r="GF29" s="425"/>
      <c r="GG29" s="425"/>
      <c r="GH29" s="425"/>
      <c r="GI29" s="425"/>
      <c r="GJ29" s="425"/>
      <c r="GK29" s="439"/>
      <c r="GL29" s="439"/>
      <c r="GM29" s="425"/>
      <c r="GN29" s="425"/>
      <c r="GO29" s="425"/>
      <c r="GP29" s="425"/>
      <c r="GQ29" s="425"/>
      <c r="GR29" s="439"/>
      <c r="GS29" s="439"/>
      <c r="GT29" s="425"/>
      <c r="GU29" s="425"/>
      <c r="GV29" s="425"/>
      <c r="GW29" s="425"/>
      <c r="GX29" s="425"/>
      <c r="GY29" s="439"/>
      <c r="GZ29" s="439"/>
      <c r="HA29" s="425"/>
      <c r="HB29" s="425"/>
      <c r="HC29" s="425"/>
      <c r="HD29" s="425"/>
      <c r="HE29" s="425"/>
      <c r="HF29" s="439"/>
      <c r="HG29" s="439"/>
      <c r="HH29" s="425"/>
      <c r="HI29" s="425"/>
      <c r="HJ29" s="425"/>
      <c r="HK29" s="425"/>
      <c r="HL29" s="425"/>
      <c r="HM29" s="439"/>
      <c r="HN29" s="439"/>
      <c r="HO29" s="425"/>
      <c r="HP29" s="425"/>
      <c r="HQ29" s="425"/>
      <c r="HR29" s="425"/>
      <c r="HS29" s="425"/>
      <c r="HT29" s="439"/>
      <c r="HU29" s="439"/>
      <c r="HV29" s="425"/>
      <c r="HW29" s="425"/>
      <c r="HX29" s="425"/>
      <c r="HY29" s="425"/>
      <c r="HZ29" s="425"/>
      <c r="IA29" s="439"/>
      <c r="IB29" s="439"/>
      <c r="IC29" s="425"/>
      <c r="ID29" s="425"/>
      <c r="IE29" s="425"/>
      <c r="IF29" s="425"/>
      <c r="IG29" s="425"/>
      <c r="IH29" s="439"/>
      <c r="II29" s="439"/>
      <c r="IJ29" s="425"/>
      <c r="IK29" s="425"/>
      <c r="IL29" s="425"/>
      <c r="IM29" s="425"/>
      <c r="IN29" s="425"/>
      <c r="IO29" s="439"/>
      <c r="IP29" s="439"/>
      <c r="IQ29" s="425"/>
      <c r="IR29" s="425"/>
      <c r="IS29" s="425"/>
      <c r="IT29" s="425"/>
      <c r="IU29" s="425"/>
      <c r="IV29" s="439"/>
      <c r="IW29" s="439"/>
      <c r="IX29" s="425"/>
      <c r="IY29" s="425"/>
      <c r="IZ29" s="425"/>
      <c r="JA29" s="425"/>
      <c r="JB29" s="425"/>
      <c r="JC29" s="439"/>
      <c r="JD29" s="439"/>
      <c r="JE29" s="425"/>
      <c r="JF29" s="425"/>
      <c r="JG29" s="425"/>
      <c r="JH29" s="425"/>
      <c r="JI29" s="425"/>
      <c r="JJ29" s="439"/>
      <c r="JK29" s="439"/>
      <c r="JL29" s="425"/>
      <c r="JM29" s="425"/>
      <c r="JN29" s="425"/>
      <c r="JO29" s="425"/>
      <c r="JP29" s="425"/>
      <c r="JQ29" s="439"/>
      <c r="JR29" s="439"/>
      <c r="JS29" s="425"/>
      <c r="JT29" s="425"/>
      <c r="JU29" s="425"/>
      <c r="JV29" s="425"/>
      <c r="JW29" s="425"/>
      <c r="JX29" s="439"/>
      <c r="JY29" s="439"/>
      <c r="JZ29" s="425"/>
      <c r="KA29" s="425"/>
      <c r="KB29" s="425"/>
      <c r="KC29" s="425"/>
      <c r="KD29" s="425"/>
      <c r="KE29" s="439"/>
      <c r="KF29" s="439"/>
      <c r="KG29" s="425"/>
      <c r="KH29" s="425"/>
      <c r="KI29" s="425"/>
      <c r="KJ29" s="425"/>
      <c r="KK29" s="425"/>
      <c r="KL29" s="439"/>
      <c r="KM29" s="439"/>
      <c r="KN29" s="425"/>
      <c r="KO29" s="425"/>
      <c r="KP29" s="425"/>
      <c r="KQ29" s="425"/>
      <c r="KR29" s="425"/>
      <c r="KS29" s="439"/>
      <c r="KT29" s="439"/>
      <c r="KU29" s="425"/>
      <c r="KV29" s="425"/>
      <c r="KW29" s="425"/>
      <c r="KX29" s="425"/>
      <c r="KY29" s="425"/>
      <c r="KZ29" s="439"/>
      <c r="LA29" s="439"/>
      <c r="LB29" s="425"/>
      <c r="LC29" s="425"/>
      <c r="LD29" s="425"/>
      <c r="LE29" s="425"/>
      <c r="LF29" s="425"/>
      <c r="LG29" s="439"/>
      <c r="LH29" s="439"/>
      <c r="LI29" s="425"/>
      <c r="LJ29" s="425"/>
      <c r="LK29" s="425"/>
      <c r="LL29" s="425"/>
      <c r="LM29" s="425"/>
      <c r="LN29" s="439"/>
      <c r="LO29" s="439"/>
      <c r="LP29" s="425"/>
      <c r="LQ29" s="425"/>
      <c r="LR29" s="425"/>
      <c r="LS29" s="425"/>
      <c r="LT29" s="425"/>
      <c r="LU29" s="439"/>
      <c r="LV29" s="439"/>
      <c r="LW29" s="425"/>
      <c r="LX29" s="425"/>
      <c r="LY29" s="425"/>
      <c r="LZ29" s="425"/>
      <c r="MA29" s="425"/>
      <c r="MB29" s="439"/>
      <c r="MC29" s="439"/>
      <c r="MD29" s="425"/>
      <c r="ME29" s="425"/>
      <c r="MF29" s="425"/>
      <c r="MG29" s="425"/>
      <c r="MH29" s="425"/>
      <c r="MI29" s="439"/>
      <c r="MJ29" s="439"/>
      <c r="MK29" s="425"/>
      <c r="ML29" s="425"/>
      <c r="MM29" s="425"/>
      <c r="MN29" s="425"/>
      <c r="MO29" s="425"/>
      <c r="MP29" s="439"/>
      <c r="MQ29" s="439"/>
      <c r="MR29" s="425"/>
      <c r="MS29" s="425"/>
      <c r="MT29" s="425"/>
      <c r="MU29" s="425"/>
      <c r="MV29" s="425"/>
      <c r="MW29" s="439"/>
      <c r="MX29" s="439"/>
      <c r="MY29" s="425"/>
      <c r="MZ29" s="425"/>
      <c r="NA29" s="425"/>
      <c r="NB29" s="425"/>
      <c r="NC29" s="425"/>
      <c r="ND29" s="439"/>
      <c r="NE29" s="439"/>
      <c r="NF29" s="425"/>
      <c r="NG29" s="425"/>
      <c r="NH29" s="425"/>
      <c r="NI29" s="425"/>
      <c r="NJ29" s="425"/>
      <c r="NK29" s="439"/>
      <c r="NL29" s="439"/>
      <c r="NM29" s="425"/>
      <c r="NN29" s="425"/>
      <c r="NO29" s="425"/>
      <c r="NP29" s="425"/>
      <c r="NQ29" s="425"/>
      <c r="NR29" s="439"/>
      <c r="NS29" s="439"/>
    </row>
    <row r="30" spans="2:383" ht="15.75">
      <c r="B30" s="470" t="str">
        <f>MASTER!A67</f>
        <v>DOCS</v>
      </c>
      <c r="C30" s="470"/>
      <c r="D30" s="474"/>
      <c r="E30" s="467"/>
      <c r="H30" s="435">
        <f>MIN(H31:H35)</f>
        <v>48</v>
      </c>
      <c r="I30" s="435">
        <f>MAX(I31:I35)</f>
        <v>51</v>
      </c>
      <c r="J30" s="475">
        <f>MIN(J31:J35)</f>
        <v>10</v>
      </c>
      <c r="K30" s="475">
        <f>MAX(K31:K35)</f>
        <v>11</v>
      </c>
      <c r="L30" s="424"/>
      <c r="M30" s="425" t="str">
        <f>IF(AND(M$8&gt;$H30,M$8&lt;$I30),"-",IF(M$8=$H30,"I",IF(M$8=$I30,"I","")))</f>
        <v/>
      </c>
      <c r="N30" s="425" t="str">
        <f t="shared" ref="N30:BY30" si="673">IF(AND(N$8&gt;$H30,N$8&lt;$I30),"-",IF(N$8=$H30,"I",IF(N$8=$I30,"I","")))</f>
        <v/>
      </c>
      <c r="O30" s="425" t="str">
        <f t="shared" si="673"/>
        <v/>
      </c>
      <c r="P30" s="425" t="str">
        <f t="shared" si="673"/>
        <v/>
      </c>
      <c r="Q30" s="425" t="str">
        <f t="shared" si="673"/>
        <v/>
      </c>
      <c r="R30" s="439" t="str">
        <f t="shared" si="673"/>
        <v/>
      </c>
      <c r="S30" s="439" t="str">
        <f t="shared" si="673"/>
        <v/>
      </c>
      <c r="T30" s="425" t="str">
        <f t="shared" si="673"/>
        <v/>
      </c>
      <c r="U30" s="425" t="str">
        <f t="shared" si="673"/>
        <v/>
      </c>
      <c r="V30" s="425" t="str">
        <f t="shared" si="673"/>
        <v/>
      </c>
      <c r="W30" s="425" t="str">
        <f t="shared" si="673"/>
        <v/>
      </c>
      <c r="X30" s="425" t="str">
        <f t="shared" si="673"/>
        <v/>
      </c>
      <c r="Y30" s="439" t="str">
        <f t="shared" si="673"/>
        <v/>
      </c>
      <c r="Z30" s="439" t="str">
        <f t="shared" si="673"/>
        <v/>
      </c>
      <c r="AA30" s="425" t="str">
        <f t="shared" si="673"/>
        <v/>
      </c>
      <c r="AB30" s="425" t="str">
        <f t="shared" si="673"/>
        <v/>
      </c>
      <c r="AC30" s="425" t="str">
        <f t="shared" si="673"/>
        <v/>
      </c>
      <c r="AD30" s="425" t="str">
        <f t="shared" si="673"/>
        <v/>
      </c>
      <c r="AE30" s="425" t="str">
        <f t="shared" si="673"/>
        <v/>
      </c>
      <c r="AF30" s="439" t="str">
        <f t="shared" si="673"/>
        <v/>
      </c>
      <c r="AG30" s="439" t="str">
        <f t="shared" si="673"/>
        <v/>
      </c>
      <c r="AH30" s="425" t="str">
        <f t="shared" si="673"/>
        <v/>
      </c>
      <c r="AI30" s="425" t="str">
        <f t="shared" si="673"/>
        <v/>
      </c>
      <c r="AJ30" s="425" t="str">
        <f t="shared" si="673"/>
        <v/>
      </c>
      <c r="AK30" s="425" t="str">
        <f t="shared" si="673"/>
        <v/>
      </c>
      <c r="AL30" s="425" t="str">
        <f t="shared" si="673"/>
        <v/>
      </c>
      <c r="AM30" s="439" t="str">
        <f t="shared" si="673"/>
        <v/>
      </c>
      <c r="AN30" s="439" t="str">
        <f t="shared" si="673"/>
        <v/>
      </c>
      <c r="AO30" s="425" t="str">
        <f t="shared" si="673"/>
        <v/>
      </c>
      <c r="AP30" s="425" t="str">
        <f t="shared" si="673"/>
        <v/>
      </c>
      <c r="AQ30" s="425" t="str">
        <f t="shared" si="673"/>
        <v/>
      </c>
      <c r="AR30" s="425" t="str">
        <f t="shared" si="673"/>
        <v/>
      </c>
      <c r="AS30" s="425" t="str">
        <f t="shared" si="673"/>
        <v/>
      </c>
      <c r="AT30" s="439" t="str">
        <f t="shared" si="673"/>
        <v/>
      </c>
      <c r="AU30" s="439" t="str">
        <f t="shared" si="673"/>
        <v/>
      </c>
      <c r="AV30" s="425" t="str">
        <f t="shared" si="673"/>
        <v/>
      </c>
      <c r="AW30" s="425" t="str">
        <f t="shared" si="673"/>
        <v/>
      </c>
      <c r="AX30" s="425" t="str">
        <f t="shared" si="673"/>
        <v/>
      </c>
      <c r="AY30" s="425" t="str">
        <f t="shared" si="673"/>
        <v/>
      </c>
      <c r="AZ30" s="425" t="str">
        <f t="shared" si="673"/>
        <v/>
      </c>
      <c r="BA30" s="439" t="str">
        <f t="shared" si="673"/>
        <v/>
      </c>
      <c r="BB30" s="439" t="str">
        <f t="shared" si="673"/>
        <v/>
      </c>
      <c r="BC30" s="425" t="str">
        <f t="shared" si="673"/>
        <v/>
      </c>
      <c r="BD30" s="425" t="str">
        <f t="shared" si="673"/>
        <v/>
      </c>
      <c r="BE30" s="425" t="str">
        <f t="shared" si="673"/>
        <v/>
      </c>
      <c r="BF30" s="425" t="str">
        <f t="shared" si="673"/>
        <v/>
      </c>
      <c r="BG30" s="425" t="str">
        <f t="shared" si="673"/>
        <v/>
      </c>
      <c r="BH30" s="439" t="str">
        <f t="shared" si="673"/>
        <v/>
      </c>
      <c r="BI30" s="439" t="str">
        <f t="shared" si="673"/>
        <v/>
      </c>
      <c r="BJ30" s="425" t="str">
        <f t="shared" si="673"/>
        <v/>
      </c>
      <c r="BK30" s="425" t="str">
        <f t="shared" si="673"/>
        <v/>
      </c>
      <c r="BL30" s="425" t="str">
        <f t="shared" si="673"/>
        <v/>
      </c>
      <c r="BM30" s="425" t="str">
        <f t="shared" si="673"/>
        <v/>
      </c>
      <c r="BN30" s="425" t="str">
        <f t="shared" si="673"/>
        <v/>
      </c>
      <c r="BO30" s="439" t="str">
        <f t="shared" si="673"/>
        <v/>
      </c>
      <c r="BP30" s="439" t="str">
        <f t="shared" si="673"/>
        <v/>
      </c>
      <c r="BQ30" s="425" t="str">
        <f t="shared" si="673"/>
        <v/>
      </c>
      <c r="BR30" s="425" t="str">
        <f t="shared" si="673"/>
        <v/>
      </c>
      <c r="BS30" s="425" t="str">
        <f t="shared" si="673"/>
        <v/>
      </c>
      <c r="BT30" s="425" t="str">
        <f t="shared" si="673"/>
        <v/>
      </c>
      <c r="BU30" s="425" t="str">
        <f t="shared" si="673"/>
        <v/>
      </c>
      <c r="BV30" s="439" t="str">
        <f t="shared" si="673"/>
        <v/>
      </c>
      <c r="BW30" s="439" t="str">
        <f t="shared" si="673"/>
        <v/>
      </c>
      <c r="BX30" s="425" t="str">
        <f t="shared" si="673"/>
        <v/>
      </c>
      <c r="BY30" s="425" t="str">
        <f t="shared" si="673"/>
        <v/>
      </c>
      <c r="BZ30" s="425" t="str">
        <f t="shared" ref="BZ30:EK30" si="674">IF(AND(BZ$8&gt;$H30,BZ$8&lt;$I30),"-",IF(BZ$8=$H30,"I",IF(BZ$8=$I30,"I","")))</f>
        <v>I</v>
      </c>
      <c r="CA30" s="425" t="str">
        <f t="shared" si="674"/>
        <v>-</v>
      </c>
      <c r="CB30" s="425" t="str">
        <f t="shared" si="674"/>
        <v>-</v>
      </c>
      <c r="CC30" s="439" t="str">
        <f t="shared" si="674"/>
        <v/>
      </c>
      <c r="CD30" s="439" t="str">
        <f t="shared" si="674"/>
        <v/>
      </c>
      <c r="CE30" s="425" t="str">
        <f t="shared" si="674"/>
        <v>I</v>
      </c>
      <c r="CF30" s="425" t="str">
        <f t="shared" si="674"/>
        <v/>
      </c>
      <c r="CG30" s="425" t="str">
        <f t="shared" si="674"/>
        <v/>
      </c>
      <c r="CH30" s="425" t="str">
        <f t="shared" si="674"/>
        <v/>
      </c>
      <c r="CI30" s="425" t="str">
        <f t="shared" si="674"/>
        <v/>
      </c>
      <c r="CJ30" s="439" t="str">
        <f t="shared" si="674"/>
        <v/>
      </c>
      <c r="CK30" s="439" t="str">
        <f t="shared" si="674"/>
        <v/>
      </c>
      <c r="CL30" s="425" t="str">
        <f t="shared" si="674"/>
        <v/>
      </c>
      <c r="CM30" s="425" t="str">
        <f t="shared" si="674"/>
        <v/>
      </c>
      <c r="CN30" s="425" t="str">
        <f t="shared" si="674"/>
        <v/>
      </c>
      <c r="CO30" s="425" t="str">
        <f t="shared" si="674"/>
        <v/>
      </c>
      <c r="CP30" s="425" t="str">
        <f t="shared" si="674"/>
        <v/>
      </c>
      <c r="CQ30" s="439" t="str">
        <f t="shared" si="674"/>
        <v/>
      </c>
      <c r="CR30" s="439" t="str">
        <f t="shared" si="674"/>
        <v/>
      </c>
      <c r="CS30" s="425" t="str">
        <f t="shared" si="674"/>
        <v/>
      </c>
      <c r="CT30" s="425" t="str">
        <f t="shared" si="674"/>
        <v/>
      </c>
      <c r="CU30" s="425" t="str">
        <f t="shared" si="674"/>
        <v/>
      </c>
      <c r="CV30" s="425" t="str">
        <f t="shared" si="674"/>
        <v/>
      </c>
      <c r="CW30" s="425" t="str">
        <f t="shared" si="674"/>
        <v/>
      </c>
      <c r="CX30" s="439" t="str">
        <f t="shared" si="674"/>
        <v/>
      </c>
      <c r="CY30" s="439" t="str">
        <f t="shared" si="674"/>
        <v/>
      </c>
      <c r="CZ30" s="425" t="str">
        <f t="shared" si="674"/>
        <v/>
      </c>
      <c r="DA30" s="425" t="str">
        <f t="shared" si="674"/>
        <v/>
      </c>
      <c r="DB30" s="425" t="str">
        <f t="shared" si="674"/>
        <v/>
      </c>
      <c r="DC30" s="425" t="str">
        <f t="shared" si="674"/>
        <v/>
      </c>
      <c r="DD30" s="425" t="str">
        <f t="shared" si="674"/>
        <v/>
      </c>
      <c r="DE30" s="439" t="str">
        <f t="shared" si="674"/>
        <v/>
      </c>
      <c r="DF30" s="439" t="str">
        <f t="shared" si="674"/>
        <v/>
      </c>
      <c r="DG30" s="425" t="str">
        <f t="shared" si="674"/>
        <v/>
      </c>
      <c r="DH30" s="425" t="str">
        <f t="shared" si="674"/>
        <v/>
      </c>
      <c r="DI30" s="425" t="str">
        <f t="shared" si="674"/>
        <v/>
      </c>
      <c r="DJ30" s="425" t="str">
        <f t="shared" si="674"/>
        <v/>
      </c>
      <c r="DK30" s="425" t="str">
        <f t="shared" si="674"/>
        <v/>
      </c>
      <c r="DL30" s="439" t="str">
        <f t="shared" si="674"/>
        <v/>
      </c>
      <c r="DM30" s="439" t="str">
        <f t="shared" si="674"/>
        <v/>
      </c>
      <c r="DN30" s="425" t="str">
        <f t="shared" si="674"/>
        <v/>
      </c>
      <c r="DO30" s="425" t="str">
        <f t="shared" si="674"/>
        <v/>
      </c>
      <c r="DP30" s="425" t="str">
        <f t="shared" si="674"/>
        <v/>
      </c>
      <c r="DQ30" s="425" t="str">
        <f t="shared" si="674"/>
        <v/>
      </c>
      <c r="DR30" s="425" t="str">
        <f t="shared" si="674"/>
        <v/>
      </c>
      <c r="DS30" s="439" t="str">
        <f t="shared" si="674"/>
        <v/>
      </c>
      <c r="DT30" s="439" t="str">
        <f t="shared" si="674"/>
        <v/>
      </c>
      <c r="DU30" s="425" t="str">
        <f t="shared" si="674"/>
        <v/>
      </c>
      <c r="DV30" s="425" t="str">
        <f t="shared" si="674"/>
        <v/>
      </c>
      <c r="DW30" s="425" t="str">
        <f t="shared" si="674"/>
        <v/>
      </c>
      <c r="DX30" s="425" t="str">
        <f t="shared" si="674"/>
        <v/>
      </c>
      <c r="DY30" s="425" t="str">
        <f t="shared" si="674"/>
        <v/>
      </c>
      <c r="DZ30" s="439" t="str">
        <f t="shared" si="674"/>
        <v/>
      </c>
      <c r="EA30" s="439" t="str">
        <f t="shared" si="674"/>
        <v/>
      </c>
      <c r="EB30" s="425" t="str">
        <f t="shared" si="674"/>
        <v/>
      </c>
      <c r="EC30" s="425" t="str">
        <f t="shared" si="674"/>
        <v/>
      </c>
      <c r="ED30" s="425" t="str">
        <f t="shared" si="674"/>
        <v/>
      </c>
      <c r="EE30" s="425" t="str">
        <f t="shared" si="674"/>
        <v/>
      </c>
      <c r="EF30" s="425" t="str">
        <f t="shared" si="674"/>
        <v/>
      </c>
      <c r="EG30" s="439" t="str">
        <f t="shared" si="674"/>
        <v/>
      </c>
      <c r="EH30" s="439" t="str">
        <f t="shared" si="674"/>
        <v/>
      </c>
      <c r="EI30" s="425" t="str">
        <f t="shared" si="674"/>
        <v/>
      </c>
      <c r="EJ30" s="425" t="str">
        <f t="shared" si="674"/>
        <v/>
      </c>
      <c r="EK30" s="425" t="str">
        <f t="shared" si="674"/>
        <v/>
      </c>
      <c r="EL30" s="425" t="str">
        <f t="shared" ref="EL30:GW30" si="675">IF(AND(EL$8&gt;$H30,EL$8&lt;$I30),"-",IF(EL$8=$H30,"I",IF(EL$8=$I30,"I","")))</f>
        <v/>
      </c>
      <c r="EM30" s="425" t="str">
        <f t="shared" si="675"/>
        <v/>
      </c>
      <c r="EN30" s="439" t="str">
        <f t="shared" si="675"/>
        <v/>
      </c>
      <c r="EO30" s="439" t="str">
        <f t="shared" si="675"/>
        <v/>
      </c>
      <c r="EP30" s="425" t="str">
        <f t="shared" si="675"/>
        <v/>
      </c>
      <c r="EQ30" s="425" t="str">
        <f t="shared" si="675"/>
        <v/>
      </c>
      <c r="ER30" s="425" t="str">
        <f t="shared" si="675"/>
        <v/>
      </c>
      <c r="ES30" s="425" t="str">
        <f t="shared" si="675"/>
        <v/>
      </c>
      <c r="ET30" s="425" t="str">
        <f t="shared" si="675"/>
        <v/>
      </c>
      <c r="EU30" s="439" t="str">
        <f t="shared" si="675"/>
        <v/>
      </c>
      <c r="EV30" s="439" t="str">
        <f t="shared" si="675"/>
        <v/>
      </c>
      <c r="EW30" s="425" t="str">
        <f t="shared" si="675"/>
        <v/>
      </c>
      <c r="EX30" s="425" t="str">
        <f t="shared" si="675"/>
        <v/>
      </c>
      <c r="EY30" s="425" t="str">
        <f t="shared" si="675"/>
        <v/>
      </c>
      <c r="EZ30" s="425" t="str">
        <f t="shared" si="675"/>
        <v/>
      </c>
      <c r="FA30" s="425" t="str">
        <f t="shared" si="675"/>
        <v/>
      </c>
      <c r="FB30" s="439" t="str">
        <f t="shared" si="675"/>
        <v/>
      </c>
      <c r="FC30" s="439" t="str">
        <f t="shared" si="675"/>
        <v/>
      </c>
      <c r="FD30" s="425" t="str">
        <f t="shared" si="675"/>
        <v/>
      </c>
      <c r="FE30" s="425" t="str">
        <f t="shared" si="675"/>
        <v/>
      </c>
      <c r="FF30" s="425" t="str">
        <f t="shared" si="675"/>
        <v/>
      </c>
      <c r="FG30" s="425" t="str">
        <f t="shared" si="675"/>
        <v/>
      </c>
      <c r="FH30" s="425" t="str">
        <f t="shared" si="675"/>
        <v/>
      </c>
      <c r="FI30" s="439" t="str">
        <f t="shared" si="675"/>
        <v/>
      </c>
      <c r="FJ30" s="439" t="str">
        <f t="shared" si="675"/>
        <v/>
      </c>
      <c r="FK30" s="425" t="str">
        <f t="shared" si="675"/>
        <v/>
      </c>
      <c r="FL30" s="425" t="str">
        <f t="shared" si="675"/>
        <v/>
      </c>
      <c r="FM30" s="425" t="str">
        <f t="shared" si="675"/>
        <v/>
      </c>
      <c r="FN30" s="425" t="str">
        <f t="shared" si="675"/>
        <v/>
      </c>
      <c r="FO30" s="425" t="str">
        <f t="shared" si="675"/>
        <v/>
      </c>
      <c r="FP30" s="439" t="str">
        <f t="shared" si="675"/>
        <v/>
      </c>
      <c r="FQ30" s="439" t="str">
        <f t="shared" si="675"/>
        <v/>
      </c>
      <c r="FR30" s="425" t="str">
        <f t="shared" si="675"/>
        <v/>
      </c>
      <c r="FS30" s="425" t="str">
        <f t="shared" si="675"/>
        <v/>
      </c>
      <c r="FT30" s="425" t="str">
        <f t="shared" si="675"/>
        <v/>
      </c>
      <c r="FU30" s="425" t="str">
        <f t="shared" si="675"/>
        <v/>
      </c>
      <c r="FV30" s="425" t="str">
        <f t="shared" si="675"/>
        <v/>
      </c>
      <c r="FW30" s="439" t="str">
        <f t="shared" si="675"/>
        <v/>
      </c>
      <c r="FX30" s="439" t="str">
        <f t="shared" si="675"/>
        <v/>
      </c>
      <c r="FY30" s="425" t="str">
        <f t="shared" si="675"/>
        <v/>
      </c>
      <c r="FZ30" s="425" t="str">
        <f t="shared" si="675"/>
        <v/>
      </c>
      <c r="GA30" s="425" t="str">
        <f t="shared" si="675"/>
        <v/>
      </c>
      <c r="GB30" s="425" t="str">
        <f t="shared" si="675"/>
        <v/>
      </c>
      <c r="GC30" s="425" t="str">
        <f t="shared" si="675"/>
        <v/>
      </c>
      <c r="GD30" s="439" t="str">
        <f t="shared" si="675"/>
        <v/>
      </c>
      <c r="GE30" s="439" t="str">
        <f t="shared" si="675"/>
        <v/>
      </c>
      <c r="GF30" s="425" t="str">
        <f t="shared" si="675"/>
        <v/>
      </c>
      <c r="GG30" s="425" t="str">
        <f t="shared" si="675"/>
        <v/>
      </c>
      <c r="GH30" s="425" t="str">
        <f t="shared" si="675"/>
        <v/>
      </c>
      <c r="GI30" s="425" t="str">
        <f t="shared" si="675"/>
        <v/>
      </c>
      <c r="GJ30" s="425" t="str">
        <f t="shared" si="675"/>
        <v/>
      </c>
      <c r="GK30" s="439" t="str">
        <f t="shared" si="675"/>
        <v/>
      </c>
      <c r="GL30" s="439" t="str">
        <f t="shared" si="675"/>
        <v/>
      </c>
      <c r="GM30" s="425" t="str">
        <f t="shared" si="675"/>
        <v/>
      </c>
      <c r="GN30" s="425" t="str">
        <f t="shared" si="675"/>
        <v/>
      </c>
      <c r="GO30" s="425" t="str">
        <f t="shared" si="675"/>
        <v/>
      </c>
      <c r="GP30" s="425" t="str">
        <f t="shared" si="675"/>
        <v/>
      </c>
      <c r="GQ30" s="425" t="str">
        <f t="shared" si="675"/>
        <v/>
      </c>
      <c r="GR30" s="439" t="str">
        <f t="shared" si="675"/>
        <v/>
      </c>
      <c r="GS30" s="439" t="str">
        <f t="shared" si="675"/>
        <v/>
      </c>
      <c r="GT30" s="425" t="str">
        <f t="shared" si="675"/>
        <v/>
      </c>
      <c r="GU30" s="425" t="str">
        <f t="shared" si="675"/>
        <v/>
      </c>
      <c r="GV30" s="425" t="str">
        <f t="shared" si="675"/>
        <v/>
      </c>
      <c r="GW30" s="425" t="str">
        <f t="shared" si="675"/>
        <v/>
      </c>
      <c r="GX30" s="425" t="str">
        <f t="shared" ref="GX30:JI30" si="676">IF(AND(GX$8&gt;$H30,GX$8&lt;$I30),"-",IF(GX$8=$H30,"I",IF(GX$8=$I30,"I","")))</f>
        <v/>
      </c>
      <c r="GY30" s="439" t="str">
        <f t="shared" si="676"/>
        <v/>
      </c>
      <c r="GZ30" s="439" t="str">
        <f t="shared" si="676"/>
        <v/>
      </c>
      <c r="HA30" s="425" t="str">
        <f t="shared" si="676"/>
        <v/>
      </c>
      <c r="HB30" s="425" t="str">
        <f t="shared" si="676"/>
        <v/>
      </c>
      <c r="HC30" s="425" t="str">
        <f t="shared" si="676"/>
        <v/>
      </c>
      <c r="HD30" s="425" t="str">
        <f t="shared" si="676"/>
        <v/>
      </c>
      <c r="HE30" s="425" t="str">
        <f t="shared" si="676"/>
        <v/>
      </c>
      <c r="HF30" s="439" t="str">
        <f t="shared" si="676"/>
        <v/>
      </c>
      <c r="HG30" s="439" t="str">
        <f t="shared" si="676"/>
        <v/>
      </c>
      <c r="HH30" s="425" t="str">
        <f t="shared" si="676"/>
        <v/>
      </c>
      <c r="HI30" s="425" t="str">
        <f t="shared" si="676"/>
        <v/>
      </c>
      <c r="HJ30" s="425" t="str">
        <f t="shared" si="676"/>
        <v/>
      </c>
      <c r="HK30" s="425" t="str">
        <f t="shared" si="676"/>
        <v/>
      </c>
      <c r="HL30" s="425" t="str">
        <f t="shared" si="676"/>
        <v/>
      </c>
      <c r="HM30" s="439" t="str">
        <f t="shared" si="676"/>
        <v/>
      </c>
      <c r="HN30" s="439" t="str">
        <f t="shared" si="676"/>
        <v/>
      </c>
      <c r="HO30" s="425" t="str">
        <f t="shared" si="676"/>
        <v/>
      </c>
      <c r="HP30" s="425" t="str">
        <f t="shared" si="676"/>
        <v/>
      </c>
      <c r="HQ30" s="425" t="str">
        <f t="shared" si="676"/>
        <v/>
      </c>
      <c r="HR30" s="425" t="str">
        <f t="shared" si="676"/>
        <v/>
      </c>
      <c r="HS30" s="425" t="str">
        <f t="shared" si="676"/>
        <v/>
      </c>
      <c r="HT30" s="439" t="str">
        <f t="shared" si="676"/>
        <v/>
      </c>
      <c r="HU30" s="439" t="str">
        <f t="shared" si="676"/>
        <v/>
      </c>
      <c r="HV30" s="425" t="str">
        <f t="shared" si="676"/>
        <v/>
      </c>
      <c r="HW30" s="425" t="str">
        <f t="shared" si="676"/>
        <v/>
      </c>
      <c r="HX30" s="425" t="str">
        <f t="shared" si="676"/>
        <v/>
      </c>
      <c r="HY30" s="425" t="str">
        <f t="shared" si="676"/>
        <v/>
      </c>
      <c r="HZ30" s="425" t="str">
        <f t="shared" si="676"/>
        <v/>
      </c>
      <c r="IA30" s="439" t="str">
        <f t="shared" si="676"/>
        <v/>
      </c>
      <c r="IB30" s="439" t="str">
        <f t="shared" si="676"/>
        <v/>
      </c>
      <c r="IC30" s="425" t="str">
        <f t="shared" si="676"/>
        <v/>
      </c>
      <c r="ID30" s="425" t="str">
        <f t="shared" si="676"/>
        <v/>
      </c>
      <c r="IE30" s="425" t="str">
        <f t="shared" si="676"/>
        <v/>
      </c>
      <c r="IF30" s="425" t="str">
        <f t="shared" si="676"/>
        <v/>
      </c>
      <c r="IG30" s="425" t="str">
        <f t="shared" si="676"/>
        <v/>
      </c>
      <c r="IH30" s="439" t="str">
        <f t="shared" si="676"/>
        <v/>
      </c>
      <c r="II30" s="439" t="str">
        <f t="shared" si="676"/>
        <v/>
      </c>
      <c r="IJ30" s="425" t="str">
        <f t="shared" si="676"/>
        <v/>
      </c>
      <c r="IK30" s="425" t="str">
        <f t="shared" si="676"/>
        <v/>
      </c>
      <c r="IL30" s="425" t="str">
        <f t="shared" si="676"/>
        <v/>
      </c>
      <c r="IM30" s="425" t="str">
        <f t="shared" si="676"/>
        <v/>
      </c>
      <c r="IN30" s="425" t="str">
        <f t="shared" si="676"/>
        <v/>
      </c>
      <c r="IO30" s="439" t="str">
        <f t="shared" si="676"/>
        <v/>
      </c>
      <c r="IP30" s="439" t="str">
        <f t="shared" si="676"/>
        <v/>
      </c>
      <c r="IQ30" s="425" t="str">
        <f t="shared" si="676"/>
        <v/>
      </c>
      <c r="IR30" s="425" t="str">
        <f t="shared" si="676"/>
        <v/>
      </c>
      <c r="IS30" s="425" t="str">
        <f t="shared" si="676"/>
        <v/>
      </c>
      <c r="IT30" s="425" t="str">
        <f t="shared" si="676"/>
        <v/>
      </c>
      <c r="IU30" s="425" t="str">
        <f t="shared" si="676"/>
        <v/>
      </c>
      <c r="IV30" s="439" t="str">
        <f t="shared" si="676"/>
        <v/>
      </c>
      <c r="IW30" s="439" t="str">
        <f t="shared" si="676"/>
        <v/>
      </c>
      <c r="IX30" s="425" t="str">
        <f t="shared" si="676"/>
        <v/>
      </c>
      <c r="IY30" s="425" t="str">
        <f t="shared" si="676"/>
        <v/>
      </c>
      <c r="IZ30" s="425" t="str">
        <f t="shared" si="676"/>
        <v/>
      </c>
      <c r="JA30" s="425" t="str">
        <f t="shared" si="676"/>
        <v/>
      </c>
      <c r="JB30" s="425" t="str">
        <f t="shared" si="676"/>
        <v/>
      </c>
      <c r="JC30" s="439" t="str">
        <f t="shared" si="676"/>
        <v/>
      </c>
      <c r="JD30" s="439" t="str">
        <f t="shared" si="676"/>
        <v/>
      </c>
      <c r="JE30" s="425" t="str">
        <f t="shared" si="676"/>
        <v/>
      </c>
      <c r="JF30" s="425" t="str">
        <f t="shared" si="676"/>
        <v/>
      </c>
      <c r="JG30" s="425" t="str">
        <f t="shared" si="676"/>
        <v/>
      </c>
      <c r="JH30" s="425" t="str">
        <f t="shared" si="676"/>
        <v/>
      </c>
      <c r="JI30" s="425" t="str">
        <f t="shared" si="676"/>
        <v/>
      </c>
      <c r="JJ30" s="439" t="str">
        <f t="shared" ref="JJ30:LU30" si="677">IF(AND(JJ$8&gt;$H30,JJ$8&lt;$I30),"-",IF(JJ$8=$H30,"I",IF(JJ$8=$I30,"I","")))</f>
        <v/>
      </c>
      <c r="JK30" s="439" t="str">
        <f t="shared" si="677"/>
        <v/>
      </c>
      <c r="JL30" s="425" t="str">
        <f t="shared" si="677"/>
        <v/>
      </c>
      <c r="JM30" s="425" t="str">
        <f t="shared" si="677"/>
        <v/>
      </c>
      <c r="JN30" s="425" t="str">
        <f t="shared" si="677"/>
        <v/>
      </c>
      <c r="JO30" s="425" t="str">
        <f t="shared" si="677"/>
        <v/>
      </c>
      <c r="JP30" s="425" t="str">
        <f t="shared" si="677"/>
        <v/>
      </c>
      <c r="JQ30" s="439" t="str">
        <f t="shared" si="677"/>
        <v/>
      </c>
      <c r="JR30" s="439" t="str">
        <f t="shared" si="677"/>
        <v/>
      </c>
      <c r="JS30" s="425" t="str">
        <f t="shared" si="677"/>
        <v/>
      </c>
      <c r="JT30" s="425" t="str">
        <f t="shared" si="677"/>
        <v/>
      </c>
      <c r="JU30" s="425" t="str">
        <f t="shared" si="677"/>
        <v/>
      </c>
      <c r="JV30" s="425" t="str">
        <f t="shared" si="677"/>
        <v/>
      </c>
      <c r="JW30" s="425" t="str">
        <f t="shared" si="677"/>
        <v/>
      </c>
      <c r="JX30" s="439" t="str">
        <f t="shared" si="677"/>
        <v/>
      </c>
      <c r="JY30" s="439" t="str">
        <f t="shared" si="677"/>
        <v/>
      </c>
      <c r="JZ30" s="425" t="str">
        <f t="shared" si="677"/>
        <v/>
      </c>
      <c r="KA30" s="425" t="str">
        <f t="shared" si="677"/>
        <v/>
      </c>
      <c r="KB30" s="425" t="str">
        <f t="shared" si="677"/>
        <v/>
      </c>
      <c r="KC30" s="425" t="str">
        <f t="shared" si="677"/>
        <v/>
      </c>
      <c r="KD30" s="425" t="str">
        <f t="shared" si="677"/>
        <v/>
      </c>
      <c r="KE30" s="439" t="str">
        <f t="shared" si="677"/>
        <v/>
      </c>
      <c r="KF30" s="439" t="str">
        <f t="shared" si="677"/>
        <v/>
      </c>
      <c r="KG30" s="425" t="str">
        <f t="shared" si="677"/>
        <v/>
      </c>
      <c r="KH30" s="425" t="str">
        <f t="shared" si="677"/>
        <v/>
      </c>
      <c r="KI30" s="425" t="str">
        <f t="shared" si="677"/>
        <v/>
      </c>
      <c r="KJ30" s="425" t="str">
        <f t="shared" si="677"/>
        <v/>
      </c>
      <c r="KK30" s="425" t="str">
        <f t="shared" si="677"/>
        <v/>
      </c>
      <c r="KL30" s="439" t="str">
        <f t="shared" si="677"/>
        <v/>
      </c>
      <c r="KM30" s="439" t="str">
        <f t="shared" si="677"/>
        <v/>
      </c>
      <c r="KN30" s="425" t="str">
        <f t="shared" si="677"/>
        <v/>
      </c>
      <c r="KO30" s="425" t="str">
        <f t="shared" si="677"/>
        <v/>
      </c>
      <c r="KP30" s="425" t="str">
        <f t="shared" si="677"/>
        <v/>
      </c>
      <c r="KQ30" s="425" t="str">
        <f t="shared" si="677"/>
        <v/>
      </c>
      <c r="KR30" s="425" t="str">
        <f t="shared" si="677"/>
        <v/>
      </c>
      <c r="KS30" s="439" t="str">
        <f t="shared" si="677"/>
        <v/>
      </c>
      <c r="KT30" s="439" t="str">
        <f t="shared" si="677"/>
        <v/>
      </c>
      <c r="KU30" s="425" t="str">
        <f t="shared" si="677"/>
        <v/>
      </c>
      <c r="KV30" s="425" t="str">
        <f t="shared" si="677"/>
        <v/>
      </c>
      <c r="KW30" s="425" t="str">
        <f t="shared" si="677"/>
        <v/>
      </c>
      <c r="KX30" s="425" t="str">
        <f t="shared" si="677"/>
        <v/>
      </c>
      <c r="KY30" s="425" t="str">
        <f t="shared" si="677"/>
        <v/>
      </c>
      <c r="KZ30" s="439" t="str">
        <f t="shared" si="677"/>
        <v/>
      </c>
      <c r="LA30" s="439" t="str">
        <f t="shared" si="677"/>
        <v/>
      </c>
      <c r="LB30" s="425" t="str">
        <f t="shared" si="677"/>
        <v/>
      </c>
      <c r="LC30" s="425" t="str">
        <f t="shared" si="677"/>
        <v/>
      </c>
      <c r="LD30" s="425" t="str">
        <f t="shared" si="677"/>
        <v/>
      </c>
      <c r="LE30" s="425" t="str">
        <f t="shared" si="677"/>
        <v/>
      </c>
      <c r="LF30" s="425" t="str">
        <f t="shared" si="677"/>
        <v/>
      </c>
      <c r="LG30" s="439" t="str">
        <f t="shared" si="677"/>
        <v/>
      </c>
      <c r="LH30" s="439" t="str">
        <f t="shared" si="677"/>
        <v/>
      </c>
      <c r="LI30" s="425" t="str">
        <f t="shared" si="677"/>
        <v/>
      </c>
      <c r="LJ30" s="425" t="str">
        <f t="shared" si="677"/>
        <v/>
      </c>
      <c r="LK30" s="425" t="str">
        <f t="shared" si="677"/>
        <v/>
      </c>
      <c r="LL30" s="425" t="str">
        <f t="shared" si="677"/>
        <v/>
      </c>
      <c r="LM30" s="425" t="str">
        <f t="shared" si="677"/>
        <v/>
      </c>
      <c r="LN30" s="439" t="str">
        <f t="shared" si="677"/>
        <v/>
      </c>
      <c r="LO30" s="439" t="str">
        <f t="shared" si="677"/>
        <v/>
      </c>
      <c r="LP30" s="425" t="str">
        <f t="shared" si="677"/>
        <v/>
      </c>
      <c r="LQ30" s="425" t="str">
        <f t="shared" si="677"/>
        <v/>
      </c>
      <c r="LR30" s="425" t="str">
        <f t="shared" si="677"/>
        <v/>
      </c>
      <c r="LS30" s="425" t="str">
        <f t="shared" si="677"/>
        <v/>
      </c>
      <c r="LT30" s="425" t="str">
        <f t="shared" si="677"/>
        <v/>
      </c>
      <c r="LU30" s="439" t="str">
        <f t="shared" si="677"/>
        <v/>
      </c>
      <c r="LV30" s="439" t="str">
        <f t="shared" ref="LV30:NS30" si="678">IF(AND(LV$8&gt;$H30,LV$8&lt;$I30),"-",IF(LV$8=$H30,"I",IF(LV$8=$I30,"I","")))</f>
        <v/>
      </c>
      <c r="LW30" s="425" t="str">
        <f t="shared" si="678"/>
        <v/>
      </c>
      <c r="LX30" s="425" t="str">
        <f t="shared" si="678"/>
        <v/>
      </c>
      <c r="LY30" s="425" t="str">
        <f t="shared" si="678"/>
        <v/>
      </c>
      <c r="LZ30" s="425" t="str">
        <f t="shared" si="678"/>
        <v/>
      </c>
      <c r="MA30" s="425" t="str">
        <f t="shared" si="678"/>
        <v/>
      </c>
      <c r="MB30" s="439" t="str">
        <f t="shared" si="678"/>
        <v/>
      </c>
      <c r="MC30" s="439" t="str">
        <f t="shared" si="678"/>
        <v/>
      </c>
      <c r="MD30" s="425" t="str">
        <f t="shared" si="678"/>
        <v/>
      </c>
      <c r="ME30" s="425" t="str">
        <f t="shared" si="678"/>
        <v/>
      </c>
      <c r="MF30" s="425" t="str">
        <f t="shared" si="678"/>
        <v/>
      </c>
      <c r="MG30" s="425" t="str">
        <f t="shared" si="678"/>
        <v/>
      </c>
      <c r="MH30" s="425" t="str">
        <f t="shared" si="678"/>
        <v/>
      </c>
      <c r="MI30" s="439" t="str">
        <f t="shared" si="678"/>
        <v/>
      </c>
      <c r="MJ30" s="439" t="str">
        <f t="shared" si="678"/>
        <v/>
      </c>
      <c r="MK30" s="425" t="str">
        <f t="shared" si="678"/>
        <v/>
      </c>
      <c r="ML30" s="425" t="str">
        <f t="shared" si="678"/>
        <v/>
      </c>
      <c r="MM30" s="425" t="str">
        <f t="shared" si="678"/>
        <v/>
      </c>
      <c r="MN30" s="425" t="str">
        <f t="shared" si="678"/>
        <v/>
      </c>
      <c r="MO30" s="425" t="str">
        <f t="shared" si="678"/>
        <v/>
      </c>
      <c r="MP30" s="439" t="str">
        <f t="shared" si="678"/>
        <v/>
      </c>
      <c r="MQ30" s="439" t="str">
        <f t="shared" si="678"/>
        <v/>
      </c>
      <c r="MR30" s="425" t="str">
        <f t="shared" si="678"/>
        <v/>
      </c>
      <c r="MS30" s="425" t="str">
        <f t="shared" si="678"/>
        <v/>
      </c>
      <c r="MT30" s="425" t="str">
        <f t="shared" si="678"/>
        <v/>
      </c>
      <c r="MU30" s="425" t="str">
        <f t="shared" si="678"/>
        <v/>
      </c>
      <c r="MV30" s="425" t="str">
        <f t="shared" si="678"/>
        <v/>
      </c>
      <c r="MW30" s="439" t="str">
        <f t="shared" si="678"/>
        <v/>
      </c>
      <c r="MX30" s="439" t="str">
        <f t="shared" si="678"/>
        <v/>
      </c>
      <c r="MY30" s="425" t="str">
        <f t="shared" si="678"/>
        <v/>
      </c>
      <c r="MZ30" s="425" t="str">
        <f t="shared" si="678"/>
        <v/>
      </c>
      <c r="NA30" s="425" t="str">
        <f t="shared" si="678"/>
        <v/>
      </c>
      <c r="NB30" s="425" t="str">
        <f t="shared" si="678"/>
        <v/>
      </c>
      <c r="NC30" s="425" t="str">
        <f t="shared" si="678"/>
        <v/>
      </c>
      <c r="ND30" s="439" t="str">
        <f t="shared" si="678"/>
        <v/>
      </c>
      <c r="NE30" s="439" t="str">
        <f t="shared" si="678"/>
        <v/>
      </c>
      <c r="NF30" s="425" t="str">
        <f t="shared" si="678"/>
        <v/>
      </c>
      <c r="NG30" s="425" t="str">
        <f t="shared" si="678"/>
        <v/>
      </c>
      <c r="NH30" s="425" t="str">
        <f t="shared" si="678"/>
        <v/>
      </c>
      <c r="NI30" s="425" t="str">
        <f t="shared" si="678"/>
        <v/>
      </c>
      <c r="NJ30" s="425" t="str">
        <f t="shared" si="678"/>
        <v/>
      </c>
      <c r="NK30" s="439" t="str">
        <f t="shared" si="678"/>
        <v/>
      </c>
      <c r="NL30" s="439" t="str">
        <f t="shared" si="678"/>
        <v/>
      </c>
      <c r="NM30" s="425" t="str">
        <f t="shared" si="678"/>
        <v/>
      </c>
      <c r="NN30" s="425" t="str">
        <f t="shared" si="678"/>
        <v/>
      </c>
      <c r="NO30" s="425" t="str">
        <f t="shared" si="678"/>
        <v/>
      </c>
      <c r="NP30" s="425" t="str">
        <f t="shared" si="678"/>
        <v/>
      </c>
      <c r="NQ30" s="425" t="str">
        <f t="shared" si="678"/>
        <v/>
      </c>
      <c r="NR30" s="439" t="str">
        <f t="shared" si="678"/>
        <v/>
      </c>
      <c r="NS30" s="439" t="str">
        <f t="shared" si="678"/>
        <v/>
      </c>
    </row>
    <row r="31" spans="2:383">
      <c r="B31" s="544" t="str">
        <f>MASTER!B67</f>
        <v>Sectional Drawing and Part List</v>
      </c>
      <c r="C31" s="544"/>
      <c r="D31" s="473" t="s">
        <v>122</v>
      </c>
      <c r="E31" s="465">
        <f>MASTER!C67/REPORT!$H$36</f>
        <v>0.5714285714285714</v>
      </c>
      <c r="H31" s="434">
        <f>IF(E31&lt;&gt;0,I29+1,"")</f>
        <v>48</v>
      </c>
      <c r="I31" s="434">
        <f>IF(E31&lt;&gt;0,ROUND(H31+E31-1,0),"")</f>
        <v>48</v>
      </c>
      <c r="J31" s="468" cm="1">
        <f t="array" ref="J31">IF(GANTT_D!$E31&lt;&gt;0,INDEX($M$7:$NT$7,,MATCH(H31,$M$8:$NT$8,0)),"")</f>
        <v>10</v>
      </c>
      <c r="K31" s="468" cm="1">
        <f t="array" ref="K31">IF(GANTT_D!$E31&lt;&gt;0,INDEX($M$7:$NT$7,,MATCH(I31,$M$8:$NT$8,0)),"")</f>
        <v>10</v>
      </c>
      <c r="L31" s="424"/>
      <c r="M31" s="425"/>
      <c r="N31" s="425"/>
      <c r="O31" s="425"/>
      <c r="P31" s="425"/>
      <c r="Q31" s="425"/>
      <c r="R31" s="439"/>
      <c r="S31" s="439"/>
      <c r="T31" s="425"/>
      <c r="U31" s="425"/>
      <c r="V31" s="425"/>
      <c r="W31" s="425"/>
      <c r="X31" s="425"/>
      <c r="Y31" s="439"/>
      <c r="Z31" s="439"/>
      <c r="AA31" s="425"/>
      <c r="AB31" s="425"/>
      <c r="AC31" s="425"/>
      <c r="AD31" s="425"/>
      <c r="AE31" s="425"/>
      <c r="AF31" s="439"/>
      <c r="AG31" s="439"/>
      <c r="AH31" s="425"/>
      <c r="AI31" s="425"/>
      <c r="AJ31" s="425"/>
      <c r="AK31" s="425"/>
      <c r="AL31" s="425"/>
      <c r="AM31" s="439"/>
      <c r="AN31" s="439"/>
      <c r="AO31" s="425"/>
      <c r="AP31" s="425"/>
      <c r="AQ31" s="425"/>
      <c r="AR31" s="425"/>
      <c r="AS31" s="425"/>
      <c r="AT31" s="439"/>
      <c r="AU31" s="439"/>
      <c r="AV31" s="425"/>
      <c r="AW31" s="425"/>
      <c r="AX31" s="425"/>
      <c r="AY31" s="425"/>
      <c r="AZ31" s="425"/>
      <c r="BA31" s="439"/>
      <c r="BB31" s="439"/>
      <c r="BC31" s="425"/>
      <c r="BD31" s="425"/>
      <c r="BE31" s="425"/>
      <c r="BF31" s="425"/>
      <c r="BG31" s="425"/>
      <c r="BH31" s="439"/>
      <c r="BI31" s="439"/>
      <c r="BJ31" s="425"/>
      <c r="BK31" s="425"/>
      <c r="BL31" s="425"/>
      <c r="BM31" s="425"/>
      <c r="BN31" s="425"/>
      <c r="BO31" s="439"/>
      <c r="BP31" s="439"/>
      <c r="BQ31" s="425"/>
      <c r="BR31" s="425"/>
      <c r="BS31" s="425"/>
      <c r="BT31" s="425"/>
      <c r="BU31" s="425"/>
      <c r="BV31" s="439"/>
      <c r="BW31" s="439"/>
      <c r="BX31" s="425"/>
      <c r="BY31" s="425"/>
      <c r="BZ31" s="425"/>
      <c r="CA31" s="425"/>
      <c r="CB31" s="425"/>
      <c r="CC31" s="439"/>
      <c r="CD31" s="439"/>
      <c r="CE31" s="425"/>
      <c r="CF31" s="425"/>
      <c r="CG31" s="425"/>
      <c r="CH31" s="425"/>
      <c r="CI31" s="425"/>
      <c r="CJ31" s="439"/>
      <c r="CK31" s="439"/>
      <c r="CL31" s="425"/>
      <c r="CM31" s="425"/>
      <c r="CN31" s="425"/>
      <c r="CO31" s="425"/>
      <c r="CP31" s="425"/>
      <c r="CQ31" s="439"/>
      <c r="CR31" s="439"/>
      <c r="CS31" s="425"/>
      <c r="CT31" s="425"/>
      <c r="CU31" s="425"/>
      <c r="CV31" s="425"/>
      <c r="CW31" s="425"/>
      <c r="CX31" s="439"/>
      <c r="CY31" s="439"/>
      <c r="CZ31" s="425"/>
      <c r="DA31" s="425"/>
      <c r="DB31" s="425"/>
      <c r="DC31" s="425"/>
      <c r="DD31" s="425"/>
      <c r="DE31" s="439"/>
      <c r="DF31" s="439"/>
      <c r="DG31" s="425"/>
      <c r="DH31" s="425"/>
      <c r="DI31" s="425"/>
      <c r="DJ31" s="425"/>
      <c r="DK31" s="425"/>
      <c r="DL31" s="439"/>
      <c r="DM31" s="439"/>
      <c r="DN31" s="425"/>
      <c r="DO31" s="425"/>
      <c r="DP31" s="425"/>
      <c r="DQ31" s="425"/>
      <c r="DR31" s="425"/>
      <c r="DS31" s="439"/>
      <c r="DT31" s="439"/>
      <c r="DU31" s="425"/>
      <c r="DV31" s="425"/>
      <c r="DW31" s="425"/>
      <c r="DX31" s="425"/>
      <c r="DY31" s="425"/>
      <c r="DZ31" s="439"/>
      <c r="EA31" s="439"/>
      <c r="EB31" s="425"/>
      <c r="EC31" s="425"/>
      <c r="ED31" s="425"/>
      <c r="EE31" s="425"/>
      <c r="EF31" s="425"/>
      <c r="EG31" s="439"/>
      <c r="EH31" s="439"/>
      <c r="EI31" s="425"/>
      <c r="EJ31" s="425"/>
      <c r="EK31" s="425"/>
      <c r="EL31" s="425"/>
      <c r="EM31" s="425"/>
      <c r="EN31" s="439"/>
      <c r="EO31" s="439"/>
      <c r="EP31" s="425"/>
      <c r="EQ31" s="425"/>
      <c r="ER31" s="425"/>
      <c r="ES31" s="425"/>
      <c r="ET31" s="425"/>
      <c r="EU31" s="439"/>
      <c r="EV31" s="439"/>
      <c r="EW31" s="425"/>
      <c r="EX31" s="425"/>
      <c r="EY31" s="425"/>
      <c r="EZ31" s="425"/>
      <c r="FA31" s="425"/>
      <c r="FB31" s="439"/>
      <c r="FC31" s="439"/>
      <c r="FD31" s="425"/>
      <c r="FE31" s="425"/>
      <c r="FF31" s="425"/>
      <c r="FG31" s="425"/>
      <c r="FH31" s="425"/>
      <c r="FI31" s="439"/>
      <c r="FJ31" s="439"/>
      <c r="FK31" s="425"/>
      <c r="FL31" s="425"/>
      <c r="FM31" s="425"/>
      <c r="FN31" s="425"/>
      <c r="FO31" s="425"/>
      <c r="FP31" s="439"/>
      <c r="FQ31" s="439"/>
      <c r="FR31" s="425"/>
      <c r="FS31" s="425"/>
      <c r="FT31" s="425"/>
      <c r="FU31" s="425"/>
      <c r="FV31" s="425"/>
      <c r="FW31" s="439"/>
      <c r="FX31" s="439"/>
      <c r="FY31" s="425"/>
      <c r="FZ31" s="425"/>
      <c r="GA31" s="425"/>
      <c r="GB31" s="425"/>
      <c r="GC31" s="425"/>
      <c r="GD31" s="439"/>
      <c r="GE31" s="439"/>
      <c r="GF31" s="425"/>
      <c r="GG31" s="425"/>
      <c r="GH31" s="425"/>
      <c r="GI31" s="425"/>
      <c r="GJ31" s="425"/>
      <c r="GK31" s="439"/>
      <c r="GL31" s="439"/>
      <c r="GM31" s="425"/>
      <c r="GN31" s="425"/>
      <c r="GO31" s="425"/>
      <c r="GP31" s="425"/>
      <c r="GQ31" s="425"/>
      <c r="GR31" s="439"/>
      <c r="GS31" s="439"/>
      <c r="GT31" s="425"/>
      <c r="GU31" s="425"/>
      <c r="GV31" s="425"/>
      <c r="GW31" s="425"/>
      <c r="GX31" s="425"/>
      <c r="GY31" s="439"/>
      <c r="GZ31" s="439"/>
      <c r="HA31" s="425"/>
      <c r="HB31" s="425"/>
      <c r="HC31" s="425"/>
      <c r="HD31" s="425"/>
      <c r="HE31" s="425"/>
      <c r="HF31" s="439"/>
      <c r="HG31" s="439"/>
      <c r="HH31" s="425"/>
      <c r="HI31" s="425"/>
      <c r="HJ31" s="425"/>
      <c r="HK31" s="425"/>
      <c r="HL31" s="425"/>
      <c r="HM31" s="439"/>
      <c r="HN31" s="439"/>
      <c r="HO31" s="425"/>
      <c r="HP31" s="425"/>
      <c r="HQ31" s="425"/>
      <c r="HR31" s="425"/>
      <c r="HS31" s="425"/>
      <c r="HT31" s="439"/>
      <c r="HU31" s="439"/>
      <c r="HV31" s="425"/>
      <c r="HW31" s="425"/>
      <c r="HX31" s="425"/>
      <c r="HY31" s="425"/>
      <c r="HZ31" s="425"/>
      <c r="IA31" s="439"/>
      <c r="IB31" s="439"/>
      <c r="IC31" s="425"/>
      <c r="ID31" s="425"/>
      <c r="IE31" s="425"/>
      <c r="IF31" s="425"/>
      <c r="IG31" s="425"/>
      <c r="IH31" s="439"/>
      <c r="II31" s="439"/>
      <c r="IJ31" s="425"/>
      <c r="IK31" s="425"/>
      <c r="IL31" s="425"/>
      <c r="IM31" s="425"/>
      <c r="IN31" s="425"/>
      <c r="IO31" s="439"/>
      <c r="IP31" s="439"/>
      <c r="IQ31" s="425"/>
      <c r="IR31" s="425"/>
      <c r="IS31" s="425"/>
      <c r="IT31" s="425"/>
      <c r="IU31" s="425"/>
      <c r="IV31" s="439"/>
      <c r="IW31" s="439"/>
      <c r="IX31" s="425"/>
      <c r="IY31" s="425"/>
      <c r="IZ31" s="425"/>
      <c r="JA31" s="425"/>
      <c r="JB31" s="425"/>
      <c r="JC31" s="439"/>
      <c r="JD31" s="439"/>
      <c r="JE31" s="425"/>
      <c r="JF31" s="425"/>
      <c r="JG31" s="425"/>
      <c r="JH31" s="425"/>
      <c r="JI31" s="425"/>
      <c r="JJ31" s="439"/>
      <c r="JK31" s="439"/>
      <c r="JL31" s="425"/>
      <c r="JM31" s="425"/>
      <c r="JN31" s="425"/>
      <c r="JO31" s="425"/>
      <c r="JP31" s="425"/>
      <c r="JQ31" s="439"/>
      <c r="JR31" s="439"/>
      <c r="JS31" s="425"/>
      <c r="JT31" s="425"/>
      <c r="JU31" s="425"/>
      <c r="JV31" s="425"/>
      <c r="JW31" s="425"/>
      <c r="JX31" s="439"/>
      <c r="JY31" s="439"/>
      <c r="JZ31" s="425"/>
      <c r="KA31" s="425"/>
      <c r="KB31" s="425"/>
      <c r="KC31" s="425"/>
      <c r="KD31" s="425"/>
      <c r="KE31" s="439"/>
      <c r="KF31" s="439"/>
      <c r="KG31" s="425"/>
      <c r="KH31" s="425"/>
      <c r="KI31" s="425"/>
      <c r="KJ31" s="425"/>
      <c r="KK31" s="425"/>
      <c r="KL31" s="439"/>
      <c r="KM31" s="439"/>
      <c r="KN31" s="425"/>
      <c r="KO31" s="425"/>
      <c r="KP31" s="425"/>
      <c r="KQ31" s="425"/>
      <c r="KR31" s="425"/>
      <c r="KS31" s="439"/>
      <c r="KT31" s="439"/>
      <c r="KU31" s="425"/>
      <c r="KV31" s="425"/>
      <c r="KW31" s="425"/>
      <c r="KX31" s="425"/>
      <c r="KY31" s="425"/>
      <c r="KZ31" s="439"/>
      <c r="LA31" s="439"/>
      <c r="LB31" s="425"/>
      <c r="LC31" s="425"/>
      <c r="LD31" s="425"/>
      <c r="LE31" s="425"/>
      <c r="LF31" s="425"/>
      <c r="LG31" s="439"/>
      <c r="LH31" s="439"/>
      <c r="LI31" s="425"/>
      <c r="LJ31" s="425"/>
      <c r="LK31" s="425"/>
      <c r="LL31" s="425"/>
      <c r="LM31" s="425"/>
      <c r="LN31" s="439"/>
      <c r="LO31" s="439"/>
      <c r="LP31" s="425"/>
      <c r="LQ31" s="425"/>
      <c r="LR31" s="425"/>
      <c r="LS31" s="425"/>
      <c r="LT31" s="425"/>
      <c r="LU31" s="439"/>
      <c r="LV31" s="439"/>
      <c r="LW31" s="425"/>
      <c r="LX31" s="425"/>
      <c r="LY31" s="425"/>
      <c r="LZ31" s="425"/>
      <c r="MA31" s="425"/>
      <c r="MB31" s="439"/>
      <c r="MC31" s="439"/>
      <c r="MD31" s="425"/>
      <c r="ME31" s="425"/>
      <c r="MF31" s="425"/>
      <c r="MG31" s="425"/>
      <c r="MH31" s="425"/>
      <c r="MI31" s="439"/>
      <c r="MJ31" s="439"/>
      <c r="MK31" s="425"/>
      <c r="ML31" s="425"/>
      <c r="MM31" s="425"/>
      <c r="MN31" s="425"/>
      <c r="MO31" s="425"/>
      <c r="MP31" s="439"/>
      <c r="MQ31" s="439"/>
      <c r="MR31" s="425"/>
      <c r="MS31" s="425"/>
      <c r="MT31" s="425"/>
      <c r="MU31" s="425"/>
      <c r="MV31" s="425"/>
      <c r="MW31" s="439"/>
      <c r="MX31" s="439"/>
      <c r="MY31" s="425"/>
      <c r="MZ31" s="425"/>
      <c r="NA31" s="425"/>
      <c r="NB31" s="425"/>
      <c r="NC31" s="425"/>
      <c r="ND31" s="439"/>
      <c r="NE31" s="439"/>
      <c r="NF31" s="425"/>
      <c r="NG31" s="425"/>
      <c r="NH31" s="425"/>
      <c r="NI31" s="425"/>
      <c r="NJ31" s="425"/>
      <c r="NK31" s="439"/>
      <c r="NL31" s="439"/>
      <c r="NM31" s="425"/>
      <c r="NN31" s="425"/>
      <c r="NO31" s="425"/>
      <c r="NP31" s="425"/>
      <c r="NQ31" s="425"/>
      <c r="NR31" s="439"/>
      <c r="NS31" s="439"/>
    </row>
    <row r="32" spans="2:383">
      <c r="B32" s="543" t="str">
        <f>MASTER!B68</f>
        <v>Tightening Sequence</v>
      </c>
      <c r="C32" s="543"/>
      <c r="D32" s="424" t="s">
        <v>122</v>
      </c>
      <c r="E32" s="434">
        <f>MASTER!C68/REPORT!$H$36</f>
        <v>1.1428571428571428</v>
      </c>
      <c r="H32" s="434">
        <f>IF(E32&lt;&gt;0,I31+1,"")</f>
        <v>49</v>
      </c>
      <c r="I32" s="434">
        <f>IF(E32&lt;&gt;0,ROUND(H32+E32-1,0),"")</f>
        <v>49</v>
      </c>
      <c r="J32" s="468" cm="1">
        <f t="array" ref="J32">IF(GANTT_D!$E32&lt;&gt;0,INDEX($M$7:$NT$7,,MATCH(H32,$M$8:$NT$8,0)),"")</f>
        <v>10.5</v>
      </c>
      <c r="K32" s="468" cm="1">
        <f t="array" ref="K32">IF(GANTT_D!$E32&lt;&gt;0,INDEX($M$7:$NT$7,,MATCH(I32,$M$8:$NT$8,0)),"")</f>
        <v>10.5</v>
      </c>
      <c r="L32" s="424"/>
      <c r="M32" s="425"/>
      <c r="N32" s="425"/>
      <c r="O32" s="425"/>
      <c r="P32" s="425"/>
      <c r="Q32" s="425"/>
      <c r="R32" s="439"/>
      <c r="S32" s="439"/>
      <c r="T32" s="425"/>
      <c r="U32" s="425"/>
      <c r="V32" s="425"/>
      <c r="W32" s="425"/>
      <c r="X32" s="425"/>
      <c r="Y32" s="439"/>
      <c r="Z32" s="439"/>
      <c r="AA32" s="425"/>
      <c r="AB32" s="425"/>
      <c r="AC32" s="425"/>
      <c r="AD32" s="425"/>
      <c r="AE32" s="425"/>
      <c r="AF32" s="439"/>
      <c r="AG32" s="439"/>
      <c r="AH32" s="425"/>
      <c r="AI32" s="425"/>
      <c r="AJ32" s="425"/>
      <c r="AK32" s="425"/>
      <c r="AL32" s="425"/>
      <c r="AM32" s="439"/>
      <c r="AN32" s="439"/>
      <c r="AO32" s="425"/>
      <c r="AP32" s="425"/>
      <c r="AQ32" s="425"/>
      <c r="AR32" s="425"/>
      <c r="AS32" s="425"/>
      <c r="AT32" s="439"/>
      <c r="AU32" s="439"/>
      <c r="AV32" s="425"/>
      <c r="AW32" s="425"/>
      <c r="AX32" s="425"/>
      <c r="AY32" s="425"/>
      <c r="AZ32" s="425"/>
      <c r="BA32" s="439"/>
      <c r="BB32" s="439"/>
      <c r="BC32" s="425"/>
      <c r="BD32" s="425"/>
      <c r="BE32" s="425"/>
      <c r="BF32" s="425"/>
      <c r="BG32" s="425"/>
      <c r="BH32" s="439"/>
      <c r="BI32" s="439"/>
      <c r="BJ32" s="425"/>
      <c r="BK32" s="425"/>
      <c r="BL32" s="425"/>
      <c r="BM32" s="425"/>
      <c r="BN32" s="425"/>
      <c r="BO32" s="439"/>
      <c r="BP32" s="439"/>
      <c r="BQ32" s="425"/>
      <c r="BR32" s="425"/>
      <c r="BS32" s="425"/>
      <c r="BT32" s="425"/>
      <c r="BU32" s="425"/>
      <c r="BV32" s="439"/>
      <c r="BW32" s="439"/>
      <c r="BX32" s="425"/>
      <c r="BY32" s="425"/>
      <c r="BZ32" s="425"/>
      <c r="CA32" s="425"/>
      <c r="CB32" s="425"/>
      <c r="CC32" s="439"/>
      <c r="CD32" s="439"/>
      <c r="CE32" s="425"/>
      <c r="CF32" s="425"/>
      <c r="CG32" s="425"/>
      <c r="CH32" s="425"/>
      <c r="CI32" s="425"/>
      <c r="CJ32" s="439"/>
      <c r="CK32" s="439"/>
      <c r="CL32" s="425"/>
      <c r="CM32" s="425"/>
      <c r="CN32" s="425"/>
      <c r="CO32" s="425"/>
      <c r="CP32" s="425"/>
      <c r="CQ32" s="439"/>
      <c r="CR32" s="439"/>
      <c r="CS32" s="425"/>
      <c r="CT32" s="425"/>
      <c r="CU32" s="425"/>
      <c r="CV32" s="425"/>
      <c r="CW32" s="425"/>
      <c r="CX32" s="439"/>
      <c r="CY32" s="439"/>
      <c r="CZ32" s="425"/>
      <c r="DA32" s="425"/>
      <c r="DB32" s="425"/>
      <c r="DC32" s="425"/>
      <c r="DD32" s="425"/>
      <c r="DE32" s="439"/>
      <c r="DF32" s="439"/>
      <c r="DG32" s="425"/>
      <c r="DH32" s="425"/>
      <c r="DI32" s="425"/>
      <c r="DJ32" s="425"/>
      <c r="DK32" s="425"/>
      <c r="DL32" s="439"/>
      <c r="DM32" s="439"/>
      <c r="DN32" s="425"/>
      <c r="DO32" s="425"/>
      <c r="DP32" s="425"/>
      <c r="DQ32" s="425"/>
      <c r="DR32" s="425"/>
      <c r="DS32" s="439"/>
      <c r="DT32" s="439"/>
      <c r="DU32" s="425"/>
      <c r="DV32" s="425"/>
      <c r="DW32" s="425"/>
      <c r="DX32" s="425"/>
      <c r="DY32" s="425"/>
      <c r="DZ32" s="439"/>
      <c r="EA32" s="439"/>
      <c r="EB32" s="425"/>
      <c r="EC32" s="425"/>
      <c r="ED32" s="425"/>
      <c r="EE32" s="425"/>
      <c r="EF32" s="425"/>
      <c r="EG32" s="439"/>
      <c r="EH32" s="439"/>
      <c r="EI32" s="425"/>
      <c r="EJ32" s="425"/>
      <c r="EK32" s="425"/>
      <c r="EL32" s="425"/>
      <c r="EM32" s="425"/>
      <c r="EN32" s="439"/>
      <c r="EO32" s="439"/>
      <c r="EP32" s="425"/>
      <c r="EQ32" s="425"/>
      <c r="ER32" s="425"/>
      <c r="ES32" s="425"/>
      <c r="ET32" s="425"/>
      <c r="EU32" s="439"/>
      <c r="EV32" s="439"/>
      <c r="EW32" s="425"/>
      <c r="EX32" s="425"/>
      <c r="EY32" s="425"/>
      <c r="EZ32" s="425"/>
      <c r="FA32" s="425"/>
      <c r="FB32" s="439"/>
      <c r="FC32" s="439"/>
      <c r="FD32" s="425"/>
      <c r="FE32" s="425"/>
      <c r="FF32" s="425"/>
      <c r="FG32" s="425"/>
      <c r="FH32" s="425"/>
      <c r="FI32" s="439"/>
      <c r="FJ32" s="439"/>
      <c r="FK32" s="425"/>
      <c r="FL32" s="425"/>
      <c r="FM32" s="425"/>
      <c r="FN32" s="425"/>
      <c r="FO32" s="425"/>
      <c r="FP32" s="439"/>
      <c r="FQ32" s="439"/>
      <c r="FR32" s="425"/>
      <c r="FS32" s="425"/>
      <c r="FT32" s="425"/>
      <c r="FU32" s="425"/>
      <c r="FV32" s="425"/>
      <c r="FW32" s="439"/>
      <c r="FX32" s="439"/>
      <c r="FY32" s="425"/>
      <c r="FZ32" s="425"/>
      <c r="GA32" s="425"/>
      <c r="GB32" s="425"/>
      <c r="GC32" s="425"/>
      <c r="GD32" s="439"/>
      <c r="GE32" s="439"/>
      <c r="GF32" s="425"/>
      <c r="GG32" s="425"/>
      <c r="GH32" s="425"/>
      <c r="GI32" s="425"/>
      <c r="GJ32" s="425"/>
      <c r="GK32" s="439"/>
      <c r="GL32" s="439"/>
      <c r="GM32" s="425"/>
      <c r="GN32" s="425"/>
      <c r="GO32" s="425"/>
      <c r="GP32" s="425"/>
      <c r="GQ32" s="425"/>
      <c r="GR32" s="439"/>
      <c r="GS32" s="439"/>
      <c r="GT32" s="425"/>
      <c r="GU32" s="425"/>
      <c r="GV32" s="425"/>
      <c r="GW32" s="425"/>
      <c r="GX32" s="425"/>
      <c r="GY32" s="439"/>
      <c r="GZ32" s="439"/>
      <c r="HA32" s="425"/>
      <c r="HB32" s="425"/>
      <c r="HC32" s="425"/>
      <c r="HD32" s="425"/>
      <c r="HE32" s="425"/>
      <c r="HF32" s="439"/>
      <c r="HG32" s="439"/>
      <c r="HH32" s="425"/>
      <c r="HI32" s="425"/>
      <c r="HJ32" s="425"/>
      <c r="HK32" s="425"/>
      <c r="HL32" s="425"/>
      <c r="HM32" s="439"/>
      <c r="HN32" s="439"/>
      <c r="HO32" s="425"/>
      <c r="HP32" s="425"/>
      <c r="HQ32" s="425"/>
      <c r="HR32" s="425"/>
      <c r="HS32" s="425"/>
      <c r="HT32" s="439"/>
      <c r="HU32" s="439"/>
      <c r="HV32" s="425"/>
      <c r="HW32" s="425"/>
      <c r="HX32" s="425"/>
      <c r="HY32" s="425"/>
      <c r="HZ32" s="425"/>
      <c r="IA32" s="439"/>
      <c r="IB32" s="439"/>
      <c r="IC32" s="425"/>
      <c r="ID32" s="425"/>
      <c r="IE32" s="425"/>
      <c r="IF32" s="425"/>
      <c r="IG32" s="425"/>
      <c r="IH32" s="439"/>
      <c r="II32" s="439"/>
      <c r="IJ32" s="425"/>
      <c r="IK32" s="425"/>
      <c r="IL32" s="425"/>
      <c r="IM32" s="425"/>
      <c r="IN32" s="425"/>
      <c r="IO32" s="439"/>
      <c r="IP32" s="439"/>
      <c r="IQ32" s="425"/>
      <c r="IR32" s="425"/>
      <c r="IS32" s="425"/>
      <c r="IT32" s="425"/>
      <c r="IU32" s="425"/>
      <c r="IV32" s="439"/>
      <c r="IW32" s="439"/>
      <c r="IX32" s="425"/>
      <c r="IY32" s="425"/>
      <c r="IZ32" s="425"/>
      <c r="JA32" s="425"/>
      <c r="JB32" s="425"/>
      <c r="JC32" s="439"/>
      <c r="JD32" s="439"/>
      <c r="JE32" s="425"/>
      <c r="JF32" s="425"/>
      <c r="JG32" s="425"/>
      <c r="JH32" s="425"/>
      <c r="JI32" s="425"/>
      <c r="JJ32" s="439"/>
      <c r="JK32" s="439"/>
      <c r="JL32" s="425"/>
      <c r="JM32" s="425"/>
      <c r="JN32" s="425"/>
      <c r="JO32" s="425"/>
      <c r="JP32" s="425"/>
      <c r="JQ32" s="439"/>
      <c r="JR32" s="439"/>
      <c r="JS32" s="425"/>
      <c r="JT32" s="425"/>
      <c r="JU32" s="425"/>
      <c r="JV32" s="425"/>
      <c r="JW32" s="425"/>
      <c r="JX32" s="439"/>
      <c r="JY32" s="439"/>
      <c r="JZ32" s="425"/>
      <c r="KA32" s="425"/>
      <c r="KB32" s="425"/>
      <c r="KC32" s="425"/>
      <c r="KD32" s="425"/>
      <c r="KE32" s="439"/>
      <c r="KF32" s="439"/>
      <c r="KG32" s="425"/>
      <c r="KH32" s="425"/>
      <c r="KI32" s="425"/>
      <c r="KJ32" s="425"/>
      <c r="KK32" s="425"/>
      <c r="KL32" s="439"/>
      <c r="KM32" s="439"/>
      <c r="KN32" s="425"/>
      <c r="KO32" s="425"/>
      <c r="KP32" s="425"/>
      <c r="KQ32" s="425"/>
      <c r="KR32" s="425"/>
      <c r="KS32" s="439"/>
      <c r="KT32" s="439"/>
      <c r="KU32" s="425"/>
      <c r="KV32" s="425"/>
      <c r="KW32" s="425"/>
      <c r="KX32" s="425"/>
      <c r="KY32" s="425"/>
      <c r="KZ32" s="439"/>
      <c r="LA32" s="439"/>
      <c r="LB32" s="425"/>
      <c r="LC32" s="425"/>
      <c r="LD32" s="425"/>
      <c r="LE32" s="425"/>
      <c r="LF32" s="425"/>
      <c r="LG32" s="439"/>
      <c r="LH32" s="439"/>
      <c r="LI32" s="425"/>
      <c r="LJ32" s="425"/>
      <c r="LK32" s="425"/>
      <c r="LL32" s="425"/>
      <c r="LM32" s="425"/>
      <c r="LN32" s="439"/>
      <c r="LO32" s="439"/>
      <c r="LP32" s="425"/>
      <c r="LQ32" s="425"/>
      <c r="LR32" s="425"/>
      <c r="LS32" s="425"/>
      <c r="LT32" s="425"/>
      <c r="LU32" s="439"/>
      <c r="LV32" s="439"/>
      <c r="LW32" s="425"/>
      <c r="LX32" s="425"/>
      <c r="LY32" s="425"/>
      <c r="LZ32" s="425"/>
      <c r="MA32" s="425"/>
      <c r="MB32" s="439"/>
      <c r="MC32" s="439"/>
      <c r="MD32" s="425"/>
      <c r="ME32" s="425"/>
      <c r="MF32" s="425"/>
      <c r="MG32" s="425"/>
      <c r="MH32" s="425"/>
      <c r="MI32" s="439"/>
      <c r="MJ32" s="439"/>
      <c r="MK32" s="425"/>
      <c r="ML32" s="425"/>
      <c r="MM32" s="425"/>
      <c r="MN32" s="425"/>
      <c r="MO32" s="425"/>
      <c r="MP32" s="439"/>
      <c r="MQ32" s="439"/>
      <c r="MR32" s="425"/>
      <c r="MS32" s="425"/>
      <c r="MT32" s="425"/>
      <c r="MU32" s="425"/>
      <c r="MV32" s="425"/>
      <c r="MW32" s="439"/>
      <c r="MX32" s="439"/>
      <c r="MY32" s="425"/>
      <c r="MZ32" s="425"/>
      <c r="NA32" s="425"/>
      <c r="NB32" s="425"/>
      <c r="NC32" s="425"/>
      <c r="ND32" s="439"/>
      <c r="NE32" s="439"/>
      <c r="NF32" s="425"/>
      <c r="NG32" s="425"/>
      <c r="NH32" s="425"/>
      <c r="NI32" s="425"/>
      <c r="NJ32" s="425"/>
      <c r="NK32" s="439"/>
      <c r="NL32" s="439"/>
      <c r="NM32" s="425"/>
      <c r="NN32" s="425"/>
      <c r="NO32" s="425"/>
      <c r="NP32" s="425"/>
      <c r="NQ32" s="425"/>
      <c r="NR32" s="439"/>
      <c r="NS32" s="439"/>
    </row>
    <row r="33" spans="2:383">
      <c r="B33" s="544" t="str">
        <f>MASTER!B69</f>
        <v>Assembly Drawing</v>
      </c>
      <c r="C33" s="544"/>
      <c r="D33" s="473" t="s">
        <v>122</v>
      </c>
      <c r="E33" s="465">
        <f>MASTER!C69/REPORT!$H$36</f>
        <v>1.1428571428571428</v>
      </c>
      <c r="H33" s="434">
        <f>IF(E33&lt;&gt;0,I32+1,"")</f>
        <v>50</v>
      </c>
      <c r="I33" s="434">
        <f>IF(E33&lt;&gt;0,ROUND(H33+E33-1,0),"")</f>
        <v>50</v>
      </c>
      <c r="J33" s="468" cm="1">
        <f t="array" ref="J33">IF(GANTT_D!$E33&lt;&gt;0,INDEX($M$7:$NT$7,,MATCH(H33,$M$8:$NT$8,0)),"")</f>
        <v>10.5</v>
      </c>
      <c r="K33" s="468" cm="1">
        <f t="array" ref="K33">IF(GANTT_D!$E33&lt;&gt;0,INDEX($M$7:$NT$7,,MATCH(I33,$M$8:$NT$8,0)),"")</f>
        <v>10.5</v>
      </c>
      <c r="L33" s="424"/>
      <c r="M33" s="425"/>
      <c r="N33" s="425"/>
      <c r="O33" s="425"/>
      <c r="P33" s="425"/>
      <c r="Q33" s="425"/>
      <c r="R33" s="439"/>
      <c r="S33" s="439"/>
      <c r="T33" s="425"/>
      <c r="U33" s="425"/>
      <c r="V33" s="425"/>
      <c r="W33" s="425"/>
      <c r="X33" s="425"/>
      <c r="Y33" s="439"/>
      <c r="Z33" s="439"/>
      <c r="AA33" s="425"/>
      <c r="AB33" s="425"/>
      <c r="AC33" s="425"/>
      <c r="AD33" s="425"/>
      <c r="AE33" s="425"/>
      <c r="AF33" s="439"/>
      <c r="AG33" s="439"/>
      <c r="AH33" s="425"/>
      <c r="AI33" s="425"/>
      <c r="AJ33" s="425"/>
      <c r="AK33" s="425"/>
      <c r="AL33" s="425"/>
      <c r="AM33" s="439"/>
      <c r="AN33" s="439"/>
      <c r="AO33" s="425"/>
      <c r="AP33" s="425"/>
      <c r="AQ33" s="425"/>
      <c r="AR33" s="425"/>
      <c r="AS33" s="425"/>
      <c r="AT33" s="439"/>
      <c r="AU33" s="439"/>
      <c r="AV33" s="425"/>
      <c r="AW33" s="425"/>
      <c r="AX33" s="425"/>
      <c r="AY33" s="425"/>
      <c r="AZ33" s="425"/>
      <c r="BA33" s="439"/>
      <c r="BB33" s="439"/>
      <c r="BC33" s="425"/>
      <c r="BD33" s="425"/>
      <c r="BE33" s="425"/>
      <c r="BF33" s="425"/>
      <c r="BG33" s="425"/>
      <c r="BH33" s="439"/>
      <c r="BI33" s="439"/>
      <c r="BJ33" s="425"/>
      <c r="BK33" s="425"/>
      <c r="BL33" s="425"/>
      <c r="BM33" s="425"/>
      <c r="BN33" s="425"/>
      <c r="BO33" s="439"/>
      <c r="BP33" s="439"/>
      <c r="BQ33" s="425"/>
      <c r="BR33" s="425"/>
      <c r="BS33" s="425"/>
      <c r="BT33" s="425"/>
      <c r="BU33" s="425"/>
      <c r="BV33" s="439"/>
      <c r="BW33" s="439"/>
      <c r="BX33" s="425"/>
      <c r="BY33" s="425"/>
      <c r="BZ33" s="425"/>
      <c r="CA33" s="425"/>
      <c r="CB33" s="425"/>
      <c r="CC33" s="439"/>
      <c r="CD33" s="439"/>
      <c r="CE33" s="425"/>
      <c r="CF33" s="425"/>
      <c r="CG33" s="425"/>
      <c r="CH33" s="425"/>
      <c r="CI33" s="425"/>
      <c r="CJ33" s="439"/>
      <c r="CK33" s="439"/>
      <c r="CL33" s="425"/>
      <c r="CM33" s="425"/>
      <c r="CN33" s="425"/>
      <c r="CO33" s="425"/>
      <c r="CP33" s="425"/>
      <c r="CQ33" s="439"/>
      <c r="CR33" s="439"/>
      <c r="CS33" s="425"/>
      <c r="CT33" s="425"/>
      <c r="CU33" s="425"/>
      <c r="CV33" s="425"/>
      <c r="CW33" s="425"/>
      <c r="CX33" s="439"/>
      <c r="CY33" s="439"/>
      <c r="CZ33" s="425"/>
      <c r="DA33" s="425"/>
      <c r="DB33" s="425"/>
      <c r="DC33" s="425"/>
      <c r="DD33" s="425"/>
      <c r="DE33" s="439"/>
      <c r="DF33" s="439"/>
      <c r="DG33" s="425"/>
      <c r="DH33" s="425"/>
      <c r="DI33" s="425"/>
      <c r="DJ33" s="425"/>
      <c r="DK33" s="425"/>
      <c r="DL33" s="439"/>
      <c r="DM33" s="439"/>
      <c r="DN33" s="425"/>
      <c r="DO33" s="425"/>
      <c r="DP33" s="425"/>
      <c r="DQ33" s="425"/>
      <c r="DR33" s="425"/>
      <c r="DS33" s="439"/>
      <c r="DT33" s="439"/>
      <c r="DU33" s="425"/>
      <c r="DV33" s="425"/>
      <c r="DW33" s="425"/>
      <c r="DX33" s="425"/>
      <c r="DY33" s="425"/>
      <c r="DZ33" s="439"/>
      <c r="EA33" s="439"/>
      <c r="EB33" s="425"/>
      <c r="EC33" s="425"/>
      <c r="ED33" s="425"/>
      <c r="EE33" s="425"/>
      <c r="EF33" s="425"/>
      <c r="EG33" s="439"/>
      <c r="EH33" s="439"/>
      <c r="EI33" s="425"/>
      <c r="EJ33" s="425"/>
      <c r="EK33" s="425"/>
      <c r="EL33" s="425"/>
      <c r="EM33" s="425"/>
      <c r="EN33" s="439"/>
      <c r="EO33" s="439"/>
      <c r="EP33" s="425"/>
      <c r="EQ33" s="425"/>
      <c r="ER33" s="425"/>
      <c r="ES33" s="425"/>
      <c r="ET33" s="425"/>
      <c r="EU33" s="439"/>
      <c r="EV33" s="439"/>
      <c r="EW33" s="425"/>
      <c r="EX33" s="425"/>
      <c r="EY33" s="425"/>
      <c r="EZ33" s="425"/>
      <c r="FA33" s="425"/>
      <c r="FB33" s="439"/>
      <c r="FC33" s="439"/>
      <c r="FD33" s="425"/>
      <c r="FE33" s="425"/>
      <c r="FF33" s="425"/>
      <c r="FG33" s="425"/>
      <c r="FH33" s="425"/>
      <c r="FI33" s="439"/>
      <c r="FJ33" s="439"/>
      <c r="FK33" s="425"/>
      <c r="FL33" s="425"/>
      <c r="FM33" s="425"/>
      <c r="FN33" s="425"/>
      <c r="FO33" s="425"/>
      <c r="FP33" s="439"/>
      <c r="FQ33" s="439"/>
      <c r="FR33" s="425"/>
      <c r="FS33" s="425"/>
      <c r="FT33" s="425"/>
      <c r="FU33" s="425"/>
      <c r="FV33" s="425"/>
      <c r="FW33" s="439"/>
      <c r="FX33" s="439"/>
      <c r="FY33" s="425"/>
      <c r="FZ33" s="425"/>
      <c r="GA33" s="425"/>
      <c r="GB33" s="425"/>
      <c r="GC33" s="425"/>
      <c r="GD33" s="439"/>
      <c r="GE33" s="439"/>
      <c r="GF33" s="425"/>
      <c r="GG33" s="425"/>
      <c r="GH33" s="425"/>
      <c r="GI33" s="425"/>
      <c r="GJ33" s="425"/>
      <c r="GK33" s="439"/>
      <c r="GL33" s="439"/>
      <c r="GM33" s="425"/>
      <c r="GN33" s="425"/>
      <c r="GO33" s="425"/>
      <c r="GP33" s="425"/>
      <c r="GQ33" s="425"/>
      <c r="GR33" s="439"/>
      <c r="GS33" s="439"/>
      <c r="GT33" s="425"/>
      <c r="GU33" s="425"/>
      <c r="GV33" s="425"/>
      <c r="GW33" s="425"/>
      <c r="GX33" s="425"/>
      <c r="GY33" s="439"/>
      <c r="GZ33" s="439"/>
      <c r="HA33" s="425"/>
      <c r="HB33" s="425"/>
      <c r="HC33" s="425"/>
      <c r="HD33" s="425"/>
      <c r="HE33" s="425"/>
      <c r="HF33" s="439"/>
      <c r="HG33" s="439"/>
      <c r="HH33" s="425"/>
      <c r="HI33" s="425"/>
      <c r="HJ33" s="425"/>
      <c r="HK33" s="425"/>
      <c r="HL33" s="425"/>
      <c r="HM33" s="439"/>
      <c r="HN33" s="439"/>
      <c r="HO33" s="425"/>
      <c r="HP33" s="425"/>
      <c r="HQ33" s="425"/>
      <c r="HR33" s="425"/>
      <c r="HS33" s="425"/>
      <c r="HT33" s="439"/>
      <c r="HU33" s="439"/>
      <c r="HV33" s="425"/>
      <c r="HW33" s="425"/>
      <c r="HX33" s="425"/>
      <c r="HY33" s="425"/>
      <c r="HZ33" s="425"/>
      <c r="IA33" s="439"/>
      <c r="IB33" s="439"/>
      <c r="IC33" s="425"/>
      <c r="ID33" s="425"/>
      <c r="IE33" s="425"/>
      <c r="IF33" s="425"/>
      <c r="IG33" s="425"/>
      <c r="IH33" s="439"/>
      <c r="II33" s="439"/>
      <c r="IJ33" s="425"/>
      <c r="IK33" s="425"/>
      <c r="IL33" s="425"/>
      <c r="IM33" s="425"/>
      <c r="IN33" s="425"/>
      <c r="IO33" s="439"/>
      <c r="IP33" s="439"/>
      <c r="IQ33" s="425"/>
      <c r="IR33" s="425"/>
      <c r="IS33" s="425"/>
      <c r="IT33" s="425"/>
      <c r="IU33" s="425"/>
      <c r="IV33" s="439"/>
      <c r="IW33" s="439"/>
      <c r="IX33" s="425"/>
      <c r="IY33" s="425"/>
      <c r="IZ33" s="425"/>
      <c r="JA33" s="425"/>
      <c r="JB33" s="425"/>
      <c r="JC33" s="439"/>
      <c r="JD33" s="439"/>
      <c r="JE33" s="425"/>
      <c r="JF33" s="425"/>
      <c r="JG33" s="425"/>
      <c r="JH33" s="425"/>
      <c r="JI33" s="425"/>
      <c r="JJ33" s="439"/>
      <c r="JK33" s="439"/>
      <c r="JL33" s="425"/>
      <c r="JM33" s="425"/>
      <c r="JN33" s="425"/>
      <c r="JO33" s="425"/>
      <c r="JP33" s="425"/>
      <c r="JQ33" s="439"/>
      <c r="JR33" s="439"/>
      <c r="JS33" s="425"/>
      <c r="JT33" s="425"/>
      <c r="JU33" s="425"/>
      <c r="JV33" s="425"/>
      <c r="JW33" s="425"/>
      <c r="JX33" s="439"/>
      <c r="JY33" s="439"/>
      <c r="JZ33" s="425"/>
      <c r="KA33" s="425"/>
      <c r="KB33" s="425"/>
      <c r="KC33" s="425"/>
      <c r="KD33" s="425"/>
      <c r="KE33" s="439"/>
      <c r="KF33" s="439"/>
      <c r="KG33" s="425"/>
      <c r="KH33" s="425"/>
      <c r="KI33" s="425"/>
      <c r="KJ33" s="425"/>
      <c r="KK33" s="425"/>
      <c r="KL33" s="439"/>
      <c r="KM33" s="439"/>
      <c r="KN33" s="425"/>
      <c r="KO33" s="425"/>
      <c r="KP33" s="425"/>
      <c r="KQ33" s="425"/>
      <c r="KR33" s="425"/>
      <c r="KS33" s="439"/>
      <c r="KT33" s="439"/>
      <c r="KU33" s="425"/>
      <c r="KV33" s="425"/>
      <c r="KW33" s="425"/>
      <c r="KX33" s="425"/>
      <c r="KY33" s="425"/>
      <c r="KZ33" s="439"/>
      <c r="LA33" s="439"/>
      <c r="LB33" s="425"/>
      <c r="LC33" s="425"/>
      <c r="LD33" s="425"/>
      <c r="LE33" s="425"/>
      <c r="LF33" s="425"/>
      <c r="LG33" s="439"/>
      <c r="LH33" s="439"/>
      <c r="LI33" s="425"/>
      <c r="LJ33" s="425"/>
      <c r="LK33" s="425"/>
      <c r="LL33" s="425"/>
      <c r="LM33" s="425"/>
      <c r="LN33" s="439"/>
      <c r="LO33" s="439"/>
      <c r="LP33" s="425"/>
      <c r="LQ33" s="425"/>
      <c r="LR33" s="425"/>
      <c r="LS33" s="425"/>
      <c r="LT33" s="425"/>
      <c r="LU33" s="439"/>
      <c r="LV33" s="439"/>
      <c r="LW33" s="425"/>
      <c r="LX33" s="425"/>
      <c r="LY33" s="425"/>
      <c r="LZ33" s="425"/>
      <c r="MA33" s="425"/>
      <c r="MB33" s="439"/>
      <c r="MC33" s="439"/>
      <c r="MD33" s="425"/>
      <c r="ME33" s="425"/>
      <c r="MF33" s="425"/>
      <c r="MG33" s="425"/>
      <c r="MH33" s="425"/>
      <c r="MI33" s="439"/>
      <c r="MJ33" s="439"/>
      <c r="MK33" s="425"/>
      <c r="ML33" s="425"/>
      <c r="MM33" s="425"/>
      <c r="MN33" s="425"/>
      <c r="MO33" s="425"/>
      <c r="MP33" s="439"/>
      <c r="MQ33" s="439"/>
      <c r="MR33" s="425"/>
      <c r="MS33" s="425"/>
      <c r="MT33" s="425"/>
      <c r="MU33" s="425"/>
      <c r="MV33" s="425"/>
      <c r="MW33" s="439"/>
      <c r="MX33" s="439"/>
      <c r="MY33" s="425"/>
      <c r="MZ33" s="425"/>
      <c r="NA33" s="425"/>
      <c r="NB33" s="425"/>
      <c r="NC33" s="425"/>
      <c r="ND33" s="439"/>
      <c r="NE33" s="439"/>
      <c r="NF33" s="425"/>
      <c r="NG33" s="425"/>
      <c r="NH33" s="425"/>
      <c r="NI33" s="425"/>
      <c r="NJ33" s="425"/>
      <c r="NK33" s="439"/>
      <c r="NL33" s="439"/>
      <c r="NM33" s="425"/>
      <c r="NN33" s="425"/>
      <c r="NO33" s="425"/>
      <c r="NP33" s="425"/>
      <c r="NQ33" s="425"/>
      <c r="NR33" s="439"/>
      <c r="NS33" s="439"/>
    </row>
    <row r="34" spans="2:383">
      <c r="B34" s="543" t="str">
        <f>MASTER!B70</f>
        <v>Project calculation reports
(FEM, lateral, torsional, …)</v>
      </c>
      <c r="C34" s="543"/>
      <c r="D34" s="424" t="s">
        <v>123</v>
      </c>
      <c r="E34" s="434">
        <f>IFERROR(MASTER!C70/REPORT!$H$36,0)</f>
        <v>0</v>
      </c>
      <c r="H34" s="434" t="str">
        <f>IF(E34&lt;&gt;0,I29+1,"")</f>
        <v/>
      </c>
      <c r="I34" s="434" t="str">
        <f>IF(E34&lt;&gt;0,ROUND(H34+E34-1,0),"")</f>
        <v/>
      </c>
      <c r="J34" s="468" t="str" cm="1">
        <f t="array" ref="J34">IF(GANTT_D!$E34&lt;&gt;0,INDEX($M$7:$NT$7,,MATCH(H34,$M$8:$NT$8,0)),"")</f>
        <v/>
      </c>
      <c r="K34" s="468" t="str" cm="1">
        <f t="array" ref="K34">IF(GANTT_D!$E34&lt;&gt;0,INDEX($M$7:$NT$7,,MATCH(I34,$M$8:$NT$8,0)),"")</f>
        <v/>
      </c>
      <c r="L34" s="424"/>
      <c r="M34" s="425"/>
      <c r="N34" s="425"/>
      <c r="O34" s="425"/>
      <c r="P34" s="425"/>
      <c r="Q34" s="425"/>
      <c r="R34" s="439"/>
      <c r="S34" s="439"/>
      <c r="T34" s="425"/>
      <c r="U34" s="425"/>
      <c r="V34" s="425"/>
      <c r="W34" s="425"/>
      <c r="X34" s="425"/>
      <c r="Y34" s="439"/>
      <c r="Z34" s="439"/>
      <c r="AA34" s="425"/>
      <c r="AB34" s="425"/>
      <c r="AC34" s="425"/>
      <c r="AD34" s="425"/>
      <c r="AE34" s="425"/>
      <c r="AF34" s="439"/>
      <c r="AG34" s="439"/>
      <c r="AH34" s="425"/>
      <c r="AI34" s="425"/>
      <c r="AJ34" s="425"/>
      <c r="AK34" s="425"/>
      <c r="AL34" s="425"/>
      <c r="AM34" s="439"/>
      <c r="AN34" s="439"/>
      <c r="AO34" s="425"/>
      <c r="AP34" s="425"/>
      <c r="AQ34" s="425"/>
      <c r="AR34" s="425"/>
      <c r="AS34" s="425"/>
      <c r="AT34" s="439"/>
      <c r="AU34" s="439"/>
      <c r="AV34" s="425"/>
      <c r="AW34" s="425"/>
      <c r="AX34" s="425"/>
      <c r="AY34" s="425"/>
      <c r="AZ34" s="425"/>
      <c r="BA34" s="439"/>
      <c r="BB34" s="439"/>
      <c r="BC34" s="425"/>
      <c r="BD34" s="425"/>
      <c r="BE34" s="425"/>
      <c r="BF34" s="425"/>
      <c r="BG34" s="425"/>
      <c r="BH34" s="439"/>
      <c r="BI34" s="439"/>
      <c r="BJ34" s="425"/>
      <c r="BK34" s="425"/>
      <c r="BL34" s="425"/>
      <c r="BM34" s="425"/>
      <c r="BN34" s="425"/>
      <c r="BO34" s="439"/>
      <c r="BP34" s="439"/>
      <c r="BQ34" s="425"/>
      <c r="BR34" s="425"/>
      <c r="BS34" s="425"/>
      <c r="BT34" s="425"/>
      <c r="BU34" s="425"/>
      <c r="BV34" s="439"/>
      <c r="BW34" s="439"/>
      <c r="BX34" s="425"/>
      <c r="BY34" s="425"/>
      <c r="BZ34" s="425"/>
      <c r="CA34" s="425"/>
      <c r="CB34" s="425"/>
      <c r="CC34" s="439"/>
      <c r="CD34" s="439"/>
      <c r="CE34" s="425"/>
      <c r="CF34" s="425"/>
      <c r="CG34" s="425"/>
      <c r="CH34" s="425"/>
      <c r="CI34" s="425"/>
      <c r="CJ34" s="439"/>
      <c r="CK34" s="439"/>
      <c r="CL34" s="425"/>
      <c r="CM34" s="425"/>
      <c r="CN34" s="425"/>
      <c r="CO34" s="425"/>
      <c r="CP34" s="425"/>
      <c r="CQ34" s="439"/>
      <c r="CR34" s="439"/>
      <c r="CS34" s="425"/>
      <c r="CT34" s="425"/>
      <c r="CU34" s="425"/>
      <c r="CV34" s="425"/>
      <c r="CW34" s="425"/>
      <c r="CX34" s="439"/>
      <c r="CY34" s="439"/>
      <c r="CZ34" s="425"/>
      <c r="DA34" s="425"/>
      <c r="DB34" s="425"/>
      <c r="DC34" s="425"/>
      <c r="DD34" s="425"/>
      <c r="DE34" s="439"/>
      <c r="DF34" s="439"/>
      <c r="DG34" s="425"/>
      <c r="DH34" s="425"/>
      <c r="DI34" s="425"/>
      <c r="DJ34" s="425"/>
      <c r="DK34" s="425"/>
      <c r="DL34" s="439"/>
      <c r="DM34" s="439"/>
      <c r="DN34" s="425"/>
      <c r="DO34" s="425"/>
      <c r="DP34" s="425"/>
      <c r="DQ34" s="425"/>
      <c r="DR34" s="425"/>
      <c r="DS34" s="439"/>
      <c r="DT34" s="439"/>
      <c r="DU34" s="425"/>
      <c r="DV34" s="425"/>
      <c r="DW34" s="425"/>
      <c r="DX34" s="425"/>
      <c r="DY34" s="425"/>
      <c r="DZ34" s="439"/>
      <c r="EA34" s="439"/>
      <c r="EB34" s="425"/>
      <c r="EC34" s="425"/>
      <c r="ED34" s="425"/>
      <c r="EE34" s="425"/>
      <c r="EF34" s="425"/>
      <c r="EG34" s="439"/>
      <c r="EH34" s="439"/>
      <c r="EI34" s="425"/>
      <c r="EJ34" s="425"/>
      <c r="EK34" s="425"/>
      <c r="EL34" s="425"/>
      <c r="EM34" s="425"/>
      <c r="EN34" s="439"/>
      <c r="EO34" s="439"/>
      <c r="EP34" s="425"/>
      <c r="EQ34" s="425"/>
      <c r="ER34" s="425"/>
      <c r="ES34" s="425"/>
      <c r="ET34" s="425"/>
      <c r="EU34" s="439"/>
      <c r="EV34" s="439"/>
      <c r="EW34" s="425"/>
      <c r="EX34" s="425"/>
      <c r="EY34" s="425"/>
      <c r="EZ34" s="425"/>
      <c r="FA34" s="425"/>
      <c r="FB34" s="439"/>
      <c r="FC34" s="439"/>
      <c r="FD34" s="425"/>
      <c r="FE34" s="425"/>
      <c r="FF34" s="425"/>
      <c r="FG34" s="425"/>
      <c r="FH34" s="425"/>
      <c r="FI34" s="439"/>
      <c r="FJ34" s="439"/>
      <c r="FK34" s="425"/>
      <c r="FL34" s="425"/>
      <c r="FM34" s="425"/>
      <c r="FN34" s="425"/>
      <c r="FO34" s="425"/>
      <c r="FP34" s="439"/>
      <c r="FQ34" s="439"/>
      <c r="FR34" s="425"/>
      <c r="FS34" s="425"/>
      <c r="FT34" s="425"/>
      <c r="FU34" s="425"/>
      <c r="FV34" s="425"/>
      <c r="FW34" s="439"/>
      <c r="FX34" s="439"/>
      <c r="FY34" s="425"/>
      <c r="FZ34" s="425"/>
      <c r="GA34" s="425"/>
      <c r="GB34" s="425"/>
      <c r="GC34" s="425"/>
      <c r="GD34" s="439"/>
      <c r="GE34" s="439"/>
      <c r="GF34" s="425"/>
      <c r="GG34" s="425"/>
      <c r="GH34" s="425"/>
      <c r="GI34" s="425"/>
      <c r="GJ34" s="425"/>
      <c r="GK34" s="439"/>
      <c r="GL34" s="439"/>
      <c r="GM34" s="425"/>
      <c r="GN34" s="425"/>
      <c r="GO34" s="425"/>
      <c r="GP34" s="425"/>
      <c r="GQ34" s="425"/>
      <c r="GR34" s="439"/>
      <c r="GS34" s="439"/>
      <c r="GT34" s="425"/>
      <c r="GU34" s="425"/>
      <c r="GV34" s="425"/>
      <c r="GW34" s="425"/>
      <c r="GX34" s="425"/>
      <c r="GY34" s="439"/>
      <c r="GZ34" s="439"/>
      <c r="HA34" s="425"/>
      <c r="HB34" s="425"/>
      <c r="HC34" s="425"/>
      <c r="HD34" s="425"/>
      <c r="HE34" s="425"/>
      <c r="HF34" s="439"/>
      <c r="HG34" s="439"/>
      <c r="HH34" s="425"/>
      <c r="HI34" s="425"/>
      <c r="HJ34" s="425"/>
      <c r="HK34" s="425"/>
      <c r="HL34" s="425"/>
      <c r="HM34" s="439"/>
      <c r="HN34" s="439"/>
      <c r="HO34" s="425"/>
      <c r="HP34" s="425"/>
      <c r="HQ34" s="425"/>
      <c r="HR34" s="425"/>
      <c r="HS34" s="425"/>
      <c r="HT34" s="439"/>
      <c r="HU34" s="439"/>
      <c r="HV34" s="425"/>
      <c r="HW34" s="425"/>
      <c r="HX34" s="425"/>
      <c r="HY34" s="425"/>
      <c r="HZ34" s="425"/>
      <c r="IA34" s="439"/>
      <c r="IB34" s="439"/>
      <c r="IC34" s="425"/>
      <c r="ID34" s="425"/>
      <c r="IE34" s="425"/>
      <c r="IF34" s="425"/>
      <c r="IG34" s="425"/>
      <c r="IH34" s="439"/>
      <c r="II34" s="439"/>
      <c r="IJ34" s="425"/>
      <c r="IK34" s="425"/>
      <c r="IL34" s="425"/>
      <c r="IM34" s="425"/>
      <c r="IN34" s="425"/>
      <c r="IO34" s="439"/>
      <c r="IP34" s="439"/>
      <c r="IQ34" s="425"/>
      <c r="IR34" s="425"/>
      <c r="IS34" s="425"/>
      <c r="IT34" s="425"/>
      <c r="IU34" s="425"/>
      <c r="IV34" s="439"/>
      <c r="IW34" s="439"/>
      <c r="IX34" s="425"/>
      <c r="IY34" s="425"/>
      <c r="IZ34" s="425"/>
      <c r="JA34" s="425"/>
      <c r="JB34" s="425"/>
      <c r="JC34" s="439"/>
      <c r="JD34" s="439"/>
      <c r="JE34" s="425"/>
      <c r="JF34" s="425"/>
      <c r="JG34" s="425"/>
      <c r="JH34" s="425"/>
      <c r="JI34" s="425"/>
      <c r="JJ34" s="439"/>
      <c r="JK34" s="439"/>
      <c r="JL34" s="425"/>
      <c r="JM34" s="425"/>
      <c r="JN34" s="425"/>
      <c r="JO34" s="425"/>
      <c r="JP34" s="425"/>
      <c r="JQ34" s="439"/>
      <c r="JR34" s="439"/>
      <c r="JS34" s="425"/>
      <c r="JT34" s="425"/>
      <c r="JU34" s="425"/>
      <c r="JV34" s="425"/>
      <c r="JW34" s="425"/>
      <c r="JX34" s="439"/>
      <c r="JY34" s="439"/>
      <c r="JZ34" s="425"/>
      <c r="KA34" s="425"/>
      <c r="KB34" s="425"/>
      <c r="KC34" s="425"/>
      <c r="KD34" s="425"/>
      <c r="KE34" s="439"/>
      <c r="KF34" s="439"/>
      <c r="KG34" s="425"/>
      <c r="KH34" s="425"/>
      <c r="KI34" s="425"/>
      <c r="KJ34" s="425"/>
      <c r="KK34" s="425"/>
      <c r="KL34" s="439"/>
      <c r="KM34" s="439"/>
      <c r="KN34" s="425"/>
      <c r="KO34" s="425"/>
      <c r="KP34" s="425"/>
      <c r="KQ34" s="425"/>
      <c r="KR34" s="425"/>
      <c r="KS34" s="439"/>
      <c r="KT34" s="439"/>
      <c r="KU34" s="425"/>
      <c r="KV34" s="425"/>
      <c r="KW34" s="425"/>
      <c r="KX34" s="425"/>
      <c r="KY34" s="425"/>
      <c r="KZ34" s="439"/>
      <c r="LA34" s="439"/>
      <c r="LB34" s="425"/>
      <c r="LC34" s="425"/>
      <c r="LD34" s="425"/>
      <c r="LE34" s="425"/>
      <c r="LF34" s="425"/>
      <c r="LG34" s="439"/>
      <c r="LH34" s="439"/>
      <c r="LI34" s="425"/>
      <c r="LJ34" s="425"/>
      <c r="LK34" s="425"/>
      <c r="LL34" s="425"/>
      <c r="LM34" s="425"/>
      <c r="LN34" s="439"/>
      <c r="LO34" s="439"/>
      <c r="LP34" s="425"/>
      <c r="LQ34" s="425"/>
      <c r="LR34" s="425"/>
      <c r="LS34" s="425"/>
      <c r="LT34" s="425"/>
      <c r="LU34" s="439"/>
      <c r="LV34" s="439"/>
      <c r="LW34" s="425"/>
      <c r="LX34" s="425"/>
      <c r="LY34" s="425"/>
      <c r="LZ34" s="425"/>
      <c r="MA34" s="425"/>
      <c r="MB34" s="439"/>
      <c r="MC34" s="439"/>
      <c r="MD34" s="425"/>
      <c r="ME34" s="425"/>
      <c r="MF34" s="425"/>
      <c r="MG34" s="425"/>
      <c r="MH34" s="425"/>
      <c r="MI34" s="439"/>
      <c r="MJ34" s="439"/>
      <c r="MK34" s="425"/>
      <c r="ML34" s="425"/>
      <c r="MM34" s="425"/>
      <c r="MN34" s="425"/>
      <c r="MO34" s="425"/>
      <c r="MP34" s="439"/>
      <c r="MQ34" s="439"/>
      <c r="MR34" s="425"/>
      <c r="MS34" s="425"/>
      <c r="MT34" s="425"/>
      <c r="MU34" s="425"/>
      <c r="MV34" s="425"/>
      <c r="MW34" s="439"/>
      <c r="MX34" s="439"/>
      <c r="MY34" s="425"/>
      <c r="MZ34" s="425"/>
      <c r="NA34" s="425"/>
      <c r="NB34" s="425"/>
      <c r="NC34" s="425"/>
      <c r="ND34" s="439"/>
      <c r="NE34" s="439"/>
      <c r="NF34" s="425"/>
      <c r="NG34" s="425"/>
      <c r="NH34" s="425"/>
      <c r="NI34" s="425"/>
      <c r="NJ34" s="425"/>
      <c r="NK34" s="439"/>
      <c r="NL34" s="439"/>
      <c r="NM34" s="425"/>
      <c r="NN34" s="425"/>
      <c r="NO34" s="425"/>
      <c r="NP34" s="425"/>
      <c r="NQ34" s="425"/>
      <c r="NR34" s="439"/>
      <c r="NS34" s="439"/>
    </row>
    <row r="35" spans="2:383">
      <c r="B35" s="544" t="str">
        <f>MASTER!B71</f>
        <v>Check List</v>
      </c>
      <c r="C35" s="544"/>
      <c r="D35" s="473" t="s">
        <v>122</v>
      </c>
      <c r="E35" s="465">
        <f>MASTER!C71/REPORT!$H$36</f>
        <v>1.1428571428571428</v>
      </c>
      <c r="H35" s="434">
        <f>IF(E35&lt;&gt;0,I33+1,"")</f>
        <v>51</v>
      </c>
      <c r="I35" s="434">
        <f>IF(E35&lt;&gt;0,ROUND(H35+E35-1,0),"")</f>
        <v>51</v>
      </c>
      <c r="J35" s="468" cm="1">
        <f t="array" ref="J35">IF(GANTT_D!$E35&lt;&gt;0,INDEX($M$7:$NT$7,,MATCH(H35,$M$8:$NT$8,0)),"")</f>
        <v>11</v>
      </c>
      <c r="K35" s="468" cm="1">
        <f t="array" ref="K35">IF(GANTT_D!$E35&lt;&gt;0,INDEX($M$7:$NT$7,,MATCH(I35,$M$8:$NT$8,0)),"")</f>
        <v>11</v>
      </c>
      <c r="L35" s="424"/>
      <c r="M35" s="425"/>
      <c r="N35" s="425"/>
      <c r="O35" s="425"/>
      <c r="P35" s="425"/>
      <c r="Q35" s="425"/>
      <c r="R35" s="439"/>
      <c r="S35" s="439"/>
      <c r="T35" s="425"/>
      <c r="U35" s="425"/>
      <c r="V35" s="425"/>
      <c r="W35" s="425"/>
      <c r="X35" s="425"/>
      <c r="Y35" s="439"/>
      <c r="Z35" s="439"/>
      <c r="AA35" s="425"/>
      <c r="AB35" s="425"/>
      <c r="AC35" s="425"/>
      <c r="AD35" s="425"/>
      <c r="AE35" s="425"/>
      <c r="AF35" s="439"/>
      <c r="AG35" s="439"/>
      <c r="AH35" s="425"/>
      <c r="AI35" s="425"/>
      <c r="AJ35" s="425"/>
      <c r="AK35" s="425"/>
      <c r="AL35" s="425"/>
      <c r="AM35" s="439"/>
      <c r="AN35" s="439"/>
      <c r="AO35" s="425"/>
      <c r="AP35" s="425"/>
      <c r="AQ35" s="425"/>
      <c r="AR35" s="425"/>
      <c r="AS35" s="425"/>
      <c r="AT35" s="439"/>
      <c r="AU35" s="439"/>
      <c r="AV35" s="425"/>
      <c r="AW35" s="425"/>
      <c r="AX35" s="425"/>
      <c r="AY35" s="425"/>
      <c r="AZ35" s="425"/>
      <c r="BA35" s="439"/>
      <c r="BB35" s="439"/>
      <c r="BC35" s="425"/>
      <c r="BD35" s="425"/>
      <c r="BE35" s="425"/>
      <c r="BF35" s="425"/>
      <c r="BG35" s="425"/>
      <c r="BH35" s="439"/>
      <c r="BI35" s="439"/>
      <c r="BJ35" s="425"/>
      <c r="BK35" s="425"/>
      <c r="BL35" s="425"/>
      <c r="BM35" s="425"/>
      <c r="BN35" s="425"/>
      <c r="BO35" s="439"/>
      <c r="BP35" s="439"/>
      <c r="BQ35" s="425"/>
      <c r="BR35" s="425"/>
      <c r="BS35" s="425"/>
      <c r="BT35" s="425"/>
      <c r="BU35" s="425"/>
      <c r="BV35" s="439"/>
      <c r="BW35" s="439"/>
      <c r="BX35" s="425"/>
      <c r="BY35" s="425"/>
      <c r="BZ35" s="425"/>
      <c r="CA35" s="425"/>
      <c r="CB35" s="425"/>
      <c r="CC35" s="439"/>
      <c r="CD35" s="439"/>
      <c r="CE35" s="425"/>
      <c r="CF35" s="425"/>
      <c r="CG35" s="425"/>
      <c r="CH35" s="425"/>
      <c r="CI35" s="425"/>
      <c r="CJ35" s="439"/>
      <c r="CK35" s="439"/>
      <c r="CL35" s="425"/>
      <c r="CM35" s="425"/>
      <c r="CN35" s="425"/>
      <c r="CO35" s="425"/>
      <c r="CP35" s="425"/>
      <c r="CQ35" s="439"/>
      <c r="CR35" s="439"/>
      <c r="CS35" s="425"/>
      <c r="CT35" s="425"/>
      <c r="CU35" s="425"/>
      <c r="CV35" s="425"/>
      <c r="CW35" s="425"/>
      <c r="CX35" s="439"/>
      <c r="CY35" s="439"/>
      <c r="CZ35" s="425"/>
      <c r="DA35" s="425"/>
      <c r="DB35" s="425"/>
      <c r="DC35" s="425"/>
      <c r="DD35" s="425"/>
      <c r="DE35" s="439"/>
      <c r="DF35" s="439"/>
      <c r="DG35" s="425"/>
      <c r="DH35" s="425"/>
      <c r="DI35" s="425"/>
      <c r="DJ35" s="425"/>
      <c r="DK35" s="425"/>
      <c r="DL35" s="439"/>
      <c r="DM35" s="439"/>
      <c r="DN35" s="425"/>
      <c r="DO35" s="425"/>
      <c r="DP35" s="425"/>
      <c r="DQ35" s="425"/>
      <c r="DR35" s="425"/>
      <c r="DS35" s="439"/>
      <c r="DT35" s="439"/>
      <c r="DU35" s="425"/>
      <c r="DV35" s="425"/>
      <c r="DW35" s="425"/>
      <c r="DX35" s="425"/>
      <c r="DY35" s="425"/>
      <c r="DZ35" s="439"/>
      <c r="EA35" s="439"/>
      <c r="EB35" s="425"/>
      <c r="EC35" s="425"/>
      <c r="ED35" s="425"/>
      <c r="EE35" s="425"/>
      <c r="EF35" s="425"/>
      <c r="EG35" s="439"/>
      <c r="EH35" s="439"/>
      <c r="EI35" s="425"/>
      <c r="EJ35" s="425"/>
      <c r="EK35" s="425"/>
      <c r="EL35" s="425"/>
      <c r="EM35" s="425"/>
      <c r="EN35" s="439"/>
      <c r="EO35" s="439"/>
      <c r="EP35" s="425"/>
      <c r="EQ35" s="425"/>
      <c r="ER35" s="425"/>
      <c r="ES35" s="425"/>
      <c r="ET35" s="425"/>
      <c r="EU35" s="439"/>
      <c r="EV35" s="439"/>
      <c r="EW35" s="425"/>
      <c r="EX35" s="425"/>
      <c r="EY35" s="425"/>
      <c r="EZ35" s="425"/>
      <c r="FA35" s="425"/>
      <c r="FB35" s="439"/>
      <c r="FC35" s="439"/>
      <c r="FD35" s="425"/>
      <c r="FE35" s="425"/>
      <c r="FF35" s="425"/>
      <c r="FG35" s="425"/>
      <c r="FH35" s="425"/>
      <c r="FI35" s="439"/>
      <c r="FJ35" s="439"/>
      <c r="FK35" s="425"/>
      <c r="FL35" s="425"/>
      <c r="FM35" s="425"/>
      <c r="FN35" s="425"/>
      <c r="FO35" s="425"/>
      <c r="FP35" s="439"/>
      <c r="FQ35" s="439"/>
      <c r="FR35" s="425"/>
      <c r="FS35" s="425"/>
      <c r="FT35" s="425"/>
      <c r="FU35" s="425"/>
      <c r="FV35" s="425"/>
      <c r="FW35" s="439"/>
      <c r="FX35" s="439"/>
      <c r="FY35" s="425"/>
      <c r="FZ35" s="425"/>
      <c r="GA35" s="425"/>
      <c r="GB35" s="425"/>
      <c r="GC35" s="425"/>
      <c r="GD35" s="439"/>
      <c r="GE35" s="439"/>
      <c r="GF35" s="425"/>
      <c r="GG35" s="425"/>
      <c r="GH35" s="425"/>
      <c r="GI35" s="425"/>
      <c r="GJ35" s="425"/>
      <c r="GK35" s="439"/>
      <c r="GL35" s="439"/>
      <c r="GM35" s="425"/>
      <c r="GN35" s="425"/>
      <c r="GO35" s="425"/>
      <c r="GP35" s="425"/>
      <c r="GQ35" s="425"/>
      <c r="GR35" s="439"/>
      <c r="GS35" s="439"/>
      <c r="GT35" s="425"/>
      <c r="GU35" s="425"/>
      <c r="GV35" s="425"/>
      <c r="GW35" s="425"/>
      <c r="GX35" s="425"/>
      <c r="GY35" s="439"/>
      <c r="GZ35" s="439"/>
      <c r="HA35" s="425"/>
      <c r="HB35" s="425"/>
      <c r="HC35" s="425"/>
      <c r="HD35" s="425"/>
      <c r="HE35" s="425"/>
      <c r="HF35" s="439"/>
      <c r="HG35" s="439"/>
      <c r="HH35" s="425"/>
      <c r="HI35" s="425"/>
      <c r="HJ35" s="425"/>
      <c r="HK35" s="425"/>
      <c r="HL35" s="425"/>
      <c r="HM35" s="439"/>
      <c r="HN35" s="439"/>
      <c r="HO35" s="425"/>
      <c r="HP35" s="425"/>
      <c r="HQ35" s="425"/>
      <c r="HR35" s="425"/>
      <c r="HS35" s="425"/>
      <c r="HT35" s="439"/>
      <c r="HU35" s="439"/>
      <c r="HV35" s="425"/>
      <c r="HW35" s="425"/>
      <c r="HX35" s="425"/>
      <c r="HY35" s="425"/>
      <c r="HZ35" s="425"/>
      <c r="IA35" s="439"/>
      <c r="IB35" s="439"/>
      <c r="IC35" s="425"/>
      <c r="ID35" s="425"/>
      <c r="IE35" s="425"/>
      <c r="IF35" s="425"/>
      <c r="IG35" s="425"/>
      <c r="IH35" s="439"/>
      <c r="II35" s="439"/>
      <c r="IJ35" s="425"/>
      <c r="IK35" s="425"/>
      <c r="IL35" s="425"/>
      <c r="IM35" s="425"/>
      <c r="IN35" s="425"/>
      <c r="IO35" s="439"/>
      <c r="IP35" s="439"/>
      <c r="IQ35" s="425"/>
      <c r="IR35" s="425"/>
      <c r="IS35" s="425"/>
      <c r="IT35" s="425"/>
      <c r="IU35" s="425"/>
      <c r="IV35" s="439"/>
      <c r="IW35" s="439"/>
      <c r="IX35" s="425"/>
      <c r="IY35" s="425"/>
      <c r="IZ35" s="425"/>
      <c r="JA35" s="425"/>
      <c r="JB35" s="425"/>
      <c r="JC35" s="439"/>
      <c r="JD35" s="439"/>
      <c r="JE35" s="425"/>
      <c r="JF35" s="425"/>
      <c r="JG35" s="425"/>
      <c r="JH35" s="425"/>
      <c r="JI35" s="425"/>
      <c r="JJ35" s="439"/>
      <c r="JK35" s="439"/>
      <c r="JL35" s="425"/>
      <c r="JM35" s="425"/>
      <c r="JN35" s="425"/>
      <c r="JO35" s="425"/>
      <c r="JP35" s="425"/>
      <c r="JQ35" s="439"/>
      <c r="JR35" s="439"/>
      <c r="JS35" s="425"/>
      <c r="JT35" s="425"/>
      <c r="JU35" s="425"/>
      <c r="JV35" s="425"/>
      <c r="JW35" s="425"/>
      <c r="JX35" s="439"/>
      <c r="JY35" s="439"/>
      <c r="JZ35" s="425"/>
      <c r="KA35" s="425"/>
      <c r="KB35" s="425"/>
      <c r="KC35" s="425"/>
      <c r="KD35" s="425"/>
      <c r="KE35" s="439"/>
      <c r="KF35" s="439"/>
      <c r="KG35" s="425"/>
      <c r="KH35" s="425"/>
      <c r="KI35" s="425"/>
      <c r="KJ35" s="425"/>
      <c r="KK35" s="425"/>
      <c r="KL35" s="439"/>
      <c r="KM35" s="439"/>
      <c r="KN35" s="425"/>
      <c r="KO35" s="425"/>
      <c r="KP35" s="425"/>
      <c r="KQ35" s="425"/>
      <c r="KR35" s="425"/>
      <c r="KS35" s="439"/>
      <c r="KT35" s="439"/>
      <c r="KU35" s="425"/>
      <c r="KV35" s="425"/>
      <c r="KW35" s="425"/>
      <c r="KX35" s="425"/>
      <c r="KY35" s="425"/>
      <c r="KZ35" s="439"/>
      <c r="LA35" s="439"/>
      <c r="LB35" s="425"/>
      <c r="LC35" s="425"/>
      <c r="LD35" s="425"/>
      <c r="LE35" s="425"/>
      <c r="LF35" s="425"/>
      <c r="LG35" s="439"/>
      <c r="LH35" s="439"/>
      <c r="LI35" s="425"/>
      <c r="LJ35" s="425"/>
      <c r="LK35" s="425"/>
      <c r="LL35" s="425"/>
      <c r="LM35" s="425"/>
      <c r="LN35" s="439"/>
      <c r="LO35" s="439"/>
      <c r="LP35" s="425"/>
      <c r="LQ35" s="425"/>
      <c r="LR35" s="425"/>
      <c r="LS35" s="425"/>
      <c r="LT35" s="425"/>
      <c r="LU35" s="439"/>
      <c r="LV35" s="439"/>
      <c r="LW35" s="425"/>
      <c r="LX35" s="425"/>
      <c r="LY35" s="425"/>
      <c r="LZ35" s="425"/>
      <c r="MA35" s="425"/>
      <c r="MB35" s="439"/>
      <c r="MC35" s="439"/>
      <c r="MD35" s="425"/>
      <c r="ME35" s="425"/>
      <c r="MF35" s="425"/>
      <c r="MG35" s="425"/>
      <c r="MH35" s="425"/>
      <c r="MI35" s="439"/>
      <c r="MJ35" s="439"/>
      <c r="MK35" s="425"/>
      <c r="ML35" s="425"/>
      <c r="MM35" s="425"/>
      <c r="MN35" s="425"/>
      <c r="MO35" s="425"/>
      <c r="MP35" s="439"/>
      <c r="MQ35" s="439"/>
      <c r="MR35" s="425"/>
      <c r="MS35" s="425"/>
      <c r="MT35" s="425"/>
      <c r="MU35" s="425"/>
      <c r="MV35" s="425"/>
      <c r="MW35" s="439"/>
      <c r="MX35" s="439"/>
      <c r="MY35" s="425"/>
      <c r="MZ35" s="425"/>
      <c r="NA35" s="425"/>
      <c r="NB35" s="425"/>
      <c r="NC35" s="425"/>
      <c r="ND35" s="439"/>
      <c r="NE35" s="439"/>
      <c r="NF35" s="425"/>
      <c r="NG35" s="425"/>
      <c r="NH35" s="425"/>
      <c r="NI35" s="425"/>
      <c r="NJ35" s="425"/>
      <c r="NK35" s="439"/>
      <c r="NL35" s="439"/>
      <c r="NM35" s="425"/>
      <c r="NN35" s="425"/>
      <c r="NO35" s="425"/>
      <c r="NP35" s="425"/>
      <c r="NQ35" s="425"/>
      <c r="NR35" s="439"/>
      <c r="NS35" s="439"/>
    </row>
    <row r="36" spans="2:383" ht="5.25" customHeight="1">
      <c r="B36" s="426"/>
      <c r="C36" s="426"/>
      <c r="D36" s="424"/>
      <c r="E36" s="424"/>
      <c r="F36" s="424"/>
      <c r="G36" s="424"/>
      <c r="H36" s="424"/>
      <c r="I36" s="424"/>
      <c r="J36" s="424"/>
      <c r="K36" s="424"/>
      <c r="L36" s="424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</row>
    <row r="37" spans="2:383">
      <c r="D37" s="165" t="s">
        <v>378</v>
      </c>
      <c r="E37" s="437">
        <f>SUM(E12:E19)+SUM(E21:E29)+SUM(E31:E35)</f>
        <v>89.571428571428584</v>
      </c>
    </row>
    <row r="38" spans="2:383">
      <c r="D38" s="165" t="s">
        <v>376</v>
      </c>
      <c r="E38" s="441">
        <f>MAX(I11:I35)</f>
        <v>51</v>
      </c>
    </row>
    <row r="39" spans="2:383">
      <c r="D39" s="165" t="s">
        <v>375</v>
      </c>
      <c r="E39" s="437" cm="1">
        <f t="array" ref="E39">IFERROR(INDEX(M10:IX10,,MATCH(E38,M8:IX8)),0)</f>
        <v>71</v>
      </c>
    </row>
    <row r="40" spans="2:383">
      <c r="D40" s="165" t="s">
        <v>377</v>
      </c>
      <c r="E40" s="438">
        <f>ROUNDUP(E39/7,0)</f>
        <v>11</v>
      </c>
    </row>
    <row r="43" spans="2:383">
      <c r="F43" s="440"/>
      <c r="G43" s="440"/>
    </row>
  </sheetData>
  <mergeCells count="76">
    <mergeCell ref="IC6:II6"/>
    <mergeCell ref="IJ6:IP6"/>
    <mergeCell ref="IQ6:IW6"/>
    <mergeCell ref="BX6:CD6"/>
    <mergeCell ref="AG2:AJ2"/>
    <mergeCell ref="AV6:BB6"/>
    <mergeCell ref="BC6:BI6"/>
    <mergeCell ref="BJ6:BP6"/>
    <mergeCell ref="BQ6:BW6"/>
    <mergeCell ref="FD6:FJ6"/>
    <mergeCell ref="CE6:CK6"/>
    <mergeCell ref="CL6:CR6"/>
    <mergeCell ref="CS6:CY6"/>
    <mergeCell ref="CZ6:DF6"/>
    <mergeCell ref="DG6:DM6"/>
    <mergeCell ref="DN6:DT6"/>
    <mergeCell ref="M6:S6"/>
    <mergeCell ref="T6:Z6"/>
    <mergeCell ref="AA6:AG6"/>
    <mergeCell ref="AH6:AN6"/>
    <mergeCell ref="AO6:AU6"/>
    <mergeCell ref="DU6:EA6"/>
    <mergeCell ref="EB6:EH6"/>
    <mergeCell ref="EI6:EO6"/>
    <mergeCell ref="EP6:EV6"/>
    <mergeCell ref="EW6:FC6"/>
    <mergeCell ref="HA6:HG6"/>
    <mergeCell ref="HH6:HN6"/>
    <mergeCell ref="HO6:HU6"/>
    <mergeCell ref="HV6:IB6"/>
    <mergeCell ref="FK6:FQ6"/>
    <mergeCell ref="FR6:FX6"/>
    <mergeCell ref="FY6:GE6"/>
    <mergeCell ref="GF6:GL6"/>
    <mergeCell ref="GM6:GS6"/>
    <mergeCell ref="GT6:GZ6"/>
    <mergeCell ref="IX6:JD6"/>
    <mergeCell ref="JE6:JK6"/>
    <mergeCell ref="JL6:JR6"/>
    <mergeCell ref="JS6:JY6"/>
    <mergeCell ref="JZ6:KF6"/>
    <mergeCell ref="KG6:KM6"/>
    <mergeCell ref="KN6:KT6"/>
    <mergeCell ref="KU6:LA6"/>
    <mergeCell ref="LB6:LH6"/>
    <mergeCell ref="LI6:LO6"/>
    <mergeCell ref="MY6:NE6"/>
    <mergeCell ref="NF6:NL6"/>
    <mergeCell ref="NM6:NS6"/>
    <mergeCell ref="LP6:LV6"/>
    <mergeCell ref="LW6:MC6"/>
    <mergeCell ref="MD6:MJ6"/>
    <mergeCell ref="MK6:MQ6"/>
    <mergeCell ref="MR6:MX6"/>
    <mergeCell ref="B34:C34"/>
    <mergeCell ref="B35:C35"/>
    <mergeCell ref="B26:C26"/>
    <mergeCell ref="B27:C27"/>
    <mergeCell ref="B28:C28"/>
    <mergeCell ref="B29:C29"/>
    <mergeCell ref="B33:C33"/>
    <mergeCell ref="B31:C31"/>
    <mergeCell ref="B32:C32"/>
    <mergeCell ref="B22:C22"/>
    <mergeCell ref="B24:C24"/>
    <mergeCell ref="B25:C25"/>
    <mergeCell ref="B23:C23"/>
    <mergeCell ref="B12:C12"/>
    <mergeCell ref="B13:C13"/>
    <mergeCell ref="B14:C14"/>
    <mergeCell ref="B21:C21"/>
    <mergeCell ref="B15:C15"/>
    <mergeCell ref="B16:C16"/>
    <mergeCell ref="B17:C17"/>
    <mergeCell ref="B18:C18"/>
    <mergeCell ref="B19:C19"/>
  </mergeCells>
  <conditionalFormatting sqref="T11:X35 AA11:AE35 AH11:AL35 AO11:AS35 AV11:AZ35 BC11:BG35 BJ11:BN35 BQ11:BU35 BX11:CB35 CE11:CI35 CL11:CP35 CS11:CW35 CZ11:DD35 DG11:DK35 DN11:DR35 DU11:DY35 EB11:EF35 EI11:EM35 EP11:ET35 EW11:FA35 FD11:FH35 FK11:FO35 FR11:FV35 FY11:GC35 GF11:GJ35 GM11:GQ35 GT11:GX35 HA11:HE35 HH11:HL35 HO11:HS35 HV11:HZ35 IC11:IG35 IJ11:IN35 IQ11:IU35 IX11:JB35 JE11:JI35 JL11:JP35 JS11:JW35 JZ11:KD35 KG11:KK35 KN11:KR35 KU11:KY35 LB11:LF35 LI11:LM35 LP11:LT35 LW11:MA35 MD11:MH35 MK11:MO35 MR11:MV35 MY11:NC35 NF11:NJ35 NM11:NQ35 M11:Q35">
    <cfRule type="expression" dxfId="6" priority="213" stopIfTrue="1">
      <formula>AND($D11=$D$3,M$8&gt;=$H11,M$8&lt;=$I11)</formula>
    </cfRule>
    <cfRule type="expression" dxfId="5" priority="214" stopIfTrue="1">
      <formula>AND($D11=$D$5,M$8&gt;=$H11,M$8&lt;=$I11)</formula>
    </cfRule>
    <cfRule type="expression" dxfId="4" priority="215" stopIfTrue="1">
      <formula>AND($D11=$D$2,M$8&gt;=$H11,M$8&lt;=$I11)</formula>
    </cfRule>
    <cfRule type="expression" dxfId="3" priority="216" stopIfTrue="1">
      <formula>AND($D11=$D$4,M$8&gt;=$H11,M$8&lt;=$I11)</formula>
    </cfRule>
  </conditionalFormatting>
  <conditionalFormatting sqref="M10:NS35">
    <cfRule type="expression" dxfId="2" priority="2">
      <formula>M$9&gt;$E$40+2</formula>
    </cfRule>
  </conditionalFormatting>
  <conditionalFormatting sqref="M6:NS6">
    <cfRule type="expression" dxfId="1" priority="1">
      <formula>M$6&gt;$E$40+2</formula>
    </cfRule>
  </conditionalFormatting>
  <dataValidations disablePrompts="1" count="3">
    <dataValidation type="list" allowBlank="1" showInputMessage="1" showErrorMessage="1" sqref="D11" xr:uid="{163C53F9-BA99-43C0-BF78-4AE68B9FB525}">
      <formula1>"Goal,Milestone,On Track, Low Risk, Med Risk, High Risk"</formula1>
    </dataValidation>
    <dataValidation type="whole" operator="greaterThanOrEqual" allowBlank="1" showInputMessage="1" promptTitle="Scrolling Increment" prompt="Changing this number will scroll the Gantt Chart view." sqref="R2" xr:uid="{C61013B1-72EC-4FD6-A951-EE71BB78EA60}">
      <formula1>0</formula1>
    </dataValidation>
    <dataValidation type="list" allowBlank="1" showInputMessage="1" showErrorMessage="1" sqref="D12:D35" xr:uid="{2665A2AC-41E3-4F0C-BC1A-ECAA41A614C3}">
      <formula1>$D$2:$D$5</formula1>
    </dataValidation>
  </dataValidations>
  <pageMargins left="0.7" right="0.7" top="0.75" bottom="0.75" header="0.3" footer="0.3"/>
  <ignoredErrors>
    <ignoredError sqref="I11:K11 I20:K20 I30:K30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B9B56-A020-426C-B508-9F32C9705F9D}">
  <sheetPr codeName="Foglio4">
    <tabColor theme="8" tint="0.59999389629810485"/>
  </sheetPr>
  <dimension ref="A1:O50"/>
  <sheetViews>
    <sheetView zoomScale="66" zoomScaleNormal="66" workbookViewId="0">
      <selection activeCell="S30" sqref="S30"/>
    </sheetView>
  </sheetViews>
  <sheetFormatPr defaultRowHeight="15"/>
  <cols>
    <col min="13" max="13" width="22.7109375" customWidth="1"/>
    <col min="14" max="14" width="36.42578125" customWidth="1"/>
    <col min="15" max="15" width="59.140625" customWidth="1"/>
  </cols>
  <sheetData>
    <row r="1" spans="1:15">
      <c r="A1" s="487"/>
      <c r="B1" s="487"/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</row>
    <row r="2" spans="1:15">
      <c r="A2" s="487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</row>
    <row r="3" spans="1:15">
      <c r="A3" s="487"/>
      <c r="B3" s="487"/>
      <c r="C3" s="487"/>
      <c r="D3" s="487"/>
      <c r="E3" s="487"/>
      <c r="F3" s="487"/>
      <c r="G3" s="487"/>
      <c r="H3" s="487"/>
      <c r="I3" s="487"/>
      <c r="J3" s="487"/>
      <c r="K3" s="487"/>
      <c r="L3" s="487"/>
      <c r="M3" s="487"/>
      <c r="N3" s="487"/>
      <c r="O3" s="487"/>
    </row>
    <row r="4" spans="1:15">
      <c r="A4" s="487"/>
      <c r="B4" s="487"/>
      <c r="C4" s="487"/>
      <c r="D4" s="487"/>
      <c r="E4" s="487"/>
      <c r="F4" s="487"/>
      <c r="G4" s="487"/>
      <c r="H4" s="487"/>
      <c r="I4" s="487"/>
      <c r="J4" s="487"/>
      <c r="K4" s="487"/>
      <c r="L4" s="487"/>
      <c r="M4" s="487"/>
      <c r="N4" s="487"/>
      <c r="O4" s="487"/>
    </row>
    <row r="5" spans="1:15">
      <c r="A5" s="487"/>
      <c r="B5" s="487"/>
      <c r="C5" s="487"/>
      <c r="D5" s="487"/>
      <c r="E5" s="487"/>
      <c r="F5" s="487"/>
      <c r="G5" s="487"/>
      <c r="H5" s="487"/>
      <c r="I5" s="487"/>
      <c r="J5" s="487"/>
      <c r="K5" s="487"/>
      <c r="L5" s="487"/>
      <c r="M5" s="488" t="s">
        <v>296</v>
      </c>
      <c r="N5" s="391" t="s">
        <v>407</v>
      </c>
      <c r="O5" s="487"/>
    </row>
    <row r="6" spans="1:15">
      <c r="A6" s="487"/>
      <c r="B6" s="487"/>
      <c r="C6" s="487"/>
      <c r="D6" s="487"/>
      <c r="E6" s="487"/>
      <c r="F6" s="487"/>
      <c r="G6" s="487"/>
      <c r="H6" s="487"/>
      <c r="I6" s="487"/>
      <c r="J6" s="487"/>
      <c r="K6" s="487"/>
      <c r="L6" s="487"/>
      <c r="M6" s="489" t="s">
        <v>297</v>
      </c>
      <c r="N6" s="401" t="s">
        <v>298</v>
      </c>
      <c r="O6" s="490" t="s">
        <v>369</v>
      </c>
    </row>
    <row r="7" spans="1:15" ht="18">
      <c r="A7" s="487"/>
      <c r="B7" s="487"/>
      <c r="C7" s="487"/>
      <c r="D7" s="487"/>
      <c r="E7" s="487"/>
      <c r="F7" s="487"/>
      <c r="G7" s="487"/>
      <c r="H7" s="487"/>
      <c r="I7" s="487"/>
      <c r="J7" s="487"/>
      <c r="K7" s="487"/>
      <c r="L7" s="487"/>
      <c r="M7" s="488" t="s">
        <v>299</v>
      </c>
      <c r="N7" s="392" t="s">
        <v>298</v>
      </c>
      <c r="O7" s="487"/>
    </row>
    <row r="8" spans="1:15">
      <c r="A8" s="487"/>
      <c r="B8" s="487"/>
      <c r="C8" s="487"/>
      <c r="D8" s="487"/>
      <c r="E8" s="487"/>
      <c r="F8" s="487"/>
      <c r="G8" s="487"/>
      <c r="H8" s="487"/>
      <c r="I8" s="487"/>
      <c r="J8" s="487"/>
      <c r="K8" s="487"/>
      <c r="L8" s="487"/>
      <c r="M8" s="488" t="s">
        <v>300</v>
      </c>
      <c r="N8" s="392" t="s">
        <v>298</v>
      </c>
      <c r="O8" s="487"/>
    </row>
    <row r="9" spans="1:15">
      <c r="A9" s="487"/>
      <c r="B9" s="487"/>
      <c r="C9" s="487"/>
      <c r="D9" s="487"/>
      <c r="E9" s="487"/>
      <c r="F9" s="487"/>
      <c r="G9" s="487"/>
      <c r="H9" s="487"/>
      <c r="I9" s="487"/>
      <c r="J9" s="487"/>
      <c r="K9" s="487"/>
      <c r="L9" s="487"/>
      <c r="M9" s="488" t="s">
        <v>301</v>
      </c>
      <c r="N9" s="392" t="s">
        <v>298</v>
      </c>
      <c r="O9" s="487"/>
    </row>
    <row r="10" spans="1:15">
      <c r="A10" s="487"/>
      <c r="B10" s="487"/>
      <c r="C10" s="487"/>
      <c r="D10" s="487"/>
      <c r="E10" s="487"/>
      <c r="F10" s="487"/>
      <c r="G10" s="487"/>
      <c r="H10" s="487"/>
      <c r="I10" s="487"/>
      <c r="J10" s="487"/>
      <c r="K10" s="487"/>
      <c r="L10" s="487"/>
      <c r="M10" s="488" t="s">
        <v>302</v>
      </c>
      <c r="N10" s="393" t="str" cm="1">
        <f t="array" ref="N10">_xlfn.IFS(N5="existant","Level 0",N5="minor modification","Level 1",N5="significant modification",IF(OR(N6="yes",N7="yes",N8="yes",N9="yes"),"Level 3","Level 2"),N5="new","Level 3")</f>
        <v>Level 2</v>
      </c>
      <c r="O10" s="487"/>
    </row>
    <row r="11" spans="1:15">
      <c r="A11" s="487"/>
      <c r="B11" s="487"/>
      <c r="C11" s="487"/>
      <c r="D11" s="487"/>
      <c r="E11" s="487"/>
      <c r="F11" s="487"/>
      <c r="G11" s="487"/>
      <c r="H11" s="487"/>
      <c r="I11" s="487"/>
      <c r="J11" s="487"/>
      <c r="K11" s="487"/>
      <c r="L11" s="487"/>
      <c r="M11" s="487"/>
      <c r="N11" s="487"/>
      <c r="O11" s="487"/>
    </row>
    <row r="12" spans="1:15">
      <c r="A12" s="487"/>
      <c r="B12" s="487"/>
      <c r="C12" s="487"/>
      <c r="D12" s="487"/>
      <c r="E12" s="487"/>
      <c r="F12" s="487"/>
      <c r="G12" s="487"/>
      <c r="H12" s="487"/>
      <c r="I12" s="487"/>
      <c r="J12" s="487"/>
      <c r="K12" s="487"/>
      <c r="L12" s="487"/>
      <c r="M12" s="487"/>
      <c r="N12" s="487"/>
      <c r="O12" s="487"/>
    </row>
    <row r="13" spans="1:15">
      <c r="A13" s="487"/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87"/>
      <c r="O13" s="487"/>
    </row>
    <row r="14" spans="1:15">
      <c r="A14" s="487"/>
      <c r="B14" s="487"/>
      <c r="C14" s="487"/>
      <c r="D14" s="487"/>
      <c r="E14" s="487"/>
      <c r="F14" s="487"/>
      <c r="G14" s="487"/>
      <c r="H14" s="487"/>
      <c r="I14" s="487"/>
      <c r="J14" s="487"/>
      <c r="K14" s="487"/>
      <c r="L14" s="487"/>
      <c r="M14" s="487"/>
      <c r="N14" s="487"/>
      <c r="O14" s="487"/>
    </row>
    <row r="15" spans="1:15">
      <c r="A15" s="487"/>
      <c r="B15" s="487"/>
      <c r="C15" s="487"/>
      <c r="D15" s="487"/>
      <c r="E15" s="487"/>
      <c r="F15" s="487"/>
      <c r="G15" s="487"/>
      <c r="H15" s="487"/>
      <c r="I15" s="487"/>
      <c r="J15" s="487"/>
      <c r="K15" s="487"/>
      <c r="L15" s="487"/>
      <c r="M15" s="487"/>
      <c r="N15" s="487"/>
      <c r="O15" s="487"/>
    </row>
    <row r="16" spans="1:15">
      <c r="A16" s="487"/>
      <c r="B16" s="487"/>
      <c r="C16" s="487"/>
      <c r="D16" s="487"/>
      <c r="E16" s="487"/>
      <c r="F16" s="487"/>
      <c r="G16" s="487"/>
      <c r="H16" s="487"/>
      <c r="I16" s="487"/>
      <c r="J16" s="487"/>
      <c r="K16" s="487"/>
      <c r="L16" s="487"/>
      <c r="M16" s="487"/>
      <c r="N16" s="487"/>
      <c r="O16" s="487"/>
    </row>
    <row r="17" spans="1:15">
      <c r="A17" s="487"/>
      <c r="B17" s="487"/>
      <c r="C17" s="487"/>
      <c r="D17" s="487"/>
      <c r="E17" s="487"/>
      <c r="F17" s="487"/>
      <c r="G17" s="487"/>
      <c r="H17" s="487"/>
      <c r="I17" s="487"/>
      <c r="J17" s="487"/>
      <c r="K17" s="487"/>
      <c r="L17" s="487"/>
      <c r="M17" s="487"/>
      <c r="N17" s="487"/>
      <c r="O17" s="487"/>
    </row>
    <row r="18" spans="1:15">
      <c r="A18" s="487"/>
      <c r="B18" s="487"/>
      <c r="C18" s="487"/>
      <c r="D18" s="487"/>
      <c r="E18" s="487"/>
      <c r="F18" s="487"/>
      <c r="G18" s="487"/>
      <c r="H18" s="487"/>
      <c r="I18" s="487"/>
      <c r="J18" s="487"/>
      <c r="K18" s="487"/>
      <c r="L18" s="487"/>
      <c r="M18" s="487"/>
      <c r="N18" s="487"/>
      <c r="O18" s="487"/>
    </row>
    <row r="19" spans="1:15">
      <c r="A19" s="487"/>
      <c r="B19" s="487"/>
      <c r="C19" s="487"/>
      <c r="D19" s="487"/>
      <c r="E19" s="487"/>
      <c r="F19" s="487"/>
      <c r="G19" s="487"/>
      <c r="H19" s="487"/>
      <c r="I19" s="487"/>
      <c r="J19" s="487"/>
      <c r="K19" s="487"/>
      <c r="L19" s="487"/>
      <c r="M19" s="487"/>
      <c r="N19" s="487"/>
      <c r="O19" s="487"/>
    </row>
    <row r="20" spans="1:15">
      <c r="A20" s="487"/>
      <c r="B20" s="487"/>
      <c r="C20" s="487"/>
      <c r="D20" s="487"/>
      <c r="E20" s="487"/>
      <c r="F20" s="487"/>
      <c r="G20" s="487"/>
      <c r="H20" s="487"/>
      <c r="I20" s="487"/>
      <c r="J20" s="487"/>
      <c r="K20" s="487"/>
      <c r="L20" s="487"/>
      <c r="M20" s="487"/>
      <c r="N20" s="487"/>
      <c r="O20" s="487"/>
    </row>
    <row r="21" spans="1:15">
      <c r="A21" s="487"/>
      <c r="B21" s="487"/>
      <c r="C21" s="487"/>
      <c r="D21" s="487"/>
      <c r="E21" s="487"/>
      <c r="F21" s="487"/>
      <c r="G21" s="487"/>
      <c r="H21" s="487"/>
      <c r="I21" s="487"/>
      <c r="J21" s="487"/>
      <c r="K21" s="487"/>
      <c r="L21" s="487"/>
      <c r="M21" s="487"/>
      <c r="N21" s="487"/>
      <c r="O21" s="487"/>
    </row>
    <row r="22" spans="1:15">
      <c r="A22" s="487"/>
      <c r="B22" s="487"/>
      <c r="C22" s="487"/>
      <c r="D22" s="487"/>
      <c r="E22" s="487"/>
      <c r="F22" s="487"/>
      <c r="G22" s="487"/>
      <c r="H22" s="487"/>
      <c r="I22" s="487"/>
      <c r="J22" s="487"/>
      <c r="K22" s="487"/>
      <c r="L22" s="487"/>
      <c r="M22" s="487"/>
      <c r="N22" s="487"/>
      <c r="O22" s="487"/>
    </row>
    <row r="23" spans="1:15">
      <c r="A23" s="487"/>
      <c r="B23" s="487"/>
      <c r="C23" s="487"/>
      <c r="D23" s="487"/>
      <c r="E23" s="487"/>
      <c r="F23" s="487"/>
      <c r="G23" s="487"/>
      <c r="H23" s="487"/>
      <c r="I23" s="487"/>
      <c r="J23" s="487"/>
      <c r="K23" s="487"/>
      <c r="L23" s="487"/>
      <c r="M23" s="487"/>
      <c r="N23" s="487"/>
      <c r="O23" s="487"/>
    </row>
    <row r="24" spans="1:15">
      <c r="A24" s="487"/>
      <c r="B24" s="487"/>
      <c r="C24" s="487"/>
      <c r="D24" s="487"/>
      <c r="E24" s="487"/>
      <c r="F24" s="487"/>
      <c r="G24" s="487"/>
      <c r="H24" s="487"/>
      <c r="I24" s="487"/>
      <c r="J24" s="487"/>
      <c r="K24" s="487"/>
      <c r="L24" s="487"/>
      <c r="M24" s="487"/>
      <c r="N24" s="487"/>
      <c r="O24" s="487"/>
    </row>
    <row r="25" spans="1:15">
      <c r="A25" s="487"/>
      <c r="B25" s="487"/>
      <c r="C25" s="487"/>
      <c r="D25" s="487"/>
      <c r="E25" s="487"/>
      <c r="F25" s="487"/>
      <c r="G25" s="487"/>
      <c r="H25" s="487"/>
      <c r="I25" s="487"/>
      <c r="J25" s="487"/>
      <c r="K25" s="487"/>
      <c r="L25" s="487"/>
      <c r="M25" s="487"/>
      <c r="N25" s="487"/>
      <c r="O25" s="487"/>
    </row>
    <row r="26" spans="1:15">
      <c r="A26" s="487"/>
      <c r="B26" s="487"/>
      <c r="C26" s="487"/>
      <c r="D26" s="487"/>
      <c r="E26" s="487"/>
      <c r="F26" s="487"/>
      <c r="G26" s="487"/>
      <c r="H26" s="487"/>
      <c r="I26" s="487"/>
      <c r="J26" s="487"/>
      <c r="K26" s="487"/>
      <c r="L26" s="487"/>
      <c r="M26" s="487"/>
      <c r="N26" s="487"/>
      <c r="O26" s="487"/>
    </row>
    <row r="27" spans="1:15">
      <c r="A27" s="487"/>
      <c r="B27" s="487"/>
      <c r="C27" s="487"/>
      <c r="D27" s="487"/>
      <c r="E27" s="487"/>
      <c r="F27" s="487"/>
      <c r="G27" s="487"/>
      <c r="H27" s="487"/>
      <c r="I27" s="487"/>
      <c r="J27" s="487"/>
      <c r="K27" s="487"/>
      <c r="L27" s="487"/>
      <c r="M27" s="487"/>
      <c r="N27" s="487"/>
      <c r="O27" s="487"/>
    </row>
    <row r="28" spans="1:15">
      <c r="A28" s="487"/>
      <c r="B28" s="487"/>
      <c r="C28" s="487"/>
      <c r="D28" s="487"/>
      <c r="E28" s="487"/>
      <c r="F28" s="487"/>
      <c r="G28" s="487"/>
      <c r="H28" s="487"/>
      <c r="I28" s="487"/>
      <c r="J28" s="487"/>
      <c r="K28" s="487"/>
      <c r="L28" s="487"/>
      <c r="M28" s="487"/>
      <c r="N28" s="487"/>
      <c r="O28" s="487"/>
    </row>
    <row r="29" spans="1:15">
      <c r="A29" s="487"/>
      <c r="B29" s="487"/>
      <c r="C29" s="487"/>
      <c r="D29" s="487"/>
      <c r="E29" s="487"/>
      <c r="F29" s="487"/>
      <c r="G29" s="487"/>
      <c r="H29" s="487"/>
      <c r="I29" s="487"/>
      <c r="J29" s="487"/>
      <c r="K29" s="487"/>
      <c r="L29" s="487"/>
      <c r="M29" s="487"/>
      <c r="N29" s="487"/>
      <c r="O29" s="487"/>
    </row>
    <row r="30" spans="1:15">
      <c r="A30" s="487"/>
      <c r="B30" s="487"/>
      <c r="C30" s="487"/>
      <c r="D30" s="487"/>
      <c r="E30" s="487"/>
      <c r="F30" s="487"/>
      <c r="G30" s="487"/>
      <c r="H30" s="487"/>
      <c r="I30" s="487"/>
      <c r="J30" s="487"/>
      <c r="K30" s="487"/>
      <c r="L30" s="487"/>
      <c r="M30" s="487"/>
      <c r="N30" s="487"/>
      <c r="O30" s="487"/>
    </row>
    <row r="31" spans="1:15">
      <c r="A31" s="487"/>
      <c r="B31" s="487"/>
      <c r="C31" s="487"/>
      <c r="D31" s="487"/>
      <c r="E31" s="487"/>
      <c r="F31" s="487"/>
      <c r="G31" s="487"/>
      <c r="H31" s="487"/>
      <c r="I31" s="487"/>
      <c r="J31" s="487"/>
      <c r="K31" s="487"/>
      <c r="L31" s="487"/>
      <c r="M31" s="487"/>
      <c r="N31" s="487"/>
      <c r="O31" s="487"/>
    </row>
    <row r="32" spans="1:15">
      <c r="A32" s="487"/>
      <c r="B32" s="487"/>
      <c r="C32" s="487"/>
      <c r="D32" s="487"/>
      <c r="E32" s="487"/>
      <c r="F32" s="487"/>
      <c r="G32" s="487"/>
      <c r="H32" s="487"/>
      <c r="I32" s="487"/>
      <c r="J32" s="487"/>
      <c r="K32" s="487"/>
      <c r="L32" s="487"/>
      <c r="M32" s="487"/>
      <c r="N32" s="487"/>
      <c r="O32" s="487"/>
    </row>
    <row r="33" spans="1:15">
      <c r="A33" s="487"/>
      <c r="B33" s="487"/>
      <c r="C33" s="487"/>
      <c r="D33" s="487"/>
      <c r="E33" s="487"/>
      <c r="F33" s="487"/>
      <c r="G33" s="487"/>
      <c r="H33" s="487"/>
      <c r="I33" s="487"/>
      <c r="J33" s="487"/>
      <c r="K33" s="487"/>
      <c r="L33" s="487"/>
      <c r="M33" s="487"/>
      <c r="N33" s="487"/>
      <c r="O33" s="487"/>
    </row>
    <row r="34" spans="1:15">
      <c r="A34" s="487"/>
      <c r="B34" s="487"/>
      <c r="C34" s="487"/>
      <c r="D34" s="487"/>
      <c r="E34" s="487"/>
      <c r="F34" s="487"/>
      <c r="G34" s="487"/>
      <c r="H34" s="487"/>
      <c r="I34" s="487"/>
      <c r="J34" s="487"/>
      <c r="K34" s="487"/>
      <c r="L34" s="487"/>
      <c r="M34" s="487"/>
      <c r="N34" s="487"/>
      <c r="O34" s="487"/>
    </row>
    <row r="35" spans="1:15">
      <c r="A35" s="487"/>
      <c r="B35" s="487"/>
      <c r="C35" s="487"/>
      <c r="D35" s="487"/>
      <c r="E35" s="487"/>
      <c r="F35" s="487"/>
      <c r="G35" s="487"/>
      <c r="H35" s="487"/>
      <c r="I35" s="487"/>
      <c r="J35" s="487"/>
      <c r="K35" s="487"/>
      <c r="L35" s="487"/>
      <c r="M35" s="487"/>
      <c r="N35" s="487"/>
      <c r="O35" s="487"/>
    </row>
    <row r="36" spans="1:15">
      <c r="A36" s="487"/>
      <c r="B36" s="487"/>
      <c r="C36" s="487"/>
      <c r="D36" s="487"/>
      <c r="E36" s="487"/>
      <c r="F36" s="487"/>
      <c r="G36" s="487"/>
      <c r="H36" s="487"/>
      <c r="I36" s="487"/>
      <c r="J36" s="487"/>
      <c r="K36" s="487"/>
      <c r="L36" s="487"/>
      <c r="M36" s="487"/>
      <c r="N36" s="487"/>
      <c r="O36" s="487"/>
    </row>
    <row r="37" spans="1:15">
      <c r="A37" s="487"/>
      <c r="B37" s="487"/>
      <c r="C37" s="487"/>
      <c r="D37" s="487"/>
      <c r="E37" s="487"/>
      <c r="F37" s="487"/>
      <c r="G37" s="487"/>
      <c r="H37" s="487"/>
      <c r="I37" s="487"/>
      <c r="J37" s="487"/>
      <c r="K37" s="487"/>
      <c r="L37" s="487"/>
      <c r="M37" s="487"/>
      <c r="N37" s="487"/>
      <c r="O37" s="487"/>
    </row>
    <row r="38" spans="1:15">
      <c r="A38" s="487"/>
      <c r="B38" s="487"/>
      <c r="C38" s="487"/>
      <c r="D38" s="487"/>
      <c r="E38" s="487"/>
      <c r="F38" s="487"/>
      <c r="G38" s="487"/>
      <c r="H38" s="487"/>
      <c r="I38" s="487"/>
      <c r="J38" s="487"/>
      <c r="K38" s="487"/>
      <c r="L38" s="487"/>
      <c r="M38" s="487"/>
      <c r="N38" s="487"/>
      <c r="O38" s="487"/>
    </row>
    <row r="39" spans="1:15">
      <c r="A39" s="487"/>
      <c r="B39" s="487"/>
      <c r="C39" s="487"/>
      <c r="D39" s="487"/>
      <c r="E39" s="487"/>
      <c r="F39" s="487"/>
      <c r="G39" s="487"/>
      <c r="H39" s="487"/>
      <c r="I39" s="487"/>
      <c r="J39" s="487"/>
      <c r="K39" s="487"/>
      <c r="L39" s="487"/>
      <c r="M39" s="487"/>
      <c r="N39" s="487"/>
      <c r="O39" s="487"/>
    </row>
    <row r="40" spans="1:15">
      <c r="A40" s="487"/>
      <c r="B40" s="487"/>
      <c r="C40" s="487"/>
      <c r="D40" s="487"/>
      <c r="E40" s="487"/>
      <c r="F40" s="487"/>
      <c r="G40" s="487"/>
      <c r="H40" s="487"/>
      <c r="I40" s="487"/>
      <c r="J40" s="487"/>
      <c r="K40" s="487"/>
      <c r="L40" s="487"/>
      <c r="M40" s="487"/>
      <c r="N40" s="487"/>
      <c r="O40" s="487"/>
    </row>
    <row r="41" spans="1:15">
      <c r="A41" s="487"/>
      <c r="B41" s="487"/>
      <c r="C41" s="487"/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</row>
    <row r="42" spans="1:15">
      <c r="A42" s="487"/>
      <c r="B42" s="487"/>
      <c r="C42" s="487"/>
      <c r="D42" s="487"/>
      <c r="E42" s="487"/>
      <c r="F42" s="487"/>
      <c r="G42" s="487"/>
      <c r="H42" s="487"/>
      <c r="I42" s="487"/>
      <c r="J42" s="487"/>
      <c r="K42" s="487"/>
      <c r="L42" s="487"/>
      <c r="M42" s="487"/>
      <c r="N42" s="487"/>
      <c r="O42" s="487"/>
    </row>
    <row r="43" spans="1:15">
      <c r="A43" s="487"/>
      <c r="B43" s="487"/>
      <c r="C43" s="487"/>
      <c r="D43" s="487"/>
      <c r="E43" s="487"/>
      <c r="F43" s="487"/>
      <c r="G43" s="487"/>
      <c r="H43" s="487"/>
      <c r="I43" s="487"/>
      <c r="J43" s="487"/>
      <c r="K43" s="487"/>
      <c r="L43" s="487"/>
      <c r="M43" s="487"/>
      <c r="N43" s="487"/>
      <c r="O43" s="487"/>
    </row>
    <row r="44" spans="1:15">
      <c r="A44" s="487"/>
      <c r="B44" s="487"/>
      <c r="C44" s="487"/>
      <c r="D44" s="487"/>
      <c r="E44" s="487"/>
      <c r="F44" s="487"/>
      <c r="G44" s="487"/>
      <c r="H44" s="487"/>
      <c r="I44" s="487"/>
      <c r="J44" s="487"/>
      <c r="K44" s="487"/>
      <c r="L44" s="487"/>
      <c r="M44" s="487"/>
      <c r="N44" s="487"/>
      <c r="O44" s="487"/>
    </row>
    <row r="45" spans="1:15">
      <c r="A45" s="487"/>
      <c r="B45" s="487"/>
      <c r="C45" s="487"/>
      <c r="D45" s="487"/>
      <c r="E45" s="487"/>
      <c r="F45" s="487"/>
      <c r="G45" s="487"/>
      <c r="H45" s="487"/>
      <c r="I45" s="487"/>
      <c r="J45" s="487"/>
      <c r="K45" s="487"/>
      <c r="L45" s="487"/>
      <c r="M45" s="487"/>
      <c r="N45" s="487"/>
      <c r="O45" s="487"/>
    </row>
    <row r="46" spans="1:15">
      <c r="A46" s="487"/>
      <c r="B46" s="487"/>
      <c r="C46" s="487"/>
      <c r="D46" s="487"/>
      <c r="E46" s="487"/>
      <c r="F46" s="487"/>
      <c r="G46" s="487"/>
      <c r="H46" s="487"/>
      <c r="I46" s="487"/>
      <c r="J46" s="487"/>
      <c r="K46" s="487"/>
      <c r="L46" s="487"/>
      <c r="M46" s="487"/>
      <c r="N46" s="487"/>
      <c r="O46" s="487"/>
    </row>
    <row r="47" spans="1:15">
      <c r="A47" s="487"/>
      <c r="B47" s="487"/>
      <c r="C47" s="487"/>
      <c r="D47" s="487"/>
      <c r="E47" s="487"/>
      <c r="F47" s="487"/>
      <c r="G47" s="487"/>
      <c r="H47" s="487"/>
      <c r="I47" s="487"/>
      <c r="J47" s="487"/>
      <c r="K47" s="487"/>
      <c r="L47" s="487"/>
      <c r="M47" s="487"/>
      <c r="N47" s="487"/>
      <c r="O47" s="487"/>
    </row>
    <row r="48" spans="1:15">
      <c r="A48" s="487"/>
      <c r="B48" s="487"/>
      <c r="C48" s="487"/>
      <c r="D48" s="487"/>
      <c r="E48" s="487"/>
      <c r="F48" s="487"/>
      <c r="G48" s="487"/>
      <c r="H48" s="487"/>
      <c r="I48" s="487"/>
      <c r="J48" s="487"/>
      <c r="K48" s="487"/>
      <c r="L48" s="487"/>
      <c r="M48" s="487"/>
      <c r="N48" s="487"/>
      <c r="O48" s="487"/>
    </row>
    <row r="49" spans="1:15">
      <c r="A49" s="487"/>
      <c r="B49" s="487"/>
      <c r="C49" s="487"/>
      <c r="D49" s="487"/>
      <c r="E49" s="487"/>
      <c r="F49" s="487"/>
      <c r="G49" s="487"/>
      <c r="H49" s="487"/>
      <c r="I49" s="487"/>
      <c r="J49" s="487"/>
      <c r="K49" s="487"/>
      <c r="L49" s="487"/>
      <c r="M49" s="487"/>
      <c r="N49" s="487"/>
      <c r="O49" s="487"/>
    </row>
    <row r="50" spans="1:15">
      <c r="A50" s="487"/>
      <c r="B50" s="487"/>
      <c r="C50" s="487"/>
      <c r="D50" s="487"/>
      <c r="E50" s="487"/>
      <c r="F50" s="487"/>
      <c r="G50" s="487"/>
      <c r="H50" s="487"/>
      <c r="I50" s="487"/>
      <c r="J50" s="487"/>
      <c r="K50" s="487"/>
      <c r="L50" s="487"/>
      <c r="M50" s="487"/>
      <c r="O50" s="487"/>
    </row>
  </sheetData>
  <conditionalFormatting sqref="N6:N9">
    <cfRule type="expression" dxfId="0" priority="1">
      <formula>$N$5="significant modification"</formula>
    </cfRule>
  </conditionalFormatting>
  <dataValidations count="2">
    <dataValidation type="list" allowBlank="1" showInputMessage="1" showErrorMessage="1" sqref="N6:N9" xr:uid="{9B0EECE4-F35F-4A93-B140-FF883BCE8885}">
      <formula1>"yes,no"</formula1>
    </dataValidation>
    <dataValidation type="list" allowBlank="1" showInputMessage="1" showErrorMessage="1" sqref="N5" xr:uid="{8E6D472F-B0F8-4980-BEB8-7F74EC5D1A87}">
      <formula1>"existant,minor modification,significant modification,new"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E5F9-68E6-467C-A98C-7E4E2CF27CFB}">
  <sheetPr codeName="Foglio5">
    <tabColor theme="8" tint="0.59999389629810485"/>
    <pageSetUpPr fitToPage="1"/>
  </sheetPr>
  <dimension ref="B1:O29"/>
  <sheetViews>
    <sheetView showGridLines="0" zoomScale="109" zoomScaleNormal="109" workbookViewId="0">
      <selection activeCell="Q7" sqref="Q7"/>
    </sheetView>
  </sheetViews>
  <sheetFormatPr defaultRowHeight="15"/>
  <cols>
    <col min="1" max="1" width="2.7109375" customWidth="1"/>
    <col min="3" max="3" width="26.5703125" customWidth="1"/>
    <col min="4" max="4" width="25.140625" bestFit="1" customWidth="1"/>
    <col min="5" max="7" width="10.7109375" customWidth="1"/>
    <col min="8" max="8" width="29" customWidth="1"/>
    <col min="10" max="10" width="21.140625" hidden="1" customWidth="1"/>
    <col min="11" max="13" width="80.7109375" hidden="1" customWidth="1"/>
    <col min="14" max="14" width="24" hidden="1" customWidth="1"/>
    <col min="15" max="15" width="9.140625" hidden="1" customWidth="1"/>
    <col min="16" max="16" width="9.140625" customWidth="1"/>
  </cols>
  <sheetData>
    <row r="1" spans="2:15" ht="15.75" thickBot="1"/>
    <row r="2" spans="2:15" ht="24" thickBot="1">
      <c r="C2" s="567" t="s">
        <v>303</v>
      </c>
      <c r="D2" s="568"/>
      <c r="E2" s="568"/>
      <c r="F2" s="568"/>
      <c r="G2" s="569"/>
      <c r="H2" s="370"/>
      <c r="K2" s="318" t="s">
        <v>304</v>
      </c>
      <c r="L2" s="319" t="s">
        <v>305</v>
      </c>
      <c r="M2" s="320" t="s">
        <v>306</v>
      </c>
    </row>
    <row r="3" spans="2:15" ht="15.75" thickBot="1">
      <c r="C3" s="321"/>
      <c r="D3" s="30"/>
      <c r="E3" s="322" t="s">
        <v>163</v>
      </c>
      <c r="F3" s="322" t="s">
        <v>165</v>
      </c>
      <c r="G3" s="323" t="s">
        <v>166</v>
      </c>
      <c r="H3" s="356" t="s">
        <v>354</v>
      </c>
      <c r="J3" s="324" t="s">
        <v>307</v>
      </c>
      <c r="K3" s="325" t="s">
        <v>308</v>
      </c>
      <c r="L3" s="325" t="s">
        <v>308</v>
      </c>
      <c r="M3" s="326" t="s">
        <v>308</v>
      </c>
      <c r="N3" s="327" t="s">
        <v>309</v>
      </c>
      <c r="O3" s="327" t="s">
        <v>310</v>
      </c>
    </row>
    <row r="4" spans="2:15" ht="26.1" customHeight="1">
      <c r="B4" s="328">
        <v>1</v>
      </c>
      <c r="C4" s="328" t="s">
        <v>311</v>
      </c>
      <c r="D4" s="394"/>
      <c r="E4" s="328"/>
      <c r="F4" s="328"/>
      <c r="G4" s="329"/>
      <c r="H4" s="102"/>
      <c r="J4" s="561" t="s">
        <v>312</v>
      </c>
      <c r="K4" s="330" t="s">
        <v>313</v>
      </c>
      <c r="L4" s="331" t="s">
        <v>313</v>
      </c>
      <c r="M4" s="332" t="s">
        <v>313</v>
      </c>
      <c r="N4" s="333" t="s">
        <v>314</v>
      </c>
      <c r="O4" s="334">
        <v>2</v>
      </c>
    </row>
    <row r="5" spans="2:15" ht="26.1" customHeight="1">
      <c r="B5" s="335">
        <v>2</v>
      </c>
      <c r="C5" s="335" t="s">
        <v>315</v>
      </c>
      <c r="D5" s="395"/>
      <c r="E5" s="335">
        <f>IF(D5&gt;3800,2,0)</f>
        <v>0</v>
      </c>
      <c r="F5" s="335">
        <v>0</v>
      </c>
      <c r="G5" s="336">
        <v>0</v>
      </c>
      <c r="H5" s="102"/>
      <c r="J5" s="562"/>
      <c r="K5" s="338" t="s">
        <v>56</v>
      </c>
      <c r="L5" s="339" t="s">
        <v>316</v>
      </c>
      <c r="M5" s="340" t="s">
        <v>316</v>
      </c>
      <c r="N5" s="341" t="s">
        <v>317</v>
      </c>
      <c r="O5" s="342">
        <v>3</v>
      </c>
    </row>
    <row r="6" spans="2:15" ht="26.1" customHeight="1">
      <c r="B6" s="335">
        <v>3</v>
      </c>
      <c r="C6" s="335" t="s">
        <v>318</v>
      </c>
      <c r="D6" s="395"/>
      <c r="E6" s="335">
        <f>IF(D6&lt;0.7,2,0)</f>
        <v>2</v>
      </c>
      <c r="F6" s="335">
        <v>0</v>
      </c>
      <c r="G6" s="336">
        <v>0</v>
      </c>
      <c r="H6" s="102"/>
      <c r="J6" s="562"/>
      <c r="K6" s="343" t="s">
        <v>319</v>
      </c>
      <c r="L6" s="344" t="s">
        <v>319</v>
      </c>
      <c r="M6" s="345" t="s">
        <v>319</v>
      </c>
      <c r="N6" s="564" t="s">
        <v>320</v>
      </c>
      <c r="O6" s="342"/>
    </row>
    <row r="7" spans="2:15" ht="26.1" customHeight="1">
      <c r="B7" s="335">
        <v>4</v>
      </c>
      <c r="C7" s="335" t="s">
        <v>321</v>
      </c>
      <c r="D7" s="395"/>
      <c r="E7" s="335">
        <v>0</v>
      </c>
      <c r="F7" s="335">
        <v>0</v>
      </c>
      <c r="G7" s="336">
        <f>IF(D7="pump",2,1)*(IF(D4="VS",1,0))</f>
        <v>0</v>
      </c>
      <c r="H7" s="399" t="s">
        <v>355</v>
      </c>
      <c r="J7" s="562"/>
      <c r="K7" s="343" t="s">
        <v>322</v>
      </c>
      <c r="L7" s="344" t="s">
        <v>322</v>
      </c>
      <c r="M7" s="345" t="s">
        <v>322</v>
      </c>
      <c r="N7" s="559"/>
      <c r="O7" s="342"/>
    </row>
    <row r="8" spans="2:15" ht="26.1" customHeight="1">
      <c r="B8" s="335">
        <v>5</v>
      </c>
      <c r="C8" s="335" t="s">
        <v>323</v>
      </c>
      <c r="D8" s="395"/>
      <c r="E8" s="335">
        <v>0</v>
      </c>
      <c r="F8" s="335">
        <v>0</v>
      </c>
      <c r="G8" s="336" cm="1">
        <f t="array" ref="G8">IFERROR(_xlfn.IFS((D4="VS")*(D8="yes"),2,(D4&lt;&gt;"VS")*(D8="yes"),1,D8="no",0),0)</f>
        <v>0</v>
      </c>
      <c r="H8" s="398" t="s">
        <v>368</v>
      </c>
      <c r="J8" s="562"/>
      <c r="K8" s="346" t="s">
        <v>324</v>
      </c>
      <c r="L8" s="339" t="s">
        <v>325</v>
      </c>
      <c r="M8" s="340" t="s">
        <v>324</v>
      </c>
      <c r="N8" s="347" t="s">
        <v>326</v>
      </c>
      <c r="O8" s="315">
        <v>8</v>
      </c>
    </row>
    <row r="9" spans="2:15" ht="26.1" customHeight="1">
      <c r="B9" s="335">
        <v>6</v>
      </c>
      <c r="C9" s="335" t="s">
        <v>327</v>
      </c>
      <c r="D9" s="395"/>
      <c r="E9" s="335">
        <f>IF(D9="internal combustion engine",2,0)</f>
        <v>0</v>
      </c>
      <c r="F9" s="335">
        <f>IF(OR(D9="synchronous electric motor",D9="internal combustion engine"),2,0)</f>
        <v>0</v>
      </c>
      <c r="G9" s="336">
        <f>IF(D9="internal combustion engine",2,0)</f>
        <v>0</v>
      </c>
      <c r="H9" s="102"/>
      <c r="J9" s="562"/>
      <c r="K9" s="346" t="s">
        <v>328</v>
      </c>
      <c r="L9" s="339" t="s">
        <v>328</v>
      </c>
      <c r="M9" s="340" t="s">
        <v>328</v>
      </c>
      <c r="N9" s="560" t="s">
        <v>329</v>
      </c>
      <c r="O9" s="559">
        <v>9</v>
      </c>
    </row>
    <row r="10" spans="2:15" ht="26.1" customHeight="1">
      <c r="B10" s="335">
        <v>7</v>
      </c>
      <c r="C10" s="335" t="s">
        <v>330</v>
      </c>
      <c r="D10" s="395"/>
      <c r="E10" s="335">
        <v>0</v>
      </c>
      <c r="F10" s="335">
        <f>IF(D10="yes",1,0)</f>
        <v>0</v>
      </c>
      <c r="G10" s="336">
        <v>0</v>
      </c>
      <c r="H10" s="102"/>
      <c r="J10" s="562"/>
      <c r="K10" s="346" t="s">
        <v>331</v>
      </c>
      <c r="L10" s="339" t="s">
        <v>331</v>
      </c>
      <c r="M10" s="340" t="s">
        <v>331</v>
      </c>
      <c r="N10" s="560"/>
      <c r="O10" s="559"/>
    </row>
    <row r="11" spans="2:15" ht="26.1" customHeight="1">
      <c r="B11" s="335">
        <v>8</v>
      </c>
      <c r="C11" s="335" t="s">
        <v>332</v>
      </c>
      <c r="D11" s="395"/>
      <c r="E11" s="335" cm="1">
        <f t="array" ref="E11">IFERROR(_xlfn.IFS((D4&lt;&gt;"VS")*(D11="yes"),3,(D4="VS")*(D11="yes"),2,D11="no",0),0)</f>
        <v>0</v>
      </c>
      <c r="F11" s="335">
        <f>IF(D11="yes",3,0)</f>
        <v>0</v>
      </c>
      <c r="G11" s="336">
        <f>IF(D11="yes",3,0)</f>
        <v>0</v>
      </c>
      <c r="H11" s="102"/>
      <c r="J11" s="562"/>
      <c r="K11" s="346" t="s">
        <v>333</v>
      </c>
      <c r="L11" s="339" t="s">
        <v>333</v>
      </c>
      <c r="M11" s="340" t="s">
        <v>333</v>
      </c>
      <c r="N11" s="560"/>
      <c r="O11" s="559"/>
    </row>
    <row r="12" spans="2:15" ht="26.1" customHeight="1" thickBot="1">
      <c r="B12" s="335">
        <v>9</v>
      </c>
      <c r="C12" s="335" t="s">
        <v>334</v>
      </c>
      <c r="D12" s="395"/>
      <c r="E12" s="335" cm="1">
        <f t="array" ref="E12">_xlfn.IFS(D12&lt;375,1,D12&lt;750,2,D12&gt;=750,3)</f>
        <v>1</v>
      </c>
      <c r="F12" s="335" cm="1">
        <f t="array" ref="F12">_xlfn.IFS(D12&lt;375,1,D12&lt;750,2,D12&gt;=750,3)</f>
        <v>1</v>
      </c>
      <c r="G12" s="336" cm="1">
        <f t="array" ref="G12">_xlfn.IFS(D12&lt;375,1,D12&lt;750,2,D12&gt;=750,3)</f>
        <v>1</v>
      </c>
      <c r="H12" s="102"/>
      <c r="J12" s="563"/>
      <c r="K12" s="348" t="s">
        <v>335</v>
      </c>
      <c r="L12" s="349" t="s">
        <v>335</v>
      </c>
      <c r="M12" s="350" t="s">
        <v>335</v>
      </c>
      <c r="N12" s="351" t="s">
        <v>336</v>
      </c>
      <c r="O12" s="316">
        <v>10</v>
      </c>
    </row>
    <row r="13" spans="2:15" ht="26.1" customHeight="1">
      <c r="B13" s="352">
        <v>10</v>
      </c>
      <c r="C13" s="396" t="s">
        <v>367</v>
      </c>
      <c r="D13" s="400"/>
      <c r="E13" s="396">
        <f>IF(D13="yes",3,0)</f>
        <v>0</v>
      </c>
      <c r="F13" s="396">
        <v>0</v>
      </c>
      <c r="G13" s="397">
        <f>IF(D13="yes",3,0)</f>
        <v>0</v>
      </c>
      <c r="H13" s="104"/>
      <c r="J13" s="561" t="s">
        <v>337</v>
      </c>
      <c r="K13" s="330" t="s">
        <v>338</v>
      </c>
      <c r="L13" s="331" t="s">
        <v>338</v>
      </c>
      <c r="M13" s="332" t="s">
        <v>338</v>
      </c>
      <c r="N13" s="333" t="s">
        <v>339</v>
      </c>
      <c r="O13" s="314">
        <v>7</v>
      </c>
    </row>
    <row r="14" spans="2:15" ht="26.1" customHeight="1">
      <c r="B14" s="15"/>
      <c r="C14" s="134"/>
      <c r="D14" s="353" t="s">
        <v>340</v>
      </c>
      <c r="E14" s="353">
        <f>SUM(E5:E13)+1</f>
        <v>4</v>
      </c>
      <c r="F14" s="353">
        <f>SUM(F4:F13)+1</f>
        <v>2</v>
      </c>
      <c r="G14" s="354">
        <f>SUM(G4:G13)</f>
        <v>1</v>
      </c>
      <c r="H14" s="356"/>
      <c r="J14" s="562"/>
      <c r="K14" s="346" t="s">
        <v>341</v>
      </c>
      <c r="L14" s="339" t="s">
        <v>341</v>
      </c>
      <c r="M14" s="340" t="s">
        <v>341</v>
      </c>
      <c r="N14" s="355" t="s">
        <v>342</v>
      </c>
      <c r="O14" s="315">
        <v>6</v>
      </c>
    </row>
    <row r="15" spans="2:15" ht="26.1" customHeight="1">
      <c r="B15" s="15"/>
      <c r="C15" s="403" t="s">
        <v>402</v>
      </c>
      <c r="D15" s="356" t="s">
        <v>343</v>
      </c>
      <c r="E15" s="356" cm="1">
        <f t="array" ref="E15">_xlfn.IFS(C15="existant design",0,C15="minor modification",4,C15="significant modification",10,C15="new design",20)</f>
        <v>0</v>
      </c>
      <c r="F15" s="356">
        <f>E15</f>
        <v>0</v>
      </c>
      <c r="G15" s="317">
        <f>E15</f>
        <v>0</v>
      </c>
      <c r="H15" s="356"/>
      <c r="J15" s="562"/>
      <c r="K15" s="343" t="s">
        <v>319</v>
      </c>
      <c r="L15" s="344" t="s">
        <v>319</v>
      </c>
      <c r="M15" s="345" t="s">
        <v>319</v>
      </c>
      <c r="N15" s="564" t="s">
        <v>320</v>
      </c>
      <c r="O15" s="342"/>
    </row>
    <row r="16" spans="2:15" ht="26.1" customHeight="1">
      <c r="C16" s="102"/>
      <c r="D16" s="356" t="s">
        <v>344</v>
      </c>
      <c r="E16" s="356">
        <f>E15*E14</f>
        <v>0</v>
      </c>
      <c r="F16" s="356">
        <f t="shared" ref="F16:G16" si="0">F15*F14</f>
        <v>0</v>
      </c>
      <c r="G16" s="317">
        <f t="shared" si="0"/>
        <v>0</v>
      </c>
      <c r="H16" s="370"/>
      <c r="J16" s="562"/>
      <c r="K16" s="343" t="s">
        <v>322</v>
      </c>
      <c r="L16" s="344" t="s">
        <v>322</v>
      </c>
      <c r="M16" s="345" t="s">
        <v>322</v>
      </c>
      <c r="N16" s="559"/>
      <c r="O16" s="342"/>
    </row>
    <row r="17" spans="3:15" ht="26.1" customHeight="1">
      <c r="C17" s="357" t="s">
        <v>302</v>
      </c>
      <c r="D17" s="357"/>
      <c r="E17" s="358" t="str" cm="1">
        <f t="array" ref="E17">_xlfn.IFS(E16&lt;=15,"Level 0",E16&lt;=20,"Level 1",E16&lt;=50,"Level 2",E16&gt;50,"Level 3")</f>
        <v>Level 0</v>
      </c>
      <c r="F17" s="358" t="str" cm="1">
        <f t="array" ref="F17">_xlfn.IFS(F16&lt;=15,"Level 0",F16&lt;=20,"Level 1",F16&lt;=50,"Level 2",F16&gt;50,"Level 3")</f>
        <v>Level 0</v>
      </c>
      <c r="G17" s="359" t="str" cm="1">
        <f t="array" ref="G17">_xlfn.IFS(G16&lt;=15,"Level 0",G16&lt;=20,"Level 1",G16&lt;=50,"Level 2",G16&gt;50,"Level 3")</f>
        <v>Level 0</v>
      </c>
      <c r="H17" s="371"/>
      <c r="J17" s="562"/>
      <c r="K17" s="346" t="s">
        <v>345</v>
      </c>
      <c r="L17" s="339" t="s">
        <v>345</v>
      </c>
      <c r="M17" s="340" t="s">
        <v>345</v>
      </c>
      <c r="N17" s="337" t="s">
        <v>346</v>
      </c>
      <c r="O17" s="315">
        <v>11</v>
      </c>
    </row>
    <row r="18" spans="3:15" ht="26.1" customHeight="1">
      <c r="J18" s="562"/>
      <c r="K18" s="346" t="s">
        <v>325</v>
      </c>
      <c r="L18" s="339" t="s">
        <v>325</v>
      </c>
      <c r="M18" s="340" t="s">
        <v>325</v>
      </c>
      <c r="N18" s="347" t="s">
        <v>326</v>
      </c>
      <c r="O18" s="315">
        <v>8</v>
      </c>
    </row>
    <row r="19" spans="3:15" ht="26.1" customHeight="1">
      <c r="J19" s="562"/>
      <c r="K19" s="346" t="s">
        <v>328</v>
      </c>
      <c r="L19" s="339" t="s">
        <v>328</v>
      </c>
      <c r="M19" s="340" t="s">
        <v>328</v>
      </c>
      <c r="N19" s="560" t="s">
        <v>329</v>
      </c>
      <c r="O19" s="559">
        <v>9</v>
      </c>
    </row>
    <row r="20" spans="3:15" ht="26.1" customHeight="1">
      <c r="J20" s="562"/>
      <c r="K20" s="346" t="s">
        <v>331</v>
      </c>
      <c r="L20" s="339" t="s">
        <v>331</v>
      </c>
      <c r="M20" s="340" t="s">
        <v>331</v>
      </c>
      <c r="N20" s="560"/>
      <c r="O20" s="559"/>
    </row>
    <row r="21" spans="3:15" ht="26.1" customHeight="1" thickBot="1">
      <c r="J21" s="563"/>
      <c r="K21" s="348" t="s">
        <v>333</v>
      </c>
      <c r="L21" s="339" t="s">
        <v>333</v>
      </c>
      <c r="M21" s="340" t="s">
        <v>333</v>
      </c>
      <c r="N21" s="565"/>
      <c r="O21" s="566"/>
    </row>
    <row r="22" spans="3:15" ht="26.1" customHeight="1">
      <c r="J22" s="553" t="s">
        <v>347</v>
      </c>
      <c r="K22" s="360" t="s">
        <v>56</v>
      </c>
      <c r="L22" s="361" t="s">
        <v>56</v>
      </c>
      <c r="M22" s="362" t="s">
        <v>348</v>
      </c>
      <c r="N22" s="556" t="s">
        <v>349</v>
      </c>
      <c r="O22" s="558">
        <v>4</v>
      </c>
    </row>
    <row r="23" spans="3:15" ht="26.1" customHeight="1">
      <c r="J23" s="554"/>
      <c r="K23" s="363" t="s">
        <v>56</v>
      </c>
      <c r="L23" s="338" t="s">
        <v>56</v>
      </c>
      <c r="M23" s="364" t="s">
        <v>350</v>
      </c>
      <c r="N23" s="557"/>
      <c r="O23" s="559"/>
    </row>
    <row r="24" spans="3:15" ht="26.1" customHeight="1">
      <c r="J24" s="554"/>
      <c r="K24" s="364" t="s">
        <v>351</v>
      </c>
      <c r="L24" s="365" t="s">
        <v>351</v>
      </c>
      <c r="M24" s="364" t="s">
        <v>352</v>
      </c>
      <c r="N24" s="366" t="s">
        <v>353</v>
      </c>
      <c r="O24" s="315">
        <v>5</v>
      </c>
    </row>
    <row r="25" spans="3:15" ht="26.1" customHeight="1">
      <c r="J25" s="554"/>
      <c r="K25" s="364" t="s">
        <v>325</v>
      </c>
      <c r="L25" s="365" t="s">
        <v>325</v>
      </c>
      <c r="M25" s="364" t="s">
        <v>325</v>
      </c>
      <c r="N25" s="347" t="s">
        <v>326</v>
      </c>
      <c r="O25" s="315">
        <v>8</v>
      </c>
    </row>
    <row r="26" spans="3:15" ht="26.1" customHeight="1">
      <c r="J26" s="554"/>
      <c r="K26" s="364" t="s">
        <v>328</v>
      </c>
      <c r="L26" s="365" t="s">
        <v>328</v>
      </c>
      <c r="M26" s="364" t="s">
        <v>328</v>
      </c>
      <c r="N26" s="560" t="s">
        <v>329</v>
      </c>
      <c r="O26" s="559">
        <v>9</v>
      </c>
    </row>
    <row r="27" spans="3:15" ht="26.1" customHeight="1">
      <c r="J27" s="554"/>
      <c r="K27" s="364" t="s">
        <v>331</v>
      </c>
      <c r="L27" s="365" t="s">
        <v>331</v>
      </c>
      <c r="M27" s="364" t="s">
        <v>331</v>
      </c>
      <c r="N27" s="560"/>
      <c r="O27" s="559"/>
    </row>
    <row r="28" spans="3:15" ht="26.1" customHeight="1">
      <c r="J28" s="554"/>
      <c r="K28" s="364" t="s">
        <v>333</v>
      </c>
      <c r="L28" s="365" t="s">
        <v>333</v>
      </c>
      <c r="M28" s="364" t="s">
        <v>333</v>
      </c>
      <c r="N28" s="560"/>
      <c r="O28" s="559"/>
    </row>
    <row r="29" spans="3:15" ht="26.1" customHeight="1" thickBot="1">
      <c r="J29" s="555"/>
      <c r="K29" s="367" t="s">
        <v>335</v>
      </c>
      <c r="L29" s="368" t="s">
        <v>335</v>
      </c>
      <c r="M29" s="367" t="s">
        <v>335</v>
      </c>
      <c r="N29" s="351" t="s">
        <v>336</v>
      </c>
      <c r="O29" s="316">
        <v>10</v>
      </c>
    </row>
  </sheetData>
  <mergeCells count="14">
    <mergeCell ref="J13:J21"/>
    <mergeCell ref="N15:N16"/>
    <mergeCell ref="N19:N21"/>
    <mergeCell ref="O19:O21"/>
    <mergeCell ref="C2:G2"/>
    <mergeCell ref="J4:J12"/>
    <mergeCell ref="N6:N7"/>
    <mergeCell ref="N9:N11"/>
    <mergeCell ref="O9:O11"/>
    <mergeCell ref="J22:J29"/>
    <mergeCell ref="N22:N23"/>
    <mergeCell ref="O22:O23"/>
    <mergeCell ref="N26:N28"/>
    <mergeCell ref="O26:O28"/>
  </mergeCells>
  <dataValidations count="5">
    <dataValidation type="list" allowBlank="1" showInputMessage="1" showErrorMessage="1" sqref="D9" xr:uid="{257F39D1-EAFE-459E-A771-7FD93CA33900}">
      <formula1>"asynchronous electric motor,synchronous electric motor,internal combustion engine"</formula1>
    </dataValidation>
    <dataValidation type="list" allowBlank="1" showInputMessage="1" showErrorMessage="1" sqref="D7" xr:uid="{390DA3EC-5908-4F4E-9DD4-EC1C96FDD476}">
      <formula1>"pump,separate"</formula1>
    </dataValidation>
    <dataValidation type="list" allowBlank="1" showInputMessage="1" showErrorMessage="1" sqref="D8 D10:D11 D13" xr:uid="{8DC6A6D4-E537-4625-91AD-79F031D94419}">
      <formula1>"yes,no"</formula1>
    </dataValidation>
    <dataValidation type="list" allowBlank="1" showInputMessage="1" showErrorMessage="1" sqref="C15" xr:uid="{F6B01BE6-E31A-47C5-90EA-C39327DCEBAE}">
      <formula1>"existant design,minor modification,significant modification,new design"</formula1>
    </dataValidation>
    <dataValidation type="list" allowBlank="1" showInputMessage="1" showErrorMessage="1" sqref="D4" xr:uid="{90F93B50-3092-4D75-958E-78581D9611E1}">
      <formula1>"OH,BB,VS"</formula1>
    </dataValidation>
  </dataValidations>
  <pageMargins left="0.7" right="0.7" top="0.75" bottom="0.75" header="0.3" footer="0.3"/>
  <pageSetup paperSize="9" scale="70" orientation="portrait" r:id="rId1"/>
  <ignoredErrors>
    <ignoredError sqref="G1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D406F-413B-4D14-86A5-66244D38C241}">
  <sheetPr codeName="Foglio13">
    <tabColor rgb="FF92D050"/>
  </sheetPr>
  <dimension ref="B2:F13"/>
  <sheetViews>
    <sheetView zoomScaleNormal="100" workbookViewId="0">
      <selection activeCell="J27" sqref="J27"/>
    </sheetView>
  </sheetViews>
  <sheetFormatPr defaultRowHeight="15"/>
  <cols>
    <col min="2" max="2" width="19" bestFit="1" customWidth="1"/>
    <col min="3" max="3" width="11.140625" bestFit="1" customWidth="1"/>
    <col min="4" max="4" width="8.7109375" bestFit="1" customWidth="1"/>
    <col min="5" max="5" width="20.85546875" bestFit="1" customWidth="1"/>
  </cols>
  <sheetData>
    <row r="2" spans="2:6" ht="30">
      <c r="B2" s="164" t="s">
        <v>1</v>
      </c>
      <c r="C2" s="21" t="s">
        <v>198</v>
      </c>
      <c r="D2" s="21" t="s">
        <v>20</v>
      </c>
      <c r="E2" s="21" t="s">
        <v>21</v>
      </c>
      <c r="F2" s="21" t="s">
        <v>169</v>
      </c>
    </row>
    <row r="3" spans="2:6">
      <c r="B3" s="19"/>
      <c r="C3" s="18" t="s">
        <v>22</v>
      </c>
      <c r="D3" s="18" t="s">
        <v>22</v>
      </c>
      <c r="E3" s="18" t="s">
        <v>22</v>
      </c>
      <c r="F3" s="18" t="s">
        <v>22</v>
      </c>
    </row>
    <row r="4" spans="2:6">
      <c r="B4" s="18" t="s">
        <v>23</v>
      </c>
      <c r="C4" s="20">
        <v>12</v>
      </c>
      <c r="D4" s="20">
        <f>2*16</f>
        <v>32</v>
      </c>
      <c r="E4" s="18">
        <v>8</v>
      </c>
      <c r="F4" s="115">
        <f>SUM(C4:E4)</f>
        <v>52</v>
      </c>
    </row>
    <row r="5" spans="2:6">
      <c r="B5" s="18" t="s">
        <v>179</v>
      </c>
      <c r="C5" s="20">
        <v>20</v>
      </c>
      <c r="D5" s="20">
        <f>2*4</f>
        <v>8</v>
      </c>
      <c r="E5" s="18">
        <v>8</v>
      </c>
      <c r="F5" s="115">
        <f t="shared" ref="F5:F12" si="0">SUM(C5:E5)</f>
        <v>36</v>
      </c>
    </row>
    <row r="6" spans="2:6">
      <c r="B6" s="18" t="s">
        <v>180</v>
      </c>
      <c r="C6" s="20">
        <v>20</v>
      </c>
      <c r="D6" s="20">
        <f>2*4</f>
        <v>8</v>
      </c>
      <c r="E6" s="18">
        <v>8</v>
      </c>
      <c r="F6" s="115">
        <f t="shared" ref="F6" si="1">SUM(C6:E6)</f>
        <v>36</v>
      </c>
    </row>
    <row r="7" spans="2:6">
      <c r="B7" s="18" t="s">
        <v>181</v>
      </c>
      <c r="C7" s="20">
        <v>20</v>
      </c>
      <c r="D7" s="20">
        <f>2*6</f>
        <v>12</v>
      </c>
      <c r="E7" s="18">
        <v>8</v>
      </c>
      <c r="F7" s="115">
        <f t="shared" si="0"/>
        <v>40</v>
      </c>
    </row>
    <row r="8" spans="2:6">
      <c r="B8" s="18" t="s">
        <v>182</v>
      </c>
      <c r="C8" s="20">
        <v>20</v>
      </c>
      <c r="D8" s="20">
        <f t="shared" ref="D8:D9" si="2">2*6</f>
        <v>12</v>
      </c>
      <c r="E8" s="18">
        <v>8</v>
      </c>
      <c r="F8" s="115">
        <f t="shared" ref="F8:F9" si="3">SUM(C8:E8)</f>
        <v>40</v>
      </c>
    </row>
    <row r="9" spans="2:6">
      <c r="B9" s="18" t="s">
        <v>183</v>
      </c>
      <c r="C9" s="20">
        <v>20</v>
      </c>
      <c r="D9" s="20">
        <f t="shared" si="2"/>
        <v>12</v>
      </c>
      <c r="E9" s="18">
        <v>8</v>
      </c>
      <c r="F9" s="115">
        <f t="shared" si="3"/>
        <v>40</v>
      </c>
    </row>
    <row r="10" spans="2:6">
      <c r="B10" s="18" t="s">
        <v>24</v>
      </c>
      <c r="C10" s="20">
        <v>16</v>
      </c>
      <c r="D10" s="20">
        <v>20</v>
      </c>
      <c r="E10" s="18">
        <v>8</v>
      </c>
      <c r="F10" s="115">
        <f t="shared" si="0"/>
        <v>44</v>
      </c>
    </row>
    <row r="11" spans="2:6">
      <c r="B11" s="18" t="s">
        <v>25</v>
      </c>
      <c r="C11" s="20">
        <v>16</v>
      </c>
      <c r="D11" s="20">
        <v>20</v>
      </c>
      <c r="E11" s="18">
        <v>8</v>
      </c>
      <c r="F11" s="115">
        <f t="shared" si="0"/>
        <v>44</v>
      </c>
    </row>
    <row r="12" spans="2:6">
      <c r="B12" s="18" t="s">
        <v>26</v>
      </c>
      <c r="C12" s="20">
        <v>8</v>
      </c>
      <c r="D12" s="20">
        <v>30</v>
      </c>
      <c r="E12" s="18">
        <v>8</v>
      </c>
      <c r="F12" s="115">
        <f t="shared" si="0"/>
        <v>46</v>
      </c>
    </row>
    <row r="13" spans="2:6">
      <c r="F13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7933C-AE9D-442E-80C3-D8C8698C6B1E}">
  <sheetPr codeName="Foglio17">
    <tabColor rgb="FF92D050"/>
    <pageSetUpPr fitToPage="1"/>
  </sheetPr>
  <dimension ref="B2:G26"/>
  <sheetViews>
    <sheetView zoomScaleNormal="100" workbookViewId="0">
      <selection activeCell="G31" sqref="G31"/>
    </sheetView>
  </sheetViews>
  <sheetFormatPr defaultRowHeight="15"/>
  <cols>
    <col min="2" max="2" width="19" bestFit="1" customWidth="1"/>
    <col min="3" max="3" width="57.140625" bestFit="1" customWidth="1"/>
    <col min="4" max="4" width="14" customWidth="1"/>
    <col min="5" max="5" width="12.140625" customWidth="1"/>
    <col min="6" max="6" width="13.5703125" customWidth="1"/>
    <col min="7" max="7" width="14.28515625" customWidth="1"/>
  </cols>
  <sheetData>
    <row r="2" spans="2:7" ht="15.75" thickBot="1"/>
    <row r="3" spans="2:7" s="10" customFormat="1" ht="45.75" thickBot="1">
      <c r="B3" s="128" t="s">
        <v>1</v>
      </c>
      <c r="C3" s="124" t="s">
        <v>0</v>
      </c>
      <c r="D3" s="120" t="s">
        <v>285</v>
      </c>
      <c r="E3" s="121" t="s">
        <v>286</v>
      </c>
      <c r="F3" s="121" t="s">
        <v>287</v>
      </c>
      <c r="G3" s="122" t="s">
        <v>288</v>
      </c>
    </row>
    <row r="4" spans="2:7">
      <c r="B4" s="129" t="s">
        <v>35</v>
      </c>
      <c r="C4" s="125" t="s">
        <v>34</v>
      </c>
      <c r="D4" s="96">
        <v>60</v>
      </c>
      <c r="E4" s="97">
        <v>80</v>
      </c>
      <c r="F4" s="97">
        <v>120</v>
      </c>
      <c r="G4" s="98">
        <v>60</v>
      </c>
    </row>
    <row r="5" spans="2:7">
      <c r="B5" s="130" t="s">
        <v>23</v>
      </c>
      <c r="C5" s="126" t="s">
        <v>34</v>
      </c>
      <c r="D5" s="101">
        <v>60</v>
      </c>
      <c r="E5" s="102">
        <v>80</v>
      </c>
      <c r="F5" s="102">
        <v>120</v>
      </c>
      <c r="G5" s="74">
        <v>60</v>
      </c>
    </row>
    <row r="6" spans="2:7">
      <c r="B6" s="130" t="s">
        <v>177</v>
      </c>
      <c r="C6" s="126" t="s">
        <v>36</v>
      </c>
      <c r="D6" s="103">
        <v>60</v>
      </c>
      <c r="E6" s="104">
        <v>80</v>
      </c>
      <c r="F6" s="104">
        <v>120</v>
      </c>
      <c r="G6" s="105">
        <v>60</v>
      </c>
    </row>
    <row r="7" spans="2:7">
      <c r="B7" s="130" t="s">
        <v>178</v>
      </c>
      <c r="C7" s="126" t="s">
        <v>37</v>
      </c>
      <c r="D7" s="103">
        <v>60</v>
      </c>
      <c r="E7" s="104">
        <v>80</v>
      </c>
      <c r="F7" s="104">
        <v>120</v>
      </c>
      <c r="G7" s="105">
        <v>60</v>
      </c>
    </row>
    <row r="8" spans="2:7">
      <c r="B8" s="130" t="s">
        <v>38</v>
      </c>
      <c r="C8" s="126" t="s">
        <v>36</v>
      </c>
      <c r="D8" s="103">
        <v>60</v>
      </c>
      <c r="E8" s="104">
        <v>80</v>
      </c>
      <c r="F8" s="104">
        <v>120</v>
      </c>
      <c r="G8" s="105">
        <v>60</v>
      </c>
    </row>
    <row r="9" spans="2:7">
      <c r="B9" s="130" t="s">
        <v>171</v>
      </c>
      <c r="C9" s="126" t="s">
        <v>176</v>
      </c>
      <c r="D9" s="101">
        <v>80</v>
      </c>
      <c r="E9" s="102">
        <v>160</v>
      </c>
      <c r="F9" s="102">
        <v>240</v>
      </c>
      <c r="G9" s="74">
        <v>80</v>
      </c>
    </row>
    <row r="10" spans="2:7">
      <c r="B10" s="130" t="s">
        <v>179</v>
      </c>
      <c r="C10" s="126" t="s">
        <v>30</v>
      </c>
      <c r="D10" s="101">
        <v>60</v>
      </c>
      <c r="E10" s="102">
        <v>80</v>
      </c>
      <c r="F10" s="102">
        <v>120</v>
      </c>
      <c r="G10" s="74">
        <v>40</v>
      </c>
    </row>
    <row r="11" spans="2:7">
      <c r="B11" s="130" t="s">
        <v>180</v>
      </c>
      <c r="C11" s="126" t="s">
        <v>31</v>
      </c>
      <c r="D11" s="101">
        <v>60</v>
      </c>
      <c r="E11" s="102">
        <v>80</v>
      </c>
      <c r="F11" s="102">
        <v>160</v>
      </c>
      <c r="G11" s="74">
        <v>40</v>
      </c>
    </row>
    <row r="12" spans="2:7">
      <c r="B12" s="130" t="s">
        <v>181</v>
      </c>
      <c r="C12" s="126" t="s">
        <v>30</v>
      </c>
      <c r="D12" s="101">
        <v>60</v>
      </c>
      <c r="E12" s="102">
        <v>80</v>
      </c>
      <c r="F12" s="102">
        <v>120</v>
      </c>
      <c r="G12" s="74">
        <v>40</v>
      </c>
    </row>
    <row r="13" spans="2:7">
      <c r="B13" s="130" t="s">
        <v>182</v>
      </c>
      <c r="C13" s="126" t="s">
        <v>32</v>
      </c>
      <c r="D13" s="101">
        <v>60</v>
      </c>
      <c r="E13" s="102">
        <v>80</v>
      </c>
      <c r="F13" s="102">
        <v>160</v>
      </c>
      <c r="G13" s="74">
        <v>40</v>
      </c>
    </row>
    <row r="14" spans="2:7">
      <c r="B14" s="130" t="s">
        <v>183</v>
      </c>
      <c r="C14" s="126" t="s">
        <v>33</v>
      </c>
      <c r="D14" s="101">
        <v>60</v>
      </c>
      <c r="E14" s="102">
        <v>80</v>
      </c>
      <c r="F14" s="102">
        <v>160</v>
      </c>
      <c r="G14" s="74">
        <v>40</v>
      </c>
    </row>
    <row r="15" spans="2:7">
      <c r="B15" s="130" t="s">
        <v>24</v>
      </c>
      <c r="C15" s="126" t="s">
        <v>174</v>
      </c>
      <c r="D15" s="101">
        <v>100</v>
      </c>
      <c r="E15" s="102">
        <v>160</v>
      </c>
      <c r="F15" s="102">
        <v>240</v>
      </c>
      <c r="G15" s="74">
        <v>80</v>
      </c>
    </row>
    <row r="16" spans="2:7">
      <c r="B16" s="130" t="s">
        <v>25</v>
      </c>
      <c r="C16" s="126" t="s">
        <v>175</v>
      </c>
      <c r="D16" s="101">
        <v>100</v>
      </c>
      <c r="E16" s="102">
        <v>160</v>
      </c>
      <c r="F16" s="102">
        <v>240</v>
      </c>
      <c r="G16" s="74">
        <v>80</v>
      </c>
    </row>
    <row r="17" spans="2:7">
      <c r="B17" s="130" t="s">
        <v>26</v>
      </c>
      <c r="C17" s="126" t="s">
        <v>174</v>
      </c>
      <c r="D17" s="101">
        <v>100</v>
      </c>
      <c r="E17" s="102">
        <v>160</v>
      </c>
      <c r="F17" s="102">
        <v>240</v>
      </c>
      <c r="G17" s="74">
        <v>80</v>
      </c>
    </row>
    <row r="18" spans="2:7" ht="15" customHeight="1">
      <c r="B18" s="130" t="s">
        <v>39</v>
      </c>
      <c r="C18" s="126" t="s">
        <v>40</v>
      </c>
      <c r="D18" s="101">
        <v>60</v>
      </c>
      <c r="E18" s="102">
        <v>80</v>
      </c>
      <c r="F18" s="102">
        <v>120</v>
      </c>
      <c r="G18" s="74">
        <v>160</v>
      </c>
    </row>
    <row r="19" spans="2:7" ht="15" customHeight="1">
      <c r="B19" s="130" t="s">
        <v>41</v>
      </c>
      <c r="C19" s="126" t="s">
        <v>42</v>
      </c>
      <c r="D19" s="101">
        <v>80</v>
      </c>
      <c r="E19" s="102">
        <v>100</v>
      </c>
      <c r="F19" s="102">
        <v>140</v>
      </c>
      <c r="G19" s="74">
        <v>160</v>
      </c>
    </row>
    <row r="20" spans="2:7" ht="15" customHeight="1">
      <c r="B20" s="130" t="s">
        <v>48</v>
      </c>
      <c r="C20" s="126" t="s">
        <v>49</v>
      </c>
      <c r="D20" s="101">
        <v>60</v>
      </c>
      <c r="E20" s="102">
        <v>80</v>
      </c>
      <c r="F20" s="102">
        <v>120</v>
      </c>
      <c r="G20" s="74">
        <v>160</v>
      </c>
    </row>
    <row r="21" spans="2:7">
      <c r="B21" s="130" t="s">
        <v>43</v>
      </c>
      <c r="C21" s="126" t="s">
        <v>44</v>
      </c>
      <c r="D21" s="101">
        <v>60</v>
      </c>
      <c r="E21" s="102">
        <v>80</v>
      </c>
      <c r="F21" s="102">
        <v>120</v>
      </c>
      <c r="G21" s="74">
        <v>160</v>
      </c>
    </row>
    <row r="22" spans="2:7" ht="15" customHeight="1">
      <c r="B22" s="130" t="s">
        <v>45</v>
      </c>
      <c r="C22" s="126" t="s">
        <v>40</v>
      </c>
      <c r="D22" s="101">
        <v>60</v>
      </c>
      <c r="E22" s="102">
        <v>80</v>
      </c>
      <c r="F22" s="102">
        <v>120</v>
      </c>
      <c r="G22" s="74">
        <v>160</v>
      </c>
    </row>
    <row r="23" spans="2:7" ht="15" customHeight="1">
      <c r="B23" s="130" t="s">
        <v>186</v>
      </c>
      <c r="C23" s="126" t="s">
        <v>185</v>
      </c>
      <c r="D23" s="101">
        <v>100</v>
      </c>
      <c r="E23" s="102">
        <v>160</v>
      </c>
      <c r="F23" s="102">
        <v>240</v>
      </c>
      <c r="G23" s="74">
        <v>160</v>
      </c>
    </row>
    <row r="24" spans="2:7" ht="15" customHeight="1">
      <c r="B24" s="130" t="s">
        <v>46</v>
      </c>
      <c r="C24" s="126" t="s">
        <v>42</v>
      </c>
      <c r="D24" s="101">
        <v>80</v>
      </c>
      <c r="E24" s="102">
        <v>100</v>
      </c>
      <c r="F24" s="102">
        <v>140</v>
      </c>
      <c r="G24" s="74">
        <v>160</v>
      </c>
    </row>
    <row r="25" spans="2:7">
      <c r="B25" s="130" t="s">
        <v>172</v>
      </c>
      <c r="C25" s="126" t="s">
        <v>30</v>
      </c>
      <c r="D25" s="101">
        <v>60</v>
      </c>
      <c r="E25" s="102">
        <v>80</v>
      </c>
      <c r="F25" s="102">
        <v>120</v>
      </c>
      <c r="G25" s="74">
        <v>40</v>
      </c>
    </row>
    <row r="26" spans="2:7" ht="15" customHeight="1" thickBot="1">
      <c r="B26" s="131" t="s">
        <v>173</v>
      </c>
      <c r="C26" s="127" t="s">
        <v>50</v>
      </c>
      <c r="D26" s="99">
        <v>60</v>
      </c>
      <c r="E26" s="100">
        <v>80</v>
      </c>
      <c r="F26" s="100">
        <v>120</v>
      </c>
      <c r="G26" s="79">
        <v>80</v>
      </c>
    </row>
  </sheetData>
  <pageMargins left="0.7" right="0.7" top="0.75" bottom="0.75" header="0.3" footer="0.3"/>
  <pageSetup paperSize="9" scale="55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0DDFC-C212-4C9F-BAA9-5594435F614E}">
  <sheetPr codeName="Foglio20">
    <tabColor rgb="FF92D050"/>
    <pageSetUpPr fitToPage="1"/>
  </sheetPr>
  <dimension ref="A1:AE31"/>
  <sheetViews>
    <sheetView zoomScaleNormal="100" workbookViewId="0">
      <selection activeCell="Q16" sqref="Q16"/>
    </sheetView>
  </sheetViews>
  <sheetFormatPr defaultRowHeight="15"/>
  <cols>
    <col min="1" max="1" width="19" bestFit="1" customWidth="1"/>
    <col min="2" max="2" width="15.7109375" style="10" customWidth="1"/>
    <col min="3" max="3" width="8.7109375" customWidth="1"/>
    <col min="4" max="4" width="15.7109375" style="10" customWidth="1"/>
    <col min="5" max="5" width="8.7109375" customWidth="1"/>
    <col min="6" max="6" width="15.7109375" style="10" customWidth="1"/>
    <col min="7" max="7" width="8.7109375" customWidth="1"/>
    <col min="8" max="8" width="15.7109375" style="10" customWidth="1"/>
    <col min="9" max="9" width="8.7109375" customWidth="1"/>
    <col min="10" max="10" width="15.7109375" style="10" customWidth="1"/>
    <col min="11" max="11" width="8.7109375" customWidth="1"/>
    <col min="12" max="12" width="15.7109375" style="10" customWidth="1"/>
    <col min="13" max="13" width="8.7109375" customWidth="1"/>
    <col min="14" max="14" width="15.7109375" style="10" customWidth="1"/>
    <col min="15" max="15" width="8.7109375" customWidth="1"/>
    <col min="16" max="16" width="15.7109375" style="10" customWidth="1"/>
    <col min="17" max="17" width="8.7109375" customWidth="1"/>
    <col min="18" max="18" width="15.7109375" style="10" customWidth="1"/>
    <col min="19" max="19" width="8.7109375" customWidth="1"/>
    <col min="20" max="20" width="15.7109375" customWidth="1"/>
    <col min="21" max="21" width="8.7109375" customWidth="1"/>
    <col min="22" max="22" width="30.7109375" customWidth="1"/>
    <col min="23" max="23" width="8.7109375" customWidth="1"/>
    <col min="24" max="24" width="15.7109375" customWidth="1"/>
    <col min="25" max="25" width="8.7109375" customWidth="1"/>
    <col min="26" max="26" width="15.7109375" customWidth="1"/>
    <col min="28" max="28" width="15.7109375" customWidth="1"/>
    <col min="30" max="30" width="15.7109375" customWidth="1"/>
  </cols>
  <sheetData>
    <row r="1" spans="1:31" ht="15.75" thickBot="1"/>
    <row r="2" spans="1:31" ht="15" customHeight="1" thickBot="1">
      <c r="A2" s="581"/>
      <c r="B2" s="576" t="s">
        <v>159</v>
      </c>
      <c r="C2" s="577"/>
      <c r="D2" s="577"/>
      <c r="E2" s="577"/>
      <c r="F2" s="577"/>
      <c r="G2" s="579"/>
      <c r="H2" s="576" t="s">
        <v>160</v>
      </c>
      <c r="I2" s="577"/>
      <c r="J2" s="577"/>
      <c r="K2" s="577"/>
      <c r="L2" s="577"/>
      <c r="M2" s="579"/>
      <c r="N2" s="576" t="s">
        <v>161</v>
      </c>
      <c r="O2" s="577"/>
      <c r="P2" s="577"/>
      <c r="Q2" s="577"/>
      <c r="R2" s="577"/>
      <c r="S2" s="578"/>
      <c r="T2" s="576" t="s">
        <v>51</v>
      </c>
      <c r="U2" s="577"/>
      <c r="V2" s="577"/>
      <c r="W2" s="577"/>
      <c r="X2" s="577"/>
      <c r="Y2" s="579"/>
      <c r="Z2" s="580" t="s">
        <v>52</v>
      </c>
      <c r="AA2" s="577"/>
      <c r="AB2" s="577"/>
      <c r="AC2" s="577"/>
      <c r="AD2" s="577"/>
      <c r="AE2" s="579"/>
    </row>
    <row r="3" spans="1:31">
      <c r="A3" s="582"/>
      <c r="B3" s="106" t="s">
        <v>53</v>
      </c>
      <c r="C3" s="107" t="s">
        <v>162</v>
      </c>
      <c r="D3" s="107" t="s">
        <v>54</v>
      </c>
      <c r="E3" s="107" t="s">
        <v>162</v>
      </c>
      <c r="F3" s="107" t="s">
        <v>55</v>
      </c>
      <c r="G3" s="108" t="s">
        <v>162</v>
      </c>
      <c r="H3" s="106" t="s">
        <v>53</v>
      </c>
      <c r="I3" s="107" t="s">
        <v>162</v>
      </c>
      <c r="J3" s="107" t="s">
        <v>54</v>
      </c>
      <c r="K3" s="107" t="s">
        <v>162</v>
      </c>
      <c r="L3" s="107" t="s">
        <v>55</v>
      </c>
      <c r="M3" s="108" t="s">
        <v>162</v>
      </c>
      <c r="N3" s="106" t="s">
        <v>53</v>
      </c>
      <c r="O3" s="107" t="s">
        <v>162</v>
      </c>
      <c r="P3" s="107" t="s">
        <v>54</v>
      </c>
      <c r="Q3" s="107" t="s">
        <v>162</v>
      </c>
      <c r="R3" s="107" t="s">
        <v>55</v>
      </c>
      <c r="S3" s="108" t="s">
        <v>162</v>
      </c>
      <c r="T3" s="106" t="s">
        <v>53</v>
      </c>
      <c r="U3" s="107" t="s">
        <v>162</v>
      </c>
      <c r="V3" s="107" t="s">
        <v>54</v>
      </c>
      <c r="W3" s="107" t="s">
        <v>162</v>
      </c>
      <c r="X3" s="107" t="s">
        <v>55</v>
      </c>
      <c r="Y3" s="108" t="s">
        <v>162</v>
      </c>
      <c r="Z3" s="106" t="s">
        <v>53</v>
      </c>
      <c r="AA3" s="107" t="s">
        <v>162</v>
      </c>
      <c r="AB3" s="107" t="s">
        <v>54</v>
      </c>
      <c r="AC3" s="107" t="s">
        <v>162</v>
      </c>
      <c r="AD3" s="107" t="s">
        <v>55</v>
      </c>
      <c r="AE3" s="108" t="s">
        <v>162</v>
      </c>
    </row>
    <row r="4" spans="1:31" ht="90">
      <c r="A4" s="133" t="s">
        <v>57</v>
      </c>
      <c r="B4" s="110" t="s">
        <v>58</v>
      </c>
      <c r="C4" s="102">
        <v>4</v>
      </c>
      <c r="D4" s="81" t="s">
        <v>59</v>
      </c>
      <c r="E4" s="102">
        <v>8</v>
      </c>
      <c r="F4" s="81" t="s">
        <v>61</v>
      </c>
      <c r="G4" s="111">
        <f>E4 + 10</f>
        <v>18</v>
      </c>
      <c r="H4" s="110" t="s">
        <v>58</v>
      </c>
      <c r="I4" s="102">
        <v>4</v>
      </c>
      <c r="J4" s="81" t="s">
        <v>60</v>
      </c>
      <c r="K4" s="102">
        <v>32</v>
      </c>
      <c r="L4" s="81" t="s">
        <v>62</v>
      </c>
      <c r="M4" s="111">
        <f>K4 + 20</f>
        <v>52</v>
      </c>
      <c r="N4" s="152" t="s">
        <v>56</v>
      </c>
      <c r="O4" s="102" t="s">
        <v>56</v>
      </c>
      <c r="P4" s="81" t="s">
        <v>68</v>
      </c>
      <c r="Q4" s="82">
        <v>40</v>
      </c>
      <c r="R4" s="81" t="s">
        <v>61</v>
      </c>
      <c r="S4" s="149">
        <v>50</v>
      </c>
      <c r="T4" s="152" t="s">
        <v>63</v>
      </c>
      <c r="U4" s="83">
        <v>8</v>
      </c>
      <c r="V4" s="83" t="s">
        <v>157</v>
      </c>
      <c r="W4" s="83">
        <v>30</v>
      </c>
      <c r="X4" s="81" t="s">
        <v>64</v>
      </c>
      <c r="Y4" s="149">
        <v>50</v>
      </c>
      <c r="Z4" s="110" t="s">
        <v>65</v>
      </c>
      <c r="AA4" s="81">
        <v>30</v>
      </c>
      <c r="AB4" s="81" t="s">
        <v>66</v>
      </c>
      <c r="AC4" s="81">
        <v>40</v>
      </c>
      <c r="AD4" s="82" t="s">
        <v>67</v>
      </c>
      <c r="AE4" s="149">
        <v>50</v>
      </c>
    </row>
    <row r="5" spans="1:31" ht="45" customHeight="1">
      <c r="A5" s="109" t="s">
        <v>69</v>
      </c>
      <c r="B5" s="110" t="s">
        <v>58</v>
      </c>
      <c r="C5" s="102">
        <v>4</v>
      </c>
      <c r="D5" s="81" t="s">
        <v>70</v>
      </c>
      <c r="E5" s="102">
        <v>8</v>
      </c>
      <c r="F5" s="81" t="s">
        <v>72</v>
      </c>
      <c r="G5" s="111">
        <f>E5+ 20</f>
        <v>28</v>
      </c>
      <c r="H5" s="110" t="s">
        <v>58</v>
      </c>
      <c r="I5" s="102">
        <v>4</v>
      </c>
      <c r="J5" s="81" t="s">
        <v>60</v>
      </c>
      <c r="K5" s="102">
        <v>32</v>
      </c>
      <c r="L5" s="81" t="s">
        <v>62</v>
      </c>
      <c r="M5" s="111">
        <f>K5 + 20</f>
        <v>52</v>
      </c>
      <c r="N5" s="152" t="s">
        <v>56</v>
      </c>
      <c r="O5" s="102" t="s">
        <v>56</v>
      </c>
      <c r="P5" s="81" t="s">
        <v>71</v>
      </c>
      <c r="Q5" s="82">
        <v>40</v>
      </c>
      <c r="R5" s="81" t="s">
        <v>61</v>
      </c>
      <c r="S5" s="149">
        <v>60</v>
      </c>
      <c r="T5" s="152" t="s">
        <v>63</v>
      </c>
      <c r="U5" s="83">
        <v>8</v>
      </c>
      <c r="V5" s="83" t="s">
        <v>158</v>
      </c>
      <c r="W5" s="83">
        <v>30</v>
      </c>
      <c r="X5" s="81" t="s">
        <v>64</v>
      </c>
      <c r="Y5" s="149">
        <v>50</v>
      </c>
      <c r="Z5" s="110" t="s">
        <v>65</v>
      </c>
      <c r="AA5" s="81">
        <v>30</v>
      </c>
      <c r="AB5" s="81" t="s">
        <v>66</v>
      </c>
      <c r="AC5" s="81">
        <v>40</v>
      </c>
      <c r="AD5" s="82" t="s">
        <v>67</v>
      </c>
      <c r="AE5" s="149">
        <v>60</v>
      </c>
    </row>
    <row r="6" spans="1:31" ht="45" customHeight="1" thickBot="1">
      <c r="A6" s="132" t="s">
        <v>73</v>
      </c>
      <c r="B6" s="112" t="s">
        <v>58</v>
      </c>
      <c r="C6" s="100">
        <v>4</v>
      </c>
      <c r="D6" s="113" t="s">
        <v>74</v>
      </c>
      <c r="E6" s="100">
        <v>40</v>
      </c>
      <c r="F6" s="113" t="s">
        <v>61</v>
      </c>
      <c r="G6" s="114">
        <f>E6 + 10</f>
        <v>50</v>
      </c>
      <c r="H6" s="112" t="s">
        <v>58</v>
      </c>
      <c r="I6" s="100">
        <v>4</v>
      </c>
      <c r="J6" s="113" t="s">
        <v>60</v>
      </c>
      <c r="K6" s="100">
        <v>32</v>
      </c>
      <c r="L6" s="113" t="s">
        <v>62</v>
      </c>
      <c r="M6" s="114">
        <f>K6 + 20</f>
        <v>52</v>
      </c>
      <c r="N6" s="153" t="s">
        <v>56</v>
      </c>
      <c r="O6" s="100" t="s">
        <v>56</v>
      </c>
      <c r="P6" s="113" t="s">
        <v>68</v>
      </c>
      <c r="Q6" s="150">
        <v>40</v>
      </c>
      <c r="R6" s="113" t="s">
        <v>61</v>
      </c>
      <c r="S6" s="151">
        <v>50</v>
      </c>
      <c r="T6" s="153" t="s">
        <v>63</v>
      </c>
      <c r="U6" s="154">
        <v>8</v>
      </c>
      <c r="V6" s="154" t="s">
        <v>157</v>
      </c>
      <c r="W6" s="154">
        <v>30</v>
      </c>
      <c r="X6" s="113" t="s">
        <v>64</v>
      </c>
      <c r="Y6" s="151">
        <v>50</v>
      </c>
      <c r="Z6" s="112" t="s">
        <v>65</v>
      </c>
      <c r="AA6" s="113">
        <v>30</v>
      </c>
      <c r="AB6" s="113" t="s">
        <v>66</v>
      </c>
      <c r="AC6" s="113">
        <v>40</v>
      </c>
      <c r="AD6" s="150" t="s">
        <v>67</v>
      </c>
      <c r="AE6" s="151">
        <v>50</v>
      </c>
    </row>
    <row r="7" spans="1:31" ht="45" customHeight="1" thickBot="1">
      <c r="A7" s="530" t="s">
        <v>1</v>
      </c>
      <c r="B7" s="572" t="s">
        <v>159</v>
      </c>
      <c r="C7" s="573"/>
      <c r="D7" s="574"/>
      <c r="E7" s="573" t="s">
        <v>160</v>
      </c>
      <c r="F7" s="573"/>
      <c r="G7" s="574"/>
      <c r="H7" s="573" t="s">
        <v>161</v>
      </c>
      <c r="I7" s="573"/>
      <c r="J7" s="574"/>
      <c r="K7" s="573" t="s">
        <v>115</v>
      </c>
      <c r="L7" s="573"/>
      <c r="M7" s="574"/>
      <c r="N7" s="570" t="s">
        <v>184</v>
      </c>
      <c r="O7" s="570"/>
      <c r="P7" s="571"/>
    </row>
    <row r="8" spans="1:31" ht="15" customHeight="1" thickBot="1">
      <c r="A8" s="575"/>
      <c r="B8" s="136" t="s">
        <v>53</v>
      </c>
      <c r="C8" s="137" t="s">
        <v>54</v>
      </c>
      <c r="D8" s="139" t="s">
        <v>55</v>
      </c>
      <c r="E8" s="138" t="s">
        <v>53</v>
      </c>
      <c r="F8" s="137" t="s">
        <v>54</v>
      </c>
      <c r="G8" s="140" t="s">
        <v>55</v>
      </c>
      <c r="H8" s="136" t="s">
        <v>53</v>
      </c>
      <c r="I8" s="137" t="s">
        <v>54</v>
      </c>
      <c r="J8" s="139" t="s">
        <v>55</v>
      </c>
      <c r="K8" s="136" t="s">
        <v>53</v>
      </c>
      <c r="L8" s="137" t="s">
        <v>54</v>
      </c>
      <c r="M8" s="139" t="s">
        <v>55</v>
      </c>
      <c r="N8" s="136" t="s">
        <v>53</v>
      </c>
      <c r="O8" s="137" t="s">
        <v>54</v>
      </c>
      <c r="P8" s="139" t="s">
        <v>55</v>
      </c>
      <c r="U8" s="30"/>
    </row>
    <row r="9" spans="1:31" ht="15" customHeight="1">
      <c r="A9" s="141" t="s">
        <v>35</v>
      </c>
      <c r="B9" s="96">
        <v>4</v>
      </c>
      <c r="C9" s="97">
        <v>8</v>
      </c>
      <c r="D9" s="144">
        <v>18</v>
      </c>
      <c r="E9" s="97">
        <v>4</v>
      </c>
      <c r="F9" s="97">
        <v>32</v>
      </c>
      <c r="G9" s="144">
        <v>52</v>
      </c>
      <c r="H9" s="97">
        <v>0</v>
      </c>
      <c r="I9" s="97">
        <v>40</v>
      </c>
      <c r="J9" s="144">
        <v>50</v>
      </c>
      <c r="K9" s="97">
        <v>8</v>
      </c>
      <c r="L9" s="97">
        <v>30</v>
      </c>
      <c r="M9" s="144">
        <v>50</v>
      </c>
      <c r="N9" s="97">
        <v>30</v>
      </c>
      <c r="O9" s="97">
        <v>40</v>
      </c>
      <c r="P9" s="144">
        <v>50</v>
      </c>
    </row>
    <row r="10" spans="1:31" ht="15" customHeight="1">
      <c r="A10" s="142" t="s">
        <v>23</v>
      </c>
      <c r="B10" s="145">
        <v>4</v>
      </c>
      <c r="C10" s="134">
        <v>8</v>
      </c>
      <c r="D10" s="135">
        <v>18</v>
      </c>
      <c r="E10" s="134">
        <v>4</v>
      </c>
      <c r="F10" s="134">
        <v>32</v>
      </c>
      <c r="G10" s="135">
        <v>52</v>
      </c>
      <c r="H10" s="134">
        <v>0</v>
      </c>
      <c r="I10" s="134">
        <v>40</v>
      </c>
      <c r="J10" s="135">
        <v>50</v>
      </c>
      <c r="K10" s="134">
        <v>8</v>
      </c>
      <c r="L10" s="134">
        <v>30</v>
      </c>
      <c r="M10" s="135">
        <v>50</v>
      </c>
      <c r="N10" s="134">
        <v>30</v>
      </c>
      <c r="O10" s="134">
        <v>40</v>
      </c>
      <c r="P10" s="135">
        <v>50</v>
      </c>
    </row>
    <row r="11" spans="1:31" ht="15" customHeight="1">
      <c r="A11" s="142" t="s">
        <v>177</v>
      </c>
      <c r="B11" s="145">
        <v>4</v>
      </c>
      <c r="C11" s="134">
        <v>8</v>
      </c>
      <c r="D11" s="135">
        <v>18</v>
      </c>
      <c r="E11" s="134">
        <v>4</v>
      </c>
      <c r="F11" s="134">
        <v>32</v>
      </c>
      <c r="G11" s="135">
        <v>52</v>
      </c>
      <c r="H11" s="134">
        <v>0</v>
      </c>
      <c r="I11" s="134">
        <v>40</v>
      </c>
      <c r="J11" s="135">
        <v>50</v>
      </c>
      <c r="K11" s="134">
        <v>8</v>
      </c>
      <c r="L11" s="134">
        <v>30</v>
      </c>
      <c r="M11" s="135">
        <v>50</v>
      </c>
      <c r="N11" s="134">
        <v>30</v>
      </c>
      <c r="O11" s="134">
        <v>40</v>
      </c>
      <c r="P11" s="135">
        <v>50</v>
      </c>
    </row>
    <row r="12" spans="1:31" ht="15" customHeight="1">
      <c r="A12" s="142" t="s">
        <v>178</v>
      </c>
      <c r="B12" s="145">
        <v>4</v>
      </c>
      <c r="C12" s="134">
        <v>8</v>
      </c>
      <c r="D12" s="135">
        <v>18</v>
      </c>
      <c r="E12" s="134">
        <v>4</v>
      </c>
      <c r="F12" s="134">
        <v>32</v>
      </c>
      <c r="G12" s="135">
        <v>52</v>
      </c>
      <c r="H12" s="134">
        <v>0</v>
      </c>
      <c r="I12" s="134">
        <v>40</v>
      </c>
      <c r="J12" s="135">
        <v>50</v>
      </c>
      <c r="K12" s="134">
        <v>8</v>
      </c>
      <c r="L12" s="134">
        <v>30</v>
      </c>
      <c r="M12" s="135">
        <v>50</v>
      </c>
      <c r="N12" s="134">
        <v>30</v>
      </c>
      <c r="O12" s="134">
        <v>40</v>
      </c>
      <c r="P12" s="135">
        <v>50</v>
      </c>
    </row>
    <row r="13" spans="1:31" ht="15" customHeight="1">
      <c r="A13" s="142" t="s">
        <v>38</v>
      </c>
      <c r="B13" s="145">
        <v>4</v>
      </c>
      <c r="C13" s="134">
        <v>8</v>
      </c>
      <c r="D13" s="135">
        <v>18</v>
      </c>
      <c r="E13" s="134">
        <v>4</v>
      </c>
      <c r="F13" s="134">
        <v>32</v>
      </c>
      <c r="G13" s="135">
        <v>52</v>
      </c>
      <c r="H13" s="134">
        <v>0</v>
      </c>
      <c r="I13" s="134">
        <v>40</v>
      </c>
      <c r="J13" s="135">
        <v>50</v>
      </c>
      <c r="K13" s="134">
        <v>8</v>
      </c>
      <c r="L13" s="134">
        <v>30</v>
      </c>
      <c r="M13" s="135">
        <v>50</v>
      </c>
      <c r="N13" s="134">
        <v>30</v>
      </c>
      <c r="O13" s="134">
        <v>40</v>
      </c>
      <c r="P13" s="135">
        <v>50</v>
      </c>
    </row>
    <row r="14" spans="1:31" ht="15" customHeight="1">
      <c r="A14" s="142" t="s">
        <v>171</v>
      </c>
      <c r="B14" s="145">
        <v>4</v>
      </c>
      <c r="C14" s="134">
        <v>8</v>
      </c>
      <c r="D14" s="135">
        <v>18</v>
      </c>
      <c r="E14" s="134">
        <v>4</v>
      </c>
      <c r="F14" s="134">
        <v>32</v>
      </c>
      <c r="G14" s="135">
        <v>52</v>
      </c>
      <c r="H14" s="134">
        <v>0</v>
      </c>
      <c r="I14" s="134">
        <v>40</v>
      </c>
      <c r="J14" s="135">
        <v>50</v>
      </c>
      <c r="K14" s="134">
        <v>8</v>
      </c>
      <c r="L14" s="134">
        <v>30</v>
      </c>
      <c r="M14" s="135">
        <v>50</v>
      </c>
      <c r="N14" s="134">
        <v>30</v>
      </c>
      <c r="O14" s="134">
        <v>40</v>
      </c>
      <c r="P14" s="135">
        <v>50</v>
      </c>
    </row>
    <row r="15" spans="1:31" ht="15" customHeight="1">
      <c r="A15" s="142" t="s">
        <v>179</v>
      </c>
      <c r="B15" s="145">
        <v>4</v>
      </c>
      <c r="C15" s="134">
        <v>8</v>
      </c>
      <c r="D15" s="135">
        <v>18</v>
      </c>
      <c r="E15" s="134">
        <v>4</v>
      </c>
      <c r="F15" s="134">
        <v>32</v>
      </c>
      <c r="G15" s="135">
        <v>52</v>
      </c>
      <c r="H15" s="134">
        <v>0</v>
      </c>
      <c r="I15" s="134">
        <v>40</v>
      </c>
      <c r="J15" s="135">
        <v>50</v>
      </c>
      <c r="K15" s="134">
        <v>8</v>
      </c>
      <c r="L15" s="134">
        <v>30</v>
      </c>
      <c r="M15" s="135">
        <v>50</v>
      </c>
      <c r="N15" s="134">
        <v>30</v>
      </c>
      <c r="O15" s="134">
        <v>40</v>
      </c>
      <c r="P15" s="135">
        <v>50</v>
      </c>
    </row>
    <row r="16" spans="1:31" ht="15" customHeight="1">
      <c r="A16" s="142" t="s">
        <v>180</v>
      </c>
      <c r="B16" s="145">
        <v>4</v>
      </c>
      <c r="C16" s="134">
        <v>8</v>
      </c>
      <c r="D16" s="135">
        <v>18</v>
      </c>
      <c r="E16" s="134">
        <v>4</v>
      </c>
      <c r="F16" s="134">
        <v>32</v>
      </c>
      <c r="G16" s="135">
        <v>52</v>
      </c>
      <c r="H16" s="134">
        <v>0</v>
      </c>
      <c r="I16" s="134">
        <v>40</v>
      </c>
      <c r="J16" s="135">
        <v>50</v>
      </c>
      <c r="K16" s="134">
        <v>8</v>
      </c>
      <c r="L16" s="134">
        <v>30</v>
      </c>
      <c r="M16" s="135">
        <v>50</v>
      </c>
      <c r="N16" s="134">
        <v>30</v>
      </c>
      <c r="O16" s="134">
        <v>40</v>
      </c>
      <c r="P16" s="135">
        <v>50</v>
      </c>
    </row>
    <row r="17" spans="1:16" ht="15" customHeight="1">
      <c r="A17" s="142" t="s">
        <v>181</v>
      </c>
      <c r="B17" s="145">
        <v>4</v>
      </c>
      <c r="C17" s="134">
        <v>8</v>
      </c>
      <c r="D17" s="135">
        <v>18</v>
      </c>
      <c r="E17" s="134">
        <v>4</v>
      </c>
      <c r="F17" s="134">
        <v>32</v>
      </c>
      <c r="G17" s="135">
        <v>52</v>
      </c>
      <c r="H17" s="134">
        <v>0</v>
      </c>
      <c r="I17" s="134">
        <v>40</v>
      </c>
      <c r="J17" s="135">
        <v>50</v>
      </c>
      <c r="K17" s="134">
        <v>8</v>
      </c>
      <c r="L17" s="134">
        <v>30</v>
      </c>
      <c r="M17" s="135">
        <v>50</v>
      </c>
      <c r="N17" s="134">
        <v>30</v>
      </c>
      <c r="O17" s="134">
        <v>40</v>
      </c>
      <c r="P17" s="135">
        <v>50</v>
      </c>
    </row>
    <row r="18" spans="1:16" ht="15" customHeight="1">
      <c r="A18" s="142" t="s">
        <v>182</v>
      </c>
      <c r="B18" s="145">
        <v>4</v>
      </c>
      <c r="C18" s="134">
        <v>8</v>
      </c>
      <c r="D18" s="135">
        <v>18</v>
      </c>
      <c r="E18" s="134">
        <v>4</v>
      </c>
      <c r="F18" s="134">
        <v>32</v>
      </c>
      <c r="G18" s="135">
        <v>52</v>
      </c>
      <c r="H18" s="134">
        <v>0</v>
      </c>
      <c r="I18" s="134">
        <v>40</v>
      </c>
      <c r="J18" s="135">
        <v>50</v>
      </c>
      <c r="K18" s="134">
        <v>8</v>
      </c>
      <c r="L18" s="134">
        <v>30</v>
      </c>
      <c r="M18" s="135">
        <v>50</v>
      </c>
      <c r="N18" s="134">
        <v>30</v>
      </c>
      <c r="O18" s="134">
        <v>40</v>
      </c>
      <c r="P18" s="135">
        <v>50</v>
      </c>
    </row>
    <row r="19" spans="1:16" ht="15" customHeight="1">
      <c r="A19" s="142" t="s">
        <v>183</v>
      </c>
      <c r="B19" s="145">
        <v>4</v>
      </c>
      <c r="C19" s="134">
        <v>8</v>
      </c>
      <c r="D19" s="135">
        <v>18</v>
      </c>
      <c r="E19" s="134">
        <v>4</v>
      </c>
      <c r="F19" s="134">
        <v>32</v>
      </c>
      <c r="G19" s="135">
        <v>52</v>
      </c>
      <c r="H19" s="134">
        <v>0</v>
      </c>
      <c r="I19" s="134">
        <v>40</v>
      </c>
      <c r="J19" s="135">
        <v>50</v>
      </c>
      <c r="K19" s="134">
        <v>8</v>
      </c>
      <c r="L19" s="134">
        <v>30</v>
      </c>
      <c r="M19" s="135">
        <v>50</v>
      </c>
      <c r="N19" s="134">
        <v>30</v>
      </c>
      <c r="O19" s="134">
        <v>40</v>
      </c>
      <c r="P19" s="135">
        <v>50</v>
      </c>
    </row>
    <row r="20" spans="1:16">
      <c r="A20" s="142" t="s">
        <v>24</v>
      </c>
      <c r="B20" s="145">
        <v>4</v>
      </c>
      <c r="C20" s="134">
        <v>40</v>
      </c>
      <c r="D20" s="135">
        <v>50</v>
      </c>
      <c r="E20" s="134">
        <v>4</v>
      </c>
      <c r="F20" s="134">
        <v>32</v>
      </c>
      <c r="G20" s="135">
        <v>52</v>
      </c>
      <c r="H20" s="134">
        <v>0</v>
      </c>
      <c r="I20" s="134">
        <v>40</v>
      </c>
      <c r="J20" s="135">
        <v>50</v>
      </c>
      <c r="K20" s="134">
        <v>8</v>
      </c>
      <c r="L20" s="134">
        <v>30</v>
      </c>
      <c r="M20" s="135">
        <v>50</v>
      </c>
      <c r="N20" s="134">
        <v>30</v>
      </c>
      <c r="O20" s="134">
        <v>40</v>
      </c>
      <c r="P20" s="135">
        <v>50</v>
      </c>
    </row>
    <row r="21" spans="1:16">
      <c r="A21" s="142" t="s">
        <v>25</v>
      </c>
      <c r="B21" s="145">
        <v>4</v>
      </c>
      <c r="C21" s="134">
        <v>40</v>
      </c>
      <c r="D21" s="135">
        <v>50</v>
      </c>
      <c r="E21" s="134">
        <v>4</v>
      </c>
      <c r="F21" s="134">
        <v>32</v>
      </c>
      <c r="G21" s="135">
        <v>52</v>
      </c>
      <c r="H21" s="134">
        <v>0</v>
      </c>
      <c r="I21" s="134">
        <v>40</v>
      </c>
      <c r="J21" s="135">
        <v>50</v>
      </c>
      <c r="K21" s="134">
        <v>8</v>
      </c>
      <c r="L21" s="134">
        <v>30</v>
      </c>
      <c r="M21" s="135">
        <v>50</v>
      </c>
      <c r="N21" s="134">
        <v>30</v>
      </c>
      <c r="O21" s="134">
        <v>40</v>
      </c>
      <c r="P21" s="135">
        <v>50</v>
      </c>
    </row>
    <row r="22" spans="1:16">
      <c r="A22" s="142" t="s">
        <v>26</v>
      </c>
      <c r="B22" s="145">
        <v>4</v>
      </c>
      <c r="C22" s="134">
        <v>40</v>
      </c>
      <c r="D22" s="135">
        <v>50</v>
      </c>
      <c r="E22" s="134">
        <v>4</v>
      </c>
      <c r="F22" s="134">
        <v>32</v>
      </c>
      <c r="G22" s="135">
        <v>52</v>
      </c>
      <c r="H22" s="134">
        <v>0</v>
      </c>
      <c r="I22" s="134">
        <v>40</v>
      </c>
      <c r="J22" s="135">
        <v>50</v>
      </c>
      <c r="K22" s="134">
        <v>8</v>
      </c>
      <c r="L22" s="134">
        <v>30</v>
      </c>
      <c r="M22" s="135">
        <v>50</v>
      </c>
      <c r="N22" s="134">
        <v>30</v>
      </c>
      <c r="O22" s="134">
        <v>40</v>
      </c>
      <c r="P22" s="135">
        <v>50</v>
      </c>
    </row>
    <row r="23" spans="1:16">
      <c r="A23" s="142" t="s">
        <v>39</v>
      </c>
      <c r="B23" s="145">
        <v>4</v>
      </c>
      <c r="C23" s="134">
        <v>8</v>
      </c>
      <c r="D23" s="135">
        <v>28</v>
      </c>
      <c r="E23" s="134">
        <v>4</v>
      </c>
      <c r="F23" s="134">
        <v>32</v>
      </c>
      <c r="G23" s="135">
        <v>52</v>
      </c>
      <c r="H23" s="134">
        <v>0</v>
      </c>
      <c r="I23" s="134">
        <v>40</v>
      </c>
      <c r="J23" s="135">
        <v>60</v>
      </c>
      <c r="K23" s="134">
        <v>8</v>
      </c>
      <c r="L23" s="134">
        <v>30</v>
      </c>
      <c r="M23" s="135">
        <v>50</v>
      </c>
      <c r="N23" s="134">
        <v>30</v>
      </c>
      <c r="O23" s="134">
        <v>40</v>
      </c>
      <c r="P23" s="135">
        <v>60</v>
      </c>
    </row>
    <row r="24" spans="1:16">
      <c r="A24" s="142" t="s">
        <v>41</v>
      </c>
      <c r="B24" s="145">
        <v>4</v>
      </c>
      <c r="C24" s="134">
        <v>8</v>
      </c>
      <c r="D24" s="135">
        <v>28</v>
      </c>
      <c r="E24" s="134">
        <v>4</v>
      </c>
      <c r="F24" s="134">
        <v>32</v>
      </c>
      <c r="G24" s="135">
        <v>52</v>
      </c>
      <c r="H24" s="134">
        <v>0</v>
      </c>
      <c r="I24" s="134">
        <v>40</v>
      </c>
      <c r="J24" s="135">
        <v>60</v>
      </c>
      <c r="K24" s="134">
        <v>8</v>
      </c>
      <c r="L24" s="134">
        <v>30</v>
      </c>
      <c r="M24" s="135">
        <v>50</v>
      </c>
      <c r="N24" s="134">
        <v>30</v>
      </c>
      <c r="O24" s="134">
        <v>40</v>
      </c>
      <c r="P24" s="135">
        <v>60</v>
      </c>
    </row>
    <row r="25" spans="1:16">
      <c r="A25" s="142" t="s">
        <v>48</v>
      </c>
      <c r="B25" s="145">
        <v>4</v>
      </c>
      <c r="C25" s="134">
        <v>8</v>
      </c>
      <c r="D25" s="135">
        <v>28</v>
      </c>
      <c r="E25" s="134">
        <v>4</v>
      </c>
      <c r="F25" s="134">
        <v>32</v>
      </c>
      <c r="G25" s="135">
        <v>52</v>
      </c>
      <c r="H25" s="134">
        <v>0</v>
      </c>
      <c r="I25" s="134">
        <v>40</v>
      </c>
      <c r="J25" s="135">
        <v>60</v>
      </c>
      <c r="K25" s="134">
        <v>8</v>
      </c>
      <c r="L25" s="134">
        <v>30</v>
      </c>
      <c r="M25" s="135">
        <v>50</v>
      </c>
      <c r="N25" s="134">
        <v>30</v>
      </c>
      <c r="O25" s="134">
        <v>40</v>
      </c>
      <c r="P25" s="135">
        <v>60</v>
      </c>
    </row>
    <row r="26" spans="1:16">
      <c r="A26" s="142" t="s">
        <v>43</v>
      </c>
      <c r="B26" s="145">
        <v>4</v>
      </c>
      <c r="C26" s="134">
        <v>8</v>
      </c>
      <c r="D26" s="135">
        <v>28</v>
      </c>
      <c r="E26" s="134">
        <v>4</v>
      </c>
      <c r="F26" s="134">
        <v>32</v>
      </c>
      <c r="G26" s="135">
        <v>52</v>
      </c>
      <c r="H26" s="134">
        <v>0</v>
      </c>
      <c r="I26" s="134">
        <v>40</v>
      </c>
      <c r="J26" s="135">
        <v>60</v>
      </c>
      <c r="K26" s="134">
        <v>8</v>
      </c>
      <c r="L26" s="134">
        <v>30</v>
      </c>
      <c r="M26" s="135">
        <v>50</v>
      </c>
      <c r="N26" s="134">
        <v>30</v>
      </c>
      <c r="O26" s="134">
        <v>40</v>
      </c>
      <c r="P26" s="135">
        <v>60</v>
      </c>
    </row>
    <row r="27" spans="1:16">
      <c r="A27" s="142" t="s">
        <v>45</v>
      </c>
      <c r="B27" s="145">
        <v>4</v>
      </c>
      <c r="C27" s="134">
        <v>8</v>
      </c>
      <c r="D27" s="135">
        <v>28</v>
      </c>
      <c r="E27" s="134">
        <v>4</v>
      </c>
      <c r="F27" s="134">
        <v>32</v>
      </c>
      <c r="G27" s="135">
        <v>52</v>
      </c>
      <c r="H27" s="134">
        <v>0</v>
      </c>
      <c r="I27" s="134">
        <v>40</v>
      </c>
      <c r="J27" s="135">
        <v>60</v>
      </c>
      <c r="K27" s="134">
        <v>8</v>
      </c>
      <c r="L27" s="134">
        <v>30</v>
      </c>
      <c r="M27" s="135">
        <v>50</v>
      </c>
      <c r="N27" s="134">
        <v>30</v>
      </c>
      <c r="O27" s="134">
        <v>40</v>
      </c>
      <c r="P27" s="135">
        <v>60</v>
      </c>
    </row>
    <row r="28" spans="1:16">
      <c r="A28" s="142" t="s">
        <v>47</v>
      </c>
      <c r="B28" s="145">
        <v>4</v>
      </c>
      <c r="C28" s="134">
        <v>8</v>
      </c>
      <c r="D28" s="135">
        <v>28</v>
      </c>
      <c r="E28" s="134">
        <v>4</v>
      </c>
      <c r="F28" s="134">
        <v>32</v>
      </c>
      <c r="G28" s="135">
        <v>52</v>
      </c>
      <c r="H28" s="134">
        <v>0</v>
      </c>
      <c r="I28" s="134">
        <v>40</v>
      </c>
      <c r="J28" s="135">
        <v>60</v>
      </c>
      <c r="K28" s="134">
        <v>8</v>
      </c>
      <c r="L28" s="134">
        <v>30</v>
      </c>
      <c r="M28" s="135">
        <v>50</v>
      </c>
      <c r="N28" s="134">
        <v>30</v>
      </c>
      <c r="O28" s="134">
        <v>40</v>
      </c>
      <c r="P28" s="135">
        <v>60</v>
      </c>
    </row>
    <row r="29" spans="1:16">
      <c r="A29" s="142" t="s">
        <v>46</v>
      </c>
      <c r="B29" s="145">
        <v>4</v>
      </c>
      <c r="C29" s="134">
        <v>8</v>
      </c>
      <c r="D29" s="135">
        <v>28</v>
      </c>
      <c r="E29" s="134">
        <v>4</v>
      </c>
      <c r="F29" s="134">
        <v>32</v>
      </c>
      <c r="G29" s="135">
        <v>52</v>
      </c>
      <c r="H29" s="134">
        <v>0</v>
      </c>
      <c r="I29" s="134">
        <v>40</v>
      </c>
      <c r="J29" s="135">
        <v>60</v>
      </c>
      <c r="K29" s="134">
        <v>8</v>
      </c>
      <c r="L29" s="134">
        <v>30</v>
      </c>
      <c r="M29" s="135">
        <v>50</v>
      </c>
      <c r="N29" s="134">
        <v>30</v>
      </c>
      <c r="O29" s="134">
        <v>40</v>
      </c>
      <c r="P29" s="135">
        <v>60</v>
      </c>
    </row>
    <row r="30" spans="1:16">
      <c r="A30" s="142" t="s">
        <v>172</v>
      </c>
      <c r="B30" s="145">
        <v>4</v>
      </c>
      <c r="C30" s="134">
        <v>8</v>
      </c>
      <c r="D30" s="135">
        <v>18</v>
      </c>
      <c r="E30" s="134">
        <v>4</v>
      </c>
      <c r="F30" s="134">
        <v>32</v>
      </c>
      <c r="G30" s="135">
        <v>52</v>
      </c>
      <c r="H30" s="134">
        <v>0</v>
      </c>
      <c r="I30" s="134">
        <v>40</v>
      </c>
      <c r="J30" s="135">
        <v>50</v>
      </c>
      <c r="K30" s="134">
        <v>8</v>
      </c>
      <c r="L30" s="134">
        <v>30</v>
      </c>
      <c r="M30" s="135">
        <v>50</v>
      </c>
      <c r="N30" s="134">
        <v>30</v>
      </c>
      <c r="O30" s="134">
        <v>40</v>
      </c>
      <c r="P30" s="135">
        <v>50</v>
      </c>
    </row>
    <row r="31" spans="1:16" ht="15.75" thickBot="1">
      <c r="A31" s="143" t="s">
        <v>173</v>
      </c>
      <c r="B31" s="146">
        <v>4</v>
      </c>
      <c r="C31" s="147">
        <v>8</v>
      </c>
      <c r="D31" s="148">
        <v>18</v>
      </c>
      <c r="E31" s="147">
        <v>4</v>
      </c>
      <c r="F31" s="147">
        <v>32</v>
      </c>
      <c r="G31" s="148">
        <v>52</v>
      </c>
      <c r="H31" s="147">
        <v>0</v>
      </c>
      <c r="I31" s="147">
        <v>40</v>
      </c>
      <c r="J31" s="148">
        <v>50</v>
      </c>
      <c r="K31" s="147">
        <v>8</v>
      </c>
      <c r="L31" s="147">
        <v>30</v>
      </c>
      <c r="M31" s="148">
        <v>50</v>
      </c>
      <c r="N31" s="147">
        <v>30</v>
      </c>
      <c r="O31" s="147">
        <v>40</v>
      </c>
      <c r="P31" s="148">
        <v>50</v>
      </c>
    </row>
  </sheetData>
  <mergeCells count="12">
    <mergeCell ref="N2:S2"/>
    <mergeCell ref="T2:Y2"/>
    <mergeCell ref="Z2:AE2"/>
    <mergeCell ref="A2:A3"/>
    <mergeCell ref="B2:G2"/>
    <mergeCell ref="H2:M2"/>
    <mergeCell ref="N7:P7"/>
    <mergeCell ref="B7:D7"/>
    <mergeCell ref="A7:A8"/>
    <mergeCell ref="E7:G7"/>
    <mergeCell ref="H7:J7"/>
    <mergeCell ref="K7:M7"/>
  </mergeCells>
  <pageMargins left="0.7" right="0.7" top="0.75" bottom="0.75" header="0.3" footer="0.3"/>
  <pageSetup paperSize="9" scale="32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A2CD0-EA57-4D2B-9513-261E2E82FA43}">
  <sheetPr codeName="Foglio1">
    <tabColor rgb="FF92D050"/>
  </sheetPr>
  <dimension ref="B1:N62"/>
  <sheetViews>
    <sheetView workbookViewId="0">
      <selection activeCell="I66" sqref="I66"/>
    </sheetView>
  </sheetViews>
  <sheetFormatPr defaultRowHeight="12.75"/>
  <cols>
    <col min="1" max="1" width="9.140625" style="155"/>
    <col min="2" max="2" width="19" style="155" bestFit="1" customWidth="1"/>
    <col min="3" max="3" width="57.140625" style="155" bestFit="1" customWidth="1"/>
    <col min="4" max="6" width="12.7109375" style="155" customWidth="1"/>
    <col min="7" max="7" width="9.140625" style="155"/>
    <col min="8" max="8" width="13.28515625" style="155" customWidth="1"/>
    <col min="9" max="11" width="16.140625" style="155" customWidth="1"/>
    <col min="12" max="13" width="22.140625" style="155" customWidth="1"/>
    <col min="14" max="16384" width="9.140625" style="155"/>
  </cols>
  <sheetData>
    <row r="1" spans="2:14" ht="13.5" thickBot="1"/>
    <row r="2" spans="2:14" ht="15.75" thickBot="1">
      <c r="B2" s="11" t="s">
        <v>27</v>
      </c>
      <c r="C2" s="12"/>
      <c r="D2" s="8" t="s">
        <v>189</v>
      </c>
      <c r="E2" s="9"/>
      <c r="F2" s="95"/>
    </row>
    <row r="3" spans="2:14" s="156" customFormat="1" ht="30.75" thickBot="1">
      <c r="B3" s="128" t="s">
        <v>1</v>
      </c>
      <c r="C3" s="124" t="s">
        <v>28</v>
      </c>
      <c r="D3" s="157" t="s">
        <v>188</v>
      </c>
      <c r="E3" s="157" t="s">
        <v>202</v>
      </c>
      <c r="F3" s="157" t="s">
        <v>170</v>
      </c>
      <c r="H3" s="167" t="s">
        <v>203</v>
      </c>
      <c r="I3" s="167" t="s">
        <v>204</v>
      </c>
      <c r="J3" s="167" t="s">
        <v>205</v>
      </c>
      <c r="K3" s="167" t="s">
        <v>206</v>
      </c>
      <c r="L3" s="167" t="s">
        <v>207</v>
      </c>
      <c r="M3" s="167" t="s">
        <v>208</v>
      </c>
      <c r="N3" s="168"/>
    </row>
    <row r="4" spans="2:14" ht="15">
      <c r="B4" s="169" t="s">
        <v>35</v>
      </c>
      <c r="C4" s="170" t="s">
        <v>34</v>
      </c>
      <c r="D4" s="171">
        <f>I4+K4</f>
        <v>20</v>
      </c>
      <c r="E4" s="171">
        <f>SUM(I4:L4)</f>
        <v>44</v>
      </c>
      <c r="F4" s="171">
        <v>0</v>
      </c>
      <c r="G4" s="172"/>
      <c r="H4" s="173" t="s">
        <v>209</v>
      </c>
      <c r="I4" s="173">
        <v>16</v>
      </c>
      <c r="J4" s="173">
        <v>8</v>
      </c>
      <c r="K4" s="173">
        <v>4</v>
      </c>
      <c r="L4" s="173">
        <v>16</v>
      </c>
      <c r="M4" s="173">
        <v>16</v>
      </c>
    </row>
    <row r="5" spans="2:14" ht="15">
      <c r="B5" s="174" t="s">
        <v>23</v>
      </c>
      <c r="C5" s="175" t="s">
        <v>34</v>
      </c>
      <c r="D5" s="176">
        <f t="shared" ref="D5:D26" si="0">I5+K5</f>
        <v>20</v>
      </c>
      <c r="E5" s="176">
        <f t="shared" ref="E5:E26" si="1">SUM(I5:L5)</f>
        <v>44</v>
      </c>
      <c r="F5" s="176">
        <v>0</v>
      </c>
      <c r="G5" s="172"/>
      <c r="H5" s="173" t="s">
        <v>209</v>
      </c>
      <c r="I5" s="173">
        <v>16</v>
      </c>
      <c r="J5" s="173">
        <v>8</v>
      </c>
      <c r="K5" s="173">
        <v>4</v>
      </c>
      <c r="L5" s="173">
        <v>16</v>
      </c>
      <c r="M5" s="173">
        <v>16</v>
      </c>
    </row>
    <row r="6" spans="2:14" ht="15">
      <c r="B6" s="174" t="s">
        <v>177</v>
      </c>
      <c r="C6" s="175" t="s">
        <v>36</v>
      </c>
      <c r="D6" s="177">
        <f t="shared" si="0"/>
        <v>20</v>
      </c>
      <c r="E6" s="177">
        <f t="shared" si="1"/>
        <v>44</v>
      </c>
      <c r="F6" s="177">
        <v>0</v>
      </c>
      <c r="G6" s="172"/>
      <c r="H6" s="173" t="s">
        <v>209</v>
      </c>
      <c r="I6" s="173">
        <v>16</v>
      </c>
      <c r="J6" s="173">
        <v>8</v>
      </c>
      <c r="K6" s="173">
        <v>4</v>
      </c>
      <c r="L6" s="173">
        <v>16</v>
      </c>
      <c r="M6" s="173">
        <v>16</v>
      </c>
    </row>
    <row r="7" spans="2:14" ht="15">
      <c r="B7" s="174" t="s">
        <v>178</v>
      </c>
      <c r="C7" s="175" t="s">
        <v>37</v>
      </c>
      <c r="D7" s="177">
        <f t="shared" si="0"/>
        <v>20</v>
      </c>
      <c r="E7" s="177">
        <f t="shared" si="1"/>
        <v>44</v>
      </c>
      <c r="F7" s="177">
        <v>0</v>
      </c>
      <c r="G7" s="172"/>
      <c r="H7" s="173" t="s">
        <v>209</v>
      </c>
      <c r="I7" s="173">
        <v>16</v>
      </c>
      <c r="J7" s="173">
        <v>8</v>
      </c>
      <c r="K7" s="173">
        <v>4</v>
      </c>
      <c r="L7" s="173">
        <v>16</v>
      </c>
      <c r="M7" s="173">
        <v>16</v>
      </c>
    </row>
    <row r="8" spans="2:14" ht="15">
      <c r="B8" s="174" t="s">
        <v>38</v>
      </c>
      <c r="C8" s="175" t="s">
        <v>36</v>
      </c>
      <c r="D8" s="177">
        <f t="shared" si="0"/>
        <v>20</v>
      </c>
      <c r="E8" s="177">
        <f t="shared" si="1"/>
        <v>44</v>
      </c>
      <c r="F8" s="177">
        <v>0</v>
      </c>
      <c r="G8" s="172"/>
      <c r="H8" s="173" t="s">
        <v>209</v>
      </c>
      <c r="I8" s="173">
        <v>16</v>
      </c>
      <c r="J8" s="173">
        <v>8</v>
      </c>
      <c r="K8" s="173">
        <v>4</v>
      </c>
      <c r="L8" s="173">
        <v>16</v>
      </c>
      <c r="M8" s="173">
        <v>16</v>
      </c>
    </row>
    <row r="9" spans="2:14" ht="15">
      <c r="B9" s="130" t="s">
        <v>171</v>
      </c>
      <c r="C9" s="126" t="s">
        <v>176</v>
      </c>
      <c r="D9" s="72">
        <f t="shared" si="0"/>
        <v>44</v>
      </c>
      <c r="E9" s="72">
        <f t="shared" si="1"/>
        <v>108</v>
      </c>
      <c r="F9" s="72">
        <v>0</v>
      </c>
      <c r="H9" s="178" t="s">
        <v>210</v>
      </c>
      <c r="I9" s="178">
        <v>40</v>
      </c>
      <c r="J9" s="178">
        <v>24</v>
      </c>
      <c r="K9" s="178">
        <v>4</v>
      </c>
      <c r="L9" s="178">
        <v>40</v>
      </c>
      <c r="M9" s="178">
        <v>40</v>
      </c>
    </row>
    <row r="10" spans="2:14" ht="15">
      <c r="B10" s="179" t="s">
        <v>179</v>
      </c>
      <c r="C10" s="180" t="s">
        <v>30</v>
      </c>
      <c r="D10" s="181">
        <f t="shared" si="0"/>
        <v>28</v>
      </c>
      <c r="E10" s="181">
        <f t="shared" si="1"/>
        <v>68</v>
      </c>
      <c r="F10" s="181">
        <v>0</v>
      </c>
      <c r="G10" s="182"/>
      <c r="H10" s="183" t="s">
        <v>138</v>
      </c>
      <c r="I10" s="183">
        <v>24</v>
      </c>
      <c r="J10" s="183">
        <v>16</v>
      </c>
      <c r="K10" s="183">
        <v>4</v>
      </c>
      <c r="L10" s="183">
        <v>24</v>
      </c>
      <c r="M10" s="183">
        <v>24</v>
      </c>
    </row>
    <row r="11" spans="2:14" ht="15">
      <c r="B11" s="179" t="s">
        <v>180</v>
      </c>
      <c r="C11" s="180" t="s">
        <v>31</v>
      </c>
      <c r="D11" s="181">
        <f t="shared" si="0"/>
        <v>28</v>
      </c>
      <c r="E11" s="181">
        <f t="shared" si="1"/>
        <v>68</v>
      </c>
      <c r="F11" s="181">
        <v>0</v>
      </c>
      <c r="G11" s="182"/>
      <c r="H11" s="183" t="s">
        <v>138</v>
      </c>
      <c r="I11" s="183">
        <v>24</v>
      </c>
      <c r="J11" s="183">
        <v>16</v>
      </c>
      <c r="K11" s="183">
        <v>4</v>
      </c>
      <c r="L11" s="183">
        <v>24</v>
      </c>
      <c r="M11" s="183">
        <v>24</v>
      </c>
    </row>
    <row r="12" spans="2:14" ht="15">
      <c r="B12" s="179" t="s">
        <v>181</v>
      </c>
      <c r="C12" s="180" t="s">
        <v>30</v>
      </c>
      <c r="D12" s="181">
        <f t="shared" si="0"/>
        <v>28</v>
      </c>
      <c r="E12" s="181">
        <f t="shared" si="1"/>
        <v>68</v>
      </c>
      <c r="F12" s="181">
        <v>0</v>
      </c>
      <c r="G12" s="182"/>
      <c r="H12" s="183" t="s">
        <v>138</v>
      </c>
      <c r="I12" s="183">
        <v>24</v>
      </c>
      <c r="J12" s="183">
        <v>16</v>
      </c>
      <c r="K12" s="183">
        <v>4</v>
      </c>
      <c r="L12" s="183">
        <v>24</v>
      </c>
      <c r="M12" s="183">
        <v>24</v>
      </c>
    </row>
    <row r="13" spans="2:14" ht="15">
      <c r="B13" s="179" t="s">
        <v>182</v>
      </c>
      <c r="C13" s="180" t="s">
        <v>32</v>
      </c>
      <c r="D13" s="181">
        <f t="shared" si="0"/>
        <v>28</v>
      </c>
      <c r="E13" s="181">
        <f t="shared" si="1"/>
        <v>68</v>
      </c>
      <c r="F13" s="181">
        <v>0</v>
      </c>
      <c r="G13" s="182"/>
      <c r="H13" s="183" t="s">
        <v>138</v>
      </c>
      <c r="I13" s="183">
        <v>24</v>
      </c>
      <c r="J13" s="183">
        <v>16</v>
      </c>
      <c r="K13" s="183">
        <v>4</v>
      </c>
      <c r="L13" s="183">
        <v>24</v>
      </c>
      <c r="M13" s="183">
        <v>24</v>
      </c>
    </row>
    <row r="14" spans="2:14" ht="15">
      <c r="B14" s="179" t="s">
        <v>183</v>
      </c>
      <c r="C14" s="180" t="s">
        <v>33</v>
      </c>
      <c r="D14" s="181">
        <f t="shared" si="0"/>
        <v>28</v>
      </c>
      <c r="E14" s="181">
        <f t="shared" si="1"/>
        <v>68</v>
      </c>
      <c r="F14" s="181">
        <v>0</v>
      </c>
      <c r="G14" s="182"/>
      <c r="H14" s="183" t="s">
        <v>138</v>
      </c>
      <c r="I14" s="183">
        <v>24</v>
      </c>
      <c r="J14" s="183">
        <v>16</v>
      </c>
      <c r="K14" s="183">
        <v>4</v>
      </c>
      <c r="L14" s="183">
        <v>24</v>
      </c>
      <c r="M14" s="183">
        <v>24</v>
      </c>
    </row>
    <row r="15" spans="2:14" ht="15">
      <c r="B15" s="130" t="s">
        <v>24</v>
      </c>
      <c r="C15" s="126" t="s">
        <v>174</v>
      </c>
      <c r="D15" s="72">
        <f>I15+K15</f>
        <v>44</v>
      </c>
      <c r="E15" s="72">
        <f t="shared" si="1"/>
        <v>108</v>
      </c>
      <c r="F15" s="72">
        <v>0</v>
      </c>
      <c r="H15" s="178" t="s">
        <v>210</v>
      </c>
      <c r="I15" s="178">
        <v>40</v>
      </c>
      <c r="J15" s="178">
        <v>24</v>
      </c>
      <c r="K15" s="178">
        <v>4</v>
      </c>
      <c r="L15" s="178">
        <v>40</v>
      </c>
      <c r="M15" s="178">
        <v>40</v>
      </c>
    </row>
    <row r="16" spans="2:14" ht="15">
      <c r="B16" s="130" t="s">
        <v>25</v>
      </c>
      <c r="C16" s="126" t="s">
        <v>175</v>
      </c>
      <c r="D16" s="72">
        <f t="shared" si="0"/>
        <v>44</v>
      </c>
      <c r="E16" s="72">
        <f t="shared" si="1"/>
        <v>108</v>
      </c>
      <c r="F16" s="72">
        <v>0</v>
      </c>
      <c r="H16" s="178" t="s">
        <v>210</v>
      </c>
      <c r="I16" s="178">
        <v>40</v>
      </c>
      <c r="J16" s="178">
        <v>24</v>
      </c>
      <c r="K16" s="178">
        <v>4</v>
      </c>
      <c r="L16" s="178">
        <v>40</v>
      </c>
      <c r="M16" s="178">
        <v>40</v>
      </c>
    </row>
    <row r="17" spans="2:13" ht="15">
      <c r="B17" s="130" t="s">
        <v>26</v>
      </c>
      <c r="C17" s="126" t="s">
        <v>174</v>
      </c>
      <c r="D17" s="72">
        <f t="shared" si="0"/>
        <v>44</v>
      </c>
      <c r="E17" s="72">
        <f t="shared" si="1"/>
        <v>108</v>
      </c>
      <c r="F17" s="72">
        <v>0</v>
      </c>
      <c r="H17" s="178" t="s">
        <v>210</v>
      </c>
      <c r="I17" s="178">
        <v>40</v>
      </c>
      <c r="J17" s="178">
        <v>24</v>
      </c>
      <c r="K17" s="178">
        <v>4</v>
      </c>
      <c r="L17" s="178">
        <v>40</v>
      </c>
      <c r="M17" s="178">
        <v>40</v>
      </c>
    </row>
    <row r="18" spans="2:13" ht="15">
      <c r="B18" s="179" t="s">
        <v>39</v>
      </c>
      <c r="C18" s="180" t="s">
        <v>40</v>
      </c>
      <c r="D18" s="181">
        <f t="shared" si="0"/>
        <v>28</v>
      </c>
      <c r="E18" s="181">
        <f t="shared" si="1"/>
        <v>68</v>
      </c>
      <c r="F18" s="181">
        <v>0</v>
      </c>
      <c r="G18" s="182"/>
      <c r="H18" s="183" t="s">
        <v>138</v>
      </c>
      <c r="I18" s="183">
        <v>24</v>
      </c>
      <c r="J18" s="183">
        <v>16</v>
      </c>
      <c r="K18" s="183">
        <v>4</v>
      </c>
      <c r="L18" s="183">
        <v>24</v>
      </c>
      <c r="M18" s="183">
        <v>24</v>
      </c>
    </row>
    <row r="19" spans="2:13" ht="15">
      <c r="B19" s="179" t="s">
        <v>41</v>
      </c>
      <c r="C19" s="180" t="s">
        <v>42</v>
      </c>
      <c r="D19" s="181">
        <f t="shared" si="0"/>
        <v>28</v>
      </c>
      <c r="E19" s="181">
        <f t="shared" si="1"/>
        <v>68</v>
      </c>
      <c r="F19" s="181">
        <v>0</v>
      </c>
      <c r="G19" s="182"/>
      <c r="H19" s="183" t="s">
        <v>138</v>
      </c>
      <c r="I19" s="183">
        <v>24</v>
      </c>
      <c r="J19" s="183">
        <v>16</v>
      </c>
      <c r="K19" s="183">
        <v>4</v>
      </c>
      <c r="L19" s="183">
        <v>24</v>
      </c>
      <c r="M19" s="183">
        <v>24</v>
      </c>
    </row>
    <row r="20" spans="2:13" ht="15">
      <c r="B20" s="179" t="s">
        <v>48</v>
      </c>
      <c r="C20" s="180" t="s">
        <v>49</v>
      </c>
      <c r="D20" s="181">
        <f t="shared" si="0"/>
        <v>28</v>
      </c>
      <c r="E20" s="181">
        <f t="shared" si="1"/>
        <v>68</v>
      </c>
      <c r="F20" s="181">
        <v>0</v>
      </c>
      <c r="G20" s="182"/>
      <c r="H20" s="183" t="s">
        <v>138</v>
      </c>
      <c r="I20" s="183">
        <v>24</v>
      </c>
      <c r="J20" s="183">
        <v>16</v>
      </c>
      <c r="K20" s="183">
        <v>4</v>
      </c>
      <c r="L20" s="183">
        <v>24</v>
      </c>
      <c r="M20" s="183">
        <v>24</v>
      </c>
    </row>
    <row r="21" spans="2:13" ht="15" customHeight="1">
      <c r="B21" s="179" t="s">
        <v>43</v>
      </c>
      <c r="C21" s="180" t="s">
        <v>44</v>
      </c>
      <c r="D21" s="181">
        <f t="shared" si="0"/>
        <v>28</v>
      </c>
      <c r="E21" s="181">
        <f t="shared" si="1"/>
        <v>68</v>
      </c>
      <c r="F21" s="181">
        <v>0</v>
      </c>
      <c r="G21" s="182"/>
      <c r="H21" s="183" t="s">
        <v>138</v>
      </c>
      <c r="I21" s="183">
        <v>24</v>
      </c>
      <c r="J21" s="183">
        <v>16</v>
      </c>
      <c r="K21" s="183">
        <v>4</v>
      </c>
      <c r="L21" s="183">
        <v>24</v>
      </c>
      <c r="M21" s="183">
        <v>24</v>
      </c>
    </row>
    <row r="22" spans="2:13" ht="15">
      <c r="B22" s="179" t="s">
        <v>45</v>
      </c>
      <c r="C22" s="180" t="s">
        <v>40</v>
      </c>
      <c r="D22" s="181">
        <f t="shared" si="0"/>
        <v>28</v>
      </c>
      <c r="E22" s="181">
        <f t="shared" si="1"/>
        <v>68</v>
      </c>
      <c r="F22" s="181">
        <v>0</v>
      </c>
      <c r="G22" s="182"/>
      <c r="H22" s="183" t="s">
        <v>138</v>
      </c>
      <c r="I22" s="183">
        <v>24</v>
      </c>
      <c r="J22" s="183">
        <v>16</v>
      </c>
      <c r="K22" s="183">
        <v>4</v>
      </c>
      <c r="L22" s="183">
        <v>24</v>
      </c>
      <c r="M22" s="183">
        <v>24</v>
      </c>
    </row>
    <row r="23" spans="2:13" ht="15">
      <c r="B23" s="179" t="s">
        <v>186</v>
      </c>
      <c r="C23" s="180" t="s">
        <v>185</v>
      </c>
      <c r="D23" s="181">
        <f t="shared" si="0"/>
        <v>28</v>
      </c>
      <c r="E23" s="181">
        <f t="shared" si="1"/>
        <v>68</v>
      </c>
      <c r="F23" s="181">
        <v>0</v>
      </c>
      <c r="G23" s="182"/>
      <c r="H23" s="183" t="s">
        <v>138</v>
      </c>
      <c r="I23" s="183">
        <v>24</v>
      </c>
      <c r="J23" s="183">
        <v>16</v>
      </c>
      <c r="K23" s="183">
        <v>4</v>
      </c>
      <c r="L23" s="183">
        <v>24</v>
      </c>
      <c r="M23" s="183">
        <v>24</v>
      </c>
    </row>
    <row r="24" spans="2:13" ht="15">
      <c r="B24" s="179" t="s">
        <v>46</v>
      </c>
      <c r="C24" s="180" t="s">
        <v>42</v>
      </c>
      <c r="D24" s="181">
        <f t="shared" si="0"/>
        <v>28</v>
      </c>
      <c r="E24" s="181">
        <f t="shared" si="1"/>
        <v>68</v>
      </c>
      <c r="F24" s="181">
        <v>0</v>
      </c>
      <c r="G24" s="182"/>
      <c r="H24" s="183" t="s">
        <v>138</v>
      </c>
      <c r="I24" s="183">
        <v>24</v>
      </c>
      <c r="J24" s="183">
        <v>16</v>
      </c>
      <c r="K24" s="183">
        <v>4</v>
      </c>
      <c r="L24" s="183">
        <v>24</v>
      </c>
      <c r="M24" s="183">
        <v>24</v>
      </c>
    </row>
    <row r="25" spans="2:13" ht="15">
      <c r="B25" s="179" t="s">
        <v>172</v>
      </c>
      <c r="C25" s="180" t="s">
        <v>30</v>
      </c>
      <c r="D25" s="181">
        <f t="shared" si="0"/>
        <v>28</v>
      </c>
      <c r="E25" s="181">
        <f t="shared" si="1"/>
        <v>68</v>
      </c>
      <c r="F25" s="181">
        <v>0</v>
      </c>
      <c r="G25" s="182"/>
      <c r="H25" s="183" t="s">
        <v>138</v>
      </c>
      <c r="I25" s="183">
        <v>24</v>
      </c>
      <c r="J25" s="183">
        <v>16</v>
      </c>
      <c r="K25" s="183">
        <v>4</v>
      </c>
      <c r="L25" s="183">
        <v>24</v>
      </c>
      <c r="M25" s="183">
        <v>24</v>
      </c>
    </row>
    <row r="26" spans="2:13" ht="15.75" thickBot="1">
      <c r="B26" s="184" t="s">
        <v>173</v>
      </c>
      <c r="C26" s="185" t="s">
        <v>50</v>
      </c>
      <c r="D26" s="186">
        <f t="shared" si="0"/>
        <v>28</v>
      </c>
      <c r="E26" s="186">
        <f t="shared" si="1"/>
        <v>68</v>
      </c>
      <c r="F26" s="186">
        <v>0</v>
      </c>
      <c r="G26" s="182"/>
      <c r="H26" s="183" t="s">
        <v>138</v>
      </c>
      <c r="I26" s="183">
        <v>24</v>
      </c>
      <c r="J26" s="183">
        <v>16</v>
      </c>
      <c r="K26" s="183">
        <v>4</v>
      </c>
      <c r="L26" s="183">
        <v>24</v>
      </c>
      <c r="M26" s="183">
        <v>24</v>
      </c>
    </row>
    <row r="27" spans="2:13" hidden="1"/>
    <row r="28" spans="2:13" hidden="1"/>
    <row r="29" spans="2:13" hidden="1"/>
    <row r="30" spans="2:13" hidden="1"/>
    <row r="31" spans="2:13" hidden="1"/>
    <row r="32" spans="2:1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D8056-E315-41D7-9894-E82DA050B1E5}">
  <sheetPr codeName="Foglio18">
    <tabColor rgb="FF92D050"/>
  </sheetPr>
  <dimension ref="B1:C8"/>
  <sheetViews>
    <sheetView zoomScale="160" zoomScaleNormal="160" workbookViewId="0">
      <selection activeCell="I19" sqref="I19"/>
    </sheetView>
  </sheetViews>
  <sheetFormatPr defaultRowHeight="15"/>
  <cols>
    <col min="2" max="2" width="41.85546875" bestFit="1" customWidth="1"/>
    <col min="3" max="3" width="6.140625" bestFit="1" customWidth="1"/>
  </cols>
  <sheetData>
    <row r="1" spans="2:3" ht="15.75" thickBot="1"/>
    <row r="2" spans="2:3">
      <c r="B2" s="159" t="s">
        <v>0</v>
      </c>
      <c r="C2" s="159" t="s">
        <v>9</v>
      </c>
    </row>
    <row r="3" spans="2:3">
      <c r="B3" s="160" t="s">
        <v>192</v>
      </c>
      <c r="C3" s="160">
        <v>72</v>
      </c>
    </row>
    <row r="4" spans="2:3">
      <c r="B4" s="160" t="s">
        <v>193</v>
      </c>
      <c r="C4" s="160">
        <v>24</v>
      </c>
    </row>
    <row r="5" spans="2:3">
      <c r="B5" s="160" t="s">
        <v>195</v>
      </c>
      <c r="C5" s="160">
        <v>32</v>
      </c>
    </row>
    <row r="6" spans="2:3">
      <c r="B6" s="160" t="s">
        <v>194</v>
      </c>
      <c r="C6" s="160">
        <v>16</v>
      </c>
    </row>
    <row r="7" spans="2:3" ht="15.75" thickBot="1">
      <c r="B7" s="161" t="s">
        <v>196</v>
      </c>
      <c r="C7" s="161">
        <v>16</v>
      </c>
    </row>
    <row r="8" spans="2:3" ht="15.75" thickBot="1">
      <c r="B8" s="163" t="s">
        <v>197</v>
      </c>
      <c r="C8" s="162">
        <f>SUM(C3:C7)</f>
        <v>160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B5F30-4461-4519-B919-9D6013CCDE2D}">
  <sheetPr codeName="Foglio21">
    <tabColor rgb="FF92D050"/>
  </sheetPr>
  <dimension ref="A1:AV71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89" sqref="G89"/>
    </sheetView>
  </sheetViews>
  <sheetFormatPr defaultRowHeight="15"/>
  <cols>
    <col min="1" max="1" width="10.85546875" style="7" customWidth="1"/>
    <col min="2" max="2" width="35.140625" style="7" customWidth="1"/>
    <col min="3" max="3" width="9.140625" style="206"/>
    <col min="4" max="4" width="34" style="7" customWidth="1"/>
    <col min="5" max="5" width="9.140625" style="206"/>
    <col min="6" max="6" width="34" style="7" customWidth="1"/>
    <col min="7" max="7" width="9.140625" style="206"/>
    <col min="8" max="8" width="34" style="7" customWidth="1"/>
    <col min="9" max="9" width="9.140625" style="206"/>
    <col min="10" max="10" width="34" style="7" customWidth="1"/>
    <col min="11" max="11" width="9.140625" style="206"/>
    <col min="12" max="12" width="34" style="7" customWidth="1"/>
    <col min="13" max="13" width="9.140625" style="7"/>
    <col min="14" max="14" width="34" style="7" customWidth="1"/>
    <col min="15" max="15" width="9.140625" style="188"/>
    <col min="16" max="16" width="34" style="7" customWidth="1"/>
    <col min="17" max="17" width="9.140625" style="188"/>
    <col min="18" max="18" width="34" style="7" customWidth="1"/>
    <col min="19" max="19" width="9.140625" style="188"/>
    <col min="20" max="20" width="34" style="7" customWidth="1"/>
    <col min="21" max="21" width="9.140625" style="188"/>
    <col min="22" max="22" width="34" style="7" customWidth="1"/>
    <col min="23" max="23" width="9.140625" style="188"/>
    <col min="24" max="24" width="34" style="7" customWidth="1"/>
    <col min="25" max="25" width="9.140625" style="188"/>
    <col min="26" max="26" width="42.5703125" style="7" bestFit="1" customWidth="1"/>
    <col min="27" max="27" width="9.140625" style="188"/>
    <col min="28" max="28" width="42.5703125" style="7" bestFit="1" customWidth="1"/>
    <col min="29" max="29" width="9.140625" style="188"/>
    <col min="30" max="30" width="51.5703125" style="7" customWidth="1"/>
    <col min="31" max="31" width="9.140625" style="188"/>
    <col min="32" max="32" width="51.5703125" style="7" customWidth="1"/>
    <col min="33" max="33" width="9.140625" style="188"/>
    <col min="34" max="34" width="51.5703125" style="7" customWidth="1"/>
    <col min="35" max="35" width="9.140625" style="188"/>
    <col min="36" max="36" width="40.42578125" style="7" bestFit="1" customWidth="1"/>
    <col min="37" max="37" width="9.140625" style="188"/>
    <col min="38" max="38" width="44.42578125" style="7" customWidth="1"/>
    <col min="39" max="39" width="9.140625" style="188"/>
    <col min="40" max="40" width="42.5703125" style="7" bestFit="1" customWidth="1"/>
    <col min="41" max="41" width="9.140625" style="188"/>
    <col min="42" max="42" width="44.42578125" style="7" customWidth="1"/>
    <col min="43" max="43" width="9.140625" style="188"/>
    <col min="44" max="44" width="34" style="7" customWidth="1"/>
    <col min="45" max="45" width="9.140625" style="188"/>
    <col min="46" max="46" width="37.5703125" style="7" bestFit="1" customWidth="1"/>
    <col min="47" max="47" width="9.140625" style="188"/>
    <col min="48" max="16384" width="9.140625" style="7"/>
  </cols>
  <sheetData>
    <row r="1" spans="1:48" s="206" customFormat="1" ht="15.75" thickBot="1">
      <c r="A1" s="268"/>
      <c r="B1" s="268" t="s">
        <v>35</v>
      </c>
      <c r="C1" s="268" t="s">
        <v>212</v>
      </c>
      <c r="D1" s="268" t="s">
        <v>23</v>
      </c>
      <c r="E1" s="268" t="s">
        <v>212</v>
      </c>
      <c r="F1" s="268" t="s">
        <v>177</v>
      </c>
      <c r="G1" s="268" t="s">
        <v>212</v>
      </c>
      <c r="H1" s="268" t="s">
        <v>178</v>
      </c>
      <c r="I1" s="268" t="s">
        <v>212</v>
      </c>
      <c r="J1" s="268" t="s">
        <v>38</v>
      </c>
      <c r="K1" s="268" t="s">
        <v>212</v>
      </c>
      <c r="L1" s="268" t="s">
        <v>171</v>
      </c>
      <c r="M1" s="268" t="s">
        <v>212</v>
      </c>
      <c r="N1" s="268" t="s">
        <v>179</v>
      </c>
      <c r="O1" s="187" t="s">
        <v>212</v>
      </c>
      <c r="P1" s="268" t="s">
        <v>180</v>
      </c>
      <c r="Q1" s="187" t="s">
        <v>212</v>
      </c>
      <c r="R1" s="268" t="s">
        <v>181</v>
      </c>
      <c r="S1" s="187" t="s">
        <v>212</v>
      </c>
      <c r="T1" s="268" t="s">
        <v>182</v>
      </c>
      <c r="U1" s="187" t="s">
        <v>212</v>
      </c>
      <c r="V1" s="268" t="s">
        <v>183</v>
      </c>
      <c r="W1" s="187" t="s">
        <v>212</v>
      </c>
      <c r="X1" s="268" t="s">
        <v>24</v>
      </c>
      <c r="Y1" s="187" t="s">
        <v>212</v>
      </c>
      <c r="Z1" s="268" t="s">
        <v>25</v>
      </c>
      <c r="AA1" s="187" t="s">
        <v>212</v>
      </c>
      <c r="AB1" s="268" t="s">
        <v>26</v>
      </c>
      <c r="AC1" s="187" t="s">
        <v>212</v>
      </c>
      <c r="AD1" s="268" t="s">
        <v>39</v>
      </c>
      <c r="AE1" s="187" t="s">
        <v>212</v>
      </c>
      <c r="AF1" s="268" t="s">
        <v>41</v>
      </c>
      <c r="AG1" s="187" t="s">
        <v>212</v>
      </c>
      <c r="AH1" s="268" t="s">
        <v>48</v>
      </c>
      <c r="AI1" s="187" t="s">
        <v>212</v>
      </c>
      <c r="AJ1" s="268" t="s">
        <v>43</v>
      </c>
      <c r="AK1" s="188" t="s">
        <v>212</v>
      </c>
      <c r="AL1" s="268" t="s">
        <v>45</v>
      </c>
      <c r="AM1" s="187" t="s">
        <v>212</v>
      </c>
      <c r="AN1" s="268" t="s">
        <v>186</v>
      </c>
      <c r="AO1" s="187" t="s">
        <v>212</v>
      </c>
      <c r="AP1" s="268" t="s">
        <v>46</v>
      </c>
      <c r="AQ1" s="187" t="s">
        <v>212</v>
      </c>
      <c r="AR1" s="268" t="s">
        <v>172</v>
      </c>
      <c r="AS1" s="187" t="s">
        <v>212</v>
      </c>
      <c r="AT1" s="268" t="s">
        <v>173</v>
      </c>
      <c r="AU1" s="187" t="s">
        <v>212</v>
      </c>
    </row>
    <row r="2" spans="1:48" ht="15.75" thickBot="1">
      <c r="A2" s="189" t="s">
        <v>211</v>
      </c>
      <c r="B2" s="584">
        <v>1</v>
      </c>
      <c r="C2" s="584"/>
      <c r="D2" s="584">
        <v>2</v>
      </c>
      <c r="E2" s="584"/>
      <c r="F2" s="584">
        <v>3</v>
      </c>
      <c r="G2" s="584"/>
      <c r="H2" s="584">
        <v>4</v>
      </c>
      <c r="I2" s="584"/>
      <c r="J2" s="584">
        <v>5</v>
      </c>
      <c r="K2" s="584"/>
      <c r="L2" s="584">
        <v>6</v>
      </c>
      <c r="M2" s="584"/>
      <c r="N2" s="584">
        <v>7</v>
      </c>
      <c r="O2" s="584"/>
      <c r="P2" s="584">
        <v>8</v>
      </c>
      <c r="Q2" s="584"/>
      <c r="R2" s="584">
        <v>9</v>
      </c>
      <c r="S2" s="584"/>
      <c r="T2" s="584">
        <v>10</v>
      </c>
      <c r="U2" s="584"/>
      <c r="V2" s="584">
        <v>11</v>
      </c>
      <c r="W2" s="584"/>
      <c r="X2" s="584">
        <v>12</v>
      </c>
      <c r="Y2" s="584"/>
      <c r="Z2" s="584">
        <v>13</v>
      </c>
      <c r="AA2" s="584"/>
      <c r="AB2" s="584">
        <v>14</v>
      </c>
      <c r="AC2" s="584"/>
      <c r="AD2" s="584">
        <v>15</v>
      </c>
      <c r="AE2" s="584"/>
      <c r="AF2" s="584">
        <v>16</v>
      </c>
      <c r="AG2" s="584"/>
      <c r="AH2" s="584">
        <v>17</v>
      </c>
      <c r="AI2" s="584"/>
      <c r="AJ2" s="584">
        <v>18</v>
      </c>
      <c r="AK2" s="584"/>
      <c r="AL2" s="584">
        <v>19</v>
      </c>
      <c r="AM2" s="584"/>
      <c r="AN2" s="584">
        <v>20</v>
      </c>
      <c r="AO2" s="584"/>
      <c r="AP2" s="584">
        <v>21</v>
      </c>
      <c r="AQ2" s="584"/>
      <c r="AR2" s="584">
        <v>22</v>
      </c>
      <c r="AS2" s="584"/>
      <c r="AT2" s="584">
        <v>23</v>
      </c>
      <c r="AU2" s="584"/>
      <c r="AV2" s="280" t="s">
        <v>274</v>
      </c>
    </row>
    <row r="3" spans="1:48" ht="15.75" thickBot="1">
      <c r="A3" s="189" t="s">
        <v>18</v>
      </c>
      <c r="B3" s="190" t="s">
        <v>35</v>
      </c>
      <c r="C3" s="191" t="s">
        <v>212</v>
      </c>
      <c r="D3" s="192" t="s">
        <v>23</v>
      </c>
      <c r="E3" s="191" t="s">
        <v>212</v>
      </c>
      <c r="F3" s="192" t="s">
        <v>177</v>
      </c>
      <c r="G3" s="191" t="s">
        <v>212</v>
      </c>
      <c r="H3" s="193" t="s">
        <v>178</v>
      </c>
      <c r="I3" s="191" t="s">
        <v>212</v>
      </c>
      <c r="J3" s="193" t="s">
        <v>38</v>
      </c>
      <c r="K3" s="191" t="s">
        <v>212</v>
      </c>
      <c r="L3" s="193" t="s">
        <v>171</v>
      </c>
      <c r="M3" s="191" t="s">
        <v>212</v>
      </c>
      <c r="N3" s="193" t="s">
        <v>179</v>
      </c>
      <c r="O3" s="194" t="s">
        <v>212</v>
      </c>
      <c r="P3" s="193" t="s">
        <v>180</v>
      </c>
      <c r="Q3" s="194" t="s">
        <v>212</v>
      </c>
      <c r="R3" s="193" t="s">
        <v>181</v>
      </c>
      <c r="S3" s="194" t="s">
        <v>212</v>
      </c>
      <c r="T3" s="193" t="s">
        <v>182</v>
      </c>
      <c r="U3" s="194" t="s">
        <v>212</v>
      </c>
      <c r="V3" s="193" t="s">
        <v>183</v>
      </c>
      <c r="W3" s="194" t="s">
        <v>212</v>
      </c>
      <c r="X3" s="193" t="s">
        <v>24</v>
      </c>
      <c r="Y3" s="194" t="s">
        <v>212</v>
      </c>
      <c r="Z3" s="193" t="s">
        <v>25</v>
      </c>
      <c r="AA3" s="194" t="s">
        <v>212</v>
      </c>
      <c r="AB3" s="193" t="s">
        <v>26</v>
      </c>
      <c r="AC3" s="194" t="s">
        <v>212</v>
      </c>
      <c r="AD3" s="193" t="s">
        <v>39</v>
      </c>
      <c r="AE3" s="194" t="s">
        <v>212</v>
      </c>
      <c r="AF3" s="193" t="s">
        <v>41</v>
      </c>
      <c r="AG3" s="194" t="s">
        <v>212</v>
      </c>
      <c r="AH3" s="193" t="s">
        <v>48</v>
      </c>
      <c r="AI3" s="194" t="s">
        <v>212</v>
      </c>
      <c r="AJ3" s="193" t="s">
        <v>43</v>
      </c>
      <c r="AK3" s="194" t="s">
        <v>212</v>
      </c>
      <c r="AL3" s="193" t="s">
        <v>45</v>
      </c>
      <c r="AM3" s="194" t="s">
        <v>212</v>
      </c>
      <c r="AN3" s="193" t="s">
        <v>186</v>
      </c>
      <c r="AO3" s="194" t="s">
        <v>212</v>
      </c>
      <c r="AP3" s="193" t="s">
        <v>46</v>
      </c>
      <c r="AQ3" s="194" t="s">
        <v>212</v>
      </c>
      <c r="AR3" s="193" t="s">
        <v>172</v>
      </c>
      <c r="AS3" s="194" t="s">
        <v>212</v>
      </c>
      <c r="AT3" s="193" t="s">
        <v>173</v>
      </c>
      <c r="AU3" s="194" t="s">
        <v>212</v>
      </c>
      <c r="AV3" s="289">
        <f>ROWS(AV4:AV70)</f>
        <v>67</v>
      </c>
    </row>
    <row r="4" spans="1:48" ht="15.75" thickBot="1">
      <c r="A4" s="558" t="s">
        <v>97</v>
      </c>
      <c r="B4" s="195" t="s">
        <v>152</v>
      </c>
      <c r="C4" s="196">
        <v>8</v>
      </c>
      <c r="D4" s="195" t="s">
        <v>152</v>
      </c>
      <c r="E4" s="196">
        <v>8</v>
      </c>
      <c r="F4" s="195" t="s">
        <v>152</v>
      </c>
      <c r="G4" s="196">
        <v>8</v>
      </c>
      <c r="H4" s="195" t="s">
        <v>152</v>
      </c>
      <c r="I4" s="196">
        <v>8</v>
      </c>
      <c r="J4" s="195" t="s">
        <v>152</v>
      </c>
      <c r="K4" s="196">
        <v>8</v>
      </c>
      <c r="L4" s="195" t="s">
        <v>152</v>
      </c>
      <c r="M4" s="197"/>
      <c r="N4" s="195" t="s">
        <v>152</v>
      </c>
      <c r="O4" s="196">
        <v>8</v>
      </c>
      <c r="P4" s="195" t="s">
        <v>152</v>
      </c>
      <c r="Q4" s="196">
        <v>8</v>
      </c>
      <c r="R4" s="195" t="s">
        <v>152</v>
      </c>
      <c r="S4" s="196">
        <v>8</v>
      </c>
      <c r="T4" s="195" t="s">
        <v>152</v>
      </c>
      <c r="U4" s="196">
        <v>8</v>
      </c>
      <c r="V4" s="195" t="s">
        <v>152</v>
      </c>
      <c r="W4" s="196">
        <v>8</v>
      </c>
      <c r="X4" s="195" t="s">
        <v>152</v>
      </c>
      <c r="Y4" s="198">
        <v>8</v>
      </c>
      <c r="Z4" s="195" t="s">
        <v>152</v>
      </c>
      <c r="AA4" s="196">
        <v>8</v>
      </c>
      <c r="AB4" s="195" t="s">
        <v>152</v>
      </c>
      <c r="AC4" s="196">
        <v>8</v>
      </c>
      <c r="AD4" s="195" t="s">
        <v>152</v>
      </c>
      <c r="AE4" s="196">
        <v>8</v>
      </c>
      <c r="AF4" s="195" t="s">
        <v>152</v>
      </c>
      <c r="AG4" s="196">
        <v>8</v>
      </c>
      <c r="AH4" s="195" t="s">
        <v>152</v>
      </c>
      <c r="AI4" s="196">
        <v>8</v>
      </c>
      <c r="AJ4" s="195" t="s">
        <v>152</v>
      </c>
      <c r="AK4" s="196">
        <v>8</v>
      </c>
      <c r="AL4" s="195" t="s">
        <v>152</v>
      </c>
      <c r="AM4" s="196">
        <v>8</v>
      </c>
      <c r="AN4" s="195" t="s">
        <v>152</v>
      </c>
      <c r="AO4" s="196">
        <v>8</v>
      </c>
      <c r="AP4" s="195" t="s">
        <v>152</v>
      </c>
      <c r="AQ4" s="196">
        <v>8</v>
      </c>
      <c r="AR4" s="195" t="s">
        <v>152</v>
      </c>
      <c r="AS4" s="196">
        <v>8</v>
      </c>
      <c r="AT4" s="195" t="s">
        <v>152</v>
      </c>
      <c r="AU4" s="281">
        <v>8</v>
      </c>
      <c r="AV4" s="286">
        <v>1</v>
      </c>
    </row>
    <row r="5" spans="1:48" ht="15.75" thickBot="1">
      <c r="A5" s="558"/>
      <c r="B5" s="3" t="s">
        <v>11</v>
      </c>
      <c r="C5" s="199">
        <v>16</v>
      </c>
      <c r="D5" s="3" t="s">
        <v>11</v>
      </c>
      <c r="E5" s="199">
        <v>16</v>
      </c>
      <c r="F5" s="3" t="s">
        <v>11</v>
      </c>
      <c r="G5" s="199">
        <v>16</v>
      </c>
      <c r="H5" s="3" t="s">
        <v>11</v>
      </c>
      <c r="I5" s="199">
        <v>16</v>
      </c>
      <c r="J5" s="3" t="s">
        <v>11</v>
      </c>
      <c r="K5" s="199">
        <v>16</v>
      </c>
      <c r="L5" s="3" t="s">
        <v>11</v>
      </c>
      <c r="M5" s="4"/>
      <c r="N5" s="3" t="s">
        <v>11</v>
      </c>
      <c r="O5" s="199">
        <v>24</v>
      </c>
      <c r="P5" s="3" t="s">
        <v>11</v>
      </c>
      <c r="Q5" s="199">
        <v>32</v>
      </c>
      <c r="R5" s="3" t="s">
        <v>11</v>
      </c>
      <c r="S5" s="199">
        <v>32</v>
      </c>
      <c r="T5" s="3" t="s">
        <v>11</v>
      </c>
      <c r="U5" s="199">
        <v>32</v>
      </c>
      <c r="V5" s="3" t="s">
        <v>11</v>
      </c>
      <c r="W5" s="199">
        <v>32</v>
      </c>
      <c r="X5" s="3" t="s">
        <v>11</v>
      </c>
      <c r="Y5" s="200">
        <v>40</v>
      </c>
      <c r="Z5" s="3" t="s">
        <v>11</v>
      </c>
      <c r="AA5" s="199">
        <v>40</v>
      </c>
      <c r="AB5" s="3" t="s">
        <v>11</v>
      </c>
      <c r="AC5" s="199">
        <v>40</v>
      </c>
      <c r="AD5" s="3" t="s">
        <v>11</v>
      </c>
      <c r="AE5" s="199">
        <v>24</v>
      </c>
      <c r="AF5" s="3" t="s">
        <v>11</v>
      </c>
      <c r="AG5" s="199">
        <v>24</v>
      </c>
      <c r="AH5" s="3" t="s">
        <v>11</v>
      </c>
      <c r="AI5" s="199">
        <v>24</v>
      </c>
      <c r="AJ5" s="3" t="s">
        <v>11</v>
      </c>
      <c r="AK5" s="199">
        <v>24</v>
      </c>
      <c r="AL5" s="3" t="s">
        <v>11</v>
      </c>
      <c r="AM5" s="199">
        <v>24</v>
      </c>
      <c r="AN5" s="3" t="s">
        <v>11</v>
      </c>
      <c r="AO5" s="199">
        <v>24</v>
      </c>
      <c r="AP5" s="3" t="s">
        <v>11</v>
      </c>
      <c r="AQ5" s="199">
        <v>24</v>
      </c>
      <c r="AR5" s="3" t="s">
        <v>11</v>
      </c>
      <c r="AS5" s="199">
        <v>24</v>
      </c>
      <c r="AT5" s="3" t="s">
        <v>11</v>
      </c>
      <c r="AU5" s="282">
        <v>32</v>
      </c>
      <c r="AV5" s="287">
        <f>AV4+1</f>
        <v>2</v>
      </c>
    </row>
    <row r="6" spans="1:48" ht="15.75" thickBot="1">
      <c r="A6" s="558"/>
      <c r="B6" s="3" t="s">
        <v>153</v>
      </c>
      <c r="C6" s="199">
        <v>24</v>
      </c>
      <c r="D6" s="3" t="s">
        <v>153</v>
      </c>
      <c r="E6" s="199">
        <v>24</v>
      </c>
      <c r="F6" s="3" t="s">
        <v>153</v>
      </c>
      <c r="G6" s="199">
        <v>24</v>
      </c>
      <c r="H6" s="3" t="s">
        <v>153</v>
      </c>
      <c r="I6" s="199">
        <v>24</v>
      </c>
      <c r="J6" s="3" t="s">
        <v>153</v>
      </c>
      <c r="K6" s="199">
        <v>24</v>
      </c>
      <c r="L6" s="3" t="s">
        <v>153</v>
      </c>
      <c r="M6" s="4"/>
      <c r="N6" s="3" t="s">
        <v>153</v>
      </c>
      <c r="O6" s="199">
        <v>24</v>
      </c>
      <c r="P6" s="3" t="s">
        <v>153</v>
      </c>
      <c r="Q6" s="199">
        <v>24</v>
      </c>
      <c r="R6" s="3" t="s">
        <v>153</v>
      </c>
      <c r="S6" s="199">
        <v>24</v>
      </c>
      <c r="T6" s="3" t="s">
        <v>153</v>
      </c>
      <c r="U6" s="199">
        <v>24</v>
      </c>
      <c r="V6" s="3" t="s">
        <v>153</v>
      </c>
      <c r="W6" s="199">
        <v>24</v>
      </c>
      <c r="X6" s="3" t="s">
        <v>153</v>
      </c>
      <c r="Y6" s="200">
        <v>60</v>
      </c>
      <c r="Z6" s="3" t="s">
        <v>153</v>
      </c>
      <c r="AA6" s="199">
        <v>60</v>
      </c>
      <c r="AB6" s="3" t="s">
        <v>153</v>
      </c>
      <c r="AC6" s="199">
        <v>60</v>
      </c>
      <c r="AD6" s="3" t="s">
        <v>153</v>
      </c>
      <c r="AE6" s="199">
        <v>32</v>
      </c>
      <c r="AF6" s="3" t="s">
        <v>153</v>
      </c>
      <c r="AG6" s="199">
        <v>32</v>
      </c>
      <c r="AH6" s="3" t="s">
        <v>153</v>
      </c>
      <c r="AI6" s="199">
        <v>32</v>
      </c>
      <c r="AJ6" s="3" t="s">
        <v>153</v>
      </c>
      <c r="AK6" s="199">
        <v>32</v>
      </c>
      <c r="AL6" s="3" t="s">
        <v>153</v>
      </c>
      <c r="AM6" s="199">
        <v>32</v>
      </c>
      <c r="AN6" s="3" t="s">
        <v>153</v>
      </c>
      <c r="AO6" s="199">
        <v>32</v>
      </c>
      <c r="AP6" s="3" t="s">
        <v>153</v>
      </c>
      <c r="AQ6" s="199">
        <v>32</v>
      </c>
      <c r="AR6" s="3" t="s">
        <v>153</v>
      </c>
      <c r="AS6" s="199">
        <v>32</v>
      </c>
      <c r="AT6" s="3" t="s">
        <v>153</v>
      </c>
      <c r="AU6" s="282">
        <v>40</v>
      </c>
      <c r="AV6" s="287">
        <f t="shared" ref="AV6:AV70" si="0">AV5+1</f>
        <v>3</v>
      </c>
    </row>
    <row r="7" spans="1:48" ht="15.75" thickBot="1">
      <c r="A7" s="558"/>
      <c r="B7" s="3" t="s">
        <v>213</v>
      </c>
      <c r="C7" s="199">
        <v>4</v>
      </c>
      <c r="D7" s="3" t="s">
        <v>213</v>
      </c>
      <c r="E7" s="199">
        <v>4</v>
      </c>
      <c r="F7" s="3" t="s">
        <v>213</v>
      </c>
      <c r="G7" s="199">
        <v>4</v>
      </c>
      <c r="H7" s="3" t="s">
        <v>213</v>
      </c>
      <c r="I7" s="199">
        <v>4</v>
      </c>
      <c r="J7" s="3" t="s">
        <v>213</v>
      </c>
      <c r="K7" s="199">
        <v>4</v>
      </c>
      <c r="L7" s="3" t="s">
        <v>213</v>
      </c>
      <c r="M7" s="4"/>
      <c r="N7" s="3" t="s">
        <v>213</v>
      </c>
      <c r="O7" s="199">
        <v>4</v>
      </c>
      <c r="P7" s="3" t="s">
        <v>213</v>
      </c>
      <c r="Q7" s="199">
        <v>4</v>
      </c>
      <c r="R7" s="3" t="s">
        <v>213</v>
      </c>
      <c r="S7" s="199">
        <v>4</v>
      </c>
      <c r="T7" s="3" t="s">
        <v>213</v>
      </c>
      <c r="U7" s="199">
        <v>4</v>
      </c>
      <c r="V7" s="3" t="s">
        <v>213</v>
      </c>
      <c r="W7" s="199">
        <v>4</v>
      </c>
      <c r="X7" s="3" t="s">
        <v>213</v>
      </c>
      <c r="Y7" s="200">
        <v>4</v>
      </c>
      <c r="Z7" s="3" t="s">
        <v>213</v>
      </c>
      <c r="AA7" s="199">
        <v>4</v>
      </c>
      <c r="AB7" s="3" t="s">
        <v>213</v>
      </c>
      <c r="AC7" s="199">
        <v>4</v>
      </c>
      <c r="AD7" s="3" t="s">
        <v>213</v>
      </c>
      <c r="AE7" s="199">
        <v>4</v>
      </c>
      <c r="AF7" s="3" t="s">
        <v>213</v>
      </c>
      <c r="AG7" s="199">
        <v>4</v>
      </c>
      <c r="AH7" s="3" t="s">
        <v>213</v>
      </c>
      <c r="AI7" s="199">
        <v>4</v>
      </c>
      <c r="AJ7" s="3" t="s">
        <v>213</v>
      </c>
      <c r="AK7" s="199">
        <v>4</v>
      </c>
      <c r="AL7" s="3" t="s">
        <v>213</v>
      </c>
      <c r="AM7" s="199">
        <v>4</v>
      </c>
      <c r="AN7" s="3" t="s">
        <v>213</v>
      </c>
      <c r="AO7" s="199">
        <v>4</v>
      </c>
      <c r="AP7" s="3" t="s">
        <v>213</v>
      </c>
      <c r="AQ7" s="199">
        <v>4</v>
      </c>
      <c r="AR7" s="3" t="s">
        <v>213</v>
      </c>
      <c r="AS7" s="199">
        <v>4</v>
      </c>
      <c r="AT7" s="3" t="s">
        <v>213</v>
      </c>
      <c r="AU7" s="282">
        <v>4</v>
      </c>
      <c r="AV7" s="287">
        <f t="shared" si="0"/>
        <v>4</v>
      </c>
    </row>
    <row r="8" spans="1:48" ht="15.75" thickBot="1">
      <c r="A8" s="558"/>
      <c r="B8" s="3" t="s">
        <v>12</v>
      </c>
      <c r="C8" s="199">
        <v>8</v>
      </c>
      <c r="D8" s="3" t="s">
        <v>12</v>
      </c>
      <c r="E8" s="199">
        <v>8</v>
      </c>
      <c r="F8" s="3" t="s">
        <v>12</v>
      </c>
      <c r="G8" s="199">
        <v>8</v>
      </c>
      <c r="H8" s="3" t="s">
        <v>12</v>
      </c>
      <c r="I8" s="199">
        <v>8</v>
      </c>
      <c r="J8" s="3" t="s">
        <v>12</v>
      </c>
      <c r="K8" s="199">
        <v>8</v>
      </c>
      <c r="L8" s="3" t="s">
        <v>12</v>
      </c>
      <c r="M8" s="4"/>
      <c r="N8" s="3" t="s">
        <v>12</v>
      </c>
      <c r="O8" s="199">
        <v>8</v>
      </c>
      <c r="P8" s="3" t="s">
        <v>12</v>
      </c>
      <c r="Q8" s="199">
        <v>8</v>
      </c>
      <c r="R8" s="3" t="s">
        <v>12</v>
      </c>
      <c r="S8" s="199">
        <v>8</v>
      </c>
      <c r="T8" s="3" t="s">
        <v>12</v>
      </c>
      <c r="U8" s="199">
        <v>8</v>
      </c>
      <c r="V8" s="3" t="s">
        <v>12</v>
      </c>
      <c r="W8" s="199">
        <v>8</v>
      </c>
      <c r="X8" s="3" t="s">
        <v>12</v>
      </c>
      <c r="Y8" s="200">
        <v>8</v>
      </c>
      <c r="Z8" s="3" t="s">
        <v>12</v>
      </c>
      <c r="AA8" s="199">
        <v>8</v>
      </c>
      <c r="AB8" s="3" t="s">
        <v>12</v>
      </c>
      <c r="AC8" s="199">
        <v>8</v>
      </c>
      <c r="AD8" s="3" t="s">
        <v>12</v>
      </c>
      <c r="AE8" s="199">
        <v>8</v>
      </c>
      <c r="AF8" s="3" t="s">
        <v>12</v>
      </c>
      <c r="AG8" s="199">
        <v>8</v>
      </c>
      <c r="AH8" s="3" t="s">
        <v>12</v>
      </c>
      <c r="AI8" s="199">
        <v>8</v>
      </c>
      <c r="AJ8" s="3" t="s">
        <v>12</v>
      </c>
      <c r="AK8" s="199">
        <v>8</v>
      </c>
      <c r="AL8" s="3" t="s">
        <v>12</v>
      </c>
      <c r="AM8" s="199">
        <v>8</v>
      </c>
      <c r="AN8" s="3" t="s">
        <v>12</v>
      </c>
      <c r="AO8" s="199">
        <v>8</v>
      </c>
      <c r="AP8" s="3" t="s">
        <v>12</v>
      </c>
      <c r="AQ8" s="199">
        <v>8</v>
      </c>
      <c r="AR8" s="3" t="s">
        <v>12</v>
      </c>
      <c r="AS8" s="199">
        <v>8</v>
      </c>
      <c r="AT8" s="3" t="s">
        <v>12</v>
      </c>
      <c r="AU8" s="282">
        <v>8</v>
      </c>
      <c r="AV8" s="287">
        <f t="shared" si="0"/>
        <v>5</v>
      </c>
    </row>
    <row r="9" spans="1:48" ht="15.75" thickBot="1">
      <c r="A9" s="558"/>
      <c r="B9" s="201" t="s">
        <v>85</v>
      </c>
      <c r="C9" s="248">
        <f>Configurator!$F$10</f>
        <v>0</v>
      </c>
      <c r="D9" s="201" t="s">
        <v>85</v>
      </c>
      <c r="E9" s="248">
        <f>Configurator!$F$10</f>
        <v>0</v>
      </c>
      <c r="F9" s="201" t="s">
        <v>85</v>
      </c>
      <c r="G9" s="248">
        <f>Configurator!$F$10</f>
        <v>0</v>
      </c>
      <c r="H9" s="201" t="s">
        <v>85</v>
      </c>
      <c r="I9" s="248">
        <f>Configurator!$F$10</f>
        <v>0</v>
      </c>
      <c r="J9" s="201" t="s">
        <v>85</v>
      </c>
      <c r="K9" s="248">
        <f>Configurator!$F$10</f>
        <v>0</v>
      </c>
      <c r="L9" s="201" t="s">
        <v>85</v>
      </c>
      <c r="M9" s="248">
        <f>Configurator!$F$10</f>
        <v>0</v>
      </c>
      <c r="N9" s="201" t="s">
        <v>85</v>
      </c>
      <c r="O9" s="248">
        <f>Configurator!$F$10</f>
        <v>0</v>
      </c>
      <c r="P9" s="201" t="s">
        <v>85</v>
      </c>
      <c r="Q9" s="248">
        <f>Configurator!$F$10</f>
        <v>0</v>
      </c>
      <c r="R9" s="201" t="s">
        <v>85</v>
      </c>
      <c r="S9" s="248">
        <f>Configurator!$F$10</f>
        <v>0</v>
      </c>
      <c r="T9" s="201" t="s">
        <v>85</v>
      </c>
      <c r="U9" s="248">
        <f>Configurator!$F$10</f>
        <v>0</v>
      </c>
      <c r="V9" s="201" t="s">
        <v>85</v>
      </c>
      <c r="W9" s="248">
        <f>Configurator!$F$10</f>
        <v>0</v>
      </c>
      <c r="X9" s="201" t="s">
        <v>85</v>
      </c>
      <c r="Y9" s="248">
        <f>Configurator!$F$10</f>
        <v>0</v>
      </c>
      <c r="Z9" s="201" t="s">
        <v>85</v>
      </c>
      <c r="AA9" s="248">
        <f>Configurator!$F$10</f>
        <v>0</v>
      </c>
      <c r="AB9" s="201" t="s">
        <v>85</v>
      </c>
      <c r="AC9" s="248">
        <f>Configurator!$F$10</f>
        <v>0</v>
      </c>
      <c r="AD9" s="201" t="s">
        <v>85</v>
      </c>
      <c r="AE9" s="248">
        <f>Configurator!$F$10</f>
        <v>0</v>
      </c>
      <c r="AF9" s="201" t="s">
        <v>85</v>
      </c>
      <c r="AG9" s="248">
        <f>Configurator!$F$10</f>
        <v>0</v>
      </c>
      <c r="AH9" s="201" t="s">
        <v>85</v>
      </c>
      <c r="AI9" s="248">
        <f>Configurator!$F$10</f>
        <v>0</v>
      </c>
      <c r="AJ9" s="201" t="s">
        <v>85</v>
      </c>
      <c r="AK9" s="248">
        <f>Configurator!$F$10</f>
        <v>0</v>
      </c>
      <c r="AL9" s="201" t="s">
        <v>85</v>
      </c>
      <c r="AM9" s="248">
        <f>Configurator!$F$10</f>
        <v>0</v>
      </c>
      <c r="AN9" s="201" t="s">
        <v>85</v>
      </c>
      <c r="AO9" s="248">
        <f>Configurator!$F$10</f>
        <v>0</v>
      </c>
      <c r="AP9" s="201" t="s">
        <v>85</v>
      </c>
      <c r="AQ9" s="248">
        <f>Configurator!$F$10</f>
        <v>0</v>
      </c>
      <c r="AR9" s="201" t="s">
        <v>85</v>
      </c>
      <c r="AS9" s="248">
        <f>Configurator!$F$10</f>
        <v>0</v>
      </c>
      <c r="AT9" s="201" t="s">
        <v>85</v>
      </c>
      <c r="AU9" s="256">
        <f>Configurator!$F$10</f>
        <v>0</v>
      </c>
      <c r="AV9" s="287">
        <f t="shared" si="0"/>
        <v>6</v>
      </c>
    </row>
    <row r="10" spans="1:48" ht="15.75" thickBot="1">
      <c r="A10" s="558"/>
      <c r="B10" s="201" t="s">
        <v>109</v>
      </c>
      <c r="C10" s="248">
        <f>IF(Configurator!$E$11="YES",Configurator!$F$11,0)</f>
        <v>0</v>
      </c>
      <c r="D10" s="201" t="s">
        <v>109</v>
      </c>
      <c r="E10" s="248">
        <f>IF(Configurator!$E$11="YES",Configurator!$F$11,0)</f>
        <v>0</v>
      </c>
      <c r="F10" s="201" t="s">
        <v>109</v>
      </c>
      <c r="G10" s="248">
        <f>IF(Configurator!$E$11="YES",Configurator!$F$11,0)</f>
        <v>0</v>
      </c>
      <c r="H10" s="201" t="s">
        <v>109</v>
      </c>
      <c r="I10" s="248">
        <f>IF(Configurator!$E$11="YES",Configurator!$F$11,0)</f>
        <v>0</v>
      </c>
      <c r="J10" s="201" t="s">
        <v>109</v>
      </c>
      <c r="K10" s="248">
        <f>IF(Configurator!$E$11="YES",Configurator!$F$11,0)</f>
        <v>0</v>
      </c>
      <c r="L10" s="201" t="s">
        <v>109</v>
      </c>
      <c r="M10" s="248">
        <f>IF(Configurator!$E$11="YES",Configurator!$F$11,0)</f>
        <v>0</v>
      </c>
      <c r="N10" s="201" t="s">
        <v>109</v>
      </c>
      <c r="O10" s="248">
        <f>IF(Configurator!$E$11="YES",Configurator!$F$11,0)</f>
        <v>0</v>
      </c>
      <c r="P10" s="201" t="s">
        <v>109</v>
      </c>
      <c r="Q10" s="248">
        <f>IF(Configurator!$E$11="YES",Configurator!$F$11,0)</f>
        <v>0</v>
      </c>
      <c r="R10" s="201" t="s">
        <v>109</v>
      </c>
      <c r="S10" s="248">
        <f>IF(Configurator!$E$11="YES",Configurator!$F$11,0)</f>
        <v>0</v>
      </c>
      <c r="T10" s="201" t="s">
        <v>109</v>
      </c>
      <c r="U10" s="248">
        <f>IF(Configurator!$E$11="YES",Configurator!$F$11,0)</f>
        <v>0</v>
      </c>
      <c r="V10" s="201" t="s">
        <v>109</v>
      </c>
      <c r="W10" s="248">
        <f>IF(Configurator!$E$11="YES",Configurator!$F$11,0)</f>
        <v>0</v>
      </c>
      <c r="X10" s="201" t="s">
        <v>109</v>
      </c>
      <c r="Y10" s="248">
        <f>IF(Configurator!$E$11="YES",Configurator!$F$11,0)</f>
        <v>0</v>
      </c>
      <c r="Z10" s="201" t="s">
        <v>109</v>
      </c>
      <c r="AA10" s="248">
        <f>IF(Configurator!$E$11="YES",Configurator!$F$11,0)</f>
        <v>0</v>
      </c>
      <c r="AB10" s="201" t="s">
        <v>109</v>
      </c>
      <c r="AC10" s="248">
        <f>IF(Configurator!$E$11="YES",Configurator!$F$11,0)</f>
        <v>0</v>
      </c>
      <c r="AD10" s="201" t="s">
        <v>109</v>
      </c>
      <c r="AE10" s="248">
        <f>IF(Configurator!$E$11="YES",Configurator!$F$11,0)</f>
        <v>0</v>
      </c>
      <c r="AF10" s="201" t="s">
        <v>109</v>
      </c>
      <c r="AG10" s="248">
        <f>IF(Configurator!$E$11="YES",Configurator!$F$11,0)</f>
        <v>0</v>
      </c>
      <c r="AH10" s="201" t="s">
        <v>109</v>
      </c>
      <c r="AI10" s="248">
        <f>IF(Configurator!$E$11="YES",Configurator!$F$11,0)</f>
        <v>0</v>
      </c>
      <c r="AJ10" s="201" t="s">
        <v>109</v>
      </c>
      <c r="AK10" s="248">
        <f>IF(Configurator!$E$11="YES",Configurator!$F$11,0)</f>
        <v>0</v>
      </c>
      <c r="AL10" s="201" t="s">
        <v>109</v>
      </c>
      <c r="AM10" s="248">
        <f>IF(Configurator!$E$11="YES",Configurator!$F$11,0)</f>
        <v>0</v>
      </c>
      <c r="AN10" s="201" t="s">
        <v>109</v>
      </c>
      <c r="AO10" s="248">
        <f>IF(Configurator!$E$11="YES",Configurator!$F$11,0)</f>
        <v>0</v>
      </c>
      <c r="AP10" s="201" t="s">
        <v>109</v>
      </c>
      <c r="AQ10" s="248">
        <f>IF(Configurator!$E$11="YES",Configurator!$F$11,0)</f>
        <v>0</v>
      </c>
      <c r="AR10" s="201" t="s">
        <v>109</v>
      </c>
      <c r="AS10" s="248">
        <f>IF(Configurator!$E$11="YES",Configurator!$F$11,0)</f>
        <v>0</v>
      </c>
      <c r="AT10" s="201" t="s">
        <v>109</v>
      </c>
      <c r="AU10" s="256">
        <f>IF(Configurator!$E$11="YES",Configurator!$F$11,0)</f>
        <v>0</v>
      </c>
      <c r="AV10" s="287">
        <f t="shared" si="0"/>
        <v>7</v>
      </c>
    </row>
    <row r="11" spans="1:48" ht="15.75" thickBot="1">
      <c r="A11" s="558"/>
      <c r="B11" s="202" t="s">
        <v>86</v>
      </c>
      <c r="C11" s="253">
        <f>IF(Configurator!$G$16&lt;&gt;0,Configurator!$G$16,0)</f>
        <v>130</v>
      </c>
      <c r="D11" s="202" t="s">
        <v>86</v>
      </c>
      <c r="E11" s="253">
        <f>IF(Configurator!$G$16&lt;&gt;0,Configurator!$G$16,0)</f>
        <v>130</v>
      </c>
      <c r="F11" s="202" t="s">
        <v>86</v>
      </c>
      <c r="G11" s="253">
        <f>IF(Configurator!$G$16&lt;&gt;0,Configurator!$G$16,0)</f>
        <v>130</v>
      </c>
      <c r="H11" s="202" t="s">
        <v>86</v>
      </c>
      <c r="I11" s="253">
        <f>IF(Configurator!$G$16&lt;&gt;0,Configurator!$G$16,0)</f>
        <v>130</v>
      </c>
      <c r="J11" s="202" t="s">
        <v>86</v>
      </c>
      <c r="K11" s="253">
        <f>IF(Configurator!$G$16&lt;&gt;0,Configurator!$G$16,0)</f>
        <v>130</v>
      </c>
      <c r="L11" s="202" t="s">
        <v>86</v>
      </c>
      <c r="M11" s="253">
        <f>IF(Configurator!$G$16&lt;&gt;0,Configurator!$G$16,0)</f>
        <v>130</v>
      </c>
      <c r="N11" s="202" t="s">
        <v>86</v>
      </c>
      <c r="O11" s="253">
        <f>IF(Configurator!$G$16&lt;&gt;0,Configurator!$G$16,0)</f>
        <v>130</v>
      </c>
      <c r="P11" s="202" t="s">
        <v>86</v>
      </c>
      <c r="Q11" s="253">
        <f>IF(Configurator!$G$16&lt;&gt;0,Configurator!$G$16,0)</f>
        <v>130</v>
      </c>
      <c r="R11" s="202" t="s">
        <v>86</v>
      </c>
      <c r="S11" s="253">
        <f>IF(Configurator!$G$16&lt;&gt;0,Configurator!$G$16,0)</f>
        <v>130</v>
      </c>
      <c r="T11" s="202" t="s">
        <v>86</v>
      </c>
      <c r="U11" s="253">
        <f>IF(Configurator!$G$16&lt;&gt;0,Configurator!$G$16,0)</f>
        <v>130</v>
      </c>
      <c r="V11" s="202" t="s">
        <v>86</v>
      </c>
      <c r="W11" s="253">
        <f>IF(Configurator!$G$16&lt;&gt;0,Configurator!$G$16,0)</f>
        <v>130</v>
      </c>
      <c r="X11" s="202" t="s">
        <v>86</v>
      </c>
      <c r="Y11" s="253">
        <f>IF(Configurator!$G$16&lt;&gt;0,Configurator!$G$16,0)</f>
        <v>130</v>
      </c>
      <c r="Z11" s="202" t="s">
        <v>86</v>
      </c>
      <c r="AA11" s="253">
        <f>IF(Configurator!$G$16&lt;&gt;0,Configurator!$G$16,0)</f>
        <v>130</v>
      </c>
      <c r="AB11" s="202" t="s">
        <v>86</v>
      </c>
      <c r="AC11" s="253">
        <f>IF(Configurator!$G$16&lt;&gt;0,Configurator!$G$16,0)</f>
        <v>130</v>
      </c>
      <c r="AD11" s="202" t="s">
        <v>86</v>
      </c>
      <c r="AE11" s="253">
        <f>IF(Configurator!$G$16&lt;&gt;0,Configurator!$G$16,0)</f>
        <v>130</v>
      </c>
      <c r="AF11" s="202" t="s">
        <v>86</v>
      </c>
      <c r="AG11" s="253">
        <f>IF(Configurator!$G$16&lt;&gt;0,Configurator!$G$16,0)</f>
        <v>130</v>
      </c>
      <c r="AH11" s="202" t="s">
        <v>86</v>
      </c>
      <c r="AI11" s="253">
        <f>IF(Configurator!$G$16&lt;&gt;0,Configurator!$G$16,0)</f>
        <v>130</v>
      </c>
      <c r="AJ11" s="202" t="s">
        <v>86</v>
      </c>
      <c r="AK11" s="253">
        <f>IF(Configurator!$G$16&lt;&gt;0,Configurator!$G$16,0)</f>
        <v>130</v>
      </c>
      <c r="AL11" s="202" t="s">
        <v>86</v>
      </c>
      <c r="AM11" s="253">
        <f>IF(Configurator!$G$16&lt;&gt;0,Configurator!$G$16,0)</f>
        <v>130</v>
      </c>
      <c r="AN11" s="202" t="s">
        <v>86</v>
      </c>
      <c r="AO11" s="253">
        <f>IF(Configurator!$G$16&lt;&gt;0,Configurator!$G$16,0)</f>
        <v>130</v>
      </c>
      <c r="AP11" s="202" t="s">
        <v>86</v>
      </c>
      <c r="AQ11" s="253">
        <f>IF(Configurator!$G$16&lt;&gt;0,Configurator!$G$16,0)</f>
        <v>130</v>
      </c>
      <c r="AR11" s="202" t="s">
        <v>86</v>
      </c>
      <c r="AS11" s="253">
        <f>IF(Configurator!$G$16&lt;&gt;0,Configurator!$G$16,0)</f>
        <v>130</v>
      </c>
      <c r="AT11" s="202" t="s">
        <v>86</v>
      </c>
      <c r="AU11" s="273">
        <f>IF(Configurator!$G$16&lt;&gt;0,Configurator!$G$16,0)</f>
        <v>130</v>
      </c>
      <c r="AV11" s="287">
        <f t="shared" si="0"/>
        <v>8</v>
      </c>
    </row>
    <row r="12" spans="1:48" ht="15" customHeight="1" thickBot="1">
      <c r="A12" s="583" t="s">
        <v>214</v>
      </c>
      <c r="B12" s="293" t="s">
        <v>279</v>
      </c>
      <c r="C12" s="294">
        <v>32</v>
      </c>
      <c r="D12" s="293" t="s">
        <v>279</v>
      </c>
      <c r="E12" s="294">
        <v>32</v>
      </c>
      <c r="F12" s="293" t="s">
        <v>279</v>
      </c>
      <c r="G12" s="294">
        <v>64</v>
      </c>
      <c r="H12" s="293" t="s">
        <v>279</v>
      </c>
      <c r="I12" s="294">
        <v>64</v>
      </c>
      <c r="J12" s="293" t="s">
        <v>279</v>
      </c>
      <c r="K12" s="294">
        <v>64</v>
      </c>
      <c r="L12" s="293" t="s">
        <v>279</v>
      </c>
      <c r="M12" s="295"/>
      <c r="N12" s="293" t="s">
        <v>215</v>
      </c>
      <c r="O12" s="296">
        <v>96</v>
      </c>
      <c r="P12" s="293" t="s">
        <v>215</v>
      </c>
      <c r="Q12" s="296">
        <v>128</v>
      </c>
      <c r="R12" s="293" t="s">
        <v>279</v>
      </c>
      <c r="S12" s="296">
        <v>64</v>
      </c>
      <c r="T12" s="293" t="s">
        <v>279</v>
      </c>
      <c r="U12" s="296">
        <v>85</v>
      </c>
      <c r="V12" s="293" t="s">
        <v>279</v>
      </c>
      <c r="W12" s="296">
        <v>85</v>
      </c>
      <c r="X12" s="293" t="s">
        <v>215</v>
      </c>
      <c r="Y12" s="296">
        <v>160</v>
      </c>
      <c r="Z12" s="293"/>
      <c r="AA12" s="296"/>
      <c r="AB12" s="293" t="s">
        <v>216</v>
      </c>
      <c r="AC12" s="296">
        <v>40</v>
      </c>
      <c r="AD12" s="293" t="s">
        <v>217</v>
      </c>
      <c r="AE12" s="296">
        <v>32</v>
      </c>
      <c r="AF12" s="293" t="s">
        <v>218</v>
      </c>
      <c r="AG12" s="296">
        <v>40</v>
      </c>
      <c r="AH12" s="293" t="s">
        <v>217</v>
      </c>
      <c r="AI12" s="296">
        <v>32</v>
      </c>
      <c r="AJ12" s="293" t="s">
        <v>279</v>
      </c>
      <c r="AK12" s="296">
        <v>32</v>
      </c>
      <c r="AL12" s="293" t="s">
        <v>217</v>
      </c>
      <c r="AM12" s="296">
        <v>40</v>
      </c>
      <c r="AN12" s="293"/>
      <c r="AO12" s="296"/>
      <c r="AP12" s="293" t="s">
        <v>218</v>
      </c>
      <c r="AQ12" s="296">
        <v>40</v>
      </c>
      <c r="AR12" s="293" t="s">
        <v>215</v>
      </c>
      <c r="AS12" s="296">
        <v>80</v>
      </c>
      <c r="AT12" s="293" t="s">
        <v>279</v>
      </c>
      <c r="AU12" s="296">
        <v>32</v>
      </c>
      <c r="AV12" s="287">
        <f t="shared" si="0"/>
        <v>9</v>
      </c>
    </row>
    <row r="13" spans="1:48" ht="15.75" thickBot="1">
      <c r="A13" s="583"/>
      <c r="B13" s="3" t="s">
        <v>280</v>
      </c>
      <c r="C13" s="269">
        <v>16</v>
      </c>
      <c r="D13" s="3" t="s">
        <v>280</v>
      </c>
      <c r="E13" s="269">
        <v>16</v>
      </c>
      <c r="F13" s="3" t="s">
        <v>280</v>
      </c>
      <c r="G13" s="269">
        <v>16</v>
      </c>
      <c r="H13" s="3" t="s">
        <v>280</v>
      </c>
      <c r="I13" s="269">
        <v>16</v>
      </c>
      <c r="J13" s="3" t="s">
        <v>280</v>
      </c>
      <c r="K13" s="269">
        <v>16</v>
      </c>
      <c r="L13" s="3" t="s">
        <v>280</v>
      </c>
      <c r="M13" s="4"/>
      <c r="N13" s="3" t="s">
        <v>219</v>
      </c>
      <c r="O13" s="200">
        <v>40</v>
      </c>
      <c r="P13" s="3" t="s">
        <v>219</v>
      </c>
      <c r="Q13" s="200">
        <v>56</v>
      </c>
      <c r="R13" s="3" t="s">
        <v>280</v>
      </c>
      <c r="S13" s="200">
        <v>27</v>
      </c>
      <c r="T13" s="3" t="s">
        <v>280</v>
      </c>
      <c r="U13" s="200">
        <v>37</v>
      </c>
      <c r="V13" s="3" t="s">
        <v>280</v>
      </c>
      <c r="W13" s="200">
        <v>37</v>
      </c>
      <c r="X13" s="3" t="s">
        <v>219</v>
      </c>
      <c r="Y13" s="200">
        <v>56</v>
      </c>
      <c r="Z13" s="3"/>
      <c r="AA13" s="200"/>
      <c r="AB13" s="3" t="s">
        <v>220</v>
      </c>
      <c r="AC13" s="200">
        <v>16</v>
      </c>
      <c r="AD13" s="3" t="s">
        <v>221</v>
      </c>
      <c r="AE13" s="200">
        <v>16</v>
      </c>
      <c r="AF13" s="3" t="s">
        <v>222</v>
      </c>
      <c r="AG13" s="200">
        <v>16</v>
      </c>
      <c r="AH13" s="3" t="s">
        <v>221</v>
      </c>
      <c r="AI13" s="200">
        <v>16</v>
      </c>
      <c r="AJ13" s="3" t="s">
        <v>280</v>
      </c>
      <c r="AK13" s="200">
        <v>16</v>
      </c>
      <c r="AL13" s="3" t="s">
        <v>221</v>
      </c>
      <c r="AM13" s="200">
        <v>16</v>
      </c>
      <c r="AN13" s="3"/>
      <c r="AO13" s="200"/>
      <c r="AP13" s="3" t="s">
        <v>222</v>
      </c>
      <c r="AQ13" s="200">
        <v>16</v>
      </c>
      <c r="AR13" s="3" t="s">
        <v>219</v>
      </c>
      <c r="AS13" s="200">
        <v>32</v>
      </c>
      <c r="AT13" s="3" t="s">
        <v>280</v>
      </c>
      <c r="AU13" s="200"/>
      <c r="AV13" s="287">
        <f t="shared" si="0"/>
        <v>10</v>
      </c>
    </row>
    <row r="14" spans="1:48" ht="15.75" thickBot="1">
      <c r="A14" s="583"/>
      <c r="B14" s="293" t="s">
        <v>281</v>
      </c>
      <c r="C14" s="294">
        <v>8</v>
      </c>
      <c r="D14" s="293" t="s">
        <v>281</v>
      </c>
      <c r="E14" s="294">
        <v>8</v>
      </c>
      <c r="F14" s="293" t="s">
        <v>281</v>
      </c>
      <c r="G14" s="294">
        <v>8</v>
      </c>
      <c r="H14" s="293" t="s">
        <v>281</v>
      </c>
      <c r="I14" s="294">
        <v>8</v>
      </c>
      <c r="J14" s="293" t="s">
        <v>281</v>
      </c>
      <c r="K14" s="294">
        <v>8</v>
      </c>
      <c r="L14" s="293" t="s">
        <v>281</v>
      </c>
      <c r="M14" s="4"/>
      <c r="N14" s="3"/>
      <c r="O14" s="200"/>
      <c r="P14" s="3"/>
      <c r="Q14" s="200"/>
      <c r="R14" s="293" t="s">
        <v>281</v>
      </c>
      <c r="S14" s="200">
        <v>32</v>
      </c>
      <c r="T14" s="293" t="s">
        <v>281</v>
      </c>
      <c r="U14" s="200">
        <v>43</v>
      </c>
      <c r="V14" s="293" t="s">
        <v>281</v>
      </c>
      <c r="W14" s="200">
        <v>43</v>
      </c>
      <c r="X14" s="3"/>
      <c r="Y14" s="200"/>
      <c r="Z14" s="3" t="s">
        <v>223</v>
      </c>
      <c r="AA14" s="200">
        <v>32</v>
      </c>
      <c r="AB14" s="3" t="s">
        <v>223</v>
      </c>
      <c r="AC14" s="200">
        <v>24</v>
      </c>
      <c r="AD14" s="3" t="s">
        <v>224</v>
      </c>
      <c r="AE14" s="200">
        <v>8</v>
      </c>
      <c r="AF14" s="3" t="s">
        <v>224</v>
      </c>
      <c r="AG14" s="200">
        <v>8</v>
      </c>
      <c r="AH14" s="3" t="s">
        <v>224</v>
      </c>
      <c r="AI14" s="200">
        <v>8</v>
      </c>
      <c r="AJ14" s="293" t="s">
        <v>281</v>
      </c>
      <c r="AK14" s="200">
        <v>16</v>
      </c>
      <c r="AL14" s="3" t="s">
        <v>224</v>
      </c>
      <c r="AM14" s="200">
        <v>8</v>
      </c>
      <c r="AN14" s="3" t="s">
        <v>226</v>
      </c>
      <c r="AO14" s="200">
        <v>24</v>
      </c>
      <c r="AP14" s="3" t="s">
        <v>224</v>
      </c>
      <c r="AQ14" s="200">
        <v>8</v>
      </c>
      <c r="AR14" s="3"/>
      <c r="AS14" s="200"/>
      <c r="AT14" s="293" t="s">
        <v>281</v>
      </c>
      <c r="AU14" s="200">
        <v>32</v>
      </c>
      <c r="AV14" s="287">
        <f t="shared" si="0"/>
        <v>11</v>
      </c>
    </row>
    <row r="15" spans="1:48" ht="15.75" thickBot="1">
      <c r="A15" s="583"/>
      <c r="B15" s="3" t="s">
        <v>282</v>
      </c>
      <c r="C15" s="269">
        <v>8</v>
      </c>
      <c r="D15" s="3" t="s">
        <v>282</v>
      </c>
      <c r="E15" s="269">
        <v>8</v>
      </c>
      <c r="F15" s="3" t="s">
        <v>282</v>
      </c>
      <c r="G15" s="269">
        <v>8</v>
      </c>
      <c r="H15" s="3" t="s">
        <v>282</v>
      </c>
      <c r="I15" s="269">
        <v>8</v>
      </c>
      <c r="J15" s="3" t="s">
        <v>282</v>
      </c>
      <c r="K15" s="269">
        <v>8</v>
      </c>
      <c r="L15" s="3" t="s">
        <v>282</v>
      </c>
      <c r="M15" s="4"/>
      <c r="N15" s="3"/>
      <c r="O15" s="200"/>
      <c r="P15" s="3"/>
      <c r="Q15" s="200"/>
      <c r="R15" s="3" t="s">
        <v>282</v>
      </c>
      <c r="S15" s="200">
        <v>13</v>
      </c>
      <c r="T15" s="3" t="s">
        <v>282</v>
      </c>
      <c r="U15" s="200">
        <v>19</v>
      </c>
      <c r="V15" s="3" t="s">
        <v>282</v>
      </c>
      <c r="W15" s="200">
        <v>19</v>
      </c>
      <c r="X15" s="3"/>
      <c r="Y15" s="200"/>
      <c r="Z15" s="3" t="s">
        <v>227</v>
      </c>
      <c r="AA15" s="200">
        <v>16</v>
      </c>
      <c r="AB15" s="3" t="s">
        <v>227</v>
      </c>
      <c r="AC15" s="200">
        <v>16</v>
      </c>
      <c r="AD15" s="3" t="s">
        <v>228</v>
      </c>
      <c r="AE15" s="200">
        <v>8</v>
      </c>
      <c r="AF15" s="3" t="s">
        <v>228</v>
      </c>
      <c r="AG15" s="200">
        <v>8</v>
      </c>
      <c r="AH15" s="3" t="s">
        <v>228</v>
      </c>
      <c r="AI15" s="200">
        <v>8</v>
      </c>
      <c r="AJ15" s="3" t="s">
        <v>282</v>
      </c>
      <c r="AK15" s="200">
        <v>8</v>
      </c>
      <c r="AL15" s="3" t="s">
        <v>228</v>
      </c>
      <c r="AM15" s="200">
        <v>8</v>
      </c>
      <c r="AN15" s="3" t="s">
        <v>230</v>
      </c>
      <c r="AO15" s="200">
        <v>16</v>
      </c>
      <c r="AP15" s="3" t="s">
        <v>228</v>
      </c>
      <c r="AQ15" s="200">
        <v>8</v>
      </c>
      <c r="AR15" s="3"/>
      <c r="AS15" s="200"/>
      <c r="AT15" s="3" t="s">
        <v>282</v>
      </c>
      <c r="AU15" s="200">
        <v>16</v>
      </c>
      <c r="AV15" s="287">
        <f t="shared" si="0"/>
        <v>12</v>
      </c>
    </row>
    <row r="16" spans="1:48" ht="15.75" thickBot="1">
      <c r="A16" s="583"/>
      <c r="B16" s="3"/>
      <c r="C16" s="269"/>
      <c r="D16" s="3"/>
      <c r="E16" s="269"/>
      <c r="F16" s="3"/>
      <c r="G16" s="269"/>
      <c r="H16" s="3"/>
      <c r="I16" s="269"/>
      <c r="J16" s="3"/>
      <c r="K16" s="269"/>
      <c r="L16" s="3"/>
      <c r="M16" s="4"/>
      <c r="N16" s="293"/>
      <c r="O16" s="296"/>
      <c r="P16" s="293"/>
      <c r="Q16" s="296"/>
      <c r="R16" s="3"/>
      <c r="S16" s="200"/>
      <c r="T16" s="3"/>
      <c r="U16" s="200"/>
      <c r="V16" s="3"/>
      <c r="W16" s="200"/>
      <c r="X16" s="293"/>
      <c r="Y16" s="296"/>
      <c r="Z16" s="3" t="s">
        <v>231</v>
      </c>
      <c r="AA16" s="200">
        <v>24</v>
      </c>
      <c r="AB16" s="3" t="s">
        <v>231</v>
      </c>
      <c r="AC16" s="200">
        <v>24</v>
      </c>
      <c r="AD16" s="3"/>
      <c r="AE16" s="200"/>
      <c r="AF16" s="3"/>
      <c r="AG16" s="200"/>
      <c r="AH16" s="3"/>
      <c r="AI16" s="200"/>
      <c r="AJ16" s="3"/>
      <c r="AK16" s="200"/>
      <c r="AL16" s="3"/>
      <c r="AM16" s="200"/>
      <c r="AN16" s="3" t="s">
        <v>231</v>
      </c>
      <c r="AO16" s="200">
        <v>24</v>
      </c>
      <c r="AP16" s="3"/>
      <c r="AQ16" s="200"/>
      <c r="AR16" s="293"/>
      <c r="AS16" s="296"/>
      <c r="AT16" s="3"/>
      <c r="AU16" s="200"/>
      <c r="AV16" s="287">
        <f t="shared" si="0"/>
        <v>13</v>
      </c>
    </row>
    <row r="17" spans="1:48" ht="15.75" thickBot="1">
      <c r="A17" s="583"/>
      <c r="B17" s="3"/>
      <c r="C17" s="269"/>
      <c r="D17" s="3"/>
      <c r="E17" s="269"/>
      <c r="F17" s="3"/>
      <c r="G17" s="269"/>
      <c r="H17" s="3"/>
      <c r="I17" s="269"/>
      <c r="J17" s="3"/>
      <c r="K17" s="269"/>
      <c r="L17" s="3"/>
      <c r="M17" s="4"/>
      <c r="N17" s="3"/>
      <c r="O17" s="200"/>
      <c r="P17" s="3"/>
      <c r="Q17" s="200"/>
      <c r="R17" s="3"/>
      <c r="S17" s="200"/>
      <c r="T17" s="3"/>
      <c r="U17" s="200"/>
      <c r="V17" s="3"/>
      <c r="W17" s="200"/>
      <c r="X17" s="3"/>
      <c r="Y17" s="200"/>
      <c r="Z17" s="3" t="s">
        <v>233</v>
      </c>
      <c r="AA17" s="200">
        <v>16</v>
      </c>
      <c r="AB17" s="3" t="s">
        <v>233</v>
      </c>
      <c r="AC17" s="200">
        <v>16</v>
      </c>
      <c r="AD17" s="3"/>
      <c r="AE17" s="200"/>
      <c r="AF17" s="3"/>
      <c r="AG17" s="200"/>
      <c r="AH17" s="3"/>
      <c r="AI17" s="200"/>
      <c r="AJ17" s="3"/>
      <c r="AK17" s="200"/>
      <c r="AL17" s="3"/>
      <c r="AM17" s="200"/>
      <c r="AN17" s="3" t="s">
        <v>233</v>
      </c>
      <c r="AO17" s="200">
        <v>8</v>
      </c>
      <c r="AP17" s="3"/>
      <c r="AQ17" s="200"/>
      <c r="AR17" s="3"/>
      <c r="AS17" s="200"/>
      <c r="AT17" s="3"/>
      <c r="AU17" s="200"/>
      <c r="AV17" s="287">
        <f t="shared" si="0"/>
        <v>14</v>
      </c>
    </row>
    <row r="18" spans="1:48" ht="15.75" thickBot="1">
      <c r="A18" s="583"/>
      <c r="B18" s="3"/>
      <c r="C18" s="269"/>
      <c r="D18" s="3"/>
      <c r="E18" s="269"/>
      <c r="F18" s="3"/>
      <c r="G18" s="269"/>
      <c r="H18" s="3"/>
      <c r="I18" s="269"/>
      <c r="J18" s="3"/>
      <c r="K18" s="269"/>
      <c r="L18" s="3"/>
      <c r="M18" s="4"/>
      <c r="N18" s="3"/>
      <c r="O18" s="200"/>
      <c r="P18" s="3"/>
      <c r="Q18" s="200"/>
      <c r="R18" s="3"/>
      <c r="S18" s="200"/>
      <c r="T18" s="3"/>
      <c r="U18" s="200"/>
      <c r="V18" s="3"/>
      <c r="W18" s="200"/>
      <c r="X18" s="3"/>
      <c r="Y18" s="200"/>
      <c r="Z18" s="3"/>
      <c r="AA18" s="200"/>
      <c r="AB18" s="3"/>
      <c r="AC18" s="200"/>
      <c r="AD18" s="3"/>
      <c r="AE18" s="200"/>
      <c r="AF18" s="3"/>
      <c r="AG18" s="200"/>
      <c r="AH18" s="3"/>
      <c r="AI18" s="200"/>
      <c r="AJ18" s="3"/>
      <c r="AK18" s="200"/>
      <c r="AL18" s="3"/>
      <c r="AM18" s="200"/>
      <c r="AN18" s="3"/>
      <c r="AO18" s="200"/>
      <c r="AP18" s="3"/>
      <c r="AQ18" s="200"/>
      <c r="AR18" s="3"/>
      <c r="AS18" s="200"/>
      <c r="AT18" s="3"/>
      <c r="AU18" s="200"/>
      <c r="AV18" s="287">
        <f t="shared" si="0"/>
        <v>15</v>
      </c>
    </row>
    <row r="19" spans="1:48" ht="15.75" thickBot="1">
      <c r="A19" s="583"/>
      <c r="B19" s="3" t="s">
        <v>237</v>
      </c>
      <c r="C19" s="269">
        <v>16</v>
      </c>
      <c r="D19" s="3" t="s">
        <v>237</v>
      </c>
      <c r="E19" s="269">
        <v>16</v>
      </c>
      <c r="F19" s="3" t="s">
        <v>237</v>
      </c>
      <c r="G19" s="269">
        <v>16</v>
      </c>
      <c r="H19" s="3" t="s">
        <v>237</v>
      </c>
      <c r="I19" s="269">
        <v>16</v>
      </c>
      <c r="J19" s="3" t="s">
        <v>237</v>
      </c>
      <c r="K19" s="269">
        <v>16</v>
      </c>
      <c r="L19" s="3" t="s">
        <v>237</v>
      </c>
      <c r="M19" s="4"/>
      <c r="N19" s="3" t="s">
        <v>237</v>
      </c>
      <c r="O19" s="200">
        <v>16</v>
      </c>
      <c r="P19" s="3" t="s">
        <v>237</v>
      </c>
      <c r="Q19" s="200">
        <v>16</v>
      </c>
      <c r="R19" s="3" t="s">
        <v>237</v>
      </c>
      <c r="S19" s="200">
        <v>16</v>
      </c>
      <c r="T19" s="3" t="s">
        <v>237</v>
      </c>
      <c r="U19" s="200">
        <v>16</v>
      </c>
      <c r="V19" s="3" t="s">
        <v>237</v>
      </c>
      <c r="W19" s="200">
        <v>16</v>
      </c>
      <c r="X19" s="3" t="s">
        <v>237</v>
      </c>
      <c r="Y19" s="200">
        <v>16</v>
      </c>
      <c r="Z19" s="3" t="s">
        <v>237</v>
      </c>
      <c r="AA19" s="200">
        <v>16</v>
      </c>
      <c r="AB19" s="3" t="s">
        <v>237</v>
      </c>
      <c r="AC19" s="200">
        <v>16</v>
      </c>
      <c r="AD19" s="3" t="s">
        <v>237</v>
      </c>
      <c r="AE19" s="200">
        <v>16</v>
      </c>
      <c r="AF19" s="3" t="s">
        <v>237</v>
      </c>
      <c r="AG19" s="200">
        <v>16</v>
      </c>
      <c r="AH19" s="3" t="s">
        <v>237</v>
      </c>
      <c r="AI19" s="200">
        <v>16</v>
      </c>
      <c r="AJ19" s="3" t="s">
        <v>237</v>
      </c>
      <c r="AK19" s="200">
        <v>16</v>
      </c>
      <c r="AL19" s="3" t="s">
        <v>237</v>
      </c>
      <c r="AM19" s="200">
        <v>16</v>
      </c>
      <c r="AN19" s="3" t="s">
        <v>237</v>
      </c>
      <c r="AO19" s="200">
        <v>16</v>
      </c>
      <c r="AP19" s="3" t="s">
        <v>237</v>
      </c>
      <c r="AQ19" s="200">
        <v>16</v>
      </c>
      <c r="AR19" s="3" t="s">
        <v>237</v>
      </c>
      <c r="AS19" s="200">
        <v>16</v>
      </c>
      <c r="AT19" s="3" t="s">
        <v>237</v>
      </c>
      <c r="AU19" s="200">
        <v>16</v>
      </c>
      <c r="AV19" s="287">
        <f t="shared" si="0"/>
        <v>16</v>
      </c>
    </row>
    <row r="20" spans="1:48" ht="15.75" thickBot="1">
      <c r="A20" s="583"/>
      <c r="B20" s="3" t="s">
        <v>238</v>
      </c>
      <c r="C20" s="269">
        <v>16</v>
      </c>
      <c r="D20" s="3" t="s">
        <v>238</v>
      </c>
      <c r="E20" s="269">
        <v>16</v>
      </c>
      <c r="F20" s="3" t="s">
        <v>238</v>
      </c>
      <c r="G20" s="269">
        <v>16</v>
      </c>
      <c r="H20" s="3" t="s">
        <v>238</v>
      </c>
      <c r="I20" s="269">
        <v>16</v>
      </c>
      <c r="J20" s="3" t="s">
        <v>238</v>
      </c>
      <c r="K20" s="269">
        <v>16</v>
      </c>
      <c r="L20" s="3" t="s">
        <v>238</v>
      </c>
      <c r="M20" s="4"/>
      <c r="N20" s="3" t="s">
        <v>238</v>
      </c>
      <c r="O20" s="200">
        <v>16</v>
      </c>
      <c r="P20" s="3" t="s">
        <v>238</v>
      </c>
      <c r="Q20" s="200">
        <v>16</v>
      </c>
      <c r="R20" s="3" t="s">
        <v>238</v>
      </c>
      <c r="S20" s="200">
        <v>16</v>
      </c>
      <c r="T20" s="3" t="s">
        <v>238</v>
      </c>
      <c r="U20" s="200">
        <v>16</v>
      </c>
      <c r="V20" s="3" t="s">
        <v>238</v>
      </c>
      <c r="W20" s="200">
        <v>16</v>
      </c>
      <c r="X20" s="3" t="s">
        <v>238</v>
      </c>
      <c r="Y20" s="200">
        <v>16</v>
      </c>
      <c r="Z20" s="3" t="s">
        <v>238</v>
      </c>
      <c r="AA20" s="200">
        <v>16</v>
      </c>
      <c r="AB20" s="3" t="s">
        <v>238</v>
      </c>
      <c r="AC20" s="200">
        <v>16</v>
      </c>
      <c r="AD20" s="3" t="s">
        <v>238</v>
      </c>
      <c r="AE20" s="200">
        <v>16</v>
      </c>
      <c r="AF20" s="3" t="s">
        <v>238</v>
      </c>
      <c r="AG20" s="200">
        <v>16</v>
      </c>
      <c r="AH20" s="3" t="s">
        <v>238</v>
      </c>
      <c r="AI20" s="200">
        <v>16</v>
      </c>
      <c r="AJ20" s="3" t="s">
        <v>238</v>
      </c>
      <c r="AK20" s="200">
        <v>16</v>
      </c>
      <c r="AL20" s="3" t="s">
        <v>238</v>
      </c>
      <c r="AM20" s="200">
        <v>16</v>
      </c>
      <c r="AN20" s="3" t="s">
        <v>238</v>
      </c>
      <c r="AO20" s="200">
        <v>16</v>
      </c>
      <c r="AP20" s="3" t="s">
        <v>238</v>
      </c>
      <c r="AQ20" s="200">
        <v>16</v>
      </c>
      <c r="AR20" s="3" t="s">
        <v>238</v>
      </c>
      <c r="AS20" s="200">
        <v>16</v>
      </c>
      <c r="AT20" s="3" t="s">
        <v>238</v>
      </c>
      <c r="AU20" s="200">
        <v>16</v>
      </c>
      <c r="AV20" s="287">
        <f t="shared" si="0"/>
        <v>17</v>
      </c>
    </row>
    <row r="21" spans="1:48" ht="15.75" thickBot="1">
      <c r="A21" s="583"/>
      <c r="B21" s="3"/>
      <c r="C21" s="269"/>
      <c r="D21" s="3"/>
      <c r="E21" s="269"/>
      <c r="F21" s="3"/>
      <c r="G21" s="269"/>
      <c r="H21" s="3"/>
      <c r="I21" s="269"/>
      <c r="J21" s="3"/>
      <c r="K21" s="269"/>
      <c r="L21" s="3"/>
      <c r="M21" s="4"/>
      <c r="N21" s="3"/>
      <c r="O21" s="200"/>
      <c r="P21" s="3"/>
      <c r="Q21" s="200"/>
      <c r="R21" s="3"/>
      <c r="S21" s="200"/>
      <c r="T21" s="3"/>
      <c r="U21" s="200"/>
      <c r="V21" s="3"/>
      <c r="W21" s="200"/>
      <c r="X21" s="3"/>
      <c r="Y21" s="200"/>
      <c r="Z21" s="3"/>
      <c r="AA21" s="200"/>
      <c r="AB21" s="3"/>
      <c r="AC21" s="200"/>
      <c r="AD21" s="3"/>
      <c r="AE21" s="200"/>
      <c r="AF21" s="3"/>
      <c r="AG21" s="200"/>
      <c r="AH21" s="3"/>
      <c r="AI21" s="200"/>
      <c r="AJ21" s="3"/>
      <c r="AK21" s="200"/>
      <c r="AL21" s="3"/>
      <c r="AM21" s="200"/>
      <c r="AN21" s="3"/>
      <c r="AO21" s="200"/>
      <c r="AP21" s="3"/>
      <c r="AQ21" s="200"/>
      <c r="AR21" s="3"/>
      <c r="AS21" s="200"/>
      <c r="AT21" s="3"/>
      <c r="AU21" s="200"/>
      <c r="AV21" s="287">
        <f t="shared" si="0"/>
        <v>18</v>
      </c>
    </row>
    <row r="22" spans="1:48" ht="15.75" thickBot="1">
      <c r="A22" s="583"/>
      <c r="B22" s="3"/>
      <c r="C22" s="269"/>
      <c r="D22" s="3"/>
      <c r="E22" s="269"/>
      <c r="F22" s="3" t="s">
        <v>239</v>
      </c>
      <c r="G22" s="269"/>
      <c r="H22" s="3"/>
      <c r="I22" s="269"/>
      <c r="J22" s="3"/>
      <c r="K22" s="269"/>
      <c r="L22" s="3"/>
      <c r="M22" s="4"/>
      <c r="N22" s="3"/>
      <c r="O22" s="200"/>
      <c r="P22" s="3"/>
      <c r="Q22" s="200"/>
      <c r="R22" s="3"/>
      <c r="S22" s="200"/>
      <c r="T22" s="3"/>
      <c r="U22" s="200"/>
      <c r="V22" s="3"/>
      <c r="W22" s="200"/>
      <c r="X22" s="3"/>
      <c r="Y22" s="200"/>
      <c r="Z22" s="3" t="s">
        <v>239</v>
      </c>
      <c r="AA22" s="200">
        <v>16</v>
      </c>
      <c r="AB22" s="3" t="s">
        <v>239</v>
      </c>
      <c r="AC22" s="200">
        <v>16</v>
      </c>
      <c r="AD22" s="3"/>
      <c r="AE22" s="200"/>
      <c r="AF22" s="3"/>
      <c r="AG22" s="200"/>
      <c r="AH22" s="3"/>
      <c r="AI22" s="200"/>
      <c r="AJ22" s="3"/>
      <c r="AK22" s="200"/>
      <c r="AL22" s="3"/>
      <c r="AM22" s="200"/>
      <c r="AN22" s="3" t="s">
        <v>239</v>
      </c>
      <c r="AO22" s="200">
        <v>8</v>
      </c>
      <c r="AP22" s="3"/>
      <c r="AQ22" s="200"/>
      <c r="AR22" s="3"/>
      <c r="AS22" s="200"/>
      <c r="AT22" s="3"/>
      <c r="AU22" s="200"/>
      <c r="AV22" s="287">
        <f t="shared" si="0"/>
        <v>19</v>
      </c>
    </row>
    <row r="23" spans="1:48" ht="15.75" thickBot="1">
      <c r="A23" s="583"/>
      <c r="B23" s="3"/>
      <c r="C23" s="269"/>
      <c r="D23" s="3"/>
      <c r="E23" s="269"/>
      <c r="F23" s="3" t="s">
        <v>241</v>
      </c>
      <c r="G23" s="269"/>
      <c r="H23" s="3"/>
      <c r="I23" s="269"/>
      <c r="J23" s="3"/>
      <c r="K23" s="269"/>
      <c r="L23" s="3"/>
      <c r="M23" s="4"/>
      <c r="N23" s="3"/>
      <c r="O23" s="200"/>
      <c r="P23" s="3"/>
      <c r="Q23" s="200"/>
      <c r="R23" s="3"/>
      <c r="S23" s="200"/>
      <c r="T23" s="3"/>
      <c r="U23" s="200"/>
      <c r="V23" s="3"/>
      <c r="W23" s="200"/>
      <c r="X23" s="3"/>
      <c r="Y23" s="200"/>
      <c r="Z23" s="3" t="s">
        <v>241</v>
      </c>
      <c r="AA23" s="200">
        <v>16</v>
      </c>
      <c r="AB23" s="3" t="s">
        <v>241</v>
      </c>
      <c r="AC23" s="200">
        <v>16</v>
      </c>
      <c r="AD23" s="3"/>
      <c r="AE23" s="200"/>
      <c r="AF23" s="3"/>
      <c r="AG23" s="200"/>
      <c r="AH23" s="3"/>
      <c r="AI23" s="200"/>
      <c r="AJ23" s="3"/>
      <c r="AK23" s="200"/>
      <c r="AL23" s="3"/>
      <c r="AM23" s="200"/>
      <c r="AN23" s="3" t="s">
        <v>241</v>
      </c>
      <c r="AO23" s="200">
        <v>8</v>
      </c>
      <c r="AP23" s="3"/>
      <c r="AQ23" s="200"/>
      <c r="AR23" s="3"/>
      <c r="AS23" s="200"/>
      <c r="AT23" s="3"/>
      <c r="AU23" s="200"/>
      <c r="AV23" s="287">
        <f t="shared" si="0"/>
        <v>20</v>
      </c>
    </row>
    <row r="24" spans="1:48" ht="15.75" thickBot="1">
      <c r="A24" s="583"/>
      <c r="B24" s="3"/>
      <c r="C24" s="269"/>
      <c r="D24" s="3"/>
      <c r="E24" s="269"/>
      <c r="F24" s="3"/>
      <c r="G24" s="269"/>
      <c r="H24" s="3"/>
      <c r="I24" s="269"/>
      <c r="J24" s="3"/>
      <c r="K24" s="269"/>
      <c r="L24" s="3"/>
      <c r="M24" s="4"/>
      <c r="N24" s="3"/>
      <c r="O24" s="200"/>
      <c r="P24" s="3"/>
      <c r="Q24" s="200"/>
      <c r="R24" s="3"/>
      <c r="S24" s="200"/>
      <c r="T24" s="3"/>
      <c r="U24" s="200"/>
      <c r="V24" s="3"/>
      <c r="W24" s="200"/>
      <c r="X24" s="3"/>
      <c r="Y24" s="200"/>
      <c r="Z24" s="3"/>
      <c r="AA24" s="200"/>
      <c r="AB24" s="3"/>
      <c r="AC24" s="200"/>
      <c r="AD24" s="3"/>
      <c r="AE24" s="200"/>
      <c r="AF24" s="3"/>
      <c r="AG24" s="200"/>
      <c r="AH24" s="3"/>
      <c r="AI24" s="200"/>
      <c r="AJ24" s="3"/>
      <c r="AK24" s="200"/>
      <c r="AL24" s="3"/>
      <c r="AM24" s="200"/>
      <c r="AN24" s="3"/>
      <c r="AO24" s="200"/>
      <c r="AP24" s="3"/>
      <c r="AQ24" s="200"/>
      <c r="AR24" s="3"/>
      <c r="AS24" s="200"/>
      <c r="AT24" s="3"/>
      <c r="AU24" s="200"/>
      <c r="AV24" s="287">
        <f t="shared" si="0"/>
        <v>21</v>
      </c>
    </row>
    <row r="25" spans="1:48" ht="15.75" thickBot="1">
      <c r="A25" s="583"/>
      <c r="B25" s="3" t="s">
        <v>400</v>
      </c>
      <c r="C25" s="269">
        <f>IFERROR(Configurator!$F$17+Configurator!$G$17,0)</f>
        <v>0</v>
      </c>
      <c r="D25" s="3" t="s">
        <v>400</v>
      </c>
      <c r="E25" s="269">
        <f>IFERROR(Configurator!$F$17+Configurator!$G$17,0)</f>
        <v>0</v>
      </c>
      <c r="F25" s="3" t="s">
        <v>400</v>
      </c>
      <c r="G25" s="269">
        <f>IFERROR(Configurator!$F$17+Configurator!$G$17,0)</f>
        <v>0</v>
      </c>
      <c r="H25" s="3" t="s">
        <v>400</v>
      </c>
      <c r="I25" s="269">
        <f>IFERROR(Configurator!$F$17+Configurator!$G$17,0)</f>
        <v>0</v>
      </c>
      <c r="J25" s="3"/>
      <c r="K25" s="269"/>
      <c r="L25" s="3" t="s">
        <v>397</v>
      </c>
      <c r="M25" s="269">
        <f>IFERROR(Configurator!$F$17+Configurator!$G$17,0)</f>
        <v>0</v>
      </c>
      <c r="N25" s="3" t="s">
        <v>397</v>
      </c>
      <c r="O25" s="269">
        <f>IFERROR(Configurator!$F$17+Configurator!$G$17,0)</f>
        <v>0</v>
      </c>
      <c r="P25" s="3" t="s">
        <v>397</v>
      </c>
      <c r="Q25" s="269">
        <f>IFERROR(Configurator!$F$17+Configurator!$G$17,0)</f>
        <v>0</v>
      </c>
      <c r="R25" s="3" t="s">
        <v>397</v>
      </c>
      <c r="S25" s="269">
        <f>IFERROR(Configurator!$F$17+Configurator!$G$17,0)</f>
        <v>0</v>
      </c>
      <c r="T25" s="3" t="s">
        <v>397</v>
      </c>
      <c r="U25" s="269">
        <f>IFERROR(Configurator!$F$17+Configurator!$G$17,0)</f>
        <v>0</v>
      </c>
      <c r="V25" s="3" t="s">
        <v>397</v>
      </c>
      <c r="W25" s="269">
        <f>IFERROR(Configurator!$F$17+Configurator!$G$17,0)</f>
        <v>0</v>
      </c>
      <c r="X25" s="3" t="s">
        <v>240</v>
      </c>
      <c r="Y25" s="200">
        <v>16</v>
      </c>
      <c r="Z25" s="3" t="s">
        <v>235</v>
      </c>
      <c r="AA25" s="200">
        <v>16</v>
      </c>
      <c r="AB25" s="3" t="s">
        <v>235</v>
      </c>
      <c r="AC25" s="200">
        <v>16</v>
      </c>
      <c r="AD25" s="3" t="s">
        <v>232</v>
      </c>
      <c r="AE25" s="200">
        <v>8</v>
      </c>
      <c r="AF25" s="3" t="s">
        <v>225</v>
      </c>
      <c r="AG25" s="200">
        <v>8</v>
      </c>
      <c r="AH25" s="3" t="s">
        <v>232</v>
      </c>
      <c r="AI25" s="200">
        <v>8</v>
      </c>
      <c r="AJ25" s="3" t="s">
        <v>400</v>
      </c>
      <c r="AK25" s="269">
        <f>IFERROR(Configurator!$F$17+Configurator!$G$17,0)</f>
        <v>0</v>
      </c>
      <c r="AL25" s="3" t="s">
        <v>232</v>
      </c>
      <c r="AM25" s="200">
        <v>8</v>
      </c>
      <c r="AN25" s="3" t="s">
        <v>235</v>
      </c>
      <c r="AO25" s="200">
        <v>16</v>
      </c>
      <c r="AP25" s="3" t="s">
        <v>225</v>
      </c>
      <c r="AQ25" s="200">
        <v>8</v>
      </c>
      <c r="AR25" s="3" t="s">
        <v>397</v>
      </c>
      <c r="AS25" s="269">
        <f>IFERROR(Configurator!$F$17+Configurator!$G$17,0)</f>
        <v>0</v>
      </c>
      <c r="AT25" s="3" t="s">
        <v>400</v>
      </c>
      <c r="AU25" s="269">
        <f>IFERROR(Configurator!$F$17+Configurator!$G$17,0)</f>
        <v>0</v>
      </c>
      <c r="AV25" s="287">
        <f t="shared" si="0"/>
        <v>22</v>
      </c>
    </row>
    <row r="26" spans="1:48" ht="15.75" thickBot="1">
      <c r="A26" s="583"/>
      <c r="B26" s="3"/>
      <c r="C26" s="269"/>
      <c r="D26" s="3"/>
      <c r="E26" s="269"/>
      <c r="F26" s="3"/>
      <c r="G26" s="269"/>
      <c r="H26" s="3"/>
      <c r="I26" s="269"/>
      <c r="J26" s="3"/>
      <c r="K26" s="269"/>
      <c r="L26" s="3"/>
      <c r="M26" s="4"/>
      <c r="N26" s="3"/>
      <c r="O26" s="200"/>
      <c r="P26" s="3"/>
      <c r="Q26" s="200"/>
      <c r="R26" s="3"/>
      <c r="S26" s="200"/>
      <c r="T26" s="3"/>
      <c r="U26" s="200"/>
      <c r="V26" s="3"/>
      <c r="W26" s="200"/>
      <c r="X26" s="3" t="s">
        <v>242</v>
      </c>
      <c r="Y26" s="200">
        <v>16</v>
      </c>
      <c r="Z26" s="3" t="s">
        <v>236</v>
      </c>
      <c r="AA26" s="200">
        <v>8</v>
      </c>
      <c r="AB26" s="3" t="s">
        <v>236</v>
      </c>
      <c r="AC26" s="200">
        <v>8</v>
      </c>
      <c r="AD26" s="3" t="s">
        <v>234</v>
      </c>
      <c r="AE26" s="200">
        <v>8</v>
      </c>
      <c r="AF26" s="3" t="s">
        <v>229</v>
      </c>
      <c r="AG26" s="200">
        <v>8</v>
      </c>
      <c r="AH26" s="3" t="s">
        <v>234</v>
      </c>
      <c r="AI26" s="200">
        <v>8</v>
      </c>
      <c r="AJ26" s="3"/>
      <c r="AK26" s="200"/>
      <c r="AL26" s="3" t="s">
        <v>234</v>
      </c>
      <c r="AM26" s="200">
        <v>8</v>
      </c>
      <c r="AN26" s="3" t="s">
        <v>236</v>
      </c>
      <c r="AO26" s="200">
        <v>8</v>
      </c>
      <c r="AP26" s="3" t="s">
        <v>229</v>
      </c>
      <c r="AQ26" s="200">
        <v>8</v>
      </c>
      <c r="AR26" s="3"/>
      <c r="AS26" s="200"/>
      <c r="AT26" s="3"/>
      <c r="AU26" s="200"/>
      <c r="AV26" s="287">
        <f t="shared" si="0"/>
        <v>23</v>
      </c>
    </row>
    <row r="27" spans="1:48" ht="15.75" thickBot="1">
      <c r="A27" s="583"/>
      <c r="B27" s="3"/>
      <c r="C27" s="269"/>
      <c r="D27" s="3"/>
      <c r="E27" s="269"/>
      <c r="F27" s="3"/>
      <c r="G27" s="269"/>
      <c r="H27" s="3"/>
      <c r="I27" s="269"/>
      <c r="J27" s="3"/>
      <c r="K27" s="269"/>
      <c r="L27" s="3"/>
      <c r="M27" s="4"/>
      <c r="N27" s="3"/>
      <c r="O27" s="200"/>
      <c r="P27" s="3"/>
      <c r="Q27" s="200"/>
      <c r="R27" s="3"/>
      <c r="S27" s="200"/>
      <c r="T27" s="3"/>
      <c r="U27" s="200"/>
      <c r="V27" s="3"/>
      <c r="W27" s="200"/>
      <c r="X27" s="3" t="s">
        <v>397</v>
      </c>
      <c r="Y27" s="269">
        <f>IFERROR(Configurator!$F$17+Configurator!$G$17,0)</f>
        <v>0</v>
      </c>
      <c r="Z27" s="3" t="s">
        <v>397</v>
      </c>
      <c r="AA27" s="269">
        <f>IFERROR(Configurator!$F$17+Configurator!$G$17,0)</f>
        <v>0</v>
      </c>
      <c r="AB27" s="3" t="s">
        <v>397</v>
      </c>
      <c r="AC27" s="269">
        <f>IFERROR(Configurator!$F$17+Configurator!$G$17,0)</f>
        <v>0</v>
      </c>
      <c r="AD27" s="3" t="s">
        <v>400</v>
      </c>
      <c r="AE27" s="269">
        <f>IFERROR(Configurator!$F$17+Configurator!$G$17,0)</f>
        <v>0</v>
      </c>
      <c r="AF27" s="3" t="s">
        <v>400</v>
      </c>
      <c r="AG27" s="269">
        <f>IFERROR(Configurator!$F$17+Configurator!$G$17,0)</f>
        <v>0</v>
      </c>
      <c r="AH27" s="3" t="s">
        <v>400</v>
      </c>
      <c r="AI27" s="269">
        <f>IFERROR(Configurator!$F$17+Configurator!$G$17,0)</f>
        <v>0</v>
      </c>
      <c r="AJ27" s="3"/>
      <c r="AK27" s="200"/>
      <c r="AL27" s="3" t="s">
        <v>400</v>
      </c>
      <c r="AM27" s="269">
        <f>IFERROR(Configurator!$F$17+Configurator!$G$17,0)</f>
        <v>0</v>
      </c>
      <c r="AN27" s="3" t="s">
        <v>400</v>
      </c>
      <c r="AO27" s="269">
        <f>IFERROR(Configurator!$F$17+Configurator!$G$17,0)</f>
        <v>0</v>
      </c>
      <c r="AP27" s="3" t="s">
        <v>400</v>
      </c>
      <c r="AQ27" s="269">
        <f>IFERROR(Configurator!$F$17+Configurator!$G$17,0)</f>
        <v>0</v>
      </c>
      <c r="AR27" s="3"/>
      <c r="AS27" s="200"/>
      <c r="AT27" s="3"/>
      <c r="AU27" s="200"/>
      <c r="AV27" s="287">
        <f t="shared" si="0"/>
        <v>24</v>
      </c>
    </row>
    <row r="28" spans="1:48" ht="15.75" thickBot="1">
      <c r="A28" s="583"/>
      <c r="B28" s="454" t="s">
        <v>253</v>
      </c>
      <c r="C28" s="455">
        <v>16</v>
      </c>
      <c r="D28" s="454" t="s">
        <v>253</v>
      </c>
      <c r="E28" s="455">
        <v>16</v>
      </c>
      <c r="F28" s="454" t="s">
        <v>253</v>
      </c>
      <c r="G28" s="455">
        <v>16</v>
      </c>
      <c r="H28" s="454" t="s">
        <v>253</v>
      </c>
      <c r="I28" s="455">
        <v>16</v>
      </c>
      <c r="J28" s="454" t="s">
        <v>253</v>
      </c>
      <c r="K28" s="455">
        <v>16</v>
      </c>
      <c r="L28" s="442"/>
      <c r="M28" s="443"/>
      <c r="N28" s="454" t="s">
        <v>253</v>
      </c>
      <c r="O28" s="458">
        <v>16</v>
      </c>
      <c r="P28" s="454" t="s">
        <v>253</v>
      </c>
      <c r="Q28" s="458">
        <v>16</v>
      </c>
      <c r="R28" s="454" t="s">
        <v>253</v>
      </c>
      <c r="S28" s="458">
        <v>16</v>
      </c>
      <c r="T28" s="454" t="s">
        <v>253</v>
      </c>
      <c r="U28" s="458">
        <v>16</v>
      </c>
      <c r="V28" s="454" t="s">
        <v>253</v>
      </c>
      <c r="W28" s="458">
        <v>16</v>
      </c>
      <c r="X28" s="454" t="s">
        <v>253</v>
      </c>
      <c r="Y28" s="458">
        <v>16</v>
      </c>
      <c r="Z28" s="454" t="s">
        <v>254</v>
      </c>
      <c r="AA28" s="458">
        <v>8</v>
      </c>
      <c r="AB28" s="454" t="s">
        <v>252</v>
      </c>
      <c r="AC28" s="458">
        <v>16</v>
      </c>
      <c r="AD28" s="454" t="s">
        <v>255</v>
      </c>
      <c r="AE28" s="458">
        <v>8</v>
      </c>
      <c r="AF28" s="454" t="s">
        <v>256</v>
      </c>
      <c r="AG28" s="458">
        <v>8</v>
      </c>
      <c r="AH28" s="454" t="s">
        <v>255</v>
      </c>
      <c r="AI28" s="458">
        <v>8</v>
      </c>
      <c r="AJ28" s="454" t="s">
        <v>253</v>
      </c>
      <c r="AK28" s="458">
        <v>8</v>
      </c>
      <c r="AL28" s="454" t="s">
        <v>255</v>
      </c>
      <c r="AM28" s="458">
        <v>8</v>
      </c>
      <c r="AN28" s="454" t="s">
        <v>254</v>
      </c>
      <c r="AO28" s="458">
        <v>8</v>
      </c>
      <c r="AP28" s="454" t="s">
        <v>256</v>
      </c>
      <c r="AQ28" s="458">
        <v>8</v>
      </c>
      <c r="AR28" s="454" t="s">
        <v>253</v>
      </c>
      <c r="AS28" s="458">
        <v>16</v>
      </c>
      <c r="AT28" s="454" t="s">
        <v>253</v>
      </c>
      <c r="AU28" s="458">
        <v>16</v>
      </c>
      <c r="AV28" s="444">
        <f t="shared" si="0"/>
        <v>25</v>
      </c>
    </row>
    <row r="29" spans="1:48" ht="15.75" thickBot="1">
      <c r="A29" s="583"/>
      <c r="B29" s="454" t="s">
        <v>401</v>
      </c>
      <c r="C29" s="455">
        <f>Configurator!$H$17</f>
        <v>0</v>
      </c>
      <c r="D29" s="454" t="s">
        <v>401</v>
      </c>
      <c r="E29" s="455">
        <f>Configurator!$H$17</f>
        <v>0</v>
      </c>
      <c r="F29" s="454" t="s">
        <v>401</v>
      </c>
      <c r="G29" s="455">
        <f>Configurator!$H$17</f>
        <v>0</v>
      </c>
      <c r="H29" s="454" t="s">
        <v>401</v>
      </c>
      <c r="I29" s="455">
        <f>Configurator!$H$17</f>
        <v>0</v>
      </c>
      <c r="J29" s="454"/>
      <c r="K29" s="455">
        <f>Configurator!$H$17</f>
        <v>0</v>
      </c>
      <c r="L29" s="442"/>
      <c r="M29" s="443"/>
      <c r="N29" s="454" t="s">
        <v>398</v>
      </c>
      <c r="O29" s="455">
        <f>Configurator!$H$17</f>
        <v>0</v>
      </c>
      <c r="P29" s="454" t="s">
        <v>398</v>
      </c>
      <c r="Q29" s="455">
        <f>Configurator!$H$17</f>
        <v>0</v>
      </c>
      <c r="R29" s="454" t="s">
        <v>398</v>
      </c>
      <c r="S29" s="455">
        <f>Configurator!$H$17</f>
        <v>0</v>
      </c>
      <c r="T29" s="454" t="s">
        <v>398</v>
      </c>
      <c r="U29" s="455">
        <f>Configurator!$H$17</f>
        <v>0</v>
      </c>
      <c r="V29" s="454" t="s">
        <v>398</v>
      </c>
      <c r="W29" s="455">
        <f>Configurator!$H$17</f>
        <v>0</v>
      </c>
      <c r="X29" s="454" t="s">
        <v>398</v>
      </c>
      <c r="Y29" s="455">
        <f>Configurator!$H$17</f>
        <v>0</v>
      </c>
      <c r="Z29" s="454" t="s">
        <v>261</v>
      </c>
      <c r="AA29" s="458">
        <v>8</v>
      </c>
      <c r="AB29" s="454" t="s">
        <v>254</v>
      </c>
      <c r="AC29" s="458">
        <v>8</v>
      </c>
      <c r="AD29" s="454" t="s">
        <v>262</v>
      </c>
      <c r="AE29" s="458">
        <v>4</v>
      </c>
      <c r="AF29" s="454" t="s">
        <v>263</v>
      </c>
      <c r="AG29" s="458">
        <v>4</v>
      </c>
      <c r="AH29" s="454" t="s">
        <v>262</v>
      </c>
      <c r="AI29" s="458">
        <v>4</v>
      </c>
      <c r="AJ29" s="454" t="s">
        <v>401</v>
      </c>
      <c r="AK29" s="455">
        <f>Configurator!$H$17</f>
        <v>0</v>
      </c>
      <c r="AL29" s="454" t="s">
        <v>262</v>
      </c>
      <c r="AM29" s="458">
        <v>4</v>
      </c>
      <c r="AN29" s="454" t="s">
        <v>261</v>
      </c>
      <c r="AO29" s="458">
        <v>4</v>
      </c>
      <c r="AP29" s="454" t="s">
        <v>263</v>
      </c>
      <c r="AQ29" s="458">
        <v>4</v>
      </c>
      <c r="AR29" s="454" t="s">
        <v>398</v>
      </c>
      <c r="AS29" s="455">
        <f>Configurator!$H$17</f>
        <v>0</v>
      </c>
      <c r="AT29" s="454" t="s">
        <v>401</v>
      </c>
      <c r="AU29" s="455">
        <f>Configurator!$H$17</f>
        <v>0</v>
      </c>
      <c r="AV29" s="444">
        <f t="shared" si="0"/>
        <v>26</v>
      </c>
    </row>
    <row r="30" spans="1:48" ht="15.75" thickBot="1">
      <c r="A30" s="583"/>
      <c r="B30" s="454"/>
      <c r="C30" s="455"/>
      <c r="D30" s="454"/>
      <c r="E30" s="455"/>
      <c r="F30" s="454"/>
      <c r="G30" s="455"/>
      <c r="H30" s="454"/>
      <c r="I30" s="455"/>
      <c r="J30" s="454"/>
      <c r="K30" s="455"/>
      <c r="L30" s="442"/>
      <c r="M30" s="443"/>
      <c r="N30" s="454"/>
      <c r="O30" s="458"/>
      <c r="P30" s="454"/>
      <c r="Q30" s="458"/>
      <c r="R30" s="454"/>
      <c r="S30" s="458"/>
      <c r="T30" s="454"/>
      <c r="U30" s="458"/>
      <c r="V30" s="454"/>
      <c r="W30" s="458"/>
      <c r="X30" s="454"/>
      <c r="Y30" s="458"/>
      <c r="Z30" s="454" t="s">
        <v>267</v>
      </c>
      <c r="AA30" s="458">
        <v>8</v>
      </c>
      <c r="AB30" s="454" t="s">
        <v>261</v>
      </c>
      <c r="AC30" s="458">
        <v>8</v>
      </c>
      <c r="AD30" s="454" t="s">
        <v>265</v>
      </c>
      <c r="AE30" s="458">
        <v>4</v>
      </c>
      <c r="AF30" s="454" t="s">
        <v>262</v>
      </c>
      <c r="AG30" s="458">
        <v>4</v>
      </c>
      <c r="AH30" s="454" t="s">
        <v>265</v>
      </c>
      <c r="AI30" s="458">
        <v>4</v>
      </c>
      <c r="AJ30" s="454"/>
      <c r="AK30" s="458"/>
      <c r="AL30" s="454" t="s">
        <v>265</v>
      </c>
      <c r="AM30" s="458">
        <v>4</v>
      </c>
      <c r="AN30" s="454" t="s">
        <v>267</v>
      </c>
      <c r="AO30" s="458">
        <v>4</v>
      </c>
      <c r="AP30" s="454" t="s">
        <v>262</v>
      </c>
      <c r="AQ30" s="458">
        <v>4</v>
      </c>
      <c r="AR30" s="454"/>
      <c r="AS30" s="458"/>
      <c r="AT30" s="454"/>
      <c r="AU30" s="458"/>
      <c r="AV30" s="444">
        <f t="shared" si="0"/>
        <v>27</v>
      </c>
    </row>
    <row r="31" spans="1:48" ht="15.75" thickBot="1">
      <c r="A31" s="583"/>
      <c r="B31" s="454"/>
      <c r="C31" s="455"/>
      <c r="D31" s="454"/>
      <c r="E31" s="455"/>
      <c r="F31" s="454"/>
      <c r="G31" s="455"/>
      <c r="H31" s="454"/>
      <c r="I31" s="455"/>
      <c r="J31" s="454"/>
      <c r="K31" s="455"/>
      <c r="L31" s="442"/>
      <c r="M31" s="443"/>
      <c r="N31" s="454"/>
      <c r="O31" s="458"/>
      <c r="P31" s="454"/>
      <c r="Q31" s="458"/>
      <c r="R31" s="454"/>
      <c r="S31" s="458"/>
      <c r="T31" s="454"/>
      <c r="U31" s="458"/>
      <c r="V31" s="454"/>
      <c r="W31" s="458"/>
      <c r="X31" s="454"/>
      <c r="Y31" s="458"/>
      <c r="Z31" s="454" t="s">
        <v>270</v>
      </c>
      <c r="AA31" s="458">
        <v>8</v>
      </c>
      <c r="AB31" s="454" t="s">
        <v>270</v>
      </c>
      <c r="AC31" s="458">
        <v>8</v>
      </c>
      <c r="AD31" s="454"/>
      <c r="AE31" s="455"/>
      <c r="AF31" s="454"/>
      <c r="AG31" s="455"/>
      <c r="AH31" s="454"/>
      <c r="AI31" s="455"/>
      <c r="AJ31" s="454"/>
      <c r="AK31" s="458"/>
      <c r="AL31" s="454"/>
      <c r="AM31" s="455"/>
      <c r="AN31" s="454"/>
      <c r="AO31" s="455"/>
      <c r="AP31" s="454"/>
      <c r="AQ31" s="455"/>
      <c r="AR31" s="454"/>
      <c r="AS31" s="458"/>
      <c r="AT31" s="454"/>
      <c r="AU31" s="458"/>
      <c r="AV31" s="444">
        <f t="shared" si="0"/>
        <v>28</v>
      </c>
    </row>
    <row r="32" spans="1:48" ht="15.75" thickBot="1">
      <c r="A32" s="583"/>
      <c r="B32" s="454"/>
      <c r="C32" s="455"/>
      <c r="D32" s="454"/>
      <c r="E32" s="455"/>
      <c r="F32" s="454"/>
      <c r="G32" s="455"/>
      <c r="H32" s="454"/>
      <c r="I32" s="455"/>
      <c r="J32" s="454"/>
      <c r="K32" s="455"/>
      <c r="L32" s="442"/>
      <c r="M32" s="443"/>
      <c r="N32" s="454"/>
      <c r="O32" s="458"/>
      <c r="P32" s="454"/>
      <c r="Q32" s="458"/>
      <c r="R32" s="454"/>
      <c r="S32" s="458"/>
      <c r="T32" s="454"/>
      <c r="U32" s="458"/>
      <c r="V32" s="454"/>
      <c r="W32" s="458"/>
      <c r="X32" s="454"/>
      <c r="Y32" s="458"/>
      <c r="Z32" s="454" t="s">
        <v>398</v>
      </c>
      <c r="AA32" s="455">
        <f>Configurator!$H$17</f>
        <v>0</v>
      </c>
      <c r="AB32" s="454" t="s">
        <v>267</v>
      </c>
      <c r="AC32" s="458">
        <v>8</v>
      </c>
      <c r="AD32" s="454" t="s">
        <v>401</v>
      </c>
      <c r="AE32" s="455">
        <f>Configurator!$H$17</f>
        <v>0</v>
      </c>
      <c r="AF32" s="454" t="s">
        <v>401</v>
      </c>
      <c r="AG32" s="455">
        <f>Configurator!$H$17</f>
        <v>0</v>
      </c>
      <c r="AH32" s="454" t="s">
        <v>401</v>
      </c>
      <c r="AI32" s="455">
        <f>Configurator!$H$17</f>
        <v>0</v>
      </c>
      <c r="AJ32" s="454"/>
      <c r="AK32" s="458"/>
      <c r="AL32" s="454" t="s">
        <v>401</v>
      </c>
      <c r="AM32" s="455">
        <f>Configurator!$H$17</f>
        <v>0</v>
      </c>
      <c r="AN32" s="454" t="s">
        <v>401</v>
      </c>
      <c r="AO32" s="455">
        <f>Configurator!$H$17</f>
        <v>0</v>
      </c>
      <c r="AP32" s="454" t="s">
        <v>401</v>
      </c>
      <c r="AQ32" s="455">
        <f>Configurator!$H$17</f>
        <v>0</v>
      </c>
      <c r="AR32" s="454"/>
      <c r="AS32" s="458"/>
      <c r="AT32" s="454"/>
      <c r="AU32" s="458"/>
      <c r="AV32" s="444">
        <f t="shared" si="0"/>
        <v>29</v>
      </c>
    </row>
    <row r="33" spans="1:48" ht="15.75" thickBot="1">
      <c r="A33" s="583"/>
      <c r="B33" s="454"/>
      <c r="C33" s="455"/>
      <c r="D33" s="454"/>
      <c r="E33" s="455"/>
      <c r="F33" s="454"/>
      <c r="G33" s="455"/>
      <c r="H33" s="454"/>
      <c r="I33" s="455"/>
      <c r="J33" s="454"/>
      <c r="K33" s="455"/>
      <c r="L33" s="442"/>
      <c r="M33" s="443"/>
      <c r="N33" s="454"/>
      <c r="O33" s="458"/>
      <c r="P33" s="454"/>
      <c r="Q33" s="458"/>
      <c r="R33" s="454"/>
      <c r="S33" s="458"/>
      <c r="T33" s="454"/>
      <c r="U33" s="458"/>
      <c r="V33" s="454"/>
      <c r="W33" s="458"/>
      <c r="X33" s="454"/>
      <c r="Y33" s="458"/>
      <c r="Z33" s="454"/>
      <c r="AA33" s="455"/>
      <c r="AB33" s="454" t="s">
        <v>398</v>
      </c>
      <c r="AC33" s="455">
        <f>Configurator!$H$17</f>
        <v>0</v>
      </c>
      <c r="AD33" s="454"/>
      <c r="AE33" s="458"/>
      <c r="AF33" s="454"/>
      <c r="AG33" s="458"/>
      <c r="AH33" s="454"/>
      <c r="AI33" s="458"/>
      <c r="AJ33" s="454"/>
      <c r="AK33" s="458"/>
      <c r="AL33" s="454"/>
      <c r="AM33" s="458"/>
      <c r="AN33" s="454"/>
      <c r="AO33" s="458"/>
      <c r="AP33" s="454"/>
      <c r="AQ33" s="458"/>
      <c r="AR33" s="454"/>
      <c r="AS33" s="458"/>
      <c r="AT33" s="454"/>
      <c r="AU33" s="458"/>
      <c r="AV33" s="444">
        <f t="shared" si="0"/>
        <v>30</v>
      </c>
    </row>
    <row r="34" spans="1:48" s="206" customFormat="1" ht="15.75" thickBot="1">
      <c r="A34" s="583"/>
      <c r="B34" s="203" t="s">
        <v>14</v>
      </c>
      <c r="C34" s="204">
        <v>4</v>
      </c>
      <c r="D34" s="203" t="s">
        <v>14</v>
      </c>
      <c r="E34" s="204">
        <v>4</v>
      </c>
      <c r="F34" s="203" t="s">
        <v>14</v>
      </c>
      <c r="G34" s="204">
        <v>4</v>
      </c>
      <c r="H34" s="203" t="s">
        <v>14</v>
      </c>
      <c r="I34" s="204">
        <v>4</v>
      </c>
      <c r="J34" s="203" t="s">
        <v>14</v>
      </c>
      <c r="K34" s="204">
        <v>4</v>
      </c>
      <c r="L34" s="203" t="s">
        <v>14</v>
      </c>
      <c r="M34" s="204">
        <v>4</v>
      </c>
      <c r="N34" s="203" t="s">
        <v>14</v>
      </c>
      <c r="O34" s="204">
        <v>4</v>
      </c>
      <c r="P34" s="203" t="s">
        <v>14</v>
      </c>
      <c r="Q34" s="204">
        <v>4</v>
      </c>
      <c r="R34" s="203" t="s">
        <v>14</v>
      </c>
      <c r="S34" s="204">
        <v>4</v>
      </c>
      <c r="T34" s="203" t="s">
        <v>14</v>
      </c>
      <c r="U34" s="204">
        <v>4</v>
      </c>
      <c r="V34" s="203" t="s">
        <v>14</v>
      </c>
      <c r="W34" s="204">
        <v>4</v>
      </c>
      <c r="X34" s="203" t="s">
        <v>14</v>
      </c>
      <c r="Y34" s="204">
        <v>4</v>
      </c>
      <c r="Z34" s="203" t="s">
        <v>14</v>
      </c>
      <c r="AA34" s="204">
        <v>4</v>
      </c>
      <c r="AB34" s="203" t="s">
        <v>14</v>
      </c>
      <c r="AC34" s="204">
        <v>4</v>
      </c>
      <c r="AD34" s="203" t="s">
        <v>14</v>
      </c>
      <c r="AE34" s="204">
        <v>4</v>
      </c>
      <c r="AF34" s="203" t="s">
        <v>14</v>
      </c>
      <c r="AG34" s="204">
        <v>4</v>
      </c>
      <c r="AH34" s="203" t="s">
        <v>14</v>
      </c>
      <c r="AI34" s="204">
        <v>4</v>
      </c>
      <c r="AJ34" s="203" t="s">
        <v>14</v>
      </c>
      <c r="AK34" s="204">
        <v>4</v>
      </c>
      <c r="AL34" s="203" t="s">
        <v>14</v>
      </c>
      <c r="AM34" s="204">
        <v>4</v>
      </c>
      <c r="AN34" s="203" t="s">
        <v>14</v>
      </c>
      <c r="AO34" s="204">
        <v>4</v>
      </c>
      <c r="AP34" s="203" t="s">
        <v>14</v>
      </c>
      <c r="AQ34" s="204">
        <v>4</v>
      </c>
      <c r="AR34" s="203" t="s">
        <v>14</v>
      </c>
      <c r="AS34" s="204">
        <v>4</v>
      </c>
      <c r="AT34" s="203" t="s">
        <v>14</v>
      </c>
      <c r="AU34" s="204">
        <v>4</v>
      </c>
      <c r="AV34" s="287">
        <f t="shared" si="0"/>
        <v>31</v>
      </c>
    </row>
    <row r="35" spans="1:48" ht="15.75" thickBot="1">
      <c r="A35" s="583"/>
      <c r="B35" s="3" t="s">
        <v>10</v>
      </c>
      <c r="C35" s="269">
        <v>8</v>
      </c>
      <c r="D35" s="3" t="s">
        <v>10</v>
      </c>
      <c r="E35" s="269">
        <v>8</v>
      </c>
      <c r="F35" s="3" t="s">
        <v>10</v>
      </c>
      <c r="G35" s="269">
        <v>8</v>
      </c>
      <c r="H35" s="3" t="s">
        <v>10</v>
      </c>
      <c r="I35" s="269">
        <v>8</v>
      </c>
      <c r="J35" s="3" t="s">
        <v>10</v>
      </c>
      <c r="K35" s="269">
        <v>8</v>
      </c>
      <c r="L35" s="3" t="s">
        <v>10</v>
      </c>
      <c r="M35" s="4"/>
      <c r="N35" s="3" t="s">
        <v>10</v>
      </c>
      <c r="O35" s="199">
        <v>16</v>
      </c>
      <c r="P35" s="3" t="s">
        <v>10</v>
      </c>
      <c r="Q35" s="199">
        <v>16</v>
      </c>
      <c r="R35" s="3" t="s">
        <v>10</v>
      </c>
      <c r="S35" s="200">
        <v>16</v>
      </c>
      <c r="T35" s="3" t="s">
        <v>10</v>
      </c>
      <c r="U35" s="200">
        <v>16</v>
      </c>
      <c r="V35" s="3" t="s">
        <v>10</v>
      </c>
      <c r="W35" s="200">
        <v>16</v>
      </c>
      <c r="X35" s="3" t="s">
        <v>10</v>
      </c>
      <c r="Y35" s="200">
        <v>40</v>
      </c>
      <c r="Z35" s="3" t="s">
        <v>10</v>
      </c>
      <c r="AA35" s="200">
        <v>40</v>
      </c>
      <c r="AB35" s="3" t="s">
        <v>10</v>
      </c>
      <c r="AC35" s="200">
        <v>40</v>
      </c>
      <c r="AD35" s="3" t="s">
        <v>243</v>
      </c>
      <c r="AE35" s="200">
        <v>24</v>
      </c>
      <c r="AF35" s="3" t="s">
        <v>243</v>
      </c>
      <c r="AG35" s="200">
        <v>24</v>
      </c>
      <c r="AH35" s="3" t="s">
        <v>243</v>
      </c>
      <c r="AI35" s="200">
        <v>24</v>
      </c>
      <c r="AJ35" s="3" t="s">
        <v>243</v>
      </c>
      <c r="AK35" s="200">
        <v>24</v>
      </c>
      <c r="AL35" s="3" t="s">
        <v>243</v>
      </c>
      <c r="AM35" s="200">
        <v>24</v>
      </c>
      <c r="AN35" s="3" t="s">
        <v>243</v>
      </c>
      <c r="AO35" s="200">
        <v>32</v>
      </c>
      <c r="AP35" s="3" t="s">
        <v>243</v>
      </c>
      <c r="AQ35" s="200">
        <v>24</v>
      </c>
      <c r="AR35" s="3" t="s">
        <v>10</v>
      </c>
      <c r="AS35" s="200">
        <v>16</v>
      </c>
      <c r="AT35" s="3" t="s">
        <v>10</v>
      </c>
      <c r="AU35" s="283">
        <v>24</v>
      </c>
      <c r="AV35" s="287">
        <f t="shared" si="0"/>
        <v>32</v>
      </c>
    </row>
    <row r="36" spans="1:48" ht="15.75" thickBot="1">
      <c r="A36" s="583"/>
      <c r="B36" s="3" t="s">
        <v>84</v>
      </c>
      <c r="C36" s="269">
        <v>8</v>
      </c>
      <c r="D36" s="3" t="s">
        <v>84</v>
      </c>
      <c r="E36" s="269">
        <v>8</v>
      </c>
      <c r="F36" s="3" t="s">
        <v>84</v>
      </c>
      <c r="G36" s="269">
        <v>8</v>
      </c>
      <c r="H36" s="3" t="s">
        <v>84</v>
      </c>
      <c r="I36" s="269">
        <v>8</v>
      </c>
      <c r="J36" s="3" t="s">
        <v>84</v>
      </c>
      <c r="K36" s="269">
        <v>8</v>
      </c>
      <c r="L36" s="3" t="s">
        <v>84</v>
      </c>
      <c r="M36" s="4"/>
      <c r="N36" s="3" t="s">
        <v>84</v>
      </c>
      <c r="O36" s="199">
        <v>16</v>
      </c>
      <c r="P36" s="3" t="s">
        <v>84</v>
      </c>
      <c r="Q36" s="199">
        <v>16</v>
      </c>
      <c r="R36" s="3" t="s">
        <v>84</v>
      </c>
      <c r="S36" s="200">
        <v>16</v>
      </c>
      <c r="T36" s="3" t="s">
        <v>84</v>
      </c>
      <c r="U36" s="200">
        <v>16</v>
      </c>
      <c r="V36" s="3" t="s">
        <v>84</v>
      </c>
      <c r="W36" s="200">
        <v>16</v>
      </c>
      <c r="X36" s="3" t="s">
        <v>84</v>
      </c>
      <c r="Y36" s="200">
        <v>16</v>
      </c>
      <c r="Z36" s="3" t="s">
        <v>84</v>
      </c>
      <c r="AA36" s="200">
        <v>16</v>
      </c>
      <c r="AB36" s="3" t="s">
        <v>84</v>
      </c>
      <c r="AC36" s="200">
        <v>16</v>
      </c>
      <c r="AD36" s="3" t="s">
        <v>84</v>
      </c>
      <c r="AE36" s="200">
        <v>16</v>
      </c>
      <c r="AF36" s="3" t="s">
        <v>84</v>
      </c>
      <c r="AG36" s="200">
        <v>16</v>
      </c>
      <c r="AH36" s="3" t="s">
        <v>84</v>
      </c>
      <c r="AI36" s="200">
        <v>16</v>
      </c>
      <c r="AJ36" s="3" t="s">
        <v>84</v>
      </c>
      <c r="AK36" s="200">
        <v>16</v>
      </c>
      <c r="AL36" s="3" t="s">
        <v>84</v>
      </c>
      <c r="AM36" s="200">
        <v>16</v>
      </c>
      <c r="AN36" s="3" t="s">
        <v>84</v>
      </c>
      <c r="AO36" s="200">
        <v>16</v>
      </c>
      <c r="AP36" s="3" t="s">
        <v>84</v>
      </c>
      <c r="AQ36" s="200">
        <v>16</v>
      </c>
      <c r="AR36" s="3" t="s">
        <v>84</v>
      </c>
      <c r="AS36" s="200">
        <v>8</v>
      </c>
      <c r="AT36" s="3" t="s">
        <v>84</v>
      </c>
      <c r="AU36" s="283">
        <v>16</v>
      </c>
      <c r="AV36" s="287">
        <f t="shared" si="0"/>
        <v>33</v>
      </c>
    </row>
    <row r="37" spans="1:48" ht="15.75" thickBot="1">
      <c r="A37" s="583"/>
      <c r="B37" s="3"/>
      <c r="C37" s="269"/>
      <c r="D37" s="3"/>
      <c r="E37" s="269"/>
      <c r="F37" s="3" t="s">
        <v>246</v>
      </c>
      <c r="G37" s="269">
        <v>8</v>
      </c>
      <c r="H37" s="3" t="s">
        <v>246</v>
      </c>
      <c r="I37" s="269">
        <v>8</v>
      </c>
      <c r="J37" s="3" t="s">
        <v>246</v>
      </c>
      <c r="K37" s="269">
        <v>8</v>
      </c>
      <c r="L37" s="3"/>
      <c r="M37" s="4"/>
      <c r="N37" s="3" t="s">
        <v>17</v>
      </c>
      <c r="O37" s="200">
        <v>8</v>
      </c>
      <c r="P37" s="3" t="s">
        <v>17</v>
      </c>
      <c r="Q37" s="200">
        <v>8</v>
      </c>
      <c r="R37" s="3"/>
      <c r="S37" s="200"/>
      <c r="T37" s="3"/>
      <c r="U37" s="200"/>
      <c r="V37" s="3"/>
      <c r="W37" s="200"/>
      <c r="X37" s="3" t="s">
        <v>17</v>
      </c>
      <c r="Y37" s="200">
        <v>8</v>
      </c>
      <c r="Z37" s="3"/>
      <c r="AA37" s="200"/>
      <c r="AB37" s="3"/>
      <c r="AC37" s="200"/>
      <c r="AD37" s="3"/>
      <c r="AE37" s="200"/>
      <c r="AF37" s="3"/>
      <c r="AG37" s="200"/>
      <c r="AH37" s="3"/>
      <c r="AI37" s="200"/>
      <c r="AJ37" s="3"/>
      <c r="AK37" s="200"/>
      <c r="AL37" s="3"/>
      <c r="AM37" s="200"/>
      <c r="AN37" s="3"/>
      <c r="AO37" s="200"/>
      <c r="AP37" s="3"/>
      <c r="AQ37" s="200"/>
      <c r="AR37" s="3" t="s">
        <v>17</v>
      </c>
      <c r="AS37" s="200">
        <v>8</v>
      </c>
      <c r="AT37" s="3"/>
      <c r="AU37" s="283"/>
      <c r="AV37" s="287">
        <f t="shared" si="0"/>
        <v>34</v>
      </c>
    </row>
    <row r="38" spans="1:48" ht="15.75" thickBot="1">
      <c r="A38" s="583"/>
      <c r="B38" s="3"/>
      <c r="C38" s="269"/>
      <c r="D38" s="3"/>
      <c r="E38" s="269"/>
      <c r="F38" s="3" t="s">
        <v>283</v>
      </c>
      <c r="G38" s="269">
        <v>8</v>
      </c>
      <c r="H38" s="3" t="s">
        <v>283</v>
      </c>
      <c r="I38" s="269">
        <v>8</v>
      </c>
      <c r="J38" s="3"/>
      <c r="K38" s="269"/>
      <c r="L38" s="3"/>
      <c r="M38" s="4"/>
      <c r="N38" s="3"/>
      <c r="O38" s="200"/>
      <c r="P38" s="3"/>
      <c r="Q38" s="200"/>
      <c r="R38" s="3"/>
      <c r="S38" s="200"/>
      <c r="T38" s="3"/>
      <c r="U38" s="200"/>
      <c r="V38" s="3"/>
      <c r="W38" s="200"/>
      <c r="X38" s="3"/>
      <c r="Y38" s="200"/>
      <c r="Z38" s="3"/>
      <c r="AA38" s="200"/>
      <c r="AB38" s="3"/>
      <c r="AC38" s="200"/>
      <c r="AD38" s="3"/>
      <c r="AE38" s="200"/>
      <c r="AF38" s="3"/>
      <c r="AG38" s="200"/>
      <c r="AH38" s="3"/>
      <c r="AI38" s="200"/>
      <c r="AJ38" s="3"/>
      <c r="AK38" s="200"/>
      <c r="AL38" s="3"/>
      <c r="AM38" s="200"/>
      <c r="AN38" s="3"/>
      <c r="AO38" s="200"/>
      <c r="AP38" s="3"/>
      <c r="AQ38" s="200"/>
      <c r="AR38" s="3"/>
      <c r="AS38" s="200"/>
      <c r="AT38" s="3"/>
      <c r="AU38" s="283"/>
      <c r="AV38" s="287">
        <f t="shared" si="0"/>
        <v>35</v>
      </c>
    </row>
    <row r="39" spans="1:48" ht="15.75" thickBot="1">
      <c r="A39" s="583"/>
      <c r="B39" s="3"/>
      <c r="C39" s="269"/>
      <c r="D39" s="3"/>
      <c r="E39" s="269"/>
      <c r="F39" s="3"/>
      <c r="G39" s="269"/>
      <c r="H39" s="3"/>
      <c r="I39" s="269"/>
      <c r="J39" s="3"/>
      <c r="K39" s="269"/>
      <c r="L39" s="3"/>
      <c r="M39" s="4"/>
      <c r="N39" s="3"/>
      <c r="O39" s="200"/>
      <c r="P39" s="3"/>
      <c r="Q39" s="200"/>
      <c r="R39" s="3"/>
      <c r="S39" s="200"/>
      <c r="T39" s="3"/>
      <c r="U39" s="200"/>
      <c r="V39" s="3"/>
      <c r="W39" s="200"/>
      <c r="X39" s="3"/>
      <c r="Y39" s="200"/>
      <c r="Z39" s="3"/>
      <c r="AA39" s="200"/>
      <c r="AB39" s="3"/>
      <c r="AC39" s="200"/>
      <c r="AD39" s="3"/>
      <c r="AE39" s="200"/>
      <c r="AF39" s="3"/>
      <c r="AG39" s="200"/>
      <c r="AH39" s="3"/>
      <c r="AI39" s="200"/>
      <c r="AJ39" s="3"/>
      <c r="AK39" s="200"/>
      <c r="AL39" s="3"/>
      <c r="AM39" s="200"/>
      <c r="AN39" s="3"/>
      <c r="AO39" s="200"/>
      <c r="AP39" s="3"/>
      <c r="AQ39" s="200"/>
      <c r="AR39" s="3"/>
      <c r="AS39" s="200"/>
      <c r="AT39" s="3"/>
      <c r="AU39" s="283"/>
      <c r="AV39" s="287">
        <f t="shared" si="0"/>
        <v>36</v>
      </c>
    </row>
    <row r="40" spans="1:48" ht="15.75" thickBot="1">
      <c r="A40" s="583"/>
      <c r="B40" s="207" t="s">
        <v>201</v>
      </c>
      <c r="C40" s="204">
        <v>4</v>
      </c>
      <c r="D40" s="207" t="s">
        <v>201</v>
      </c>
      <c r="E40" s="204">
        <v>4</v>
      </c>
      <c r="F40" s="207" t="s">
        <v>201</v>
      </c>
      <c r="G40" s="204">
        <v>4</v>
      </c>
      <c r="H40" s="207" t="s">
        <v>201</v>
      </c>
      <c r="I40" s="204">
        <v>4</v>
      </c>
      <c r="J40" s="207" t="s">
        <v>201</v>
      </c>
      <c r="K40" s="204">
        <v>4</v>
      </c>
      <c r="L40" s="207" t="s">
        <v>201</v>
      </c>
      <c r="M40" s="204">
        <v>4</v>
      </c>
      <c r="N40" s="207" t="s">
        <v>201</v>
      </c>
      <c r="O40" s="204">
        <v>4</v>
      </c>
      <c r="P40" s="207" t="s">
        <v>201</v>
      </c>
      <c r="Q40" s="204">
        <v>4</v>
      </c>
      <c r="R40" s="207" t="s">
        <v>201</v>
      </c>
      <c r="S40" s="204">
        <v>4</v>
      </c>
      <c r="T40" s="207" t="s">
        <v>201</v>
      </c>
      <c r="U40" s="204">
        <v>4</v>
      </c>
      <c r="V40" s="207" t="s">
        <v>201</v>
      </c>
      <c r="W40" s="204">
        <v>4</v>
      </c>
      <c r="X40" s="207" t="s">
        <v>201</v>
      </c>
      <c r="Y40" s="204">
        <v>4</v>
      </c>
      <c r="Z40" s="207" t="s">
        <v>201</v>
      </c>
      <c r="AA40" s="204">
        <v>4</v>
      </c>
      <c r="AB40" s="207" t="s">
        <v>201</v>
      </c>
      <c r="AC40" s="204">
        <v>4</v>
      </c>
      <c r="AD40" s="207" t="s">
        <v>201</v>
      </c>
      <c r="AE40" s="204">
        <v>4</v>
      </c>
      <c r="AF40" s="207" t="s">
        <v>201</v>
      </c>
      <c r="AG40" s="204">
        <v>4</v>
      </c>
      <c r="AH40" s="207" t="s">
        <v>201</v>
      </c>
      <c r="AI40" s="204">
        <v>4</v>
      </c>
      <c r="AJ40" s="207" t="s">
        <v>201</v>
      </c>
      <c r="AK40" s="204">
        <v>4</v>
      </c>
      <c r="AL40" s="207" t="s">
        <v>201</v>
      </c>
      <c r="AM40" s="204">
        <v>4</v>
      </c>
      <c r="AN40" s="207" t="s">
        <v>201</v>
      </c>
      <c r="AO40" s="204">
        <v>4</v>
      </c>
      <c r="AP40" s="207" t="s">
        <v>201</v>
      </c>
      <c r="AQ40" s="204">
        <v>4</v>
      </c>
      <c r="AR40" s="207" t="s">
        <v>201</v>
      </c>
      <c r="AS40" s="204">
        <v>4</v>
      </c>
      <c r="AT40" s="207" t="s">
        <v>201</v>
      </c>
      <c r="AU40" s="204">
        <v>4</v>
      </c>
      <c r="AV40" s="287">
        <f t="shared" si="0"/>
        <v>37</v>
      </c>
    </row>
    <row r="41" spans="1:48" ht="15.75" thickBot="1">
      <c r="A41" s="583"/>
      <c r="B41" s="3"/>
      <c r="C41" s="269"/>
      <c r="D41" s="3"/>
      <c r="E41" s="269"/>
      <c r="F41" s="3"/>
      <c r="G41" s="269"/>
      <c r="H41" s="3"/>
      <c r="I41" s="269"/>
      <c r="J41" s="3"/>
      <c r="K41" s="269"/>
      <c r="L41" s="3"/>
      <c r="M41" s="4"/>
      <c r="N41" s="3"/>
      <c r="O41" s="200"/>
      <c r="P41" s="3"/>
      <c r="Q41" s="200"/>
      <c r="R41" s="3"/>
      <c r="S41" s="200"/>
      <c r="T41" s="3"/>
      <c r="U41" s="200"/>
      <c r="V41" s="3"/>
      <c r="W41" s="200"/>
      <c r="X41" s="3"/>
      <c r="Y41" s="200"/>
      <c r="Z41" s="3"/>
      <c r="AA41" s="200"/>
      <c r="AB41" s="3"/>
      <c r="AC41" s="200"/>
      <c r="AD41" s="3"/>
      <c r="AE41" s="200"/>
      <c r="AF41" s="3"/>
      <c r="AG41" s="200"/>
      <c r="AH41" s="3"/>
      <c r="AI41" s="200"/>
      <c r="AJ41" s="3"/>
      <c r="AK41" s="200"/>
      <c r="AL41" s="3"/>
      <c r="AM41" s="200"/>
      <c r="AN41" s="3"/>
      <c r="AO41" s="200"/>
      <c r="AP41" s="3"/>
      <c r="AQ41" s="200"/>
      <c r="AR41" s="3"/>
      <c r="AS41" s="200"/>
      <c r="AT41" s="3"/>
      <c r="AU41" s="283"/>
      <c r="AV41" s="287">
        <f t="shared" si="0"/>
        <v>38</v>
      </c>
    </row>
    <row r="42" spans="1:48" ht="15.75" thickBot="1">
      <c r="A42" s="583"/>
      <c r="B42" s="3"/>
      <c r="C42" s="269"/>
      <c r="D42" s="3"/>
      <c r="E42" s="269"/>
      <c r="F42" s="3"/>
      <c r="G42" s="269"/>
      <c r="H42" s="3"/>
      <c r="I42" s="269"/>
      <c r="J42" s="3"/>
      <c r="K42" s="269"/>
      <c r="L42" s="3"/>
      <c r="M42" s="4"/>
      <c r="N42" s="3"/>
      <c r="O42" s="200"/>
      <c r="P42" s="3"/>
      <c r="Q42" s="200"/>
      <c r="R42" s="3"/>
      <c r="S42" s="200"/>
      <c r="T42" s="3"/>
      <c r="U42" s="200"/>
      <c r="V42" s="3"/>
      <c r="W42" s="200"/>
      <c r="X42" s="3"/>
      <c r="Y42" s="200"/>
      <c r="Z42" s="3"/>
      <c r="AA42" s="200"/>
      <c r="AB42" s="3"/>
      <c r="AC42" s="200"/>
      <c r="AD42" s="3" t="s">
        <v>245</v>
      </c>
      <c r="AE42" s="200">
        <v>32</v>
      </c>
      <c r="AF42" s="3" t="s">
        <v>245</v>
      </c>
      <c r="AG42" s="200">
        <v>32</v>
      </c>
      <c r="AH42" s="3" t="s">
        <v>245</v>
      </c>
      <c r="AI42" s="200">
        <v>32</v>
      </c>
      <c r="AJ42" s="3" t="s">
        <v>245</v>
      </c>
      <c r="AK42" s="200">
        <v>24</v>
      </c>
      <c r="AL42" s="3" t="s">
        <v>245</v>
      </c>
      <c r="AM42" s="200">
        <v>32</v>
      </c>
      <c r="AN42" s="3" t="s">
        <v>245</v>
      </c>
      <c r="AO42" s="200">
        <v>32</v>
      </c>
      <c r="AP42" s="3" t="s">
        <v>245</v>
      </c>
      <c r="AQ42" s="200">
        <v>32</v>
      </c>
      <c r="AR42" s="3"/>
      <c r="AS42" s="200"/>
      <c r="AT42" s="3"/>
      <c r="AU42" s="283"/>
      <c r="AV42" s="287">
        <f t="shared" si="0"/>
        <v>39</v>
      </c>
    </row>
    <row r="43" spans="1:48" ht="15.75" thickBot="1">
      <c r="A43" s="583"/>
      <c r="B43" s="3"/>
      <c r="C43" s="269"/>
      <c r="D43" s="3"/>
      <c r="E43" s="269"/>
      <c r="F43" s="3"/>
      <c r="G43" s="269"/>
      <c r="H43" s="3"/>
      <c r="I43" s="269"/>
      <c r="J43" s="3"/>
      <c r="K43" s="269"/>
      <c r="L43" s="3"/>
      <c r="M43" s="4"/>
      <c r="N43" s="3"/>
      <c r="O43" s="200"/>
      <c r="P43" s="3"/>
      <c r="Q43" s="200"/>
      <c r="R43" s="3"/>
      <c r="S43" s="200"/>
      <c r="T43" s="3"/>
      <c r="U43" s="200"/>
      <c r="V43" s="3"/>
      <c r="W43" s="200"/>
      <c r="X43" s="3"/>
      <c r="Y43" s="200"/>
      <c r="Z43" s="3"/>
      <c r="AA43" s="200"/>
      <c r="AB43" s="3"/>
      <c r="AC43" s="200"/>
      <c r="AD43" s="3" t="s">
        <v>246</v>
      </c>
      <c r="AE43" s="200">
        <v>24</v>
      </c>
      <c r="AF43" s="3" t="s">
        <v>246</v>
      </c>
      <c r="AG43" s="200">
        <v>24</v>
      </c>
      <c r="AH43" s="3" t="s">
        <v>246</v>
      </c>
      <c r="AI43" s="200">
        <v>24</v>
      </c>
      <c r="AJ43" s="3" t="s">
        <v>246</v>
      </c>
      <c r="AK43" s="200">
        <v>16</v>
      </c>
      <c r="AL43" s="3" t="s">
        <v>246</v>
      </c>
      <c r="AM43" s="200">
        <v>24</v>
      </c>
      <c r="AN43" s="3" t="s">
        <v>246</v>
      </c>
      <c r="AO43" s="200">
        <v>24</v>
      </c>
      <c r="AP43" s="3" t="s">
        <v>246</v>
      </c>
      <c r="AQ43" s="200">
        <v>24</v>
      </c>
      <c r="AR43" s="3"/>
      <c r="AS43" s="200"/>
      <c r="AT43" s="3"/>
      <c r="AU43" s="283"/>
      <c r="AV43" s="287">
        <f t="shared" si="0"/>
        <v>40</v>
      </c>
    </row>
    <row r="44" spans="1:48" ht="15.75" thickBot="1">
      <c r="A44" s="583"/>
      <c r="B44" s="3"/>
      <c r="C44" s="269"/>
      <c r="D44" s="3"/>
      <c r="E44" s="269"/>
      <c r="F44" s="3"/>
      <c r="G44" s="269"/>
      <c r="H44" s="3"/>
      <c r="I44" s="269"/>
      <c r="J44" s="3"/>
      <c r="K44" s="269"/>
      <c r="L44" s="3"/>
      <c r="M44" s="4"/>
      <c r="N44" s="3"/>
      <c r="O44" s="200"/>
      <c r="P44" s="3"/>
      <c r="Q44" s="200"/>
      <c r="R44" s="3"/>
      <c r="S44" s="200"/>
      <c r="T44" s="3"/>
      <c r="U44" s="200"/>
      <c r="V44" s="3"/>
      <c r="W44" s="200"/>
      <c r="X44" s="3"/>
      <c r="Y44" s="200"/>
      <c r="Z44" s="3"/>
      <c r="AA44" s="200"/>
      <c r="AB44" s="3"/>
      <c r="AC44" s="200"/>
      <c r="AD44" s="3" t="s">
        <v>247</v>
      </c>
      <c r="AE44" s="200">
        <v>8</v>
      </c>
      <c r="AF44" s="3" t="s">
        <v>247</v>
      </c>
      <c r="AG44" s="200">
        <v>8</v>
      </c>
      <c r="AH44" s="3" t="s">
        <v>247</v>
      </c>
      <c r="AI44" s="200">
        <v>8</v>
      </c>
      <c r="AJ44" s="3" t="s">
        <v>247</v>
      </c>
      <c r="AK44" s="200">
        <v>8</v>
      </c>
      <c r="AL44" s="3" t="s">
        <v>247</v>
      </c>
      <c r="AM44" s="200">
        <v>8</v>
      </c>
      <c r="AN44" s="3" t="s">
        <v>247</v>
      </c>
      <c r="AO44" s="200">
        <v>8</v>
      </c>
      <c r="AP44" s="3" t="s">
        <v>247</v>
      </c>
      <c r="AQ44" s="200">
        <v>32</v>
      </c>
      <c r="AR44" s="3"/>
      <c r="AS44" s="200"/>
      <c r="AT44" s="3"/>
      <c r="AU44" s="283"/>
      <c r="AV44" s="287">
        <f t="shared" si="0"/>
        <v>41</v>
      </c>
    </row>
    <row r="45" spans="1:48" ht="15.75" thickBot="1">
      <c r="A45" s="583"/>
      <c r="B45" s="3"/>
      <c r="C45" s="269"/>
      <c r="D45" s="3"/>
      <c r="E45" s="269"/>
      <c r="F45" s="3"/>
      <c r="G45" s="269"/>
      <c r="H45" s="3"/>
      <c r="I45" s="269"/>
      <c r="J45" s="3"/>
      <c r="K45" s="269"/>
      <c r="L45" s="3"/>
      <c r="M45" s="4"/>
      <c r="N45" s="3"/>
      <c r="O45" s="200"/>
      <c r="P45" s="3"/>
      <c r="Q45" s="200"/>
      <c r="R45" s="3"/>
      <c r="S45" s="200"/>
      <c r="T45" s="3"/>
      <c r="U45" s="200"/>
      <c r="V45" s="3"/>
      <c r="W45" s="200"/>
      <c r="X45" s="3"/>
      <c r="Y45" s="200"/>
      <c r="Z45" s="3"/>
      <c r="AA45" s="200"/>
      <c r="AB45" s="3"/>
      <c r="AC45" s="200"/>
      <c r="AD45" s="3"/>
      <c r="AE45" s="200"/>
      <c r="AF45" s="3"/>
      <c r="AG45" s="200"/>
      <c r="AH45" s="3"/>
      <c r="AI45" s="200"/>
      <c r="AJ45" s="3" t="s">
        <v>248</v>
      </c>
      <c r="AK45" s="200">
        <v>8</v>
      </c>
      <c r="AL45" s="3" t="s">
        <v>249</v>
      </c>
      <c r="AM45" s="200">
        <v>24</v>
      </c>
      <c r="AN45" s="3" t="s">
        <v>249</v>
      </c>
      <c r="AO45" s="200">
        <v>24</v>
      </c>
      <c r="AP45" s="3" t="s">
        <v>249</v>
      </c>
      <c r="AQ45" s="200">
        <v>24</v>
      </c>
      <c r="AR45" s="3"/>
      <c r="AS45" s="200"/>
      <c r="AT45" s="3"/>
      <c r="AU45" s="283"/>
      <c r="AV45" s="287">
        <f t="shared" si="0"/>
        <v>42</v>
      </c>
    </row>
    <row r="46" spans="1:48" ht="15.75" thickBot="1">
      <c r="A46" s="583"/>
      <c r="B46" s="3"/>
      <c r="C46" s="269"/>
      <c r="D46" s="3"/>
      <c r="E46" s="269"/>
      <c r="F46" s="3"/>
      <c r="G46" s="269"/>
      <c r="H46" s="3"/>
      <c r="I46" s="269"/>
      <c r="J46" s="3"/>
      <c r="K46" s="269"/>
      <c r="L46" s="3"/>
      <c r="M46" s="4"/>
      <c r="N46" s="3"/>
      <c r="O46" s="200"/>
      <c r="P46" s="3"/>
      <c r="Q46" s="200"/>
      <c r="R46" s="3"/>
      <c r="S46" s="200"/>
      <c r="T46" s="3"/>
      <c r="U46" s="200"/>
      <c r="V46" s="3"/>
      <c r="W46" s="200"/>
      <c r="X46" s="3"/>
      <c r="Y46" s="200"/>
      <c r="Z46" s="3"/>
      <c r="AA46" s="200"/>
      <c r="AB46" s="3"/>
      <c r="AC46" s="200"/>
      <c r="AD46" s="3" t="s">
        <v>250</v>
      </c>
      <c r="AE46" s="200">
        <v>4</v>
      </c>
      <c r="AF46" s="3" t="s">
        <v>250</v>
      </c>
      <c r="AG46" s="200">
        <v>4</v>
      </c>
      <c r="AH46" s="3" t="s">
        <v>250</v>
      </c>
      <c r="AI46" s="200">
        <v>4</v>
      </c>
      <c r="AJ46" s="3" t="s">
        <v>250</v>
      </c>
      <c r="AK46" s="200">
        <v>4</v>
      </c>
      <c r="AL46" s="3" t="s">
        <v>250</v>
      </c>
      <c r="AM46" s="200">
        <v>4</v>
      </c>
      <c r="AN46" s="3" t="s">
        <v>250</v>
      </c>
      <c r="AO46" s="200">
        <v>4</v>
      </c>
      <c r="AP46" s="3" t="s">
        <v>250</v>
      </c>
      <c r="AQ46" s="200">
        <v>4</v>
      </c>
      <c r="AR46" s="3"/>
      <c r="AS46" s="200"/>
      <c r="AT46" s="3"/>
      <c r="AU46" s="283"/>
      <c r="AV46" s="287">
        <f t="shared" si="0"/>
        <v>43</v>
      </c>
    </row>
    <row r="47" spans="1:48" ht="15.75" thickBot="1">
      <c r="A47" s="583"/>
      <c r="B47" s="3"/>
      <c r="C47" s="269"/>
      <c r="D47" s="3"/>
      <c r="E47" s="269"/>
      <c r="F47" s="3"/>
      <c r="G47" s="269"/>
      <c r="H47" s="3"/>
      <c r="I47" s="269"/>
      <c r="J47" s="3"/>
      <c r="K47" s="269"/>
      <c r="L47" s="3"/>
      <c r="M47" s="4"/>
      <c r="N47" s="3"/>
      <c r="O47" s="200"/>
      <c r="P47" s="3"/>
      <c r="Q47" s="200"/>
      <c r="R47" s="3"/>
      <c r="S47" s="200"/>
      <c r="T47" s="3"/>
      <c r="U47" s="200"/>
      <c r="V47" s="3"/>
      <c r="W47" s="200"/>
      <c r="X47" s="3"/>
      <c r="Y47" s="200"/>
      <c r="Z47" s="3"/>
      <c r="AA47" s="200"/>
      <c r="AB47" s="3"/>
      <c r="AC47" s="200"/>
      <c r="AD47" s="3"/>
      <c r="AE47" s="200"/>
      <c r="AF47" s="3"/>
      <c r="AG47" s="200"/>
      <c r="AH47" s="3"/>
      <c r="AI47" s="200"/>
      <c r="AJ47" s="3"/>
      <c r="AK47" s="200"/>
      <c r="AL47" s="3"/>
      <c r="AM47" s="200"/>
      <c r="AN47" s="3"/>
      <c r="AO47" s="200"/>
      <c r="AP47" s="3"/>
      <c r="AQ47" s="200"/>
      <c r="AR47" s="3"/>
      <c r="AS47" s="200"/>
      <c r="AT47" s="3"/>
      <c r="AU47" s="283"/>
      <c r="AV47" s="287">
        <f t="shared" si="0"/>
        <v>44</v>
      </c>
    </row>
    <row r="48" spans="1:48" ht="15.75" thickBot="1">
      <c r="A48" s="583"/>
      <c r="B48" s="209" t="s">
        <v>251</v>
      </c>
      <c r="C48" s="205"/>
      <c r="D48" s="209" t="s">
        <v>251</v>
      </c>
      <c r="E48" s="205"/>
      <c r="F48" s="209" t="s">
        <v>251</v>
      </c>
      <c r="G48" s="205"/>
      <c r="H48" s="209" t="s">
        <v>251</v>
      </c>
      <c r="I48" s="205"/>
      <c r="J48" s="209" t="s">
        <v>251</v>
      </c>
      <c r="K48" s="205"/>
      <c r="L48" s="209" t="s">
        <v>251</v>
      </c>
      <c r="M48" s="205"/>
      <c r="N48" s="209" t="s">
        <v>251</v>
      </c>
      <c r="O48" s="205"/>
      <c r="P48" s="209" t="s">
        <v>251</v>
      </c>
      <c r="Q48" s="205"/>
      <c r="R48" s="209" t="s">
        <v>251</v>
      </c>
      <c r="S48" s="205"/>
      <c r="T48" s="209" t="s">
        <v>251</v>
      </c>
      <c r="U48" s="205"/>
      <c r="V48" s="209" t="s">
        <v>251</v>
      </c>
      <c r="W48" s="205"/>
      <c r="X48" s="209" t="s">
        <v>251</v>
      </c>
      <c r="Y48" s="205"/>
      <c r="Z48" s="209" t="s">
        <v>251</v>
      </c>
      <c r="AA48" s="205"/>
      <c r="AB48" s="209" t="s">
        <v>251</v>
      </c>
      <c r="AC48" s="205"/>
      <c r="AD48" s="210" t="s">
        <v>251</v>
      </c>
      <c r="AE48" s="205">
        <v>8</v>
      </c>
      <c r="AF48" s="210" t="s">
        <v>251</v>
      </c>
      <c r="AG48" s="205">
        <v>8</v>
      </c>
      <c r="AH48" s="210" t="s">
        <v>251</v>
      </c>
      <c r="AI48" s="205">
        <v>8</v>
      </c>
      <c r="AJ48" s="210" t="s">
        <v>251</v>
      </c>
      <c r="AK48" s="205">
        <v>8</v>
      </c>
      <c r="AL48" s="210" t="s">
        <v>251</v>
      </c>
      <c r="AM48" s="205">
        <v>8</v>
      </c>
      <c r="AN48" s="210" t="s">
        <v>251</v>
      </c>
      <c r="AO48" s="205">
        <v>8</v>
      </c>
      <c r="AP48" s="210" t="s">
        <v>251</v>
      </c>
      <c r="AQ48" s="205">
        <v>8</v>
      </c>
      <c r="AR48" s="209"/>
      <c r="AS48" s="205"/>
      <c r="AT48" s="209"/>
      <c r="AU48" s="284"/>
      <c r="AV48" s="287">
        <f t="shared" si="0"/>
        <v>45</v>
      </c>
    </row>
    <row r="49" spans="1:48" ht="15.75" thickBot="1">
      <c r="A49" s="583"/>
      <c r="B49" s="211"/>
      <c r="C49" s="269"/>
      <c r="D49" s="211"/>
      <c r="E49" s="269"/>
      <c r="F49" s="211"/>
      <c r="G49" s="269"/>
      <c r="H49" s="211"/>
      <c r="I49" s="269"/>
      <c r="J49" s="211"/>
      <c r="K49" s="269"/>
      <c r="L49" s="211"/>
      <c r="M49" s="4"/>
      <c r="N49" s="211"/>
      <c r="O49" s="200"/>
      <c r="P49" s="211"/>
      <c r="Q49" s="200"/>
      <c r="R49" s="211"/>
      <c r="S49" s="200"/>
      <c r="T49" s="211"/>
      <c r="U49" s="200"/>
      <c r="V49" s="211"/>
      <c r="W49" s="200"/>
      <c r="X49" s="211"/>
      <c r="Y49" s="200"/>
      <c r="Z49" s="211"/>
      <c r="AA49" s="200"/>
      <c r="AB49" s="3"/>
      <c r="AC49" s="200"/>
      <c r="AD49" s="211"/>
      <c r="AE49" s="200"/>
      <c r="AF49" s="211"/>
      <c r="AG49" s="200"/>
      <c r="AH49" s="211"/>
      <c r="AI49" s="200"/>
      <c r="AJ49" s="211"/>
      <c r="AK49" s="200"/>
      <c r="AL49" s="211"/>
      <c r="AM49" s="200"/>
      <c r="AN49" s="211"/>
      <c r="AO49" s="200"/>
      <c r="AP49" s="211"/>
      <c r="AQ49" s="200"/>
      <c r="AR49" s="211"/>
      <c r="AS49" s="200"/>
      <c r="AT49" s="211"/>
      <c r="AU49" s="283"/>
      <c r="AV49" s="287">
        <f t="shared" si="0"/>
        <v>46</v>
      </c>
    </row>
    <row r="50" spans="1:48" ht="15.75" thickBot="1">
      <c r="A50" s="583"/>
      <c r="B50" s="3"/>
      <c r="C50" s="269"/>
      <c r="D50" s="3"/>
      <c r="E50" s="269"/>
      <c r="F50" s="3" t="s">
        <v>17</v>
      </c>
      <c r="G50" s="269">
        <v>8</v>
      </c>
      <c r="H50" s="3" t="s">
        <v>17</v>
      </c>
      <c r="I50" s="269">
        <v>8</v>
      </c>
      <c r="J50" s="3" t="s">
        <v>17</v>
      </c>
      <c r="K50" s="269">
        <v>8</v>
      </c>
      <c r="L50" s="3" t="s">
        <v>253</v>
      </c>
      <c r="M50" s="4"/>
      <c r="N50" s="3"/>
      <c r="O50" s="200"/>
      <c r="P50" s="3"/>
      <c r="Q50" s="200"/>
      <c r="R50" s="3" t="s">
        <v>17</v>
      </c>
      <c r="S50" s="200">
        <v>8</v>
      </c>
      <c r="T50" s="3" t="s">
        <v>17</v>
      </c>
      <c r="U50" s="200">
        <v>8</v>
      </c>
      <c r="V50" s="3" t="s">
        <v>17</v>
      </c>
      <c r="W50" s="200">
        <v>8</v>
      </c>
      <c r="X50" s="3"/>
      <c r="Y50" s="200"/>
      <c r="Z50" s="3" t="s">
        <v>244</v>
      </c>
      <c r="AA50" s="200">
        <v>8</v>
      </c>
      <c r="AB50" s="3" t="s">
        <v>244</v>
      </c>
      <c r="AC50" s="200">
        <v>8</v>
      </c>
      <c r="AD50" s="3" t="s">
        <v>244</v>
      </c>
      <c r="AE50" s="200">
        <v>4</v>
      </c>
      <c r="AF50" s="3" t="s">
        <v>244</v>
      </c>
      <c r="AG50" s="200">
        <v>4</v>
      </c>
      <c r="AH50" s="3" t="s">
        <v>244</v>
      </c>
      <c r="AI50" s="200">
        <v>4</v>
      </c>
      <c r="AJ50" s="3" t="s">
        <v>244</v>
      </c>
      <c r="AK50" s="200">
        <v>4</v>
      </c>
      <c r="AL50" s="3" t="s">
        <v>244</v>
      </c>
      <c r="AM50" s="200">
        <v>4</v>
      </c>
      <c r="AN50" s="3" t="s">
        <v>244</v>
      </c>
      <c r="AO50" s="200">
        <v>4</v>
      </c>
      <c r="AP50" s="3" t="s">
        <v>244</v>
      </c>
      <c r="AQ50" s="200">
        <v>4</v>
      </c>
      <c r="AR50" s="3"/>
      <c r="AS50" s="200"/>
      <c r="AT50" s="3" t="s">
        <v>244</v>
      </c>
      <c r="AU50" s="283">
        <v>8</v>
      </c>
      <c r="AV50" s="287">
        <f t="shared" si="0"/>
        <v>47</v>
      </c>
    </row>
    <row r="51" spans="1:48" ht="15.75" thickBot="1">
      <c r="A51" s="583"/>
      <c r="B51" s="3" t="s">
        <v>257</v>
      </c>
      <c r="C51" s="269">
        <v>24</v>
      </c>
      <c r="D51" s="3" t="s">
        <v>257</v>
      </c>
      <c r="E51" s="269">
        <v>24</v>
      </c>
      <c r="F51" s="3" t="s">
        <v>257</v>
      </c>
      <c r="G51" s="269">
        <v>24</v>
      </c>
      <c r="H51" s="3" t="s">
        <v>257</v>
      </c>
      <c r="I51" s="269">
        <v>24</v>
      </c>
      <c r="J51" s="3" t="s">
        <v>257</v>
      </c>
      <c r="K51" s="269">
        <v>24</v>
      </c>
      <c r="L51" s="3" t="s">
        <v>257</v>
      </c>
      <c r="M51" s="4"/>
      <c r="N51" s="3" t="s">
        <v>257</v>
      </c>
      <c r="O51" s="200">
        <v>32</v>
      </c>
      <c r="P51" s="3" t="s">
        <v>257</v>
      </c>
      <c r="Q51" s="200">
        <v>32</v>
      </c>
      <c r="R51" s="3" t="s">
        <v>257</v>
      </c>
      <c r="S51" s="200">
        <v>32</v>
      </c>
      <c r="T51" s="3" t="s">
        <v>257</v>
      </c>
      <c r="U51" s="200">
        <v>32</v>
      </c>
      <c r="V51" s="3" t="s">
        <v>257</v>
      </c>
      <c r="W51" s="200">
        <v>32</v>
      </c>
      <c r="X51" s="3" t="s">
        <v>257</v>
      </c>
      <c r="Y51" s="200">
        <v>32</v>
      </c>
      <c r="Z51" s="3" t="s">
        <v>258</v>
      </c>
      <c r="AA51" s="200"/>
      <c r="AB51" s="3" t="s">
        <v>258</v>
      </c>
      <c r="AC51" s="200"/>
      <c r="AD51" s="3" t="s">
        <v>259</v>
      </c>
      <c r="AE51" s="200">
        <v>16</v>
      </c>
      <c r="AF51" s="3" t="s">
        <v>260</v>
      </c>
      <c r="AG51" s="200">
        <v>16</v>
      </c>
      <c r="AH51" s="3" t="s">
        <v>259</v>
      </c>
      <c r="AI51" s="200">
        <v>16</v>
      </c>
      <c r="AJ51" s="3" t="s">
        <v>257</v>
      </c>
      <c r="AK51" s="200">
        <v>16</v>
      </c>
      <c r="AL51" s="3" t="s">
        <v>259</v>
      </c>
      <c r="AM51" s="200">
        <v>16</v>
      </c>
      <c r="AN51" s="3" t="s">
        <v>258</v>
      </c>
      <c r="AO51" s="200">
        <v>16</v>
      </c>
      <c r="AP51" s="3" t="s">
        <v>260</v>
      </c>
      <c r="AQ51" s="200">
        <v>16</v>
      </c>
      <c r="AR51" s="3" t="s">
        <v>257</v>
      </c>
      <c r="AS51" s="200">
        <v>32</v>
      </c>
      <c r="AT51" s="3" t="s">
        <v>257</v>
      </c>
      <c r="AU51" s="283">
        <v>32</v>
      </c>
      <c r="AV51" s="287">
        <f t="shared" si="0"/>
        <v>48</v>
      </c>
    </row>
    <row r="52" spans="1:48" ht="15.75" thickBot="1">
      <c r="A52" s="583"/>
      <c r="B52" s="3"/>
      <c r="C52" s="269"/>
      <c r="D52" s="3"/>
      <c r="E52" s="269"/>
      <c r="F52" s="3"/>
      <c r="G52" s="269"/>
      <c r="H52" s="3"/>
      <c r="I52" s="269"/>
      <c r="J52" s="3"/>
      <c r="K52" s="269"/>
      <c r="L52" s="3"/>
      <c r="M52" s="4"/>
      <c r="N52" s="3"/>
      <c r="O52" s="200"/>
      <c r="P52" s="3"/>
      <c r="Q52" s="200"/>
      <c r="R52" s="3"/>
      <c r="S52" s="200"/>
      <c r="T52" s="3"/>
      <c r="U52" s="200"/>
      <c r="V52" s="3"/>
      <c r="W52" s="200"/>
      <c r="X52" s="3"/>
      <c r="Y52" s="200"/>
      <c r="Z52" s="3"/>
      <c r="AA52" s="200"/>
      <c r="AB52" s="3"/>
      <c r="AC52" s="200"/>
      <c r="AD52" s="3"/>
      <c r="AE52" s="200"/>
      <c r="AF52" s="3"/>
      <c r="AG52" s="200"/>
      <c r="AH52" s="3"/>
      <c r="AI52" s="200"/>
      <c r="AJ52" s="3"/>
      <c r="AK52" s="200"/>
      <c r="AL52" s="3"/>
      <c r="AM52" s="200"/>
      <c r="AN52" s="3"/>
      <c r="AO52" s="200"/>
      <c r="AP52" s="3"/>
      <c r="AQ52" s="200"/>
      <c r="AR52" s="3"/>
      <c r="AS52" s="200"/>
      <c r="AT52" s="3"/>
      <c r="AU52" s="283"/>
      <c r="AV52" s="287">
        <f t="shared" si="0"/>
        <v>49</v>
      </c>
    </row>
    <row r="53" spans="1:48" ht="15.75" thickBot="1">
      <c r="A53" s="583"/>
      <c r="B53" s="3"/>
      <c r="C53" s="269"/>
      <c r="D53" s="3"/>
      <c r="E53" s="269"/>
      <c r="F53" s="3"/>
      <c r="G53" s="269"/>
      <c r="H53" s="3"/>
      <c r="I53" s="269"/>
      <c r="J53" s="3"/>
      <c r="K53" s="269"/>
      <c r="L53" s="3"/>
      <c r="M53" s="4"/>
      <c r="N53" s="3"/>
      <c r="O53" s="200"/>
      <c r="P53" s="3"/>
      <c r="Q53" s="200"/>
      <c r="R53" s="3"/>
      <c r="S53" s="200"/>
      <c r="T53" s="3"/>
      <c r="U53" s="200"/>
      <c r="V53" s="3"/>
      <c r="W53" s="200"/>
      <c r="X53" s="3"/>
      <c r="Y53" s="200"/>
      <c r="Z53" s="3" t="s">
        <v>264</v>
      </c>
      <c r="AA53" s="200"/>
      <c r="AB53" s="3" t="s">
        <v>264</v>
      </c>
      <c r="AC53" s="200"/>
      <c r="AD53" s="3"/>
      <c r="AE53" s="200"/>
      <c r="AF53" s="3" t="s">
        <v>266</v>
      </c>
      <c r="AG53" s="200">
        <v>4</v>
      </c>
      <c r="AH53" s="3"/>
      <c r="AI53" s="200"/>
      <c r="AJ53" s="3"/>
      <c r="AK53" s="200"/>
      <c r="AL53" s="3"/>
      <c r="AM53" s="200"/>
      <c r="AN53" s="3" t="s">
        <v>264</v>
      </c>
      <c r="AO53" s="200">
        <v>4</v>
      </c>
      <c r="AP53" s="3" t="s">
        <v>266</v>
      </c>
      <c r="AQ53" s="200">
        <v>4</v>
      </c>
      <c r="AR53" s="3"/>
      <c r="AS53" s="200"/>
      <c r="AT53" s="3"/>
      <c r="AU53" s="283"/>
      <c r="AV53" s="287">
        <f t="shared" si="0"/>
        <v>50</v>
      </c>
    </row>
    <row r="54" spans="1:48" ht="15.75" thickBot="1">
      <c r="A54" s="583"/>
      <c r="B54" s="3"/>
      <c r="C54" s="269"/>
      <c r="D54" s="3"/>
      <c r="E54" s="269"/>
      <c r="F54" s="3"/>
      <c r="G54" s="269"/>
      <c r="H54" s="3"/>
      <c r="I54" s="269"/>
      <c r="J54" s="3"/>
      <c r="K54" s="269"/>
      <c r="L54" s="3"/>
      <c r="M54" s="4"/>
      <c r="N54" s="3"/>
      <c r="O54" s="200"/>
      <c r="P54" s="3"/>
      <c r="Q54" s="200"/>
      <c r="R54" s="3"/>
      <c r="S54" s="200"/>
      <c r="T54" s="3"/>
      <c r="U54" s="200"/>
      <c r="V54" s="3"/>
      <c r="W54" s="200"/>
      <c r="X54" s="3"/>
      <c r="Y54" s="200"/>
      <c r="Z54" s="3"/>
      <c r="AA54" s="200"/>
      <c r="AB54" s="3"/>
      <c r="AC54" s="200"/>
      <c r="AD54" s="3"/>
      <c r="AE54" s="200"/>
      <c r="AF54" s="3"/>
      <c r="AG54" s="200"/>
      <c r="AH54" s="3"/>
      <c r="AI54" s="200"/>
      <c r="AJ54" s="3"/>
      <c r="AK54" s="200"/>
      <c r="AL54" s="3"/>
      <c r="AM54" s="200"/>
      <c r="AN54" s="3"/>
      <c r="AO54" s="200"/>
      <c r="AP54" s="3"/>
      <c r="AQ54" s="200"/>
      <c r="AR54" s="3"/>
      <c r="AS54" s="200"/>
      <c r="AT54" s="3"/>
      <c r="AU54" s="283"/>
      <c r="AV54" s="287">
        <f t="shared" si="0"/>
        <v>51</v>
      </c>
    </row>
    <row r="55" spans="1:48" ht="15.75" thickBot="1">
      <c r="A55" s="583"/>
      <c r="B55" s="3"/>
      <c r="C55" s="269"/>
      <c r="D55" s="3"/>
      <c r="E55" s="269"/>
      <c r="F55" s="3"/>
      <c r="G55" s="269"/>
      <c r="H55" s="3"/>
      <c r="I55" s="269"/>
      <c r="J55" s="3"/>
      <c r="K55" s="269"/>
      <c r="L55" s="3"/>
      <c r="M55" s="4"/>
      <c r="N55" s="3"/>
      <c r="O55" s="200"/>
      <c r="P55" s="3"/>
      <c r="Q55" s="200"/>
      <c r="R55" s="3"/>
      <c r="S55" s="200"/>
      <c r="T55" s="3"/>
      <c r="U55" s="200"/>
      <c r="V55" s="3"/>
      <c r="W55" s="200"/>
      <c r="X55" s="3"/>
      <c r="Y55" s="200"/>
      <c r="Z55" s="3"/>
      <c r="AA55" s="200"/>
      <c r="AB55" s="3"/>
      <c r="AC55" s="200"/>
      <c r="AD55" s="3"/>
      <c r="AE55" s="200"/>
      <c r="AF55" s="3"/>
      <c r="AG55" s="200"/>
      <c r="AH55" s="3"/>
      <c r="AI55" s="200"/>
      <c r="AJ55" s="3"/>
      <c r="AK55" s="200"/>
      <c r="AL55" s="3"/>
      <c r="AM55" s="200"/>
      <c r="AN55" s="3"/>
      <c r="AO55" s="200"/>
      <c r="AP55" s="3"/>
      <c r="AQ55" s="200"/>
      <c r="AR55" s="3"/>
      <c r="AS55" s="200"/>
      <c r="AT55" s="3"/>
      <c r="AU55" s="283"/>
      <c r="AV55" s="287">
        <f t="shared" si="0"/>
        <v>52</v>
      </c>
    </row>
    <row r="56" spans="1:48" ht="15.75" thickBot="1">
      <c r="A56" s="583"/>
      <c r="B56" s="3" t="s">
        <v>268</v>
      </c>
      <c r="C56" s="269">
        <v>8</v>
      </c>
      <c r="D56" s="3" t="s">
        <v>268</v>
      </c>
      <c r="E56" s="269">
        <v>8</v>
      </c>
      <c r="F56" s="3" t="s">
        <v>268</v>
      </c>
      <c r="G56" s="269">
        <v>8</v>
      </c>
      <c r="H56" s="3" t="s">
        <v>268</v>
      </c>
      <c r="I56" s="269">
        <v>8</v>
      </c>
      <c r="J56" s="3" t="s">
        <v>268</v>
      </c>
      <c r="K56" s="269">
        <v>8</v>
      </c>
      <c r="L56" s="3" t="s">
        <v>268</v>
      </c>
      <c r="M56" s="4"/>
      <c r="N56" s="3" t="s">
        <v>268</v>
      </c>
      <c r="O56" s="200">
        <v>8</v>
      </c>
      <c r="P56" s="3" t="s">
        <v>268</v>
      </c>
      <c r="Q56" s="200">
        <v>8</v>
      </c>
      <c r="R56" s="3" t="s">
        <v>268</v>
      </c>
      <c r="S56" s="200">
        <v>8</v>
      </c>
      <c r="T56" s="3" t="s">
        <v>268</v>
      </c>
      <c r="U56" s="200">
        <v>8</v>
      </c>
      <c r="V56" s="3" t="s">
        <v>268</v>
      </c>
      <c r="W56" s="200">
        <v>8</v>
      </c>
      <c r="X56" s="3" t="s">
        <v>268</v>
      </c>
      <c r="Y56" s="200">
        <v>8</v>
      </c>
      <c r="Z56" s="3" t="s">
        <v>268</v>
      </c>
      <c r="AA56" s="200">
        <v>8</v>
      </c>
      <c r="AB56" s="3" t="s">
        <v>268</v>
      </c>
      <c r="AC56" s="200">
        <v>8</v>
      </c>
      <c r="AD56" s="3" t="s">
        <v>268</v>
      </c>
      <c r="AE56" s="200">
        <v>8</v>
      </c>
      <c r="AF56" s="3" t="s">
        <v>268</v>
      </c>
      <c r="AG56" s="200">
        <v>8</v>
      </c>
      <c r="AH56" s="3" t="s">
        <v>268</v>
      </c>
      <c r="AI56" s="200">
        <v>8</v>
      </c>
      <c r="AJ56" s="3" t="s">
        <v>268</v>
      </c>
      <c r="AK56" s="200">
        <v>8</v>
      </c>
      <c r="AL56" s="3" t="s">
        <v>268</v>
      </c>
      <c r="AM56" s="200">
        <v>8</v>
      </c>
      <c r="AN56" s="3" t="s">
        <v>268</v>
      </c>
      <c r="AO56" s="200">
        <v>8</v>
      </c>
      <c r="AP56" s="3" t="s">
        <v>268</v>
      </c>
      <c r="AQ56" s="200">
        <v>8</v>
      </c>
      <c r="AR56" s="3" t="s">
        <v>268</v>
      </c>
      <c r="AS56" s="200">
        <v>8</v>
      </c>
      <c r="AT56" s="3" t="s">
        <v>268</v>
      </c>
      <c r="AU56" s="283">
        <v>8</v>
      </c>
      <c r="AV56" s="287">
        <f t="shared" si="0"/>
        <v>53</v>
      </c>
    </row>
    <row r="57" spans="1:48" ht="15.75" thickBot="1">
      <c r="A57" s="583"/>
      <c r="B57" s="3" t="s">
        <v>269</v>
      </c>
      <c r="C57" s="269">
        <v>16</v>
      </c>
      <c r="D57" s="3" t="s">
        <v>269</v>
      </c>
      <c r="E57" s="269">
        <v>16</v>
      </c>
      <c r="F57" s="3" t="s">
        <v>269</v>
      </c>
      <c r="G57" s="269">
        <v>16</v>
      </c>
      <c r="H57" s="3" t="s">
        <v>269</v>
      </c>
      <c r="I57" s="269">
        <v>16</v>
      </c>
      <c r="J57" s="3" t="s">
        <v>269</v>
      </c>
      <c r="K57" s="269">
        <v>16</v>
      </c>
      <c r="L57" s="3" t="s">
        <v>269</v>
      </c>
      <c r="M57" s="4"/>
      <c r="N57" s="3" t="s">
        <v>269</v>
      </c>
      <c r="O57" s="200">
        <v>16</v>
      </c>
      <c r="P57" s="3" t="s">
        <v>269</v>
      </c>
      <c r="Q57" s="200">
        <v>16</v>
      </c>
      <c r="R57" s="3" t="s">
        <v>269</v>
      </c>
      <c r="S57" s="200">
        <v>16</v>
      </c>
      <c r="T57" s="3" t="s">
        <v>269</v>
      </c>
      <c r="U57" s="200">
        <v>16</v>
      </c>
      <c r="V57" s="3" t="s">
        <v>269</v>
      </c>
      <c r="W57" s="200">
        <v>16</v>
      </c>
      <c r="X57" s="3" t="s">
        <v>269</v>
      </c>
      <c r="Y57" s="200">
        <v>16</v>
      </c>
      <c r="Z57" s="3" t="s">
        <v>269</v>
      </c>
      <c r="AA57" s="200">
        <v>16</v>
      </c>
      <c r="AB57" s="3" t="s">
        <v>269</v>
      </c>
      <c r="AC57" s="200">
        <v>16</v>
      </c>
      <c r="AD57" s="3" t="s">
        <v>269</v>
      </c>
      <c r="AE57" s="200">
        <v>16</v>
      </c>
      <c r="AF57" s="3" t="s">
        <v>269</v>
      </c>
      <c r="AG57" s="200">
        <v>16</v>
      </c>
      <c r="AH57" s="3" t="s">
        <v>269</v>
      </c>
      <c r="AI57" s="200">
        <v>16</v>
      </c>
      <c r="AJ57" s="3" t="s">
        <v>269</v>
      </c>
      <c r="AK57" s="200">
        <v>16</v>
      </c>
      <c r="AL57" s="3" t="s">
        <v>269</v>
      </c>
      <c r="AM57" s="200">
        <v>16</v>
      </c>
      <c r="AN57" s="3" t="s">
        <v>269</v>
      </c>
      <c r="AO57" s="200">
        <v>16</v>
      </c>
      <c r="AP57" s="3" t="s">
        <v>269</v>
      </c>
      <c r="AQ57" s="200">
        <v>16</v>
      </c>
      <c r="AR57" s="3" t="s">
        <v>269</v>
      </c>
      <c r="AS57" s="200">
        <v>16</v>
      </c>
      <c r="AT57" s="3" t="s">
        <v>269</v>
      </c>
      <c r="AU57" s="283">
        <v>16</v>
      </c>
      <c r="AV57" s="287">
        <f t="shared" si="0"/>
        <v>54</v>
      </c>
    </row>
    <row r="58" spans="1:48" ht="15.75" thickBot="1">
      <c r="A58" s="583"/>
      <c r="B58" s="3"/>
      <c r="C58" s="269"/>
      <c r="D58" s="3"/>
      <c r="E58" s="269"/>
      <c r="F58" s="3"/>
      <c r="G58" s="269"/>
      <c r="H58" s="3"/>
      <c r="I58" s="269"/>
      <c r="J58" s="3"/>
      <c r="K58" s="269"/>
      <c r="L58" s="3"/>
      <c r="M58" s="4"/>
      <c r="N58" s="3"/>
      <c r="O58" s="200"/>
      <c r="P58" s="3"/>
      <c r="Q58" s="200"/>
      <c r="R58" s="3"/>
      <c r="S58" s="200"/>
      <c r="T58" s="3"/>
      <c r="U58" s="200"/>
      <c r="V58" s="3"/>
      <c r="W58" s="200"/>
      <c r="X58" s="3"/>
      <c r="Y58" s="200"/>
      <c r="Z58" s="3"/>
      <c r="AA58" s="200"/>
      <c r="AB58" s="3"/>
      <c r="AC58" s="200"/>
      <c r="AD58" s="3"/>
      <c r="AE58" s="200"/>
      <c r="AF58" s="3"/>
      <c r="AG58" s="200"/>
      <c r="AH58" s="3"/>
      <c r="AI58" s="200"/>
      <c r="AJ58" s="3"/>
      <c r="AK58" s="200"/>
      <c r="AL58" s="3"/>
      <c r="AM58" s="200"/>
      <c r="AN58" s="3"/>
      <c r="AO58" s="200"/>
      <c r="AP58" s="3"/>
      <c r="AQ58" s="200"/>
      <c r="AR58" s="3"/>
      <c r="AS58" s="200"/>
      <c r="AT58" s="3"/>
      <c r="AU58" s="283"/>
      <c r="AV58" s="287">
        <f t="shared" si="0"/>
        <v>55</v>
      </c>
    </row>
    <row r="59" spans="1:48" ht="15.75" thickBot="1">
      <c r="A59" s="583"/>
      <c r="B59" s="3"/>
      <c r="C59" s="269"/>
      <c r="D59" s="3"/>
      <c r="E59" s="269"/>
      <c r="F59" s="3"/>
      <c r="G59" s="269"/>
      <c r="H59" s="3"/>
      <c r="I59" s="269"/>
      <c r="J59" s="3"/>
      <c r="K59" s="269"/>
      <c r="L59" s="3"/>
      <c r="M59" s="4"/>
      <c r="N59" s="3"/>
      <c r="O59" s="200"/>
      <c r="P59" s="3"/>
      <c r="Q59" s="200"/>
      <c r="R59" s="3"/>
      <c r="S59" s="200"/>
      <c r="T59" s="3"/>
      <c r="U59" s="200"/>
      <c r="V59" s="3"/>
      <c r="W59" s="200"/>
      <c r="X59" s="3"/>
      <c r="Y59" s="200"/>
      <c r="Z59" s="3" t="s">
        <v>271</v>
      </c>
      <c r="AA59" s="200">
        <v>8</v>
      </c>
      <c r="AB59" s="3" t="s">
        <v>271</v>
      </c>
      <c r="AC59" s="200">
        <v>8</v>
      </c>
      <c r="AD59" s="3"/>
      <c r="AE59" s="200"/>
      <c r="AF59" s="3"/>
      <c r="AG59" s="200"/>
      <c r="AH59" s="3"/>
      <c r="AI59" s="200"/>
      <c r="AJ59" s="3"/>
      <c r="AK59" s="200"/>
      <c r="AL59" s="3"/>
      <c r="AM59" s="200"/>
      <c r="AN59" s="3"/>
      <c r="AO59" s="200"/>
      <c r="AP59" s="3"/>
      <c r="AQ59" s="200"/>
      <c r="AR59" s="3"/>
      <c r="AS59" s="200"/>
      <c r="AT59" s="3"/>
      <c r="AU59" s="283"/>
      <c r="AV59" s="287">
        <f t="shared" si="0"/>
        <v>56</v>
      </c>
    </row>
    <row r="60" spans="1:48" ht="15.75" thickBot="1">
      <c r="A60" s="583"/>
      <c r="B60" s="3"/>
      <c r="C60" s="269"/>
      <c r="D60" s="3"/>
      <c r="E60" s="269"/>
      <c r="F60" s="3"/>
      <c r="G60" s="269"/>
      <c r="H60" s="3"/>
      <c r="I60" s="269"/>
      <c r="J60" s="3"/>
      <c r="K60" s="269"/>
      <c r="L60" s="3"/>
      <c r="M60" s="4"/>
      <c r="N60" s="3"/>
      <c r="O60" s="200"/>
      <c r="P60" s="3"/>
      <c r="Q60" s="200"/>
      <c r="R60" s="3"/>
      <c r="S60" s="200"/>
      <c r="T60" s="3"/>
      <c r="U60" s="200"/>
      <c r="V60" s="3"/>
      <c r="W60" s="200"/>
      <c r="X60" s="3" t="s">
        <v>272</v>
      </c>
      <c r="Y60" s="200">
        <v>8</v>
      </c>
      <c r="Z60" s="3"/>
      <c r="AA60" s="200"/>
      <c r="AB60" s="3"/>
      <c r="AC60" s="200"/>
      <c r="AD60" s="3"/>
      <c r="AE60" s="200"/>
      <c r="AF60" s="3"/>
      <c r="AG60" s="200"/>
      <c r="AH60" s="3"/>
      <c r="AI60" s="200"/>
      <c r="AJ60" s="3"/>
      <c r="AK60" s="200"/>
      <c r="AL60" s="3"/>
      <c r="AM60" s="200"/>
      <c r="AN60" s="3"/>
      <c r="AO60" s="200"/>
      <c r="AP60" s="3"/>
      <c r="AQ60" s="200"/>
      <c r="AR60" s="3"/>
      <c r="AS60" s="200"/>
      <c r="AT60" s="3"/>
      <c r="AU60" s="283"/>
      <c r="AV60" s="287">
        <f t="shared" si="0"/>
        <v>57</v>
      </c>
    </row>
    <row r="61" spans="1:48" ht="15.75" thickBot="1">
      <c r="A61" s="583"/>
      <c r="B61" s="3" t="s">
        <v>399</v>
      </c>
      <c r="C61" s="200">
        <f>Configurator!$I$17</f>
        <v>0</v>
      </c>
      <c r="D61" s="3" t="s">
        <v>399</v>
      </c>
      <c r="E61" s="200">
        <f>Configurator!$I$17</f>
        <v>0</v>
      </c>
      <c r="F61" s="3" t="s">
        <v>399</v>
      </c>
      <c r="G61" s="200">
        <f>Configurator!$I$17</f>
        <v>0</v>
      </c>
      <c r="H61" s="3" t="s">
        <v>399</v>
      </c>
      <c r="I61" s="200">
        <f>Configurator!$I$17</f>
        <v>0</v>
      </c>
      <c r="J61" s="3"/>
      <c r="K61" s="200"/>
      <c r="L61" s="3" t="s">
        <v>399</v>
      </c>
      <c r="M61" s="200">
        <f>Configurator!$I$17</f>
        <v>0</v>
      </c>
      <c r="N61" s="3" t="s">
        <v>399</v>
      </c>
      <c r="O61" s="200">
        <f>Configurator!$I$17</f>
        <v>0</v>
      </c>
      <c r="P61" s="3" t="s">
        <v>399</v>
      </c>
      <c r="Q61" s="200">
        <f>Configurator!$I$17</f>
        <v>0</v>
      </c>
      <c r="R61" s="3" t="s">
        <v>399</v>
      </c>
      <c r="S61" s="200">
        <f>Configurator!$I$17</f>
        <v>0</v>
      </c>
      <c r="T61" s="3" t="s">
        <v>399</v>
      </c>
      <c r="U61" s="200">
        <f>Configurator!$I$17</f>
        <v>0</v>
      </c>
      <c r="V61" s="3" t="s">
        <v>399</v>
      </c>
      <c r="W61" s="200">
        <f>Configurator!$I$17</f>
        <v>0</v>
      </c>
      <c r="X61" s="3" t="s">
        <v>399</v>
      </c>
      <c r="Y61" s="200">
        <f>Configurator!$I$17</f>
        <v>0</v>
      </c>
      <c r="Z61" s="3" t="s">
        <v>399</v>
      </c>
      <c r="AA61" s="200">
        <f>Configurator!$I$17</f>
        <v>0</v>
      </c>
      <c r="AB61" s="3" t="s">
        <v>399</v>
      </c>
      <c r="AC61" s="200">
        <f>Configurator!$I$17</f>
        <v>0</v>
      </c>
      <c r="AD61" s="3" t="s">
        <v>399</v>
      </c>
      <c r="AE61" s="200">
        <f>Configurator!$I$17</f>
        <v>0</v>
      </c>
      <c r="AF61" s="3" t="s">
        <v>399</v>
      </c>
      <c r="AG61" s="200">
        <f>Configurator!$I$17</f>
        <v>0</v>
      </c>
      <c r="AH61" s="3" t="s">
        <v>399</v>
      </c>
      <c r="AI61" s="200">
        <f>Configurator!$I$17</f>
        <v>0</v>
      </c>
      <c r="AJ61" s="3" t="s">
        <v>399</v>
      </c>
      <c r="AK61" s="200">
        <f>Configurator!$I$17</f>
        <v>0</v>
      </c>
      <c r="AL61" s="3" t="s">
        <v>399</v>
      </c>
      <c r="AM61" s="200">
        <f>Configurator!$I$17</f>
        <v>0</v>
      </c>
      <c r="AN61" s="3" t="s">
        <v>399</v>
      </c>
      <c r="AO61" s="200">
        <f>Configurator!$I$17</f>
        <v>0</v>
      </c>
      <c r="AP61" s="3" t="s">
        <v>399</v>
      </c>
      <c r="AQ61" s="200">
        <f>Configurator!$I$17</f>
        <v>0</v>
      </c>
      <c r="AR61" s="3" t="s">
        <v>399</v>
      </c>
      <c r="AS61" s="200">
        <f>Configurator!$I$17</f>
        <v>0</v>
      </c>
      <c r="AT61" s="3" t="s">
        <v>399</v>
      </c>
      <c r="AU61" s="200">
        <f>Configurator!$I$17</f>
        <v>0</v>
      </c>
      <c r="AV61" s="287">
        <f t="shared" si="0"/>
        <v>58</v>
      </c>
    </row>
    <row r="62" spans="1:48" ht="15.75" thickBot="1">
      <c r="A62" s="583"/>
      <c r="B62" s="201" t="s">
        <v>196</v>
      </c>
      <c r="C62" s="258">
        <f>Configurator!$J$17</f>
        <v>0</v>
      </c>
      <c r="D62" s="201" t="s">
        <v>196</v>
      </c>
      <c r="E62" s="258">
        <f>Configurator!$J$17</f>
        <v>0</v>
      </c>
      <c r="F62" s="201" t="s">
        <v>196</v>
      </c>
      <c r="G62" s="258">
        <f>Configurator!$J$17</f>
        <v>0</v>
      </c>
      <c r="H62" s="201" t="s">
        <v>196</v>
      </c>
      <c r="I62" s="258">
        <f>Configurator!$J$17</f>
        <v>0</v>
      </c>
      <c r="J62" s="201"/>
      <c r="K62" s="258"/>
      <c r="L62" s="201" t="s">
        <v>196</v>
      </c>
      <c r="M62" s="258">
        <f>Configurator!$J$17</f>
        <v>0</v>
      </c>
      <c r="N62" s="201" t="s">
        <v>196</v>
      </c>
      <c r="O62" s="258">
        <f>Configurator!$J$17</f>
        <v>0</v>
      </c>
      <c r="P62" s="201" t="s">
        <v>196</v>
      </c>
      <c r="Q62" s="258">
        <f>Configurator!$J$17</f>
        <v>0</v>
      </c>
      <c r="R62" s="201" t="s">
        <v>196</v>
      </c>
      <c r="S62" s="258">
        <f>Configurator!$J$17</f>
        <v>0</v>
      </c>
      <c r="T62" s="201" t="s">
        <v>196</v>
      </c>
      <c r="U62" s="258">
        <f>Configurator!$J$17</f>
        <v>0</v>
      </c>
      <c r="V62" s="201" t="s">
        <v>196</v>
      </c>
      <c r="W62" s="258">
        <f>Configurator!$J$17</f>
        <v>0</v>
      </c>
      <c r="X62" s="201" t="s">
        <v>196</v>
      </c>
      <c r="Y62" s="258">
        <f>Configurator!$J$17</f>
        <v>0</v>
      </c>
      <c r="Z62" s="201" t="s">
        <v>196</v>
      </c>
      <c r="AA62" s="258">
        <f>Configurator!$J$17</f>
        <v>0</v>
      </c>
      <c r="AB62" s="201" t="s">
        <v>196</v>
      </c>
      <c r="AC62" s="258">
        <f>Configurator!$J$17</f>
        <v>0</v>
      </c>
      <c r="AD62" s="201" t="s">
        <v>196</v>
      </c>
      <c r="AE62" s="258">
        <f>Configurator!$J$17</f>
        <v>0</v>
      </c>
      <c r="AF62" s="201" t="s">
        <v>196</v>
      </c>
      <c r="AG62" s="258">
        <f>Configurator!$J$17</f>
        <v>0</v>
      </c>
      <c r="AH62" s="201" t="s">
        <v>196</v>
      </c>
      <c r="AI62" s="258">
        <f>Configurator!$J$17</f>
        <v>0</v>
      </c>
      <c r="AJ62" s="201" t="s">
        <v>196</v>
      </c>
      <c r="AK62" s="258">
        <f>Configurator!$J$17</f>
        <v>0</v>
      </c>
      <c r="AL62" s="201" t="s">
        <v>196</v>
      </c>
      <c r="AM62" s="258">
        <f>Configurator!$J$17</f>
        <v>0</v>
      </c>
      <c r="AN62" s="201" t="s">
        <v>196</v>
      </c>
      <c r="AO62" s="258">
        <f>Configurator!$J$17</f>
        <v>0</v>
      </c>
      <c r="AP62" s="201" t="s">
        <v>196</v>
      </c>
      <c r="AQ62" s="258">
        <f>Configurator!$J$17</f>
        <v>0</v>
      </c>
      <c r="AR62" s="201" t="s">
        <v>196</v>
      </c>
      <c r="AS62" s="258">
        <f>Configurator!$J$17</f>
        <v>0</v>
      </c>
      <c r="AT62" s="201" t="s">
        <v>196</v>
      </c>
      <c r="AU62" s="258">
        <f>Configurator!$J$17</f>
        <v>0</v>
      </c>
      <c r="AV62" s="287">
        <f t="shared" si="0"/>
        <v>59</v>
      </c>
    </row>
    <row r="63" spans="1:48" ht="15.75" thickBot="1">
      <c r="A63" s="583"/>
      <c r="B63" s="3" t="s">
        <v>83</v>
      </c>
      <c r="C63" s="269">
        <v>16</v>
      </c>
      <c r="D63" s="3" t="s">
        <v>83</v>
      </c>
      <c r="E63" s="269">
        <v>16</v>
      </c>
      <c r="F63" s="3" t="s">
        <v>83</v>
      </c>
      <c r="G63" s="269">
        <v>16</v>
      </c>
      <c r="H63" s="3" t="s">
        <v>83</v>
      </c>
      <c r="I63" s="269">
        <v>16</v>
      </c>
      <c r="J63" s="3" t="s">
        <v>83</v>
      </c>
      <c r="K63" s="269">
        <v>16</v>
      </c>
      <c r="L63" s="3" t="s">
        <v>83</v>
      </c>
      <c r="M63" s="4"/>
      <c r="N63" s="3" t="s">
        <v>83</v>
      </c>
      <c r="O63" s="200">
        <v>16</v>
      </c>
      <c r="P63" s="3" t="s">
        <v>83</v>
      </c>
      <c r="Q63" s="200">
        <v>16</v>
      </c>
      <c r="R63" s="3" t="s">
        <v>83</v>
      </c>
      <c r="S63" s="200">
        <v>16</v>
      </c>
      <c r="T63" s="3" t="s">
        <v>83</v>
      </c>
      <c r="U63" s="200">
        <v>16</v>
      </c>
      <c r="V63" s="3" t="s">
        <v>83</v>
      </c>
      <c r="W63" s="200">
        <v>16</v>
      </c>
      <c r="X63" s="3" t="s">
        <v>83</v>
      </c>
      <c r="Y63" s="200">
        <v>32</v>
      </c>
      <c r="Z63" s="3" t="s">
        <v>83</v>
      </c>
      <c r="AA63" s="200">
        <v>32</v>
      </c>
      <c r="AB63" s="3" t="s">
        <v>83</v>
      </c>
      <c r="AC63" s="200">
        <v>32</v>
      </c>
      <c r="AD63" s="3" t="s">
        <v>83</v>
      </c>
      <c r="AE63" s="200">
        <v>40</v>
      </c>
      <c r="AF63" s="3" t="s">
        <v>83</v>
      </c>
      <c r="AG63" s="200">
        <v>40</v>
      </c>
      <c r="AH63" s="3" t="s">
        <v>83</v>
      </c>
      <c r="AI63" s="200">
        <v>40</v>
      </c>
      <c r="AJ63" s="3" t="s">
        <v>83</v>
      </c>
      <c r="AK63" s="200">
        <v>24</v>
      </c>
      <c r="AL63" s="3" t="s">
        <v>83</v>
      </c>
      <c r="AM63" s="200">
        <v>24</v>
      </c>
      <c r="AN63" s="3" t="s">
        <v>83</v>
      </c>
      <c r="AO63" s="200">
        <v>24</v>
      </c>
      <c r="AP63" s="3" t="s">
        <v>83</v>
      </c>
      <c r="AQ63" s="200">
        <v>24</v>
      </c>
      <c r="AR63" s="3" t="s">
        <v>83</v>
      </c>
      <c r="AS63" s="200">
        <v>32</v>
      </c>
      <c r="AT63" s="3" t="s">
        <v>83</v>
      </c>
      <c r="AU63" s="283">
        <v>32</v>
      </c>
      <c r="AV63" s="287">
        <f t="shared" si="0"/>
        <v>60</v>
      </c>
    </row>
    <row r="64" spans="1:48" ht="15.75" thickBot="1">
      <c r="A64" s="583"/>
      <c r="B64" s="3" t="s">
        <v>284</v>
      </c>
      <c r="C64" s="269">
        <v>4</v>
      </c>
      <c r="D64" s="3" t="s">
        <v>284</v>
      </c>
      <c r="E64" s="269">
        <v>4</v>
      </c>
      <c r="F64" s="3" t="s">
        <v>284</v>
      </c>
      <c r="G64" s="269">
        <v>4</v>
      </c>
      <c r="H64" s="3" t="s">
        <v>284</v>
      </c>
      <c r="I64" s="269">
        <v>4</v>
      </c>
      <c r="J64" s="3" t="s">
        <v>284</v>
      </c>
      <c r="K64" s="269">
        <v>4</v>
      </c>
      <c r="L64" s="3" t="s">
        <v>284</v>
      </c>
      <c r="M64" s="269"/>
      <c r="N64" s="3" t="s">
        <v>284</v>
      </c>
      <c r="O64" s="269">
        <v>4</v>
      </c>
      <c r="P64" s="3" t="s">
        <v>284</v>
      </c>
      <c r="Q64" s="269">
        <v>4</v>
      </c>
      <c r="R64" s="3" t="s">
        <v>284</v>
      </c>
      <c r="S64" s="269">
        <v>4</v>
      </c>
      <c r="T64" s="3" t="s">
        <v>284</v>
      </c>
      <c r="U64" s="269">
        <v>4</v>
      </c>
      <c r="V64" s="3" t="s">
        <v>284</v>
      </c>
      <c r="W64" s="269">
        <v>4</v>
      </c>
      <c r="X64" s="3" t="s">
        <v>284</v>
      </c>
      <c r="Y64" s="269">
        <v>4</v>
      </c>
      <c r="Z64" s="3" t="s">
        <v>284</v>
      </c>
      <c r="AA64" s="269">
        <v>4</v>
      </c>
      <c r="AB64" s="3" t="s">
        <v>284</v>
      </c>
      <c r="AC64" s="269">
        <v>4</v>
      </c>
      <c r="AD64" s="3" t="s">
        <v>284</v>
      </c>
      <c r="AE64" s="269">
        <v>4</v>
      </c>
      <c r="AF64" s="3" t="s">
        <v>284</v>
      </c>
      <c r="AG64" s="269">
        <v>4</v>
      </c>
      <c r="AH64" s="3" t="s">
        <v>284</v>
      </c>
      <c r="AI64" s="269">
        <v>4</v>
      </c>
      <c r="AJ64" s="3" t="s">
        <v>284</v>
      </c>
      <c r="AK64" s="269">
        <v>4</v>
      </c>
      <c r="AL64" s="3" t="s">
        <v>284</v>
      </c>
      <c r="AM64" s="269">
        <v>4</v>
      </c>
      <c r="AN64" s="3" t="s">
        <v>284</v>
      </c>
      <c r="AO64" s="269">
        <v>4</v>
      </c>
      <c r="AP64" s="3" t="s">
        <v>284</v>
      </c>
      <c r="AQ64" s="269">
        <v>4</v>
      </c>
      <c r="AR64" s="3" t="s">
        <v>284</v>
      </c>
      <c r="AS64" s="269">
        <v>4</v>
      </c>
      <c r="AT64" s="3" t="s">
        <v>284</v>
      </c>
      <c r="AU64" s="269">
        <v>4</v>
      </c>
      <c r="AV64" s="287">
        <f t="shared" si="0"/>
        <v>61</v>
      </c>
    </row>
    <row r="65" spans="1:48" ht="15.75" thickBot="1">
      <c r="A65" s="583"/>
      <c r="B65" s="208" t="s">
        <v>199</v>
      </c>
      <c r="C65" s="204">
        <v>4</v>
      </c>
      <c r="D65" s="208" t="s">
        <v>199</v>
      </c>
      <c r="E65" s="204">
        <v>4</v>
      </c>
      <c r="F65" s="208" t="s">
        <v>199</v>
      </c>
      <c r="G65" s="204">
        <v>4</v>
      </c>
      <c r="H65" s="208" t="s">
        <v>199</v>
      </c>
      <c r="I65" s="204">
        <v>4</v>
      </c>
      <c r="J65" s="208" t="s">
        <v>199</v>
      </c>
      <c r="K65" s="204">
        <v>4</v>
      </c>
      <c r="L65" s="208" t="s">
        <v>199</v>
      </c>
      <c r="M65" s="204">
        <v>4</v>
      </c>
      <c r="N65" s="208" t="s">
        <v>199</v>
      </c>
      <c r="O65" s="204">
        <v>4</v>
      </c>
      <c r="P65" s="208" t="s">
        <v>199</v>
      </c>
      <c r="Q65" s="204">
        <v>4</v>
      </c>
      <c r="R65" s="208" t="s">
        <v>199</v>
      </c>
      <c r="S65" s="204">
        <v>4</v>
      </c>
      <c r="T65" s="208" t="s">
        <v>199</v>
      </c>
      <c r="U65" s="204">
        <v>4</v>
      </c>
      <c r="V65" s="208" t="s">
        <v>199</v>
      </c>
      <c r="W65" s="204">
        <v>4</v>
      </c>
      <c r="X65" s="208" t="s">
        <v>199</v>
      </c>
      <c r="Y65" s="204">
        <v>4</v>
      </c>
      <c r="Z65" s="208" t="s">
        <v>199</v>
      </c>
      <c r="AA65" s="204">
        <v>4</v>
      </c>
      <c r="AB65" s="208" t="s">
        <v>199</v>
      </c>
      <c r="AC65" s="204">
        <v>4</v>
      </c>
      <c r="AD65" s="208" t="s">
        <v>199</v>
      </c>
      <c r="AE65" s="204">
        <v>4</v>
      </c>
      <c r="AF65" s="208" t="s">
        <v>199</v>
      </c>
      <c r="AG65" s="204">
        <v>4</v>
      </c>
      <c r="AH65" s="208" t="s">
        <v>199</v>
      </c>
      <c r="AI65" s="204">
        <v>4</v>
      </c>
      <c r="AJ65" s="208" t="s">
        <v>199</v>
      </c>
      <c r="AK65" s="204">
        <v>4</v>
      </c>
      <c r="AL65" s="208" t="s">
        <v>199</v>
      </c>
      <c r="AM65" s="204">
        <v>4</v>
      </c>
      <c r="AN65" s="208" t="s">
        <v>199</v>
      </c>
      <c r="AO65" s="204">
        <v>4</v>
      </c>
      <c r="AP65" s="208" t="s">
        <v>199</v>
      </c>
      <c r="AQ65" s="204">
        <v>4</v>
      </c>
      <c r="AR65" s="208" t="s">
        <v>199</v>
      </c>
      <c r="AS65" s="204">
        <v>4</v>
      </c>
      <c r="AT65" s="208" t="s">
        <v>199</v>
      </c>
      <c r="AU65" s="204">
        <v>4</v>
      </c>
      <c r="AV65" s="287">
        <f t="shared" si="0"/>
        <v>62</v>
      </c>
    </row>
    <row r="66" spans="1:48">
      <c r="A66" s="558" t="s">
        <v>15</v>
      </c>
      <c r="B66" s="3" t="s">
        <v>124</v>
      </c>
      <c r="C66" s="269">
        <v>4</v>
      </c>
      <c r="D66" s="3" t="s">
        <v>124</v>
      </c>
      <c r="E66" s="269">
        <v>4</v>
      </c>
      <c r="F66" s="3" t="s">
        <v>124</v>
      </c>
      <c r="G66" s="269">
        <v>4</v>
      </c>
      <c r="H66" s="3" t="s">
        <v>124</v>
      </c>
      <c r="I66" s="269">
        <v>4</v>
      </c>
      <c r="J66" s="3" t="s">
        <v>124</v>
      </c>
      <c r="K66" s="269">
        <v>4</v>
      </c>
      <c r="L66" s="3" t="s">
        <v>124</v>
      </c>
      <c r="M66" s="4"/>
      <c r="N66" s="3" t="s">
        <v>124</v>
      </c>
      <c r="O66" s="200">
        <v>4</v>
      </c>
      <c r="P66" s="3" t="s">
        <v>124</v>
      </c>
      <c r="Q66" s="200">
        <v>4</v>
      </c>
      <c r="R66" s="3" t="s">
        <v>124</v>
      </c>
      <c r="S66" s="200">
        <v>4</v>
      </c>
      <c r="T66" s="3" t="s">
        <v>124</v>
      </c>
      <c r="U66" s="200">
        <v>4</v>
      </c>
      <c r="V66" s="3" t="s">
        <v>124</v>
      </c>
      <c r="W66" s="200">
        <v>4</v>
      </c>
      <c r="X66" s="3" t="s">
        <v>124</v>
      </c>
      <c r="Y66" s="200">
        <v>8</v>
      </c>
      <c r="Z66" s="3" t="s">
        <v>124</v>
      </c>
      <c r="AA66" s="199">
        <v>8</v>
      </c>
      <c r="AB66" s="3" t="s">
        <v>124</v>
      </c>
      <c r="AC66" s="199">
        <v>8</v>
      </c>
      <c r="AD66" s="3" t="s">
        <v>124</v>
      </c>
      <c r="AE66" s="199">
        <v>8</v>
      </c>
      <c r="AF66" s="3" t="s">
        <v>124</v>
      </c>
      <c r="AG66" s="199">
        <v>8</v>
      </c>
      <c r="AH66" s="3" t="s">
        <v>124</v>
      </c>
      <c r="AI66" s="199">
        <v>8</v>
      </c>
      <c r="AJ66" s="3" t="s">
        <v>124</v>
      </c>
      <c r="AK66" s="199">
        <v>8</v>
      </c>
      <c r="AL66" s="3" t="s">
        <v>124</v>
      </c>
      <c r="AM66" s="199">
        <v>8</v>
      </c>
      <c r="AN66" s="3" t="s">
        <v>124</v>
      </c>
      <c r="AO66" s="199">
        <v>8</v>
      </c>
      <c r="AP66" s="3" t="s">
        <v>124</v>
      </c>
      <c r="AQ66" s="199">
        <v>8</v>
      </c>
      <c r="AR66" s="3" t="s">
        <v>124</v>
      </c>
      <c r="AS66" s="199">
        <v>8</v>
      </c>
      <c r="AT66" s="3" t="s">
        <v>124</v>
      </c>
      <c r="AU66" s="282">
        <v>8</v>
      </c>
      <c r="AV66" s="287">
        <f t="shared" si="0"/>
        <v>63</v>
      </c>
    </row>
    <row r="67" spans="1:48">
      <c r="A67" s="559"/>
      <c r="B67" s="3" t="s">
        <v>16</v>
      </c>
      <c r="C67" s="269">
        <v>4</v>
      </c>
      <c r="D67" s="3" t="s">
        <v>16</v>
      </c>
      <c r="E67" s="269">
        <v>4</v>
      </c>
      <c r="F67" s="3" t="s">
        <v>16</v>
      </c>
      <c r="G67" s="269">
        <v>4</v>
      </c>
      <c r="H67" s="3" t="s">
        <v>16</v>
      </c>
      <c r="I67" s="269">
        <v>4</v>
      </c>
      <c r="J67" s="3" t="s">
        <v>16</v>
      </c>
      <c r="K67" s="269">
        <v>4</v>
      </c>
      <c r="L67" s="3" t="s">
        <v>16</v>
      </c>
      <c r="M67" s="4"/>
      <c r="N67" s="3" t="s">
        <v>16</v>
      </c>
      <c r="O67" s="200">
        <v>8</v>
      </c>
      <c r="P67" s="3" t="s">
        <v>16</v>
      </c>
      <c r="Q67" s="200">
        <v>8</v>
      </c>
      <c r="R67" s="3" t="s">
        <v>16</v>
      </c>
      <c r="S67" s="200">
        <v>8</v>
      </c>
      <c r="T67" s="3" t="s">
        <v>16</v>
      </c>
      <c r="U67" s="200">
        <v>8</v>
      </c>
      <c r="V67" s="3" t="s">
        <v>16</v>
      </c>
      <c r="W67" s="200">
        <v>8</v>
      </c>
      <c r="X67" s="3" t="s">
        <v>16</v>
      </c>
      <c r="Y67" s="200">
        <v>8</v>
      </c>
      <c r="Z67" s="3" t="s">
        <v>16</v>
      </c>
      <c r="AA67" s="199">
        <v>8</v>
      </c>
      <c r="AB67" s="3" t="s">
        <v>16</v>
      </c>
      <c r="AC67" s="199">
        <v>8</v>
      </c>
      <c r="AD67" s="3" t="s">
        <v>16</v>
      </c>
      <c r="AE67" s="199">
        <v>8</v>
      </c>
      <c r="AF67" s="3" t="s">
        <v>16</v>
      </c>
      <c r="AG67" s="199">
        <v>8</v>
      </c>
      <c r="AH67" s="3" t="s">
        <v>16</v>
      </c>
      <c r="AI67" s="199">
        <v>8</v>
      </c>
      <c r="AJ67" s="3" t="s">
        <v>16</v>
      </c>
      <c r="AK67" s="199">
        <v>8</v>
      </c>
      <c r="AL67" s="3" t="s">
        <v>16</v>
      </c>
      <c r="AM67" s="199">
        <v>8</v>
      </c>
      <c r="AN67" s="3" t="s">
        <v>16</v>
      </c>
      <c r="AO67" s="199">
        <v>8</v>
      </c>
      <c r="AP67" s="3" t="s">
        <v>16</v>
      </c>
      <c r="AQ67" s="199">
        <v>8</v>
      </c>
      <c r="AR67" s="3" t="s">
        <v>16</v>
      </c>
      <c r="AS67" s="199">
        <v>8</v>
      </c>
      <c r="AT67" s="3" t="s">
        <v>16</v>
      </c>
      <c r="AU67" s="282">
        <v>8</v>
      </c>
      <c r="AV67" s="287">
        <f t="shared" si="0"/>
        <v>64</v>
      </c>
    </row>
    <row r="68" spans="1:48">
      <c r="A68" s="559"/>
      <c r="B68" s="3" t="s">
        <v>273</v>
      </c>
      <c r="C68" s="282">
        <v>4</v>
      </c>
      <c r="D68" s="3" t="s">
        <v>273</v>
      </c>
      <c r="E68" s="282">
        <v>4</v>
      </c>
      <c r="F68" s="3" t="s">
        <v>273</v>
      </c>
      <c r="G68" s="282">
        <v>4</v>
      </c>
      <c r="H68" s="3" t="s">
        <v>273</v>
      </c>
      <c r="I68" s="282">
        <v>4</v>
      </c>
      <c r="J68" s="3" t="s">
        <v>273</v>
      </c>
      <c r="K68" s="282">
        <v>4</v>
      </c>
      <c r="L68" s="3" t="s">
        <v>273</v>
      </c>
      <c r="M68" s="282"/>
      <c r="N68" s="3" t="s">
        <v>273</v>
      </c>
      <c r="O68" s="282">
        <v>8</v>
      </c>
      <c r="P68" s="3" t="s">
        <v>273</v>
      </c>
      <c r="Q68" s="282">
        <v>8</v>
      </c>
      <c r="R68" s="3" t="s">
        <v>273</v>
      </c>
      <c r="S68" s="282">
        <v>8</v>
      </c>
      <c r="T68" s="3" t="s">
        <v>273</v>
      </c>
      <c r="U68" s="282">
        <v>8</v>
      </c>
      <c r="V68" s="3" t="s">
        <v>273</v>
      </c>
      <c r="W68" s="282">
        <v>8</v>
      </c>
      <c r="X68" s="3" t="s">
        <v>273</v>
      </c>
      <c r="Y68" s="282">
        <v>8</v>
      </c>
      <c r="Z68" s="3" t="s">
        <v>273</v>
      </c>
      <c r="AA68" s="282">
        <v>8</v>
      </c>
      <c r="AB68" s="3" t="s">
        <v>273</v>
      </c>
      <c r="AC68" s="282">
        <v>8</v>
      </c>
      <c r="AD68" s="3" t="s">
        <v>273</v>
      </c>
      <c r="AE68" s="282">
        <v>8</v>
      </c>
      <c r="AF68" s="3" t="s">
        <v>273</v>
      </c>
      <c r="AG68" s="282">
        <v>8</v>
      </c>
      <c r="AH68" s="3" t="s">
        <v>273</v>
      </c>
      <c r="AI68" s="282">
        <v>8</v>
      </c>
      <c r="AJ68" s="3" t="s">
        <v>273</v>
      </c>
      <c r="AK68" s="282">
        <v>8</v>
      </c>
      <c r="AL68" s="3" t="s">
        <v>273</v>
      </c>
      <c r="AM68" s="282">
        <v>8</v>
      </c>
      <c r="AN68" s="3" t="s">
        <v>273</v>
      </c>
      <c r="AO68" s="282">
        <v>8</v>
      </c>
      <c r="AP68" s="3" t="s">
        <v>273</v>
      </c>
      <c r="AQ68" s="282">
        <v>8</v>
      </c>
      <c r="AR68" s="3" t="s">
        <v>273</v>
      </c>
      <c r="AS68" s="282">
        <v>8</v>
      </c>
      <c r="AT68" s="3" t="s">
        <v>273</v>
      </c>
      <c r="AU68" s="282">
        <v>8</v>
      </c>
      <c r="AV68" s="287">
        <f t="shared" si="0"/>
        <v>65</v>
      </c>
    </row>
    <row r="69" spans="1:48" ht="30">
      <c r="A69" s="559"/>
      <c r="B69" s="212" t="s">
        <v>191</v>
      </c>
      <c r="C69" s="265">
        <f>Configurator!$F$20</f>
        <v>0</v>
      </c>
      <c r="D69" s="212" t="s">
        <v>191</v>
      </c>
      <c r="E69" s="265">
        <f>Configurator!$F$20</f>
        <v>0</v>
      </c>
      <c r="F69" s="212" t="s">
        <v>191</v>
      </c>
      <c r="G69" s="265">
        <f>Configurator!$F$20</f>
        <v>0</v>
      </c>
      <c r="H69" s="212" t="s">
        <v>191</v>
      </c>
      <c r="I69" s="265">
        <f>Configurator!$F$20</f>
        <v>0</v>
      </c>
      <c r="J69" s="212" t="s">
        <v>191</v>
      </c>
      <c r="K69" s="265">
        <f>Configurator!$F$20</f>
        <v>0</v>
      </c>
      <c r="L69" s="212" t="s">
        <v>191</v>
      </c>
      <c r="M69" s="265">
        <f>Configurator!$F$20</f>
        <v>0</v>
      </c>
      <c r="N69" s="212" t="s">
        <v>191</v>
      </c>
      <c r="O69" s="265">
        <f>Configurator!$F$20</f>
        <v>0</v>
      </c>
      <c r="P69" s="212" t="s">
        <v>191</v>
      </c>
      <c r="Q69" s="265">
        <f>Configurator!$F$20</f>
        <v>0</v>
      </c>
      <c r="R69" s="212" t="s">
        <v>191</v>
      </c>
      <c r="S69" s="265">
        <f>Configurator!$F$20</f>
        <v>0</v>
      </c>
      <c r="T69" s="212" t="s">
        <v>191</v>
      </c>
      <c r="U69" s="265">
        <f>Configurator!$F$20</f>
        <v>0</v>
      </c>
      <c r="V69" s="212" t="s">
        <v>191</v>
      </c>
      <c r="W69" s="265">
        <f>Configurator!$F$20</f>
        <v>0</v>
      </c>
      <c r="X69" s="212" t="s">
        <v>191</v>
      </c>
      <c r="Y69" s="265">
        <f>Configurator!$F$20</f>
        <v>0</v>
      </c>
      <c r="Z69" s="212" t="s">
        <v>191</v>
      </c>
      <c r="AA69" s="265">
        <f>Configurator!$F$20</f>
        <v>0</v>
      </c>
      <c r="AB69" s="212" t="s">
        <v>191</v>
      </c>
      <c r="AC69" s="265">
        <f>Configurator!$F$20</f>
        <v>0</v>
      </c>
      <c r="AD69" s="212" t="s">
        <v>191</v>
      </c>
      <c r="AE69" s="265">
        <f>Configurator!$F$20</f>
        <v>0</v>
      </c>
      <c r="AF69" s="212" t="s">
        <v>191</v>
      </c>
      <c r="AG69" s="265">
        <f>Configurator!$F$20</f>
        <v>0</v>
      </c>
      <c r="AH69" s="212" t="s">
        <v>191</v>
      </c>
      <c r="AI69" s="265">
        <f>Configurator!$F$20</f>
        <v>0</v>
      </c>
      <c r="AJ69" s="212" t="s">
        <v>191</v>
      </c>
      <c r="AK69" s="265">
        <f>Configurator!$F$20</f>
        <v>0</v>
      </c>
      <c r="AL69" s="212" t="s">
        <v>191</v>
      </c>
      <c r="AM69" s="265">
        <f>Configurator!$F$20</f>
        <v>0</v>
      </c>
      <c r="AN69" s="212" t="s">
        <v>191</v>
      </c>
      <c r="AO69" s="265">
        <f>Configurator!$F$20</f>
        <v>0</v>
      </c>
      <c r="AP69" s="212" t="s">
        <v>191</v>
      </c>
      <c r="AQ69" s="265">
        <f>Configurator!$F$20</f>
        <v>0</v>
      </c>
      <c r="AR69" s="212" t="s">
        <v>191</v>
      </c>
      <c r="AS69" s="265">
        <f>Configurator!$F$20</f>
        <v>0</v>
      </c>
      <c r="AT69" s="212" t="s">
        <v>191</v>
      </c>
      <c r="AU69" s="276">
        <f>Configurator!$F$20</f>
        <v>0</v>
      </c>
      <c r="AV69" s="287">
        <f t="shared" si="0"/>
        <v>66</v>
      </c>
    </row>
    <row r="70" spans="1:48" ht="15.75" thickBot="1">
      <c r="A70" s="566"/>
      <c r="B70" s="5" t="s">
        <v>13</v>
      </c>
      <c r="C70" s="270">
        <v>8</v>
      </c>
      <c r="D70" s="5" t="s">
        <v>13</v>
      </c>
      <c r="E70" s="270">
        <v>8</v>
      </c>
      <c r="F70" s="5" t="s">
        <v>13</v>
      </c>
      <c r="G70" s="270">
        <v>8</v>
      </c>
      <c r="H70" s="5" t="s">
        <v>13</v>
      </c>
      <c r="I70" s="270">
        <v>8</v>
      </c>
      <c r="J70" s="5" t="s">
        <v>13</v>
      </c>
      <c r="K70" s="270">
        <v>8</v>
      </c>
      <c r="L70" s="5" t="s">
        <v>13</v>
      </c>
      <c r="M70" s="6"/>
      <c r="N70" s="5" t="s">
        <v>13</v>
      </c>
      <c r="O70" s="213">
        <v>8</v>
      </c>
      <c r="P70" s="5" t="s">
        <v>13</v>
      </c>
      <c r="Q70" s="213">
        <v>8</v>
      </c>
      <c r="R70" s="5" t="s">
        <v>13</v>
      </c>
      <c r="S70" s="213">
        <v>8</v>
      </c>
      <c r="T70" s="5" t="s">
        <v>13</v>
      </c>
      <c r="U70" s="213">
        <v>8</v>
      </c>
      <c r="V70" s="5" t="s">
        <v>13</v>
      </c>
      <c r="W70" s="213">
        <v>8</v>
      </c>
      <c r="X70" s="5" t="s">
        <v>13</v>
      </c>
      <c r="Y70" s="213">
        <v>8</v>
      </c>
      <c r="Z70" s="5" t="s">
        <v>13</v>
      </c>
      <c r="AA70" s="214">
        <v>8</v>
      </c>
      <c r="AB70" s="5" t="s">
        <v>13</v>
      </c>
      <c r="AC70" s="214">
        <v>8</v>
      </c>
      <c r="AD70" s="5" t="s">
        <v>13</v>
      </c>
      <c r="AE70" s="214">
        <v>8</v>
      </c>
      <c r="AF70" s="5" t="s">
        <v>13</v>
      </c>
      <c r="AG70" s="214">
        <v>8</v>
      </c>
      <c r="AH70" s="5" t="s">
        <v>13</v>
      </c>
      <c r="AI70" s="214">
        <v>8</v>
      </c>
      <c r="AJ70" s="5" t="s">
        <v>13</v>
      </c>
      <c r="AK70" s="214">
        <v>8</v>
      </c>
      <c r="AL70" s="5" t="s">
        <v>13</v>
      </c>
      <c r="AM70" s="214">
        <v>8</v>
      </c>
      <c r="AN70" s="5" t="s">
        <v>13</v>
      </c>
      <c r="AO70" s="214">
        <v>8</v>
      </c>
      <c r="AP70" s="5" t="s">
        <v>13</v>
      </c>
      <c r="AQ70" s="214">
        <v>8</v>
      </c>
      <c r="AR70" s="5" t="s">
        <v>13</v>
      </c>
      <c r="AS70" s="214">
        <v>8</v>
      </c>
      <c r="AT70" s="5" t="s">
        <v>13</v>
      </c>
      <c r="AU70" s="285">
        <v>8</v>
      </c>
      <c r="AV70" s="288">
        <f t="shared" si="0"/>
        <v>67</v>
      </c>
    </row>
    <row r="71" spans="1:48">
      <c r="C71" s="7"/>
      <c r="E71" s="7"/>
      <c r="G71" s="7"/>
      <c r="I71" s="7"/>
      <c r="K71" s="7"/>
    </row>
  </sheetData>
  <mergeCells count="26">
    <mergeCell ref="AR2:AS2"/>
    <mergeCell ref="AT2:AU2"/>
    <mergeCell ref="A4:A11"/>
    <mergeCell ref="Z2:AA2"/>
    <mergeCell ref="AB2:AC2"/>
    <mergeCell ref="AD2:AE2"/>
    <mergeCell ref="AF2:AG2"/>
    <mergeCell ref="AH2:AI2"/>
    <mergeCell ref="AJ2:AK2"/>
    <mergeCell ref="N2:O2"/>
    <mergeCell ref="P2:Q2"/>
    <mergeCell ref="R2:S2"/>
    <mergeCell ref="T2:U2"/>
    <mergeCell ref="V2:W2"/>
    <mergeCell ref="X2:Y2"/>
    <mergeCell ref="B2:C2"/>
    <mergeCell ref="A12:A65"/>
    <mergeCell ref="A66:A70"/>
    <mergeCell ref="AL2:AM2"/>
    <mergeCell ref="AN2:AO2"/>
    <mergeCell ref="AP2:AQ2"/>
    <mergeCell ref="D2:E2"/>
    <mergeCell ref="F2:G2"/>
    <mergeCell ref="H2:I2"/>
    <mergeCell ref="J2:K2"/>
    <mergeCell ref="L2:M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CE3AF-C3E2-4324-A774-8604F413B2C5}">
  <sheetPr codeName="Foglio16"/>
  <dimension ref="B2:D71"/>
  <sheetViews>
    <sheetView showGridLines="0" zoomScaleNormal="100" workbookViewId="0">
      <selection activeCell="K28" sqref="K28"/>
    </sheetView>
  </sheetViews>
  <sheetFormatPr defaultRowHeight="15"/>
  <cols>
    <col min="1" max="1" width="6.5703125" customWidth="1"/>
    <col min="2" max="2" width="13.42578125" customWidth="1"/>
    <col min="3" max="3" width="45.140625" customWidth="1"/>
    <col min="4" max="4" width="80.7109375" customWidth="1"/>
  </cols>
  <sheetData>
    <row r="2" spans="2:4" ht="15.75">
      <c r="B2" s="383" t="s">
        <v>356</v>
      </c>
      <c r="C2" s="384" t="str">
        <f>MASTER!$B$4</f>
        <v>BB1 (1 Stage-DS)</v>
      </c>
    </row>
    <row r="4" spans="2:4">
      <c r="B4" s="385" t="s">
        <v>75</v>
      </c>
      <c r="C4" s="372" t="s">
        <v>126</v>
      </c>
      <c r="D4" s="373" t="s">
        <v>357</v>
      </c>
    </row>
    <row r="5" spans="2:4">
      <c r="B5" s="386"/>
      <c r="C5" s="374" t="str" cm="1">
        <f t="array" ref="C5">IF(INDEX(BASELINE!12:12,,MATCH($C$2,BASELINE!$1:$1,0))&lt;&gt;0,INDEX(BASELINE!12:12,,MATCH($C$2,BASELINE!$1:$1,0)),"/")</f>
        <v>Casing &amp; Cover 3D Model</v>
      </c>
      <c r="D5" s="375" t="s">
        <v>358</v>
      </c>
    </row>
    <row r="6" spans="2:4">
      <c r="B6" s="386"/>
      <c r="C6" s="374" t="str" cm="1">
        <f t="array" ref="C6">IF(INDEX(BASELINE!13:13,,MATCH($C$2,BASELINE!$1:$1,0))&lt;&gt;0,INDEX(BASELINE!13:13,,MATCH($C$2,BASELINE!$1:$1,0)),"/")</f>
        <v>Casing &amp; Cover Raw Casting Drawing</v>
      </c>
      <c r="D6" s="376" t="s">
        <v>361</v>
      </c>
    </row>
    <row r="7" spans="2:4">
      <c r="B7" s="385" t="s">
        <v>76</v>
      </c>
      <c r="C7" s="372" t="s">
        <v>127</v>
      </c>
      <c r="D7" s="376" t="s">
        <v>362</v>
      </c>
    </row>
    <row r="8" spans="2:4">
      <c r="B8" s="386"/>
      <c r="C8" s="374" t="str" cm="1">
        <f t="array" ref="C8">IF(INDEX(BASELINE!14:14,,MATCH($C$2,BASELINE!$1:$1,0))&lt;&gt;0,INDEX(BASELINE!14:14,,MATCH($C$2,BASELINE!$1:$1,0)),"/")</f>
        <v>/</v>
      </c>
      <c r="D8" s="376" t="s">
        <v>363</v>
      </c>
    </row>
    <row r="9" spans="2:4">
      <c r="B9" s="386"/>
      <c r="C9" s="374" t="str" cm="1">
        <f t="array" ref="C9">IF(INDEX(BASELINE!15:15,,MATCH($C$2,BASELINE!$1:$1,0))&lt;&gt;0,INDEX(BASELINE!15:15,,MATCH($C$2,BASELINE!$1:$1,0)),"/")</f>
        <v>/</v>
      </c>
      <c r="D9" s="377" t="s">
        <v>364</v>
      </c>
    </row>
    <row r="10" spans="2:4">
      <c r="B10" s="386"/>
      <c r="C10" s="374" t="str" cm="1">
        <f t="array" ref="C10">IF(INDEX(BASELINE!16:16,,MATCH($C$2,BASELINE!$1:$1,0))&lt;&gt;0,INDEX(BASELINE!16:16,,MATCH($C$2,BASELINE!$1:$1,0)),"/")</f>
        <v>/</v>
      </c>
      <c r="D10" s="378"/>
    </row>
    <row r="11" spans="2:4">
      <c r="B11" s="386"/>
      <c r="C11" s="374" t="str" cm="1">
        <f t="array" ref="C11">IF(INDEX(BASELINE!17:17,,MATCH($C$2,BASELINE!$1:$1,0))&lt;&gt;0,INDEX(BASELINE!17:17,,MATCH($C$2,BASELINE!$1:$1,0)),"/")</f>
        <v>/</v>
      </c>
      <c r="D11" s="378"/>
    </row>
    <row r="12" spans="2:4">
      <c r="B12" s="386"/>
      <c r="C12" s="374" t="str" cm="1">
        <f t="array" ref="C12">IF(INDEX(BASELINE!18:18,,MATCH($C$2,BASELINE!$1:$1,0))&lt;&gt;0,INDEX(BASELINE!18:18,,MATCH($C$2,BASELINE!$1:$1,0)),"/")</f>
        <v>/</v>
      </c>
      <c r="D12" s="375"/>
    </row>
    <row r="13" spans="2:4">
      <c r="B13" s="385" t="s">
        <v>77</v>
      </c>
      <c r="C13" s="372" t="s">
        <v>128</v>
      </c>
      <c r="D13" s="375"/>
    </row>
    <row r="14" spans="2:4">
      <c r="B14" s="386"/>
      <c r="C14" s="374" t="str" cm="1">
        <f t="array" ref="C14">IF(INDEX(BASELINE!19:19,,MATCH($C$2,BASELINE!$1:$1,0))&lt;&gt;0,INDEX(BASELINE!19:19,,MATCH($C$2,BASELINE!$1:$1,0)),"/")</f>
        <v>Impeller(s) 3D Model</v>
      </c>
      <c r="D14" s="375"/>
    </row>
    <row r="15" spans="2:4">
      <c r="B15" s="386"/>
      <c r="C15" s="374" t="str" cm="1">
        <f t="array" ref="C15">IF(INDEX(BASELINE!20:20,,MATCH($C$2,BASELINE!$1:$1,0))&lt;&gt;0,INDEX(BASELINE!20:20,,MATCH($C$2,BASELINE!$1:$1,0)),"/")</f>
        <v>Impeller(s) Raw Casting Drawing</v>
      </c>
      <c r="D15" s="375"/>
    </row>
    <row r="16" spans="2:4">
      <c r="B16" s="386"/>
      <c r="C16" s="374" t="str" cm="1">
        <f t="array" ref="C16">IF(INDEX(BASELINE!21:21,,MATCH($C$2,BASELINE!$1:$1,0))&lt;&gt;0,INDEX(BASELINE!21:21,,MATCH($C$2,BASELINE!$1:$1,0)),"/")</f>
        <v>/</v>
      </c>
      <c r="D16" s="375"/>
    </row>
    <row r="17" spans="2:4">
      <c r="B17" s="385" t="s">
        <v>78</v>
      </c>
      <c r="C17" s="372" t="s">
        <v>129</v>
      </c>
      <c r="D17" s="375"/>
    </row>
    <row r="18" spans="2:4">
      <c r="B18" s="386"/>
      <c r="C18" s="374" t="str" cm="1">
        <f t="array" ref="C18">IF(INDEX(BASELINE!22:22,,MATCH($C$2,BASELINE!$1:$1,0))&lt;&gt;0,INDEX(BASELINE!22:22,,MATCH($C$2,BASELINE!$1:$1,0)),"/")</f>
        <v>/</v>
      </c>
      <c r="D18" s="375"/>
    </row>
    <row r="19" spans="2:4">
      <c r="B19" s="386"/>
      <c r="C19" s="374" t="str" cm="1">
        <f t="array" ref="C19">IF(INDEX(BASELINE!23:23,,MATCH($C$2,BASELINE!$1:$1,0))&lt;&gt;0,INDEX(BASELINE!23:23,,MATCH($C$2,BASELINE!$1:$1,0)),"/")</f>
        <v>/</v>
      </c>
      <c r="D19" s="375"/>
    </row>
    <row r="20" spans="2:4">
      <c r="B20" s="386"/>
      <c r="C20" s="374" t="str" cm="1">
        <f t="array" ref="C20">IF(INDEX(BASELINE!24:24,,MATCH($C$2,BASELINE!$1:$1,0))&lt;&gt;0,INDEX(BASELINE!24:24,,MATCH($C$2,BASELINE!$1:$1,0)),"/")</f>
        <v>/</v>
      </c>
      <c r="D20" s="375"/>
    </row>
    <row r="21" spans="2:4">
      <c r="B21" s="385" t="s">
        <v>79</v>
      </c>
      <c r="C21" s="372" t="s">
        <v>360</v>
      </c>
      <c r="D21" s="375"/>
    </row>
    <row r="22" spans="2:4">
      <c r="B22" s="386"/>
      <c r="C22" s="374" t="str" cm="1">
        <f t="array" ref="C22">IF(INDEX(BASELINE!25:25,,MATCH($C$2,BASELINE!$1:$1,0))&lt;&gt;0,INDEX(BASELINE!25:25,,MATCH($C$2,BASELINE!$1:$1,0)),"/")</f>
        <v>DE/NDE brg housing 3D models and 2D dwgs</v>
      </c>
      <c r="D22" s="375"/>
    </row>
    <row r="23" spans="2:4">
      <c r="B23" s="386"/>
      <c r="C23" s="374" t="str" cm="1">
        <f t="array" ref="C23">IF(INDEX(BASELINE!26:26,,MATCH($C$2,BASELINE!$1:$1,0))&lt;&gt;0,INDEX(BASELINE!26:26,,MATCH($C$2,BASELINE!$1:$1,0)),"/")</f>
        <v>/</v>
      </c>
      <c r="D23" s="375"/>
    </row>
    <row r="24" spans="2:4">
      <c r="B24" s="387"/>
      <c r="C24" s="374" t="str" cm="1">
        <f t="array" ref="C24">IF(INDEX(BASELINE!27:27,,MATCH($C$2,BASELINE!$1:$1,0))&lt;&gt;0,INDEX(BASELINE!27:27,,MATCH($C$2,BASELINE!$1:$1,0)),"/")</f>
        <v>/</v>
      </c>
      <c r="D24" s="380"/>
    </row>
    <row r="25" spans="2:4">
      <c r="B25" s="385" t="s">
        <v>80</v>
      </c>
      <c r="C25" s="372" t="s">
        <v>130</v>
      </c>
      <c r="D25" s="313" t="s">
        <v>80</v>
      </c>
    </row>
    <row r="26" spans="2:4">
      <c r="B26" s="386"/>
      <c r="C26" s="374" t="str" cm="1">
        <f t="array" ref="C26">IF(INDEX(BASELINE!28:28,,MATCH($C$2,BASELINE!$1:$1,0))&lt;&gt;0,INDEX(BASELINE!28:28,,MATCH($C$2,BASELINE!$1:$1,0)),"/")</f>
        <v>Casing &amp; Cover Finish Machined Drawing</v>
      </c>
      <c r="D26" s="375" t="s">
        <v>358</v>
      </c>
    </row>
    <row r="27" spans="2:4" ht="15" customHeight="1">
      <c r="B27" s="386"/>
      <c r="C27" s="374" t="str" cm="1">
        <f t="array" ref="C27">IF(INDEX(BASELINE!29:29,,MATCH($C$2,BASELINE!$1:$1,0))&lt;&gt;0,INDEX(BASELINE!29:29,,MATCH($C$2,BASELINE!$1:$1,0)),"/")</f>
        <v>DE/NDE brg housing Finish Machined dwg</v>
      </c>
      <c r="D27" s="585" t="s">
        <v>380</v>
      </c>
    </row>
    <row r="28" spans="2:4" ht="15" customHeight="1">
      <c r="B28" s="386"/>
      <c r="C28" s="374" t="str" cm="1">
        <f t="array" ref="C28">IF(INDEX(BASELINE!30:30,,MATCH($C$2,BASELINE!$1:$1,0))&lt;&gt;0,INDEX(BASELINE!30:30,,MATCH($C$2,BASELINE!$1:$1,0)),"/")</f>
        <v>/</v>
      </c>
      <c r="D28" s="585"/>
    </row>
    <row r="29" spans="2:4">
      <c r="B29" s="386"/>
      <c r="C29" s="374" t="str" cm="1">
        <f t="array" ref="C29">IF(INDEX(BASELINE!31:31,,MATCH($C$2,BASELINE!$1:$1,0))&lt;&gt;0,INDEX(BASELINE!31:31,,MATCH($C$2,BASELINE!$1:$1,0)),"/")</f>
        <v>/</v>
      </c>
      <c r="D29" s="457" t="s">
        <v>381</v>
      </c>
    </row>
    <row r="30" spans="2:4">
      <c r="B30" s="386"/>
      <c r="C30" s="374" t="str" cm="1">
        <f t="array" ref="C30">IF(INDEX(BASELINE!32:32,,MATCH($C$2,BASELINE!$1:$1,0))&lt;&gt;0,INDEX(BASELINE!32:32,,MATCH($C$2,BASELINE!$1:$1,0)),"/")</f>
        <v>/</v>
      </c>
      <c r="D30" s="457" t="s">
        <v>382</v>
      </c>
    </row>
    <row r="31" spans="2:4">
      <c r="B31" s="386"/>
      <c r="C31" s="374" t="str" cm="1">
        <f t="array" ref="C31">IF(INDEX(BASELINE!33:33,,MATCH($C$2,BASELINE!$1:$1,0))&lt;&gt;0,INDEX(BASELINE!33:33,,MATCH($C$2,BASELINE!$1:$1,0)),"/")</f>
        <v>/</v>
      </c>
      <c r="D31" s="457"/>
    </row>
    <row r="32" spans="2:4">
      <c r="B32" s="386"/>
      <c r="C32" s="374" t="str" cm="1">
        <f t="array" ref="C32">IF(INDEX(BASELINE!34:34,,MATCH($C$2,BASELINE!$1:$1,0))&lt;&gt;0,INDEX(BASELINE!34:34,,MATCH($C$2,BASELINE!$1:$1,0)),"/")</f>
        <v>CASTINGS RELEASE PREX E-BOM</v>
      </c>
      <c r="D32" s="457"/>
    </row>
    <row r="33" spans="2:4">
      <c r="B33" s="385" t="s">
        <v>81</v>
      </c>
      <c r="C33" s="372" t="s">
        <v>201</v>
      </c>
      <c r="D33" s="313" t="s">
        <v>81</v>
      </c>
    </row>
    <row r="34" spans="2:4">
      <c r="B34" s="386"/>
      <c r="C34" s="374" t="str" cm="1">
        <f t="array" ref="C34">IF(INDEX(BASELINE!35:35,,MATCH($C$2,BASELINE!$1:$1,0))&lt;&gt;0,INDEX(BASELINE!35:35,,MATCH($C$2,BASELINE!$1:$1,0)),"/")</f>
        <v>Shaft</v>
      </c>
      <c r="D34" s="375" t="s">
        <v>358</v>
      </c>
    </row>
    <row r="35" spans="2:4">
      <c r="B35" s="386"/>
      <c r="C35" s="374" t="str" cm="1">
        <f t="array" ref="C35">IF(INDEX(BASELINE!36:36,,MATCH($C$2,BASELINE!$1:$1,0))&lt;&gt;0,INDEX(BASELINE!36:36,,MATCH($C$2,BASELINE!$1:$1,0)),"/")</f>
        <v>Wear Rings and HF parts</v>
      </c>
      <c r="D35" s="585" t="s">
        <v>383</v>
      </c>
    </row>
    <row r="36" spans="2:4">
      <c r="B36" s="386"/>
      <c r="C36" s="456" t="str" cm="1">
        <f t="array" ref="C36">IF(INDEX(BASELINE!37:37,,MATCH($C$2,BASELINE!$1:$1,0))&lt;&gt;0,INDEX(BASELINE!37:37,,MATCH($C$2,BASELINE!$1:$1,0)),"/")</f>
        <v>Casing &amp; Cover fasteners + gasket</v>
      </c>
      <c r="D36" s="585"/>
    </row>
    <row r="37" spans="2:4">
      <c r="B37" s="386"/>
      <c r="C37" s="374" t="str" cm="1">
        <f t="array" ref="C37">IF(INDEX(BASELINE!38:38,,MATCH($C$2,BASELINE!$1:$1,0))&lt;&gt;0,INDEX(BASELINE!38:38,,MATCH($C$2,BASELINE!$1:$1,0)),"/")</f>
        <v>/</v>
      </c>
      <c r="D37" s="377" t="s">
        <v>384</v>
      </c>
    </row>
    <row r="38" spans="2:4" ht="15" customHeight="1">
      <c r="B38" s="386"/>
      <c r="C38" s="374" t="str" cm="1">
        <f t="array" ref="C38">IF(INDEX(BASELINE!39:39,,MATCH($C$2,BASELINE!$1:$1,0))&lt;&gt;0,INDEX(BASELINE!39:39,,MATCH($C$2,BASELINE!$1:$1,0)),"/")</f>
        <v>/</v>
      </c>
      <c r="D38" s="585" t="s">
        <v>385</v>
      </c>
    </row>
    <row r="39" spans="2:4">
      <c r="B39" s="386"/>
      <c r="C39" s="374" t="str" cm="1">
        <f t="array" ref="C39">IF(INDEX(BASELINE!40:40,,MATCH($C$2,BASELINE!$1:$1,0))&lt;&gt;0,INDEX(BASELINE!40:40,,MATCH($C$2,BASELINE!$1:$1,0)),"/")</f>
        <v>PREX E-BOM COMPLETION</v>
      </c>
      <c r="D39" s="585"/>
    </row>
    <row r="40" spans="2:4" ht="15" customHeight="1">
      <c r="B40" s="386"/>
      <c r="C40" s="374"/>
      <c r="D40" s="377" t="s">
        <v>386</v>
      </c>
    </row>
    <row r="41" spans="2:4">
      <c r="B41" s="386"/>
      <c r="C41" s="374"/>
      <c r="D41" s="585" t="s">
        <v>387</v>
      </c>
    </row>
    <row r="42" spans="2:4">
      <c r="B42" s="386"/>
      <c r="C42" s="374"/>
      <c r="D42" s="585"/>
    </row>
    <row r="43" spans="2:4">
      <c r="B43" s="386"/>
      <c r="C43" s="374"/>
      <c r="D43" s="377" t="s">
        <v>388</v>
      </c>
    </row>
    <row r="44" spans="2:4">
      <c r="B44" s="386"/>
      <c r="C44" s="374"/>
      <c r="D44" s="377"/>
    </row>
    <row r="45" spans="2:4">
      <c r="B45" s="388" t="s">
        <v>277</v>
      </c>
      <c r="C45" s="381" t="s">
        <v>278</v>
      </c>
      <c r="D45" s="313" t="s">
        <v>359</v>
      </c>
    </row>
    <row r="46" spans="2:4">
      <c r="B46" s="389"/>
      <c r="C46" s="382" t="str" cm="1">
        <f t="array" ref="C46">IF(INDEX(BASELINE!41:41,,MATCH($C$2,BASELINE!$1:$1,0))&lt;&gt;0,INDEX(BASELINE!41:41,,MATCH($C$2,BASELINE!$1:$1,0)),"/")</f>
        <v>/</v>
      </c>
      <c r="D46" s="375" t="s">
        <v>358</v>
      </c>
    </row>
    <row r="47" spans="2:4">
      <c r="B47" s="386"/>
      <c r="C47" s="374" t="str" cm="1">
        <f t="array" ref="C47">IF(INDEX(BASELINE!42:42,,MATCH($C$2,BASELINE!$1:$1,0))&lt;&gt;0,INDEX(BASELINE!42:42,,MATCH($C$2,BASELINE!$1:$1,0)),"/")</f>
        <v>/</v>
      </c>
      <c r="D47" s="585" t="s">
        <v>389</v>
      </c>
    </row>
    <row r="48" spans="2:4">
      <c r="B48" s="386"/>
      <c r="C48" s="374" t="str" cm="1">
        <f t="array" ref="C48">IF(INDEX(BASELINE!43:43,,MATCH($C$2,BASELINE!$1:$1,0))&lt;&gt;0,INDEX(BASELINE!43:43,,MATCH($C$2,BASELINE!$1:$1,0)),"/")</f>
        <v>/</v>
      </c>
      <c r="D48" s="585"/>
    </row>
    <row r="49" spans="2:4">
      <c r="B49" s="386"/>
      <c r="C49" s="374" t="str" cm="1">
        <f t="array" ref="C49">IF(INDEX(BASELINE!44:44,,MATCH($C$2,BASELINE!$1:$1,0))&lt;&gt;0,INDEX(BASELINE!44:44,,MATCH($C$2,BASELINE!$1:$1,0)),"/")</f>
        <v>/</v>
      </c>
      <c r="D49" s="459"/>
    </row>
    <row r="50" spans="2:4">
      <c r="B50" s="386"/>
      <c r="C50" s="374" t="str" cm="1">
        <f t="array" ref="C50">IF(INDEX(BASELINE!45:45,,MATCH($C$2,BASELINE!$1:$1,0))&lt;&gt;0,INDEX(BASELINE!45:45,,MATCH($C$2,BASELINE!$1:$1,0)),"/")</f>
        <v>/</v>
      </c>
      <c r="D50" s="459"/>
    </row>
    <row r="51" spans="2:4">
      <c r="B51" s="386"/>
      <c r="C51" s="374" t="str" cm="1">
        <f t="array" ref="C51">IF(INDEX(BASELINE!46:46,,MATCH($C$2,BASELINE!$1:$1,0))&lt;&gt;0,INDEX(BASELINE!46:46,,MATCH($C$2,BASELINE!$1:$1,0)),"/")</f>
        <v>/</v>
      </c>
      <c r="D51" s="459"/>
    </row>
    <row r="52" spans="2:4">
      <c r="B52" s="386"/>
      <c r="C52" s="374" t="str" cm="1">
        <f t="array" ref="C52">IF(INDEX(BASELINE!47:47,,MATCH($C$2,BASELINE!$1:$1,0))&lt;&gt;0,INDEX(BASELINE!47:47,,MATCH($C$2,BASELINE!$1:$1,0)),"/")</f>
        <v>/</v>
      </c>
      <c r="D52" s="459"/>
    </row>
    <row r="53" spans="2:4">
      <c r="B53" s="387"/>
      <c r="C53" s="379" t="str" cm="1">
        <f t="array" ref="C53">IF(LEFT(C2,2)="VS",IF(INDEX(BASELINE!48:48,,MATCH($C$2,BASELINE!$1:$1,0))&lt;&gt;0,INDEX(BASELINE!48:48,,MATCH($C$2,BASELINE!$1:$1,0)),"/"),"/")</f>
        <v>/</v>
      </c>
      <c r="D53" s="460"/>
    </row>
    <row r="54" spans="2:4">
      <c r="B54" s="385" t="s">
        <v>82</v>
      </c>
      <c r="C54" s="372" t="s">
        <v>131</v>
      </c>
      <c r="D54" s="313"/>
    </row>
    <row r="55" spans="2:4">
      <c r="B55" s="389"/>
      <c r="C55" s="382" t="str" cm="1">
        <f t="array" ref="C55">IF(INDEX(BASELINE!49:49,,MATCH($C$2,BASELINE!$1:$1,0))&lt;&gt;0,INDEX(BASELINE!49:49,,MATCH($C$2,BASELINE!$1:$1,0)),"/")</f>
        <v>/</v>
      </c>
      <c r="D55" s="375" t="s">
        <v>358</v>
      </c>
    </row>
    <row r="56" spans="2:4">
      <c r="B56" s="386"/>
      <c r="C56" s="374" t="str" cm="1">
        <f t="array" ref="C56">IF(INDEX(BASELINE!50:50,,MATCH($C$2,BASELINE!$1:$1,0))&lt;&gt;0,INDEX(BASELINE!50:50,,MATCH($C$2,BASELINE!$1:$1,0)),"/")</f>
        <v>/</v>
      </c>
      <c r="D56" s="377" t="s">
        <v>390</v>
      </c>
    </row>
    <row r="57" spans="2:4">
      <c r="B57" s="386"/>
      <c r="C57" s="374" t="str" cm="1">
        <f t="array" ref="C57">IF(INDEX(BASELINE!51:51,,MATCH($C$2,BASELINE!$1:$1,0))&lt;&gt;0,INDEX(BASELINE!51:51,,MATCH($C$2,BASELINE!$1:$1,0)),"/")</f>
        <v>Casing &amp; Cover Layout Drawing</v>
      </c>
      <c r="D57" s="377" t="s">
        <v>391</v>
      </c>
    </row>
    <row r="58" spans="2:4">
      <c r="B58" s="386"/>
      <c r="C58" s="374" t="str" cm="1">
        <f t="array" ref="C58">IF(INDEX(BASELINE!52:52,,MATCH($C$2,BASELINE!$1:$1,0))&lt;&gt;0,INDEX(BASELINE!52:52,,MATCH($C$2,BASELINE!$1:$1,0)),"/")</f>
        <v>/</v>
      </c>
      <c r="D58" s="377" t="s">
        <v>392</v>
      </c>
    </row>
    <row r="59" spans="2:4">
      <c r="B59" s="386"/>
      <c r="C59" s="374" t="str" cm="1">
        <f t="array" ref="C59">IF(INDEX(BASELINE!53:53,,MATCH($C$2,BASELINE!$1:$1,0))&lt;&gt;0,INDEX(BASELINE!53:53,,MATCH($C$2,BASELINE!$1:$1,0)),"/")</f>
        <v>/</v>
      </c>
      <c r="D59" s="453"/>
    </row>
    <row r="60" spans="2:4">
      <c r="B60" s="386"/>
      <c r="C60" s="374" t="str" cm="1">
        <f t="array" ref="C60">IF(INDEX(BASELINE!54:54,,MATCH($C$2,BASELINE!$1:$1,0))&lt;&gt;0,INDEX(BASELINE!54:54,,MATCH($C$2,BASELINE!$1:$1,0)),"/")</f>
        <v>/</v>
      </c>
      <c r="D60" s="453"/>
    </row>
    <row r="61" spans="2:4">
      <c r="B61" s="386"/>
      <c r="C61" s="374" t="str" cm="1">
        <f t="array" ref="C61">IF(INDEX(BASELINE!55:55,,MATCH($C$2,BASELINE!$1:$1,0))&lt;&gt;0,INDEX(BASELINE!55:55,,MATCH($C$2,BASELINE!$1:$1,0)),"/")</f>
        <v>/</v>
      </c>
      <c r="D61" s="453"/>
    </row>
    <row r="62" spans="2:4">
      <c r="B62" s="386"/>
      <c r="C62" s="374" t="str" cm="1">
        <f t="array" ref="C62">IF(INDEX(BASELINE!56:56,,MATCH($C$2,BASELINE!$1:$1,0))&lt;&gt;0,INDEX(BASELINE!56:56,,MATCH($C$2,BASELINE!$1:$1,0)),"/")</f>
        <v>Impeller Finish Machined Drawing</v>
      </c>
      <c r="D62" s="453"/>
    </row>
    <row r="63" spans="2:4">
      <c r="B63" s="386"/>
      <c r="C63" s="374" t="str" cm="1">
        <f t="array" ref="C63">IF(INDEX(BASELINE!57:57,,MATCH($C$2,BASELINE!$1:$1,0))&lt;&gt;0,INDEX(BASELINE!57:57,,MATCH($C$2,BASELINE!$1:$1,0)),"/")</f>
        <v>Impeller Layout Drawing</v>
      </c>
      <c r="D63" s="453"/>
    </row>
    <row r="64" spans="2:4">
      <c r="B64" s="386"/>
      <c r="C64" s="374" t="str" cm="1">
        <f t="array" ref="C64">IF(INDEX(BASELINE!58:58,,MATCH($C$2,BASELINE!$1:$1,0))&lt;&gt;0,INDEX(BASELINE!58:58,,MATCH($C$2,BASELINE!$1:$1,0)),"/")</f>
        <v>/</v>
      </c>
      <c r="D64" s="453"/>
    </row>
    <row r="65" spans="2:4">
      <c r="B65" s="386"/>
      <c r="C65" s="374" t="str" cm="1">
        <f t="array" ref="C65">IF(INDEX(BASELINE!59:59,,MATCH($C$2,BASELINE!$1:$1,0))&lt;&gt;0,INDEX(BASELINE!59:59,,MATCH($C$2,BASELINE!$1:$1,0)),"/")</f>
        <v>/</v>
      </c>
      <c r="D65" s="453"/>
    </row>
    <row r="66" spans="2:4">
      <c r="B66" s="386"/>
      <c r="C66" s="374" t="str" cm="1">
        <f t="array" ref="C66">IF(INDEX(BASELINE!60:60,,MATCH($C$2,BASELINE!$1:$1,0))&lt;&gt;0,INDEX(BASELINE!60:60,,MATCH($C$2,BASELINE!$1:$1,0)),"/")</f>
        <v>/</v>
      </c>
      <c r="D66" s="453"/>
    </row>
    <row r="67" spans="2:4">
      <c r="B67" s="386"/>
      <c r="C67" s="374" t="str" cm="1">
        <f t="array" ref="C67">IF(INDEX(BASELINE!61:61,,MATCH($C$2,BASELINE!$1:$1,0))&lt;&gt;0,INDEX(BASELINE!61:61,,MATCH($C$2,BASELINE!$1:$1,0)),"/")</f>
        <v>Bearing housing minor components drawings</v>
      </c>
      <c r="D67" s="453"/>
    </row>
    <row r="68" spans="2:4">
      <c r="B68" s="386"/>
      <c r="C68" s="374" t="str" cm="1">
        <f t="array" ref="C68">IF(INDEX(BASELINE!62:62,,MATCH($C$2,BASELINE!$1:$1,0))&lt;&gt;0,INDEX(BASELINE!62:62,,MATCH($C$2,BASELINE!$1:$1,0)),"/")</f>
        <v>Bearing Housing Assembly and BOM</v>
      </c>
      <c r="D68" s="453"/>
    </row>
    <row r="69" spans="2:4">
      <c r="B69" s="386"/>
      <c r="C69" s="374" t="str" cm="1">
        <f t="array" ref="C69">IF(INDEX(BASELINE!63:63,,MATCH($C$2,BASELINE!$1:$1,0))&lt;&gt;0,INDEX(BASELINE!63:63,,MATCH($C$2,BASELINE!$1:$1,0)),"/")</f>
        <v>Minor parts to complete BOM</v>
      </c>
      <c r="D69" s="453"/>
    </row>
    <row r="70" spans="2:4">
      <c r="B70" s="386"/>
      <c r="C70" s="374" t="str" cm="1">
        <f t="array" ref="C70">IF(INDEX(BASELINE!64:64,,MATCH($C$2,BASELINE!$1:$1,0))&lt;&gt;0,INDEX(BASELINE!64:64,,MATCH($C$2,BASELINE!$1:$1,0)),"/")</f>
        <v>3D BS Pump Assembly - Complete</v>
      </c>
      <c r="D70" s="453"/>
    </row>
    <row r="71" spans="2:4">
      <c r="B71" s="387"/>
      <c r="C71" s="379" t="str" cm="1">
        <f t="array" ref="C71">IF(INDEX(BASELINE!65:65,,MATCH($C$2,BASELINE!$1:$1,0))&lt;&gt;0,INDEX(BASELINE!65:65,,MATCH($C$2,BASELINE!$1:$1,0)),"/")</f>
        <v>BSHP E-BOM RELEASE</v>
      </c>
      <c r="D71" s="461"/>
    </row>
  </sheetData>
  <mergeCells count="5">
    <mergeCell ref="D38:D39"/>
    <mergeCell ref="D35:D36"/>
    <mergeCell ref="D41:D42"/>
    <mergeCell ref="D47:D48"/>
    <mergeCell ref="D27:D28"/>
  </mergeCells>
  <phoneticPr fontId="7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2A9AD-941D-4BA3-A592-DB6AD9ED2B74}">
  <sheetPr codeName="Foglio19"/>
  <dimension ref="B2:AE93"/>
  <sheetViews>
    <sheetView workbookViewId="0">
      <selection activeCell="K19" sqref="K19"/>
    </sheetView>
  </sheetViews>
  <sheetFormatPr defaultRowHeight="15"/>
  <cols>
    <col min="5" max="5" width="19" bestFit="1" customWidth="1"/>
    <col min="7" max="7" width="10.140625" bestFit="1" customWidth="1"/>
    <col min="10" max="10" width="14.5703125" bestFit="1" customWidth="1"/>
    <col min="11" max="11" width="14.42578125" bestFit="1" customWidth="1"/>
    <col min="14" max="14" width="27.42578125" customWidth="1"/>
    <col min="15" max="15" width="12" bestFit="1" customWidth="1"/>
    <col min="16" max="16" width="15.7109375" bestFit="1" customWidth="1"/>
    <col min="17" max="17" width="10.7109375" bestFit="1" customWidth="1"/>
    <col min="18" max="18" width="19" bestFit="1" customWidth="1"/>
    <col min="19" max="20" width="19" customWidth="1"/>
    <col min="26" max="26" width="14.28515625" bestFit="1" customWidth="1"/>
  </cols>
  <sheetData>
    <row r="2" spans="2:31">
      <c r="B2" s="48" t="s">
        <v>133</v>
      </c>
      <c r="C2" s="48"/>
      <c r="D2" s="48"/>
      <c r="G2" s="2" t="s">
        <v>100</v>
      </c>
      <c r="H2" s="2" t="s">
        <v>101</v>
      </c>
      <c r="I2" s="2" t="s">
        <v>102</v>
      </c>
      <c r="J2" s="2" t="s">
        <v>119</v>
      </c>
      <c r="K2" s="2" t="s">
        <v>120</v>
      </c>
      <c r="N2" s="50" t="s">
        <v>136</v>
      </c>
    </row>
    <row r="3" spans="2:31" ht="45">
      <c r="G3" s="49" t="s">
        <v>6</v>
      </c>
      <c r="H3" s="49" t="s">
        <v>7</v>
      </c>
      <c r="I3" s="49" t="s">
        <v>8</v>
      </c>
      <c r="J3" s="49" t="s">
        <v>103</v>
      </c>
      <c r="K3" s="49" t="s">
        <v>121</v>
      </c>
    </row>
    <row r="4" spans="2:31" s="15" customFormat="1">
      <c r="B4" s="38" t="s">
        <v>134</v>
      </c>
      <c r="E4" s="484" t="s">
        <v>403</v>
      </c>
      <c r="F4" s="15" t="s">
        <v>403</v>
      </c>
      <c r="G4" s="123">
        <f>IF(E9="Existing",0,1)</f>
        <v>1</v>
      </c>
      <c r="H4" s="123">
        <v>1</v>
      </c>
      <c r="I4" s="123">
        <f>IF(E9="New",2,1)</f>
        <v>1</v>
      </c>
      <c r="J4" s="123">
        <f>F8</f>
        <v>1.5</v>
      </c>
      <c r="K4" s="123">
        <f>E18</f>
        <v>1</v>
      </c>
      <c r="N4" s="123" t="s">
        <v>135</v>
      </c>
      <c r="O4" s="123" t="s">
        <v>139</v>
      </c>
      <c r="P4" s="123" t="s">
        <v>141</v>
      </c>
      <c r="Q4" s="123" t="s">
        <v>164</v>
      </c>
      <c r="R4" s="123" t="s">
        <v>90</v>
      </c>
      <c r="S4" s="123" t="s">
        <v>275</v>
      </c>
      <c r="T4" s="123" t="s">
        <v>276</v>
      </c>
      <c r="U4" s="123" t="s">
        <v>163</v>
      </c>
      <c r="V4" s="123" t="s">
        <v>165</v>
      </c>
      <c r="W4" s="123" t="s">
        <v>166</v>
      </c>
      <c r="X4" s="123" t="s">
        <v>167</v>
      </c>
      <c r="Y4" s="123" t="s">
        <v>168</v>
      </c>
      <c r="Z4" s="123" t="s">
        <v>187</v>
      </c>
      <c r="AE4" s="338"/>
    </row>
    <row r="5" spans="2:31">
      <c r="B5" s="38" t="s">
        <v>89</v>
      </c>
      <c r="E5" s="1" t="s">
        <v>405</v>
      </c>
      <c r="F5" t="s">
        <v>403</v>
      </c>
      <c r="N5" s="39" t="s">
        <v>137</v>
      </c>
      <c r="O5" s="39" t="s">
        <v>4</v>
      </c>
      <c r="P5" s="39" t="s">
        <v>170</v>
      </c>
      <c r="Q5" s="42">
        <v>1</v>
      </c>
      <c r="R5" s="45"/>
      <c r="S5" s="45" t="s">
        <v>35</v>
      </c>
      <c r="T5" s="46" t="s">
        <v>177</v>
      </c>
      <c r="U5" s="42" t="s">
        <v>170</v>
      </c>
      <c r="V5" s="42" t="s">
        <v>170</v>
      </c>
      <c r="W5" s="42" t="s">
        <v>170</v>
      </c>
      <c r="X5" s="42" t="s">
        <v>170</v>
      </c>
      <c r="Y5" s="39" t="s">
        <v>170</v>
      </c>
      <c r="Z5" s="39" t="s">
        <v>170</v>
      </c>
      <c r="AE5" s="338"/>
    </row>
    <row r="6" spans="2:31">
      <c r="B6" s="38" t="s">
        <v>90</v>
      </c>
      <c r="E6" s="1" t="s">
        <v>179</v>
      </c>
      <c r="F6" t="s">
        <v>403</v>
      </c>
      <c r="N6" s="40" t="s">
        <v>138</v>
      </c>
      <c r="O6" s="40" t="s">
        <v>5</v>
      </c>
      <c r="P6" s="39" t="s">
        <v>142</v>
      </c>
      <c r="Q6" s="43">
        <v>2</v>
      </c>
      <c r="R6" s="46"/>
      <c r="S6" s="46" t="s">
        <v>23</v>
      </c>
      <c r="T6" s="46" t="s">
        <v>178</v>
      </c>
      <c r="U6" s="42" t="s">
        <v>53</v>
      </c>
      <c r="V6" s="42" t="s">
        <v>53</v>
      </c>
      <c r="W6" s="42" t="s">
        <v>53</v>
      </c>
      <c r="X6" s="42" t="s">
        <v>53</v>
      </c>
      <c r="Y6" s="39" t="s">
        <v>53</v>
      </c>
      <c r="Z6" s="39" t="s">
        <v>190</v>
      </c>
      <c r="AE6" s="338"/>
    </row>
    <row r="7" spans="2:31">
      <c r="B7" s="38" t="s">
        <v>18</v>
      </c>
      <c r="E7" s="1" t="s">
        <v>403</v>
      </c>
      <c r="F7" t="s">
        <v>403</v>
      </c>
      <c r="N7" s="41" t="s">
        <v>87</v>
      </c>
      <c r="O7" s="41" t="s">
        <v>2</v>
      </c>
      <c r="P7" s="40" t="s">
        <v>143</v>
      </c>
      <c r="Q7" s="44">
        <v>3</v>
      </c>
      <c r="R7" s="46"/>
      <c r="S7" s="46" t="s">
        <v>171</v>
      </c>
      <c r="T7" s="46" t="s">
        <v>38</v>
      </c>
      <c r="U7" s="43" t="s">
        <v>54</v>
      </c>
      <c r="V7" s="43" t="s">
        <v>54</v>
      </c>
      <c r="W7" s="43" t="s">
        <v>54</v>
      </c>
      <c r="X7" s="43" t="s">
        <v>54</v>
      </c>
      <c r="Y7" s="40" t="s">
        <v>54</v>
      </c>
      <c r="Z7" s="41" t="s">
        <v>144</v>
      </c>
      <c r="AE7" s="338"/>
    </row>
    <row r="8" spans="2:31">
      <c r="B8" s="38" t="s">
        <v>135</v>
      </c>
      <c r="E8" s="1" t="s">
        <v>87</v>
      </c>
      <c r="F8" s="1">
        <v>1.5</v>
      </c>
      <c r="N8" s="39">
        <v>1</v>
      </c>
      <c r="P8" s="41" t="s">
        <v>144</v>
      </c>
      <c r="R8" s="46"/>
      <c r="S8" s="46" t="s">
        <v>179</v>
      </c>
      <c r="T8" s="46" t="s">
        <v>39</v>
      </c>
      <c r="U8" s="44" t="s">
        <v>55</v>
      </c>
      <c r="V8" s="44" t="s">
        <v>55</v>
      </c>
      <c r="W8" s="44" t="s">
        <v>55</v>
      </c>
      <c r="X8" s="44" t="s">
        <v>55</v>
      </c>
      <c r="Y8" s="41" t="s">
        <v>55</v>
      </c>
      <c r="AE8" s="338"/>
    </row>
    <row r="9" spans="2:31">
      <c r="B9" s="38" t="s">
        <v>139</v>
      </c>
      <c r="E9" s="1" t="s">
        <v>5</v>
      </c>
      <c r="F9" t="s">
        <v>403</v>
      </c>
      <c r="N9" s="40">
        <v>1.25</v>
      </c>
      <c r="R9" s="46"/>
      <c r="S9" s="46" t="s">
        <v>180</v>
      </c>
      <c r="T9" s="46" t="s">
        <v>41</v>
      </c>
      <c r="AE9" s="338"/>
    </row>
    <row r="10" spans="2:31">
      <c r="B10" s="38" t="s">
        <v>140</v>
      </c>
      <c r="E10" s="1" t="s">
        <v>170</v>
      </c>
      <c r="F10" s="1">
        <v>0</v>
      </c>
      <c r="N10" s="41">
        <v>1.5</v>
      </c>
      <c r="R10" s="46"/>
      <c r="S10" s="46" t="s">
        <v>181</v>
      </c>
      <c r="T10" s="46" t="s">
        <v>48</v>
      </c>
      <c r="AE10" s="338"/>
    </row>
    <row r="11" spans="2:31">
      <c r="B11" s="38" t="s">
        <v>145</v>
      </c>
      <c r="E11" s="1" t="s">
        <v>170</v>
      </c>
      <c r="F11" s="1" t="s">
        <v>403</v>
      </c>
      <c r="R11" s="46"/>
      <c r="S11" s="46" t="s">
        <v>182</v>
      </c>
      <c r="T11" s="46" t="s">
        <v>43</v>
      </c>
      <c r="AE11" s="338"/>
    </row>
    <row r="12" spans="2:31">
      <c r="B12" s="38" t="s">
        <v>146</v>
      </c>
      <c r="E12" s="1" t="s">
        <v>54</v>
      </c>
      <c r="F12" s="1">
        <v>8</v>
      </c>
      <c r="R12" s="46"/>
      <c r="S12" s="46" t="s">
        <v>183</v>
      </c>
      <c r="T12" s="46" t="s">
        <v>45</v>
      </c>
      <c r="AE12" s="338"/>
    </row>
    <row r="13" spans="2:31">
      <c r="B13" s="38" t="s">
        <v>147</v>
      </c>
      <c r="E13" s="1" t="s">
        <v>54</v>
      </c>
      <c r="F13" s="1">
        <v>32</v>
      </c>
      <c r="R13" s="46"/>
      <c r="S13" s="46" t="s">
        <v>24</v>
      </c>
      <c r="T13" s="46" t="s">
        <v>186</v>
      </c>
      <c r="AE13" s="338"/>
    </row>
    <row r="14" spans="2:31">
      <c r="B14" s="38" t="s">
        <v>148</v>
      </c>
      <c r="E14" s="1" t="s">
        <v>54</v>
      </c>
      <c r="F14" s="1">
        <v>40</v>
      </c>
      <c r="R14" s="46"/>
      <c r="S14" s="46" t="s">
        <v>25</v>
      </c>
      <c r="T14" s="46" t="s">
        <v>46</v>
      </c>
      <c r="AE14" s="338"/>
    </row>
    <row r="15" spans="2:31">
      <c r="B15" s="38" t="s">
        <v>115</v>
      </c>
      <c r="E15" s="1" t="s">
        <v>55</v>
      </c>
      <c r="F15" s="1">
        <v>50</v>
      </c>
      <c r="R15" s="46"/>
      <c r="S15" s="46" t="s">
        <v>26</v>
      </c>
      <c r="T15" s="47" t="s">
        <v>173</v>
      </c>
      <c r="AE15" s="338"/>
    </row>
    <row r="16" spans="2:31">
      <c r="B16" s="38" t="s">
        <v>29</v>
      </c>
      <c r="E16" s="1" t="s">
        <v>170</v>
      </c>
      <c r="F16" s="1">
        <v>0</v>
      </c>
      <c r="G16" s="463">
        <f>SUM(F12:F16)</f>
        <v>130</v>
      </c>
      <c r="R16" s="46"/>
      <c r="S16" s="47" t="s">
        <v>172</v>
      </c>
      <c r="T16" s="291"/>
      <c r="AE16" s="338"/>
    </row>
    <row r="17" spans="2:31">
      <c r="B17" s="38" t="s">
        <v>98</v>
      </c>
      <c r="E17" s="1" t="s">
        <v>170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R17" s="46"/>
      <c r="S17" s="291"/>
      <c r="T17" s="291"/>
      <c r="AE17" s="338"/>
    </row>
    <row r="18" spans="2:31">
      <c r="B18" s="38" t="s">
        <v>149</v>
      </c>
      <c r="E18" s="1">
        <v>1</v>
      </c>
      <c r="F18" t="s">
        <v>403</v>
      </c>
      <c r="R18" s="46"/>
      <c r="S18" s="291"/>
      <c r="T18" s="291"/>
      <c r="AE18" s="338"/>
    </row>
    <row r="19" spans="2:31">
      <c r="B19" s="38" t="s">
        <v>151</v>
      </c>
      <c r="E19" s="1" t="s">
        <v>170</v>
      </c>
      <c r="F19" s="1">
        <v>0</v>
      </c>
      <c r="G19" s="1">
        <v>0</v>
      </c>
      <c r="H19" s="1">
        <v>0</v>
      </c>
      <c r="I19" s="1">
        <v>0</v>
      </c>
      <c r="R19" s="46"/>
      <c r="S19" s="291"/>
      <c r="T19" s="291"/>
      <c r="AE19" s="338"/>
    </row>
    <row r="20" spans="2:31">
      <c r="B20" s="38" t="s">
        <v>150</v>
      </c>
      <c r="E20" s="1" t="s">
        <v>170</v>
      </c>
      <c r="F20" s="1">
        <v>0</v>
      </c>
      <c r="R20" s="46"/>
      <c r="S20" s="291"/>
      <c r="T20" s="291"/>
      <c r="AE20" s="338"/>
    </row>
    <row r="21" spans="2:31">
      <c r="R21" s="46"/>
      <c r="S21" s="291"/>
      <c r="T21" s="291"/>
      <c r="AE21" s="338"/>
    </row>
    <row r="22" spans="2:31">
      <c r="R22" s="46"/>
      <c r="S22" s="291"/>
      <c r="T22" s="291"/>
      <c r="AE22" s="338"/>
    </row>
    <row r="23" spans="2:31">
      <c r="R23" s="46"/>
      <c r="S23" s="291"/>
      <c r="T23" s="291"/>
      <c r="AE23" s="338"/>
    </row>
    <row r="24" spans="2:31">
      <c r="R24" s="46"/>
      <c r="S24" s="291"/>
      <c r="T24" s="291"/>
      <c r="AE24" s="338"/>
    </row>
    <row r="25" spans="2:31">
      <c r="R25" s="46"/>
      <c r="S25" s="291"/>
      <c r="T25" s="291"/>
      <c r="AE25" s="338"/>
    </row>
    <row r="26" spans="2:31">
      <c r="R26" s="46"/>
      <c r="S26" s="291"/>
      <c r="T26" s="291"/>
      <c r="AE26" s="338"/>
    </row>
    <row r="27" spans="2:31">
      <c r="R27" s="47"/>
      <c r="S27" s="291"/>
      <c r="T27" s="291"/>
      <c r="AE27" s="338"/>
    </row>
    <row r="28" spans="2:31">
      <c r="AE28" s="338"/>
    </row>
    <row r="29" spans="2:31">
      <c r="AE29" s="338"/>
    </row>
    <row r="30" spans="2:31">
      <c r="AE30" s="338"/>
    </row>
    <row r="31" spans="2:31">
      <c r="AE31" s="338"/>
    </row>
    <row r="32" spans="2:31">
      <c r="AE32" s="338"/>
    </row>
    <row r="33" spans="31:31">
      <c r="AE33" s="338"/>
    </row>
    <row r="34" spans="31:31">
      <c r="AE34" s="338"/>
    </row>
    <row r="35" spans="31:31">
      <c r="AE35" s="338"/>
    </row>
    <row r="36" spans="31:31">
      <c r="AE36" s="338"/>
    </row>
    <row r="37" spans="31:31">
      <c r="AE37" s="338"/>
    </row>
    <row r="38" spans="31:31">
      <c r="AE38" s="338"/>
    </row>
    <row r="39" spans="31:31">
      <c r="AE39" s="338"/>
    </row>
    <row r="40" spans="31:31">
      <c r="AE40" s="338"/>
    </row>
    <row r="41" spans="31:31">
      <c r="AE41" s="338"/>
    </row>
    <row r="42" spans="31:31">
      <c r="AE42" s="338"/>
    </row>
    <row r="43" spans="31:31">
      <c r="AE43" s="338"/>
    </row>
    <row r="44" spans="31:31">
      <c r="AE44" s="338"/>
    </row>
    <row r="45" spans="31:31">
      <c r="AE45" s="338"/>
    </row>
    <row r="46" spans="31:31">
      <c r="AE46" s="338"/>
    </row>
    <row r="47" spans="31:31">
      <c r="AE47" s="338"/>
    </row>
    <row r="48" spans="31:31">
      <c r="AE48" s="338"/>
    </row>
    <row r="49" spans="31:31">
      <c r="AE49" s="338"/>
    </row>
    <row r="50" spans="31:31">
      <c r="AE50" s="338"/>
    </row>
    <row r="51" spans="31:31">
      <c r="AE51" s="338"/>
    </row>
    <row r="52" spans="31:31">
      <c r="AE52" s="338"/>
    </row>
    <row r="53" spans="31:31">
      <c r="AE53" s="338"/>
    </row>
    <row r="54" spans="31:31">
      <c r="AE54" s="338"/>
    </row>
    <row r="55" spans="31:31">
      <c r="AE55" s="338"/>
    </row>
    <row r="56" spans="31:31">
      <c r="AE56" s="338"/>
    </row>
    <row r="57" spans="31:31">
      <c r="AE57" s="338"/>
    </row>
    <row r="58" spans="31:31">
      <c r="AE58" s="338"/>
    </row>
    <row r="59" spans="31:31">
      <c r="AE59" s="338"/>
    </row>
    <row r="60" spans="31:31">
      <c r="AE60" s="338"/>
    </row>
    <row r="61" spans="31:31">
      <c r="AE61" s="338"/>
    </row>
    <row r="62" spans="31:31">
      <c r="AE62" s="338"/>
    </row>
    <row r="63" spans="31:31">
      <c r="AE63" s="338"/>
    </row>
    <row r="64" spans="31:31">
      <c r="AE64" s="338"/>
    </row>
    <row r="65" spans="31:31">
      <c r="AE65" s="338"/>
    </row>
    <row r="66" spans="31:31">
      <c r="AE66" s="338"/>
    </row>
    <row r="67" spans="31:31">
      <c r="AE67" s="338"/>
    </row>
    <row r="68" spans="31:31">
      <c r="AE68" s="338"/>
    </row>
    <row r="69" spans="31:31">
      <c r="AE69" s="338"/>
    </row>
    <row r="70" spans="31:31">
      <c r="AE70" s="338"/>
    </row>
    <row r="71" spans="31:31">
      <c r="AE71" s="338"/>
    </row>
    <row r="72" spans="31:31">
      <c r="AE72" s="338"/>
    </row>
    <row r="73" spans="31:31">
      <c r="AE73" s="338"/>
    </row>
    <row r="74" spans="31:31">
      <c r="AE74" s="338"/>
    </row>
    <row r="75" spans="31:31">
      <c r="AE75" s="338"/>
    </row>
    <row r="76" spans="31:31">
      <c r="AE76" s="338"/>
    </row>
    <row r="77" spans="31:31">
      <c r="AE77" s="338"/>
    </row>
    <row r="78" spans="31:31">
      <c r="AE78" s="338"/>
    </row>
    <row r="79" spans="31:31">
      <c r="AE79" s="338"/>
    </row>
    <row r="80" spans="31:31">
      <c r="AE80" s="338"/>
    </row>
    <row r="81" spans="31:31">
      <c r="AE81" s="338"/>
    </row>
    <row r="82" spans="31:31">
      <c r="AE82" s="338"/>
    </row>
    <row r="83" spans="31:31">
      <c r="AE83" s="338"/>
    </row>
    <row r="84" spans="31:31">
      <c r="AE84" s="338"/>
    </row>
    <row r="85" spans="31:31">
      <c r="AE85" s="338"/>
    </row>
    <row r="86" spans="31:31">
      <c r="AE86" s="338"/>
    </row>
    <row r="87" spans="31:31">
      <c r="AE87" s="338"/>
    </row>
    <row r="88" spans="31:31">
      <c r="AE88" s="338"/>
    </row>
    <row r="89" spans="31:31">
      <c r="AE89" s="338"/>
    </row>
    <row r="90" spans="31:31">
      <c r="AE90" s="338"/>
    </row>
    <row r="91" spans="31:31">
      <c r="AE91" s="338"/>
    </row>
    <row r="92" spans="31:31">
      <c r="AE92" s="338"/>
    </row>
    <row r="93" spans="31:31">
      <c r="AE93" s="33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Foglio19.Mostra_Userform">
                <anchor moveWithCells="1" sizeWithCells="1">
                  <from>
                    <xdr:col>15</xdr:col>
                    <xdr:colOff>285750</xdr:colOff>
                    <xdr:row>1</xdr:row>
                    <xdr:rowOff>9525</xdr:rowOff>
                  </from>
                  <to>
                    <xdr:col>17</xdr:col>
                    <xdr:colOff>561975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73C821-B1B5-48F8-81BB-AC2A8D8F7F88}">
  <ds:schemaRefs>
    <ds:schemaRef ds:uri="http://www.w3.org/XML/1998/namespace"/>
    <ds:schemaRef ds:uri="f16ae08e-32aa-43c4-955b-813e13c9303e"/>
    <ds:schemaRef ds:uri="http://schemas.microsoft.com/office/2006/documentManagement/types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infopath/2007/PartnerControls"/>
    <ds:schemaRef ds:uri="2710bc8b-17c9-4e36-a567-5a8748d28b44"/>
  </ds:schemaRefs>
</ds:datastoreItem>
</file>

<file path=customXml/itemProps2.xml><?xml version="1.0" encoding="utf-8"?>
<ds:datastoreItem xmlns:ds="http://schemas.openxmlformats.org/officeDocument/2006/customXml" ds:itemID="{218093D1-B744-47B5-9160-F7F5FA98507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72A5C9-1F17-4771-AB9F-E29D55277B3B}"/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16</vt:i4>
      </vt:variant>
    </vt:vector>
  </HeadingPairs>
  <TitlesOfParts>
    <vt:vector size="31" baseType="lpstr">
      <vt:lpstr>Cover</vt:lpstr>
      <vt:lpstr>MASTER</vt:lpstr>
      <vt:lpstr>REPORT</vt:lpstr>
      <vt:lpstr>GANTT</vt:lpstr>
      <vt:lpstr>GANTT_D</vt:lpstr>
      <vt:lpstr>Static analysis</vt:lpstr>
      <vt:lpstr>Dynamic analysis</vt:lpstr>
      <vt:lpstr>Integral Bosses</vt:lpstr>
      <vt:lpstr>Calcs_Hydr</vt:lpstr>
      <vt:lpstr>Calcs_Mech</vt:lpstr>
      <vt:lpstr>Proj. Calc. Rep.</vt:lpstr>
      <vt:lpstr>Bearing Housing Design</vt:lpstr>
      <vt:lpstr>BASELINE</vt:lpstr>
      <vt:lpstr>NETWORK_Structure</vt:lpstr>
      <vt:lpstr>Configurator</vt:lpstr>
      <vt:lpstr>Cover!Area_stampa</vt:lpstr>
      <vt:lpstr>REPORT!Area_stampa</vt:lpstr>
      <vt:lpstr>Complexity</vt:lpstr>
      <vt:lpstr>Complexity_Coeff</vt:lpstr>
      <vt:lpstr>ImpDes</vt:lpstr>
      <vt:lpstr>Lateral</vt:lpstr>
      <vt:lpstr>Origin</vt:lpstr>
      <vt:lpstr>ProjCalcRep</vt:lpstr>
      <vt:lpstr>Pump_Family</vt:lpstr>
      <vt:lpstr>Pump_Family_H</vt:lpstr>
      <vt:lpstr>Pump_Family_V</vt:lpstr>
      <vt:lpstr>PumpHydrDes</vt:lpstr>
      <vt:lpstr>Seismic</vt:lpstr>
      <vt:lpstr>Static</vt:lpstr>
      <vt:lpstr>Structural</vt:lpstr>
      <vt:lpstr>Torsional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Stefano Mussi</dc:creator>
  <cp:keywords/>
  <dc:description/>
  <cp:lastModifiedBy>Jose Omonte Rossi</cp:lastModifiedBy>
  <cp:revision/>
  <cp:lastPrinted>2025-10-29T12:35:45Z</cp:lastPrinted>
  <dcterms:created xsi:type="dcterms:W3CDTF">2015-06-05T18:17:20Z</dcterms:created>
  <dcterms:modified xsi:type="dcterms:W3CDTF">2025-11-11T13:28:20Z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