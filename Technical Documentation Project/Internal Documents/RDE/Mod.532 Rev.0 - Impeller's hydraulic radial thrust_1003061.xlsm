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https://trilliumflow-my.sharepoint.com/personal/mattia_disomma_trilliumflow_com/Documents/R&amp;D/STANDARD WORK/Rotor thrust and balance drum/"/>
    </mc:Choice>
  </mc:AlternateContent>
  <xr:revisionPtr revIDLastSave="32" documentId="13_ncr:1_{3A426D71-8FE4-4190-BEAD-AE4CE8642BEC}" xr6:coauthVersionLast="47" xr6:coauthVersionMax="47" xr10:uidLastSave="{A12205D9-AB53-43A9-A586-F5B83F37CF79}"/>
  <bookViews>
    <workbookView xWindow="-110" yWindow="-110" windowWidth="19420" windowHeight="10300" tabRatio="368" activeTab="1" xr2:uid="{00000000-000D-0000-FFFF-FFFF00000000}"/>
  </bookViews>
  <sheets>
    <sheet name="content" sheetId="10" r:id="rId1"/>
    <sheet name="radial_thrust" sheetId="11" r:id="rId2"/>
    <sheet name="HI-1.3" sheetId="15" state="hidden" r:id="rId3"/>
  </sheets>
  <functionGroups builtInGroupCount="19"/>
  <definedNames>
    <definedName name="_xleta.AND" hidden="1" xlm="1">#NAME?</definedName>
    <definedName name="_xleta.SINGLE" hidden="1" xlm="1">#NAME?</definedName>
    <definedName name="d_nom">OFFSET(#REF!,0,0,_xlfn.IFS(#REF!="coarse",COUNT(#REF!),#REF!="fine A",COUNT(#REF!),#REF!="fine B",COUNT(#REF!)))</definedName>
    <definedName name="lista">TRANSPOSE(REPLACE(GET.WORKBOOK(1), 1, FIND("]", GET.WORKBOOK(1)),)&amp;T(NOW()))</definedName>
  </definedNames>
  <calcPr calcId="191028" iterateCount="1000" iterateDelta="0.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1" l="1"/>
  <c r="C23" i="11"/>
  <c r="E27" i="11"/>
  <c r="T3" i="15"/>
  <c r="T2" i="15"/>
  <c r="U2" i="15"/>
  <c r="V2" i="15"/>
  <c r="Y2" i="15"/>
  <c r="W2" i="15"/>
  <c r="X2" i="15"/>
  <c r="U3" i="15"/>
  <c r="V3" i="15"/>
  <c r="W3" i="15"/>
  <c r="X3" i="15"/>
  <c r="T34" i="15"/>
  <c r="T33" i="15"/>
  <c r="V33" i="15"/>
  <c r="U33" i="15"/>
  <c r="T32" i="15"/>
  <c r="V32" i="15"/>
  <c r="U32" i="15"/>
  <c r="W32" i="15"/>
  <c r="T31" i="15"/>
  <c r="V31" i="15"/>
  <c r="U31" i="15"/>
  <c r="W31" i="15"/>
  <c r="T30" i="15"/>
  <c r="V30" i="15"/>
  <c r="U30" i="15"/>
  <c r="W30" i="15"/>
  <c r="T29" i="15"/>
  <c r="V29" i="15"/>
  <c r="U29" i="15"/>
  <c r="W29" i="15"/>
  <c r="T28" i="15"/>
  <c r="V28" i="15"/>
  <c r="U28" i="15"/>
  <c r="W28" i="15"/>
  <c r="T27" i="15"/>
  <c r="V27" i="15"/>
  <c r="U27" i="15"/>
  <c r="W27" i="15"/>
  <c r="T26" i="15"/>
  <c r="V26" i="15"/>
  <c r="U26" i="15"/>
  <c r="W26" i="15"/>
  <c r="T25" i="15"/>
  <c r="V25" i="15"/>
  <c r="U25" i="15"/>
  <c r="W25" i="15"/>
  <c r="T24" i="15"/>
  <c r="V24" i="15"/>
  <c r="U24" i="15"/>
  <c r="W24" i="15"/>
  <c r="T23" i="15"/>
  <c r="V23" i="15"/>
  <c r="U23" i="15"/>
  <c r="W23" i="15"/>
  <c r="T22" i="15"/>
  <c r="V22" i="15"/>
  <c r="U22" i="15"/>
  <c r="W22" i="15"/>
  <c r="T21" i="15"/>
  <c r="V21" i="15"/>
  <c r="U21" i="15"/>
  <c r="W21" i="15"/>
  <c r="T20" i="15"/>
  <c r="V20" i="15"/>
  <c r="U20" i="15"/>
  <c r="W20" i="15"/>
  <c r="T19" i="15"/>
  <c r="V19" i="15"/>
  <c r="U19" i="15"/>
  <c r="W19" i="15"/>
  <c r="T18" i="15"/>
  <c r="V18" i="15"/>
  <c r="U18" i="15"/>
  <c r="W18" i="15"/>
  <c r="T17" i="15"/>
  <c r="V17" i="15"/>
  <c r="U17" i="15"/>
  <c r="W17" i="15"/>
  <c r="T16" i="15"/>
  <c r="V16" i="15"/>
  <c r="U16" i="15"/>
  <c r="W16" i="15"/>
  <c r="T15" i="15"/>
  <c r="V15" i="15"/>
  <c r="U15" i="15"/>
  <c r="W15" i="15"/>
  <c r="T14" i="15"/>
  <c r="V14" i="15"/>
  <c r="U14" i="15"/>
  <c r="W14" i="15"/>
  <c r="T13" i="15"/>
  <c r="V13" i="15"/>
  <c r="U13" i="15"/>
  <c r="W13" i="15"/>
  <c r="T12" i="15"/>
  <c r="V12" i="15"/>
  <c r="U12" i="15"/>
  <c r="W12" i="15"/>
  <c r="T11" i="15"/>
  <c r="V11" i="15"/>
  <c r="U11" i="15"/>
  <c r="W11" i="15"/>
  <c r="T10" i="15"/>
  <c r="V10" i="15"/>
  <c r="U10" i="15"/>
  <c r="W10" i="15"/>
  <c r="T9" i="15"/>
  <c r="V9" i="15"/>
  <c r="U9" i="15"/>
  <c r="W9" i="15"/>
  <c r="T8" i="15"/>
  <c r="V8" i="15"/>
  <c r="U8" i="15"/>
  <c r="W8" i="15"/>
  <c r="T7" i="15"/>
  <c r="V7" i="15"/>
  <c r="U7" i="15"/>
  <c r="W7" i="15"/>
  <c r="T6" i="15"/>
  <c r="V6" i="15"/>
  <c r="U6" i="15"/>
  <c r="W6" i="15"/>
  <c r="T5" i="15"/>
  <c r="V5" i="15"/>
  <c r="U5" i="15"/>
  <c r="W5" i="15"/>
  <c r="T4" i="15"/>
  <c r="V4" i="15"/>
  <c r="U4" i="15"/>
  <c r="W4" i="15"/>
  <c r="X4" i="15"/>
  <c r="X5" i="15"/>
  <c r="X6" i="15"/>
  <c r="X7" i="15"/>
  <c r="X8" i="15"/>
  <c r="X9" i="15"/>
  <c r="X10" i="15"/>
  <c r="X11" i="15"/>
  <c r="X12" i="15"/>
  <c r="X13" i="15"/>
  <c r="X14" i="15"/>
  <c r="X15" i="15"/>
  <c r="X16" i="15"/>
  <c r="X17" i="15"/>
  <c r="X18" i="15"/>
  <c r="X19" i="15"/>
  <c r="X20" i="15"/>
  <c r="X21" i="15"/>
  <c r="X22" i="15"/>
  <c r="X23" i="15"/>
  <c r="X24" i="15"/>
  <c r="X25" i="15"/>
  <c r="X26" i="15"/>
  <c r="X27" i="15"/>
  <c r="X28" i="15"/>
  <c r="X29" i="15"/>
  <c r="X30" i="15"/>
  <c r="X31" i="15"/>
  <c r="X32" i="15"/>
  <c r="W33" i="15"/>
  <c r="X33" i="15"/>
  <c r="U34" i="15"/>
  <c r="V34" i="15"/>
  <c r="W34" i="15"/>
  <c r="X34" i="15"/>
  <c r="C37" i="11"/>
  <c r="T35" i="15"/>
  <c r="W35" i="15"/>
  <c r="V35" i="15"/>
  <c r="U35" i="15"/>
  <c r="X35" i="15"/>
  <c r="T36" i="15"/>
  <c r="W36" i="15"/>
  <c r="U36" i="15"/>
  <c r="V36" i="15"/>
  <c r="X36" i="15"/>
  <c r="T37" i="15"/>
  <c r="W37" i="15"/>
  <c r="V37" i="15"/>
  <c r="C35" i="11"/>
  <c r="U37" i="15"/>
  <c r="X37" i="15"/>
  <c r="T38" i="15"/>
  <c r="W38" i="15"/>
  <c r="V38" i="15"/>
  <c r="U38" i="15"/>
  <c r="X38" i="15"/>
  <c r="T39" i="15"/>
  <c r="W39" i="15"/>
  <c r="U39" i="15"/>
  <c r="V39" i="15"/>
  <c r="X39" i="15"/>
  <c r="T40" i="15"/>
  <c r="W40" i="15"/>
  <c r="V40" i="15"/>
  <c r="U40" i="15"/>
  <c r="X40" i="15"/>
  <c r="T41" i="15"/>
  <c r="W41" i="15"/>
  <c r="U41" i="15"/>
  <c r="V41" i="15"/>
  <c r="X41" i="15"/>
  <c r="T42" i="15"/>
  <c r="W42" i="15"/>
  <c r="V42" i="15"/>
  <c r="U42" i="15"/>
  <c r="X42" i="15"/>
  <c r="T43" i="15"/>
  <c r="W43" i="15"/>
  <c r="U43" i="15"/>
  <c r="V43" i="15"/>
  <c r="X43" i="15"/>
  <c r="E10" i="11"/>
  <c r="E9" i="11"/>
  <c r="O43" i="15"/>
  <c r="S43" i="15"/>
  <c r="O42" i="15"/>
  <c r="S42" i="15"/>
  <c r="O41" i="15"/>
  <c r="S41" i="15"/>
  <c r="O40" i="15"/>
  <c r="S40" i="15"/>
  <c r="O39" i="15"/>
  <c r="S39" i="15"/>
  <c r="O38" i="15"/>
  <c r="S38" i="15"/>
  <c r="O37" i="15"/>
  <c r="S37" i="15"/>
  <c r="O36" i="15"/>
  <c r="S36" i="15"/>
  <c r="O35" i="15"/>
  <c r="S35" i="15"/>
  <c r="O34" i="15"/>
  <c r="S34" i="15"/>
  <c r="O33" i="15"/>
  <c r="S33" i="15"/>
  <c r="O32" i="15"/>
  <c r="S32" i="15"/>
  <c r="O31" i="15"/>
  <c r="S31" i="15"/>
  <c r="O30" i="15"/>
  <c r="S30" i="15"/>
  <c r="O29" i="15"/>
  <c r="S29" i="15"/>
  <c r="O28" i="15"/>
  <c r="S28" i="15"/>
  <c r="O27" i="15"/>
  <c r="S27" i="15"/>
  <c r="O26" i="15"/>
  <c r="S26" i="15"/>
  <c r="O25" i="15"/>
  <c r="S25" i="15"/>
  <c r="O24" i="15"/>
  <c r="S24" i="15"/>
  <c r="O23" i="15"/>
  <c r="S23" i="15"/>
  <c r="O22" i="15"/>
  <c r="S22" i="15"/>
  <c r="O21" i="15"/>
  <c r="S21" i="15"/>
  <c r="O20" i="15"/>
  <c r="S20" i="15"/>
  <c r="O19" i="15"/>
  <c r="S19" i="15"/>
  <c r="O18" i="15"/>
  <c r="S18" i="15"/>
  <c r="O17" i="15"/>
  <c r="S17" i="15"/>
  <c r="O16" i="15"/>
  <c r="S16" i="15"/>
  <c r="O15" i="15"/>
  <c r="S15" i="15"/>
  <c r="O14" i="15"/>
  <c r="S14" i="15"/>
  <c r="O13" i="15"/>
  <c r="S13" i="15"/>
  <c r="O12" i="15"/>
  <c r="S12" i="15"/>
  <c r="O11" i="15"/>
  <c r="S11" i="15"/>
  <c r="O10" i="15"/>
  <c r="S10" i="15"/>
  <c r="O9" i="15"/>
  <c r="S9" i="15"/>
  <c r="O8" i="15"/>
  <c r="S8" i="15"/>
  <c r="O7" i="15"/>
  <c r="S7" i="15"/>
  <c r="O6" i="15"/>
  <c r="S6" i="15"/>
  <c r="O5" i="15"/>
  <c r="S5" i="15"/>
  <c r="O4" i="15"/>
  <c r="S4" i="15"/>
  <c r="O3" i="15"/>
  <c r="S3" i="15"/>
  <c r="C16" i="11"/>
  <c r="Y3" i="15" a="1"/>
  <c r="C31" i="11" a="1"/>
  <c r="C31" i="11" l="1"/>
  <c r="C32" i="11" s="1"/>
  <c r="Y3" i="15"/>
  <c r="Y4" i="15" a="1"/>
  <c r="Y4" i="15" l="1"/>
  <c r="Y5" i="15" a="1"/>
  <c r="Y5" i="15" l="1"/>
  <c r="Y6" i="15" a="1"/>
  <c r="Y6" i="15" l="1"/>
  <c r="Y7" i="15" a="1"/>
  <c r="Y7" i="15" l="1"/>
  <c r="Y8" i="15" a="1"/>
  <c r="Y8" i="15" l="1"/>
  <c r="Y9" i="15" a="1"/>
  <c r="Y9" i="15" l="1"/>
  <c r="Y10" i="15" a="1"/>
  <c r="Y10" i="15" l="1"/>
  <c r="Y11" i="15" a="1"/>
  <c r="Y11" i="15" l="1"/>
  <c r="Y12" i="15" a="1"/>
  <c r="Y12" i="15" l="1"/>
  <c r="Y13" i="15" a="1"/>
  <c r="Y13" i="15" l="1"/>
  <c r="Y14" i="15" a="1"/>
  <c r="Y14" i="15" l="1"/>
  <c r="Y15" i="15" a="1"/>
  <c r="Y15" i="15" l="1"/>
  <c r="Y16" i="15" a="1"/>
  <c r="Y16" i="15" l="1"/>
  <c r="Y17" i="15" a="1"/>
  <c r="Y17" i="15" l="1"/>
  <c r="Y18" i="15" a="1"/>
  <c r="Y18" i="15" l="1"/>
  <c r="Y19" i="15" a="1"/>
  <c r="Y19" i="15" l="1"/>
  <c r="Y20" i="15" a="1"/>
  <c r="Y20" i="15" l="1"/>
  <c r="Y21" i="15" a="1"/>
  <c r="Y21" i="15" l="1"/>
  <c r="Y22" i="15" a="1"/>
  <c r="Y22" i="15" l="1"/>
  <c r="Y23" i="15" a="1"/>
  <c r="Y23" i="15" l="1"/>
  <c r="Y24" i="15" a="1"/>
  <c r="Y24" i="15" l="1"/>
  <c r="Y25" i="15" a="1"/>
  <c r="Y25" i="15" l="1"/>
  <c r="Y26" i="15" a="1"/>
  <c r="Y26" i="15" l="1"/>
  <c r="Y27" i="15" a="1"/>
  <c r="Y27" i="15" l="1"/>
  <c r="Y28" i="15" a="1"/>
  <c r="Y28" i="15" l="1"/>
  <c r="Y29" i="15" a="1"/>
  <c r="Y29" i="15" l="1"/>
  <c r="Y30" i="15" a="1"/>
  <c r="Y30" i="15" l="1"/>
  <c r="Y31" i="15" a="1"/>
  <c r="Y31" i="15" l="1"/>
  <c r="Y32" i="15" a="1"/>
  <c r="Y32" i="15" l="1"/>
  <c r="Y33" i="15" a="1"/>
  <c r="Y33" i="15" l="1"/>
  <c r="Y34" i="15" a="1"/>
  <c r="Y34" i="15" l="1"/>
  <c r="Y35" i="15" a="1"/>
  <c r="Y35" i="15" l="1"/>
  <c r="Y36" i="15" a="1"/>
  <c r="Y36" i="15" l="1"/>
  <c r="Y37" i="15" a="1"/>
  <c r="Y37" i="15" l="1"/>
  <c r="Y38" i="15" a="1"/>
  <c r="Y38" i="15" l="1"/>
  <c r="Y39" i="15" a="1"/>
  <c r="Y39" i="15" l="1"/>
  <c r="Y40" i="15" a="1"/>
  <c r="Y40" i="15" l="1"/>
  <c r="C41" i="11" a="1"/>
  <c r="Y41" i="15" a="1"/>
  <c r="C41" i="11" l="1"/>
  <c r="C42" i="11" s="1"/>
  <c r="E32" i="11" s="1"/>
  <c r="Y41" i="15"/>
  <c r="Y42" i="15" a="1"/>
  <c r="Y42" i="15" l="1"/>
  <c r="Y43" i="15" a="1"/>
  <c r="Y43" i="1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<sst xmlns="http://schemas.openxmlformats.org/spreadsheetml/2006/main" count="86" uniqueCount="72">
  <si>
    <t>First issue</t>
  </si>
  <si>
    <t>Rev.</t>
  </si>
  <si>
    <t>Date</t>
  </si>
  <si>
    <t>Description</t>
  </si>
  <si>
    <t>Prepared</t>
  </si>
  <si>
    <t>Checked</t>
  </si>
  <si>
    <t>Approved</t>
  </si>
  <si>
    <t>Legend</t>
  </si>
  <si>
    <t>input data</t>
  </si>
  <si>
    <t>descriptor</t>
  </si>
  <si>
    <t>calculated</t>
  </si>
  <si>
    <t>annotation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</si>
  <si>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[mm]</t>
    </r>
  </si>
  <si>
    <t>Impeller's diameter</t>
  </si>
  <si>
    <r>
      <t>b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[mm]</t>
    </r>
  </si>
  <si>
    <t>n [rpm]</t>
  </si>
  <si>
    <t>Rotational speed</t>
  </si>
  <si>
    <r>
      <t>ρ [kg/m</t>
    </r>
    <r>
      <rPr>
        <b/>
        <vertAlign val="superscript"/>
        <sz val="11"/>
        <color theme="0"/>
        <rFont val="Aptos Narrow"/>
        <family val="2"/>
      </rPr>
      <t>3</t>
    </r>
    <r>
      <rPr>
        <b/>
        <sz val="11"/>
        <color theme="0"/>
        <rFont val="Aptos Narrow"/>
        <family val="2"/>
      </rPr>
      <t>]</t>
    </r>
  </si>
  <si>
    <t>Fluid density</t>
  </si>
  <si>
    <r>
      <t>ν [m</t>
    </r>
    <r>
      <rPr>
        <b/>
        <vertAlign val="superscript"/>
        <sz val="11"/>
        <color theme="0"/>
        <rFont val="Aptos Narrow"/>
        <family val="2"/>
      </rPr>
      <t>2</t>
    </r>
    <r>
      <rPr>
        <b/>
        <sz val="11"/>
        <color theme="0"/>
        <rFont val="Aptos Narrow"/>
        <family val="2"/>
      </rPr>
      <t>/s]</t>
    </r>
  </si>
  <si>
    <t>Fluid viscosity</t>
  </si>
  <si>
    <r>
      <t>Q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</si>
  <si>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t>H [m]</t>
  </si>
  <si>
    <t>Impeller's head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</si>
  <si>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BEP</t>
    </r>
    <r>
      <rPr>
        <b/>
        <sz val="11"/>
        <color theme="0"/>
        <rFont val="Calibri"/>
        <family val="2"/>
        <scheme val="minor"/>
      </rPr>
      <t xml:space="preserve">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</si>
  <si>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r>
      <t>H</t>
    </r>
    <r>
      <rPr>
        <b/>
        <vertAlign val="subscript"/>
        <sz val="11"/>
        <color theme="0"/>
        <rFont val="Calibri"/>
        <family val="2"/>
        <scheme val="minor"/>
      </rPr>
      <t>BEP</t>
    </r>
    <r>
      <rPr>
        <b/>
        <sz val="11"/>
        <color theme="0"/>
        <rFont val="Calibri"/>
        <family val="2"/>
        <scheme val="minor"/>
      </rPr>
      <t xml:space="preserve"> [m]</t>
    </r>
  </si>
  <si>
    <t>Impeller's head at BEP</t>
  </si>
  <si>
    <r>
      <t>Q/Q</t>
    </r>
    <r>
      <rPr>
        <b/>
        <vertAlign val="subscript"/>
        <sz val="11"/>
        <color theme="0"/>
        <rFont val="Calibri"/>
        <family val="2"/>
        <scheme val="minor"/>
      </rPr>
      <t>BEP</t>
    </r>
    <r>
      <rPr>
        <b/>
        <sz val="11"/>
        <color theme="0"/>
        <rFont val="Calibri"/>
        <family val="2"/>
        <scheme val="minor"/>
      </rPr>
      <t xml:space="preserve"> [%]</t>
    </r>
  </si>
  <si>
    <t>Specific speed</t>
  </si>
  <si>
    <t>Radial thrust factor</t>
  </si>
  <si>
    <t>Radial thrust</t>
  </si>
  <si>
    <t>SINGLE VOLUTE KR - HI 1.3</t>
  </si>
  <si>
    <t>DOUBLE VOLUTE KR - HI 1.3</t>
  </si>
  <si>
    <t>% BEP flow</t>
  </si>
  <si>
    <t>CONCENTRIC - HI 1.3</t>
  </si>
  <si>
    <t>Volute type (single, double, concentric)</t>
  </si>
  <si>
    <t>Back wear ring's radial clearance including shorud thickness</t>
  </si>
  <si>
    <t>Ratio between operating and BEF flowrates</t>
  </si>
  <si>
    <t>GENERAL DATA</t>
  </si>
  <si>
    <t>volute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</si>
  <si>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entries</t>
    </r>
  </si>
  <si>
    <t>Impeller entries</t>
  </si>
  <si>
    <t>OPERATING INPUT DATA</t>
  </si>
  <si>
    <t>DESIGN INPUT DATA</t>
  </si>
  <si>
    <r>
      <t>ε</t>
    </r>
    <r>
      <rPr>
        <b/>
        <vertAlign val="subscript"/>
        <sz val="11"/>
        <color theme="0"/>
        <rFont val="Aptos Narrow"/>
        <family val="2"/>
      </rPr>
      <t>sp</t>
    </r>
    <r>
      <rPr>
        <b/>
        <sz val="11"/>
        <color theme="0"/>
        <rFont val="Aptos Narrow"/>
        <family val="2"/>
      </rPr>
      <t xml:space="preserve"> [°] </t>
    </r>
  </si>
  <si>
    <t>double</t>
  </si>
  <si>
    <t>single</t>
  </si>
  <si>
    <t>twin</t>
  </si>
  <si>
    <t>diffuser</t>
  </si>
  <si>
    <t>Total flowrate at BEP</t>
  </si>
  <si>
    <t>Total operating flowrate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</si>
  <si>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R</t>
    </r>
  </si>
  <si>
    <t>Wrap angle of inner volute (for double volute only)</t>
  </si>
  <si>
    <t>N/A</t>
  </si>
  <si>
    <t>annular casing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</si>
  <si>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[-]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</si>
  <si>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[N]</t>
    </r>
  </si>
  <si>
    <t>Radial thrust coefficient</t>
  </si>
  <si>
    <t>ANSI/HI-1.3 METHOD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</si>
  <si>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q</t>
    </r>
  </si>
  <si>
    <t>GULICH METHOD - STEADY RADIAL THRUST</t>
  </si>
  <si>
    <t>GULICH METHOD - UNSTEADY RADIAL THRUST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</si>
  <si>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R,dyn</t>
    </r>
    <r>
      <rPr>
        <b/>
        <sz val="11"/>
        <color theme="0"/>
        <rFont val="Calibri"/>
        <family val="2"/>
        <scheme val="minor"/>
      </rPr>
      <t xml:space="preserve"> [-]</t>
    </r>
  </si>
  <si>
    <t>Radial thrust (steady)</t>
  </si>
  <si>
    <t>Radial thrust (unsteady)</t>
  </si>
  <si>
    <t>Volute type (single, double, twin, annular casing, diffuser)</t>
  </si>
  <si>
    <t>Impeller's hydraulic radial thrust
(linked to SOP-549)</t>
  </si>
  <si>
    <t>Advance Mechanical Eng/M. Di Somma</t>
  </si>
  <si>
    <t>QA /HSE N.Legato /T.Morelli Stefani</t>
  </si>
  <si>
    <t>R&amp;D &amp; Prod.Eng. Manager/M.Borghetti</t>
  </si>
  <si>
    <t>Mod.532-0</t>
  </si>
  <si>
    <t>out of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</si>
</sst>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General_)"/>
    <numFmt numFmtId="166" formatCode="&quot;$&quot;#,##0.00;[Red]\-&quot;$&quot;#,##0.00"/>
    <numFmt numFmtId="167" formatCode="0.0000"/>
    <numFmt numFmtId="168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u/>
      <sz val="11"/>
      <name val="Calibri"/>
      <family val="2"/>
      <scheme val="minor"/>
    </font>
    <font>
      <b/>
      <sz val="11"/>
      <color theme="0"/>
      <name val="Aptos Narrow"/>
      <family val="2"/>
    </font>
    <font>
      <b/>
      <vertAlign val="superscript"/>
      <sz val="11"/>
      <color theme="0"/>
      <name val="Aptos Narrow"/>
      <family val="2"/>
    </font>
    <font>
      <b/>
      <vertAlign val="superscript"/>
      <sz val="11"/>
      <color theme="0"/>
      <name val="Calibri"/>
      <family val="2"/>
      <scheme val="minor"/>
    </font>
    <font>
      <b/>
      <vertAlign val="subscript"/>
      <sz val="11"/>
      <color theme="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8" fillId="0" borderId="0"/>
    <xf numFmtId="0" fontId="8" fillId="0" borderId="0"/>
    <xf numFmtId="165" fontId="9" fillId="0" borderId="0"/>
    <xf numFmtId="166" fontId="15" fillId="0" borderId="0" applyFont="0" applyFill="0" applyBorder="0" applyAlignment="0" applyProtection="0"/>
  </cellStyleXfs>
  <cellXfs count="85">
    <xf numFmtId="0" fontId="0" fillId="0" borderId="0" xfId="0"/>
    <xf numFmtId="0" fontId="8" fillId="0" borderId="7" xfId="2" applyBorder="1" applyAlignment="1">
      <alignment horizontal="center" vertical="center"/>
    </xf>
    <xf numFmtId="0" fontId="8" fillId="0" borderId="8" xfId="2" applyBorder="1" applyAlignment="1">
      <alignment horizontal="center" vertical="center"/>
    </xf>
    <xf numFmtId="0" fontId="8" fillId="0" borderId="9" xfId="2" applyBorder="1" applyAlignment="1">
      <alignment horizontal="center" vertical="center"/>
    </xf>
    <xf numFmtId="0" fontId="8" fillId="0" borderId="10" xfId="2" applyBorder="1" applyAlignment="1">
      <alignment horizontal="center" vertical="center"/>
    </xf>
    <xf numFmtId="0" fontId="8" fillId="0" borderId="0" xfId="2" applyAlignment="1">
      <alignment horizontal="center" vertical="center"/>
    </xf>
    <xf numFmtId="0" fontId="8" fillId="0" borderId="11" xfId="2" applyBorder="1" applyAlignment="1">
      <alignment horizontal="center" vertical="center"/>
    </xf>
    <xf numFmtId="0" fontId="10" fillId="0" borderId="0" xfId="2" applyFont="1" applyAlignment="1">
      <alignment horizontal="center" vertical="top"/>
    </xf>
    <xf numFmtId="0" fontId="8" fillId="0" borderId="0" xfId="2" applyAlignment="1">
      <alignment horizontal="center"/>
    </xf>
    <xf numFmtId="0" fontId="11" fillId="0" borderId="0" xfId="2" applyFont="1" applyAlignment="1">
      <alignment horizontal="center" vertical="top"/>
    </xf>
    <xf numFmtId="0" fontId="12" fillId="0" borderId="11" xfId="2" applyFont="1" applyBorder="1" applyAlignment="1">
      <alignment horizontal="center" vertical="top"/>
    </xf>
    <xf numFmtId="0" fontId="13" fillId="0" borderId="10" xfId="2" applyFont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3" fillId="0" borderId="11" xfId="2" applyFont="1" applyBorder="1" applyAlignment="1">
      <alignment horizontal="center" vertical="center"/>
    </xf>
    <xf numFmtId="165" fontId="9" fillId="0" borderId="0" xfId="3"/>
    <xf numFmtId="2" fontId="2" fillId="2" borderId="4" xfId="0" applyNumberFormat="1" applyFont="1" applyFill="1" applyBorder="1" applyAlignment="1" applyProtection="1">
      <alignment horizontal="center" vertical="center"/>
      <protection locked="0"/>
    </xf>
    <xf numFmtId="11" fontId="2" fillId="2" borderId="4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1" fillId="0" borderId="0" xfId="0" applyNumberFormat="1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" fontId="2" fillId="2" borderId="4" xfId="0" applyNumberFormat="1" applyFont="1" applyFill="1" applyBorder="1" applyAlignment="1" applyProtection="1">
      <alignment horizontal="center" vertical="center"/>
      <protection locked="0"/>
    </xf>
    <xf numFmtId="1" fontId="1" fillId="0" borderId="0" xfId="0" applyNumberFormat="1" applyFont="1" applyAlignment="1">
      <alignment horizontal="left" vertical="center"/>
    </xf>
    <xf numFmtId="0" fontId="4" fillId="3" borderId="6" xfId="0" applyFont="1" applyFill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168" fontId="3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68" fontId="0" fillId="0" borderId="0" xfId="0" applyNumberFormat="1"/>
    <xf numFmtId="167" fontId="3" fillId="0" borderId="4" xfId="0" applyNumberFormat="1" applyFont="1" applyBorder="1" applyAlignment="1">
      <alignment horizontal="center" vertical="center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166" fontId="8" fillId="0" borderId="12" xfId="4" applyFont="1" applyBorder="1" applyAlignment="1">
      <alignment horizontal="right" vertical="center"/>
    </xf>
    <xf numFmtId="166" fontId="9" fillId="0" borderId="13" xfId="4" applyFont="1" applyBorder="1" applyAlignment="1">
      <alignment horizontal="right" vertical="center"/>
    </xf>
    <xf numFmtId="166" fontId="9" fillId="0" borderId="14" xfId="4" applyFont="1" applyBorder="1" applyAlignment="1">
      <alignment horizontal="right" vertical="center"/>
    </xf>
    <xf numFmtId="166" fontId="8" fillId="0" borderId="22" xfId="4" applyFont="1" applyBorder="1" applyAlignment="1">
      <alignment horizontal="center" vertical="center"/>
    </xf>
    <xf numFmtId="166" fontId="8" fillId="0" borderId="23" xfId="4" applyFont="1" applyBorder="1" applyAlignment="1">
      <alignment horizontal="center" vertical="center"/>
    </xf>
    <xf numFmtId="0" fontId="16" fillId="0" borderId="24" xfId="2" applyFont="1" applyBorder="1" applyAlignment="1">
      <alignment horizontal="center" vertical="center"/>
    </xf>
    <xf numFmtId="0" fontId="16" fillId="0" borderId="25" xfId="2" applyFont="1" applyBorder="1" applyAlignment="1">
      <alignment horizontal="center" vertical="center"/>
    </xf>
    <xf numFmtId="0" fontId="16" fillId="0" borderId="23" xfId="2" applyFont="1" applyBorder="1" applyAlignment="1">
      <alignment horizontal="center" vertical="center"/>
    </xf>
    <xf numFmtId="0" fontId="16" fillId="0" borderId="26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21" xfId="2" applyFont="1" applyBorder="1" applyAlignment="1">
      <alignment horizontal="center" vertical="center" wrapText="1"/>
    </xf>
    <xf numFmtId="0" fontId="8" fillId="0" borderId="20" xfId="2" applyBorder="1" applyAlignment="1">
      <alignment horizontal="center" vertical="center"/>
    </xf>
    <xf numFmtId="0" fontId="8" fillId="0" borderId="2" xfId="2" applyBorder="1" applyAlignment="1">
      <alignment horizontal="center" vertical="center"/>
    </xf>
    <xf numFmtId="0" fontId="8" fillId="0" borderId="1" xfId="2" applyBorder="1" applyAlignment="1">
      <alignment horizontal="center" vertical="center"/>
    </xf>
    <xf numFmtId="0" fontId="8" fillId="0" borderId="5" xfId="2" applyBorder="1" applyAlignment="1">
      <alignment horizontal="center" vertical="center"/>
    </xf>
    <xf numFmtId="0" fontId="8" fillId="0" borderId="21" xfId="2" applyBorder="1" applyAlignment="1">
      <alignment horizontal="center" vertical="center"/>
    </xf>
    <xf numFmtId="0" fontId="15" fillId="0" borderId="20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14" fontId="15" fillId="0" borderId="1" xfId="2" applyNumberFormat="1" applyFont="1" applyBorder="1" applyAlignment="1">
      <alignment horizontal="center" vertical="center"/>
    </xf>
    <xf numFmtId="14" fontId="15" fillId="0" borderId="5" xfId="2" applyNumberFormat="1" applyFont="1" applyBorder="1" applyAlignment="1">
      <alignment horizontal="center" vertical="center"/>
    </xf>
    <xf numFmtId="14" fontId="15" fillId="0" borderId="2" xfId="2" applyNumberFormat="1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13" fillId="0" borderId="8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11" xfId="2" applyFont="1" applyBorder="1" applyAlignment="1">
      <alignment horizontal="center" vertical="center" wrapText="1"/>
    </xf>
    <xf numFmtId="0" fontId="13" fillId="0" borderId="12" xfId="2" applyFont="1" applyBorder="1" applyAlignment="1">
      <alignment horizontal="center" vertical="center" wrapText="1"/>
    </xf>
    <xf numFmtId="0" fontId="13" fillId="0" borderId="13" xfId="2" applyFont="1" applyBorder="1" applyAlignment="1">
      <alignment horizontal="center" vertical="center" wrapText="1"/>
    </xf>
    <xf numFmtId="0" fontId="13" fillId="0" borderId="14" xfId="2" applyFont="1" applyBorder="1" applyAlignment="1">
      <alignment horizontal="center" vertical="center" wrapText="1"/>
    </xf>
    <xf numFmtId="0" fontId="8" fillId="0" borderId="15" xfId="2" applyBorder="1" applyAlignment="1">
      <alignment horizontal="center" vertical="center"/>
    </xf>
    <xf numFmtId="0" fontId="8" fillId="0" borderId="16" xfId="2" applyBorder="1" applyAlignment="1">
      <alignment horizontal="center" vertical="center"/>
    </xf>
    <xf numFmtId="0" fontId="8" fillId="0" borderId="17" xfId="2" applyBorder="1" applyAlignment="1">
      <alignment horizontal="center" vertical="center"/>
    </xf>
    <xf numFmtId="0" fontId="8" fillId="0" borderId="18" xfId="2" applyBorder="1" applyAlignment="1">
      <alignment horizontal="center" vertical="center"/>
    </xf>
    <xf numFmtId="0" fontId="8" fillId="0" borderId="19" xfId="2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/>
    </xf>
  </cellXfs>
  <cellStyles count="5">
    <cellStyle name="Normale" xfId="0" builtinId="0"/>
    <cellStyle name="Normale 2 2" xfId="1" xr:uid="{79E78FE6-6785-4F03-BE1C-DEFA1DD98CB4}"/>
    <cellStyle name="Normale 3" xfId="3" xr:uid="{C94E8FEC-2BF8-4E54-99EC-CB44CE5E9CC2}"/>
    <cellStyle name="Normale 4" xfId="2" xr:uid="{2BE62D9E-FAE4-4F5C-B253-36CFDAF8412A}"/>
    <cellStyle name="Valuta 2" xfId="4" xr:uid="{1A194BAC-DB65-4116-81AF-65FC861C00B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ANSI/HI-1.3 - Radial thrust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'HI-1.3'!$T$2</c:f>
              <c:strCache>
                <c:ptCount val="1"/>
                <c:pt idx="0">
                  <c:v>9.7</c:v>
                </c:pt>
              </c:strCache>
            </c:strRef>
          </c:tx>
          <c:spPr>
            <a:ln w="158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'HI-1.3'!$S$3:$S$43</c:f>
              <c:numCache>
                <c:formatCode>General</c:formatCode>
                <c:ptCount val="41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</c:numCache>
            </c:numRef>
          </c:xVal>
          <c:yVal>
            <c:numRef>
              <c:f>'HI-1.3'!$T$3:$T$43</c:f>
              <c:numCache>
                <c:formatCode>General</c:formatCode>
                <c:ptCount val="41"/>
                <c:pt idx="0">
                  <c:v>9.2705169688593894E-2</c:v>
                </c:pt>
                <c:pt idx="1">
                  <c:v>8.9541066617225371E-2</c:v>
                </c:pt>
                <c:pt idx="2">
                  <c:v>8.8170835554352192E-2</c:v>
                </c:pt>
                <c:pt idx="3">
                  <c:v>8.6448972309757469E-2</c:v>
                </c:pt>
                <c:pt idx="4">
                  <c:v>8.3740884914833461E-2</c:v>
                </c:pt>
                <c:pt idx="5">
                  <c:v>8.1944263731630093E-2</c:v>
                </c:pt>
                <c:pt idx="6">
                  <c:v>8.0498057619128038E-2</c:v>
                </c:pt>
                <c:pt idx="7">
                  <c:v>7.8110721988469245E-2</c:v>
                </c:pt>
                <c:pt idx="8">
                  <c:v>7.5942183940759009E-2</c:v>
                </c:pt>
                <c:pt idx="9">
                  <c:v>7.4551804891629228E-2</c:v>
                </c:pt>
                <c:pt idx="10">
                  <c:v>7.3454677668647064E-2</c:v>
                </c:pt>
                <c:pt idx="11">
                  <c:v>7.0506377016899088E-2</c:v>
                </c:pt>
                <c:pt idx="12">
                  <c:v>6.7220273224694815E-2</c:v>
                </c:pt>
                <c:pt idx="13">
                  <c:v>6.4886065302724366E-2</c:v>
                </c:pt>
                <c:pt idx="14">
                  <c:v>6.1089392197487991E-2</c:v>
                </c:pt>
                <c:pt idx="15">
                  <c:v>5.7109930467440964E-2</c:v>
                </c:pt>
                <c:pt idx="16">
                  <c:v>5.4085155666886889E-2</c:v>
                </c:pt>
                <c:pt idx="17">
                  <c:v>5.1174644021023785E-2</c:v>
                </c:pt>
                <c:pt idx="18">
                  <c:v>4.7063202976444451E-2</c:v>
                </c:pt>
                <c:pt idx="19">
                  <c:v>4.5304850035268032E-2</c:v>
                </c:pt>
                <c:pt idx="20">
                  <c:v>4.2538324483488175E-2</c:v>
                </c:pt>
                <c:pt idx="21">
                  <c:v>3.9679659312428096E-2</c:v>
                </c:pt>
                <c:pt idx="22">
                  <c:v>3.4520455468902048E-2</c:v>
                </c:pt>
                <c:pt idx="23">
                  <c:v>3.1185386476452182E-2</c:v>
                </c:pt>
                <c:pt idx="24">
                  <c:v>2.7600896408064395E-2</c:v>
                </c:pt>
                <c:pt idx="25">
                  <c:v>2.3387246703669866E-2</c:v>
                </c:pt>
                <c:pt idx="26">
                  <c:v>1.9509914093276386E-2</c:v>
                </c:pt>
                <c:pt idx="27">
                  <c:v>1.5535401271319051E-2</c:v>
                </c:pt>
                <c:pt idx="28">
                  <c:v>1.2024475666964048E-2</c:v>
                </c:pt>
                <c:pt idx="29">
                  <c:v>1.3077297671331835E-2</c:v>
                </c:pt>
                <c:pt idx="30">
                  <c:v>1.5187047917939461E-2</c:v>
                </c:pt>
                <c:pt idx="31">
                  <c:v>1.8444168452434771E-2</c:v>
                </c:pt>
                <c:pt idx="32">
                  <c:v>2.1568103398318331E-2</c:v>
                </c:pt>
                <c:pt idx="33">
                  <c:v>2.6279775585125328E-2</c:v>
                </c:pt>
                <c:pt idx="34">
                  <c:v>3.1511902740641716E-2</c:v>
                </c:pt>
                <c:pt idx="35">
                  <c:v>3.4948806758698839E-2</c:v>
                </c:pt>
                <c:pt idx="36">
                  <c:v>3.9442736380912856E-2</c:v>
                </c:pt>
                <c:pt idx="37">
                  <c:v>4.4275084664714033E-2</c:v>
                </c:pt>
                <c:pt idx="38">
                  <c:v>4.9556769690936531E-2</c:v>
                </c:pt>
                <c:pt idx="39">
                  <c:v>5.5573087411634796E-2</c:v>
                </c:pt>
                <c:pt idx="40">
                  <c:v>6.0313071792230603E-2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F1-4E2A-B0F1-8C7CED19F93A}"/>
            </c:ext>
          </c:extLst>
        </c:ser>
        <c:ser>
          <c:idx val="1"/>
          <c:order val="1"/>
          <c:tx>
            <c:strRef>
              <c:f>'HI-1.3'!$U$2</c:f>
              <c:strCache>
                <c:ptCount val="1"/>
                <c:pt idx="0">
                  <c:v>19</c:v>
                </c:pt>
              </c:strCache>
            </c:strRef>
          </c:tx>
          <c:spPr>
            <a:ln w="158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'HI-1.3'!$S$3:$S$42</c:f>
              <c:numCache>
                <c:formatCode>General</c:formatCode>
                <c:ptCount val="40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</c:numCache>
            </c:numRef>
          </c:xVal>
          <c:yVal>
            <c:numRef>
              <c:f>'HI-1.3'!$U$3:$U$43</c:f>
              <c:numCache>
                <c:formatCode>General</c:formatCode>
                <c:ptCount val="41"/>
                <c:pt idx="0">
                  <c:v>0.17883713039664301</c:v>
                </c:pt>
                <c:pt idx="1">
                  <c:v>0.17568782449923215</c:v>
                </c:pt>
                <c:pt idx="2">
                  <c:v>0.17321461892009771</c:v>
                </c:pt>
                <c:pt idx="3">
                  <c:v>0.16855838430271114</c:v>
                </c:pt>
                <c:pt idx="4">
                  <c:v>0.16504316647242831</c:v>
                </c:pt>
                <c:pt idx="5">
                  <c:v>0.16167023905577776</c:v>
                </c:pt>
                <c:pt idx="6">
                  <c:v>0.1576717633489865</c:v>
                </c:pt>
                <c:pt idx="7">
                  <c:v>0.15349099252123724</c:v>
                </c:pt>
                <c:pt idx="8">
                  <c:v>0.14940138403295097</c:v>
                </c:pt>
                <c:pt idx="9">
                  <c:v>0.14382344136913952</c:v>
                </c:pt>
                <c:pt idx="10">
                  <c:v>0.13886737474336316</c:v>
                </c:pt>
                <c:pt idx="11">
                  <c:v>0.13586525809237543</c:v>
                </c:pt>
                <c:pt idx="12">
                  <c:v>0.13101985493036103</c:v>
                </c:pt>
                <c:pt idx="13">
                  <c:v>0.12714200043828541</c:v>
                </c:pt>
                <c:pt idx="14">
                  <c:v>0.12191417398539356</c:v>
                </c:pt>
                <c:pt idx="15">
                  <c:v>0.11582990870580945</c:v>
                </c:pt>
                <c:pt idx="16">
                  <c:v>0.11057714206948863</c:v>
                </c:pt>
                <c:pt idx="17">
                  <c:v>0.10513252042447571</c:v>
                </c:pt>
                <c:pt idx="18">
                  <c:v>0.10074609863245576</c:v>
                </c:pt>
                <c:pt idx="19">
                  <c:v>9.5850923246805012E-2</c:v>
                </c:pt>
                <c:pt idx="20">
                  <c:v>8.9558400114489803E-2</c:v>
                </c:pt>
                <c:pt idx="21">
                  <c:v>8.4288706738240515E-2</c:v>
                </c:pt>
                <c:pt idx="22">
                  <c:v>7.9170776704371462E-2</c:v>
                </c:pt>
                <c:pt idx="23">
                  <c:v>7.3767383647536711E-2</c:v>
                </c:pt>
                <c:pt idx="24">
                  <c:v>6.7581914739672677E-2</c:v>
                </c:pt>
                <c:pt idx="25">
                  <c:v>6.213709950728874E-2</c:v>
                </c:pt>
                <c:pt idx="26">
                  <c:v>5.5547630746859263E-2</c:v>
                </c:pt>
                <c:pt idx="27">
                  <c:v>4.8140409559956174E-2</c:v>
                </c:pt>
                <c:pt idx="28">
                  <c:v>3.9976015810668911E-2</c:v>
                </c:pt>
                <c:pt idx="29">
                  <c:v>3.0595762744677246E-2</c:v>
                </c:pt>
                <c:pt idx="30">
                  <c:v>2.6333663743588521E-2</c:v>
                </c:pt>
                <c:pt idx="31">
                  <c:v>2.7288746879183118E-2</c:v>
                </c:pt>
                <c:pt idx="32">
                  <c:v>3.1031725349302906E-2</c:v>
                </c:pt>
                <c:pt idx="33">
                  <c:v>3.3682228237355477E-2</c:v>
                </c:pt>
                <c:pt idx="34">
                  <c:v>3.7126028640581579E-2</c:v>
                </c:pt>
                <c:pt idx="35">
                  <c:v>4.2163852903155594E-2</c:v>
                </c:pt>
                <c:pt idx="36">
                  <c:v>4.7849887705646632E-2</c:v>
                </c:pt>
                <c:pt idx="37">
                  <c:v>5.4564057439715243E-2</c:v>
                </c:pt>
                <c:pt idx="38">
                  <c:v>6.1101336854925109E-2</c:v>
                </c:pt>
                <c:pt idx="39">
                  <c:v>6.8423448261090314E-2</c:v>
                </c:pt>
                <c:pt idx="40">
                  <c:v>7.5125910444337834E-2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F1-4E2A-B0F1-8C7CED19F93A}"/>
            </c:ext>
          </c:extLst>
        </c:ser>
        <c:ser>
          <c:idx val="2"/>
          <c:order val="2"/>
          <c:tx>
            <c:strRef>
              <c:f>'HI-1.3'!$V$2</c:f>
              <c:strCache>
                <c:ptCount val="1"/>
                <c:pt idx="0">
                  <c:v>29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'HI-1.3'!$S$3:$S$43</c:f>
              <c:numCache>
                <c:formatCode>General</c:formatCode>
                <c:ptCount val="41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</c:numCache>
            </c:numRef>
          </c:xVal>
          <c:yVal>
            <c:numRef>
              <c:f>'HI-1.3'!$V$3:$V$43</c:f>
              <c:numCache>
                <c:formatCode>General</c:formatCode>
                <c:ptCount val="41"/>
                <c:pt idx="0">
                  <c:v>0.25182267314360401</c:v>
                </c:pt>
                <c:pt idx="1">
                  <c:v>0.24821157060621382</c:v>
                </c:pt>
                <c:pt idx="2">
                  <c:v>0.24458801076610143</c:v>
                </c:pt>
                <c:pt idx="3">
                  <c:v>0.24031557109143378</c:v>
                </c:pt>
                <c:pt idx="4">
                  <c:v>0.23604008576876689</c:v>
                </c:pt>
                <c:pt idx="5">
                  <c:v>0.23182988709897831</c:v>
                </c:pt>
                <c:pt idx="6">
                  <c:v>0.22769696186942001</c:v>
                </c:pt>
                <c:pt idx="7">
                  <c:v>0.22289985517518782</c:v>
                </c:pt>
                <c:pt idx="8">
                  <c:v>0.21668470785135788</c:v>
                </c:pt>
                <c:pt idx="9">
                  <c:v>0.210954184788017</c:v>
                </c:pt>
                <c:pt idx="10">
                  <c:v>0.20468869012664417</c:v>
                </c:pt>
                <c:pt idx="11">
                  <c:v>0.19847785013975003</c:v>
                </c:pt>
                <c:pt idx="12">
                  <c:v>0.19247731728006987</c:v>
                </c:pt>
                <c:pt idx="13">
                  <c:v>0.18673092278279357</c:v>
                </c:pt>
                <c:pt idx="14">
                  <c:v>0.18030932585754789</c:v>
                </c:pt>
                <c:pt idx="15">
                  <c:v>0.1738395291499264</c:v>
                </c:pt>
                <c:pt idx="16">
                  <c:v>0.16836971891415856</c:v>
                </c:pt>
                <c:pt idx="17">
                  <c:v>0.16073833314052741</c:v>
                </c:pt>
                <c:pt idx="18">
                  <c:v>0.15288066236720546</c:v>
                </c:pt>
                <c:pt idx="19">
                  <c:v>0.14536527340729211</c:v>
                </c:pt>
                <c:pt idx="20">
                  <c:v>0.13818663874272341</c:v>
                </c:pt>
                <c:pt idx="21">
                  <c:v>0.13060574189244695</c:v>
                </c:pt>
                <c:pt idx="22">
                  <c:v>0.12291204740245641</c:v>
                </c:pt>
                <c:pt idx="23">
                  <c:v>0.11351122560087853</c:v>
                </c:pt>
                <c:pt idx="24">
                  <c:v>0.10399081949359831</c:v>
                </c:pt>
                <c:pt idx="25">
                  <c:v>9.5617891965757193E-2</c:v>
                </c:pt>
                <c:pt idx="26">
                  <c:v>8.6744389560812624E-2</c:v>
                </c:pt>
                <c:pt idx="27">
                  <c:v>7.6279645808465454E-2</c:v>
                </c:pt>
                <c:pt idx="28">
                  <c:v>6.6192799479342798E-2</c:v>
                </c:pt>
                <c:pt idx="29">
                  <c:v>5.5917833992487169E-2</c:v>
                </c:pt>
                <c:pt idx="30">
                  <c:v>4.6405106719759996E-2</c:v>
                </c:pt>
                <c:pt idx="31">
                  <c:v>3.7798657669902321E-2</c:v>
                </c:pt>
                <c:pt idx="32">
                  <c:v>3.5733707468281105E-2</c:v>
                </c:pt>
                <c:pt idx="33">
                  <c:v>3.9072312435153439E-2</c:v>
                </c:pt>
                <c:pt idx="34">
                  <c:v>4.353440419393944E-2</c:v>
                </c:pt>
                <c:pt idx="35">
                  <c:v>4.9446777147582104E-2</c:v>
                </c:pt>
                <c:pt idx="36">
                  <c:v>5.5942135544594977E-2</c:v>
                </c:pt>
                <c:pt idx="37">
                  <c:v>6.2505550178741334E-2</c:v>
                </c:pt>
                <c:pt idx="38">
                  <c:v>7.0516898275486212E-2</c:v>
                </c:pt>
                <c:pt idx="39">
                  <c:v>8.1358479153780708E-2</c:v>
                </c:pt>
                <c:pt idx="40">
                  <c:v>9.1938692863042931E-2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F1-4E2A-B0F1-8C7CED19F93A}"/>
            </c:ext>
          </c:extLst>
        </c:ser>
        <c:ser>
          <c:idx val="3"/>
          <c:order val="3"/>
          <c:tx>
            <c:strRef>
              <c:f>'HI-1.3'!$W$2</c:f>
              <c:strCache>
                <c:ptCount val="1"/>
                <c:pt idx="0">
                  <c:v>38</c:v>
                </c:pt>
              </c:strCache>
            </c:strRef>
          </c:tx>
          <c:spPr>
            <a:ln w="158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'HI-1.3'!$S$3:$S$44</c:f>
              <c:numCache>
                <c:formatCode>General</c:formatCode>
                <c:ptCount val="42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</c:numCache>
            </c:numRef>
          </c:xVal>
          <c:yVal>
            <c:numRef>
              <c:f>'HI-1.3'!$W$3:$W$43</c:f>
              <c:numCache>
                <c:formatCode>General</c:formatCode>
                <c:ptCount val="41"/>
                <c:pt idx="0">
                  <c:v>0.31094845207259197</c:v>
                </c:pt>
                <c:pt idx="1">
                  <c:v>0.30682223070466008</c:v>
                </c:pt>
                <c:pt idx="2">
                  <c:v>0.30165023928124529</c:v>
                </c:pt>
                <c:pt idx="3">
                  <c:v>0.29791962318279558</c:v>
                </c:pt>
                <c:pt idx="4">
                  <c:v>0.29401682490364822</c:v>
                </c:pt>
                <c:pt idx="5">
                  <c:v>0.28938185497150765</c:v>
                </c:pt>
                <c:pt idx="6">
                  <c:v>0.28399506741695663</c:v>
                </c:pt>
                <c:pt idx="7">
                  <c:v>0.27857357991323239</c:v>
                </c:pt>
                <c:pt idx="8">
                  <c:v>0.27331615236840884</c:v>
                </c:pt>
                <c:pt idx="9">
                  <c:v>0.26773589438552114</c:v>
                </c:pt>
                <c:pt idx="10">
                  <c:v>0.26124208818489675</c:v>
                </c:pt>
                <c:pt idx="11">
                  <c:v>0.25492898138877979</c:v>
                </c:pt>
                <c:pt idx="12">
                  <c:v>0.24861172207237078</c:v>
                </c:pt>
                <c:pt idx="13">
                  <c:v>0.2421155706265625</c:v>
                </c:pt>
                <c:pt idx="14">
                  <c:v>0.23351783399248668</c:v>
                </c:pt>
                <c:pt idx="15">
                  <c:v>0.22462457521422821</c:v>
                </c:pt>
                <c:pt idx="16">
                  <c:v>0.21703783399248722</c:v>
                </c:pt>
                <c:pt idx="17">
                  <c:v>0.2076339313384</c:v>
                </c:pt>
                <c:pt idx="18">
                  <c:v>0.19881033201805795</c:v>
                </c:pt>
                <c:pt idx="19">
                  <c:v>0.1914642413864549</c:v>
                </c:pt>
                <c:pt idx="20">
                  <c:v>0.18154122436992984</c:v>
                </c:pt>
                <c:pt idx="21">
                  <c:v>0.17235667247154038</c:v>
                </c:pt>
                <c:pt idx="22">
                  <c:v>0.1625069249015772</c:v>
                </c:pt>
                <c:pt idx="23">
                  <c:v>0.15296943587518802</c:v>
                </c:pt>
                <c:pt idx="24">
                  <c:v>0.14298419683580835</c:v>
                </c:pt>
                <c:pt idx="25">
                  <c:v>0.13238036490598418</c:v>
                </c:pt>
                <c:pt idx="26">
                  <c:v>0.12206894412440313</c:v>
                </c:pt>
                <c:pt idx="27">
                  <c:v>0.11185943646961174</c:v>
                </c:pt>
                <c:pt idx="28">
                  <c:v>0.10037659700053711</c:v>
                </c:pt>
                <c:pt idx="29">
                  <c:v>8.8185460015753045E-2</c:v>
                </c:pt>
                <c:pt idx="30">
                  <c:v>7.6879661368650723E-2</c:v>
                </c:pt>
                <c:pt idx="31">
                  <c:v>6.6060520672370088E-2</c:v>
                </c:pt>
                <c:pt idx="32">
                  <c:v>5.675711571476634E-2</c:v>
                </c:pt>
                <c:pt idx="33">
                  <c:v>4.932643885297338E-2</c:v>
                </c:pt>
                <c:pt idx="34">
                  <c:v>5.0213422925293801E-2</c:v>
                </c:pt>
                <c:pt idx="35">
                  <c:v>5.704239021129659E-2</c:v>
                </c:pt>
                <c:pt idx="36">
                  <c:v>6.4897754124037157E-2</c:v>
                </c:pt>
                <c:pt idx="37">
                  <c:v>7.4097327900643786E-2</c:v>
                </c:pt>
                <c:pt idx="38">
                  <c:v>8.583936823046831E-2</c:v>
                </c:pt>
                <c:pt idx="39">
                  <c:v>9.8505891095006959E-2</c:v>
                </c:pt>
                <c:pt idx="40">
                  <c:v>0.11026253606149784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F1-4E2A-B0F1-8C7CED19F93A}"/>
            </c:ext>
          </c:extLst>
        </c:ser>
        <c:ser>
          <c:idx val="4"/>
          <c:order val="4"/>
          <c:tx>
            <c:strRef>
              <c:f>'HI-1.3'!$X$2</c:f>
              <c:strCache>
                <c:ptCount val="1"/>
                <c:pt idx="0">
                  <c:v>67</c:v>
                </c:pt>
              </c:strCache>
            </c:strRef>
          </c:tx>
          <c:spPr>
            <a:ln w="158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'HI-1.3'!$S$3:$S$43</c:f>
              <c:numCache>
                <c:formatCode>General</c:formatCode>
                <c:ptCount val="41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</c:numCache>
            </c:numRef>
          </c:xVal>
          <c:yVal>
            <c:numRef>
              <c:f>'HI-1.3'!$X$3:$X$43</c:f>
              <c:numCache>
                <c:formatCode>General</c:formatCode>
                <c:ptCount val="41"/>
                <c:pt idx="0">
                  <c:v>0.37737319904997502</c:v>
                </c:pt>
                <c:pt idx="1">
                  <c:v>0.37571416665170021</c:v>
                </c:pt>
                <c:pt idx="2">
                  <c:v>0.37387952659417933</c:v>
                </c:pt>
                <c:pt idx="3">
                  <c:v>0.37165826037048288</c:v>
                </c:pt>
                <c:pt idx="4">
                  <c:v>0.368552549556388</c:v>
                </c:pt>
                <c:pt idx="5">
                  <c:v>0.36496586169485745</c:v>
                </c:pt>
                <c:pt idx="6">
                  <c:v>0.36101246611238608</c:v>
                </c:pt>
                <c:pt idx="7">
                  <c:v>0.35667764378478695</c:v>
                </c:pt>
                <c:pt idx="8">
                  <c:v>0.35184390569399632</c:v>
                </c:pt>
                <c:pt idx="9">
                  <c:v>0.34711853609548404</c:v>
                </c:pt>
                <c:pt idx="10">
                  <c:v>0.34201507861469016</c:v>
                </c:pt>
                <c:pt idx="11">
                  <c:v>0.33622509645059984</c:v>
                </c:pt>
                <c:pt idx="12">
                  <c:v>0.33063456467075786</c:v>
                </c:pt>
                <c:pt idx="13">
                  <c:v>0.32523706206930081</c:v>
                </c:pt>
                <c:pt idx="14">
                  <c:v>0.31899619101020132</c:v>
                </c:pt>
                <c:pt idx="15">
                  <c:v>0.3125369235775301</c:v>
                </c:pt>
                <c:pt idx="16">
                  <c:v>0.30503783399248668</c:v>
                </c:pt>
                <c:pt idx="17">
                  <c:v>0.29714742799072147</c:v>
                </c:pt>
                <c:pt idx="18">
                  <c:v>0.29001637342595832</c:v>
                </c:pt>
                <c:pt idx="19">
                  <c:v>0.28130566575957394</c:v>
                </c:pt>
                <c:pt idx="20">
                  <c:v>0.27207217671455114</c:v>
                </c:pt>
                <c:pt idx="21">
                  <c:v>0.26226895943821821</c:v>
                </c:pt>
                <c:pt idx="22">
                  <c:v>0.25135147426037924</c:v>
                </c:pt>
                <c:pt idx="23">
                  <c:v>0.23987920906091853</c:v>
                </c:pt>
                <c:pt idx="24">
                  <c:v>0.22639727494827241</c:v>
                </c:pt>
                <c:pt idx="25">
                  <c:v>0.21299091248987925</c:v>
                </c:pt>
                <c:pt idx="26">
                  <c:v>0.19962307116351391</c:v>
                </c:pt>
                <c:pt idx="27">
                  <c:v>0.1848672151995151</c:v>
                </c:pt>
                <c:pt idx="28">
                  <c:v>0.16981564911853655</c:v>
                </c:pt>
                <c:pt idx="29">
                  <c:v>0.15497189557606397</c:v>
                </c:pt>
                <c:pt idx="30">
                  <c:v>0.13990509352540667</c:v>
                </c:pt>
                <c:pt idx="31">
                  <c:v>0.1242335244852005</c:v>
                </c:pt>
                <c:pt idx="32">
                  <c:v>0.10770510144355001</c:v>
                </c:pt>
                <c:pt idx="33">
                  <c:v>9.4068684147194853E-2</c:v>
                </c:pt>
                <c:pt idx="34">
                  <c:v>9.5765346480001623E-2</c:v>
                </c:pt>
                <c:pt idx="35">
                  <c:v>0.10556754428219958</c:v>
                </c:pt>
                <c:pt idx="36">
                  <c:v>0.11605436526263699</c:v>
                </c:pt>
                <c:pt idx="37">
                  <c:v>0.12808934766219265</c:v>
                </c:pt>
                <c:pt idx="38">
                  <c:v>0.14170508270503174</c:v>
                </c:pt>
                <c:pt idx="39">
                  <c:v>0.15579460427826297</c:v>
                </c:pt>
                <c:pt idx="40">
                  <c:v>0.16991297463659868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7F1-4E2A-B0F1-8C7CED19F93A}"/>
            </c:ext>
          </c:extLst>
        </c:ser>
        <c:ser>
          <c:idx val="5"/>
          <c:order val="5"/>
          <c:tx>
            <c:strRef>
              <c:f>'HI-1.3'!$Y$2</c:f>
              <c:strCache>
                <c:ptCount val="1"/>
                <c:pt idx="0">
                  <c:v>31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'HI-1.3'!$S$3:$S$43</c:f>
              <c:numCache>
                <c:formatCode>General</c:formatCode>
                <c:ptCount val="41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</c:numCache>
            </c:numRef>
          </c:xVal>
          <c:yVal>
            <c:numRef>
              <c:f>'HI-1.3'!$Y$3:$Y$43</c:f>
              <c:numCache>
                <c:formatCode>General</c:formatCode>
                <c:ptCount val="41"/>
                <c:pt idx="0">
                  <c:v>0.26509418981506039</c:v>
                </c:pt>
                <c:pt idx="1">
                  <c:v>0.26136746244750048</c:v>
                </c:pt>
                <c:pt idx="2">
                  <c:v>0.25739633787429445</c:v>
                </c:pt>
                <c:pt idx="3">
                  <c:v>0.25324551724220046</c:v>
                </c:pt>
                <c:pt idx="4">
                  <c:v>0.24905368616309534</c:v>
                </c:pt>
                <c:pt idx="5">
                  <c:v>0.24474814229884206</c:v>
                </c:pt>
                <c:pt idx="6">
                  <c:v>0.24033377207098888</c:v>
                </c:pt>
                <c:pt idx="7">
                  <c:v>0.23539651533607031</c:v>
                </c:pt>
                <c:pt idx="8">
                  <c:v>0.22939634013174398</c:v>
                </c:pt>
                <c:pt idx="9">
                  <c:v>0.22369954593517655</c:v>
                </c:pt>
                <c:pt idx="10">
                  <c:v>0.2173828039083677</c:v>
                </c:pt>
                <c:pt idx="11">
                  <c:v>0.21114900886382995</c:v>
                </c:pt>
                <c:pt idx="12">
                  <c:v>0.2050773828105055</c:v>
                </c:pt>
                <c:pt idx="13">
                  <c:v>0.19916269603831588</c:v>
                </c:pt>
                <c:pt idx="14">
                  <c:v>0.19225263748181043</c:v>
                </c:pt>
                <c:pt idx="15">
                  <c:v>0.18523886456185473</c:v>
                </c:pt>
                <c:pt idx="16">
                  <c:v>0.17929388282929515</c:v>
                </c:pt>
                <c:pt idx="17">
                  <c:v>0.17126463358975239</c:v>
                </c:pt>
                <c:pt idx="18">
                  <c:v>0.1631901481368199</c:v>
                </c:pt>
                <c:pt idx="19">
                  <c:v>0.15571276029295641</c:v>
                </c:pt>
                <c:pt idx="20">
                  <c:v>0.14791811486630399</c:v>
                </c:pt>
                <c:pt idx="21">
                  <c:v>0.13997725768921546</c:v>
                </c:pt>
                <c:pt idx="22">
                  <c:v>0.13179961026171236</c:v>
                </c:pt>
                <c:pt idx="23">
                  <c:v>0.12236811180123239</c:v>
                </c:pt>
                <c:pt idx="24">
                  <c:v>0.11274336815930067</c:v>
                </c:pt>
                <c:pt idx="25">
                  <c:v>0.10386968638348756</c:v>
                </c:pt>
                <c:pt idx="26">
                  <c:v>9.4673425309593467E-2</c:v>
                </c:pt>
                <c:pt idx="27">
                  <c:v>8.4265972474765333E-2</c:v>
                </c:pt>
                <c:pt idx="28">
                  <c:v>7.386577811766383E-2</c:v>
                </c:pt>
                <c:pt idx="29">
                  <c:v>6.3160704098780746E-2</c:v>
                </c:pt>
                <c:pt idx="30">
                  <c:v>5.3245499648260933E-2</c:v>
                </c:pt>
                <c:pt idx="31">
                  <c:v>4.4142384430003789E-2</c:v>
                </c:pt>
                <c:pt idx="32">
                  <c:v>4.0452673003926118E-2</c:v>
                </c:pt>
                <c:pt idx="33">
                  <c:v>4.1373978682438972E-2</c:v>
                </c:pt>
                <c:pt idx="34">
                  <c:v>4.5033593042658013E-2</c:v>
                </c:pt>
                <c:pt idx="35">
                  <c:v>5.1151706997657968E-2</c:v>
                </c:pt>
                <c:pt idx="36">
                  <c:v>5.7952335552666233E-2</c:v>
                </c:pt>
                <c:pt idx="37">
                  <c:v>6.5107468903107091E-2</c:v>
                </c:pt>
                <c:pt idx="38">
                  <c:v>7.3956217285552295E-2</c:v>
                </c:pt>
                <c:pt idx="39">
                  <c:v>8.5207429096979509E-2</c:v>
                </c:pt>
                <c:pt idx="40">
                  <c:v>9.6051707438047834E-2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7F1-4E2A-B0F1-8C7CED19F93A}"/>
            </c:ext>
          </c:extLst>
        </c:ser>
        <c:ser>
          <c:idx val="6"/>
          <c:order val="6"/>
          <c:tx>
            <c:v>operating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radial_thrust!$C$23</c:f>
              <c:numCache>
                <c:formatCode>0.00</c:formatCode>
                <c:ptCount val="1"/>
                <c:pt idx="0">
                  <c:v>50</c:v>
                </c:pt>
              </c:numCache>
            </c:numRef>
          </c:xVal>
          <c:yVal>
            <c:numRef>
              <c:f>radial_thrust!$C$41</c:f>
              <c:numCache>
                <c:formatCode>0.0000</c:formatCode>
                <c:ptCount val="1"/>
                <c:pt idx="0">
                  <c:v>0.17394105000293331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7F1-4E2A-B0F1-8C7CED19F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792271"/>
        <c:axId val="817777871"/>
      </c:scatterChart>
      <c:valAx>
        <c:axId val="81779227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Q/Q</a:t>
                </a:r>
                <a:r>
                  <a:rPr lang="it-IT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BEP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17777871"/>
        <c:crosses val="autoZero"/>
        <c:crossBetween val="midCat"/>
      </c:valAx>
      <c:valAx>
        <c:axId val="81777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Radial thrust factor K</a:t>
                </a:r>
                <a:r>
                  <a:rPr lang="it-IT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177922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C0BE6DC7-3079-45A4-B42F-3D8B15245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27</xdr:row>
      <xdr:rowOff>133349</xdr:rowOff>
    </xdr:from>
    <xdr:to>
      <xdr:col>29</xdr:col>
      <xdr:colOff>19050</xdr:colOff>
      <xdr:row>38</xdr:row>
      <xdr:rowOff>28574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CFC0FDC-6DE3-478D-B9F3-9058FCD05377}"/>
            </a:ext>
          </a:extLst>
        </xdr:cNvPr>
        <xdr:cNvSpPr txBox="1"/>
      </xdr:nvSpPr>
      <xdr:spPr>
        <a:xfrm>
          <a:off x="95250" y="5276849"/>
          <a:ext cx="6276975" cy="199072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This worksheet</a:t>
          </a:r>
          <a:r>
            <a:rPr lang="en-US" sz="1100" b="0" u="none" baseline="0"/>
            <a:t> allows to calculate the hydraulic radial thrust generated by an impller in different casing types.</a:t>
          </a: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/>
            <a:t>Sheet "</a:t>
          </a:r>
          <a:r>
            <a:rPr lang="it-IT" sz="1100" b="1" u="none" baseline="0"/>
            <a:t>radial_thrust"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allows to calculate the hydraulic radial thrust.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19</xdr:col>
      <xdr:colOff>0</xdr:colOff>
      <xdr:row>17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EB998D7-111C-467F-81E5-367C8DA1CF37}"/>
            </a:ext>
          </a:extLst>
        </xdr:cNvPr>
        <xdr:cNvSpPr txBox="1"/>
      </xdr:nvSpPr>
      <xdr:spPr>
        <a:xfrm>
          <a:off x="11668125" y="1333500"/>
          <a:ext cx="4267200" cy="2124076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INSTRUCTIONS:</a:t>
          </a:r>
        </a:p>
        <a:p>
          <a:r>
            <a:rPr lang="it-IT" sz="1200" b="0" u="none"/>
            <a:t>1) Compile the input</a:t>
          </a:r>
          <a:r>
            <a:rPr lang="it-IT" sz="1200" b="0" u="none" baseline="0"/>
            <a:t> data.</a:t>
          </a:r>
        </a:p>
        <a:p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Check the result.</a:t>
          </a:r>
        </a:p>
        <a:p>
          <a:endParaRPr lang="it-IT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NOTES: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Gulich method shall be used in high-energy applications and when ANSI/HI-1.3 method is not applicable.</a:t>
          </a:r>
          <a:endParaRPr lang="it-IT">
            <a:effectLst/>
          </a:endParaRPr>
        </a:p>
        <a:p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ANSI/HI-1.3 shall be considered as reference for not high-energy pumps, within its applicability conditions (Nq between 9.7 - 67 for single and double volute or Nq = 20 for concentric volute, inward flow on rear shroud).</a:t>
          </a:r>
          <a:endParaRPr lang="it-IT" sz="1200">
            <a:effectLst/>
          </a:endParaRPr>
        </a:p>
        <a:p>
          <a:endParaRPr lang="it-IT" sz="1200" b="0" u="non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6</xdr:col>
      <xdr:colOff>1</xdr:colOff>
      <xdr:row>31</xdr:row>
      <xdr:rowOff>1</xdr:rowOff>
    </xdr:from>
    <xdr:to>
      <xdr:col>19</xdr:col>
      <xdr:colOff>1</xdr:colOff>
      <xdr:row>51</xdr:row>
      <xdr:rowOff>1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EE730977-E0E7-C9E7-CB68-EAC2CCA005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8283</xdr:colOff>
      <xdr:row>7</xdr:row>
      <xdr:rowOff>0</xdr:rowOff>
    </xdr:from>
    <xdr:to>
      <xdr:col>11</xdr:col>
      <xdr:colOff>8283</xdr:colOff>
      <xdr:row>30</xdr:row>
      <xdr:rowOff>0</xdr:rowOff>
    </xdr:to>
    <xdr:grpSp>
      <xdr:nvGrpSpPr>
        <xdr:cNvPr id="19" name="Gruppo 18">
          <a:extLst>
            <a:ext uri="{FF2B5EF4-FFF2-40B4-BE49-F238E27FC236}">
              <a16:creationId xmlns:a16="http://schemas.microsoft.com/office/drawing/2014/main" id="{CB53E613-672B-A4D3-7BAD-C1C14D8477EE}"/>
            </a:ext>
          </a:extLst>
        </xdr:cNvPr>
        <xdr:cNvGrpSpPr/>
      </xdr:nvGrpSpPr>
      <xdr:grpSpPr>
        <a:xfrm>
          <a:off x="9450733" y="1289050"/>
          <a:ext cx="3048000" cy="4559300"/>
          <a:chOff x="7724775" y="1524001"/>
          <a:chExt cx="3048000" cy="4600574"/>
        </a:xfrm>
      </xdr:grpSpPr>
      <xdr:grpSp>
        <xdr:nvGrpSpPr>
          <xdr:cNvPr id="8" name="Gruppo 7">
            <a:extLst>
              <a:ext uri="{FF2B5EF4-FFF2-40B4-BE49-F238E27FC236}">
                <a16:creationId xmlns:a16="http://schemas.microsoft.com/office/drawing/2014/main" id="{FA85758C-3CE9-760A-538B-CAB69E994408}"/>
              </a:ext>
            </a:extLst>
          </xdr:cNvPr>
          <xdr:cNvGrpSpPr/>
        </xdr:nvGrpSpPr>
        <xdr:grpSpPr>
          <a:xfrm>
            <a:off x="7724775" y="1524001"/>
            <a:ext cx="3048000" cy="4600574"/>
            <a:chOff x="11709953" y="692012"/>
            <a:chExt cx="3027059" cy="4500000"/>
          </a:xfrm>
        </xdr:grpSpPr>
        <xdr:pic>
          <xdr:nvPicPr>
            <xdr:cNvPr id="4" name="Immagine 3">
              <a:extLst>
                <a:ext uri="{FF2B5EF4-FFF2-40B4-BE49-F238E27FC236}">
                  <a16:creationId xmlns:a16="http://schemas.microsoft.com/office/drawing/2014/main" id="{3BE1B5E7-3A2C-4D58-5E2D-F00A5264047E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709953" y="692012"/>
              <a:ext cx="3027059" cy="4500000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$E$10">
          <xdr:nvSpPr>
            <xdr:cNvPr id="6" name="CasellaDiTesto 5">
              <a:extLst>
                <a:ext uri="{FF2B5EF4-FFF2-40B4-BE49-F238E27FC236}">
                  <a16:creationId xmlns:a16="http://schemas.microsoft.com/office/drawing/2014/main" id="{03C76876-A800-40F3-93A6-1FCA4E8039D3}"/>
                </a:ext>
              </a:extLst>
            </xdr:cNvPr>
            <xdr:cNvSpPr txBox="1"/>
          </xdr:nvSpPr>
          <xdr:spPr>
            <a:xfrm>
              <a:off x="13110128" y="711062"/>
              <a:ext cx="1227437" cy="2662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B105C300-D69A-440F-8179-86EB5BF3B11E}" type="TxLink">
                <a:rPr lang="en-US" sz="1100" b="0" i="0" u="none" strike="noStrike">
                  <a:solidFill>
                    <a:schemeClr val="accent6">
                      <a:lumMod val="75000"/>
                    </a:schemeClr>
                  </a:solidFill>
                  <a:latin typeface="Calibri"/>
                  <a:cs typeface="Calibri"/>
                </a:rPr>
                <a:pPr algn="ctr"/>
                <a:t>b2 [mm] = 30</a:t>
              </a:fld>
              <a:endParaRPr lang="it-IT" sz="11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$E$9">
          <xdr:nvSpPr>
            <xdr:cNvPr id="7" name="CasellaDiTesto 6">
              <a:extLst>
                <a:ext uri="{FF2B5EF4-FFF2-40B4-BE49-F238E27FC236}">
                  <a16:creationId xmlns:a16="http://schemas.microsoft.com/office/drawing/2014/main" id="{F95F5C86-4427-4CA1-BB61-5F349BD57199}"/>
                </a:ext>
              </a:extLst>
            </xdr:cNvPr>
            <xdr:cNvSpPr txBox="1"/>
          </xdr:nvSpPr>
          <xdr:spPr>
            <a:xfrm rot="16200000">
              <a:off x="11139309" y="4253118"/>
              <a:ext cx="1479688" cy="3010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E4F5132C-747E-49BC-9436-042C80FA92AC}" type="TxLink">
                <a:rPr lang="en-US" sz="1100" b="0" i="0" u="none" strike="noStrike">
                  <a:solidFill>
                    <a:schemeClr val="accent6">
                      <a:lumMod val="75000"/>
                    </a:schemeClr>
                  </a:solidFill>
                  <a:latin typeface="Calibri"/>
                  <a:cs typeface="Calibri"/>
                </a:rPr>
                <a:pPr algn="l"/>
                <a:t>D2 [mm] = 450</a:t>
              </a:fld>
              <a:endParaRPr lang="it-IT" sz="11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12" name="Connettore 2 11">
            <a:extLst>
              <a:ext uri="{FF2B5EF4-FFF2-40B4-BE49-F238E27FC236}">
                <a16:creationId xmlns:a16="http://schemas.microsoft.com/office/drawing/2014/main" id="{BDE3543F-81D8-DBEC-15A3-F8200EB12F60}"/>
              </a:ext>
            </a:extLst>
          </xdr:cNvPr>
          <xdr:cNvCxnSpPr/>
        </xdr:nvCxnSpPr>
        <xdr:spPr>
          <a:xfrm>
            <a:off x="9115425" y="4210050"/>
            <a:ext cx="0" cy="1762125"/>
          </a:xfrm>
          <a:prstGeom prst="straightConnector1">
            <a:avLst/>
          </a:prstGeom>
          <a:ln w="31750">
            <a:solidFill>
              <a:schemeClr val="accent2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E$32">
        <xdr:nvSpPr>
          <xdr:cNvPr id="14" name="CasellaDiTesto 13">
            <a:extLst>
              <a:ext uri="{FF2B5EF4-FFF2-40B4-BE49-F238E27FC236}">
                <a16:creationId xmlns:a16="http://schemas.microsoft.com/office/drawing/2014/main" id="{04AD9D8E-5664-419C-85AA-B1B977DA7815}"/>
              </a:ext>
            </a:extLst>
          </xdr:cNvPr>
          <xdr:cNvSpPr txBox="1"/>
        </xdr:nvSpPr>
        <xdr:spPr>
          <a:xfrm>
            <a:off x="9182099" y="5514975"/>
            <a:ext cx="15144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2121722C-88AC-40AA-AF41-3707B3364237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cs typeface="Calibri"/>
              </a:rPr>
              <a:pPr algn="l"/>
              <a:t>FR [N] = GULICH 1530
ANSI/HI-1.3 1843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4943-D806-4E77-9804-E84851455010}">
  <sheetPr codeName="Foglio3"/>
  <dimension ref="A1:AD48"/>
  <sheetViews>
    <sheetView topLeftCell="A37" zoomScaleNormal="100" zoomScaleSheetLayoutView="100" workbookViewId="0">
      <selection activeCell="AG44" sqref="AG44"/>
    </sheetView>
  </sheetViews>
  <sheetFormatPr defaultRowHeight="11.5" x14ac:dyDescent="0.25"/>
  <cols>
    <col min="1" max="30" width="3.26953125" style="15" customWidth="1"/>
    <col min="31" max="256" width="9.1796875" style="15"/>
    <col min="257" max="286" width="3.26953125" style="15" customWidth="1"/>
    <col min="287" max="512" width="9.1796875" style="15"/>
    <col min="513" max="542" width="3.26953125" style="15" customWidth="1"/>
    <col min="543" max="768" width="9.1796875" style="15"/>
    <col min="769" max="798" width="3.26953125" style="15" customWidth="1"/>
    <col min="799" max="1024" width="9.1796875" style="15"/>
    <col min="1025" max="1054" width="3.26953125" style="15" customWidth="1"/>
    <col min="1055" max="1280" width="9.1796875" style="15"/>
    <col min="1281" max="1310" width="3.26953125" style="15" customWidth="1"/>
    <col min="1311" max="1536" width="9.1796875" style="15"/>
    <col min="1537" max="1566" width="3.26953125" style="15" customWidth="1"/>
    <col min="1567" max="1792" width="9.1796875" style="15"/>
    <col min="1793" max="1822" width="3.26953125" style="15" customWidth="1"/>
    <col min="1823" max="2048" width="9.1796875" style="15"/>
    <col min="2049" max="2078" width="3.26953125" style="15" customWidth="1"/>
    <col min="2079" max="2304" width="9.1796875" style="15"/>
    <col min="2305" max="2334" width="3.26953125" style="15" customWidth="1"/>
    <col min="2335" max="2560" width="9.1796875" style="15"/>
    <col min="2561" max="2590" width="3.26953125" style="15" customWidth="1"/>
    <col min="2591" max="2816" width="9.1796875" style="15"/>
    <col min="2817" max="2846" width="3.26953125" style="15" customWidth="1"/>
    <col min="2847" max="3072" width="9.1796875" style="15"/>
    <col min="3073" max="3102" width="3.26953125" style="15" customWidth="1"/>
    <col min="3103" max="3328" width="9.1796875" style="15"/>
    <col min="3329" max="3358" width="3.26953125" style="15" customWidth="1"/>
    <col min="3359" max="3584" width="9.1796875" style="15"/>
    <col min="3585" max="3614" width="3.26953125" style="15" customWidth="1"/>
    <col min="3615" max="3840" width="9.1796875" style="15"/>
    <col min="3841" max="3870" width="3.26953125" style="15" customWidth="1"/>
    <col min="3871" max="4096" width="9.1796875" style="15"/>
    <col min="4097" max="4126" width="3.26953125" style="15" customWidth="1"/>
    <col min="4127" max="4352" width="9.1796875" style="15"/>
    <col min="4353" max="4382" width="3.26953125" style="15" customWidth="1"/>
    <col min="4383" max="4608" width="9.1796875" style="15"/>
    <col min="4609" max="4638" width="3.26953125" style="15" customWidth="1"/>
    <col min="4639" max="4864" width="9.1796875" style="15"/>
    <col min="4865" max="4894" width="3.26953125" style="15" customWidth="1"/>
    <col min="4895" max="5120" width="9.1796875" style="15"/>
    <col min="5121" max="5150" width="3.26953125" style="15" customWidth="1"/>
    <col min="5151" max="5376" width="9.1796875" style="15"/>
    <col min="5377" max="5406" width="3.26953125" style="15" customWidth="1"/>
    <col min="5407" max="5632" width="9.1796875" style="15"/>
    <col min="5633" max="5662" width="3.26953125" style="15" customWidth="1"/>
    <col min="5663" max="5888" width="9.1796875" style="15"/>
    <col min="5889" max="5918" width="3.26953125" style="15" customWidth="1"/>
    <col min="5919" max="6144" width="9.1796875" style="15"/>
    <col min="6145" max="6174" width="3.26953125" style="15" customWidth="1"/>
    <col min="6175" max="6400" width="9.1796875" style="15"/>
    <col min="6401" max="6430" width="3.26953125" style="15" customWidth="1"/>
    <col min="6431" max="6656" width="9.1796875" style="15"/>
    <col min="6657" max="6686" width="3.26953125" style="15" customWidth="1"/>
    <col min="6687" max="6912" width="9.1796875" style="15"/>
    <col min="6913" max="6942" width="3.26953125" style="15" customWidth="1"/>
    <col min="6943" max="7168" width="9.1796875" style="15"/>
    <col min="7169" max="7198" width="3.26953125" style="15" customWidth="1"/>
    <col min="7199" max="7424" width="9.1796875" style="15"/>
    <col min="7425" max="7454" width="3.26953125" style="15" customWidth="1"/>
    <col min="7455" max="7680" width="9.1796875" style="15"/>
    <col min="7681" max="7710" width="3.26953125" style="15" customWidth="1"/>
    <col min="7711" max="7936" width="9.1796875" style="15"/>
    <col min="7937" max="7966" width="3.26953125" style="15" customWidth="1"/>
    <col min="7967" max="8192" width="9.1796875" style="15"/>
    <col min="8193" max="8222" width="3.26953125" style="15" customWidth="1"/>
    <col min="8223" max="8448" width="9.1796875" style="15"/>
    <col min="8449" max="8478" width="3.26953125" style="15" customWidth="1"/>
    <col min="8479" max="8704" width="9.1796875" style="15"/>
    <col min="8705" max="8734" width="3.26953125" style="15" customWidth="1"/>
    <col min="8735" max="8960" width="9.1796875" style="15"/>
    <col min="8961" max="8990" width="3.26953125" style="15" customWidth="1"/>
    <col min="8991" max="9216" width="9.1796875" style="15"/>
    <col min="9217" max="9246" width="3.26953125" style="15" customWidth="1"/>
    <col min="9247" max="9472" width="9.1796875" style="15"/>
    <col min="9473" max="9502" width="3.26953125" style="15" customWidth="1"/>
    <col min="9503" max="9728" width="9.1796875" style="15"/>
    <col min="9729" max="9758" width="3.26953125" style="15" customWidth="1"/>
    <col min="9759" max="9984" width="9.1796875" style="15"/>
    <col min="9985" max="10014" width="3.26953125" style="15" customWidth="1"/>
    <col min="10015" max="10240" width="9.1796875" style="15"/>
    <col min="10241" max="10270" width="3.26953125" style="15" customWidth="1"/>
    <col min="10271" max="10496" width="9.1796875" style="15"/>
    <col min="10497" max="10526" width="3.26953125" style="15" customWidth="1"/>
    <col min="10527" max="10752" width="9.1796875" style="15"/>
    <col min="10753" max="10782" width="3.26953125" style="15" customWidth="1"/>
    <col min="10783" max="11008" width="9.1796875" style="15"/>
    <col min="11009" max="11038" width="3.26953125" style="15" customWidth="1"/>
    <col min="11039" max="11264" width="9.1796875" style="15"/>
    <col min="11265" max="11294" width="3.26953125" style="15" customWidth="1"/>
    <col min="11295" max="11520" width="9.1796875" style="15"/>
    <col min="11521" max="11550" width="3.26953125" style="15" customWidth="1"/>
    <col min="11551" max="11776" width="9.1796875" style="15"/>
    <col min="11777" max="11806" width="3.26953125" style="15" customWidth="1"/>
    <col min="11807" max="12032" width="9.1796875" style="15"/>
    <col min="12033" max="12062" width="3.26953125" style="15" customWidth="1"/>
    <col min="12063" max="12288" width="9.1796875" style="15"/>
    <col min="12289" max="12318" width="3.26953125" style="15" customWidth="1"/>
    <col min="12319" max="12544" width="9.1796875" style="15"/>
    <col min="12545" max="12574" width="3.26953125" style="15" customWidth="1"/>
    <col min="12575" max="12800" width="9.1796875" style="15"/>
    <col min="12801" max="12830" width="3.26953125" style="15" customWidth="1"/>
    <col min="12831" max="13056" width="9.1796875" style="15"/>
    <col min="13057" max="13086" width="3.26953125" style="15" customWidth="1"/>
    <col min="13087" max="13312" width="9.1796875" style="15"/>
    <col min="13313" max="13342" width="3.26953125" style="15" customWidth="1"/>
    <col min="13343" max="13568" width="9.1796875" style="15"/>
    <col min="13569" max="13598" width="3.26953125" style="15" customWidth="1"/>
    <col min="13599" max="13824" width="9.1796875" style="15"/>
    <col min="13825" max="13854" width="3.26953125" style="15" customWidth="1"/>
    <col min="13855" max="14080" width="9.1796875" style="15"/>
    <col min="14081" max="14110" width="3.26953125" style="15" customWidth="1"/>
    <col min="14111" max="14336" width="9.1796875" style="15"/>
    <col min="14337" max="14366" width="3.26953125" style="15" customWidth="1"/>
    <col min="14367" max="14592" width="9.1796875" style="15"/>
    <col min="14593" max="14622" width="3.26953125" style="15" customWidth="1"/>
    <col min="14623" max="14848" width="9.1796875" style="15"/>
    <col min="14849" max="14878" width="3.26953125" style="15" customWidth="1"/>
    <col min="14879" max="15104" width="9.1796875" style="15"/>
    <col min="15105" max="15134" width="3.26953125" style="15" customWidth="1"/>
    <col min="15135" max="15360" width="9.1796875" style="15"/>
    <col min="15361" max="15390" width="3.26953125" style="15" customWidth="1"/>
    <col min="15391" max="15616" width="9.1796875" style="15"/>
    <col min="15617" max="15646" width="3.26953125" style="15" customWidth="1"/>
    <col min="15647" max="15872" width="9.1796875" style="15"/>
    <col min="15873" max="15902" width="3.26953125" style="15" customWidth="1"/>
    <col min="15903" max="16128" width="9.1796875" style="15"/>
    <col min="16129" max="16158" width="3.26953125" style="15" customWidth="1"/>
    <col min="16159" max="16384" width="9.1796875" style="15"/>
  </cols>
  <sheetData>
    <row r="1" spans="1:30" ht="15" customHeigh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3"/>
    </row>
    <row r="2" spans="1:30" ht="15" customHeight="1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6"/>
    </row>
    <row r="3" spans="1:30" ht="15" customHeight="1" x14ac:dyDescent="0.25">
      <c r="A3" s="4"/>
      <c r="B3" s="5"/>
      <c r="C3" s="5"/>
      <c r="D3" s="5"/>
      <c r="E3" s="5"/>
      <c r="F3" s="5"/>
      <c r="G3" s="5"/>
      <c r="H3" s="7"/>
      <c r="I3" s="7"/>
      <c r="J3" s="7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9"/>
      <c r="X3" s="9"/>
      <c r="Y3" s="9"/>
      <c r="Z3" s="9"/>
      <c r="AA3" s="9"/>
      <c r="AB3" s="9"/>
      <c r="AC3" s="9"/>
      <c r="AD3" s="10"/>
    </row>
    <row r="4" spans="1:30" ht="15" customHeight="1" x14ac:dyDescent="0.2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6"/>
    </row>
    <row r="5" spans="1:30" ht="15" customHeight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6"/>
    </row>
    <row r="6" spans="1:30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6"/>
    </row>
    <row r="7" spans="1:30" ht="15" customHeight="1" thickBot="1" x14ac:dyDescent="0.3">
      <c r="A7" s="11"/>
      <c r="B7" s="12"/>
      <c r="C7" s="12"/>
      <c r="D7" s="12"/>
      <c r="E7" s="12"/>
      <c r="F7" s="13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12"/>
      <c r="AB7" s="12"/>
      <c r="AC7" s="12"/>
      <c r="AD7" s="14"/>
    </row>
    <row r="8" spans="1:30" ht="15" customHeight="1" x14ac:dyDescent="0.25">
      <c r="A8" s="63" t="s">
        <v>66</v>
      </c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5"/>
    </row>
    <row r="9" spans="1:30" ht="15" customHeight="1" x14ac:dyDescent="0.25">
      <c r="A9" s="66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8"/>
    </row>
    <row r="10" spans="1:30" ht="15" customHeight="1" x14ac:dyDescent="0.25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8"/>
    </row>
    <row r="11" spans="1:30" ht="15" customHeight="1" x14ac:dyDescent="0.25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8"/>
    </row>
    <row r="12" spans="1:30" ht="15" customHeight="1" x14ac:dyDescent="0.25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8"/>
    </row>
    <row r="13" spans="1:30" ht="15" customHeight="1" x14ac:dyDescent="0.25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8"/>
    </row>
    <row r="14" spans="1:30" ht="15" customHeight="1" x14ac:dyDescent="0.25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8"/>
    </row>
    <row r="15" spans="1:30" ht="15" customHeight="1" x14ac:dyDescent="0.25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8"/>
    </row>
    <row r="16" spans="1:30" ht="15" customHeight="1" x14ac:dyDescent="0.25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8"/>
    </row>
    <row r="17" spans="1:30" ht="15" customHeight="1" x14ac:dyDescent="0.25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8"/>
    </row>
    <row r="18" spans="1:30" ht="15" customHeight="1" x14ac:dyDescent="0.25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8"/>
    </row>
    <row r="19" spans="1:30" ht="15" customHeight="1" x14ac:dyDescent="0.25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8"/>
    </row>
    <row r="20" spans="1:30" ht="15" customHeight="1" x14ac:dyDescent="0.25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8"/>
    </row>
    <row r="21" spans="1:30" ht="15" customHeight="1" x14ac:dyDescent="0.25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8"/>
    </row>
    <row r="22" spans="1:30" ht="15" customHeight="1" x14ac:dyDescent="0.25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8"/>
    </row>
    <row r="23" spans="1:30" ht="15" customHeight="1" x14ac:dyDescent="0.25">
      <c r="A23" s="66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8"/>
    </row>
    <row r="24" spans="1:30" ht="15" customHeight="1" x14ac:dyDescent="0.25">
      <c r="A24" s="66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8"/>
    </row>
    <row r="25" spans="1:30" ht="15" customHeight="1" x14ac:dyDescent="0.25">
      <c r="A25" s="66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8"/>
    </row>
    <row r="26" spans="1:30" ht="15" customHeight="1" x14ac:dyDescent="0.25">
      <c r="A26" s="66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8"/>
    </row>
    <row r="27" spans="1:30" ht="15" customHeight="1" x14ac:dyDescent="0.25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8"/>
    </row>
    <row r="28" spans="1:30" ht="15" customHeight="1" x14ac:dyDescent="0.25">
      <c r="A28" s="66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8"/>
    </row>
    <row r="29" spans="1:30" ht="15" customHeight="1" x14ac:dyDescent="0.25">
      <c r="A29" s="66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8"/>
    </row>
    <row r="30" spans="1:30" ht="15" customHeight="1" x14ac:dyDescent="0.25">
      <c r="A30" s="66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8"/>
    </row>
    <row r="31" spans="1:30" ht="15" customHeight="1" x14ac:dyDescent="0.25">
      <c r="A31" s="66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8"/>
    </row>
    <row r="32" spans="1:30" ht="15" customHeight="1" x14ac:dyDescent="0.25">
      <c r="A32" s="66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8"/>
    </row>
    <row r="33" spans="1:30" ht="15" customHeight="1" x14ac:dyDescent="0.25">
      <c r="A33" s="66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8"/>
    </row>
    <row r="34" spans="1:30" ht="15" customHeight="1" x14ac:dyDescent="0.25">
      <c r="A34" s="66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8"/>
    </row>
    <row r="35" spans="1:30" ht="15" customHeight="1" x14ac:dyDescent="0.25">
      <c r="A35" s="66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8"/>
    </row>
    <row r="36" spans="1:30" ht="15" customHeight="1" x14ac:dyDescent="0.25">
      <c r="A36" s="66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8"/>
    </row>
    <row r="37" spans="1:30" ht="15" customHeight="1" x14ac:dyDescent="0.25">
      <c r="A37" s="66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8"/>
    </row>
    <row r="38" spans="1:30" ht="15" customHeight="1" x14ac:dyDescent="0.25">
      <c r="A38" s="66"/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8"/>
    </row>
    <row r="39" spans="1:30" ht="15" customHeight="1" thickBot="1" x14ac:dyDescent="0.3">
      <c r="A39" s="69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1"/>
    </row>
    <row r="40" spans="1:30" ht="30" customHeight="1" x14ac:dyDescent="0.25">
      <c r="A40" s="72"/>
      <c r="B40" s="73"/>
      <c r="C40" s="74"/>
      <c r="D40" s="75"/>
      <c r="E40" s="75"/>
      <c r="F40" s="73"/>
      <c r="G40" s="74"/>
      <c r="H40" s="75"/>
      <c r="I40" s="75"/>
      <c r="J40" s="75"/>
      <c r="K40" s="75"/>
      <c r="L40" s="75"/>
      <c r="M40" s="75"/>
      <c r="N40" s="75"/>
      <c r="O40" s="75"/>
      <c r="P40" s="74"/>
      <c r="Q40" s="75"/>
      <c r="R40" s="75"/>
      <c r="S40" s="75"/>
      <c r="T40" s="73"/>
      <c r="U40" s="74"/>
      <c r="V40" s="75"/>
      <c r="W40" s="75"/>
      <c r="X40" s="75"/>
      <c r="Y40" s="73"/>
      <c r="Z40" s="74"/>
      <c r="AA40" s="75"/>
      <c r="AB40" s="75"/>
      <c r="AC40" s="75"/>
      <c r="AD40" s="76"/>
    </row>
    <row r="41" spans="1:30" ht="30" customHeight="1" x14ac:dyDescent="0.25">
      <c r="A41" s="50"/>
      <c r="B41" s="51"/>
      <c r="C41" s="52"/>
      <c r="D41" s="53"/>
      <c r="E41" s="53"/>
      <c r="F41" s="51"/>
      <c r="G41" s="52"/>
      <c r="H41" s="53"/>
      <c r="I41" s="53"/>
      <c r="J41" s="53"/>
      <c r="K41" s="53"/>
      <c r="L41" s="53"/>
      <c r="M41" s="53"/>
      <c r="N41" s="53"/>
      <c r="O41" s="53"/>
      <c r="P41" s="52"/>
      <c r="Q41" s="53"/>
      <c r="R41" s="53"/>
      <c r="S41" s="53"/>
      <c r="T41" s="51"/>
      <c r="U41" s="52"/>
      <c r="V41" s="53"/>
      <c r="W41" s="53"/>
      <c r="X41" s="53"/>
      <c r="Y41" s="51"/>
      <c r="Z41" s="52"/>
      <c r="AA41" s="53"/>
      <c r="AB41" s="53"/>
      <c r="AC41" s="53"/>
      <c r="AD41" s="54"/>
    </row>
    <row r="42" spans="1:30" ht="30" customHeight="1" x14ac:dyDescent="0.25">
      <c r="A42" s="50"/>
      <c r="B42" s="51"/>
      <c r="C42" s="52"/>
      <c r="D42" s="53"/>
      <c r="E42" s="53"/>
      <c r="F42" s="51"/>
      <c r="G42" s="52"/>
      <c r="H42" s="53"/>
      <c r="I42" s="53"/>
      <c r="J42" s="53"/>
      <c r="K42" s="53"/>
      <c r="L42" s="53"/>
      <c r="M42" s="53"/>
      <c r="N42" s="53"/>
      <c r="O42" s="53"/>
      <c r="P42" s="52"/>
      <c r="Q42" s="53"/>
      <c r="R42" s="53"/>
      <c r="S42" s="53"/>
      <c r="T42" s="51"/>
      <c r="U42" s="52"/>
      <c r="V42" s="53"/>
      <c r="W42" s="53"/>
      <c r="X42" s="53"/>
      <c r="Y42" s="51"/>
      <c r="Z42" s="52"/>
      <c r="AA42" s="53"/>
      <c r="AB42" s="53"/>
      <c r="AC42" s="53"/>
      <c r="AD42" s="54"/>
    </row>
    <row r="43" spans="1:30" ht="30" customHeight="1" x14ac:dyDescent="0.25">
      <c r="A43" s="50"/>
      <c r="B43" s="51"/>
      <c r="C43" s="52"/>
      <c r="D43" s="53"/>
      <c r="E43" s="53"/>
      <c r="F43" s="51"/>
      <c r="G43" s="52"/>
      <c r="H43" s="53"/>
      <c r="I43" s="53"/>
      <c r="J43" s="53"/>
      <c r="K43" s="53"/>
      <c r="L43" s="53"/>
      <c r="M43" s="53"/>
      <c r="N43" s="53"/>
      <c r="O43" s="53"/>
      <c r="P43" s="52"/>
      <c r="Q43" s="53"/>
      <c r="R43" s="53"/>
      <c r="S43" s="53"/>
      <c r="T43" s="51"/>
      <c r="U43" s="52"/>
      <c r="V43" s="53"/>
      <c r="W43" s="53"/>
      <c r="X43" s="53"/>
      <c r="Y43" s="51"/>
      <c r="Z43" s="52"/>
      <c r="AA43" s="53"/>
      <c r="AB43" s="53"/>
      <c r="AC43" s="53"/>
      <c r="AD43" s="54"/>
    </row>
    <row r="44" spans="1:30" ht="30" customHeight="1" x14ac:dyDescent="0.25">
      <c r="A44" s="50"/>
      <c r="B44" s="51"/>
      <c r="C44" s="52"/>
      <c r="D44" s="53"/>
      <c r="E44" s="53"/>
      <c r="F44" s="51"/>
      <c r="G44" s="52"/>
      <c r="H44" s="53"/>
      <c r="I44" s="53"/>
      <c r="J44" s="53"/>
      <c r="K44" s="53"/>
      <c r="L44" s="53"/>
      <c r="M44" s="53"/>
      <c r="N44" s="53"/>
      <c r="O44" s="53"/>
      <c r="P44" s="52"/>
      <c r="Q44" s="53"/>
      <c r="R44" s="53"/>
      <c r="S44" s="53"/>
      <c r="T44" s="51"/>
      <c r="U44" s="52"/>
      <c r="V44" s="53"/>
      <c r="W44" s="53"/>
      <c r="X44" s="53"/>
      <c r="Y44" s="51"/>
      <c r="Z44" s="52"/>
      <c r="AA44" s="53"/>
      <c r="AB44" s="53"/>
      <c r="AC44" s="53"/>
      <c r="AD44" s="54"/>
    </row>
    <row r="45" spans="1:30" ht="30" customHeight="1" x14ac:dyDescent="0.25">
      <c r="A45" s="50"/>
      <c r="B45" s="51"/>
      <c r="C45" s="52"/>
      <c r="D45" s="53"/>
      <c r="E45" s="53"/>
      <c r="F45" s="51"/>
      <c r="G45" s="52"/>
      <c r="H45" s="53"/>
      <c r="I45" s="53"/>
      <c r="J45" s="53"/>
      <c r="K45" s="53"/>
      <c r="L45" s="53"/>
      <c r="M45" s="53"/>
      <c r="N45" s="53"/>
      <c r="O45" s="53"/>
      <c r="P45" s="52"/>
      <c r="Q45" s="53"/>
      <c r="R45" s="53"/>
      <c r="S45" s="53"/>
      <c r="T45" s="51"/>
      <c r="U45" s="52"/>
      <c r="V45" s="53"/>
      <c r="W45" s="53"/>
      <c r="X45" s="53"/>
      <c r="Y45" s="51"/>
      <c r="Z45" s="52"/>
      <c r="AA45" s="53"/>
      <c r="AB45" s="53"/>
      <c r="AC45" s="53"/>
      <c r="AD45" s="54"/>
    </row>
    <row r="46" spans="1:30" ht="30" customHeight="1" x14ac:dyDescent="0.25">
      <c r="A46" s="55">
        <v>0</v>
      </c>
      <c r="B46" s="56"/>
      <c r="C46" s="57">
        <v>45716</v>
      </c>
      <c r="D46" s="58"/>
      <c r="E46" s="58"/>
      <c r="F46" s="59"/>
      <c r="G46" s="60" t="s">
        <v>0</v>
      </c>
      <c r="H46" s="61"/>
      <c r="I46" s="61"/>
      <c r="J46" s="61"/>
      <c r="K46" s="61"/>
      <c r="L46" s="61"/>
      <c r="M46" s="61"/>
      <c r="N46" s="61"/>
      <c r="O46" s="61"/>
      <c r="P46" s="47" t="s">
        <v>67</v>
      </c>
      <c r="Q46" s="48"/>
      <c r="R46" s="48"/>
      <c r="S46" s="48"/>
      <c r="T46" s="62"/>
      <c r="U46" s="47" t="s">
        <v>68</v>
      </c>
      <c r="V46" s="48"/>
      <c r="W46" s="48"/>
      <c r="X46" s="48"/>
      <c r="Y46" s="62"/>
      <c r="Z46" s="47" t="s">
        <v>69</v>
      </c>
      <c r="AA46" s="48"/>
      <c r="AB46" s="48"/>
      <c r="AC46" s="48"/>
      <c r="AD46" s="49"/>
    </row>
    <row r="47" spans="1:30" ht="15" customHeight="1" thickBot="1" x14ac:dyDescent="0.3">
      <c r="A47" s="41" t="s">
        <v>1</v>
      </c>
      <c r="B47" s="42"/>
      <c r="C47" s="43" t="s">
        <v>2</v>
      </c>
      <c r="D47" s="44"/>
      <c r="E47" s="44"/>
      <c r="F47" s="45"/>
      <c r="G47" s="43" t="s">
        <v>3</v>
      </c>
      <c r="H47" s="44"/>
      <c r="I47" s="44"/>
      <c r="J47" s="44"/>
      <c r="K47" s="44"/>
      <c r="L47" s="44"/>
      <c r="M47" s="44"/>
      <c r="N47" s="44"/>
      <c r="O47" s="44"/>
      <c r="P47" s="43" t="s">
        <v>4</v>
      </c>
      <c r="Q47" s="44"/>
      <c r="R47" s="44"/>
      <c r="S47" s="44"/>
      <c r="T47" s="45"/>
      <c r="U47" s="43" t="s">
        <v>5</v>
      </c>
      <c r="V47" s="44"/>
      <c r="W47" s="44"/>
      <c r="X47" s="44"/>
      <c r="Y47" s="44"/>
      <c r="Z47" s="43" t="s">
        <v>6</v>
      </c>
      <c r="AA47" s="44"/>
      <c r="AB47" s="44"/>
      <c r="AC47" s="44"/>
      <c r="AD47" s="46"/>
    </row>
    <row r="48" spans="1:30" ht="15" customHeight="1" thickBot="1" x14ac:dyDescent="0.3">
      <c r="A48" s="38" t="s">
        <v>70</v>
      </c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40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76929-ABDC-4C84-A554-D01EBCE6652A}">
  <sheetPr codeName="Foglio1"/>
  <dimension ref="B2:N43"/>
  <sheetViews>
    <sheetView tabSelected="1" topLeftCell="A12" zoomScaleNormal="100" workbookViewId="0">
      <selection activeCell="C36" sqref="C36"/>
    </sheetView>
  </sheetViews>
  <sheetFormatPr defaultRowHeight="14.5" outlineLevelCol="1" x14ac:dyDescent="0.35"/>
  <cols>
    <col min="1" max="1" width="3.7265625" customWidth="1"/>
    <col min="2" max="2" width="10.7265625" bestFit="1" customWidth="1"/>
    <col min="3" max="3" width="15" bestFit="1" customWidth="1"/>
    <col min="4" max="4" width="87" bestFit="1" customWidth="1"/>
    <col min="5" max="5" width="15" style="22" customWidth="1" outlineLevel="1"/>
    <col min="6" max="6" width="3.7265625" customWidth="1"/>
  </cols>
  <sheetData>
    <row r="2" spans="2:8" x14ac:dyDescent="0.35">
      <c r="B2" s="80" t="s">
        <v>7</v>
      </c>
      <c r="C2" s="80"/>
    </row>
    <row r="3" spans="2:8" x14ac:dyDescent="0.35">
      <c r="B3" s="81" t="s">
        <v>8</v>
      </c>
      <c r="C3" s="81"/>
    </row>
    <row r="4" spans="2:8" x14ac:dyDescent="0.35">
      <c r="B4" s="82" t="s">
        <v>9</v>
      </c>
      <c r="C4" s="82"/>
    </row>
    <row r="5" spans="2:8" x14ac:dyDescent="0.35">
      <c r="B5" s="83" t="s">
        <v>10</v>
      </c>
      <c r="C5" s="83"/>
    </row>
    <row r="6" spans="2:8" x14ac:dyDescent="0.35">
      <c r="B6" s="84" t="s">
        <v>11</v>
      </c>
      <c r="C6" s="84"/>
    </row>
    <row r="8" spans="2:8" x14ac:dyDescent="0.35">
      <c r="B8" s="77" t="s">
        <v>43</v>
      </c>
      <c r="C8" s="78"/>
      <c r="D8" s="79"/>
    </row>
    <row r="9" spans="2:8" ht="16.5" x14ac:dyDescent="0.35">
      <c r="B9" s="26" t="s">
        <v>12</v>
      </c>
      <c r="C9" s="16">
        <v>450</v>
      </c>
      <c r="D9" s="27" t="s">
        <v>13</v>
      </c>
      <c r="E9" s="22" t="str">
        <f>B9 &amp; " = " &amp; C9</f>
        <v>D2 [mm] = 450</v>
      </c>
      <c r="G9" t="s">
        <v>46</v>
      </c>
      <c r="H9">
        <v>1</v>
      </c>
    </row>
    <row r="10" spans="2:8" ht="16.5" x14ac:dyDescent="0.35">
      <c r="B10" s="26" t="s">
        <v>14</v>
      </c>
      <c r="C10" s="16">
        <v>30</v>
      </c>
      <c r="D10" s="27" t="s">
        <v>36</v>
      </c>
      <c r="E10" s="22" t="str">
        <f>B10 &amp; " = " &amp; C10</f>
        <v>b2 [mm] = 30</v>
      </c>
      <c r="G10" t="s">
        <v>45</v>
      </c>
      <c r="H10">
        <v>2</v>
      </c>
    </row>
    <row r="11" spans="2:8" ht="16.5" x14ac:dyDescent="0.35">
      <c r="B11" s="26" t="s">
        <v>40</v>
      </c>
      <c r="C11" s="24">
        <v>1</v>
      </c>
      <c r="D11" s="28" t="s">
        <v>41</v>
      </c>
      <c r="G11" t="s">
        <v>47</v>
      </c>
      <c r="H11">
        <v>3</v>
      </c>
    </row>
    <row r="12" spans="2:8" x14ac:dyDescent="0.35">
      <c r="G12" t="s">
        <v>54</v>
      </c>
      <c r="H12">
        <v>4</v>
      </c>
    </row>
    <row r="13" spans="2:8" x14ac:dyDescent="0.35">
      <c r="B13" s="77" t="s">
        <v>42</v>
      </c>
      <c r="C13" s="78"/>
      <c r="D13" s="79"/>
      <c r="G13" t="s">
        <v>48</v>
      </c>
      <c r="H13">
        <v>5</v>
      </c>
    </row>
    <row r="14" spans="2:8" ht="18" customHeight="1" x14ac:dyDescent="0.35">
      <c r="B14" s="26" t="s">
        <v>15</v>
      </c>
      <c r="C14" s="16">
        <v>3000</v>
      </c>
      <c r="D14" s="27" t="s">
        <v>16</v>
      </c>
    </row>
    <row r="15" spans="2:8" ht="16.5" x14ac:dyDescent="0.35">
      <c r="B15" s="29" t="s">
        <v>17</v>
      </c>
      <c r="C15" s="16">
        <v>1000</v>
      </c>
      <c r="D15" s="27" t="s">
        <v>18</v>
      </c>
    </row>
    <row r="16" spans="2:8" ht="16.5" x14ac:dyDescent="0.35">
      <c r="B16" s="29" t="s">
        <v>19</v>
      </c>
      <c r="C16" s="17">
        <f>10^-6</f>
        <v>9.9999999999999995E-7</v>
      </c>
      <c r="D16" s="27" t="s">
        <v>20</v>
      </c>
    </row>
    <row r="17" spans="2:5" ht="16.5" x14ac:dyDescent="0.35">
      <c r="B17" s="26" t="s">
        <v>21</v>
      </c>
      <c r="C17" s="16">
        <v>125</v>
      </c>
      <c r="D17" s="27" t="s">
        <v>50</v>
      </c>
    </row>
    <row r="18" spans="2:5" x14ac:dyDescent="0.35">
      <c r="B18" s="26" t="s">
        <v>22</v>
      </c>
      <c r="C18" s="16">
        <v>80</v>
      </c>
      <c r="D18" s="27" t="s">
        <v>23</v>
      </c>
    </row>
    <row r="19" spans="2:5" ht="16.5" x14ac:dyDescent="0.35">
      <c r="B19" s="26" t="s">
        <v>24</v>
      </c>
      <c r="C19" s="16">
        <v>250</v>
      </c>
      <c r="D19" s="27" t="s">
        <v>49</v>
      </c>
    </row>
    <row r="20" spans="2:5" ht="16.5" x14ac:dyDescent="0.35">
      <c r="B20" s="26" t="s">
        <v>25</v>
      </c>
      <c r="C20" s="16">
        <v>75</v>
      </c>
      <c r="D20" s="28" t="s">
        <v>26</v>
      </c>
    </row>
    <row r="22" spans="2:5" x14ac:dyDescent="0.35">
      <c r="B22" s="77" t="s">
        <v>38</v>
      </c>
      <c r="C22" s="78"/>
      <c r="D22" s="79"/>
    </row>
    <row r="23" spans="2:5" ht="16.5" x14ac:dyDescent="0.35">
      <c r="B23" s="26" t="s">
        <v>27</v>
      </c>
      <c r="C23" s="30">
        <f>+C17/C19*100</f>
        <v>50</v>
      </c>
      <c r="D23" s="27" t="s">
        <v>37</v>
      </c>
    </row>
    <row r="24" spans="2:5" ht="16.5" x14ac:dyDescent="0.35">
      <c r="B24" s="26" t="s">
        <v>59</v>
      </c>
      <c r="C24" s="31">
        <f>+C14*(C19/3600)^0.5/C20^0.75/C11^0.5</f>
        <v>31.020161970069996</v>
      </c>
      <c r="D24" s="28" t="s">
        <v>28</v>
      </c>
    </row>
    <row r="26" spans="2:5" x14ac:dyDescent="0.35">
      <c r="B26" s="77" t="s">
        <v>60</v>
      </c>
      <c r="C26" s="78"/>
      <c r="D26" s="79"/>
    </row>
    <row r="27" spans="2:5" x14ac:dyDescent="0.35">
      <c r="B27" s="26" t="s">
        <v>39</v>
      </c>
      <c r="C27" s="16" t="s">
        <v>46</v>
      </c>
      <c r="D27" s="28" t="s">
        <v>65</v>
      </c>
      <c r="E27" s="22">
        <f>+VLOOKUP(C27,G9:H13,2,FALSE)</f>
        <v>1</v>
      </c>
    </row>
    <row r="28" spans="2:5" ht="16.5" x14ac:dyDescent="0.35">
      <c r="B28" s="29" t="s">
        <v>44</v>
      </c>
      <c r="C28" s="16">
        <v>180</v>
      </c>
      <c r="D28" s="27" t="s">
        <v>52</v>
      </c>
    </row>
    <row r="29" spans="2:5" x14ac:dyDescent="0.35">
      <c r="B29" s="36" t="s">
        <v>53</v>
      </c>
      <c r="C29" s="32"/>
      <c r="D29" s="37" t="s">
        <v>53</v>
      </c>
    </row>
    <row r="30" spans="2:5" x14ac:dyDescent="0.35">
      <c r="B30" s="36" t="s">
        <v>53</v>
      </c>
      <c r="C30" s="32"/>
      <c r="D30" s="37" t="s">
        <v>53</v>
      </c>
    </row>
    <row r="31" spans="2:5" ht="16.5" x14ac:dyDescent="0.35">
      <c r="B31" s="26" t="s">
        <v>55</v>
      </c>
      <c r="C31" s="32" cm="1">
        <f t="array" ref="C31">rad_thrust_factor(E27,C23,C24,C11,C28,C29,C30)</f>
        <v>0.14442859787735354</v>
      </c>
      <c r="D31" s="28" t="s">
        <v>57</v>
      </c>
    </row>
    <row r="32" spans="2:5" ht="16.5" x14ac:dyDescent="0.35">
      <c r="B32" s="26" t="s">
        <v>56</v>
      </c>
      <c r="C32" s="33">
        <f>IFERROR(C31*C15*9.806*C18*C9*C10*10^-6,"N/A")</f>
        <v>1529.5681772481553</v>
      </c>
      <c r="D32" s="28" t="s">
        <v>63</v>
      </c>
      <c r="E32" s="22" t="str">
        <f>B32 &amp; " = GULICH " &amp; IFERROR(ROUND(C32,0),"N/A") &amp; "
ANSI/HI-1.3 " &amp; IFERROR(ROUND(C42,0),"N/A")</f>
        <v>FR [N] = GULICH 1530
ANSI/HI-1.3 1843</v>
      </c>
    </row>
    <row r="34" spans="2:14" x14ac:dyDescent="0.35">
      <c r="B34" s="77" t="s">
        <v>61</v>
      </c>
      <c r="C34" s="78"/>
      <c r="D34" s="79"/>
    </row>
    <row r="35" spans="2:14" x14ac:dyDescent="0.35">
      <c r="B35" s="26" t="s">
        <v>39</v>
      </c>
      <c r="C35" s="32" t="str">
        <f>C27</f>
        <v>single</v>
      </c>
      <c r="D35" s="28" t="s">
        <v>65</v>
      </c>
      <c r="N35" s="34"/>
    </row>
    <row r="36" spans="2:14" ht="16.5" x14ac:dyDescent="0.35">
      <c r="B36" s="26" t="s">
        <v>62</v>
      </c>
      <c r="C36" s="32" t="s">
        <v>71</v>
      </c>
      <c r="D36" s="28" t="s">
        <v>53</v>
      </c>
      <c r="N36" s="34"/>
    </row>
    <row r="37" spans="2:14" ht="16.5" x14ac:dyDescent="0.35">
      <c r="B37" s="26" t="s">
        <v>56</v>
      </c>
      <c r="C37" s="33" t="str">
        <f>IFERROR(C36*C15*9.806*C18*C9*C10*10^-6,"N/A")</f>
        <v>N/A</v>
      </c>
      <c r="D37" s="28" t="s">
        <v>64</v>
      </c>
      <c r="N37" s="34"/>
    </row>
    <row r="38" spans="2:14" x14ac:dyDescent="0.35">
      <c r="N38" s="34"/>
    </row>
    <row r="39" spans="2:14" x14ac:dyDescent="0.35">
      <c r="B39" s="77" t="s">
        <v>58</v>
      </c>
      <c r="C39" s="78"/>
      <c r="D39" s="79"/>
      <c r="N39" s="34"/>
    </row>
    <row r="40" spans="2:14" x14ac:dyDescent="0.35">
      <c r="B40" s="26" t="s">
        <v>39</v>
      </c>
      <c r="C40" s="16" t="s">
        <v>46</v>
      </c>
      <c r="D40" s="28" t="s">
        <v>35</v>
      </c>
    </row>
    <row r="41" spans="2:14" ht="16.5" x14ac:dyDescent="0.35">
      <c r="B41" s="26" t="s">
        <v>51</v>
      </c>
      <c r="C41" s="35" cm="1">
        <f t="array" ref="C41">IFERROR(interp(C23,'HI-1.3'!S3:S43,'HI-1.3'!Y3:Y43),"N/A")</f>
        <v>0.17394105000293331</v>
      </c>
      <c r="D41" s="27" t="s">
        <v>29</v>
      </c>
    </row>
    <row r="42" spans="2:14" ht="16.5" x14ac:dyDescent="0.35">
      <c r="B42" s="26" t="s">
        <v>56</v>
      </c>
      <c r="C42" s="33">
        <f>IFERROR(C41*C18*C15*9.81*C9*C10/10^6,"N/A")</f>
        <v>1842.8706365710777</v>
      </c>
      <c r="D42" s="28" t="s">
        <v>30</v>
      </c>
    </row>
    <row r="43" spans="2:14" ht="18" customHeight="1" x14ac:dyDescent="0.35"/>
  </sheetData>
  <dataConsolidate/>
  <mergeCells count="11">
    <mergeCell ref="B39:D39"/>
    <mergeCell ref="B2:C2"/>
    <mergeCell ref="B3:C3"/>
    <mergeCell ref="B4:C4"/>
    <mergeCell ref="B5:C5"/>
    <mergeCell ref="B6:C6"/>
    <mergeCell ref="B13:D13"/>
    <mergeCell ref="B22:D22"/>
    <mergeCell ref="B8:D8"/>
    <mergeCell ref="B26:D26"/>
    <mergeCell ref="B34:D34"/>
  </mergeCells>
  <dataValidations count="4">
    <dataValidation type="list" allowBlank="1" showInputMessage="1" showErrorMessage="1" sqref="C40" xr:uid="{8434A7DA-BC2B-454C-89D6-38888624AE63}">
      <formula1>"single, double, concentric"</formula1>
    </dataValidation>
    <dataValidation type="list" allowBlank="1" showInputMessage="1" showErrorMessage="1" sqref="C11" xr:uid="{87094199-CEBD-4C6C-8A29-DFC54D0402F2}">
      <formula1>"1, 2"</formula1>
    </dataValidation>
    <dataValidation type="list" allowBlank="1" showInputMessage="1" showErrorMessage="1" sqref="C27" xr:uid="{440957A0-7EB8-4E8F-BF20-1E86C5201F10}">
      <formula1>"single, double, twin, annular casing, diffuser"</formula1>
    </dataValidation>
    <dataValidation type="decimal" allowBlank="1" showInputMessage="1" showErrorMessage="1" errorTitle="Error" error="Input out of range 0.01 - 0.05. Please select it within this range." sqref="C36" xr:uid="{00DDC196-263E-4C23-9CF2-E1DADFF4D45B}">
      <formula1>0.01</formula1>
      <formula2>0.05</formula2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6C7DE-EFDC-4755-9567-3B8BC450241D}">
  <sheetPr codeName="Foglio2"/>
  <dimension ref="A1:Y43"/>
  <sheetViews>
    <sheetView workbookViewId="0">
      <selection activeCell="S40" sqref="S40"/>
    </sheetView>
  </sheetViews>
  <sheetFormatPr defaultColWidth="9.1796875" defaultRowHeight="14.5" x14ac:dyDescent="0.35"/>
  <cols>
    <col min="1" max="6" width="9.1796875" style="22"/>
    <col min="7" max="7" width="3" style="22" customWidth="1"/>
    <col min="8" max="13" width="9.1796875" style="22"/>
    <col min="14" max="14" width="3" style="22" customWidth="1"/>
    <col min="15" max="15" width="10.7265625" style="22" bestFit="1" customWidth="1"/>
    <col min="16" max="17" width="9.1796875" style="22"/>
    <col min="18" max="18" width="3" style="22" customWidth="1"/>
    <col min="19" max="19" width="10.7265625" style="22" bestFit="1" customWidth="1"/>
    <col min="20" max="16384" width="9.1796875" style="22"/>
  </cols>
  <sheetData>
    <row r="1" spans="1:25" x14ac:dyDescent="0.35">
      <c r="A1" s="18" t="s">
        <v>31</v>
      </c>
      <c r="B1" s="19"/>
      <c r="C1" s="19"/>
      <c r="D1" s="19"/>
      <c r="E1" s="19"/>
      <c r="F1" s="19"/>
      <c r="G1" s="19"/>
      <c r="H1" s="18" t="s">
        <v>32</v>
      </c>
      <c r="N1" s="19"/>
      <c r="O1" s="23" t="s">
        <v>34</v>
      </c>
      <c r="R1" s="19"/>
    </row>
    <row r="2" spans="1:25" x14ac:dyDescent="0.35">
      <c r="A2" s="18" t="s">
        <v>33</v>
      </c>
      <c r="B2" s="18">
        <v>9.6999999999999993</v>
      </c>
      <c r="C2" s="18">
        <v>19</v>
      </c>
      <c r="D2" s="18">
        <v>29</v>
      </c>
      <c r="E2" s="18">
        <v>38</v>
      </c>
      <c r="F2" s="18">
        <v>67</v>
      </c>
      <c r="G2" s="18"/>
      <c r="H2" s="18" t="s">
        <v>33</v>
      </c>
      <c r="I2" s="18">
        <v>9.6999999999999993</v>
      </c>
      <c r="J2" s="18">
        <v>19</v>
      </c>
      <c r="K2" s="18">
        <v>29</v>
      </c>
      <c r="L2" s="18">
        <v>38</v>
      </c>
      <c r="M2" s="18">
        <v>67</v>
      </c>
      <c r="N2" s="18"/>
      <c r="O2" s="18" t="s">
        <v>33</v>
      </c>
      <c r="P2" s="18">
        <v>20</v>
      </c>
      <c r="Q2" s="20">
        <v>20</v>
      </c>
      <c r="R2" s="18"/>
      <c r="S2" s="18" t="s">
        <v>33</v>
      </c>
      <c r="T2" s="18">
        <f>+IF(radial_thrust!$C$40="single",'HI-1.3'!B2,IF(radial_thrust!$C$40="double",'HI-1.3'!I2,IF(radial_thrust!$C$40="concentric",$P2,"")))</f>
        <v>9.6999999999999993</v>
      </c>
      <c r="U2" s="18">
        <f>+IF(radial_thrust!$C$40="single",'HI-1.3'!C2,IF(radial_thrust!$C$40="double",'HI-1.3'!J2,IF(radial_thrust!$C$40="concentric",$P2,"")))</f>
        <v>19</v>
      </c>
      <c r="V2" s="18">
        <f>+IF(radial_thrust!$C$40="single",'HI-1.3'!D2,IF(radial_thrust!$C$40="double",'HI-1.3'!K2,IF(radial_thrust!$C$40="concentric",$P2,"")))</f>
        <v>29</v>
      </c>
      <c r="W2" s="18">
        <f>+IF(radial_thrust!$C$40="single",'HI-1.3'!E2,IF(radial_thrust!$C$40="double",'HI-1.3'!L2,IF(radial_thrust!$C$40="concentric",$P2,"")))</f>
        <v>38</v>
      </c>
      <c r="X2" s="18">
        <f>+IF(radial_thrust!$C$40="single",'HI-1.3'!F2,IF(radial_thrust!$C$40="double",'HI-1.3'!M2,IF(radial_thrust!$C$40="concentric",$P2,"")))</f>
        <v>67</v>
      </c>
      <c r="Y2" s="25">
        <f>radial_thrust!C24</f>
        <v>31.020161970069996</v>
      </c>
    </row>
    <row r="3" spans="1:25" x14ac:dyDescent="0.35">
      <c r="A3" s="19">
        <v>0</v>
      </c>
      <c r="B3" s="21">
        <v>9.2705169688593894E-2</v>
      </c>
      <c r="C3" s="21">
        <v>0.17883713039664301</v>
      </c>
      <c r="D3" s="21">
        <v>0.25182267314360401</v>
      </c>
      <c r="E3" s="21">
        <v>0.31094845207259197</v>
      </c>
      <c r="F3" s="21">
        <v>0.37737319904997502</v>
      </c>
      <c r="G3" s="21"/>
      <c r="H3" s="19">
        <v>0</v>
      </c>
      <c r="I3" s="21">
        <v>1.7339222566831299E-2</v>
      </c>
      <c r="J3" s="21">
        <v>3.1543152520122124E-2</v>
      </c>
      <c r="K3" s="21">
        <v>4.9742881746640912E-2</v>
      </c>
      <c r="L3" s="21">
        <v>7.9728609530437256E-2</v>
      </c>
      <c r="M3" s="21">
        <v>0.10445644531051443</v>
      </c>
      <c r="N3" s="21"/>
      <c r="O3" s="22">
        <f>+H3</f>
        <v>0</v>
      </c>
      <c r="P3" s="22">
        <v>0.21993333714407295</v>
      </c>
      <c r="Q3" s="22">
        <v>0.21993333714407295</v>
      </c>
      <c r="R3" s="21"/>
      <c r="S3" s="22">
        <f>+O3</f>
        <v>0</v>
      </c>
      <c r="T3" s="22">
        <f>+IF(radial_thrust!$C$40="single",'HI-1.3'!B3,IF(radial_thrust!$C$40="double",'HI-1.3'!I3,IF(radial_thrust!$C$40="concentric",$P3,"")))</f>
        <v>9.2705169688593894E-2</v>
      </c>
      <c r="U3" s="22">
        <f>+IF(radial_thrust!$C$40="single",'HI-1.3'!C3,IF(radial_thrust!$C$40="double",'HI-1.3'!J3,IF(radial_thrust!$C$40="concentric",$P3,"")))</f>
        <v>0.17883713039664301</v>
      </c>
      <c r="V3" s="22">
        <f>+IF(radial_thrust!$C$40="single",'HI-1.3'!D3,IF(radial_thrust!$C$40="double",'HI-1.3'!K3,IF(radial_thrust!$C$40="concentric",$P3,"")))</f>
        <v>0.25182267314360401</v>
      </c>
      <c r="W3" s="22">
        <f>+IF(radial_thrust!$C$40="single",'HI-1.3'!E3,IF(radial_thrust!$C$40="double",'HI-1.3'!L3,IF(radial_thrust!$C$40="concentric",$P3,"")))</f>
        <v>0.31094845207259197</v>
      </c>
      <c r="X3" s="22">
        <f>+IF(radial_thrust!$C$40="single",'HI-1.3'!F3,IF(radial_thrust!$C$40="double",'HI-1.3'!M3,IF(radial_thrust!$C$40="concentric",$P3,"")))</f>
        <v>0.37737319904997502</v>
      </c>
      <c r="Y3" s="22" cm="1">
        <f t="array" ref="Y3">+IF(radial_thrust!$C$40="concentric",T3,interp(Y2,T2:X2,T3:X3))</f>
        <v>0.26509418981506039</v>
      </c>
    </row>
    <row r="4" spans="1:25" x14ac:dyDescent="0.35">
      <c r="A4" s="19">
        <v>3</v>
      </c>
      <c r="B4" s="21">
        <v>8.9541066617225371E-2</v>
      </c>
      <c r="C4" s="21">
        <v>0.17568782449923215</v>
      </c>
      <c r="D4" s="21">
        <v>0.24821157060621382</v>
      </c>
      <c r="E4" s="21">
        <v>0.30682223070466008</v>
      </c>
      <c r="F4" s="21">
        <v>0.37571416665170021</v>
      </c>
      <c r="G4" s="21"/>
      <c r="H4" s="19">
        <v>3</v>
      </c>
      <c r="I4" s="21">
        <v>1.7116843815576134E-2</v>
      </c>
      <c r="J4" s="21">
        <v>3.0652640695376918E-2</v>
      </c>
      <c r="K4" s="21">
        <v>4.705788477052384E-2</v>
      </c>
      <c r="L4" s="21">
        <v>7.559143989141047E-2</v>
      </c>
      <c r="M4" s="21">
        <v>9.6998361156718352E-2</v>
      </c>
      <c r="N4" s="21"/>
      <c r="O4" s="22">
        <f t="shared" ref="O4:O43" si="0">+H4</f>
        <v>3</v>
      </c>
      <c r="P4" s="22">
        <v>0.21076690770942422</v>
      </c>
      <c r="Q4" s="22">
        <v>0.21076690770942422</v>
      </c>
      <c r="R4" s="21"/>
      <c r="S4" s="22">
        <f t="shared" ref="S4:S43" si="1">+O4</f>
        <v>3</v>
      </c>
      <c r="T4" s="22">
        <f>+IF(radial_thrust!$C$40="single",'HI-1.3'!B4,IF(radial_thrust!$C$40="double",'HI-1.3'!I4,IF(radial_thrust!$C$40="concentric",$P4,"")))</f>
        <v>8.9541066617225371E-2</v>
      </c>
      <c r="U4" s="22">
        <f>+IF(radial_thrust!$C$40="single",'HI-1.3'!C4,IF(radial_thrust!$C$40="double",'HI-1.3'!J4,IF(radial_thrust!$C$40="concentric",$P4,"")))</f>
        <v>0.17568782449923215</v>
      </c>
      <c r="V4" s="22">
        <f>+IF(radial_thrust!$C$40="single",'HI-1.3'!D4,IF(radial_thrust!$C$40="double",'HI-1.3'!K4,IF(radial_thrust!$C$40="concentric",$P4,"")))</f>
        <v>0.24821157060621382</v>
      </c>
      <c r="W4" s="22">
        <f>+IF(radial_thrust!$C$40="single",'HI-1.3'!E4,IF(radial_thrust!$C$40="double",'HI-1.3'!L4,IF(radial_thrust!$C$40="concentric",$P4,"")))</f>
        <v>0.30682223070466008</v>
      </c>
      <c r="X4" s="22">
        <f>+IF(radial_thrust!$C$40="single",'HI-1.3'!F4,IF(radial_thrust!$C$40="double",'HI-1.3'!M4,IF(radial_thrust!$C$40="concentric",$P4,"")))</f>
        <v>0.37571416665170021</v>
      </c>
      <c r="Y4" s="22" cm="1">
        <f t="array" ref="Y4">+IF(radial_thrust!$C$40="concentric",T4,interp(Y3,T3:X3,T4:X4))</f>
        <v>0.26136746244750048</v>
      </c>
    </row>
    <row r="5" spans="1:25" x14ac:dyDescent="0.35">
      <c r="A5" s="19">
        <v>6</v>
      </c>
      <c r="B5" s="21">
        <v>8.8170835554352192E-2</v>
      </c>
      <c r="C5" s="21">
        <v>0.17321461892009771</v>
      </c>
      <c r="D5" s="21">
        <v>0.24458801076610143</v>
      </c>
      <c r="E5" s="21">
        <v>0.30165023928124529</v>
      </c>
      <c r="F5" s="21">
        <v>0.37387952659417933</v>
      </c>
      <c r="G5" s="21"/>
      <c r="H5" s="19">
        <v>6</v>
      </c>
      <c r="I5" s="21">
        <v>1.7161508827983108E-2</v>
      </c>
      <c r="J5" s="21">
        <v>2.9717340093491803E-2</v>
      </c>
      <c r="K5" s="21">
        <v>4.5112989334754432E-2</v>
      </c>
      <c r="L5" s="21">
        <v>7.1458873035387768E-2</v>
      </c>
      <c r="M5" s="21">
        <v>8.9244898637524342E-2</v>
      </c>
      <c r="N5" s="21"/>
      <c r="O5" s="22">
        <f t="shared" si="0"/>
        <v>6</v>
      </c>
      <c r="P5" s="22">
        <v>0.19935371556832776</v>
      </c>
      <c r="Q5" s="22">
        <v>0.19935371556832776</v>
      </c>
      <c r="R5" s="21"/>
      <c r="S5" s="22">
        <f t="shared" si="1"/>
        <v>6</v>
      </c>
      <c r="T5" s="22">
        <f>+IF(radial_thrust!$C$40="single",'HI-1.3'!B5,IF(radial_thrust!$C$40="double",'HI-1.3'!I5,IF(radial_thrust!$C$40="concentric",$P5,"")))</f>
        <v>8.8170835554352192E-2</v>
      </c>
      <c r="U5" s="22">
        <f>+IF(radial_thrust!$C$40="single",'HI-1.3'!C5,IF(radial_thrust!$C$40="double",'HI-1.3'!J5,IF(radial_thrust!$C$40="concentric",$P5,"")))</f>
        <v>0.17321461892009771</v>
      </c>
      <c r="V5" s="22">
        <f>+IF(radial_thrust!$C$40="single",'HI-1.3'!D5,IF(radial_thrust!$C$40="double",'HI-1.3'!K5,IF(radial_thrust!$C$40="concentric",$P5,"")))</f>
        <v>0.24458801076610143</v>
      </c>
      <c r="W5" s="22">
        <f>+IF(radial_thrust!$C$40="single",'HI-1.3'!E5,IF(radial_thrust!$C$40="double",'HI-1.3'!L5,IF(radial_thrust!$C$40="concentric",$P5,"")))</f>
        <v>0.30165023928124529</v>
      </c>
      <c r="X5" s="22">
        <f>+IF(radial_thrust!$C$40="single",'HI-1.3'!F5,IF(radial_thrust!$C$40="double",'HI-1.3'!M5,IF(radial_thrust!$C$40="concentric",$P5,"")))</f>
        <v>0.37387952659417933</v>
      </c>
      <c r="Y5" s="22" cm="1">
        <f t="array" ref="Y5">+IF(radial_thrust!$C$40="concentric",T5,interp(Y4,T4:X4,T5:X5))</f>
        <v>0.25739633787429445</v>
      </c>
    </row>
    <row r="6" spans="1:25" x14ac:dyDescent="0.35">
      <c r="A6" s="19">
        <v>9</v>
      </c>
      <c r="B6" s="21">
        <v>8.6448972309757469E-2</v>
      </c>
      <c r="C6" s="21">
        <v>0.16855838430271114</v>
      </c>
      <c r="D6" s="21">
        <v>0.24031557109143378</v>
      </c>
      <c r="E6" s="21">
        <v>0.29791962318279558</v>
      </c>
      <c r="F6" s="21">
        <v>0.37165826037048288</v>
      </c>
      <c r="G6" s="21"/>
      <c r="H6" s="19">
        <v>9</v>
      </c>
      <c r="I6" s="21">
        <v>1.7617818647196155E-2</v>
      </c>
      <c r="J6" s="21">
        <v>2.9762005105898711E-2</v>
      </c>
      <c r="K6" s="21">
        <v>4.2844890315146399E-2</v>
      </c>
      <c r="L6" s="21">
        <v>6.7348760722588677E-2</v>
      </c>
      <c r="M6" s="21">
        <v>8.3037862030666376E-2</v>
      </c>
      <c r="N6" s="21"/>
      <c r="O6" s="22">
        <f t="shared" si="0"/>
        <v>9</v>
      </c>
      <c r="P6" s="22">
        <v>0.19000778099040899</v>
      </c>
      <c r="Q6" s="22">
        <v>0.19000778099040899</v>
      </c>
      <c r="R6" s="21"/>
      <c r="S6" s="22">
        <f t="shared" si="1"/>
        <v>9</v>
      </c>
      <c r="T6" s="22">
        <f>+IF(radial_thrust!$C$40="single",'HI-1.3'!B6,IF(radial_thrust!$C$40="double",'HI-1.3'!I6,IF(radial_thrust!$C$40="concentric",$P6,"")))</f>
        <v>8.6448972309757469E-2</v>
      </c>
      <c r="U6" s="22">
        <f>+IF(radial_thrust!$C$40="single",'HI-1.3'!C6,IF(radial_thrust!$C$40="double",'HI-1.3'!J6,IF(radial_thrust!$C$40="concentric",$P6,"")))</f>
        <v>0.16855838430271114</v>
      </c>
      <c r="V6" s="22">
        <f>+IF(radial_thrust!$C$40="single",'HI-1.3'!D6,IF(radial_thrust!$C$40="double",'HI-1.3'!K6,IF(radial_thrust!$C$40="concentric",$P6,"")))</f>
        <v>0.24031557109143378</v>
      </c>
      <c r="W6" s="22">
        <f>+IF(radial_thrust!$C$40="single",'HI-1.3'!E6,IF(radial_thrust!$C$40="double",'HI-1.3'!L6,IF(radial_thrust!$C$40="concentric",$P6,"")))</f>
        <v>0.29791962318279558</v>
      </c>
      <c r="X6" s="22">
        <f>+IF(radial_thrust!$C$40="single",'HI-1.3'!F6,IF(radial_thrust!$C$40="double",'HI-1.3'!M6,IF(radial_thrust!$C$40="concentric",$P6,"")))</f>
        <v>0.37165826037048288</v>
      </c>
      <c r="Y6" s="22" cm="1">
        <f t="array" ref="Y6">+IF(radial_thrust!$C$40="concentric",T6,interp(Y5,T5:X5,T6:X6))</f>
        <v>0.25324551724220046</v>
      </c>
    </row>
    <row r="7" spans="1:25" x14ac:dyDescent="0.35">
      <c r="A7" s="19">
        <v>12</v>
      </c>
      <c r="B7" s="21">
        <v>8.3740884914833461E-2</v>
      </c>
      <c r="C7" s="21">
        <v>0.16504316647242831</v>
      </c>
      <c r="D7" s="21">
        <v>0.23604008576876689</v>
      </c>
      <c r="E7" s="21">
        <v>0.29401682490364822</v>
      </c>
      <c r="F7" s="21">
        <v>0.368552549556388</v>
      </c>
      <c r="G7" s="21"/>
      <c r="H7" s="19">
        <v>12</v>
      </c>
      <c r="I7" s="21">
        <v>1.7939956347041451E-2</v>
      </c>
      <c r="J7" s="21">
        <v>2.980667011830572E-2</v>
      </c>
      <c r="K7" s="21">
        <v>4.1370025095854537E-2</v>
      </c>
      <c r="L7" s="21">
        <v>6.4565088136709387E-2</v>
      </c>
      <c r="M7" s="21">
        <v>7.7123081897892604E-2</v>
      </c>
      <c r="N7" s="21"/>
      <c r="O7" s="22">
        <f t="shared" si="0"/>
        <v>12</v>
      </c>
      <c r="P7" s="22">
        <v>0.17944358456766424</v>
      </c>
      <c r="Q7" s="22">
        <v>0.17944358456766424</v>
      </c>
      <c r="R7" s="21"/>
      <c r="S7" s="22">
        <f t="shared" si="1"/>
        <v>12</v>
      </c>
      <c r="T7" s="22">
        <f>+IF(radial_thrust!$C$40="single",'HI-1.3'!B7,IF(radial_thrust!$C$40="double",'HI-1.3'!I7,IF(radial_thrust!$C$40="concentric",$P7,"")))</f>
        <v>8.3740884914833461E-2</v>
      </c>
      <c r="U7" s="22">
        <f>+IF(radial_thrust!$C$40="single",'HI-1.3'!C7,IF(radial_thrust!$C$40="double",'HI-1.3'!J7,IF(radial_thrust!$C$40="concentric",$P7,"")))</f>
        <v>0.16504316647242831</v>
      </c>
      <c r="V7" s="22">
        <f>+IF(radial_thrust!$C$40="single",'HI-1.3'!D7,IF(radial_thrust!$C$40="double",'HI-1.3'!K7,IF(radial_thrust!$C$40="concentric",$P7,"")))</f>
        <v>0.23604008576876689</v>
      </c>
      <c r="W7" s="22">
        <f>+IF(radial_thrust!$C$40="single",'HI-1.3'!E7,IF(radial_thrust!$C$40="double",'HI-1.3'!L7,IF(radial_thrust!$C$40="concentric",$P7,"")))</f>
        <v>0.29401682490364822</v>
      </c>
      <c r="X7" s="22">
        <f>+IF(radial_thrust!$C$40="single",'HI-1.3'!F7,IF(radial_thrust!$C$40="double",'HI-1.3'!M7,IF(radial_thrust!$C$40="concentric",$P7,"")))</f>
        <v>0.368552549556388</v>
      </c>
      <c r="Y7" s="22" cm="1">
        <f t="array" ref="Y7">+IF(radial_thrust!$C$40="concentric",T7,interp(Y6,T6:X6,T7:X7))</f>
        <v>0.24905368616309534</v>
      </c>
    </row>
    <row r="8" spans="1:25" x14ac:dyDescent="0.35">
      <c r="A8" s="19">
        <v>15</v>
      </c>
      <c r="B8" s="21">
        <v>8.1944263731630093E-2</v>
      </c>
      <c r="C8" s="21">
        <v>0.16167023905577776</v>
      </c>
      <c r="D8" s="21">
        <v>0.23182988709897831</v>
      </c>
      <c r="E8" s="21">
        <v>0.28938185497150765</v>
      </c>
      <c r="F8" s="21">
        <v>0.36496586169485745</v>
      </c>
      <c r="G8" s="21"/>
      <c r="H8" s="19">
        <v>15</v>
      </c>
      <c r="I8" s="21">
        <v>1.8187341393003362E-2</v>
      </c>
      <c r="J8" s="21">
        <v>2.9320790040341167E-2</v>
      </c>
      <c r="K8" s="21">
        <v>4.0197452311910846E-2</v>
      </c>
      <c r="L8" s="21">
        <v>6.1778811735109872E-2</v>
      </c>
      <c r="M8" s="21">
        <v>7.2907815115499083E-2</v>
      </c>
      <c r="N8" s="21"/>
      <c r="O8" s="22">
        <f t="shared" si="0"/>
        <v>15</v>
      </c>
      <c r="P8" s="22">
        <v>0.16993242861396873</v>
      </c>
      <c r="Q8" s="22">
        <v>0.16993242861396873</v>
      </c>
      <c r="R8" s="21"/>
      <c r="S8" s="22">
        <f t="shared" si="1"/>
        <v>15</v>
      </c>
      <c r="T8" s="22">
        <f>+IF(radial_thrust!$C$40="single",'HI-1.3'!B8,IF(radial_thrust!$C$40="double",'HI-1.3'!I8,IF(radial_thrust!$C$40="concentric",$P8,"")))</f>
        <v>8.1944263731630093E-2</v>
      </c>
      <c r="U8" s="22">
        <f>+IF(radial_thrust!$C$40="single",'HI-1.3'!C8,IF(radial_thrust!$C$40="double",'HI-1.3'!J8,IF(radial_thrust!$C$40="concentric",$P8,"")))</f>
        <v>0.16167023905577776</v>
      </c>
      <c r="V8" s="22">
        <f>+IF(radial_thrust!$C$40="single",'HI-1.3'!D8,IF(radial_thrust!$C$40="double",'HI-1.3'!K8,IF(radial_thrust!$C$40="concentric",$P8,"")))</f>
        <v>0.23182988709897831</v>
      </c>
      <c r="W8" s="22">
        <f>+IF(radial_thrust!$C$40="single",'HI-1.3'!E8,IF(radial_thrust!$C$40="double",'HI-1.3'!L8,IF(radial_thrust!$C$40="concentric",$P8,"")))</f>
        <v>0.28938185497150765</v>
      </c>
      <c r="X8" s="22">
        <f>+IF(radial_thrust!$C$40="single",'HI-1.3'!F8,IF(radial_thrust!$C$40="double",'HI-1.3'!M8,IF(radial_thrust!$C$40="concentric",$P8,"")))</f>
        <v>0.36496586169485745</v>
      </c>
      <c r="Y8" s="22" cm="1">
        <f t="array" ref="Y8">+IF(radial_thrust!$C$40="concentric",T8,interp(Y7,T7:X7,T8:X8))</f>
        <v>0.24474814229884206</v>
      </c>
    </row>
    <row r="9" spans="1:25" x14ac:dyDescent="0.35">
      <c r="A9" s="19">
        <v>18</v>
      </c>
      <c r="B9" s="21">
        <v>8.0498057619128038E-2</v>
      </c>
      <c r="C9" s="21">
        <v>0.1576717633489865</v>
      </c>
      <c r="D9" s="21">
        <v>0.22769696186942001</v>
      </c>
      <c r="E9" s="21">
        <v>0.28399506741695663</v>
      </c>
      <c r="F9" s="21">
        <v>0.36101246611238608</v>
      </c>
      <c r="G9" s="21"/>
      <c r="H9" s="19">
        <v>18</v>
      </c>
      <c r="I9" s="21">
        <v>1.8444392912197047E-2</v>
      </c>
      <c r="J9" s="21">
        <v>2.88476038159011E-2</v>
      </c>
      <c r="K9" s="21">
        <v>3.9433131095305968E-2</v>
      </c>
      <c r="L9" s="21">
        <v>5.8836659280794637E-2</v>
      </c>
      <c r="M9" s="21">
        <v>6.9805575584503385E-2</v>
      </c>
      <c r="N9" s="21"/>
      <c r="O9" s="22">
        <f t="shared" si="0"/>
        <v>18</v>
      </c>
      <c r="P9" s="22">
        <v>0.16430134844252431</v>
      </c>
      <c r="Q9" s="22">
        <v>0.16430134844252431</v>
      </c>
      <c r="R9" s="21"/>
      <c r="S9" s="22">
        <f t="shared" si="1"/>
        <v>18</v>
      </c>
      <c r="T9" s="22">
        <f>+IF(radial_thrust!$C$40="single",'HI-1.3'!B9,IF(radial_thrust!$C$40="double",'HI-1.3'!I9,IF(radial_thrust!$C$40="concentric",$P9,"")))</f>
        <v>8.0498057619128038E-2</v>
      </c>
      <c r="U9" s="22">
        <f>+IF(radial_thrust!$C$40="single",'HI-1.3'!C9,IF(radial_thrust!$C$40="double",'HI-1.3'!J9,IF(radial_thrust!$C$40="concentric",$P9,"")))</f>
        <v>0.1576717633489865</v>
      </c>
      <c r="V9" s="22">
        <f>+IF(radial_thrust!$C$40="single",'HI-1.3'!D9,IF(radial_thrust!$C$40="double",'HI-1.3'!K9,IF(radial_thrust!$C$40="concentric",$P9,"")))</f>
        <v>0.22769696186942001</v>
      </c>
      <c r="W9" s="22">
        <f>+IF(radial_thrust!$C$40="single",'HI-1.3'!E9,IF(radial_thrust!$C$40="double",'HI-1.3'!L9,IF(radial_thrust!$C$40="concentric",$P9,"")))</f>
        <v>0.28399506741695663</v>
      </c>
      <c r="X9" s="22">
        <f>+IF(radial_thrust!$C$40="single",'HI-1.3'!F9,IF(radial_thrust!$C$40="double",'HI-1.3'!M9,IF(radial_thrust!$C$40="concentric",$P9,"")))</f>
        <v>0.36101246611238608</v>
      </c>
      <c r="Y9" s="22" cm="1">
        <f t="array" ref="Y9">+IF(radial_thrust!$C$40="concentric",T9,interp(Y8,T8:X8,T9:X9))</f>
        <v>0.24033377207098888</v>
      </c>
    </row>
    <row r="10" spans="1:25" x14ac:dyDescent="0.35">
      <c r="A10" s="19">
        <v>21</v>
      </c>
      <c r="B10" s="21">
        <v>7.8110721988469245E-2</v>
      </c>
      <c r="C10" s="21">
        <v>0.15349099252123724</v>
      </c>
      <c r="D10" s="21">
        <v>0.22289985517518782</v>
      </c>
      <c r="E10" s="21">
        <v>0.27857357991323239</v>
      </c>
      <c r="F10" s="21">
        <v>0.35667764378478695</v>
      </c>
      <c r="G10" s="21"/>
      <c r="H10" s="19">
        <v>21</v>
      </c>
      <c r="I10" s="21">
        <v>1.8659336416866859E-2</v>
      </c>
      <c r="J10" s="21">
        <v>2.8537065196991025E-2</v>
      </c>
      <c r="K10" s="21">
        <v>3.8822809795228244E-2</v>
      </c>
      <c r="L10" s="21">
        <v>5.7297353466904379E-2</v>
      </c>
      <c r="M10" s="21">
        <v>6.6661786961500824E-2</v>
      </c>
      <c r="N10" s="21"/>
      <c r="O10" s="22">
        <f t="shared" si="0"/>
        <v>21</v>
      </c>
      <c r="P10" s="22">
        <v>0.16017182235243507</v>
      </c>
      <c r="Q10" s="22">
        <v>0.16017182235243507</v>
      </c>
      <c r="R10" s="21"/>
      <c r="S10" s="22">
        <f t="shared" si="1"/>
        <v>21</v>
      </c>
      <c r="T10" s="22">
        <f>+IF(radial_thrust!$C$40="single",'HI-1.3'!B10,IF(radial_thrust!$C$40="double",'HI-1.3'!I10,IF(radial_thrust!$C$40="concentric",$P10,"")))</f>
        <v>7.8110721988469245E-2</v>
      </c>
      <c r="U10" s="22">
        <f>+IF(radial_thrust!$C$40="single",'HI-1.3'!C10,IF(radial_thrust!$C$40="double",'HI-1.3'!J10,IF(radial_thrust!$C$40="concentric",$P10,"")))</f>
        <v>0.15349099252123724</v>
      </c>
      <c r="V10" s="22">
        <f>+IF(radial_thrust!$C$40="single",'HI-1.3'!D10,IF(radial_thrust!$C$40="double",'HI-1.3'!K10,IF(radial_thrust!$C$40="concentric",$P10,"")))</f>
        <v>0.22289985517518782</v>
      </c>
      <c r="W10" s="22">
        <f>+IF(radial_thrust!$C$40="single",'HI-1.3'!E10,IF(radial_thrust!$C$40="double",'HI-1.3'!L10,IF(radial_thrust!$C$40="concentric",$P10,"")))</f>
        <v>0.27857357991323239</v>
      </c>
      <c r="X10" s="22">
        <f>+IF(radial_thrust!$C$40="single",'HI-1.3'!F10,IF(radial_thrust!$C$40="double",'HI-1.3'!M10,IF(radial_thrust!$C$40="concentric",$P10,"")))</f>
        <v>0.35667764378478695</v>
      </c>
      <c r="Y10" s="22" cm="1">
        <f t="array" ref="Y10">+IF(radial_thrust!$C$40="concentric",T10,interp(Y9,T9:X9,T10:X10))</f>
        <v>0.23539651533607031</v>
      </c>
    </row>
    <row r="11" spans="1:25" x14ac:dyDescent="0.35">
      <c r="A11" s="19">
        <v>24</v>
      </c>
      <c r="B11" s="21">
        <v>7.5942183940759009E-2</v>
      </c>
      <c r="C11" s="21">
        <v>0.14940138403295097</v>
      </c>
      <c r="D11" s="21">
        <v>0.21668470785135788</v>
      </c>
      <c r="E11" s="21">
        <v>0.27331615236840884</v>
      </c>
      <c r="F11" s="21">
        <v>0.35184390569399632</v>
      </c>
      <c r="G11" s="21"/>
      <c r="H11" s="19">
        <v>24</v>
      </c>
      <c r="I11" s="21">
        <v>1.8794263170414847E-2</v>
      </c>
      <c r="J11" s="21">
        <v>2.8347613046345383E-2</v>
      </c>
      <c r="K11" s="21">
        <v>3.7890071291207562E-2</v>
      </c>
      <c r="L11" s="21">
        <v>5.4782116727006773E-2</v>
      </c>
      <c r="M11" s="21">
        <v>6.3325797840777395E-2</v>
      </c>
      <c r="N11" s="21"/>
      <c r="O11" s="22">
        <f t="shared" si="0"/>
        <v>24</v>
      </c>
      <c r="P11" s="22">
        <v>0.15615924465935471</v>
      </c>
      <c r="Q11" s="22">
        <v>0.15615924465935471</v>
      </c>
      <c r="R11" s="21"/>
      <c r="S11" s="22">
        <f t="shared" si="1"/>
        <v>24</v>
      </c>
      <c r="T11" s="22">
        <f>+IF(radial_thrust!$C$40="single",'HI-1.3'!B11,IF(radial_thrust!$C$40="double",'HI-1.3'!I11,IF(radial_thrust!$C$40="concentric",$P11,"")))</f>
        <v>7.5942183940759009E-2</v>
      </c>
      <c r="U11" s="22">
        <f>+IF(radial_thrust!$C$40="single",'HI-1.3'!C11,IF(radial_thrust!$C$40="double",'HI-1.3'!J11,IF(radial_thrust!$C$40="concentric",$P11,"")))</f>
        <v>0.14940138403295097</v>
      </c>
      <c r="V11" s="22">
        <f>+IF(radial_thrust!$C$40="single",'HI-1.3'!D11,IF(radial_thrust!$C$40="double",'HI-1.3'!K11,IF(radial_thrust!$C$40="concentric",$P11,"")))</f>
        <v>0.21668470785135788</v>
      </c>
      <c r="W11" s="22">
        <f>+IF(radial_thrust!$C$40="single",'HI-1.3'!E11,IF(radial_thrust!$C$40="double",'HI-1.3'!L11,IF(radial_thrust!$C$40="concentric",$P11,"")))</f>
        <v>0.27331615236840884</v>
      </c>
      <c r="X11" s="22">
        <f>+IF(radial_thrust!$C$40="single",'HI-1.3'!F11,IF(radial_thrust!$C$40="double",'HI-1.3'!M11,IF(radial_thrust!$C$40="concentric",$P11,"")))</f>
        <v>0.35184390569399632</v>
      </c>
      <c r="Y11" s="22" cm="1">
        <f t="array" ref="Y11">+IF(radial_thrust!$C$40="concentric",T11,interp(Y10,T10:X10,T11:X11))</f>
        <v>0.22939634013174398</v>
      </c>
    </row>
    <row r="12" spans="1:25" x14ac:dyDescent="0.35">
      <c r="A12" s="19">
        <v>27</v>
      </c>
      <c r="B12" s="21">
        <v>7.4551804891629228E-2</v>
      </c>
      <c r="C12" s="21">
        <v>0.14382344136913952</v>
      </c>
      <c r="D12" s="21">
        <v>0.210954184788017</v>
      </c>
      <c r="E12" s="21">
        <v>0.26773589438552114</v>
      </c>
      <c r="F12" s="21">
        <v>0.34711853609548404</v>
      </c>
      <c r="G12" s="21"/>
      <c r="H12" s="19">
        <v>27</v>
      </c>
      <c r="I12" s="21">
        <v>1.9032181429472977E-2</v>
      </c>
      <c r="J12" s="21">
        <v>2.8200163660673194E-2</v>
      </c>
      <c r="K12" s="21">
        <v>3.7542833410711483E-2</v>
      </c>
      <c r="L12" s="21">
        <v>5.3452351192702606E-2</v>
      </c>
      <c r="M12" s="21">
        <v>6.1113344695536871E-2</v>
      </c>
      <c r="N12" s="21"/>
      <c r="O12" s="22">
        <f t="shared" si="0"/>
        <v>27</v>
      </c>
      <c r="P12" s="22">
        <v>0.15446491997923018</v>
      </c>
      <c r="Q12" s="22">
        <v>0.15446491997923018</v>
      </c>
      <c r="R12" s="21"/>
      <c r="S12" s="22">
        <f t="shared" si="1"/>
        <v>27</v>
      </c>
      <c r="T12" s="22">
        <f>+IF(radial_thrust!$C$40="single",'HI-1.3'!B12,IF(radial_thrust!$C$40="double",'HI-1.3'!I12,IF(radial_thrust!$C$40="concentric",$P12,"")))</f>
        <v>7.4551804891629228E-2</v>
      </c>
      <c r="U12" s="22">
        <f>+IF(radial_thrust!$C$40="single",'HI-1.3'!C12,IF(radial_thrust!$C$40="double",'HI-1.3'!J12,IF(radial_thrust!$C$40="concentric",$P12,"")))</f>
        <v>0.14382344136913952</v>
      </c>
      <c r="V12" s="22">
        <f>+IF(radial_thrust!$C$40="single",'HI-1.3'!D12,IF(radial_thrust!$C$40="double",'HI-1.3'!K12,IF(radial_thrust!$C$40="concentric",$P12,"")))</f>
        <v>0.210954184788017</v>
      </c>
      <c r="W12" s="22">
        <f>+IF(radial_thrust!$C$40="single",'HI-1.3'!E12,IF(radial_thrust!$C$40="double",'HI-1.3'!L12,IF(radial_thrust!$C$40="concentric",$P12,"")))</f>
        <v>0.26773589438552114</v>
      </c>
      <c r="X12" s="22">
        <f>+IF(radial_thrust!$C$40="single",'HI-1.3'!F12,IF(radial_thrust!$C$40="double",'HI-1.3'!M12,IF(radial_thrust!$C$40="concentric",$P12,"")))</f>
        <v>0.34711853609548404</v>
      </c>
      <c r="Y12" s="22" cm="1">
        <f t="array" ref="Y12">+IF(radial_thrust!$C$40="concentric",T12,interp(Y11,T11:X11,T12:X12))</f>
        <v>0.22369954593517655</v>
      </c>
    </row>
    <row r="13" spans="1:25" x14ac:dyDescent="0.35">
      <c r="A13" s="19">
        <v>30</v>
      </c>
      <c r="B13" s="21">
        <v>7.3454677668647064E-2</v>
      </c>
      <c r="C13" s="21">
        <v>0.13886737474336316</v>
      </c>
      <c r="D13" s="21">
        <v>0.20468869012664417</v>
      </c>
      <c r="E13" s="21">
        <v>0.26124208818489675</v>
      </c>
      <c r="F13" s="21">
        <v>0.34201507861469016</v>
      </c>
      <c r="G13" s="21"/>
      <c r="H13" s="19">
        <v>30</v>
      </c>
      <c r="I13" s="21">
        <v>1.970245175602282E-2</v>
      </c>
      <c r="J13" s="21">
        <v>2.7891037363963249E-2</v>
      </c>
      <c r="K13" s="21">
        <v>3.717955215730552E-2</v>
      </c>
      <c r="L13" s="21">
        <v>5.1899935952015669E-2</v>
      </c>
      <c r="M13" s="21">
        <v>5.8758204652023104E-2</v>
      </c>
      <c r="N13" s="21"/>
      <c r="O13" s="22">
        <f t="shared" si="0"/>
        <v>30</v>
      </c>
      <c r="P13" s="22">
        <v>0.15450258538568559</v>
      </c>
      <c r="Q13" s="22">
        <v>0.15450258538568559</v>
      </c>
      <c r="R13" s="21"/>
      <c r="S13" s="22">
        <f t="shared" si="1"/>
        <v>30</v>
      </c>
      <c r="T13" s="22">
        <f>+IF(radial_thrust!$C$40="single",'HI-1.3'!B13,IF(radial_thrust!$C$40="double",'HI-1.3'!I13,IF(radial_thrust!$C$40="concentric",$P13,"")))</f>
        <v>7.3454677668647064E-2</v>
      </c>
      <c r="U13" s="22">
        <f>+IF(radial_thrust!$C$40="single",'HI-1.3'!C13,IF(radial_thrust!$C$40="double",'HI-1.3'!J13,IF(radial_thrust!$C$40="concentric",$P13,"")))</f>
        <v>0.13886737474336316</v>
      </c>
      <c r="V13" s="22">
        <f>+IF(radial_thrust!$C$40="single",'HI-1.3'!D13,IF(radial_thrust!$C$40="double",'HI-1.3'!K13,IF(radial_thrust!$C$40="concentric",$P13,"")))</f>
        <v>0.20468869012664417</v>
      </c>
      <c r="W13" s="22">
        <f>+IF(radial_thrust!$C$40="single",'HI-1.3'!E13,IF(radial_thrust!$C$40="double",'HI-1.3'!L13,IF(radial_thrust!$C$40="concentric",$P13,"")))</f>
        <v>0.26124208818489675</v>
      </c>
      <c r="X13" s="22">
        <f>+IF(radial_thrust!$C$40="single",'HI-1.3'!F13,IF(radial_thrust!$C$40="double",'HI-1.3'!M13,IF(radial_thrust!$C$40="concentric",$P13,"")))</f>
        <v>0.34201507861469016</v>
      </c>
      <c r="Y13" s="22" cm="1">
        <f t="array" ref="Y13">+IF(radial_thrust!$C$40="concentric",T13,interp(Y12,T12:X12,T13:X13))</f>
        <v>0.2173828039083677</v>
      </c>
    </row>
    <row r="14" spans="1:25" x14ac:dyDescent="0.35">
      <c r="A14" s="19">
        <v>33</v>
      </c>
      <c r="B14" s="21">
        <v>7.0506377016899088E-2</v>
      </c>
      <c r="C14" s="21">
        <v>0.13586525809237543</v>
      </c>
      <c r="D14" s="21">
        <v>0.19847785013975003</v>
      </c>
      <c r="E14" s="21">
        <v>0.25492898138877979</v>
      </c>
      <c r="F14" s="21">
        <v>0.33622509645059984</v>
      </c>
      <c r="G14" s="21"/>
      <c r="H14" s="19">
        <v>33</v>
      </c>
      <c r="I14" s="21">
        <v>1.9747116768429725E-2</v>
      </c>
      <c r="J14" s="21">
        <v>2.7864410054843559E-2</v>
      </c>
      <c r="K14" s="21">
        <v>3.6807042356521449E-2</v>
      </c>
      <c r="L14" s="21">
        <v>5.0226880054404996E-2</v>
      </c>
      <c r="M14" s="21">
        <v>5.6547655737447015E-2</v>
      </c>
      <c r="N14" s="21"/>
      <c r="O14" s="22">
        <f t="shared" si="0"/>
        <v>33</v>
      </c>
      <c r="P14" s="22">
        <v>0.15528218778454267</v>
      </c>
      <c r="Q14" s="22">
        <v>0.15528218778454267</v>
      </c>
      <c r="R14" s="21"/>
      <c r="S14" s="22">
        <f t="shared" si="1"/>
        <v>33</v>
      </c>
      <c r="T14" s="22">
        <f>+IF(radial_thrust!$C$40="single",'HI-1.3'!B14,IF(radial_thrust!$C$40="double",'HI-1.3'!I14,IF(radial_thrust!$C$40="concentric",$P14,"")))</f>
        <v>7.0506377016899088E-2</v>
      </c>
      <c r="U14" s="22">
        <f>+IF(radial_thrust!$C$40="single",'HI-1.3'!C14,IF(radial_thrust!$C$40="double",'HI-1.3'!J14,IF(radial_thrust!$C$40="concentric",$P14,"")))</f>
        <v>0.13586525809237543</v>
      </c>
      <c r="V14" s="22">
        <f>+IF(radial_thrust!$C$40="single",'HI-1.3'!D14,IF(radial_thrust!$C$40="double",'HI-1.3'!K14,IF(radial_thrust!$C$40="concentric",$P14,"")))</f>
        <v>0.19847785013975003</v>
      </c>
      <c r="W14" s="22">
        <f>+IF(radial_thrust!$C$40="single",'HI-1.3'!E14,IF(radial_thrust!$C$40="double",'HI-1.3'!L14,IF(radial_thrust!$C$40="concentric",$P14,"")))</f>
        <v>0.25492898138877979</v>
      </c>
      <c r="X14" s="22">
        <f>+IF(radial_thrust!$C$40="single",'HI-1.3'!F14,IF(radial_thrust!$C$40="double",'HI-1.3'!M14,IF(radial_thrust!$C$40="concentric",$P14,"")))</f>
        <v>0.33622509645059984</v>
      </c>
      <c r="Y14" s="22" cm="1">
        <f t="array" ref="Y14">+IF(radial_thrust!$C$40="concentric",T14,interp(Y13,T13:X13,T14:X14))</f>
        <v>0.21114900886382995</v>
      </c>
    </row>
    <row r="15" spans="1:25" x14ac:dyDescent="0.35">
      <c r="A15" s="19">
        <v>36</v>
      </c>
      <c r="B15" s="21">
        <v>6.7220273224694815E-2</v>
      </c>
      <c r="C15" s="21">
        <v>0.13101985493036103</v>
      </c>
      <c r="D15" s="21">
        <v>0.19247731728006987</v>
      </c>
      <c r="E15" s="21">
        <v>0.24861172207237078</v>
      </c>
      <c r="F15" s="21">
        <v>0.33063456467075786</v>
      </c>
      <c r="G15" s="21"/>
      <c r="H15" s="19">
        <v>36</v>
      </c>
      <c r="I15" s="21">
        <v>1.9942400880324521E-2</v>
      </c>
      <c r="J15" s="21">
        <v>2.756792051401635E-2</v>
      </c>
      <c r="K15" s="21">
        <v>3.6429211799498366E-2</v>
      </c>
      <c r="L15" s="21">
        <v>4.9334825871747805E-2</v>
      </c>
      <c r="M15" s="21">
        <v>5.4360371615520042E-2</v>
      </c>
      <c r="N15" s="21"/>
      <c r="O15" s="22">
        <f t="shared" si="0"/>
        <v>36</v>
      </c>
      <c r="P15" s="22">
        <v>0.15740024953878831</v>
      </c>
      <c r="Q15" s="22">
        <v>0.15740024953878831</v>
      </c>
      <c r="R15" s="21"/>
      <c r="S15" s="22">
        <f t="shared" si="1"/>
        <v>36</v>
      </c>
      <c r="T15" s="22">
        <f>+IF(radial_thrust!$C$40="single",'HI-1.3'!B15,IF(radial_thrust!$C$40="double",'HI-1.3'!I15,IF(radial_thrust!$C$40="concentric",$P15,"")))</f>
        <v>6.7220273224694815E-2</v>
      </c>
      <c r="U15" s="22">
        <f>+IF(radial_thrust!$C$40="single",'HI-1.3'!C15,IF(radial_thrust!$C$40="double",'HI-1.3'!J15,IF(radial_thrust!$C$40="concentric",$P15,"")))</f>
        <v>0.13101985493036103</v>
      </c>
      <c r="V15" s="22">
        <f>+IF(radial_thrust!$C$40="single",'HI-1.3'!D15,IF(radial_thrust!$C$40="double",'HI-1.3'!K15,IF(radial_thrust!$C$40="concentric",$P15,"")))</f>
        <v>0.19247731728006987</v>
      </c>
      <c r="W15" s="22">
        <f>+IF(radial_thrust!$C$40="single",'HI-1.3'!E15,IF(radial_thrust!$C$40="double",'HI-1.3'!L15,IF(radial_thrust!$C$40="concentric",$P15,"")))</f>
        <v>0.24861172207237078</v>
      </c>
      <c r="X15" s="22">
        <f>+IF(radial_thrust!$C$40="single",'HI-1.3'!F15,IF(radial_thrust!$C$40="double",'HI-1.3'!M15,IF(radial_thrust!$C$40="concentric",$P15,"")))</f>
        <v>0.33063456467075786</v>
      </c>
      <c r="Y15" s="22" cm="1">
        <f t="array" ref="Y15">+IF(radial_thrust!$C$40="concentric",T15,interp(Y14,T14:X14,T15:X15))</f>
        <v>0.2050773828105055</v>
      </c>
    </row>
    <row r="16" spans="1:25" x14ac:dyDescent="0.35">
      <c r="A16" s="19">
        <v>39</v>
      </c>
      <c r="B16" s="21">
        <v>6.4886065302724366E-2</v>
      </c>
      <c r="C16" s="21">
        <v>0.12714200043828541</v>
      </c>
      <c r="D16" s="21">
        <v>0.18673092278279357</v>
      </c>
      <c r="E16" s="21">
        <v>0.2421155706265625</v>
      </c>
      <c r="F16" s="21">
        <v>0.32523706206930081</v>
      </c>
      <c r="G16" s="21"/>
      <c r="H16" s="19">
        <v>39</v>
      </c>
      <c r="I16" s="21">
        <v>2.0109399646841681E-2</v>
      </c>
      <c r="J16" s="21">
        <v>2.7305859074718622E-2</v>
      </c>
      <c r="K16" s="21">
        <v>3.5755658080490117E-2</v>
      </c>
      <c r="L16" s="21">
        <v>4.8218320927487006E-2</v>
      </c>
      <c r="M16" s="21">
        <v>5.3208664567061893E-2</v>
      </c>
      <c r="N16" s="21"/>
      <c r="O16" s="22">
        <f t="shared" si="0"/>
        <v>39</v>
      </c>
      <c r="P16" s="22">
        <v>0.15909674489186826</v>
      </c>
      <c r="Q16" s="22">
        <v>0.15909674489186826</v>
      </c>
      <c r="R16" s="21"/>
      <c r="S16" s="22">
        <f t="shared" si="1"/>
        <v>39</v>
      </c>
      <c r="T16" s="22">
        <f>+IF(radial_thrust!$C$40="single",'HI-1.3'!B16,IF(radial_thrust!$C$40="double",'HI-1.3'!I16,IF(radial_thrust!$C$40="concentric",$P16,"")))</f>
        <v>6.4886065302724366E-2</v>
      </c>
      <c r="U16" s="22">
        <f>+IF(radial_thrust!$C$40="single",'HI-1.3'!C16,IF(radial_thrust!$C$40="double",'HI-1.3'!J16,IF(radial_thrust!$C$40="concentric",$P16,"")))</f>
        <v>0.12714200043828541</v>
      </c>
      <c r="V16" s="22">
        <f>+IF(radial_thrust!$C$40="single",'HI-1.3'!D16,IF(radial_thrust!$C$40="double",'HI-1.3'!K16,IF(radial_thrust!$C$40="concentric",$P16,"")))</f>
        <v>0.18673092278279357</v>
      </c>
      <c r="W16" s="22">
        <f>+IF(radial_thrust!$C$40="single",'HI-1.3'!E16,IF(radial_thrust!$C$40="double",'HI-1.3'!L16,IF(radial_thrust!$C$40="concentric",$P16,"")))</f>
        <v>0.2421155706265625</v>
      </c>
      <c r="X16" s="22">
        <f>+IF(radial_thrust!$C$40="single",'HI-1.3'!F16,IF(radial_thrust!$C$40="double",'HI-1.3'!M16,IF(radial_thrust!$C$40="concentric",$P16,"")))</f>
        <v>0.32523706206930081</v>
      </c>
      <c r="Y16" s="22" cm="1">
        <f t="array" ref="Y16">+IF(radial_thrust!$C$40="concentric",T16,interp(Y15,T15:X15,T16:X16))</f>
        <v>0.19916269603831588</v>
      </c>
    </row>
    <row r="17" spans="1:25" x14ac:dyDescent="0.35">
      <c r="A17" s="19">
        <v>42</v>
      </c>
      <c r="B17" s="21">
        <v>6.1089392197487991E-2</v>
      </c>
      <c r="C17" s="21">
        <v>0.12191417398539356</v>
      </c>
      <c r="D17" s="21">
        <v>0.18030932585754789</v>
      </c>
      <c r="E17" s="21">
        <v>0.23351783399248668</v>
      </c>
      <c r="F17" s="21">
        <v>0.31899619101020132</v>
      </c>
      <c r="G17" s="21"/>
      <c r="H17" s="19">
        <v>42</v>
      </c>
      <c r="I17" s="21">
        <v>2.0154064659248634E-2</v>
      </c>
      <c r="J17" s="21">
        <v>2.7375131585556954E-2</v>
      </c>
      <c r="K17" s="21">
        <v>3.508210436148184E-2</v>
      </c>
      <c r="L17" s="21">
        <v>4.793581635995707E-2</v>
      </c>
      <c r="M17" s="21">
        <v>5.1916624852862019E-2</v>
      </c>
      <c r="N17" s="21"/>
      <c r="O17" s="22">
        <f t="shared" si="0"/>
        <v>42</v>
      </c>
      <c r="P17" s="22">
        <v>0.16318639160248846</v>
      </c>
      <c r="Q17" s="22">
        <v>0.16318639160248846</v>
      </c>
      <c r="R17" s="21"/>
      <c r="S17" s="22">
        <f t="shared" si="1"/>
        <v>42</v>
      </c>
      <c r="T17" s="22">
        <f>+IF(radial_thrust!$C$40="single",'HI-1.3'!B17,IF(radial_thrust!$C$40="double",'HI-1.3'!I17,IF(radial_thrust!$C$40="concentric",$P17,"")))</f>
        <v>6.1089392197487991E-2</v>
      </c>
      <c r="U17" s="22">
        <f>+IF(radial_thrust!$C$40="single",'HI-1.3'!C17,IF(radial_thrust!$C$40="double",'HI-1.3'!J17,IF(radial_thrust!$C$40="concentric",$P17,"")))</f>
        <v>0.12191417398539356</v>
      </c>
      <c r="V17" s="22">
        <f>+IF(radial_thrust!$C$40="single",'HI-1.3'!D17,IF(radial_thrust!$C$40="double",'HI-1.3'!K17,IF(radial_thrust!$C$40="concentric",$P17,"")))</f>
        <v>0.18030932585754789</v>
      </c>
      <c r="W17" s="22">
        <f>+IF(radial_thrust!$C$40="single",'HI-1.3'!E17,IF(radial_thrust!$C$40="double",'HI-1.3'!L17,IF(radial_thrust!$C$40="concentric",$P17,"")))</f>
        <v>0.23351783399248668</v>
      </c>
      <c r="X17" s="22">
        <f>+IF(radial_thrust!$C$40="single",'HI-1.3'!F17,IF(radial_thrust!$C$40="double",'HI-1.3'!M17,IF(radial_thrust!$C$40="concentric",$P17,"")))</f>
        <v>0.31899619101020132</v>
      </c>
      <c r="Y17" s="22" cm="1">
        <f t="array" ref="Y17">+IF(radial_thrust!$C$40="concentric",T17,interp(Y16,T16:X16,T17:X17))</f>
        <v>0.19225263748181043</v>
      </c>
    </row>
    <row r="18" spans="1:25" x14ac:dyDescent="0.35">
      <c r="A18" s="19">
        <v>45</v>
      </c>
      <c r="B18" s="21">
        <v>5.7109930467440964E-2</v>
      </c>
      <c r="C18" s="21">
        <v>0.11582990870580945</v>
      </c>
      <c r="D18" s="21">
        <v>0.1738395291499264</v>
      </c>
      <c r="E18" s="21">
        <v>0.22462457521422821</v>
      </c>
      <c r="F18" s="21">
        <v>0.3125369235775301</v>
      </c>
      <c r="G18" s="21"/>
      <c r="H18" s="19">
        <v>45</v>
      </c>
      <c r="I18" s="21">
        <v>2.0723941729576239E-2</v>
      </c>
      <c r="J18" s="21">
        <v>2.7568456718801988E-2</v>
      </c>
      <c r="K18" s="21">
        <v>3.4687195745293851E-2</v>
      </c>
      <c r="L18" s="21">
        <v>4.6738160780046556E-2</v>
      </c>
      <c r="M18" s="21">
        <v>5.071128572048305E-2</v>
      </c>
      <c r="N18" s="21"/>
      <c r="O18" s="22">
        <f t="shared" si="0"/>
        <v>45</v>
      </c>
      <c r="P18" s="22">
        <v>0.1646837195068013</v>
      </c>
      <c r="Q18" s="22">
        <v>0.1646837195068013</v>
      </c>
      <c r="R18" s="21"/>
      <c r="S18" s="22">
        <f t="shared" si="1"/>
        <v>45</v>
      </c>
      <c r="T18" s="22">
        <f>+IF(radial_thrust!$C$40="single",'HI-1.3'!B18,IF(radial_thrust!$C$40="double",'HI-1.3'!I18,IF(radial_thrust!$C$40="concentric",$P18,"")))</f>
        <v>5.7109930467440964E-2</v>
      </c>
      <c r="U18" s="22">
        <f>+IF(radial_thrust!$C$40="single",'HI-1.3'!C18,IF(radial_thrust!$C$40="double",'HI-1.3'!J18,IF(radial_thrust!$C$40="concentric",$P18,"")))</f>
        <v>0.11582990870580945</v>
      </c>
      <c r="V18" s="22">
        <f>+IF(radial_thrust!$C$40="single",'HI-1.3'!D18,IF(radial_thrust!$C$40="double",'HI-1.3'!K18,IF(radial_thrust!$C$40="concentric",$P18,"")))</f>
        <v>0.1738395291499264</v>
      </c>
      <c r="W18" s="22">
        <f>+IF(radial_thrust!$C$40="single",'HI-1.3'!E18,IF(radial_thrust!$C$40="double",'HI-1.3'!L18,IF(radial_thrust!$C$40="concentric",$P18,"")))</f>
        <v>0.22462457521422821</v>
      </c>
      <c r="X18" s="22">
        <f>+IF(radial_thrust!$C$40="single",'HI-1.3'!F18,IF(radial_thrust!$C$40="double",'HI-1.3'!M18,IF(radial_thrust!$C$40="concentric",$P18,"")))</f>
        <v>0.3125369235775301</v>
      </c>
      <c r="Y18" s="22" cm="1">
        <f t="array" ref="Y18">+IF(radial_thrust!$C$40="concentric",T18,interp(Y17,T17:X17,T18:X18))</f>
        <v>0.18523886456185473</v>
      </c>
    </row>
    <row r="19" spans="1:25" x14ac:dyDescent="0.35">
      <c r="A19" s="19">
        <v>48</v>
      </c>
      <c r="B19" s="21">
        <v>5.4085155666886889E-2</v>
      </c>
      <c r="C19" s="21">
        <v>0.11057714206948863</v>
      </c>
      <c r="D19" s="21">
        <v>0.16836971891415856</v>
      </c>
      <c r="E19" s="21">
        <v>0.21703783399248722</v>
      </c>
      <c r="F19" s="21">
        <v>0.30503783399248668</v>
      </c>
      <c r="G19" s="21"/>
      <c r="H19" s="19">
        <v>48</v>
      </c>
      <c r="I19" s="21">
        <v>2.119045748041129E-2</v>
      </c>
      <c r="J19" s="21">
        <v>2.7613121731208907E-2</v>
      </c>
      <c r="K19" s="21">
        <v>3.4414219005341598E-2</v>
      </c>
      <c r="L19" s="21">
        <v>4.6719821483069898E-2</v>
      </c>
      <c r="M19" s="21">
        <v>5.0184617588995062E-2</v>
      </c>
      <c r="N19" s="21"/>
      <c r="O19" s="22">
        <f t="shared" si="0"/>
        <v>48</v>
      </c>
      <c r="P19" s="22">
        <v>0.16920268192994872</v>
      </c>
      <c r="Q19" s="22">
        <v>0.16920268192994872</v>
      </c>
      <c r="R19" s="21"/>
      <c r="S19" s="22">
        <f t="shared" si="1"/>
        <v>48</v>
      </c>
      <c r="T19" s="22">
        <f>+IF(radial_thrust!$C$40="single",'HI-1.3'!B19,IF(radial_thrust!$C$40="double",'HI-1.3'!I19,IF(radial_thrust!$C$40="concentric",$P19,"")))</f>
        <v>5.4085155666886889E-2</v>
      </c>
      <c r="U19" s="22">
        <f>+IF(radial_thrust!$C$40="single",'HI-1.3'!C19,IF(radial_thrust!$C$40="double",'HI-1.3'!J19,IF(radial_thrust!$C$40="concentric",$P19,"")))</f>
        <v>0.11057714206948863</v>
      </c>
      <c r="V19" s="22">
        <f>+IF(radial_thrust!$C$40="single",'HI-1.3'!D19,IF(radial_thrust!$C$40="double",'HI-1.3'!K19,IF(radial_thrust!$C$40="concentric",$P19,"")))</f>
        <v>0.16836971891415856</v>
      </c>
      <c r="W19" s="22">
        <f>+IF(radial_thrust!$C$40="single",'HI-1.3'!E19,IF(radial_thrust!$C$40="double",'HI-1.3'!L19,IF(radial_thrust!$C$40="concentric",$P19,"")))</f>
        <v>0.21703783399248722</v>
      </c>
      <c r="X19" s="22">
        <f>+IF(radial_thrust!$C$40="single",'HI-1.3'!F19,IF(radial_thrust!$C$40="double",'HI-1.3'!M19,IF(radial_thrust!$C$40="concentric",$P19,"")))</f>
        <v>0.30503783399248668</v>
      </c>
      <c r="Y19" s="22" cm="1">
        <f t="array" ref="Y19">+IF(radial_thrust!$C$40="concentric",T19,interp(Y18,T18:X18,T19:X19))</f>
        <v>0.17929388282929515</v>
      </c>
    </row>
    <row r="20" spans="1:25" x14ac:dyDescent="0.35">
      <c r="A20" s="19">
        <v>51</v>
      </c>
      <c r="B20" s="21">
        <v>5.1174644021023785E-2</v>
      </c>
      <c r="C20" s="21">
        <v>0.10513252042447571</v>
      </c>
      <c r="D20" s="21">
        <v>0.16073833314052741</v>
      </c>
      <c r="E20" s="21">
        <v>0.2076339313384</v>
      </c>
      <c r="F20" s="21">
        <v>0.29714742799072147</v>
      </c>
      <c r="G20" s="21"/>
      <c r="H20" s="19">
        <v>51</v>
      </c>
      <c r="I20" s="21">
        <v>2.1484602913645338E-2</v>
      </c>
      <c r="J20" s="21">
        <v>2.7657786743615864E-2</v>
      </c>
      <c r="K20" s="21">
        <v>3.4288672227251925E-2</v>
      </c>
      <c r="L20" s="21">
        <v>4.6580739935781025E-2</v>
      </c>
      <c r="M20" s="21">
        <v>4.9919034817117319E-2</v>
      </c>
      <c r="N20" s="21"/>
      <c r="O20" s="22">
        <f t="shared" si="0"/>
        <v>51</v>
      </c>
      <c r="P20" s="22">
        <v>0.17364889715897175</v>
      </c>
      <c r="Q20" s="22">
        <v>0.17364889715897175</v>
      </c>
      <c r="R20" s="21"/>
      <c r="S20" s="22">
        <f t="shared" si="1"/>
        <v>51</v>
      </c>
      <c r="T20" s="22">
        <f>+IF(radial_thrust!$C$40="single",'HI-1.3'!B20,IF(radial_thrust!$C$40="double",'HI-1.3'!I20,IF(radial_thrust!$C$40="concentric",$P20,"")))</f>
        <v>5.1174644021023785E-2</v>
      </c>
      <c r="U20" s="22">
        <f>+IF(radial_thrust!$C$40="single",'HI-1.3'!C20,IF(radial_thrust!$C$40="double",'HI-1.3'!J20,IF(radial_thrust!$C$40="concentric",$P20,"")))</f>
        <v>0.10513252042447571</v>
      </c>
      <c r="V20" s="22">
        <f>+IF(radial_thrust!$C$40="single",'HI-1.3'!D20,IF(radial_thrust!$C$40="double",'HI-1.3'!K20,IF(radial_thrust!$C$40="concentric",$P20,"")))</f>
        <v>0.16073833314052741</v>
      </c>
      <c r="W20" s="22">
        <f>+IF(radial_thrust!$C$40="single",'HI-1.3'!E20,IF(radial_thrust!$C$40="double",'HI-1.3'!L20,IF(radial_thrust!$C$40="concentric",$P20,"")))</f>
        <v>0.2076339313384</v>
      </c>
      <c r="X20" s="22">
        <f>+IF(radial_thrust!$C$40="single",'HI-1.3'!F20,IF(radial_thrust!$C$40="double",'HI-1.3'!M20,IF(radial_thrust!$C$40="concentric",$P20,"")))</f>
        <v>0.29714742799072147</v>
      </c>
      <c r="Y20" s="22" cm="1">
        <f t="array" ref="Y20">+IF(radial_thrust!$C$40="concentric",T20,interp(Y19,T19:X19,T20:X20))</f>
        <v>0.17126463358975239</v>
      </c>
    </row>
    <row r="21" spans="1:25" x14ac:dyDescent="0.35">
      <c r="A21" s="19">
        <v>54</v>
      </c>
      <c r="B21" s="21">
        <v>4.7063202976444451E-2</v>
      </c>
      <c r="C21" s="21">
        <v>0.10074609863245576</v>
      </c>
      <c r="D21" s="21">
        <v>0.15288066236720546</v>
      </c>
      <c r="E21" s="21">
        <v>0.19881033201805795</v>
      </c>
      <c r="F21" s="21">
        <v>0.29001637342595832</v>
      </c>
      <c r="G21" s="21"/>
      <c r="H21" s="19">
        <v>54</v>
      </c>
      <c r="I21" s="21">
        <v>2.1740648284466205E-2</v>
      </c>
      <c r="J21" s="21">
        <v>2.7898430892094137E-2</v>
      </c>
      <c r="K21" s="21">
        <v>3.3979237582392491E-2</v>
      </c>
      <c r="L21" s="21">
        <v>4.6371362342499965E-2</v>
      </c>
      <c r="M21" s="21">
        <v>4.9898306550356916E-2</v>
      </c>
      <c r="N21" s="21"/>
      <c r="O21" s="22">
        <f t="shared" si="0"/>
        <v>54</v>
      </c>
      <c r="P21" s="22">
        <v>0.17991112694735084</v>
      </c>
      <c r="Q21" s="22">
        <v>0.17991112694735084</v>
      </c>
      <c r="R21" s="21"/>
      <c r="S21" s="22">
        <f t="shared" si="1"/>
        <v>54</v>
      </c>
      <c r="T21" s="22">
        <f>+IF(radial_thrust!$C$40="single",'HI-1.3'!B21,IF(radial_thrust!$C$40="double",'HI-1.3'!I21,IF(radial_thrust!$C$40="concentric",$P21,"")))</f>
        <v>4.7063202976444451E-2</v>
      </c>
      <c r="U21" s="22">
        <f>+IF(radial_thrust!$C$40="single",'HI-1.3'!C21,IF(radial_thrust!$C$40="double",'HI-1.3'!J21,IF(radial_thrust!$C$40="concentric",$P21,"")))</f>
        <v>0.10074609863245576</v>
      </c>
      <c r="V21" s="22">
        <f>+IF(radial_thrust!$C$40="single",'HI-1.3'!D21,IF(radial_thrust!$C$40="double",'HI-1.3'!K21,IF(radial_thrust!$C$40="concentric",$P21,"")))</f>
        <v>0.15288066236720546</v>
      </c>
      <c r="W21" s="22">
        <f>+IF(radial_thrust!$C$40="single",'HI-1.3'!E21,IF(radial_thrust!$C$40="double",'HI-1.3'!L21,IF(radial_thrust!$C$40="concentric",$P21,"")))</f>
        <v>0.19881033201805795</v>
      </c>
      <c r="X21" s="22">
        <f>+IF(radial_thrust!$C$40="single",'HI-1.3'!F21,IF(radial_thrust!$C$40="double",'HI-1.3'!M21,IF(radial_thrust!$C$40="concentric",$P21,"")))</f>
        <v>0.29001637342595832</v>
      </c>
      <c r="Y21" s="22" cm="1">
        <f t="array" ref="Y21">+IF(radial_thrust!$C$40="concentric",T21,interp(Y20,T20:X20,T21:X21))</f>
        <v>0.1631901481368199</v>
      </c>
    </row>
    <row r="22" spans="1:25" x14ac:dyDescent="0.35">
      <c r="A22" s="19">
        <v>57</v>
      </c>
      <c r="B22" s="21">
        <v>4.5304850035268032E-2</v>
      </c>
      <c r="C22" s="21">
        <v>9.5850923246805012E-2</v>
      </c>
      <c r="D22" s="21">
        <v>0.14536527340729211</v>
      </c>
      <c r="E22" s="21">
        <v>0.1914642413864549</v>
      </c>
      <c r="F22" s="21">
        <v>0.28130566575957394</v>
      </c>
      <c r="G22" s="21"/>
      <c r="H22" s="19">
        <v>57</v>
      </c>
      <c r="I22" s="21">
        <v>2.1981397381939147E-2</v>
      </c>
      <c r="J22" s="21">
        <v>2.8020069622027789E-2</v>
      </c>
      <c r="K22" s="21">
        <v>3.3455244659034232E-2</v>
      </c>
      <c r="L22" s="21">
        <v>4.6428599548004122E-2</v>
      </c>
      <c r="M22" s="21">
        <v>5.0044539020824418E-2</v>
      </c>
      <c r="N22" s="21"/>
      <c r="O22" s="22">
        <f t="shared" si="0"/>
        <v>57</v>
      </c>
      <c r="P22" s="22">
        <v>0.18474949220335438</v>
      </c>
      <c r="Q22" s="22">
        <v>0.18474949220335438</v>
      </c>
      <c r="R22" s="21"/>
      <c r="S22" s="22">
        <f t="shared" si="1"/>
        <v>57</v>
      </c>
      <c r="T22" s="22">
        <f>+IF(radial_thrust!$C$40="single",'HI-1.3'!B22,IF(radial_thrust!$C$40="double",'HI-1.3'!I22,IF(radial_thrust!$C$40="concentric",$P22,"")))</f>
        <v>4.5304850035268032E-2</v>
      </c>
      <c r="U22" s="22">
        <f>+IF(radial_thrust!$C$40="single",'HI-1.3'!C22,IF(radial_thrust!$C$40="double",'HI-1.3'!J22,IF(radial_thrust!$C$40="concentric",$P22,"")))</f>
        <v>9.5850923246805012E-2</v>
      </c>
      <c r="V22" s="22">
        <f>+IF(radial_thrust!$C$40="single",'HI-1.3'!D22,IF(radial_thrust!$C$40="double",'HI-1.3'!K22,IF(radial_thrust!$C$40="concentric",$P22,"")))</f>
        <v>0.14536527340729211</v>
      </c>
      <c r="W22" s="22">
        <f>+IF(radial_thrust!$C$40="single",'HI-1.3'!E22,IF(radial_thrust!$C$40="double",'HI-1.3'!L22,IF(radial_thrust!$C$40="concentric",$P22,"")))</f>
        <v>0.1914642413864549</v>
      </c>
      <c r="X22" s="22">
        <f>+IF(radial_thrust!$C$40="single",'HI-1.3'!F22,IF(radial_thrust!$C$40="double",'HI-1.3'!M22,IF(radial_thrust!$C$40="concentric",$P22,"")))</f>
        <v>0.28130566575957394</v>
      </c>
      <c r="Y22" s="22" cm="1">
        <f t="array" ref="Y22">+IF(radial_thrust!$C$40="concentric",T22,interp(Y21,T21:X21,T22:X22))</f>
        <v>0.15571276029295641</v>
      </c>
    </row>
    <row r="23" spans="1:25" x14ac:dyDescent="0.35">
      <c r="A23" s="19">
        <v>60</v>
      </c>
      <c r="B23" s="21">
        <v>4.2538324483488175E-2</v>
      </c>
      <c r="C23" s="21">
        <v>8.9558400114489803E-2</v>
      </c>
      <c r="D23" s="21">
        <v>0.13818663874272341</v>
      </c>
      <c r="E23" s="21">
        <v>0.18154122436992984</v>
      </c>
      <c r="F23" s="21">
        <v>0.27207217671455114</v>
      </c>
      <c r="G23" s="21"/>
      <c r="H23" s="19">
        <v>60</v>
      </c>
      <c r="I23" s="21">
        <v>2.2655503919980755E-2</v>
      </c>
      <c r="J23" s="21">
        <v>2.8064734634434721E-2</v>
      </c>
      <c r="K23" s="21">
        <v>3.2977885999198951E-2</v>
      </c>
      <c r="L23" s="21">
        <v>4.6666844114708367E-2</v>
      </c>
      <c r="M23" s="21">
        <v>4.9975820420442255E-2</v>
      </c>
      <c r="N23" s="21"/>
      <c r="O23" s="22">
        <f t="shared" si="0"/>
        <v>60</v>
      </c>
      <c r="P23" s="22">
        <v>0.18844718190092469</v>
      </c>
      <c r="Q23" s="22">
        <v>0.18844718190092469</v>
      </c>
      <c r="R23" s="21"/>
      <c r="S23" s="22">
        <f t="shared" si="1"/>
        <v>60</v>
      </c>
      <c r="T23" s="22">
        <f>+IF(radial_thrust!$C$40="single",'HI-1.3'!B23,IF(radial_thrust!$C$40="double",'HI-1.3'!I23,IF(radial_thrust!$C$40="concentric",$P23,"")))</f>
        <v>4.2538324483488175E-2</v>
      </c>
      <c r="U23" s="22">
        <f>+IF(radial_thrust!$C$40="single",'HI-1.3'!C23,IF(radial_thrust!$C$40="double",'HI-1.3'!J23,IF(radial_thrust!$C$40="concentric",$P23,"")))</f>
        <v>8.9558400114489803E-2</v>
      </c>
      <c r="V23" s="22">
        <f>+IF(radial_thrust!$C$40="single",'HI-1.3'!D23,IF(radial_thrust!$C$40="double",'HI-1.3'!K23,IF(radial_thrust!$C$40="concentric",$P23,"")))</f>
        <v>0.13818663874272341</v>
      </c>
      <c r="W23" s="22">
        <f>+IF(radial_thrust!$C$40="single",'HI-1.3'!E23,IF(radial_thrust!$C$40="double",'HI-1.3'!L23,IF(radial_thrust!$C$40="concentric",$P23,"")))</f>
        <v>0.18154122436992984</v>
      </c>
      <c r="X23" s="22">
        <f>+IF(radial_thrust!$C$40="single",'HI-1.3'!F23,IF(radial_thrust!$C$40="double",'HI-1.3'!M23,IF(radial_thrust!$C$40="concentric",$P23,"")))</f>
        <v>0.27207217671455114</v>
      </c>
      <c r="Y23" s="22" cm="1">
        <f t="array" ref="Y23">+IF(radial_thrust!$C$40="concentric",T23,interp(Y22,T22:X22,T23:X23))</f>
        <v>0.14791811486630399</v>
      </c>
    </row>
    <row r="24" spans="1:25" x14ac:dyDescent="0.35">
      <c r="A24" s="19">
        <v>63</v>
      </c>
      <c r="B24" s="21">
        <v>3.9679659312428096E-2</v>
      </c>
      <c r="C24" s="21">
        <v>8.4288706738240515E-2</v>
      </c>
      <c r="D24" s="21">
        <v>0.13060574189244695</v>
      </c>
      <c r="E24" s="21">
        <v>0.17235667247154038</v>
      </c>
      <c r="F24" s="21">
        <v>0.26226895943821821</v>
      </c>
      <c r="G24" s="21"/>
      <c r="H24" s="19">
        <v>63</v>
      </c>
      <c r="I24" s="21">
        <v>2.3419576767662851E-2</v>
      </c>
      <c r="J24" s="21">
        <v>2.7944807526580222E-2</v>
      </c>
      <c r="K24" s="21">
        <v>3.2848247467939122E-2</v>
      </c>
      <c r="L24" s="21">
        <v>4.6896386023657449E-2</v>
      </c>
      <c r="M24" s="21">
        <v>5.0425005835492691E-2</v>
      </c>
      <c r="N24" s="21"/>
      <c r="O24" s="22">
        <f t="shared" si="0"/>
        <v>63</v>
      </c>
      <c r="P24" s="22">
        <v>0.19450038231493139</v>
      </c>
      <c r="Q24" s="22">
        <v>0.19450038231493139</v>
      </c>
      <c r="R24" s="21"/>
      <c r="S24" s="22">
        <f t="shared" si="1"/>
        <v>63</v>
      </c>
      <c r="T24" s="22">
        <f>+IF(radial_thrust!$C$40="single",'HI-1.3'!B24,IF(radial_thrust!$C$40="double",'HI-1.3'!I24,IF(radial_thrust!$C$40="concentric",$P24,"")))</f>
        <v>3.9679659312428096E-2</v>
      </c>
      <c r="U24" s="22">
        <f>+IF(radial_thrust!$C$40="single",'HI-1.3'!C24,IF(radial_thrust!$C$40="double",'HI-1.3'!J24,IF(radial_thrust!$C$40="concentric",$P24,"")))</f>
        <v>8.4288706738240515E-2</v>
      </c>
      <c r="V24" s="22">
        <f>+IF(radial_thrust!$C$40="single",'HI-1.3'!D24,IF(radial_thrust!$C$40="double",'HI-1.3'!K24,IF(radial_thrust!$C$40="concentric",$P24,"")))</f>
        <v>0.13060574189244695</v>
      </c>
      <c r="W24" s="22">
        <f>+IF(radial_thrust!$C$40="single",'HI-1.3'!E24,IF(radial_thrust!$C$40="double",'HI-1.3'!L24,IF(radial_thrust!$C$40="concentric",$P24,"")))</f>
        <v>0.17235667247154038</v>
      </c>
      <c r="X24" s="22">
        <f>+IF(radial_thrust!$C$40="single",'HI-1.3'!F24,IF(radial_thrust!$C$40="double",'HI-1.3'!M24,IF(radial_thrust!$C$40="concentric",$P24,"")))</f>
        <v>0.26226895943821821</v>
      </c>
      <c r="Y24" s="22" cm="1">
        <f t="array" ref="Y24">+IF(radial_thrust!$C$40="concentric",T24,interp(Y23,T23:X23,T24:X24))</f>
        <v>0.13997725768921546</v>
      </c>
    </row>
    <row r="25" spans="1:25" x14ac:dyDescent="0.35">
      <c r="A25" s="19">
        <v>66</v>
      </c>
      <c r="B25" s="21">
        <v>3.4520455468902048E-2</v>
      </c>
      <c r="C25" s="21">
        <v>7.9170776704371462E-2</v>
      </c>
      <c r="D25" s="21">
        <v>0.12291204740245641</v>
      </c>
      <c r="E25" s="21">
        <v>0.1625069249015772</v>
      </c>
      <c r="F25" s="21">
        <v>0.25135147426037924</v>
      </c>
      <c r="G25" s="21"/>
      <c r="H25" s="19">
        <v>66</v>
      </c>
      <c r="I25" s="21">
        <v>2.3513866148082346E-2</v>
      </c>
      <c r="J25" s="21">
        <v>2.8147354138023713E-2</v>
      </c>
      <c r="K25" s="21">
        <v>3.2521310316816862E-2</v>
      </c>
      <c r="L25" s="21">
        <v>4.7402337051606742E-2</v>
      </c>
      <c r="M25" s="21">
        <v>5.0896735278396769E-2</v>
      </c>
      <c r="N25" s="21"/>
      <c r="O25" s="22">
        <f t="shared" si="0"/>
        <v>66</v>
      </c>
      <c r="P25" s="22">
        <v>0.19802966816124778</v>
      </c>
      <c r="Q25" s="22">
        <v>0.19802966816124778</v>
      </c>
      <c r="R25" s="21"/>
      <c r="S25" s="22">
        <f t="shared" si="1"/>
        <v>66</v>
      </c>
      <c r="T25" s="22">
        <f>+IF(radial_thrust!$C$40="single",'HI-1.3'!B25,IF(radial_thrust!$C$40="double",'HI-1.3'!I25,IF(radial_thrust!$C$40="concentric",$P25,"")))</f>
        <v>3.4520455468902048E-2</v>
      </c>
      <c r="U25" s="22">
        <f>+IF(radial_thrust!$C$40="single",'HI-1.3'!C25,IF(radial_thrust!$C$40="double",'HI-1.3'!J25,IF(radial_thrust!$C$40="concentric",$P25,"")))</f>
        <v>7.9170776704371462E-2</v>
      </c>
      <c r="V25" s="22">
        <f>+IF(radial_thrust!$C$40="single",'HI-1.3'!D25,IF(radial_thrust!$C$40="double",'HI-1.3'!K25,IF(radial_thrust!$C$40="concentric",$P25,"")))</f>
        <v>0.12291204740245641</v>
      </c>
      <c r="W25" s="22">
        <f>+IF(radial_thrust!$C$40="single",'HI-1.3'!E25,IF(radial_thrust!$C$40="double",'HI-1.3'!L25,IF(radial_thrust!$C$40="concentric",$P25,"")))</f>
        <v>0.1625069249015772</v>
      </c>
      <c r="X25" s="22">
        <f>+IF(radial_thrust!$C$40="single",'HI-1.3'!F25,IF(radial_thrust!$C$40="double",'HI-1.3'!M25,IF(radial_thrust!$C$40="concentric",$P25,"")))</f>
        <v>0.25135147426037924</v>
      </c>
      <c r="Y25" s="22" cm="1">
        <f t="array" ref="Y25">+IF(radial_thrust!$C$40="concentric",T25,interp(Y24,T24:X24,T25:X25))</f>
        <v>0.13179961026171236</v>
      </c>
    </row>
    <row r="26" spans="1:25" x14ac:dyDescent="0.35">
      <c r="A26" s="19">
        <v>69</v>
      </c>
      <c r="B26" s="21">
        <v>3.1185386476452182E-2</v>
      </c>
      <c r="C26" s="21">
        <v>7.3767383647536711E-2</v>
      </c>
      <c r="D26" s="21">
        <v>0.11351122560087853</v>
      </c>
      <c r="E26" s="21">
        <v>0.15296943587518802</v>
      </c>
      <c r="F26" s="21">
        <v>0.23987920906091853</v>
      </c>
      <c r="G26" s="21"/>
      <c r="H26" s="19">
        <v>69</v>
      </c>
      <c r="I26" s="21">
        <v>2.4011208126052869E-2</v>
      </c>
      <c r="J26" s="21">
        <v>2.834235026312118E-2</v>
      </c>
      <c r="K26" s="21">
        <v>3.2575514152649324E-2</v>
      </c>
      <c r="L26" s="21">
        <v>4.8125889781868506E-2</v>
      </c>
      <c r="M26" s="21">
        <v>5.188767412977368E-2</v>
      </c>
      <c r="N26" s="21"/>
      <c r="O26" s="22">
        <f t="shared" si="0"/>
        <v>69</v>
      </c>
      <c r="P26" s="22">
        <v>0.20313925695980498</v>
      </c>
      <c r="Q26" s="22">
        <v>0.20313925695980498</v>
      </c>
      <c r="R26" s="21"/>
      <c r="S26" s="22">
        <f t="shared" si="1"/>
        <v>69</v>
      </c>
      <c r="T26" s="22">
        <f>+IF(radial_thrust!$C$40="single",'HI-1.3'!B26,IF(radial_thrust!$C$40="double",'HI-1.3'!I26,IF(radial_thrust!$C$40="concentric",$P26,"")))</f>
        <v>3.1185386476452182E-2</v>
      </c>
      <c r="U26" s="22">
        <f>+IF(radial_thrust!$C$40="single",'HI-1.3'!C26,IF(radial_thrust!$C$40="double",'HI-1.3'!J26,IF(radial_thrust!$C$40="concentric",$P26,"")))</f>
        <v>7.3767383647536711E-2</v>
      </c>
      <c r="V26" s="22">
        <f>+IF(radial_thrust!$C$40="single",'HI-1.3'!D26,IF(radial_thrust!$C$40="double",'HI-1.3'!K26,IF(radial_thrust!$C$40="concentric",$P26,"")))</f>
        <v>0.11351122560087853</v>
      </c>
      <c r="W26" s="22">
        <f>+IF(radial_thrust!$C$40="single",'HI-1.3'!E26,IF(radial_thrust!$C$40="double",'HI-1.3'!L26,IF(radial_thrust!$C$40="concentric",$P26,"")))</f>
        <v>0.15296943587518802</v>
      </c>
      <c r="X26" s="22">
        <f>+IF(radial_thrust!$C$40="single",'HI-1.3'!F26,IF(radial_thrust!$C$40="double",'HI-1.3'!M26,IF(radial_thrust!$C$40="concentric",$P26,"")))</f>
        <v>0.23987920906091853</v>
      </c>
      <c r="Y26" s="22" cm="1">
        <f t="array" ref="Y26">+IF(radial_thrust!$C$40="concentric",T26,interp(Y25,T25:X25,T26:X26))</f>
        <v>0.12236811180123239</v>
      </c>
    </row>
    <row r="27" spans="1:25" x14ac:dyDescent="0.35">
      <c r="A27" s="19">
        <v>72</v>
      </c>
      <c r="B27" s="21">
        <v>2.7600896408064395E-2</v>
      </c>
      <c r="C27" s="21">
        <v>6.7581914739672677E-2</v>
      </c>
      <c r="D27" s="21">
        <v>0.10399081949359831</v>
      </c>
      <c r="E27" s="21">
        <v>0.14298419683580835</v>
      </c>
      <c r="F27" s="21">
        <v>0.22639727494827241</v>
      </c>
      <c r="G27" s="21"/>
      <c r="H27" s="19">
        <v>72</v>
      </c>
      <c r="I27" s="21">
        <v>2.4878249412118917E-2</v>
      </c>
      <c r="J27" s="21">
        <v>2.8243394684062489E-2</v>
      </c>
      <c r="K27" s="21">
        <v>3.2843316275210005E-2</v>
      </c>
      <c r="L27" s="21">
        <v>4.9182562400453968E-2</v>
      </c>
      <c r="M27" s="21">
        <v>5.3380611824168506E-2</v>
      </c>
      <c r="N27" s="21"/>
      <c r="O27" s="22">
        <f t="shared" si="0"/>
        <v>72</v>
      </c>
      <c r="P27" s="22">
        <v>0.20702678294083884</v>
      </c>
      <c r="Q27" s="22">
        <v>0.20702678294083884</v>
      </c>
      <c r="R27" s="21"/>
      <c r="S27" s="22">
        <f t="shared" si="1"/>
        <v>72</v>
      </c>
      <c r="T27" s="22">
        <f>+IF(radial_thrust!$C$40="single",'HI-1.3'!B27,IF(radial_thrust!$C$40="double",'HI-1.3'!I27,IF(radial_thrust!$C$40="concentric",$P27,"")))</f>
        <v>2.7600896408064395E-2</v>
      </c>
      <c r="U27" s="22">
        <f>+IF(radial_thrust!$C$40="single",'HI-1.3'!C27,IF(radial_thrust!$C$40="double",'HI-1.3'!J27,IF(radial_thrust!$C$40="concentric",$P27,"")))</f>
        <v>6.7581914739672677E-2</v>
      </c>
      <c r="V27" s="22">
        <f>+IF(radial_thrust!$C$40="single",'HI-1.3'!D27,IF(radial_thrust!$C$40="double",'HI-1.3'!K27,IF(radial_thrust!$C$40="concentric",$P27,"")))</f>
        <v>0.10399081949359831</v>
      </c>
      <c r="W27" s="22">
        <f>+IF(radial_thrust!$C$40="single",'HI-1.3'!E27,IF(radial_thrust!$C$40="double",'HI-1.3'!L27,IF(radial_thrust!$C$40="concentric",$P27,"")))</f>
        <v>0.14298419683580835</v>
      </c>
      <c r="X27" s="22">
        <f>+IF(radial_thrust!$C$40="single",'HI-1.3'!F27,IF(radial_thrust!$C$40="double",'HI-1.3'!M27,IF(radial_thrust!$C$40="concentric",$P27,"")))</f>
        <v>0.22639727494827241</v>
      </c>
      <c r="Y27" s="22" cm="1">
        <f t="array" ref="Y27">+IF(radial_thrust!$C$40="concentric",T27,interp(Y26,T26:X26,T27:X27))</f>
        <v>0.11274336815930067</v>
      </c>
    </row>
    <row r="28" spans="1:25" x14ac:dyDescent="0.35">
      <c r="A28" s="19">
        <v>75</v>
      </c>
      <c r="B28" s="21">
        <v>2.3387246703669866E-2</v>
      </c>
      <c r="C28" s="21">
        <v>6.213709950728874E-2</v>
      </c>
      <c r="D28" s="21">
        <v>9.5617891965757193E-2</v>
      </c>
      <c r="E28" s="21">
        <v>0.13238036490598418</v>
      </c>
      <c r="F28" s="21">
        <v>0.21299091248987925</v>
      </c>
      <c r="G28" s="21"/>
      <c r="H28" s="19">
        <v>75</v>
      </c>
      <c r="I28" s="21">
        <v>2.5433950163507323E-2</v>
      </c>
      <c r="J28" s="21">
        <v>2.8284947601630712E-2</v>
      </c>
      <c r="K28" s="21">
        <v>3.3389564147728208E-2</v>
      </c>
      <c r="L28" s="21">
        <v>5.0269393991230198E-2</v>
      </c>
      <c r="M28" s="21">
        <v>5.5587828602397783E-2</v>
      </c>
      <c r="N28" s="21"/>
      <c r="O28" s="22">
        <f t="shared" si="0"/>
        <v>75</v>
      </c>
      <c r="P28" s="22">
        <v>0.21198246824365879</v>
      </c>
      <c r="Q28" s="22">
        <v>0.21198246824365879</v>
      </c>
      <c r="R28" s="21"/>
      <c r="S28" s="22">
        <f t="shared" si="1"/>
        <v>75</v>
      </c>
      <c r="T28" s="22">
        <f>+IF(radial_thrust!$C$40="single",'HI-1.3'!B28,IF(radial_thrust!$C$40="double",'HI-1.3'!I28,IF(radial_thrust!$C$40="concentric",$P28,"")))</f>
        <v>2.3387246703669866E-2</v>
      </c>
      <c r="U28" s="22">
        <f>+IF(radial_thrust!$C$40="single",'HI-1.3'!C28,IF(radial_thrust!$C$40="double",'HI-1.3'!J28,IF(radial_thrust!$C$40="concentric",$P28,"")))</f>
        <v>6.213709950728874E-2</v>
      </c>
      <c r="V28" s="22">
        <f>+IF(radial_thrust!$C$40="single",'HI-1.3'!D28,IF(radial_thrust!$C$40="double",'HI-1.3'!K28,IF(radial_thrust!$C$40="concentric",$P28,"")))</f>
        <v>9.5617891965757193E-2</v>
      </c>
      <c r="W28" s="22">
        <f>+IF(radial_thrust!$C$40="single",'HI-1.3'!E28,IF(radial_thrust!$C$40="double",'HI-1.3'!L28,IF(radial_thrust!$C$40="concentric",$P28,"")))</f>
        <v>0.13238036490598418</v>
      </c>
      <c r="X28" s="22">
        <f>+IF(radial_thrust!$C$40="single",'HI-1.3'!F28,IF(radial_thrust!$C$40="double",'HI-1.3'!M28,IF(radial_thrust!$C$40="concentric",$P28,"")))</f>
        <v>0.21299091248987925</v>
      </c>
      <c r="Y28" s="22" cm="1">
        <f t="array" ref="Y28">+IF(radial_thrust!$C$40="concentric",T28,interp(Y27,T27:X27,T28:X28))</f>
        <v>0.10386968638348756</v>
      </c>
    </row>
    <row r="29" spans="1:25" x14ac:dyDescent="0.35">
      <c r="A29" s="19">
        <v>78</v>
      </c>
      <c r="B29" s="21">
        <v>1.9509914093276386E-2</v>
      </c>
      <c r="C29" s="21">
        <v>5.5547630746859263E-2</v>
      </c>
      <c r="D29" s="21">
        <v>8.6744389560812624E-2</v>
      </c>
      <c r="E29" s="21">
        <v>0.12206894412440313</v>
      </c>
      <c r="F29" s="21">
        <v>0.19962307116351391</v>
      </c>
      <c r="G29" s="21"/>
      <c r="H29" s="19">
        <v>78</v>
      </c>
      <c r="I29" s="21">
        <v>2.6419578481564721E-2</v>
      </c>
      <c r="J29" s="21">
        <v>2.8080864021819651E-2</v>
      </c>
      <c r="K29" s="21">
        <v>3.3911684074196861E-2</v>
      </c>
      <c r="L29" s="21">
        <v>5.1713552465894534E-2</v>
      </c>
      <c r="M29" s="21">
        <v>5.8227948064816862E-2</v>
      </c>
      <c r="N29" s="21"/>
      <c r="O29" s="22">
        <f t="shared" si="0"/>
        <v>78</v>
      </c>
      <c r="P29" s="22">
        <v>0.21669273649331916</v>
      </c>
      <c r="Q29" s="22">
        <v>0.21669273649331916</v>
      </c>
      <c r="R29" s="21"/>
      <c r="S29" s="22">
        <f t="shared" si="1"/>
        <v>78</v>
      </c>
      <c r="T29" s="22">
        <f>+IF(radial_thrust!$C$40="single",'HI-1.3'!B29,IF(radial_thrust!$C$40="double",'HI-1.3'!I29,IF(radial_thrust!$C$40="concentric",$P29,"")))</f>
        <v>1.9509914093276386E-2</v>
      </c>
      <c r="U29" s="22">
        <f>+IF(radial_thrust!$C$40="single",'HI-1.3'!C29,IF(radial_thrust!$C$40="double",'HI-1.3'!J29,IF(radial_thrust!$C$40="concentric",$P29,"")))</f>
        <v>5.5547630746859263E-2</v>
      </c>
      <c r="V29" s="22">
        <f>+IF(radial_thrust!$C$40="single",'HI-1.3'!D29,IF(radial_thrust!$C$40="double",'HI-1.3'!K29,IF(radial_thrust!$C$40="concentric",$P29,"")))</f>
        <v>8.6744389560812624E-2</v>
      </c>
      <c r="W29" s="22">
        <f>+IF(radial_thrust!$C$40="single",'HI-1.3'!E29,IF(radial_thrust!$C$40="double",'HI-1.3'!L29,IF(radial_thrust!$C$40="concentric",$P29,"")))</f>
        <v>0.12206894412440313</v>
      </c>
      <c r="X29" s="22">
        <f>+IF(radial_thrust!$C$40="single",'HI-1.3'!F29,IF(radial_thrust!$C$40="double",'HI-1.3'!M29,IF(radial_thrust!$C$40="concentric",$P29,"")))</f>
        <v>0.19962307116351391</v>
      </c>
      <c r="Y29" s="22" cm="1">
        <f t="array" ref="Y29">+IF(radial_thrust!$C$40="concentric",T29,interp(Y28,T28:X28,T29:X29))</f>
        <v>9.4673425309593467E-2</v>
      </c>
    </row>
    <row r="30" spans="1:25" x14ac:dyDescent="0.35">
      <c r="A30" s="19">
        <v>81</v>
      </c>
      <c r="B30" s="21">
        <v>1.5535401271319051E-2</v>
      </c>
      <c r="C30" s="21">
        <v>4.8140409559956174E-2</v>
      </c>
      <c r="D30" s="21">
        <v>7.6279645808465454E-2</v>
      </c>
      <c r="E30" s="21">
        <v>0.11185943646961174</v>
      </c>
      <c r="F30" s="21">
        <v>0.1848672151995151</v>
      </c>
      <c r="G30" s="21"/>
      <c r="H30" s="19">
        <v>81</v>
      </c>
      <c r="I30" s="21">
        <v>2.7434114666017702E-2</v>
      </c>
      <c r="J30" s="21">
        <v>2.8104436867685319E-2</v>
      </c>
      <c r="K30" s="21">
        <v>3.4629193572687914E-2</v>
      </c>
      <c r="L30" s="21">
        <v>5.3505276952350855E-2</v>
      </c>
      <c r="M30" s="21">
        <v>6.1591011798880609E-2</v>
      </c>
      <c r="N30" s="21"/>
      <c r="O30" s="22">
        <f t="shared" si="0"/>
        <v>81</v>
      </c>
      <c r="P30" s="22">
        <v>0.22139687051845885</v>
      </c>
      <c r="Q30" s="22">
        <v>0.22139687051845885</v>
      </c>
      <c r="R30" s="21"/>
      <c r="S30" s="22">
        <f t="shared" si="1"/>
        <v>81</v>
      </c>
      <c r="T30" s="22">
        <f>+IF(radial_thrust!$C$40="single",'HI-1.3'!B30,IF(radial_thrust!$C$40="double",'HI-1.3'!I30,IF(radial_thrust!$C$40="concentric",$P30,"")))</f>
        <v>1.5535401271319051E-2</v>
      </c>
      <c r="U30" s="22">
        <f>+IF(radial_thrust!$C$40="single",'HI-1.3'!C30,IF(radial_thrust!$C$40="double",'HI-1.3'!J30,IF(radial_thrust!$C$40="concentric",$P30,"")))</f>
        <v>4.8140409559956174E-2</v>
      </c>
      <c r="V30" s="22">
        <f>+IF(radial_thrust!$C$40="single",'HI-1.3'!D30,IF(radial_thrust!$C$40="double",'HI-1.3'!K30,IF(radial_thrust!$C$40="concentric",$P30,"")))</f>
        <v>7.6279645808465454E-2</v>
      </c>
      <c r="W30" s="22">
        <f>+IF(radial_thrust!$C$40="single",'HI-1.3'!E30,IF(radial_thrust!$C$40="double",'HI-1.3'!L30,IF(radial_thrust!$C$40="concentric",$P30,"")))</f>
        <v>0.11185943646961174</v>
      </c>
      <c r="X30" s="22">
        <f>+IF(radial_thrust!$C$40="single",'HI-1.3'!F30,IF(radial_thrust!$C$40="double",'HI-1.3'!M30,IF(radial_thrust!$C$40="concentric",$P30,"")))</f>
        <v>0.1848672151995151</v>
      </c>
      <c r="Y30" s="22" cm="1">
        <f t="array" ref="Y30">+IF(radial_thrust!$C$40="concentric",T30,interp(Y29,T29:X29,T30:X30))</f>
        <v>8.4265972474765333E-2</v>
      </c>
    </row>
    <row r="31" spans="1:25" x14ac:dyDescent="0.35">
      <c r="A31" s="19">
        <v>84</v>
      </c>
      <c r="B31" s="21">
        <v>1.2024475666964048E-2</v>
      </c>
      <c r="C31" s="21">
        <v>3.9976015810668911E-2</v>
      </c>
      <c r="D31" s="21">
        <v>6.6192799479342798E-2</v>
      </c>
      <c r="E31" s="21">
        <v>0.10037659700053711</v>
      </c>
      <c r="F31" s="21">
        <v>0.16981564911853655</v>
      </c>
      <c r="G31" s="21"/>
      <c r="H31" s="19">
        <v>84</v>
      </c>
      <c r="I31" s="21">
        <v>2.8430798372803733E-2</v>
      </c>
      <c r="J31" s="21">
        <v>2.8543266773214605E-2</v>
      </c>
      <c r="K31" s="21">
        <v>3.5903050587349827E-2</v>
      </c>
      <c r="L31" s="21">
        <v>5.5641841182472063E-2</v>
      </c>
      <c r="M31" s="21">
        <v>6.5404015057224402E-2</v>
      </c>
      <c r="N31" s="21"/>
      <c r="O31" s="22">
        <f t="shared" si="0"/>
        <v>84</v>
      </c>
      <c r="P31" s="22">
        <v>0.22647076377986419</v>
      </c>
      <c r="Q31" s="22">
        <v>0.22647076377986419</v>
      </c>
      <c r="R31" s="21"/>
      <c r="S31" s="22">
        <f t="shared" si="1"/>
        <v>84</v>
      </c>
      <c r="T31" s="22">
        <f>+IF(radial_thrust!$C$40="single",'HI-1.3'!B31,IF(radial_thrust!$C$40="double",'HI-1.3'!I31,IF(radial_thrust!$C$40="concentric",$P31,"")))</f>
        <v>1.2024475666964048E-2</v>
      </c>
      <c r="U31" s="22">
        <f>+IF(radial_thrust!$C$40="single",'HI-1.3'!C31,IF(radial_thrust!$C$40="double",'HI-1.3'!J31,IF(radial_thrust!$C$40="concentric",$P31,"")))</f>
        <v>3.9976015810668911E-2</v>
      </c>
      <c r="V31" s="22">
        <f>+IF(radial_thrust!$C$40="single",'HI-1.3'!D31,IF(radial_thrust!$C$40="double",'HI-1.3'!K31,IF(radial_thrust!$C$40="concentric",$P31,"")))</f>
        <v>6.6192799479342798E-2</v>
      </c>
      <c r="W31" s="22">
        <f>+IF(radial_thrust!$C$40="single",'HI-1.3'!E31,IF(radial_thrust!$C$40="double",'HI-1.3'!L31,IF(radial_thrust!$C$40="concentric",$P31,"")))</f>
        <v>0.10037659700053711</v>
      </c>
      <c r="X31" s="22">
        <f>+IF(radial_thrust!$C$40="single",'HI-1.3'!F31,IF(radial_thrust!$C$40="double",'HI-1.3'!M31,IF(radial_thrust!$C$40="concentric",$P31,"")))</f>
        <v>0.16981564911853655</v>
      </c>
      <c r="Y31" s="22" cm="1">
        <f t="array" ref="Y31">+IF(radial_thrust!$C$40="concentric",T31,interp(Y30,T30:X30,T31:X31))</f>
        <v>7.386577811766383E-2</v>
      </c>
    </row>
    <row r="32" spans="1:25" x14ac:dyDescent="0.35">
      <c r="A32" s="19">
        <v>87</v>
      </c>
      <c r="B32" s="21">
        <v>1.3077297671331835E-2</v>
      </c>
      <c r="C32" s="21">
        <v>3.0595762744677246E-2</v>
      </c>
      <c r="D32" s="21">
        <v>5.5917833992487169E-2</v>
      </c>
      <c r="E32" s="21">
        <v>8.8185460015753045E-2</v>
      </c>
      <c r="F32" s="21">
        <v>0.15497189557606397</v>
      </c>
      <c r="G32" s="21"/>
      <c r="H32" s="19">
        <v>87</v>
      </c>
      <c r="I32" s="21">
        <v>2.8993316994315302E-2</v>
      </c>
      <c r="J32" s="21">
        <v>2.9435573131743401E-2</v>
      </c>
      <c r="K32" s="21">
        <v>3.7269782910730409E-2</v>
      </c>
      <c r="L32" s="21">
        <v>5.8891568869576603E-2</v>
      </c>
      <c r="M32" s="21">
        <v>7.0529141860065786E-2</v>
      </c>
      <c r="N32" s="21"/>
      <c r="O32" s="22">
        <f t="shared" si="0"/>
        <v>87</v>
      </c>
      <c r="P32" s="22">
        <v>0.22973754620223388</v>
      </c>
      <c r="Q32" s="22">
        <v>0.22973754620223388</v>
      </c>
      <c r="R32" s="21"/>
      <c r="S32" s="22">
        <f t="shared" si="1"/>
        <v>87</v>
      </c>
      <c r="T32" s="22">
        <f>+IF(radial_thrust!$C$40="single",'HI-1.3'!B32,IF(radial_thrust!$C$40="double",'HI-1.3'!I32,IF(radial_thrust!$C$40="concentric",$P32,"")))</f>
        <v>1.3077297671331835E-2</v>
      </c>
      <c r="U32" s="22">
        <f>+IF(radial_thrust!$C$40="single",'HI-1.3'!C32,IF(radial_thrust!$C$40="double",'HI-1.3'!J32,IF(radial_thrust!$C$40="concentric",$P32,"")))</f>
        <v>3.0595762744677246E-2</v>
      </c>
      <c r="V32" s="22">
        <f>+IF(radial_thrust!$C$40="single",'HI-1.3'!D32,IF(radial_thrust!$C$40="double",'HI-1.3'!K32,IF(radial_thrust!$C$40="concentric",$P32,"")))</f>
        <v>5.5917833992487169E-2</v>
      </c>
      <c r="W32" s="22">
        <f>+IF(radial_thrust!$C$40="single",'HI-1.3'!E32,IF(radial_thrust!$C$40="double",'HI-1.3'!L32,IF(radial_thrust!$C$40="concentric",$P32,"")))</f>
        <v>8.8185460015753045E-2</v>
      </c>
      <c r="X32" s="22">
        <f>+IF(radial_thrust!$C$40="single",'HI-1.3'!F32,IF(radial_thrust!$C$40="double",'HI-1.3'!M32,IF(radial_thrust!$C$40="concentric",$P32,"")))</f>
        <v>0.15497189557606397</v>
      </c>
      <c r="Y32" s="22" cm="1">
        <f t="array" ref="Y32">+IF(radial_thrust!$C$40="concentric",T32,interp(Y31,T31:X31,T32:X32))</f>
        <v>6.3160704098780746E-2</v>
      </c>
    </row>
    <row r="33" spans="1:25" x14ac:dyDescent="0.35">
      <c r="A33" s="19">
        <v>90</v>
      </c>
      <c r="B33" s="21">
        <v>1.5187047917939461E-2</v>
      </c>
      <c r="C33" s="21">
        <v>2.6333663743588521E-2</v>
      </c>
      <c r="D33" s="21">
        <v>4.6405106719759996E-2</v>
      </c>
      <c r="E33" s="21">
        <v>7.6879661368650723E-2</v>
      </c>
      <c r="F33" s="21">
        <v>0.13990509352540667</v>
      </c>
      <c r="G33" s="21"/>
      <c r="H33" s="19">
        <v>90</v>
      </c>
      <c r="I33" s="21">
        <v>3.0413420549076448E-2</v>
      </c>
      <c r="J33" s="21">
        <v>3.0669648539531365E-2</v>
      </c>
      <c r="K33" s="21">
        <v>3.8298614967252911E-2</v>
      </c>
      <c r="L33" s="21">
        <v>6.173857662321737E-2</v>
      </c>
      <c r="M33" s="21">
        <v>7.5207104361482022E-2</v>
      </c>
      <c r="N33" s="21"/>
      <c r="O33" s="22">
        <f t="shared" si="0"/>
        <v>90</v>
      </c>
      <c r="P33" s="22">
        <v>0.23375545838681067</v>
      </c>
      <c r="Q33" s="22">
        <v>0.23375545838681067</v>
      </c>
      <c r="R33" s="21"/>
      <c r="S33" s="22">
        <f t="shared" si="1"/>
        <v>90</v>
      </c>
      <c r="T33" s="22">
        <f>+IF(radial_thrust!$C$40="single",'HI-1.3'!B33,IF(radial_thrust!$C$40="double",'HI-1.3'!I33,IF(radial_thrust!$C$40="concentric",$P33,"")))</f>
        <v>1.5187047917939461E-2</v>
      </c>
      <c r="U33" s="22">
        <f>+IF(radial_thrust!$C$40="single",'HI-1.3'!C33,IF(radial_thrust!$C$40="double",'HI-1.3'!J33,IF(radial_thrust!$C$40="concentric",$P33,"")))</f>
        <v>2.6333663743588521E-2</v>
      </c>
      <c r="V33" s="22">
        <f>+IF(radial_thrust!$C$40="single",'HI-1.3'!D33,IF(radial_thrust!$C$40="double",'HI-1.3'!K33,IF(radial_thrust!$C$40="concentric",$P33,"")))</f>
        <v>4.6405106719759996E-2</v>
      </c>
      <c r="W33" s="22">
        <f>+IF(radial_thrust!$C$40="single",'HI-1.3'!E33,IF(radial_thrust!$C$40="double",'HI-1.3'!L33,IF(radial_thrust!$C$40="concentric",$P33,"")))</f>
        <v>7.6879661368650723E-2</v>
      </c>
      <c r="X33" s="22">
        <f>+IF(radial_thrust!$C$40="single",'HI-1.3'!F33,IF(radial_thrust!$C$40="double",'HI-1.3'!M33,IF(radial_thrust!$C$40="concentric",$P33,"")))</f>
        <v>0.13990509352540667</v>
      </c>
      <c r="Y33" s="22" cm="1">
        <f t="array" ref="Y33">+IF(radial_thrust!$C$40="concentric",T33,interp(Y32,T32:X32,T33:X33))</f>
        <v>5.3245499648260933E-2</v>
      </c>
    </row>
    <row r="34" spans="1:25" x14ac:dyDescent="0.35">
      <c r="A34" s="19">
        <v>93</v>
      </c>
      <c r="B34" s="21">
        <v>1.8444168452434771E-2</v>
      </c>
      <c r="C34" s="21">
        <v>2.7288746879183118E-2</v>
      </c>
      <c r="D34" s="21">
        <v>3.7798657669902321E-2</v>
      </c>
      <c r="E34" s="21">
        <v>6.6060520672370088E-2</v>
      </c>
      <c r="F34" s="21">
        <v>0.1242335244852005</v>
      </c>
      <c r="G34" s="21"/>
      <c r="H34" s="19">
        <v>93</v>
      </c>
      <c r="I34" s="21">
        <v>3.1714841865619549E-2</v>
      </c>
      <c r="J34" s="21">
        <v>3.168355285353678E-2</v>
      </c>
      <c r="K34" s="21">
        <v>3.9522866581862978E-2</v>
      </c>
      <c r="L34" s="21">
        <v>6.5121391444655563E-2</v>
      </c>
      <c r="M34" s="21">
        <v>8.0944604361481959E-2</v>
      </c>
      <c r="N34" s="21"/>
      <c r="O34" s="22">
        <f t="shared" si="0"/>
        <v>93</v>
      </c>
      <c r="P34" s="22">
        <v>0.2392637424104791</v>
      </c>
      <c r="Q34" s="22">
        <v>0.2392637424104791</v>
      </c>
      <c r="R34" s="21"/>
      <c r="S34" s="22">
        <f t="shared" si="1"/>
        <v>93</v>
      </c>
      <c r="T34" s="22">
        <f>+IF(radial_thrust!$C$40="single",'HI-1.3'!B34,IF(radial_thrust!$C$40="double",'HI-1.3'!I34,IF(radial_thrust!$C$40="concentric",$P34,"")))</f>
        <v>1.8444168452434771E-2</v>
      </c>
      <c r="U34" s="22">
        <f>+IF(radial_thrust!$C$40="single",'HI-1.3'!C34,IF(radial_thrust!$C$40="double",'HI-1.3'!J34,IF(radial_thrust!$C$40="concentric",$P34,"")))</f>
        <v>2.7288746879183118E-2</v>
      </c>
      <c r="V34" s="22">
        <f>+IF(radial_thrust!$C$40="single",'HI-1.3'!D34,IF(radial_thrust!$C$40="double",'HI-1.3'!K34,IF(radial_thrust!$C$40="concentric",$P34,"")))</f>
        <v>3.7798657669902321E-2</v>
      </c>
      <c r="W34" s="22">
        <f>+IF(radial_thrust!$C$40="single",'HI-1.3'!E34,IF(radial_thrust!$C$40="double",'HI-1.3'!L34,IF(radial_thrust!$C$40="concentric",$P34,"")))</f>
        <v>6.6060520672370088E-2</v>
      </c>
      <c r="X34" s="22">
        <f>+IF(radial_thrust!$C$40="single",'HI-1.3'!F34,IF(radial_thrust!$C$40="double",'HI-1.3'!M34,IF(radial_thrust!$C$40="concentric",$P34,"")))</f>
        <v>0.1242335244852005</v>
      </c>
      <c r="Y34" s="22" cm="1">
        <f t="array" ref="Y34">+IF(radial_thrust!$C$40="concentric",T34,interp(Y33,T33:X33,T34:X34))</f>
        <v>4.4142384430003789E-2</v>
      </c>
    </row>
    <row r="35" spans="1:25" x14ac:dyDescent="0.35">
      <c r="A35" s="19">
        <v>96</v>
      </c>
      <c r="B35" s="21">
        <v>2.1568103398318331E-2</v>
      </c>
      <c r="C35" s="21">
        <v>3.1031725349302906E-2</v>
      </c>
      <c r="D35" s="21">
        <v>3.5733707468281105E-2</v>
      </c>
      <c r="E35" s="21">
        <v>5.675711571476634E-2</v>
      </c>
      <c r="F35" s="21">
        <v>0.10770510144355001</v>
      </c>
      <c r="G35" s="21"/>
      <c r="H35" s="19">
        <v>96</v>
      </c>
      <c r="I35" s="21">
        <v>3.2717801822879401E-2</v>
      </c>
      <c r="J35" s="21">
        <v>3.3244481386225988E-2</v>
      </c>
      <c r="K35" s="21">
        <v>4.0733675288628507E-2</v>
      </c>
      <c r="L35" s="21">
        <v>6.8491817935579041E-2</v>
      </c>
      <c r="M35" s="21">
        <v>8.7507104361482027E-2</v>
      </c>
      <c r="N35" s="21"/>
      <c r="O35" s="22">
        <f t="shared" si="0"/>
        <v>96</v>
      </c>
      <c r="P35" s="22">
        <v>0.24367143471817124</v>
      </c>
      <c r="Q35" s="22">
        <v>0.24367143471817124</v>
      </c>
      <c r="R35" s="21"/>
      <c r="S35" s="22">
        <f t="shared" si="1"/>
        <v>96</v>
      </c>
      <c r="T35" s="22">
        <f>+IF(radial_thrust!$C$40="single",'HI-1.3'!B35,IF(radial_thrust!$C$40="double",'HI-1.3'!I35,IF(radial_thrust!$C$40="concentric",$P35,"")))</f>
        <v>2.1568103398318331E-2</v>
      </c>
      <c r="U35" s="22">
        <f>+IF(radial_thrust!$C$40="single",'HI-1.3'!C35,IF(radial_thrust!$C$40="double",'HI-1.3'!J35,IF(radial_thrust!$C$40="concentric",$P35,"")))</f>
        <v>3.1031725349302906E-2</v>
      </c>
      <c r="V35" s="22">
        <f>+IF(radial_thrust!$C$40="single",'HI-1.3'!D35,IF(radial_thrust!$C$40="double",'HI-1.3'!K35,IF(radial_thrust!$C$40="concentric",$P35,"")))</f>
        <v>3.5733707468281105E-2</v>
      </c>
      <c r="W35" s="22">
        <f>+IF(radial_thrust!$C$40="single",'HI-1.3'!E35,IF(radial_thrust!$C$40="double",'HI-1.3'!L35,IF(radial_thrust!$C$40="concentric",$P35,"")))</f>
        <v>5.675711571476634E-2</v>
      </c>
      <c r="X35" s="22">
        <f>+IF(radial_thrust!$C$40="single",'HI-1.3'!F35,IF(radial_thrust!$C$40="double",'HI-1.3'!M35,IF(radial_thrust!$C$40="concentric",$P35,"")))</f>
        <v>0.10770510144355001</v>
      </c>
      <c r="Y35" s="22" cm="1">
        <f t="array" ref="Y35">+IF(radial_thrust!$C$40="concentric",T35,interp(Y34,T34:X34,T35:X35))</f>
        <v>4.0452673003926118E-2</v>
      </c>
    </row>
    <row r="36" spans="1:25" x14ac:dyDescent="0.35">
      <c r="A36" s="19">
        <v>99</v>
      </c>
      <c r="B36" s="21">
        <v>2.6279775585125328E-2</v>
      </c>
      <c r="C36" s="21">
        <v>3.3682228237355477E-2</v>
      </c>
      <c r="D36" s="21">
        <v>3.9072312435153439E-2</v>
      </c>
      <c r="E36" s="21">
        <v>4.932643885297338E-2</v>
      </c>
      <c r="F36" s="21">
        <v>9.4068684147194853E-2</v>
      </c>
      <c r="G36" s="21"/>
      <c r="H36" s="19">
        <v>99</v>
      </c>
      <c r="I36" s="21">
        <v>3.4367632701323376E-2</v>
      </c>
      <c r="J36" s="21">
        <v>3.441856351863929E-2</v>
      </c>
      <c r="K36" s="21">
        <v>4.1269480107008767E-2</v>
      </c>
      <c r="L36" s="21">
        <v>7.1997663608436527E-2</v>
      </c>
      <c r="M36" s="21">
        <v>9.4344604361482079E-2</v>
      </c>
      <c r="N36" s="21"/>
      <c r="O36" s="22">
        <f t="shared" si="0"/>
        <v>99</v>
      </c>
      <c r="P36" s="22">
        <v>0.24807912702586421</v>
      </c>
      <c r="Q36" s="22">
        <v>0.24807912702586421</v>
      </c>
      <c r="R36" s="21"/>
      <c r="S36" s="22">
        <f t="shared" si="1"/>
        <v>99</v>
      </c>
      <c r="T36" s="22">
        <f>+IF(radial_thrust!$C$40="single",'HI-1.3'!B36,IF(radial_thrust!$C$40="double",'HI-1.3'!I36,IF(radial_thrust!$C$40="concentric",$P36,"")))</f>
        <v>2.6279775585125328E-2</v>
      </c>
      <c r="U36" s="22">
        <f>+IF(radial_thrust!$C$40="single",'HI-1.3'!C36,IF(radial_thrust!$C$40="double",'HI-1.3'!J36,IF(radial_thrust!$C$40="concentric",$P36,"")))</f>
        <v>3.3682228237355477E-2</v>
      </c>
      <c r="V36" s="22">
        <f>+IF(radial_thrust!$C$40="single",'HI-1.3'!D36,IF(radial_thrust!$C$40="double",'HI-1.3'!K36,IF(radial_thrust!$C$40="concentric",$P36,"")))</f>
        <v>3.9072312435153439E-2</v>
      </c>
      <c r="W36" s="22">
        <f>+IF(radial_thrust!$C$40="single",'HI-1.3'!E36,IF(radial_thrust!$C$40="double",'HI-1.3'!L36,IF(radial_thrust!$C$40="concentric",$P36,"")))</f>
        <v>4.932643885297338E-2</v>
      </c>
      <c r="X36" s="22">
        <f>+IF(radial_thrust!$C$40="single",'HI-1.3'!F36,IF(radial_thrust!$C$40="double",'HI-1.3'!M36,IF(radial_thrust!$C$40="concentric",$P36,"")))</f>
        <v>9.4068684147194853E-2</v>
      </c>
      <c r="Y36" s="22" cm="1">
        <f t="array" ref="Y36">+IF(radial_thrust!$C$40="concentric",T36,interp(Y35,T35:X35,T36:X36))</f>
        <v>4.1373978682438972E-2</v>
      </c>
    </row>
    <row r="37" spans="1:25" x14ac:dyDescent="0.35">
      <c r="A37" s="19">
        <v>102</v>
      </c>
      <c r="B37" s="21">
        <v>3.1511902740641716E-2</v>
      </c>
      <c r="C37" s="21">
        <v>3.7126028640581579E-2</v>
      </c>
      <c r="D37" s="21">
        <v>4.353440419393944E-2</v>
      </c>
      <c r="E37" s="21">
        <v>5.0213422925293801E-2</v>
      </c>
      <c r="F37" s="21">
        <v>9.5765346480001623E-2</v>
      </c>
      <c r="G37" s="21"/>
      <c r="H37" s="19">
        <v>102</v>
      </c>
      <c r="I37" s="21">
        <v>3.5821706531464353E-2</v>
      </c>
      <c r="J37" s="21">
        <v>3.5813311285668607E-2</v>
      </c>
      <c r="K37" s="21">
        <v>4.2383006156799213E-2</v>
      </c>
      <c r="L37" s="21">
        <v>7.6069849725325725E-2</v>
      </c>
      <c r="M37" s="21">
        <v>0.10105601895858815</v>
      </c>
      <c r="N37" s="21"/>
      <c r="O37" s="22">
        <f t="shared" si="0"/>
        <v>102</v>
      </c>
      <c r="P37" s="22">
        <v>0.25250551456237913</v>
      </c>
      <c r="Q37" s="22">
        <v>0.25250551456237913</v>
      </c>
      <c r="R37" s="21"/>
      <c r="S37" s="22">
        <f t="shared" si="1"/>
        <v>102</v>
      </c>
      <c r="T37" s="22">
        <f>+IF(radial_thrust!$C$40="single",'HI-1.3'!B37,IF(radial_thrust!$C$40="double",'HI-1.3'!I37,IF(radial_thrust!$C$40="concentric",$P37,"")))</f>
        <v>3.1511902740641716E-2</v>
      </c>
      <c r="U37" s="22">
        <f>+IF(radial_thrust!$C$40="single",'HI-1.3'!C37,IF(radial_thrust!$C$40="double",'HI-1.3'!J37,IF(radial_thrust!$C$40="concentric",$P37,"")))</f>
        <v>3.7126028640581579E-2</v>
      </c>
      <c r="V37" s="22">
        <f>+IF(radial_thrust!$C$40="single",'HI-1.3'!D37,IF(radial_thrust!$C$40="double",'HI-1.3'!K37,IF(radial_thrust!$C$40="concentric",$P37,"")))</f>
        <v>4.353440419393944E-2</v>
      </c>
      <c r="W37" s="22">
        <f>+IF(radial_thrust!$C$40="single",'HI-1.3'!E37,IF(radial_thrust!$C$40="double",'HI-1.3'!L37,IF(radial_thrust!$C$40="concentric",$P37,"")))</f>
        <v>5.0213422925293801E-2</v>
      </c>
      <c r="X37" s="22">
        <f>+IF(radial_thrust!$C$40="single",'HI-1.3'!F37,IF(radial_thrust!$C$40="double",'HI-1.3'!M37,IF(radial_thrust!$C$40="concentric",$P37,"")))</f>
        <v>9.5765346480001623E-2</v>
      </c>
      <c r="Y37" s="22" cm="1">
        <f t="array" ref="Y37">+IF(radial_thrust!$C$40="concentric",T37,interp(Y36,T36:X36,T37:X37))</f>
        <v>4.5033593042658013E-2</v>
      </c>
    </row>
    <row r="38" spans="1:25" x14ac:dyDescent="0.35">
      <c r="A38" s="19">
        <v>105</v>
      </c>
      <c r="B38" s="21">
        <v>3.4948806758698839E-2</v>
      </c>
      <c r="C38" s="21">
        <v>4.2163852903155594E-2</v>
      </c>
      <c r="D38" s="21">
        <v>4.9446777147582104E-2</v>
      </c>
      <c r="E38" s="21">
        <v>5.704239021129659E-2</v>
      </c>
      <c r="F38" s="21">
        <v>0.10556754428219958</v>
      </c>
      <c r="G38" s="21"/>
      <c r="H38" s="19">
        <v>105</v>
      </c>
      <c r="I38" s="21">
        <v>3.7543870459967009E-2</v>
      </c>
      <c r="J38" s="21">
        <v>3.690266855446158E-2</v>
      </c>
      <c r="K38" s="21">
        <v>4.2643368529596437E-2</v>
      </c>
      <c r="L38" s="21">
        <v>8.0432320868502327E-2</v>
      </c>
      <c r="M38" s="21">
        <v>0.10806209498208554</v>
      </c>
      <c r="N38" s="21"/>
      <c r="O38" s="22">
        <f t="shared" si="0"/>
        <v>105</v>
      </c>
      <c r="P38" s="22">
        <v>0.25682978156710651</v>
      </c>
      <c r="Q38" s="22">
        <v>0.25682978156710651</v>
      </c>
      <c r="R38" s="21"/>
      <c r="S38" s="22">
        <f t="shared" si="1"/>
        <v>105</v>
      </c>
      <c r="T38" s="22">
        <f>+IF(radial_thrust!$C$40="single",'HI-1.3'!B38,IF(radial_thrust!$C$40="double",'HI-1.3'!I38,IF(radial_thrust!$C$40="concentric",$P38,"")))</f>
        <v>3.4948806758698839E-2</v>
      </c>
      <c r="U38" s="22">
        <f>+IF(radial_thrust!$C$40="single",'HI-1.3'!C38,IF(radial_thrust!$C$40="double",'HI-1.3'!J38,IF(radial_thrust!$C$40="concentric",$P38,"")))</f>
        <v>4.2163852903155594E-2</v>
      </c>
      <c r="V38" s="22">
        <f>+IF(radial_thrust!$C$40="single",'HI-1.3'!D38,IF(radial_thrust!$C$40="double",'HI-1.3'!K38,IF(radial_thrust!$C$40="concentric",$P38,"")))</f>
        <v>4.9446777147582104E-2</v>
      </c>
      <c r="W38" s="22">
        <f>+IF(radial_thrust!$C$40="single",'HI-1.3'!E38,IF(radial_thrust!$C$40="double",'HI-1.3'!L38,IF(radial_thrust!$C$40="concentric",$P38,"")))</f>
        <v>5.704239021129659E-2</v>
      </c>
      <c r="X38" s="22">
        <f>+IF(radial_thrust!$C$40="single",'HI-1.3'!F38,IF(radial_thrust!$C$40="double",'HI-1.3'!M38,IF(radial_thrust!$C$40="concentric",$P38,"")))</f>
        <v>0.10556754428219958</v>
      </c>
      <c r="Y38" s="22" cm="1">
        <f t="array" ref="Y38">+IF(radial_thrust!$C$40="concentric",T38,interp(Y37,T37:X37,T38:X38))</f>
        <v>5.1151706997657968E-2</v>
      </c>
    </row>
    <row r="39" spans="1:25" x14ac:dyDescent="0.35">
      <c r="A39" s="19">
        <v>108</v>
      </c>
      <c r="B39" s="21">
        <v>3.9442736380912856E-2</v>
      </c>
      <c r="C39" s="21">
        <v>4.7849887705646632E-2</v>
      </c>
      <c r="D39" s="21">
        <v>5.5942135544594977E-2</v>
      </c>
      <c r="E39" s="21">
        <v>6.4897754124037157E-2</v>
      </c>
      <c r="F39" s="21">
        <v>0.11605436526263699</v>
      </c>
      <c r="G39" s="21"/>
      <c r="H39" s="19">
        <v>108</v>
      </c>
      <c r="I39" s="21">
        <v>3.8931602986027124E-2</v>
      </c>
      <c r="J39" s="21">
        <v>3.8442232978845414E-2</v>
      </c>
      <c r="K39" s="21">
        <v>4.4728406612286054E-2</v>
      </c>
      <c r="L39" s="21">
        <v>8.48450488405849E-2</v>
      </c>
      <c r="M39" s="21">
        <v>0.11485710436148371</v>
      </c>
      <c r="N39" s="21"/>
      <c r="O39" s="22">
        <f t="shared" si="0"/>
        <v>108</v>
      </c>
      <c r="P39" s="22">
        <v>0.26241859654259009</v>
      </c>
      <c r="Q39" s="22">
        <v>0.26241859654259009</v>
      </c>
      <c r="R39" s="21"/>
      <c r="S39" s="22">
        <f t="shared" si="1"/>
        <v>108</v>
      </c>
      <c r="T39" s="22">
        <f>+IF(radial_thrust!$C$40="single",'HI-1.3'!B39,IF(radial_thrust!$C$40="double",'HI-1.3'!I39,IF(radial_thrust!$C$40="concentric",$P39,"")))</f>
        <v>3.9442736380912856E-2</v>
      </c>
      <c r="U39" s="22">
        <f>+IF(radial_thrust!$C$40="single",'HI-1.3'!C39,IF(radial_thrust!$C$40="double",'HI-1.3'!J39,IF(radial_thrust!$C$40="concentric",$P39,"")))</f>
        <v>4.7849887705646632E-2</v>
      </c>
      <c r="V39" s="22">
        <f>+IF(radial_thrust!$C$40="single",'HI-1.3'!D39,IF(radial_thrust!$C$40="double",'HI-1.3'!K39,IF(radial_thrust!$C$40="concentric",$P39,"")))</f>
        <v>5.5942135544594977E-2</v>
      </c>
      <c r="W39" s="22">
        <f>+IF(radial_thrust!$C$40="single",'HI-1.3'!E39,IF(radial_thrust!$C$40="double",'HI-1.3'!L39,IF(radial_thrust!$C$40="concentric",$P39,"")))</f>
        <v>6.4897754124037157E-2</v>
      </c>
      <c r="X39" s="22">
        <f>+IF(radial_thrust!$C$40="single",'HI-1.3'!F39,IF(radial_thrust!$C$40="double",'HI-1.3'!M39,IF(radial_thrust!$C$40="concentric",$P39,"")))</f>
        <v>0.11605436526263699</v>
      </c>
      <c r="Y39" s="22" cm="1">
        <f t="array" ref="Y39">+IF(radial_thrust!$C$40="concentric",T39,interp(Y38,T38:X38,T39:X39))</f>
        <v>5.7952335552666233E-2</v>
      </c>
    </row>
    <row r="40" spans="1:25" x14ac:dyDescent="0.35">
      <c r="A40" s="19">
        <v>111</v>
      </c>
      <c r="B40" s="21">
        <v>4.4275084664714033E-2</v>
      </c>
      <c r="C40" s="21">
        <v>5.4564057439715243E-2</v>
      </c>
      <c r="D40" s="21">
        <v>6.2505550178741334E-2</v>
      </c>
      <c r="E40" s="21">
        <v>7.4097327900643786E-2</v>
      </c>
      <c r="F40" s="21">
        <v>0.12808934766219265</v>
      </c>
      <c r="G40" s="21"/>
      <c r="H40" s="19">
        <v>111</v>
      </c>
      <c r="I40" s="21">
        <v>4.0133040558127622E-2</v>
      </c>
      <c r="J40" s="21">
        <v>3.9630043560546509E-2</v>
      </c>
      <c r="K40" s="21">
        <v>4.5916217193987169E-2</v>
      </c>
      <c r="L40" s="21">
        <v>8.9768941541769995E-2</v>
      </c>
      <c r="M40" s="21">
        <v>0.12283321204785919</v>
      </c>
      <c r="N40" s="21"/>
      <c r="O40" s="22">
        <f t="shared" si="0"/>
        <v>111</v>
      </c>
      <c r="P40" s="22">
        <v>0.26488583295326229</v>
      </c>
      <c r="Q40" s="22">
        <v>0.26488583295326229</v>
      </c>
      <c r="R40" s="21"/>
      <c r="S40" s="22">
        <f t="shared" si="1"/>
        <v>111</v>
      </c>
      <c r="T40" s="22">
        <f>+IF(radial_thrust!$C$40="single",'HI-1.3'!B40,IF(radial_thrust!$C$40="double",'HI-1.3'!I40,IF(radial_thrust!$C$40="concentric",$P40,"")))</f>
        <v>4.4275084664714033E-2</v>
      </c>
      <c r="U40" s="22">
        <f>+IF(radial_thrust!$C$40="single",'HI-1.3'!C40,IF(radial_thrust!$C$40="double",'HI-1.3'!J40,IF(radial_thrust!$C$40="concentric",$P40,"")))</f>
        <v>5.4564057439715243E-2</v>
      </c>
      <c r="V40" s="22">
        <f>+IF(radial_thrust!$C$40="single",'HI-1.3'!D40,IF(radial_thrust!$C$40="double",'HI-1.3'!K40,IF(radial_thrust!$C$40="concentric",$P40,"")))</f>
        <v>6.2505550178741334E-2</v>
      </c>
      <c r="W40" s="22">
        <f>+IF(radial_thrust!$C$40="single",'HI-1.3'!E40,IF(radial_thrust!$C$40="double",'HI-1.3'!L40,IF(radial_thrust!$C$40="concentric",$P40,"")))</f>
        <v>7.4097327900643786E-2</v>
      </c>
      <c r="X40" s="22">
        <f>+IF(radial_thrust!$C$40="single",'HI-1.3'!F40,IF(radial_thrust!$C$40="double",'HI-1.3'!M40,IF(radial_thrust!$C$40="concentric",$P40,"")))</f>
        <v>0.12808934766219265</v>
      </c>
      <c r="Y40" s="22" cm="1">
        <f t="array" ref="Y40">+IF(radial_thrust!$C$40="concentric",T40,interp(Y39,T39:X39,T40:X40))</f>
        <v>6.5107468903107091E-2</v>
      </c>
    </row>
    <row r="41" spans="1:25" x14ac:dyDescent="0.35">
      <c r="A41" s="19">
        <v>114</v>
      </c>
      <c r="B41" s="21">
        <v>4.9556769690936531E-2</v>
      </c>
      <c r="C41" s="21">
        <v>6.1101336854925109E-2</v>
      </c>
      <c r="D41" s="21">
        <v>7.0516898275486212E-2</v>
      </c>
      <c r="E41" s="21">
        <v>8.583936823046831E-2</v>
      </c>
      <c r="F41" s="21">
        <v>0.14170508270503174</v>
      </c>
      <c r="G41" s="21"/>
      <c r="H41" s="19">
        <v>114</v>
      </c>
      <c r="I41" s="21">
        <v>4.1334478130228114E-2</v>
      </c>
      <c r="J41" s="21">
        <v>4.0817854142247603E-2</v>
      </c>
      <c r="K41" s="21">
        <v>4.7104027775688284E-2</v>
      </c>
      <c r="L41" s="21">
        <v>9.469283424295509E-2</v>
      </c>
      <c r="M41" s="21">
        <v>0.13091373603167142</v>
      </c>
      <c r="N41" s="21"/>
      <c r="O41" s="22">
        <f t="shared" si="0"/>
        <v>114</v>
      </c>
      <c r="P41" s="22">
        <v>0.27128155646299928</v>
      </c>
      <c r="Q41" s="22">
        <v>0.27128155646299928</v>
      </c>
      <c r="R41" s="21"/>
      <c r="S41" s="22">
        <f t="shared" si="1"/>
        <v>114</v>
      </c>
      <c r="T41" s="22">
        <f>+IF(radial_thrust!$C$40="single",'HI-1.3'!B41,IF(radial_thrust!$C$40="double",'HI-1.3'!I41,IF(radial_thrust!$C$40="concentric",$P41,"")))</f>
        <v>4.9556769690936531E-2</v>
      </c>
      <c r="U41" s="22">
        <f>+IF(radial_thrust!$C$40="single",'HI-1.3'!C41,IF(radial_thrust!$C$40="double",'HI-1.3'!J41,IF(radial_thrust!$C$40="concentric",$P41,"")))</f>
        <v>6.1101336854925109E-2</v>
      </c>
      <c r="V41" s="22">
        <f>+IF(radial_thrust!$C$40="single",'HI-1.3'!D41,IF(radial_thrust!$C$40="double",'HI-1.3'!K41,IF(radial_thrust!$C$40="concentric",$P41,"")))</f>
        <v>7.0516898275486212E-2</v>
      </c>
      <c r="W41" s="22">
        <f>+IF(radial_thrust!$C$40="single",'HI-1.3'!E41,IF(radial_thrust!$C$40="double",'HI-1.3'!L41,IF(radial_thrust!$C$40="concentric",$P41,"")))</f>
        <v>8.583936823046831E-2</v>
      </c>
      <c r="X41" s="22">
        <f>+IF(radial_thrust!$C$40="single",'HI-1.3'!F41,IF(radial_thrust!$C$40="double",'HI-1.3'!M41,IF(radial_thrust!$C$40="concentric",$P41,"")))</f>
        <v>0.14170508270503174</v>
      </c>
      <c r="Y41" s="22" cm="1">
        <f t="array" ref="Y41">+IF(radial_thrust!$C$40="concentric",T41,interp(Y40,T40:X40,T41:X41))</f>
        <v>7.3956217285552295E-2</v>
      </c>
    </row>
    <row r="42" spans="1:25" x14ac:dyDescent="0.35">
      <c r="A42" s="19">
        <v>117</v>
      </c>
      <c r="B42" s="21">
        <v>5.5573087411634796E-2</v>
      </c>
      <c r="C42" s="21">
        <v>6.8423448261090314E-2</v>
      </c>
      <c r="D42" s="21">
        <v>8.1358479153780708E-2</v>
      </c>
      <c r="E42" s="21">
        <v>9.8505891095006959E-2</v>
      </c>
      <c r="F42" s="21">
        <v>0.15579460427826297</v>
      </c>
      <c r="G42" s="21"/>
      <c r="H42" s="19">
        <v>117</v>
      </c>
      <c r="I42" s="21">
        <v>4.2535915702328606E-2</v>
      </c>
      <c r="J42" s="21">
        <v>4.2005664723948698E-2</v>
      </c>
      <c r="K42" s="21">
        <v>4.8291838357389393E-2</v>
      </c>
      <c r="L42" s="21">
        <v>9.9616726944140199E-2</v>
      </c>
      <c r="M42" s="21">
        <v>0.13899426001548365</v>
      </c>
      <c r="N42" s="21"/>
      <c r="O42" s="22">
        <f t="shared" si="0"/>
        <v>117</v>
      </c>
      <c r="P42" s="22">
        <v>0.27552612132661575</v>
      </c>
      <c r="Q42" s="22">
        <v>0.27552612132661575</v>
      </c>
      <c r="R42" s="21"/>
      <c r="S42" s="22">
        <f t="shared" si="1"/>
        <v>117</v>
      </c>
      <c r="T42" s="22">
        <f>+IF(radial_thrust!$C$40="single",'HI-1.3'!B42,IF(radial_thrust!$C$40="double",'HI-1.3'!I42,IF(radial_thrust!$C$40="concentric",$P42,"")))</f>
        <v>5.5573087411634796E-2</v>
      </c>
      <c r="U42" s="22">
        <f>+IF(radial_thrust!$C$40="single",'HI-1.3'!C42,IF(radial_thrust!$C$40="double",'HI-1.3'!J42,IF(radial_thrust!$C$40="concentric",$P42,"")))</f>
        <v>6.8423448261090314E-2</v>
      </c>
      <c r="V42" s="22">
        <f>+IF(radial_thrust!$C$40="single",'HI-1.3'!D42,IF(radial_thrust!$C$40="double",'HI-1.3'!K42,IF(radial_thrust!$C$40="concentric",$P42,"")))</f>
        <v>8.1358479153780708E-2</v>
      </c>
      <c r="W42" s="22">
        <f>+IF(radial_thrust!$C$40="single",'HI-1.3'!E42,IF(radial_thrust!$C$40="double",'HI-1.3'!L42,IF(radial_thrust!$C$40="concentric",$P42,"")))</f>
        <v>9.8505891095006959E-2</v>
      </c>
      <c r="X42" s="22">
        <f>+IF(radial_thrust!$C$40="single",'HI-1.3'!F42,IF(radial_thrust!$C$40="double",'HI-1.3'!M42,IF(radial_thrust!$C$40="concentric",$P42,"")))</f>
        <v>0.15579460427826297</v>
      </c>
      <c r="Y42" s="22" cm="1">
        <f t="array" ref="Y42">+IF(radial_thrust!$C$40="concentric",T42,interp(Y41,T41:X41,T42:X42))</f>
        <v>8.5207429096979509E-2</v>
      </c>
    </row>
    <row r="43" spans="1:25" x14ac:dyDescent="0.35">
      <c r="A43" s="19">
        <v>120</v>
      </c>
      <c r="B43" s="21">
        <v>6.0313071792230603E-2</v>
      </c>
      <c r="C43" s="21">
        <v>7.5125910444337834E-2</v>
      </c>
      <c r="D43" s="21">
        <v>9.1938692863042931E-2</v>
      </c>
      <c r="E43" s="21">
        <v>0.11026253606149784</v>
      </c>
      <c r="F43" s="21">
        <v>0.16991297463659868</v>
      </c>
      <c r="G43" s="21"/>
      <c r="H43" s="19">
        <v>120</v>
      </c>
      <c r="I43" s="21">
        <v>4.3737353274429097E-2</v>
      </c>
      <c r="J43" s="21">
        <v>4.3193475305649792E-2</v>
      </c>
      <c r="K43" s="21">
        <v>4.9479648939090508E-2</v>
      </c>
      <c r="L43" s="21">
        <v>0.10454061964532529</v>
      </c>
      <c r="M43" s="21">
        <v>0.14707478399929585</v>
      </c>
      <c r="N43" s="21"/>
      <c r="O43" s="22">
        <f t="shared" si="0"/>
        <v>120</v>
      </c>
      <c r="P43" s="22">
        <v>0.28093065517227112</v>
      </c>
      <c r="Q43" s="22">
        <v>0.28093065517227112</v>
      </c>
      <c r="R43" s="21"/>
      <c r="S43" s="22">
        <f t="shared" si="1"/>
        <v>120</v>
      </c>
      <c r="T43" s="22">
        <f>+IF(radial_thrust!$C$40="single",'HI-1.3'!B43,IF(radial_thrust!$C$40="double",'HI-1.3'!I43,IF(radial_thrust!$C$40="concentric",$P43,"")))</f>
        <v>6.0313071792230603E-2</v>
      </c>
      <c r="U43" s="22">
        <f>+IF(radial_thrust!$C$40="single",'HI-1.3'!C43,IF(radial_thrust!$C$40="double",'HI-1.3'!J43,IF(radial_thrust!$C$40="concentric",$P43,"")))</f>
        <v>7.5125910444337834E-2</v>
      </c>
      <c r="V43" s="22">
        <f>+IF(radial_thrust!$C$40="single",'HI-1.3'!D43,IF(radial_thrust!$C$40="double",'HI-1.3'!K43,IF(radial_thrust!$C$40="concentric",$P43,"")))</f>
        <v>9.1938692863042931E-2</v>
      </c>
      <c r="W43" s="22">
        <f>+IF(radial_thrust!$C$40="single",'HI-1.3'!E43,IF(radial_thrust!$C$40="double",'HI-1.3'!L43,IF(radial_thrust!$C$40="concentric",$P43,"")))</f>
        <v>0.11026253606149784</v>
      </c>
      <c r="X43" s="22">
        <f>+IF(radial_thrust!$C$40="single",'HI-1.3'!F43,IF(radial_thrust!$C$40="double",'HI-1.3'!M43,IF(radial_thrust!$C$40="concentric",$P43,"")))</f>
        <v>0.16991297463659868</v>
      </c>
      <c r="Y43" s="22" cm="1">
        <f t="array" ref="Y43">+IF(radial_thrust!$C$40="concentric",T43,interp(Y42,T42:X42,T43:X43))</f>
        <v>9.6051707438047834E-2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138D0F-85B0-42E4-99E5-4848CA3EEC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200703-7D96-4D74-9E9D-429F4591DDCC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3.xml><?xml version="1.0" encoding="utf-8"?>
<ds:datastoreItem xmlns:ds="http://schemas.openxmlformats.org/officeDocument/2006/customXml" ds:itemID="{98F49515-BC47-4006-A3D9-D9B353F3A7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content</vt:lpstr>
      <vt:lpstr>radial_thrust</vt:lpstr>
      <vt:lpstr>HI-1.3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Mattia Di Somma</cp:lastModifiedBy>
  <cp:revision/>
  <dcterms:created xsi:type="dcterms:W3CDTF">2016-10-20T08:09:27Z</dcterms:created>
  <dcterms:modified xsi:type="dcterms:W3CDTF">2025-12-03T08:21:35Z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