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T:\IT005\Documentale\# Nuovo Documentale\Area di lavoro HSEQ\Da Gestire - Verificatore 1\1. Arianna\SOP e MOD casting thikness (Cademartori)\"/>
    </mc:Choice>
  </mc:AlternateContent>
  <xr:revisionPtr revIDLastSave="0" documentId="13_ncr:1_{07DA1DC0-36EB-4D68-804E-A13CFDC62989}" xr6:coauthVersionLast="47" xr6:coauthVersionMax="47" xr10:uidLastSave="{00000000-0000-0000-0000-000000000000}"/>
  <bookViews>
    <workbookView xWindow="-120" yWindow="-120" windowWidth="19440" windowHeight="14880" xr2:uid="{8D3FE534-56E5-4EBB-B444-4500B26C6856}"/>
  </bookViews>
  <sheets>
    <sheet name="content" sheetId="3" r:id="rId1"/>
    <sheet name="casting wall thickness" sheetId="2" r:id="rId2"/>
    <sheet name="immagini" sheetId="4" state="hidden" r:id="rId3"/>
  </sheets>
  <definedNames>
    <definedName name="double">immagini!$C$2</definedName>
    <definedName name="myfig">INDIRECT('casting wall thickness'!$J$4)</definedName>
    <definedName name="single">immagini!$B$2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" l="1"/>
  <c r="J12" i="2"/>
  <c r="J14" i="2" s="1"/>
  <c r="J15" i="2"/>
  <c r="I10" i="2"/>
  <c r="I9" i="2"/>
  <c r="I14" i="2"/>
  <c r="D13" i="2"/>
  <c r="I7" i="2"/>
  <c r="I8" i="2"/>
  <c r="J17" i="2" l="1"/>
  <c r="E13" i="2" a="1"/>
  <c r="E13" i="2" l="1"/>
  <c r="I13" i="2" a="1"/>
  <c r="I13" i="2" l="1"/>
  <c r="I15" i="2" a="1"/>
  <c r="I15" i="2" l="1"/>
  <c r="I16" i="2" a="1"/>
  <c r="I16" i="2" l="1"/>
  <c r="I17" i="2" a="1"/>
  <c r="I1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seaborn as sns
import matplotlib.pyplot as plt
# Load your data
tab_thickness = xl(%P2%, headers=True)
sns.set(style="whitegrid")
fig, ax1 = plt.subplots()
# Regressione per cast iron, bronze, brass
sns.regplot(
    data=tab_thickness,
    x="A [in]",
    y="tb [in]",
    line_kws={'color': 'blue', 'linestyle': '-.', 'linewidth': 1, 'label': 'cast iron, bronze, brass'},
    scatter_kws={'color': 'blue'},
    ci=None,
    ax=ax1
)
# Regressione per steel
sns.regplot(
    data=tab_thickness,
    x="A [in]",
    y="ts [in]",
    line_kws={'color': 'red', 'linestyle': '-.', 'linewidth': 1, 'label': 'steel'},
    scatter_kws={'color': 'red'},
    ci=None,
    ax=ax1
)
# Punto per user
unit = xl(%P3%)
if unit == "S.I.":
    factor = 25.4
else:
    factor = 1.
Dh = xl(%P4%)/factor
smin=xl(%P5%)/factor
plt.scatter(
            Dh,
            smin,
            color='black',
            s=100,
            label='user',
            marker = 'x')
ax1.set_xlabel(r'$A$ [in]')
ax1.set_ylabel(r'$t_{opt}$ [in]')
ax1.set_xlim(0, 60)
ax1.set_ylim(0, 1.5)
# Asse secondario superiore (x) in mm
ax2 = ax1.secondary_xaxis('top', functions=(lambda x: x*25.4, lambda x: x/25.4))
ax2.set_xlabel(r'$A$ [mm]')
# Asse secondario destro (y) in mm
ax3 = ax1.secondary_yaxis('right', functions=(lambda y: y*25.4, lambda y: y/25.4))
ax3.set_ylabel(r'$t_{opt}$ [mm]')
# Attiva tick minori e griglia secondaria
ax1.minorticks_on()
ax1.grid(which='major', linestyle='-', linewidth=0.7, alpha=0.7)
ax1.grid(which='minor', linestyle=':', linewidth=0.5, alpha=0.5)
ax1.legend(loc='lower right')
plt.tight_layout()
plt.show()</code>
    </pythonScript>
    <pythonScript>
      <code>if xl(%P2%)=="S.I.":
    temp="t\u2080 [mm]"
else:
    temp="t\u2080 [in]"    
value=temp</code>
    </pythonScript>
    <pythonScript>
      <code>if xl(%P2%)=="S.I.":
    temp="t\u2081 [mm]"
else:
    temp="t\u2081 [in]"    
value=temp</code>
    </pythonScript>
    <pythonScript>
      <code>if xl(%P2%)=="S.I.":
    temp="t\u2082 [mm]"
else:
    temp="t\u2082 [in]"    
value=temp</code>
    </pythonScript>
    <pythonScript>
      <code>if xl(%P2%)=="S.I.":
    temp="t\u2092\u209A\u209C [mm]"
else:
    temp="t\u2092\u209A\u209C [in]"    
value=temp</code>
    </pythonScript>
  </pythonScripts>
</python>
</file>

<file path=xl/sharedStrings.xml><?xml version="1.0" encoding="utf-8"?>
<sst xmlns="http://schemas.openxmlformats.org/spreadsheetml/2006/main" count="52" uniqueCount="51">
  <si>
    <t>First issue</t>
  </si>
  <si>
    <t>Rev.</t>
  </si>
  <si>
    <t>Date</t>
  </si>
  <si>
    <t>Description</t>
  </si>
  <si>
    <t>Prepared</t>
  </si>
  <si>
    <t>Checked</t>
  </si>
  <si>
    <t>Approved</t>
  </si>
  <si>
    <t>cast iron, bronze, brass</t>
  </si>
  <si>
    <t>steel</t>
  </si>
  <si>
    <t>Legend</t>
  </si>
  <si>
    <t>A [in]</t>
  </si>
  <si>
    <r>
      <t>t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[in]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</si>
  <si>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Aptos Narrow"/>
        <family val="2"/>
        <scheme val="minor"/>
      </rPr>
      <t xml:space="preserve"> [in]</t>
    </r>
  </si>
  <si>
    <t>Unit</t>
  </si>
  <si>
    <t>S.I.</t>
  </si>
  <si>
    <t>(S.I. o U.S.)</t>
  </si>
  <si>
    <t>input data</t>
  </si>
  <si>
    <t>volute</t>
  </si>
  <si>
    <t>double</t>
  </si>
  <si>
    <t>(single or double volute)</t>
  </si>
  <si>
    <t>descriptor</t>
  </si>
  <si>
    <t>(casting material)</t>
  </si>
  <si>
    <t>calculated</t>
  </si>
  <si>
    <t>annotation</t>
  </si>
  <si>
    <t>(design pressure)</t>
  </si>
  <si>
    <t>(scroll diameter)</t>
  </si>
  <si>
    <t>Warnings legend</t>
  </si>
  <si>
    <t>(yield stress s at operating temperature)</t>
  </si>
  <si>
    <t>not allowable</t>
  </si>
  <si>
    <t>(ultimate stress at operating temperature)</t>
  </si>
  <si>
    <t>near to limit</t>
  </si>
  <si>
    <t>examination</t>
  </si>
  <si>
    <t>liquid penetrant</t>
  </si>
  <si>
    <t>allowable</t>
  </si>
  <si>
    <t>(minimum corrosion allowance)</t>
  </si>
  <si>
    <t>(allowable stress including casting factor)</t>
  </si>
  <si>
    <t>(casting wall thickness for castability)</t>
  </si>
  <si>
    <t>(minimum allowable thickness for ASME III ND3440)</t>
  </si>
  <si>
    <t>visual</t>
  </si>
  <si>
    <t>(minimum allowable thickness)</t>
  </si>
  <si>
    <t>magnetic particle</t>
  </si>
  <si>
    <t>radiography</t>
  </si>
  <si>
    <t>ultrasonic</t>
  </si>
  <si>
    <t>magnetic particle/liquid penetrant + ultrasonic/radiography</t>
  </si>
  <si>
    <t>C.F. [-]</t>
  </si>
  <si>
    <t>(casting factor)</t>
  </si>
  <si>
    <t xml:space="preserve">R&amp;D &amp; Prod. Eng. Manager - M. Borghetti </t>
  </si>
  <si>
    <t>Advance Mechanical Design Manager - F. Cademartori</t>
  </si>
  <si>
    <t>Client Qualification/ EHSS - A. Banfi/ T. Morelli Stefani</t>
  </si>
  <si>
    <r>
      <t xml:space="preserve">Casting wall thickness for castability and internal pressure
linked to </t>
    </r>
    <r>
      <rPr>
        <b/>
        <sz val="26"/>
        <rFont val="Arial"/>
        <family val="2"/>
      </rPr>
      <t>SOP-569</t>
    </r>
    <r>
      <rPr>
        <sz val="26"/>
        <rFont val="Arial"/>
        <family val="2"/>
      </rPr>
      <t xml:space="preserve"> Rev.0</t>
    </r>
  </si>
  <si>
    <t>Mod.546-0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</si>
</sst>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General_)"/>
    <numFmt numFmtId="166" formatCode="&quot;$&quot;#,##0.00;[Red]\-&quot;$&quot;#,##0.00"/>
  </numFmts>
  <fonts count="2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bscript"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color rgb="FF808080"/>
      <name val="Calibri"/>
      <family val="2"/>
    </font>
    <font>
      <i/>
      <sz val="11"/>
      <name val="Aptos Narrow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5" fontId="13" fillId="0" borderId="0"/>
    <xf numFmtId="166" fontId="19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8" xfId="0" applyFill="1" applyBorder="1"/>
    <xf numFmtId="0" fontId="0" fillId="0" borderId="9" xfId="0" applyBorder="1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165" fontId="13" fillId="0" borderId="0" xfId="2"/>
    <xf numFmtId="0" fontId="1" fillId="0" borderId="4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4" fillId="0" borderId="0" xfId="1" applyFont="1" applyAlignment="1">
      <alignment horizontal="center" vertical="top"/>
    </xf>
    <xf numFmtId="0" fontId="1" fillId="0" borderId="0" xfId="1" applyAlignment="1">
      <alignment horizontal="center"/>
    </xf>
    <xf numFmtId="0" fontId="15" fillId="0" borderId="0" xfId="1" applyFont="1" applyAlignment="1">
      <alignment horizontal="center" vertical="top"/>
    </xf>
    <xf numFmtId="0" fontId="16" fillId="0" borderId="5" xfId="1" applyFont="1" applyBorder="1" applyAlignment="1">
      <alignment horizontal="center" vertical="top"/>
    </xf>
    <xf numFmtId="0" fontId="17" fillId="0" borderId="4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0" fillId="2" borderId="16" xfId="0" applyFill="1" applyBorder="1"/>
    <xf numFmtId="0" fontId="0" fillId="2" borderId="17" xfId="0" applyFill="1" applyBorder="1"/>
    <xf numFmtId="0" fontId="11" fillId="0" borderId="9" xfId="0" applyFont="1" applyBorder="1" applyAlignment="1">
      <alignment horizontal="center" vertical="center"/>
    </xf>
    <xf numFmtId="0" fontId="3" fillId="2" borderId="14" xfId="0" applyFont="1" applyFill="1" applyBorder="1"/>
    <xf numFmtId="0" fontId="0" fillId="2" borderId="10" xfId="0" applyFill="1" applyBorder="1"/>
    <xf numFmtId="0" fontId="5" fillId="6" borderId="9" xfId="0" applyFont="1" applyFill="1" applyBorder="1" applyAlignment="1">
      <alignment horizontal="center" vertical="center"/>
    </xf>
    <xf numFmtId="0" fontId="0" fillId="7" borderId="10" xfId="0" applyFill="1" applyBorder="1"/>
    <xf numFmtId="0" fontId="0" fillId="2" borderId="0" xfId="0" applyFill="1"/>
    <xf numFmtId="0" fontId="5" fillId="6" borderId="19" xfId="0" applyFont="1" applyFill="1" applyBorder="1" applyAlignment="1">
      <alignment horizontal="center" vertical="center"/>
    </xf>
    <xf numFmtId="0" fontId="0" fillId="0" borderId="13" xfId="0" applyBorder="1"/>
    <xf numFmtId="0" fontId="6" fillId="7" borderId="34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0" fillId="7" borderId="18" xfId="0" applyFill="1" applyBorder="1"/>
    <xf numFmtId="0" fontId="3" fillId="2" borderId="0" xfId="0" applyFont="1" applyFill="1"/>
    <xf numFmtId="0" fontId="3" fillId="2" borderId="15" xfId="0" applyFont="1" applyFill="1" applyBorder="1"/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32" xfId="0" applyFill="1" applyBorder="1"/>
    <xf numFmtId="2" fontId="12" fillId="2" borderId="9" xfId="0" applyNumberFormat="1" applyFont="1" applyFill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0" fillId="2" borderId="0" xfId="0" applyFill="1" applyAlignment="1">
      <alignment horizontal="left"/>
    </xf>
    <xf numFmtId="2" fontId="6" fillId="7" borderId="9" xfId="0" applyNumberFormat="1" applyFon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6" fontId="1" fillId="0" borderId="27" xfId="3" applyFont="1" applyBorder="1" applyAlignment="1">
      <alignment horizontal="center" vertical="center"/>
    </xf>
    <xf numFmtId="166" fontId="1" fillId="0" borderId="28" xfId="3" applyFont="1" applyBorder="1" applyAlignment="1">
      <alignment horizontal="center" vertical="center"/>
    </xf>
    <xf numFmtId="0" fontId="20" fillId="0" borderId="29" xfId="1" applyFont="1" applyBorder="1" applyAlignment="1">
      <alignment horizontal="center" vertical="center"/>
    </xf>
    <xf numFmtId="0" fontId="20" fillId="0" borderId="30" xfId="1" applyFont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9" fillId="0" borderId="26" xfId="1" applyFont="1" applyBorder="1" applyAlignment="1">
      <alignment horizontal="center" vertical="center" wrapText="1"/>
    </xf>
    <xf numFmtId="0" fontId="1" fillId="0" borderId="25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6" xfId="1" applyBorder="1" applyAlignment="1">
      <alignment horizontal="center" vertical="center"/>
    </xf>
    <xf numFmtId="0" fontId="19" fillId="0" borderId="25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14" fontId="19" fillId="0" borderId="10" xfId="1" applyNumberFormat="1" applyFont="1" applyBorder="1" applyAlignment="1">
      <alignment horizontal="center" vertical="center"/>
    </xf>
    <xf numFmtId="14" fontId="19" fillId="0" borderId="18" xfId="1" applyNumberFormat="1" applyFont="1" applyBorder="1" applyAlignment="1">
      <alignment horizontal="center" vertical="center"/>
    </xf>
    <xf numFmtId="14" fontId="19" fillId="0" borderId="19" xfId="1" applyNumberFormat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5" fillId="8" borderId="9" xfId="0" applyFont="1" applyFill="1" applyBorder="1" applyAlignment="1">
      <alignment horizontal="center" vertical="center"/>
    </xf>
    <xf numFmtId="0" fontId="24" fillId="0" borderId="9" xfId="0" quotePrefix="1" applyFont="1" applyBorder="1" applyAlignment="1">
      <alignment horizontal="center"/>
    </xf>
    <xf numFmtId="0" fontId="24" fillId="0" borderId="9" xfId="0" quotePrefix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7" borderId="10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166" fontId="1" fillId="0" borderId="6" xfId="3" applyFont="1" applyFill="1" applyBorder="1" applyAlignment="1">
      <alignment horizontal="right" vertical="center"/>
    </xf>
    <xf numFmtId="166" fontId="13" fillId="0" borderId="7" xfId="3" applyFont="1" applyFill="1" applyBorder="1" applyAlignment="1">
      <alignment horizontal="right" vertical="center"/>
    </xf>
    <xf numFmtId="166" fontId="13" fillId="0" borderId="8" xfId="3" applyFont="1" applyFill="1" applyBorder="1" applyAlignment="1">
      <alignment horizontal="right" vertical="center"/>
    </xf>
  </cellXfs>
  <cellStyles count="4">
    <cellStyle name="Normale" xfId="0" builtinId="0"/>
    <cellStyle name="Normale 3" xfId="2" xr:uid="{025D9227-DAFA-4155-AC67-5D60BE3A541A}"/>
    <cellStyle name="Normale 4" xfId="1" xr:uid="{EC92D9F4-56E8-4BCA-AB30-04977AF5D6E1}"/>
    <cellStyle name="Valuta 2" xfId="3" xr:uid="{82A5A2C7-4304-4F4E-853A-2A0BEE0AF977}"/>
  </cellStyles>
  <dxfs count="6">
    <dxf>
      <font>
        <strike val="0"/>
        <color rgb="FFFF0000"/>
      </font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Array" Target="richData/rdarray.xml"/><Relationship Id="rId5" Type="http://schemas.openxmlformats.org/officeDocument/2006/relationships/styles" Target="styles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ctrlProps/ctrlProp1.xml><?xml version="1.0" encoding="utf-8"?>
<formControlPr xmlns="http://schemas.microsoft.com/office/spreadsheetml/2009/9/main" objectType="Radio" firstButton="1" fmlaLink="$C$13" lockText="1"/>
</file>

<file path=xl/ctrlProps/ctrlProp2.xml><?xml version="1.0" encoding="utf-8"?>
<formControlPr xmlns="http://schemas.microsoft.com/office/spreadsheetml/2009/9/main" objectType="Radio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7044A4DE-7835-44D6-8540-9497755C8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28</xdr:row>
      <xdr:rowOff>152400</xdr:rowOff>
    </xdr:from>
    <xdr:to>
      <xdr:col>29</xdr:col>
      <xdr:colOff>19050</xdr:colOff>
      <xdr:row>38</xdr:row>
      <xdr:rowOff>28574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D4F8E9-DFAF-4C8D-B560-DE4C4817D4DB}"/>
            </a:ext>
          </a:extLst>
        </xdr:cNvPr>
        <xdr:cNvSpPr txBox="1"/>
      </xdr:nvSpPr>
      <xdr:spPr>
        <a:xfrm>
          <a:off x="95250" y="5486400"/>
          <a:ext cx="6276975" cy="1781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it-IT" sz="1100" b="0" u="none"/>
            <a:t>This worksheet calculates the wall thickness of castings based on the material and hydraulic diameter.</a:t>
          </a:r>
        </a:p>
        <a:p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"casting wall thickness"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Calculation</a:t>
          </a:r>
          <a:r>
            <a:rPr lang="it-IT" baseline="0">
              <a:effectLst/>
            </a:rPr>
            <a:t> sheet and diagram</a:t>
          </a: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9</xdr:col>
          <xdr:colOff>571500</xdr:colOff>
          <xdr:row>5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cast iron, bronze, brass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5</xdr:row>
          <xdr:rowOff>0</xdr:rowOff>
        </xdr:from>
        <xdr:to>
          <xdr:col>8</xdr:col>
          <xdr:colOff>714375</xdr:colOff>
          <xdr:row>6</xdr:row>
          <xdr:rowOff>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steel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137160</xdr:colOff>
      <xdr:row>10</xdr:row>
      <xdr:rowOff>40005</xdr:rowOff>
    </xdr:from>
    <xdr:to>
      <xdr:col>7</xdr:col>
      <xdr:colOff>789305</xdr:colOff>
      <xdr:row>33</xdr:row>
      <xdr:rowOff>173355</xdr:rowOff>
    </xdr:to>
    <xdr:pic>
      <xdr:nvPicPr>
        <xdr:cNvPr id="3" name="Immagine 4">
          <a:extLst>
            <a:ext uri="{FF2B5EF4-FFF2-40B4-BE49-F238E27FC236}">
              <a16:creationId xmlns:a16="http://schemas.microsoft.com/office/drawing/2014/main" id="{B5D6E558-8EBE-E21B-8A55-ACA06007ADF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casting wall thickness'!E13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35" y="2326005"/>
          <a:ext cx="5738495" cy="4514850"/>
        </a:xfrm>
        <a:prstGeom prst="rect">
          <a:avLst/>
        </a:prstGeom>
      </xdr:spPr>
    </xdr:pic>
    <xdr:clientData/>
  </xdr:twoCellAnchor>
  <xdr:twoCellAnchor editAs="absolute">
    <xdr:from>
      <xdr:col>8</xdr:col>
      <xdr:colOff>47623</xdr:colOff>
      <xdr:row>17</xdr:row>
      <xdr:rowOff>26671</xdr:rowOff>
    </xdr:from>
    <xdr:to>
      <xdr:col>10</xdr:col>
      <xdr:colOff>3155998</xdr:colOff>
      <xdr:row>33</xdr:row>
      <xdr:rowOff>182671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BC15C4F9-8F12-4E0D-82FA-4C7ADCFFD3D8}"/>
            </a:ext>
          </a:extLst>
        </xdr:cNvPr>
        <xdr:cNvSpPr txBox="1"/>
      </xdr:nvSpPr>
      <xdr:spPr>
        <a:xfrm>
          <a:off x="6229348" y="3646171"/>
          <a:ext cx="4680000" cy="3204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INSTRUCTIONS: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the unit of measurement.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Specify the pump type (single volute or double volute).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Select the material.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Define the design pressure,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Specify the scroll diameter,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 if A exceeds 20 inches (508 mm), the ASME formula may no longer be valid and results should be interpreted with caution.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Determine the yield stress Sy and ultimate stress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 operating temperature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7)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 examination.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8) Define the minimum corrosion allowance,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it-IT" sz="1100" b="0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 for pressure-retaining components.</a:t>
          </a:r>
        </a:p>
        <a:p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Reference: API 610 recommends a minimum of 0.12 inches (3 mm).</a:t>
          </a:r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9) Calculate the required thickness for castability,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t₁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10) Calculate the required thickness according to ASME Section III,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t₂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11)</a:t>
          </a:r>
          <a:r>
            <a:rPr lang="it-I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Determine the final required thickness 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</a:t>
          </a:r>
          <a:r>
            <a:rPr lang="it-IT" sz="1100" b="0" i="1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mn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as the greater of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t₁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it-IT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t₂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This sheet does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it-IT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perform unit conversions. Ensure that all input values are provided in consistent units throughout the calculation process.</a:t>
          </a:r>
        </a:p>
        <a:p>
          <a:endParaRPr lang="it-IT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857250</xdr:colOff>
          <xdr:row>1</xdr:row>
          <xdr:rowOff>85725</xdr:rowOff>
        </xdr:from>
        <xdr:to>
          <xdr:col>7</xdr:col>
          <xdr:colOff>66675</xdr:colOff>
          <xdr:row>9</xdr:row>
          <xdr:rowOff>95250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DB00C303-D065-A57E-5CDD-0219D6F029F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myfig" spid="_x0000_s2319"/>
                </a:ext>
              </a:extLst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381375" y="276225"/>
              <a:ext cx="1952625" cy="1914525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427201</xdr:colOff>
      <xdr:row>2</xdr:row>
      <xdr:rowOff>38576</xdr:rowOff>
    </xdr:from>
    <xdr:to>
      <xdr:col>16</xdr:col>
      <xdr:colOff>0</xdr:colOff>
      <xdr:row>23</xdr:row>
      <xdr:rowOff>0</xdr:rowOff>
    </xdr:to>
    <xdr:grpSp>
      <xdr:nvGrpSpPr>
        <xdr:cNvPr id="22" name="Gruppo 21">
          <a:extLst>
            <a:ext uri="{FF2B5EF4-FFF2-40B4-BE49-F238E27FC236}">
              <a16:creationId xmlns:a16="http://schemas.microsoft.com/office/drawing/2014/main" id="{9BA2A3D1-BD66-57FA-6653-52CFBF5DB664}"/>
            </a:ext>
          </a:extLst>
        </xdr:cNvPr>
        <xdr:cNvGrpSpPr/>
      </xdr:nvGrpSpPr>
      <xdr:grpSpPr>
        <a:xfrm>
          <a:off x="8599651" y="2143601"/>
          <a:ext cx="3839999" cy="3961924"/>
          <a:chOff x="1219200" y="182880"/>
          <a:chExt cx="3847619" cy="3809524"/>
        </a:xfrm>
      </xdr:grpSpPr>
      <xdr:pic>
        <xdr:nvPicPr>
          <xdr:cNvPr id="6" name="Immagine 5">
            <a:extLst>
              <a:ext uri="{FF2B5EF4-FFF2-40B4-BE49-F238E27FC236}">
                <a16:creationId xmlns:a16="http://schemas.microsoft.com/office/drawing/2014/main" id="{211365FD-76A4-BAEB-9BA7-211F6059BC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19200" y="182880"/>
            <a:ext cx="3847619" cy="3809524"/>
          </a:xfrm>
          <a:prstGeom prst="rect">
            <a:avLst/>
          </a:prstGeom>
        </xdr:spPr>
      </xdr:pic>
      <xdr:cxnSp macro="">
        <xdr:nvCxnSpPr>
          <xdr:cNvPr id="9" name="Connettore diritto 8">
            <a:extLst>
              <a:ext uri="{FF2B5EF4-FFF2-40B4-BE49-F238E27FC236}">
                <a16:creationId xmlns:a16="http://schemas.microsoft.com/office/drawing/2014/main" id="{38365EF7-AEF3-9A89-B7BD-01695CCF0BDD}"/>
              </a:ext>
            </a:extLst>
          </xdr:cNvPr>
          <xdr:cNvCxnSpPr/>
        </xdr:nvCxnSpPr>
        <xdr:spPr>
          <a:xfrm>
            <a:off x="1577340" y="1954140"/>
            <a:ext cx="0" cy="1440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nettore diritto 9">
            <a:extLst>
              <a:ext uri="{FF2B5EF4-FFF2-40B4-BE49-F238E27FC236}">
                <a16:creationId xmlns:a16="http://schemas.microsoft.com/office/drawing/2014/main" id="{85F73AFD-4EDD-56CA-4BF2-5972E08D2A2D}"/>
              </a:ext>
            </a:extLst>
          </xdr:cNvPr>
          <xdr:cNvCxnSpPr/>
        </xdr:nvCxnSpPr>
        <xdr:spPr>
          <a:xfrm>
            <a:off x="4320540" y="3070140"/>
            <a:ext cx="0" cy="324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Connettore 2 13">
            <a:extLst>
              <a:ext uri="{FF2B5EF4-FFF2-40B4-BE49-F238E27FC236}">
                <a16:creationId xmlns:a16="http://schemas.microsoft.com/office/drawing/2014/main" id="{EBA9FE30-494F-50BD-0A08-5670EE31ED69}"/>
              </a:ext>
            </a:extLst>
          </xdr:cNvPr>
          <xdr:cNvCxnSpPr/>
        </xdr:nvCxnSpPr>
        <xdr:spPr>
          <a:xfrm flipV="1">
            <a:off x="1562100" y="3354480"/>
            <a:ext cx="2773680" cy="0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4054FCF7-AC62-0278-12DD-7E6AAFCC4AFC}"/>
              </a:ext>
            </a:extLst>
          </xdr:cNvPr>
          <xdr:cNvSpPr txBox="1"/>
        </xdr:nvSpPr>
        <xdr:spPr>
          <a:xfrm>
            <a:off x="2781300" y="3154680"/>
            <a:ext cx="321691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A</a:t>
            </a:r>
          </a:p>
        </xdr:txBody>
      </xdr:sp>
      <xdr:sp macro="" textlink="">
        <xdr:nvSpPr>
          <xdr:cNvPr id="20" name="CasellaDiTesto 19">
            <a:extLst>
              <a:ext uri="{FF2B5EF4-FFF2-40B4-BE49-F238E27FC236}">
                <a16:creationId xmlns:a16="http://schemas.microsoft.com/office/drawing/2014/main" id="{3A5CAD43-5787-36E0-E8F3-4B214E24770C}"/>
              </a:ext>
            </a:extLst>
          </xdr:cNvPr>
          <xdr:cNvSpPr txBox="1"/>
        </xdr:nvSpPr>
        <xdr:spPr>
          <a:xfrm>
            <a:off x="2088618" y="3550920"/>
            <a:ext cx="2108782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single</a:t>
            </a:r>
            <a:r>
              <a:rPr lang="it-IT" sz="2000" baseline="0"/>
              <a:t> volute pump</a:t>
            </a:r>
            <a:endParaRPr lang="it-IT" sz="2000"/>
          </a:p>
        </xdr:txBody>
      </xdr:sp>
    </xdr:grpSp>
    <xdr:clientData/>
  </xdr:twoCellAnchor>
  <xdr:twoCellAnchor>
    <xdr:from>
      <xdr:col>17</xdr:col>
      <xdr:colOff>229029</xdr:colOff>
      <xdr:row>2</xdr:row>
      <xdr:rowOff>30956</xdr:rowOff>
    </xdr:from>
    <xdr:to>
      <xdr:col>23</xdr:col>
      <xdr:colOff>0</xdr:colOff>
      <xdr:row>23</xdr:row>
      <xdr:rowOff>0</xdr:rowOff>
    </xdr:to>
    <xdr:grpSp>
      <xdr:nvGrpSpPr>
        <xdr:cNvPr id="23" name="Gruppo 22">
          <a:extLst>
            <a:ext uri="{FF2B5EF4-FFF2-40B4-BE49-F238E27FC236}">
              <a16:creationId xmlns:a16="http://schemas.microsoft.com/office/drawing/2014/main" id="{6C3C1455-6F59-E2AC-5F6E-2790061A23A0}"/>
            </a:ext>
          </a:extLst>
        </xdr:cNvPr>
        <xdr:cNvGrpSpPr/>
      </xdr:nvGrpSpPr>
      <xdr:grpSpPr>
        <a:xfrm>
          <a:off x="13278279" y="2135981"/>
          <a:ext cx="3428571" cy="3969544"/>
          <a:chOff x="6705600" y="182880"/>
          <a:chExt cx="3428571" cy="3809524"/>
        </a:xfrm>
      </xdr:grpSpPr>
      <xdr:pic>
        <xdr:nvPicPr>
          <xdr:cNvPr id="7" name="Immagine 6">
            <a:extLst>
              <a:ext uri="{FF2B5EF4-FFF2-40B4-BE49-F238E27FC236}">
                <a16:creationId xmlns:a16="http://schemas.microsoft.com/office/drawing/2014/main" id="{45DD66C6-AD49-361E-0E5A-55C34B5DC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705600" y="182880"/>
            <a:ext cx="3428571" cy="3809524"/>
          </a:xfrm>
          <a:prstGeom prst="rect">
            <a:avLst/>
          </a:prstGeom>
        </xdr:spPr>
      </xdr:pic>
      <xdr:cxnSp macro="">
        <xdr:nvCxnSpPr>
          <xdr:cNvPr id="15" name="Connettore diritto 14">
            <a:extLst>
              <a:ext uri="{FF2B5EF4-FFF2-40B4-BE49-F238E27FC236}">
                <a16:creationId xmlns:a16="http://schemas.microsoft.com/office/drawing/2014/main" id="{BCAEAF1F-FC12-4D7B-AF72-8E57AD7BBB22}"/>
              </a:ext>
            </a:extLst>
          </xdr:cNvPr>
          <xdr:cNvCxnSpPr/>
        </xdr:nvCxnSpPr>
        <xdr:spPr>
          <a:xfrm>
            <a:off x="7063740" y="1943100"/>
            <a:ext cx="0" cy="1440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nettore diritto 15">
            <a:extLst>
              <a:ext uri="{FF2B5EF4-FFF2-40B4-BE49-F238E27FC236}">
                <a16:creationId xmlns:a16="http://schemas.microsoft.com/office/drawing/2014/main" id="{5F8FE6EF-27C0-4850-B94B-2F9A885D225B}"/>
              </a:ext>
            </a:extLst>
          </xdr:cNvPr>
          <xdr:cNvCxnSpPr/>
        </xdr:nvCxnSpPr>
        <xdr:spPr>
          <a:xfrm>
            <a:off x="9288780" y="3059100"/>
            <a:ext cx="0" cy="32400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nettore 2 16">
            <a:extLst>
              <a:ext uri="{FF2B5EF4-FFF2-40B4-BE49-F238E27FC236}">
                <a16:creationId xmlns:a16="http://schemas.microsoft.com/office/drawing/2014/main" id="{43B62836-AC5B-4C88-B47A-1028402CBB5B}"/>
              </a:ext>
            </a:extLst>
          </xdr:cNvPr>
          <xdr:cNvCxnSpPr/>
        </xdr:nvCxnSpPr>
        <xdr:spPr>
          <a:xfrm flipV="1">
            <a:off x="7056120" y="3328200"/>
            <a:ext cx="2232000" cy="0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CasellaDiTesto 18">
            <a:extLst>
              <a:ext uri="{FF2B5EF4-FFF2-40B4-BE49-F238E27FC236}">
                <a16:creationId xmlns:a16="http://schemas.microsoft.com/office/drawing/2014/main" id="{2D7E9F47-B795-108D-0AEA-99F079F394AB}"/>
              </a:ext>
            </a:extLst>
          </xdr:cNvPr>
          <xdr:cNvSpPr txBox="1"/>
        </xdr:nvSpPr>
        <xdr:spPr>
          <a:xfrm>
            <a:off x="8054340" y="3131820"/>
            <a:ext cx="321691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A</a:t>
            </a:r>
          </a:p>
        </xdr:txBody>
      </xdr:sp>
      <xdr:sp macro="" textlink="">
        <xdr:nvSpPr>
          <xdr:cNvPr id="21" name="CasellaDiTesto 20">
            <a:extLst>
              <a:ext uri="{FF2B5EF4-FFF2-40B4-BE49-F238E27FC236}">
                <a16:creationId xmlns:a16="http://schemas.microsoft.com/office/drawing/2014/main" id="{EE9277B4-0B19-EE56-EC20-E69A3962E299}"/>
              </a:ext>
            </a:extLst>
          </xdr:cNvPr>
          <xdr:cNvSpPr txBox="1"/>
        </xdr:nvSpPr>
        <xdr:spPr>
          <a:xfrm>
            <a:off x="7311569" y="3550920"/>
            <a:ext cx="2216632" cy="40543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2000"/>
              <a:t>double</a:t>
            </a:r>
            <a:r>
              <a:rPr lang="it-IT" sz="2000" baseline="0"/>
              <a:t> volute pump</a:t>
            </a:r>
            <a:endParaRPr lang="it-IT" sz="2000"/>
          </a:p>
        </xdr:txBody>
      </xdr:sp>
    </xdr:grpSp>
    <xdr:clientData/>
  </xdr:twoCellAnchor>
  <xdr:twoCellAnchor editAs="oneCell">
    <xdr:from>
      <xdr:col>1</xdr:col>
      <xdr:colOff>19052</xdr:colOff>
      <xdr:row>1</xdr:row>
      <xdr:rowOff>9526</xdr:rowOff>
    </xdr:from>
    <xdr:to>
      <xdr:col>1</xdr:col>
      <xdr:colOff>1939459</xdr:colOff>
      <xdr:row>2</xdr:row>
      <xdr:rowOff>166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D6CB03A0-6837-D6C7-ACAC-37AA41FA8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28652" y="200026"/>
          <a:ext cx="1920407" cy="190516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144781</xdr:colOff>
      <xdr:row>1</xdr:row>
      <xdr:rowOff>9527</xdr:rowOff>
    </xdr:from>
    <xdr:to>
      <xdr:col>2</xdr:col>
      <xdr:colOff>1857906</xdr:colOff>
      <xdr:row>2</xdr:row>
      <xdr:rowOff>167</xdr:rowOff>
    </xdr:to>
    <xdr:pic>
      <xdr:nvPicPr>
        <xdr:cNvPr id="26" name="Immagine 25">
          <a:extLst>
            <a:ext uri="{FF2B5EF4-FFF2-40B4-BE49-F238E27FC236}">
              <a16:creationId xmlns:a16="http://schemas.microsoft.com/office/drawing/2014/main" id="{B6044B24-CEB9-F080-46A3-C7806E5B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2707006" y="200027"/>
          <a:ext cx="1713125" cy="1905165"/>
        </a:xfrm>
        <a:prstGeom prst="rect">
          <a:avLst/>
        </a:prstGeom>
        <a:ln>
          <a:noFill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2">
    <v>623</v>
    <v>463</v>
  </a>
</arrayData>
</file>

<file path=xl/richData/rdrichvalue.xml><?xml version="1.0" encoding="utf-8"?>
<rvData xmlns="http://schemas.microsoft.com/office/spreadsheetml/2017/richdata" count="4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size=623x463 at 0x7F0C6375BF20&gt;</v>
    <v>2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fornito da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E78B7-768C-42F7-9E20-A78257669F66}" name="thickness_in" displayName="thickness_in" ref="B3:D10" totalsRowShown="0" headerRowDxfId="5" dataDxfId="4">
  <autoFilter ref="B3:D10" xr:uid="{F17E78B7-768C-42F7-9E20-A78257669F66}"/>
  <tableColumns count="3">
    <tableColumn id="1" xr3:uid="{2FD9C22C-2340-443A-BE77-32406D259E88}" name="A [in]" dataDxfId="3"/>
    <tableColumn id="2" xr3:uid="{058C7747-3BB3-48F8-BB97-ECDFD77CBCA9}" name="tb [in]" dataDxfId="2"/>
    <tableColumn id="3" xr3:uid="{F90AB954-3FB3-480B-BBC8-EB89C2BC5F9F}" name="ts [in]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87FD-026C-4D39-B83B-C4E3D109F086}">
  <sheetPr codeName="Foglio1"/>
  <dimension ref="A1:AD48"/>
  <sheetViews>
    <sheetView tabSelected="1" topLeftCell="A20" zoomScaleNormal="100" zoomScaleSheetLayoutView="100" workbookViewId="0">
      <selection activeCell="A48" sqref="A48:AD48"/>
    </sheetView>
  </sheetViews>
  <sheetFormatPr defaultRowHeight="12" x14ac:dyDescent="0.2"/>
  <cols>
    <col min="1" max="30" width="3.28515625" style="15" customWidth="1"/>
    <col min="31" max="256" width="9.28515625" style="15"/>
    <col min="257" max="286" width="3.28515625" style="15" customWidth="1"/>
    <col min="287" max="512" width="9.28515625" style="15"/>
    <col min="513" max="542" width="3.28515625" style="15" customWidth="1"/>
    <col min="543" max="768" width="9.28515625" style="15"/>
    <col min="769" max="798" width="3.28515625" style="15" customWidth="1"/>
    <col min="799" max="1024" width="9.28515625" style="15"/>
    <col min="1025" max="1054" width="3.28515625" style="15" customWidth="1"/>
    <col min="1055" max="1280" width="9.28515625" style="15"/>
    <col min="1281" max="1310" width="3.28515625" style="15" customWidth="1"/>
    <col min="1311" max="1536" width="9.28515625" style="15"/>
    <col min="1537" max="1566" width="3.28515625" style="15" customWidth="1"/>
    <col min="1567" max="1792" width="9.28515625" style="15"/>
    <col min="1793" max="1822" width="3.28515625" style="15" customWidth="1"/>
    <col min="1823" max="2048" width="9.28515625" style="15"/>
    <col min="2049" max="2078" width="3.28515625" style="15" customWidth="1"/>
    <col min="2079" max="2304" width="9.28515625" style="15"/>
    <col min="2305" max="2334" width="3.28515625" style="15" customWidth="1"/>
    <col min="2335" max="2560" width="9.28515625" style="15"/>
    <col min="2561" max="2590" width="3.28515625" style="15" customWidth="1"/>
    <col min="2591" max="2816" width="9.28515625" style="15"/>
    <col min="2817" max="2846" width="3.28515625" style="15" customWidth="1"/>
    <col min="2847" max="3072" width="9.28515625" style="15"/>
    <col min="3073" max="3102" width="3.28515625" style="15" customWidth="1"/>
    <col min="3103" max="3328" width="9.28515625" style="15"/>
    <col min="3329" max="3358" width="3.28515625" style="15" customWidth="1"/>
    <col min="3359" max="3584" width="9.28515625" style="15"/>
    <col min="3585" max="3614" width="3.28515625" style="15" customWidth="1"/>
    <col min="3615" max="3840" width="9.28515625" style="15"/>
    <col min="3841" max="3870" width="3.28515625" style="15" customWidth="1"/>
    <col min="3871" max="4096" width="9.28515625" style="15"/>
    <col min="4097" max="4126" width="3.28515625" style="15" customWidth="1"/>
    <col min="4127" max="4352" width="9.28515625" style="15"/>
    <col min="4353" max="4382" width="3.28515625" style="15" customWidth="1"/>
    <col min="4383" max="4608" width="9.28515625" style="15"/>
    <col min="4609" max="4638" width="3.28515625" style="15" customWidth="1"/>
    <col min="4639" max="4864" width="9.28515625" style="15"/>
    <col min="4865" max="4894" width="3.28515625" style="15" customWidth="1"/>
    <col min="4895" max="5120" width="9.28515625" style="15"/>
    <col min="5121" max="5150" width="3.28515625" style="15" customWidth="1"/>
    <col min="5151" max="5376" width="9.28515625" style="15"/>
    <col min="5377" max="5406" width="3.28515625" style="15" customWidth="1"/>
    <col min="5407" max="5632" width="9.28515625" style="15"/>
    <col min="5633" max="5662" width="3.28515625" style="15" customWidth="1"/>
    <col min="5663" max="5888" width="9.28515625" style="15"/>
    <col min="5889" max="5918" width="3.28515625" style="15" customWidth="1"/>
    <col min="5919" max="6144" width="9.28515625" style="15"/>
    <col min="6145" max="6174" width="3.28515625" style="15" customWidth="1"/>
    <col min="6175" max="6400" width="9.28515625" style="15"/>
    <col min="6401" max="6430" width="3.28515625" style="15" customWidth="1"/>
    <col min="6431" max="6656" width="9.28515625" style="15"/>
    <col min="6657" max="6686" width="3.28515625" style="15" customWidth="1"/>
    <col min="6687" max="6912" width="9.28515625" style="15"/>
    <col min="6913" max="6942" width="3.28515625" style="15" customWidth="1"/>
    <col min="6943" max="7168" width="9.28515625" style="15"/>
    <col min="7169" max="7198" width="3.28515625" style="15" customWidth="1"/>
    <col min="7199" max="7424" width="9.28515625" style="15"/>
    <col min="7425" max="7454" width="3.28515625" style="15" customWidth="1"/>
    <col min="7455" max="7680" width="9.28515625" style="15"/>
    <col min="7681" max="7710" width="3.28515625" style="15" customWidth="1"/>
    <col min="7711" max="7936" width="9.28515625" style="15"/>
    <col min="7937" max="7966" width="3.28515625" style="15" customWidth="1"/>
    <col min="7967" max="8192" width="9.28515625" style="15"/>
    <col min="8193" max="8222" width="3.28515625" style="15" customWidth="1"/>
    <col min="8223" max="8448" width="9.28515625" style="15"/>
    <col min="8449" max="8478" width="3.28515625" style="15" customWidth="1"/>
    <col min="8479" max="8704" width="9.28515625" style="15"/>
    <col min="8705" max="8734" width="3.28515625" style="15" customWidth="1"/>
    <col min="8735" max="8960" width="9.28515625" style="15"/>
    <col min="8961" max="8990" width="3.28515625" style="15" customWidth="1"/>
    <col min="8991" max="9216" width="9.28515625" style="15"/>
    <col min="9217" max="9246" width="3.28515625" style="15" customWidth="1"/>
    <col min="9247" max="9472" width="9.28515625" style="15"/>
    <col min="9473" max="9502" width="3.28515625" style="15" customWidth="1"/>
    <col min="9503" max="9728" width="9.28515625" style="15"/>
    <col min="9729" max="9758" width="3.28515625" style="15" customWidth="1"/>
    <col min="9759" max="9984" width="9.28515625" style="15"/>
    <col min="9985" max="10014" width="3.28515625" style="15" customWidth="1"/>
    <col min="10015" max="10240" width="9.28515625" style="15"/>
    <col min="10241" max="10270" width="3.28515625" style="15" customWidth="1"/>
    <col min="10271" max="10496" width="9.28515625" style="15"/>
    <col min="10497" max="10526" width="3.28515625" style="15" customWidth="1"/>
    <col min="10527" max="10752" width="9.28515625" style="15"/>
    <col min="10753" max="10782" width="3.28515625" style="15" customWidth="1"/>
    <col min="10783" max="11008" width="9.28515625" style="15"/>
    <col min="11009" max="11038" width="3.28515625" style="15" customWidth="1"/>
    <col min="11039" max="11264" width="9.28515625" style="15"/>
    <col min="11265" max="11294" width="3.28515625" style="15" customWidth="1"/>
    <col min="11295" max="11520" width="9.28515625" style="15"/>
    <col min="11521" max="11550" width="3.28515625" style="15" customWidth="1"/>
    <col min="11551" max="11776" width="9.28515625" style="15"/>
    <col min="11777" max="11806" width="3.28515625" style="15" customWidth="1"/>
    <col min="11807" max="12032" width="9.28515625" style="15"/>
    <col min="12033" max="12062" width="3.28515625" style="15" customWidth="1"/>
    <col min="12063" max="12288" width="9.28515625" style="15"/>
    <col min="12289" max="12318" width="3.28515625" style="15" customWidth="1"/>
    <col min="12319" max="12544" width="9.28515625" style="15"/>
    <col min="12545" max="12574" width="3.28515625" style="15" customWidth="1"/>
    <col min="12575" max="12800" width="9.28515625" style="15"/>
    <col min="12801" max="12830" width="3.28515625" style="15" customWidth="1"/>
    <col min="12831" max="13056" width="9.28515625" style="15"/>
    <col min="13057" max="13086" width="3.28515625" style="15" customWidth="1"/>
    <col min="13087" max="13312" width="9.28515625" style="15"/>
    <col min="13313" max="13342" width="3.28515625" style="15" customWidth="1"/>
    <col min="13343" max="13568" width="9.28515625" style="15"/>
    <col min="13569" max="13598" width="3.28515625" style="15" customWidth="1"/>
    <col min="13599" max="13824" width="9.28515625" style="15"/>
    <col min="13825" max="13854" width="3.28515625" style="15" customWidth="1"/>
    <col min="13855" max="14080" width="9.28515625" style="15"/>
    <col min="14081" max="14110" width="3.28515625" style="15" customWidth="1"/>
    <col min="14111" max="14336" width="9.28515625" style="15"/>
    <col min="14337" max="14366" width="3.28515625" style="15" customWidth="1"/>
    <col min="14367" max="14592" width="9.28515625" style="15"/>
    <col min="14593" max="14622" width="3.28515625" style="15" customWidth="1"/>
    <col min="14623" max="14848" width="9.28515625" style="15"/>
    <col min="14849" max="14878" width="3.28515625" style="15" customWidth="1"/>
    <col min="14879" max="15104" width="9.28515625" style="15"/>
    <col min="15105" max="15134" width="3.28515625" style="15" customWidth="1"/>
    <col min="15135" max="15360" width="9.28515625" style="15"/>
    <col min="15361" max="15390" width="3.28515625" style="15" customWidth="1"/>
    <col min="15391" max="15616" width="9.28515625" style="15"/>
    <col min="15617" max="15646" width="3.28515625" style="15" customWidth="1"/>
    <col min="15647" max="15872" width="9.28515625" style="15"/>
    <col min="15873" max="15902" width="3.28515625" style="15" customWidth="1"/>
    <col min="15903" max="16128" width="9.28515625" style="15"/>
    <col min="16129" max="16158" width="3.28515625" style="15" customWidth="1"/>
    <col min="16159" max="16384" width="9.28515625" style="15"/>
  </cols>
  <sheetData>
    <row r="1" spans="1:30" ht="15" customHeight="1" x14ac:dyDescent="0.2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4"/>
    </row>
    <row r="2" spans="1:30" ht="15" customHeight="1" x14ac:dyDescent="0.2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8"/>
    </row>
    <row r="3" spans="1:30" ht="15" customHeight="1" x14ac:dyDescent="0.2">
      <c r="A3" s="16"/>
      <c r="B3" s="17"/>
      <c r="C3" s="17"/>
      <c r="D3" s="17"/>
      <c r="E3" s="17"/>
      <c r="F3" s="17"/>
      <c r="G3" s="17"/>
      <c r="H3" s="19"/>
      <c r="I3" s="19"/>
      <c r="J3" s="1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1"/>
      <c r="X3" s="21"/>
      <c r="Y3" s="21"/>
      <c r="Z3" s="21"/>
      <c r="AA3" s="21"/>
      <c r="AB3" s="21"/>
      <c r="AC3" s="21"/>
      <c r="AD3" s="22"/>
    </row>
    <row r="4" spans="1:30" ht="15" customHeight="1" x14ac:dyDescent="0.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8"/>
    </row>
    <row r="5" spans="1:30" ht="15" customHeight="1" x14ac:dyDescent="0.2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8"/>
    </row>
    <row r="6" spans="1:30" ht="15" customHeight="1" x14ac:dyDescent="0.2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8"/>
    </row>
    <row r="7" spans="1:30" ht="15" customHeight="1" thickBot="1" x14ac:dyDescent="0.25">
      <c r="A7" s="23"/>
      <c r="B7" s="24"/>
      <c r="C7" s="24"/>
      <c r="D7" s="24"/>
      <c r="E7" s="24"/>
      <c r="F7" s="25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24"/>
      <c r="AB7" s="24"/>
      <c r="AC7" s="24"/>
      <c r="AD7" s="26"/>
    </row>
    <row r="8" spans="1:30" ht="15" customHeight="1" x14ac:dyDescent="0.2">
      <c r="A8" s="81" t="s">
        <v>49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3"/>
    </row>
    <row r="9" spans="1:30" ht="15" customHeight="1" x14ac:dyDescent="0.2">
      <c r="A9" s="84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6"/>
    </row>
    <row r="10" spans="1:30" ht="15" customHeight="1" x14ac:dyDescent="0.2">
      <c r="A10" s="84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6"/>
    </row>
    <row r="11" spans="1:30" ht="15" customHeight="1" x14ac:dyDescent="0.2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6"/>
    </row>
    <row r="12" spans="1:30" ht="15" customHeight="1" x14ac:dyDescent="0.2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6"/>
    </row>
    <row r="13" spans="1:30" ht="15" customHeight="1" x14ac:dyDescent="0.2">
      <c r="A13" s="84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6"/>
    </row>
    <row r="14" spans="1:30" ht="15" customHeight="1" x14ac:dyDescent="0.2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6"/>
    </row>
    <row r="15" spans="1:30" ht="15" customHeight="1" x14ac:dyDescent="0.2">
      <c r="A15" s="84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/>
    </row>
    <row r="16" spans="1:30" ht="15" customHeight="1" x14ac:dyDescent="0.2">
      <c r="A16" s="84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6"/>
    </row>
    <row r="17" spans="1:30" ht="15" customHeight="1" x14ac:dyDescent="0.2">
      <c r="A17" s="84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6"/>
    </row>
    <row r="18" spans="1:30" ht="15" customHeight="1" x14ac:dyDescent="0.2">
      <c r="A18" s="84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6"/>
    </row>
    <row r="19" spans="1:30" ht="15" customHeight="1" x14ac:dyDescent="0.2">
      <c r="A19" s="84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6"/>
    </row>
    <row r="20" spans="1:30" ht="15" customHeight="1" x14ac:dyDescent="0.2">
      <c r="A20" s="84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6"/>
    </row>
    <row r="21" spans="1:30" ht="15" customHeight="1" x14ac:dyDescent="0.2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6"/>
    </row>
    <row r="22" spans="1:30" ht="15" customHeight="1" x14ac:dyDescent="0.2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6"/>
    </row>
    <row r="23" spans="1:30" ht="15" customHeight="1" x14ac:dyDescent="0.2">
      <c r="A23" s="84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6"/>
    </row>
    <row r="24" spans="1:30" ht="15" customHeight="1" x14ac:dyDescent="0.2">
      <c r="A24" s="84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6"/>
    </row>
    <row r="25" spans="1:30" ht="15" customHeight="1" x14ac:dyDescent="0.2">
      <c r="A25" s="84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6"/>
    </row>
    <row r="26" spans="1:30" ht="15" customHeight="1" x14ac:dyDescent="0.2">
      <c r="A26" s="84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6"/>
    </row>
    <row r="27" spans="1:30" ht="15" customHeight="1" x14ac:dyDescent="0.2">
      <c r="A27" s="84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6"/>
    </row>
    <row r="28" spans="1:30" ht="15" customHeight="1" x14ac:dyDescent="0.2">
      <c r="A28" s="84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6"/>
    </row>
    <row r="29" spans="1:30" ht="15" customHeight="1" x14ac:dyDescent="0.2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6"/>
    </row>
    <row r="30" spans="1:30" ht="15" customHeight="1" x14ac:dyDescent="0.2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6"/>
    </row>
    <row r="31" spans="1:30" ht="15" customHeight="1" x14ac:dyDescent="0.2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6"/>
    </row>
    <row r="32" spans="1:30" ht="15" customHeight="1" x14ac:dyDescent="0.2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6"/>
    </row>
    <row r="33" spans="1:30" ht="15" customHeight="1" x14ac:dyDescent="0.2">
      <c r="A33" s="84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6"/>
    </row>
    <row r="34" spans="1:30" ht="15" customHeight="1" x14ac:dyDescent="0.2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6"/>
    </row>
    <row r="35" spans="1:30" ht="15" customHeight="1" x14ac:dyDescent="0.2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6"/>
    </row>
    <row r="36" spans="1:30" ht="15" customHeight="1" x14ac:dyDescent="0.2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6"/>
    </row>
    <row r="37" spans="1:30" ht="15" customHeight="1" x14ac:dyDescent="0.2">
      <c r="A37" s="84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6"/>
    </row>
    <row r="38" spans="1:30" ht="15" customHeight="1" x14ac:dyDescent="0.2">
      <c r="A38" s="84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6"/>
    </row>
    <row r="39" spans="1:30" ht="15" customHeight="1" thickBot="1" x14ac:dyDescent="0.25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9"/>
    </row>
    <row r="40" spans="1:30" ht="30" customHeight="1" x14ac:dyDescent="0.2">
      <c r="A40" s="90"/>
      <c r="B40" s="91"/>
      <c r="C40" s="92"/>
      <c r="D40" s="93"/>
      <c r="E40" s="93"/>
      <c r="F40" s="91"/>
      <c r="G40" s="92"/>
      <c r="H40" s="93"/>
      <c r="I40" s="93"/>
      <c r="J40" s="93"/>
      <c r="K40" s="93"/>
      <c r="L40" s="93"/>
      <c r="M40" s="93"/>
      <c r="N40" s="93"/>
      <c r="O40" s="93"/>
      <c r="P40" s="92"/>
      <c r="Q40" s="93"/>
      <c r="R40" s="93"/>
      <c r="S40" s="93"/>
      <c r="T40" s="91"/>
      <c r="U40" s="92"/>
      <c r="V40" s="93"/>
      <c r="W40" s="93"/>
      <c r="X40" s="93"/>
      <c r="Y40" s="91"/>
      <c r="Z40" s="92"/>
      <c r="AA40" s="93"/>
      <c r="AB40" s="93"/>
      <c r="AC40" s="93"/>
      <c r="AD40" s="94"/>
    </row>
    <row r="41" spans="1:30" ht="30" customHeight="1" x14ac:dyDescent="0.2">
      <c r="A41" s="68"/>
      <c r="B41" s="69"/>
      <c r="C41" s="70"/>
      <c r="D41" s="71"/>
      <c r="E41" s="71"/>
      <c r="F41" s="69"/>
      <c r="G41" s="70"/>
      <c r="H41" s="71"/>
      <c r="I41" s="71"/>
      <c r="J41" s="71"/>
      <c r="K41" s="71"/>
      <c r="L41" s="71"/>
      <c r="M41" s="71"/>
      <c r="N41" s="71"/>
      <c r="O41" s="71"/>
      <c r="P41" s="70"/>
      <c r="Q41" s="71"/>
      <c r="R41" s="71"/>
      <c r="S41" s="71"/>
      <c r="T41" s="69"/>
      <c r="U41" s="70"/>
      <c r="V41" s="71"/>
      <c r="W41" s="71"/>
      <c r="X41" s="71"/>
      <c r="Y41" s="69"/>
      <c r="Z41" s="70"/>
      <c r="AA41" s="71"/>
      <c r="AB41" s="71"/>
      <c r="AC41" s="71"/>
      <c r="AD41" s="72"/>
    </row>
    <row r="42" spans="1:30" ht="30" customHeight="1" x14ac:dyDescent="0.2">
      <c r="A42" s="68"/>
      <c r="B42" s="69"/>
      <c r="C42" s="70"/>
      <c r="D42" s="71"/>
      <c r="E42" s="71"/>
      <c r="F42" s="69"/>
      <c r="G42" s="70"/>
      <c r="H42" s="71"/>
      <c r="I42" s="71"/>
      <c r="J42" s="71"/>
      <c r="K42" s="71"/>
      <c r="L42" s="71"/>
      <c r="M42" s="71"/>
      <c r="N42" s="71"/>
      <c r="O42" s="71"/>
      <c r="P42" s="70"/>
      <c r="Q42" s="71"/>
      <c r="R42" s="71"/>
      <c r="S42" s="71"/>
      <c r="T42" s="69"/>
      <c r="U42" s="70"/>
      <c r="V42" s="71"/>
      <c r="W42" s="71"/>
      <c r="X42" s="71"/>
      <c r="Y42" s="69"/>
      <c r="Z42" s="70"/>
      <c r="AA42" s="71"/>
      <c r="AB42" s="71"/>
      <c r="AC42" s="71"/>
      <c r="AD42" s="72"/>
    </row>
    <row r="43" spans="1:30" ht="30" customHeight="1" x14ac:dyDescent="0.2">
      <c r="A43" s="68"/>
      <c r="B43" s="69"/>
      <c r="C43" s="70"/>
      <c r="D43" s="71"/>
      <c r="E43" s="71"/>
      <c r="F43" s="69"/>
      <c r="G43" s="70"/>
      <c r="H43" s="71"/>
      <c r="I43" s="71"/>
      <c r="J43" s="71"/>
      <c r="K43" s="71"/>
      <c r="L43" s="71"/>
      <c r="M43" s="71"/>
      <c r="N43" s="71"/>
      <c r="O43" s="71"/>
      <c r="P43" s="70"/>
      <c r="Q43" s="71"/>
      <c r="R43" s="71"/>
      <c r="S43" s="71"/>
      <c r="T43" s="69"/>
      <c r="U43" s="70"/>
      <c r="V43" s="71"/>
      <c r="W43" s="71"/>
      <c r="X43" s="71"/>
      <c r="Y43" s="69"/>
      <c r="Z43" s="70"/>
      <c r="AA43" s="71"/>
      <c r="AB43" s="71"/>
      <c r="AC43" s="71"/>
      <c r="AD43" s="72"/>
    </row>
    <row r="44" spans="1:30" ht="30" customHeight="1" x14ac:dyDescent="0.2">
      <c r="A44" s="68"/>
      <c r="B44" s="69"/>
      <c r="C44" s="70"/>
      <c r="D44" s="71"/>
      <c r="E44" s="71"/>
      <c r="F44" s="69"/>
      <c r="G44" s="70"/>
      <c r="H44" s="71"/>
      <c r="I44" s="71"/>
      <c r="J44" s="71"/>
      <c r="K44" s="71"/>
      <c r="L44" s="71"/>
      <c r="M44" s="71"/>
      <c r="N44" s="71"/>
      <c r="O44" s="71"/>
      <c r="P44" s="70"/>
      <c r="Q44" s="71"/>
      <c r="R44" s="71"/>
      <c r="S44" s="71"/>
      <c r="T44" s="69"/>
      <c r="U44" s="70"/>
      <c r="V44" s="71"/>
      <c r="W44" s="71"/>
      <c r="X44" s="71"/>
      <c r="Y44" s="69"/>
      <c r="Z44" s="70"/>
      <c r="AA44" s="71"/>
      <c r="AB44" s="71"/>
      <c r="AC44" s="71"/>
      <c r="AD44" s="72"/>
    </row>
    <row r="45" spans="1:30" ht="26.25" customHeight="1" x14ac:dyDescent="0.2">
      <c r="A45" s="68"/>
      <c r="B45" s="69"/>
      <c r="C45" s="70"/>
      <c r="D45" s="71"/>
      <c r="E45" s="71"/>
      <c r="F45" s="69"/>
      <c r="G45" s="70"/>
      <c r="H45" s="71"/>
      <c r="I45" s="71"/>
      <c r="J45" s="71"/>
      <c r="K45" s="71"/>
      <c r="L45" s="71"/>
      <c r="M45" s="71"/>
      <c r="N45" s="71"/>
      <c r="O45" s="71"/>
      <c r="P45" s="70"/>
      <c r="Q45" s="71"/>
      <c r="R45" s="71"/>
      <c r="S45" s="71"/>
      <c r="T45" s="69"/>
      <c r="U45" s="70"/>
      <c r="V45" s="71"/>
      <c r="W45" s="71"/>
      <c r="X45" s="71"/>
      <c r="Y45" s="69"/>
      <c r="Z45" s="70"/>
      <c r="AA45" s="71"/>
      <c r="AB45" s="71"/>
      <c r="AC45" s="71"/>
      <c r="AD45" s="72"/>
    </row>
    <row r="46" spans="1:30" ht="33" customHeight="1" x14ac:dyDescent="0.2">
      <c r="A46" s="73">
        <v>0</v>
      </c>
      <c r="B46" s="74"/>
      <c r="C46" s="75">
        <v>45863</v>
      </c>
      <c r="D46" s="76"/>
      <c r="E46" s="76"/>
      <c r="F46" s="77"/>
      <c r="G46" s="78" t="s">
        <v>0</v>
      </c>
      <c r="H46" s="79"/>
      <c r="I46" s="79"/>
      <c r="J46" s="79"/>
      <c r="K46" s="79"/>
      <c r="L46" s="79"/>
      <c r="M46" s="79"/>
      <c r="N46" s="79"/>
      <c r="O46" s="79"/>
      <c r="P46" s="65" t="s">
        <v>47</v>
      </c>
      <c r="Q46" s="66"/>
      <c r="R46" s="66"/>
      <c r="S46" s="66"/>
      <c r="T46" s="80"/>
      <c r="U46" s="65" t="s">
        <v>48</v>
      </c>
      <c r="V46" s="66"/>
      <c r="W46" s="66"/>
      <c r="X46" s="66"/>
      <c r="Y46" s="80"/>
      <c r="Z46" s="65" t="s">
        <v>46</v>
      </c>
      <c r="AA46" s="66"/>
      <c r="AB46" s="66"/>
      <c r="AC46" s="66"/>
      <c r="AD46" s="67"/>
    </row>
    <row r="47" spans="1:30" ht="15" customHeight="1" thickBot="1" x14ac:dyDescent="0.25">
      <c r="A47" s="59" t="s">
        <v>1</v>
      </c>
      <c r="B47" s="60"/>
      <c r="C47" s="61" t="s">
        <v>2</v>
      </c>
      <c r="D47" s="62"/>
      <c r="E47" s="62"/>
      <c r="F47" s="63"/>
      <c r="G47" s="61" t="s">
        <v>3</v>
      </c>
      <c r="H47" s="62"/>
      <c r="I47" s="62"/>
      <c r="J47" s="62"/>
      <c r="K47" s="62"/>
      <c r="L47" s="62"/>
      <c r="M47" s="62"/>
      <c r="N47" s="62"/>
      <c r="O47" s="62"/>
      <c r="P47" s="61" t="s">
        <v>4</v>
      </c>
      <c r="Q47" s="62"/>
      <c r="R47" s="62"/>
      <c r="S47" s="62"/>
      <c r="T47" s="63"/>
      <c r="U47" s="61" t="s">
        <v>5</v>
      </c>
      <c r="V47" s="62"/>
      <c r="W47" s="62"/>
      <c r="X47" s="62"/>
      <c r="Y47" s="62"/>
      <c r="Z47" s="61" t="s">
        <v>6</v>
      </c>
      <c r="AA47" s="62"/>
      <c r="AB47" s="62"/>
      <c r="AC47" s="62"/>
      <c r="AD47" s="64"/>
    </row>
    <row r="48" spans="1:30" ht="15" customHeight="1" thickBot="1" x14ac:dyDescent="0.25">
      <c r="A48" s="107" t="s">
        <v>50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9"/>
    </row>
  </sheetData>
  <mergeCells count="50">
    <mergeCell ref="A8:AD39"/>
    <mergeCell ref="A40:B40"/>
    <mergeCell ref="C40:F40"/>
    <mergeCell ref="G40:O40"/>
    <mergeCell ref="P40:T40"/>
    <mergeCell ref="U40:Y40"/>
    <mergeCell ref="Z40:AD40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A48:AD48"/>
    <mergeCell ref="A47:B47"/>
    <mergeCell ref="C47:F47"/>
    <mergeCell ref="G47:O47"/>
    <mergeCell ref="P47:T47"/>
    <mergeCell ref="U47:Y47"/>
    <mergeCell ref="Z47:AD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A238-560E-4306-95E0-023F0A4CB35F}">
  <sheetPr codeName="Foglio2"/>
  <dimension ref="B2:O34"/>
  <sheetViews>
    <sheetView zoomScaleNormal="100" workbookViewId="0">
      <selection activeCell="C4" sqref="C4"/>
    </sheetView>
  </sheetViews>
  <sheetFormatPr defaultRowHeight="15" x14ac:dyDescent="0.25"/>
  <cols>
    <col min="1" max="1" width="2.7109375" customWidth="1"/>
    <col min="2" max="4" width="11.7109375" customWidth="1"/>
    <col min="5" max="8" width="13.7109375" customWidth="1"/>
    <col min="9" max="9" width="12.85546875" customWidth="1"/>
    <col min="10" max="10" width="10.7109375" customWidth="1"/>
    <col min="11" max="11" width="47.85546875" bestFit="1" customWidth="1"/>
    <col min="12" max="12" width="2.7109375" customWidth="1"/>
    <col min="17" max="17" width="9.42578125" bestFit="1" customWidth="1"/>
    <col min="20" max="20" width="9.42578125" bestFit="1" customWidth="1"/>
  </cols>
  <sheetData>
    <row r="2" spans="2:15" ht="45" x14ac:dyDescent="0.25">
      <c r="B2" s="11"/>
      <c r="C2" s="27" t="s">
        <v>7</v>
      </c>
      <c r="D2" s="28" t="s">
        <v>8</v>
      </c>
      <c r="E2" s="5"/>
      <c r="F2" s="6"/>
      <c r="G2" s="6"/>
      <c r="H2" s="7"/>
      <c r="I2" s="33"/>
      <c r="J2" s="10"/>
      <c r="K2" s="38"/>
      <c r="M2" s="95" t="s">
        <v>9</v>
      </c>
      <c r="N2" s="95"/>
    </row>
    <row r="3" spans="2:15" ht="15.6" customHeight="1" x14ac:dyDescent="0.25">
      <c r="B3" s="2" t="s">
        <v>10</v>
      </c>
      <c r="C3" s="3" t="s">
        <v>11</v>
      </c>
      <c r="D3" s="2" t="s">
        <v>12</v>
      </c>
      <c r="E3" s="8"/>
      <c r="F3" s="36"/>
      <c r="G3" s="36"/>
      <c r="H3" s="9"/>
      <c r="I3" s="40" t="s">
        <v>13</v>
      </c>
      <c r="J3" s="39" t="s">
        <v>14</v>
      </c>
      <c r="K3" s="31" t="s">
        <v>15</v>
      </c>
      <c r="M3" s="96" t="s">
        <v>16</v>
      </c>
      <c r="N3" s="96"/>
    </row>
    <row r="4" spans="2:15" ht="15.6" customHeight="1" x14ac:dyDescent="0.25">
      <c r="B4" s="1">
        <v>0</v>
      </c>
      <c r="C4" s="4">
        <v>0.375</v>
      </c>
      <c r="D4" s="4">
        <v>0.27500000000000002</v>
      </c>
      <c r="E4" s="8"/>
      <c r="F4" s="36"/>
      <c r="G4" s="36"/>
      <c r="H4" s="9"/>
      <c r="I4" s="41" t="s">
        <v>17</v>
      </c>
      <c r="J4" s="42" t="s">
        <v>18</v>
      </c>
      <c r="K4" s="31" t="s">
        <v>19</v>
      </c>
      <c r="M4" s="97" t="s">
        <v>20</v>
      </c>
      <c r="N4" s="97"/>
    </row>
    <row r="5" spans="2:15" ht="15.6" customHeight="1" x14ac:dyDescent="0.25">
      <c r="B5" s="1">
        <v>10</v>
      </c>
      <c r="C5" s="4">
        <v>0.5</v>
      </c>
      <c r="D5" s="4">
        <v>0.41249999999999998</v>
      </c>
      <c r="E5" s="8"/>
      <c r="F5" s="36"/>
      <c r="G5" s="36"/>
      <c r="H5" s="9"/>
      <c r="I5" s="35"/>
      <c r="J5" s="43"/>
      <c r="K5" s="103" t="s">
        <v>21</v>
      </c>
      <c r="M5" s="98" t="s">
        <v>22</v>
      </c>
      <c r="N5" s="98"/>
    </row>
    <row r="6" spans="2:15" ht="15.6" customHeight="1" x14ac:dyDescent="0.25">
      <c r="B6" s="1">
        <v>20</v>
      </c>
      <c r="C6" s="4">
        <v>0.65</v>
      </c>
      <c r="D6" s="4">
        <v>0.55000000000000004</v>
      </c>
      <c r="E6" s="8"/>
      <c r="F6" s="36"/>
      <c r="G6" s="36"/>
      <c r="H6" s="9"/>
      <c r="I6" s="35"/>
      <c r="J6" s="43"/>
      <c r="K6" s="104"/>
      <c r="M6" s="99" t="s">
        <v>23</v>
      </c>
      <c r="N6" s="99"/>
    </row>
    <row r="7" spans="2:15" ht="15.6" customHeight="1" x14ac:dyDescent="0.25">
      <c r="B7" s="1">
        <v>30</v>
      </c>
      <c r="C7" s="4">
        <v>0.78749999999999998</v>
      </c>
      <c r="D7" s="4">
        <v>0.6875</v>
      </c>
      <c r="E7" s="8"/>
      <c r="F7" s="36"/>
      <c r="G7" s="36"/>
      <c r="H7" s="9"/>
      <c r="I7" s="34" t="str">
        <f>IF(J3="S.I.","p [MPa]","p [psi]")</f>
        <v>p [MPa]</v>
      </c>
      <c r="J7" s="54">
        <v>10</v>
      </c>
      <c r="K7" s="31" t="s">
        <v>24</v>
      </c>
    </row>
    <row r="8" spans="2:15" ht="15.6" customHeight="1" x14ac:dyDescent="0.25">
      <c r="B8" s="1">
        <v>40</v>
      </c>
      <c r="C8" s="4">
        <v>0.92500000000000004</v>
      </c>
      <c r="D8" s="4">
        <v>0.82499999999999996</v>
      </c>
      <c r="E8" s="8"/>
      <c r="F8" s="36"/>
      <c r="G8" s="36"/>
      <c r="H8" s="9"/>
      <c r="I8" s="34" t="str">
        <f>IF(J3="S.I.","A [mm]","A [in]")</f>
        <v>A [mm]</v>
      </c>
      <c r="J8" s="54">
        <v>480</v>
      </c>
      <c r="K8" s="31" t="s">
        <v>25</v>
      </c>
      <c r="M8" s="100" t="s">
        <v>26</v>
      </c>
      <c r="N8" s="100"/>
      <c r="O8" s="100"/>
    </row>
    <row r="9" spans="2:15" ht="15.6" customHeight="1" x14ac:dyDescent="0.25">
      <c r="B9" s="1">
        <v>50</v>
      </c>
      <c r="C9" s="4">
        <v>1.0625</v>
      </c>
      <c r="D9" s="4">
        <v>0.95</v>
      </c>
      <c r="E9" s="8"/>
      <c r="F9" s="36"/>
      <c r="G9" s="36"/>
      <c r="H9" s="9"/>
      <c r="I9" s="34" t="str">
        <f>IF(J3="S.I.","Sy [MPa]","Sy [psi]")</f>
        <v>Sy [MPa]</v>
      </c>
      <c r="J9" s="54">
        <v>450</v>
      </c>
      <c r="K9" s="31" t="s">
        <v>27</v>
      </c>
      <c r="M9" s="56">
        <v>0</v>
      </c>
      <c r="N9" s="101" t="s">
        <v>28</v>
      </c>
      <c r="O9" s="101"/>
    </row>
    <row r="10" spans="2:15" ht="15.6" customHeight="1" x14ac:dyDescent="0.25">
      <c r="B10" s="1">
        <v>60</v>
      </c>
      <c r="C10" s="4">
        <v>1.2</v>
      </c>
      <c r="D10" s="4">
        <v>1.1000000000000001</v>
      </c>
      <c r="E10" s="32"/>
      <c r="F10" s="44"/>
      <c r="G10" s="44"/>
      <c r="H10" s="45"/>
      <c r="I10" s="34" t="str">
        <f>IF(J3="S.I.","Su [MPa]","Su [psi]")</f>
        <v>Su [MPa]</v>
      </c>
      <c r="J10" s="54">
        <v>600</v>
      </c>
      <c r="K10" s="31" t="s">
        <v>29</v>
      </c>
      <c r="M10" s="57">
        <v>0.5</v>
      </c>
      <c r="N10" s="102" t="s">
        <v>30</v>
      </c>
      <c r="O10" s="102"/>
    </row>
    <row r="11" spans="2:15" ht="15.6" customHeight="1" x14ac:dyDescent="0.25">
      <c r="B11" s="5"/>
      <c r="C11" s="6"/>
      <c r="D11" s="6"/>
      <c r="E11" s="6"/>
      <c r="F11" s="46"/>
      <c r="G11" s="46"/>
      <c r="H11" s="7"/>
      <c r="I11" s="34" t="s">
        <v>31</v>
      </c>
      <c r="J11" s="105" t="s">
        <v>38</v>
      </c>
      <c r="K11" s="106"/>
      <c r="M11" s="57">
        <v>1</v>
      </c>
      <c r="N11" s="102" t="s">
        <v>33</v>
      </c>
      <c r="O11" s="102"/>
    </row>
    <row r="12" spans="2:15" ht="15.6" customHeight="1" x14ac:dyDescent="0.25">
      <c r="B12" s="8"/>
      <c r="C12" s="36"/>
      <c r="D12" s="36"/>
      <c r="E12" s="36"/>
      <c r="F12" s="47"/>
      <c r="G12" s="47"/>
      <c r="H12" s="9"/>
      <c r="I12" s="34" t="s">
        <v>44</v>
      </c>
      <c r="J12" s="58">
        <f>VLOOKUP(J11,C16:D21,2,FALSE)</f>
        <v>0.8</v>
      </c>
      <c r="K12" s="31" t="s">
        <v>45</v>
      </c>
    </row>
    <row r="13" spans="2:15" ht="15.6" customHeight="1" x14ac:dyDescent="0.25">
      <c r="B13" s="8"/>
      <c r="C13" s="48">
        <v>2</v>
      </c>
      <c r="D13" s="49">
        <f>IF(J3="S.I.",508,20)</f>
        <v>508</v>
      </c>
      <c r="E13" s="36" t="e" cm="1" vm="1">
        <f t="array" ref="E13">_xlfn._xlws.PY(0,1,thickness_in[#All],J3,J8,J17)</f>
        <v>#VALUE!</v>
      </c>
      <c r="G13" s="36"/>
      <c r="H13" s="9"/>
      <c r="I13" s="34" t="str" cm="1">
        <f t="array" ref="I13">_xlfn._xlws.PY(1,0,J3)</f>
        <v>t₀ [mm]</v>
      </c>
      <c r="J13" s="55">
        <v>3</v>
      </c>
      <c r="K13" s="31" t="s">
        <v>34</v>
      </c>
    </row>
    <row r="14" spans="2:15" ht="15.6" customHeight="1" x14ac:dyDescent="0.25">
      <c r="B14" s="8"/>
      <c r="C14" s="36"/>
      <c r="D14" s="36"/>
      <c r="E14" s="36"/>
      <c r="F14" s="36"/>
      <c r="G14" s="36"/>
      <c r="H14" s="9"/>
      <c r="I14" s="34" t="str">
        <f>IF(J3="S.I.","S [MPa]","S [psi]")</f>
        <v>S [MPa]</v>
      </c>
      <c r="J14" s="52">
        <f>MIN(2/3*J9,J10/3.5)*J12</f>
        <v>137.14285714285714</v>
      </c>
      <c r="K14" s="31" t="s">
        <v>35</v>
      </c>
    </row>
    <row r="15" spans="2:15" ht="15.6" customHeight="1" x14ac:dyDescent="0.25">
      <c r="B15" s="8"/>
      <c r="C15" s="36"/>
      <c r="D15" s="36"/>
      <c r="E15" s="36"/>
      <c r="F15" s="36"/>
      <c r="G15" s="36"/>
      <c r="H15" s="9"/>
      <c r="I15" s="37" t="str" cm="1">
        <f t="array" ref="I15">_xlfn._xlws.PY(2,0,J3)</f>
        <v>t₁ [mm]</v>
      </c>
      <c r="J15" s="51">
        <f>IF(C13=1,IF(J3="S.I.",CONVERT(_xlfn.FORECAST.LINEAR(IF(J3="S.I.",CONVERT(J8,"mm","in"),J8),thickness_in[tb '[in']],thickness_in[A '[in']]),"in","mm"),_xlfn.FORECAST.LINEAR(J8,thickness_in[tb '[in']],thickness_in[A '[in']])),IF(J3="S.I.",CONVERT(_xlfn.FORECAST.LINEAR(IF(J3="S.I.",CONVERT(J8,"mm","in"),J8),thickness_in[ts '[in']],thickness_in[A '[in']]),"in","mm"),_xlfn.FORECAST.LINEAR(J8,thickness_in[ts '[in']],thickness_in[A '[in']])))</f>
        <v>13.564821428571429</v>
      </c>
      <c r="K15" s="31" t="s">
        <v>36</v>
      </c>
    </row>
    <row r="16" spans="2:15" ht="15.6" customHeight="1" x14ac:dyDescent="0.25">
      <c r="B16" s="8"/>
      <c r="C16" s="53" t="s">
        <v>38</v>
      </c>
      <c r="D16" s="49">
        <v>0.8</v>
      </c>
      <c r="E16" s="36"/>
      <c r="F16" s="36"/>
      <c r="G16" s="36"/>
      <c r="H16" s="9"/>
      <c r="I16" s="37" t="str" cm="1">
        <f t="array" ref="I16">_xlfn._xlws.PY(3,0,J3)</f>
        <v>t₂ [mm]</v>
      </c>
      <c r="J16" s="52">
        <f>MAX(IF(J4="single",J7*J8/J14,J7*J8/J14/2),IF(J3="S.I.",6,6/25.4))</f>
        <v>17.5</v>
      </c>
      <c r="K16" s="31" t="s">
        <v>37</v>
      </c>
    </row>
    <row r="17" spans="2:11" ht="15.6" customHeight="1" x14ac:dyDescent="0.25">
      <c r="B17" s="8"/>
      <c r="C17" s="53" t="s">
        <v>40</v>
      </c>
      <c r="D17" s="49">
        <v>0.85</v>
      </c>
      <c r="E17" s="36"/>
      <c r="F17" s="36"/>
      <c r="G17" s="36"/>
      <c r="H17" s="9"/>
      <c r="I17" s="37" t="str" cm="1">
        <f t="array" ref="I17">_xlfn._xlws.PY(4,0,J3)</f>
        <v>tₒₚₜ [mm]</v>
      </c>
      <c r="J17" s="52">
        <f>MAX(J15,J16+J13)</f>
        <v>20.5</v>
      </c>
      <c r="K17" s="31" t="s">
        <v>39</v>
      </c>
    </row>
    <row r="18" spans="2:11" x14ac:dyDescent="0.25">
      <c r="B18" s="8"/>
      <c r="C18" s="53" t="s">
        <v>32</v>
      </c>
      <c r="D18" s="49">
        <v>0.85</v>
      </c>
      <c r="E18" s="36"/>
      <c r="F18" s="36"/>
      <c r="G18" s="36"/>
      <c r="H18" s="9"/>
      <c r="I18" s="8"/>
      <c r="J18" s="36"/>
      <c r="K18" s="9"/>
    </row>
    <row r="19" spans="2:11" x14ac:dyDescent="0.25">
      <c r="B19" s="8"/>
      <c r="C19" s="53" t="s">
        <v>41</v>
      </c>
      <c r="D19" s="49">
        <v>1</v>
      </c>
      <c r="E19" s="36"/>
      <c r="F19" s="36"/>
      <c r="G19" s="36"/>
      <c r="H19" s="9"/>
      <c r="I19" s="8"/>
      <c r="J19" s="36"/>
      <c r="K19" s="9"/>
    </row>
    <row r="20" spans="2:11" x14ac:dyDescent="0.25">
      <c r="B20" s="8"/>
      <c r="C20" s="53" t="s">
        <v>42</v>
      </c>
      <c r="D20" s="49">
        <v>1</v>
      </c>
      <c r="E20" s="36"/>
      <c r="F20" s="36"/>
      <c r="G20" s="36"/>
      <c r="H20" s="9"/>
      <c r="I20" s="8"/>
      <c r="J20" s="36"/>
      <c r="K20" s="9"/>
    </row>
    <row r="21" spans="2:11" x14ac:dyDescent="0.25">
      <c r="B21" s="8"/>
      <c r="C21" s="53" t="s">
        <v>43</v>
      </c>
      <c r="D21" s="49">
        <v>1</v>
      </c>
      <c r="E21" s="36"/>
      <c r="F21" s="36"/>
      <c r="G21" s="36"/>
      <c r="H21" s="9"/>
      <c r="I21" s="8"/>
      <c r="J21" s="36"/>
      <c r="K21" s="9"/>
    </row>
    <row r="22" spans="2:11" x14ac:dyDescent="0.25">
      <c r="B22" s="8"/>
      <c r="C22" s="36"/>
      <c r="D22" s="36"/>
      <c r="E22" s="36"/>
      <c r="F22" s="36"/>
      <c r="G22" s="36"/>
      <c r="H22" s="9"/>
      <c r="I22" s="8"/>
      <c r="J22" s="36"/>
      <c r="K22" s="9"/>
    </row>
    <row r="23" spans="2:11" x14ac:dyDescent="0.25">
      <c r="B23" s="8"/>
      <c r="C23" s="36"/>
      <c r="D23" s="36"/>
      <c r="E23" s="36"/>
      <c r="F23" s="36"/>
      <c r="G23" s="36"/>
      <c r="H23" s="9"/>
      <c r="I23" s="8"/>
      <c r="J23" s="36"/>
      <c r="K23" s="9"/>
    </row>
    <row r="24" spans="2:11" x14ac:dyDescent="0.25">
      <c r="B24" s="8"/>
      <c r="C24" s="36"/>
      <c r="D24" s="36"/>
      <c r="E24" s="36"/>
      <c r="F24" s="36"/>
      <c r="G24" s="36"/>
      <c r="H24" s="9"/>
      <c r="I24" s="8"/>
      <c r="J24" s="36"/>
      <c r="K24" s="9"/>
    </row>
    <row r="25" spans="2:11" x14ac:dyDescent="0.25">
      <c r="B25" s="8"/>
      <c r="C25" s="36"/>
      <c r="D25" s="36"/>
      <c r="E25" s="36"/>
      <c r="F25" s="36"/>
      <c r="G25" s="36"/>
      <c r="H25" s="9"/>
      <c r="I25" s="8"/>
      <c r="J25" s="36"/>
      <c r="K25" s="9"/>
    </row>
    <row r="26" spans="2:11" x14ac:dyDescent="0.25">
      <c r="B26" s="8"/>
      <c r="C26" s="36"/>
      <c r="D26" s="36"/>
      <c r="E26" s="36"/>
      <c r="F26" s="36"/>
      <c r="G26" s="36"/>
      <c r="H26" s="9"/>
      <c r="I26" s="8"/>
      <c r="J26" s="36"/>
      <c r="K26" s="9"/>
    </row>
    <row r="27" spans="2:11" x14ac:dyDescent="0.25">
      <c r="B27" s="8"/>
      <c r="C27" s="36"/>
      <c r="D27" s="36"/>
      <c r="E27" s="36"/>
      <c r="F27" s="36"/>
      <c r="G27" s="36"/>
      <c r="H27" s="9"/>
      <c r="I27" s="8"/>
      <c r="J27" s="36"/>
      <c r="K27" s="9"/>
    </row>
    <row r="28" spans="2:11" x14ac:dyDescent="0.25">
      <c r="B28" s="8"/>
      <c r="C28" s="36"/>
      <c r="D28" s="36"/>
      <c r="E28" s="36"/>
      <c r="F28" s="36"/>
      <c r="G28" s="36"/>
      <c r="H28" s="9"/>
      <c r="I28" s="8"/>
      <c r="J28" s="36"/>
      <c r="K28" s="9"/>
    </row>
    <row r="29" spans="2:11" x14ac:dyDescent="0.25">
      <c r="B29" s="8"/>
      <c r="C29" s="36"/>
      <c r="D29" s="36"/>
      <c r="E29" s="36"/>
      <c r="F29" s="36"/>
      <c r="G29" s="36"/>
      <c r="H29" s="9"/>
      <c r="I29" s="8"/>
      <c r="J29" s="36"/>
      <c r="K29" s="9"/>
    </row>
    <row r="30" spans="2:11" x14ac:dyDescent="0.25">
      <c r="B30" s="8"/>
      <c r="C30" s="36"/>
      <c r="D30" s="36"/>
      <c r="E30" s="36"/>
      <c r="F30" s="36"/>
      <c r="G30" s="36"/>
      <c r="H30" s="9"/>
      <c r="I30" s="8"/>
      <c r="J30" s="36"/>
      <c r="K30" s="9"/>
    </row>
    <row r="31" spans="2:11" x14ac:dyDescent="0.25">
      <c r="B31" s="8"/>
      <c r="C31" s="36"/>
      <c r="D31" s="36"/>
      <c r="E31" s="36"/>
      <c r="F31" s="36"/>
      <c r="G31" s="36"/>
      <c r="H31" s="9"/>
      <c r="I31" s="8"/>
      <c r="J31" s="36"/>
      <c r="K31" s="9"/>
    </row>
    <row r="32" spans="2:11" x14ac:dyDescent="0.25">
      <c r="B32" s="8"/>
      <c r="C32" s="36"/>
      <c r="D32" s="36"/>
      <c r="E32" s="36"/>
      <c r="F32" s="36"/>
      <c r="G32" s="36"/>
      <c r="H32" s="9"/>
      <c r="I32" s="8"/>
      <c r="J32" s="36"/>
      <c r="K32" s="9"/>
    </row>
    <row r="33" spans="2:11" x14ac:dyDescent="0.25">
      <c r="B33" s="8"/>
      <c r="C33" s="36"/>
      <c r="D33" s="36"/>
      <c r="E33" s="36"/>
      <c r="F33" s="36"/>
      <c r="G33" s="36"/>
      <c r="H33" s="9"/>
      <c r="I33" s="8"/>
      <c r="J33" s="36"/>
      <c r="K33" s="9"/>
    </row>
    <row r="34" spans="2:11" x14ac:dyDescent="0.25">
      <c r="B34" s="29"/>
      <c r="C34" s="30"/>
      <c r="D34" s="30"/>
      <c r="E34" s="30"/>
      <c r="F34" s="30"/>
      <c r="G34" s="30"/>
      <c r="H34" s="50"/>
      <c r="I34" s="29"/>
      <c r="J34" s="30"/>
      <c r="K34" s="50"/>
    </row>
  </sheetData>
  <mergeCells count="11">
    <mergeCell ref="M8:O8"/>
    <mergeCell ref="N9:O9"/>
    <mergeCell ref="N10:O10"/>
    <mergeCell ref="N11:O11"/>
    <mergeCell ref="K5:K6"/>
    <mergeCell ref="J11:K11"/>
    <mergeCell ref="M2:N2"/>
    <mergeCell ref="M3:N3"/>
    <mergeCell ref="M4:N4"/>
    <mergeCell ref="M5:N5"/>
    <mergeCell ref="M6:N6"/>
  </mergeCells>
  <phoneticPr fontId="4" type="noConversion"/>
  <conditionalFormatting sqref="J8">
    <cfRule type="iconSet" priority="3">
      <iconSet iconSet="3Symbols" reverse="1">
        <cfvo type="percent" val="0"/>
        <cfvo type="formula" val="$D$13*0.8"/>
        <cfvo type="formula" val="$D$13" gte="0"/>
      </iconSet>
    </cfRule>
  </conditionalFormatting>
  <conditionalFormatting sqref="J16:J17">
    <cfRule type="expression" dxfId="0" priority="2">
      <formula>$J$8&gt;$D$13</formula>
    </cfRule>
  </conditionalFormatting>
  <conditionalFormatting sqref="M9:M11">
    <cfRule type="iconSet" priority="1">
      <iconSet iconSet="3Symbols" showValue="0">
        <cfvo type="percent" val="0"/>
        <cfvo type="num" val="0.5"/>
        <cfvo type="num" val="1"/>
      </iconSet>
    </cfRule>
  </conditionalFormatting>
  <dataValidations count="3">
    <dataValidation type="list" allowBlank="1" showInputMessage="1" showErrorMessage="1" sqref="J3" xr:uid="{9053E228-CAA2-4294-B496-4AE6E9BF32DD}">
      <formula1>"S.I.,U.S."</formula1>
    </dataValidation>
    <dataValidation type="list" allowBlank="1" showInputMessage="1" showErrorMessage="1" sqref="J4" xr:uid="{72352DD5-5179-41AA-BC6B-BD7BB4D212BF}">
      <formula1>"single,double"</formula1>
    </dataValidation>
    <dataValidation type="list" allowBlank="1" showInputMessage="1" showErrorMessage="1" sqref="J11:K11" xr:uid="{5A2AD88A-276B-4711-A17F-3F3678625D7C}">
      <formula1>$C$16:$C$21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8</xdr:col>
                    <xdr:colOff>0</xdr:colOff>
                    <xdr:row>4</xdr:row>
                    <xdr:rowOff>0</xdr:rowOff>
                  </from>
                  <to>
                    <xdr:col>9</xdr:col>
                    <xdr:colOff>571500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Option Button 3">
              <controlPr defaultSize="0" autoFill="0" autoLine="0" autoPict="0">
                <anchor moveWithCells="1">
                  <from>
                    <xdr:col>8</xdr:col>
                    <xdr:colOff>0</xdr:colOff>
                    <xdr:row>5</xdr:row>
                    <xdr:rowOff>0</xdr:rowOff>
                  </from>
                  <to>
                    <xdr:col>8</xdr:col>
                    <xdr:colOff>714375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978E-BC86-48AA-97DD-207CB2F10765}">
  <sheetPr codeName="Foglio3"/>
  <dimension ref="A2"/>
  <sheetViews>
    <sheetView workbookViewId="0"/>
  </sheetViews>
  <sheetFormatPr defaultRowHeight="15" x14ac:dyDescent="0.25"/>
  <cols>
    <col min="2" max="3" width="29.28515625" customWidth="1"/>
  </cols>
  <sheetData>
    <row r="2" ht="150.75" customHeigh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8F5184-F689-4887-AB45-31749C10E814}"/>
</file>

<file path=customXml/itemProps2.xml><?xml version="1.0" encoding="utf-8"?>
<ds:datastoreItem xmlns:ds="http://schemas.openxmlformats.org/officeDocument/2006/customXml" ds:itemID="{B0C2C6CB-CF8C-458C-8530-F896D7C50060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2710bc8b-17c9-4e36-a567-5a8748d28b44"/>
    <ds:schemaRef ds:uri="f16ae08e-32aa-43c4-955b-813e13c9303e"/>
  </ds:schemaRefs>
</ds:datastoreItem>
</file>

<file path=customXml/itemProps3.xml><?xml version="1.0" encoding="utf-8"?>
<ds:datastoreItem xmlns:ds="http://schemas.openxmlformats.org/officeDocument/2006/customXml" ds:itemID="{6C846512-35CB-43E0-9A5B-9F823B2A6BD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content</vt:lpstr>
      <vt:lpstr>casting wall thickness</vt:lpstr>
      <vt:lpstr>immagini</vt:lpstr>
      <vt:lpstr>double</vt:lpstr>
      <vt:lpstr>single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Bradshaw</dc:creator>
  <cp:keywords/>
  <dc:description/>
  <cp:lastModifiedBy>Jose Omonte Rossi</cp:lastModifiedBy>
  <cp:revision/>
  <dcterms:created xsi:type="dcterms:W3CDTF">2025-06-24T16:28:50Z</dcterms:created>
  <dcterms:modified xsi:type="dcterms:W3CDTF">2025-08-06T09:22:53Z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