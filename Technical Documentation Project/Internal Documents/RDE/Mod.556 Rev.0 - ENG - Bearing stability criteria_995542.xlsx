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T:\IT005\Documentale\# Nuovo Documentale\Area di lavoro HSEQ\Da Gestire - Verificatore 1\1. Arianna\Bearing Stability (Cademartori)\"/>
    </mc:Choice>
  </mc:AlternateContent>
  <xr:revisionPtr revIDLastSave="0" documentId="13_ncr:1_{5B35F63D-AB4B-40F6-A239-B339481038B9}" xr6:coauthVersionLast="47" xr6:coauthVersionMax="47" xr10:uidLastSave="{00000000-0000-0000-0000-000000000000}"/>
  <bookViews>
    <workbookView xWindow="-120" yWindow="-120" windowWidth="19440" windowHeight="14880" xr2:uid="{6B95EA51-9F2A-47E7-9FBF-03A41EA495A4}"/>
  </bookViews>
  <sheets>
    <sheet name="content" sheetId="4" r:id="rId1"/>
    <sheet name="Glienicke criteria" sheetId="3" r:id="rId2"/>
  </sheets>
  <externalReferences>
    <externalReference r:id="rId3"/>
  </externalReferences>
  <definedNames>
    <definedName name="myfig">INDIRECT('[1]casting wall thickness'!$J$4)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L11" i="3"/>
  <c r="L13" i="3"/>
  <c r="L12" i="3"/>
  <c r="AL5" i="3" l="1"/>
  <c r="AQ3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4" i="3"/>
  <c r="AA98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4" i="3"/>
  <c r="AA99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4" i="3"/>
  <c r="AE86" i="3"/>
  <c r="AH61" i="3" a="1"/>
  <c r="AH61" i="3" s="1"/>
  <c r="AI61" i="3" s="1"/>
  <c r="AJ4" i="3" a="1"/>
  <c r="AJ4" i="3" s="1"/>
  <c r="B2" i="3" a="1"/>
  <c r="B2" i="3" l="1"/>
  <c r="AQ11" i="3"/>
  <c r="L21" i="3" s="1" a="1"/>
  <c r="L21" i="3" s="1"/>
  <c r="M21" i="3" s="1"/>
  <c r="AQ4" i="3"/>
  <c r="AQ9" i="3"/>
  <c r="AQ7" i="3"/>
  <c r="AQ8" i="3" a="1"/>
  <c r="AQ8" i="3" s="1"/>
  <c r="L19" i="3" s="1" a="1"/>
  <c r="L19" i="3" s="1"/>
  <c r="M19" i="3" s="1"/>
  <c r="AQ5" i="3"/>
  <c r="AQ6" i="3" a="1"/>
  <c r="AQ6" i="3" s="1"/>
  <c r="AQ10" i="3" a="1"/>
  <c r="AQ10" i="3" s="1"/>
  <c r="L17" i="3" l="1" a="1"/>
  <c r="L17" i="3" s="1"/>
  <c r="M17" i="3" s="1"/>
  <c r="L20" i="3" a="1"/>
  <c r="L20" i="3" s="1"/>
  <c r="M20" i="3" s="1"/>
  <c r="L18" i="3" a="1"/>
  <c r="L18" i="3" s="1"/>
  <c r="M1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seaborn as sns
import matplotlib.pyplot as plt
import numpy as np
# Set figure size first (in centimetri)
width_cm = 15
height_cm = 20
plt.figure(figsize=(width_cm / 2.54, height_cm / 2.54))
# Axes limits
plt.xlim(0, 1.5)
plt.xticks(np.arange(0, 1.6, 0.25))
plt.ylim(0, 8)
# Grid
plt.grid(True)
# Axes labels
plt.xlabel('$So_{k} [-]$')
plt.ylabel(r'$\omega_{run} / \omega_{nat}$  [-]')
# text box
plt.text(0.70,0.45,"μ \u2192 0",fontsize=8,rotation=7,color="blue")
plt.text(0.70,2.0,"μ \u2192 ∞",fontsize=8,rotation=0,color="blue")
plt.text(0.485,5.3,"μ \u2192 0",fontsize=8,rotation=67,color="orange")
plt.text(0.39,4.7,"μ \u2192 ∞",fontsize=8,rotation=67,color="orange")
plt.text(0.61,7.5,"μ \u2192 0",fontsize=8,rotation=69,color="green")
plt.text(0.525,6.9,"μ \u2192 ∞",fontsize=8,rotation=69,color="green")
plt.text(0.195,7.0,"μ \u2192 0",fontsize=8,rotation=79,color="red")
plt.text(0.135,6.5,"μ \u2192 ∞",fontsize=8,rotation=81,color="red")
plt.text(0.6,1.3,"cylindrical",fontsize=12,color="black",
         bbox=dict(facecolor='blue',alpha=0.0,boxstyle='round,pad=0.3'))
plt.text(0.55,3.0,"horizontal pokets",fontsize=12,color="black",
         bbox=dict(facecolor='orange',alpha=0.2,boxstyle='round,pad=0.3'))
plt.annotate('',xy=(0.33,4.0),xytext=(0.54,3.0),arrowprops=dict(arrowstyle="-&gt;",color="orange",lw=1.5))
plt.text(0.75,4.0,"lemon shape",fontsize=12,color="black",
         bbox=dict(facecolor='green',alpha=0.2,boxstyle='round,pad=0.3'))
plt.annotate('',xy=(0.28,4.2),xytext=(0.74,4.0),arrowprops=dict(arrowstyle="-&gt;",color="green",lw=1.5))
plt.text(0.70,7.0,"3 lobe",fontsize=12,color="black",
         bbox=dict(facecolor='red',alpha=0.2,boxstyle='round,pad=0.3'))
plt.annotate('',xy=(0.12,6),xytext=(0.69,7.0),arrowprops=dict(arrowstyle="-&gt;",color="red",lw=1.5))
plt.text(0.80,6.5,"tilting pad",fontsize=12,color="black",
         bbox=dict(facecolor='purple',alpha=0.2,boxstyle='round,pad=0.3'))
plt.annotate('',xy=(0.005,5.5),xytext=(0.79,6.5),arrowprops=dict(arrowstyle="-&gt;",color="purple",lw=1.5))
# Data for graph
cyl=xl(%P2%, headers=True)
pok=xl(%P3%, headers=True)
lemon=xl(%P4%, headers=True)
lobe3=xl(%P5%, headers=True)
tpad=xl(%P6%, headers=True)
# Cylindrical bearing
sns.lineplot(x='Sok [-]', y='μ=0', data=cyl, color='blue', linewidth=1)
sns.lineplot(x='Sok [-]', y='μ=∞', data=cyl, color='blue', linewidth=1)
plt.fill_between(cyl['Sok [-]'], cyl['μ=0'], cyl['μ=∞'], alpha=0.2)
# Poket bearing
sns.lineplot(x='Sok [-]', y='μ=0', data=pok, color='orange', linewidth=1)
sns.lineplot(x='Sok [-]', y='μ=∞', data=pok, color='orange', linewidth=1)
plt.fill_between(pok['Sok [-]'], pok['μ=0'], pok['μ=∞'], alpha=0.2)
# Lemon
sns.lineplot(x='Sok [-]', y='μ=0', data=lemon, color='green', linewidth=1)
sns.lineplot(x='Sok [-]', y='μ=∞', data=lemon, color='green', linewidth=1)
plt.fill_between(lemon['Sok [-]'], lemon['μ=0'], lemon['μ=∞'], alpha=0.2)
# 3 lobe
sns.lineplot(x='Sok [-]', y='μ=0', data=lobe3, color='red', linewidth=1)
sns.lineplot(x='Sok [-]', y='μ=∞', data=lobe3, color='red', linewidth=1)
plt.fill_between(lobe3['Sok [-]'], lobe3['μ=0'], lobe3['μ=∞'], alpha=0.2)
# Tilting pad
sns.lineplot(x='Sok [-]', y='μ=0', data=tpad, color='purple', linewidth=1)
plt.fill_between(tpad['Sok [-]'], tpad['μ=0'], 8, alpha=0.3)
myX = xl(%P7%)
myY = xl(%P8%)
plt.plot(myX, myY, marker='x', color='black',markeredgewidth=3, markersize=15)</code>
    </pythonScript>
  </pythonScripts>
</python>
</file>

<file path=xl/sharedStrings.xml><?xml version="1.0" encoding="utf-8"?>
<sst xmlns="http://schemas.openxmlformats.org/spreadsheetml/2006/main" count="88" uniqueCount="62">
  <si>
    <t>poket</t>
  </si>
  <si>
    <t>lemon</t>
  </si>
  <si>
    <t>3 lobe</t>
  </si>
  <si>
    <t>tilting pad</t>
  </si>
  <si>
    <t>cylindrical</t>
  </si>
  <si>
    <t>μ=0</t>
  </si>
  <si>
    <t>μ=∞</t>
  </si>
  <si>
    <t>cyl</t>
  </si>
  <si>
    <r>
      <t>So</t>
    </r>
    <r>
      <rPr>
        <vertAlign val="subscript"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 xml:space="preserve"> [-]</t>
    </r>
  </si>
  <si>
    <t>n [rpm]</t>
  </si>
  <si>
    <t>D [mm]</t>
  </si>
  <si>
    <t>W [N]</t>
  </si>
  <si>
    <t>(load)</t>
  </si>
  <si>
    <t>B [mm]</t>
  </si>
  <si>
    <t>(bearing lenght)</t>
  </si>
  <si>
    <t>(bearing diameter)</t>
  </si>
  <si>
    <t>(radial clearance)</t>
  </si>
  <si>
    <t>(absolute viscosity)</t>
  </si>
  <si>
    <t>So [-]</t>
  </si>
  <si>
    <t>(Sommerfeld number)</t>
  </si>
  <si>
    <t>(relative Sommerfeld number)</t>
  </si>
  <si>
    <t>horizontal pokets</t>
  </si>
  <si>
    <t>lemon shape</t>
  </si>
  <si>
    <t>3lobe</t>
  </si>
  <si>
    <t>STABLE</t>
  </si>
  <si>
    <t>TRANSITION</t>
  </si>
  <si>
    <t>UNSTABLE</t>
  </si>
  <si>
    <t>(maximum rotating speed)</t>
  </si>
  <si>
    <t>Legend</t>
  </si>
  <si>
    <t>input data</t>
  </si>
  <si>
    <t>descriptor</t>
  </si>
  <si>
    <t>calculated</t>
  </si>
  <si>
    <t>annotation</t>
  </si>
  <si>
    <t>Warnings legend</t>
  </si>
  <si>
    <t>not allowable</t>
  </si>
  <si>
    <t>allowable</t>
  </si>
  <si>
    <r>
      <rPr>
        <b/>
        <sz val="11"/>
        <color theme="0"/>
        <rFont val="Aptos Narrow"/>
        <family val="2"/>
      </rPr>
      <t>η</t>
    </r>
    <r>
      <rPr>
        <b/>
        <sz val="12.1"/>
        <color theme="0"/>
        <rFont val="Aptos Narrow"/>
        <family val="2"/>
        <scheme val="minor"/>
      </rPr>
      <t xml:space="preserve"> [cP]</t>
    </r>
  </si>
  <si>
    <r>
      <t>f</t>
    </r>
    <r>
      <rPr>
        <b/>
        <vertAlign val="subscript"/>
        <sz val="11"/>
        <color theme="0"/>
        <rFont val="Aptos Narrow"/>
        <family val="2"/>
        <scheme val="minor"/>
      </rPr>
      <t>nat</t>
    </r>
    <r>
      <rPr>
        <b/>
        <sz val="11"/>
        <color theme="0"/>
        <rFont val="Aptos Narrow"/>
        <family val="2"/>
        <scheme val="minor"/>
      </rPr>
      <t xml:space="preserve"> [Hz]</t>
    </r>
  </si>
  <si>
    <r>
      <t>So</t>
    </r>
    <r>
      <rPr>
        <b/>
        <vertAlign val="subscript"/>
        <sz val="11"/>
        <color theme="0"/>
        <rFont val="Aptos Narrow"/>
        <family val="2"/>
        <scheme val="minor"/>
      </rPr>
      <t>k</t>
    </r>
    <r>
      <rPr>
        <b/>
        <sz val="11"/>
        <color theme="0"/>
        <rFont val="Aptos Narrow"/>
        <family val="2"/>
        <scheme val="minor"/>
      </rPr>
      <t xml:space="preserve"> [-]</t>
    </r>
  </si>
  <si>
    <r>
      <t>w</t>
    </r>
    <r>
      <rPr>
        <b/>
        <vertAlign val="subscript"/>
        <sz val="11"/>
        <color theme="0"/>
        <rFont val="Aptos Narrow"/>
        <family val="2"/>
        <scheme val="minor"/>
      </rPr>
      <t>run</t>
    </r>
    <r>
      <rPr>
        <b/>
        <sz val="11"/>
        <color theme="0"/>
        <rFont val="Symbol"/>
        <family val="1"/>
        <charset val="2"/>
      </rPr>
      <t>/w</t>
    </r>
    <r>
      <rPr>
        <b/>
        <vertAlign val="subscript"/>
        <sz val="11"/>
        <color theme="0"/>
        <rFont val="Aptos Narrow"/>
        <family val="2"/>
        <scheme val="minor"/>
      </rPr>
      <t>nat</t>
    </r>
    <r>
      <rPr>
        <b/>
        <sz val="11"/>
        <color theme="0"/>
        <rFont val="Aptos Narrow"/>
        <family val="2"/>
        <scheme val="minor"/>
      </rPr>
      <t xml:space="preserve"> [-]</t>
    </r>
  </si>
  <si>
    <r>
      <t>(rotor first natural frenquecy</t>
    </r>
    <r>
      <rPr>
        <vertAlign val="superscript"/>
        <sz val="11"/>
        <color theme="0" tint="-0.499984740745262"/>
        <rFont val="Aptos Narrow"/>
        <family val="2"/>
        <scheme val="minor"/>
      </rPr>
      <t>(1)</t>
    </r>
    <r>
      <rPr>
        <sz val="11"/>
        <color theme="0" tint="-0.499984740745262"/>
        <rFont val="Aptos Narrow"/>
        <family val="2"/>
        <scheme val="minor"/>
      </rPr>
      <t>)</t>
    </r>
  </si>
  <si>
    <r>
      <rPr>
        <vertAlign val="superscript"/>
        <sz val="11"/>
        <color theme="0" tint="-0.499984740745262"/>
        <rFont val="Aptos Narrow"/>
        <family val="2"/>
        <scheme val="minor"/>
      </rPr>
      <t>(1)</t>
    </r>
    <r>
      <rPr>
        <sz val="11"/>
        <color theme="0" tint="-0.499984740745262"/>
        <rFont val="Aptos Narrow"/>
        <family val="2"/>
        <scheme val="minor"/>
      </rPr>
      <t xml:space="preserve"> of shaft supported by infinitely rigid bearing</t>
    </r>
  </si>
  <si>
    <t>BEARING SELECTION CRITERIA</t>
  </si>
  <si>
    <t>First issue</t>
  </si>
  <si>
    <t>Rev.</t>
  </si>
  <si>
    <t>Date</t>
  </si>
  <si>
    <t>Description</t>
  </si>
  <si>
    <t>Prepared</t>
  </si>
  <si>
    <t>Checked</t>
  </si>
  <si>
    <t>Approved</t>
  </si>
  <si>
    <r>
      <t>D</t>
    </r>
    <r>
      <rPr>
        <b/>
        <vertAlign val="subscript"/>
        <sz val="11"/>
        <color theme="0"/>
        <rFont val="Aptos Narrow"/>
        <family val="2"/>
        <scheme val="minor"/>
      </rPr>
      <t>shaft</t>
    </r>
    <r>
      <rPr>
        <b/>
        <sz val="11"/>
        <color theme="0"/>
        <rFont val="Aptos Narrow"/>
        <family val="2"/>
        <scheme val="minor"/>
      </rPr>
      <t xml:space="preserve"> [mm]</t>
    </r>
  </si>
  <si>
    <t>(shaft diameter)</t>
  </si>
  <si>
    <r>
      <t>c</t>
    </r>
    <r>
      <rPr>
        <b/>
        <sz val="12.1"/>
        <color theme="0"/>
        <rFont val="Aptos Narrow"/>
        <family val="2"/>
        <scheme val="minor"/>
      </rPr>
      <t xml:space="preserve"> [mm]</t>
    </r>
  </si>
  <si>
    <t>(speed ratio)</t>
  </si>
  <si>
    <t>not recommended</t>
  </si>
  <si>
    <t>B/D [-]</t>
  </si>
  <si>
    <t>(lenght/diameter ratio)</t>
  </si>
  <si>
    <t>Advance Mechanical Design Manager - F. Cademartori</t>
  </si>
  <si>
    <t>Client Qualification/ EHSS - A. Banfi/ T. Morelli Stefani</t>
  </si>
  <si>
    <t xml:space="preserve">R&amp;D &amp; Prod. Eng. Manager - M. Borghetti </t>
  </si>
  <si>
    <r>
      <t xml:space="preserve">Bearing stability criteria
(Linked to </t>
    </r>
    <r>
      <rPr>
        <b/>
        <sz val="26"/>
        <rFont val="Arial"/>
        <family val="2"/>
      </rPr>
      <t>SOP-580</t>
    </r>
    <r>
      <rPr>
        <sz val="26"/>
        <rFont val="Arial"/>
        <family val="2"/>
      </rPr>
      <t>)</t>
    </r>
  </si>
  <si>
    <t>Mod.556-0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</si>
</sst>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General_)"/>
    <numFmt numFmtId="166" formatCode="&quot;$&quot;#,##0.00;[Red]\-&quot;$&quot;#,##0.0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1"/>
      <charset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color rgb="FF808080"/>
      <name val="Calibri"/>
      <family val="2"/>
    </font>
    <font>
      <b/>
      <u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2.1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b/>
      <vertAlign val="subscript"/>
      <sz val="11"/>
      <color theme="0"/>
      <name val="Aptos Narrow"/>
      <family val="2"/>
      <scheme val="minor"/>
    </font>
    <font>
      <b/>
      <sz val="11"/>
      <color theme="0"/>
      <name val="Symbol"/>
      <family val="1"/>
      <charset val="2"/>
    </font>
    <font>
      <vertAlign val="superscript"/>
      <sz val="11"/>
      <color theme="0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1"/>
      <color theme="0" tint="-0.34998626667073579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618518631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rgb="FFC9A4E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1" fillId="0" borderId="0"/>
    <xf numFmtId="165" fontId="22" fillId="0" borderId="0"/>
    <xf numFmtId="166" fontId="28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2" xfId="1" applyBorder="1" applyAlignment="1">
      <alignment horizontal="center" vertical="center"/>
    </xf>
    <xf numFmtId="0" fontId="21" fillId="0" borderId="3" xfId="1" applyBorder="1" applyAlignment="1">
      <alignment horizontal="center" vertical="center"/>
    </xf>
    <xf numFmtId="0" fontId="21" fillId="0" borderId="4" xfId="1" applyBorder="1" applyAlignment="1">
      <alignment horizontal="center" vertical="center"/>
    </xf>
    <xf numFmtId="165" fontId="22" fillId="0" borderId="0" xfId="2"/>
    <xf numFmtId="0" fontId="21" fillId="0" borderId="5" xfId="1" applyBorder="1" applyAlignment="1">
      <alignment horizontal="center" vertical="center"/>
    </xf>
    <xf numFmtId="0" fontId="21" fillId="0" borderId="0" xfId="1" applyAlignment="1">
      <alignment horizontal="center" vertical="center"/>
    </xf>
    <xf numFmtId="0" fontId="21" fillId="0" borderId="6" xfId="1" applyBorder="1" applyAlignment="1">
      <alignment horizontal="center" vertical="center"/>
    </xf>
    <xf numFmtId="0" fontId="23" fillId="0" borderId="0" xfId="1" applyFont="1" applyAlignment="1">
      <alignment horizontal="center" vertical="top"/>
    </xf>
    <xf numFmtId="0" fontId="21" fillId="0" borderId="0" xfId="1" applyAlignment="1">
      <alignment horizontal="center"/>
    </xf>
    <xf numFmtId="0" fontId="24" fillId="0" borderId="0" xfId="1" applyFont="1" applyAlignment="1">
      <alignment horizontal="center" vertical="top"/>
    </xf>
    <xf numFmtId="0" fontId="25" fillId="0" borderId="6" xfId="1" applyFont="1" applyBorder="1" applyAlignment="1">
      <alignment horizontal="center" vertical="top"/>
    </xf>
    <xf numFmtId="0" fontId="26" fillId="0" borderId="5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6" fillId="0" borderId="6" xfId="1" applyFont="1" applyBorder="1" applyAlignment="1">
      <alignment horizontal="center" vertical="center"/>
    </xf>
    <xf numFmtId="0" fontId="30" fillId="11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0" fillId="9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6" fillId="0" borderId="2" xfId="1" applyFont="1" applyBorder="1" applyAlignment="1">
      <alignment horizontal="center" vertical="center" wrapText="1"/>
    </xf>
    <xf numFmtId="0" fontId="26" fillId="0" borderId="3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6" xfId="1" applyFont="1" applyBorder="1" applyAlignment="1">
      <alignment horizontal="center" vertical="center" wrapText="1"/>
    </xf>
    <xf numFmtId="0" fontId="26" fillId="0" borderId="7" xfId="1" applyFont="1" applyBorder="1" applyAlignment="1">
      <alignment horizontal="center" vertical="center" wrapText="1"/>
    </xf>
    <xf numFmtId="0" fontId="26" fillId="0" borderId="8" xfId="1" applyFont="1" applyBorder="1" applyAlignment="1">
      <alignment horizontal="center" vertical="center" wrapText="1"/>
    </xf>
    <xf numFmtId="0" fontId="26" fillId="0" borderId="9" xfId="1" applyFont="1" applyBorder="1" applyAlignment="1">
      <alignment horizontal="center" vertical="center" wrapText="1"/>
    </xf>
    <xf numFmtId="0" fontId="21" fillId="0" borderId="10" xfId="1" applyBorder="1" applyAlignment="1">
      <alignment horizontal="center" vertical="center"/>
    </xf>
    <xf numFmtId="0" fontId="21" fillId="0" borderId="11" xfId="1" applyBorder="1" applyAlignment="1">
      <alignment horizontal="center" vertical="center"/>
    </xf>
    <xf numFmtId="0" fontId="21" fillId="0" borderId="12" xfId="1" applyBorder="1" applyAlignment="1">
      <alignment horizontal="center" vertical="center"/>
    </xf>
    <xf numFmtId="0" fontId="21" fillId="0" borderId="13" xfId="1" applyBorder="1" applyAlignment="1">
      <alignment horizontal="center" vertical="center"/>
    </xf>
    <xf numFmtId="0" fontId="21" fillId="0" borderId="14" xfId="1" applyBorder="1" applyAlignment="1">
      <alignment horizontal="center" vertical="center"/>
    </xf>
    <xf numFmtId="0" fontId="21" fillId="0" borderId="17" xfId="1" applyBorder="1" applyAlignment="1">
      <alignment horizontal="center" vertical="center"/>
    </xf>
    <xf numFmtId="0" fontId="21" fillId="0" borderId="18" xfId="1" applyBorder="1" applyAlignment="1">
      <alignment horizontal="center" vertical="center"/>
    </xf>
    <xf numFmtId="0" fontId="21" fillId="0" borderId="19" xfId="1" applyBorder="1" applyAlignment="1">
      <alignment horizontal="center" vertical="center"/>
    </xf>
    <xf numFmtId="0" fontId="21" fillId="0" borderId="15" xfId="1" applyBorder="1" applyAlignment="1">
      <alignment horizontal="center" vertical="center"/>
    </xf>
    <xf numFmtId="0" fontId="21" fillId="0" borderId="16" xfId="1" applyBorder="1" applyAlignment="1">
      <alignment horizontal="center" vertical="center"/>
    </xf>
    <xf numFmtId="0" fontId="28" fillId="0" borderId="17" xfId="1" applyFont="1" applyBorder="1" applyAlignment="1">
      <alignment horizontal="center" vertical="center" wrapText="1"/>
    </xf>
    <xf numFmtId="0" fontId="28" fillId="0" borderId="18" xfId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0" fontId="28" fillId="0" borderId="15" xfId="1" applyFont="1" applyBorder="1" applyAlignment="1">
      <alignment horizontal="center" vertical="center"/>
    </xf>
    <xf numFmtId="0" fontId="28" fillId="0" borderId="16" xfId="1" applyFont="1" applyBorder="1" applyAlignment="1">
      <alignment horizontal="center" vertical="center"/>
    </xf>
    <xf numFmtId="14" fontId="28" fillId="0" borderId="17" xfId="1" applyNumberFormat="1" applyFont="1" applyBorder="1" applyAlignment="1">
      <alignment horizontal="center" vertical="center"/>
    </xf>
    <xf numFmtId="14" fontId="28" fillId="0" borderId="18" xfId="1" applyNumberFormat="1" applyFont="1" applyBorder="1" applyAlignment="1">
      <alignment horizontal="center" vertical="center"/>
    </xf>
    <xf numFmtId="14" fontId="28" fillId="0" borderId="16" xfId="1" applyNumberFormat="1" applyFont="1" applyBorder="1" applyAlignment="1">
      <alignment horizontal="center" vertical="center"/>
    </xf>
    <xf numFmtId="0" fontId="28" fillId="0" borderId="17" xfId="1" applyFont="1" applyBorder="1" applyAlignment="1">
      <alignment horizontal="center" vertical="center"/>
    </xf>
    <xf numFmtId="0" fontId="28" fillId="0" borderId="18" xfId="1" applyFont="1" applyBorder="1" applyAlignment="1">
      <alignment horizontal="center" vertical="center"/>
    </xf>
    <xf numFmtId="0" fontId="28" fillId="0" borderId="16" xfId="1" applyFont="1" applyBorder="1" applyAlignment="1">
      <alignment horizontal="center" vertical="center" wrapText="1"/>
    </xf>
    <xf numFmtId="166" fontId="21" fillId="0" borderId="7" xfId="3" applyFont="1" applyFill="1" applyBorder="1" applyAlignment="1">
      <alignment horizontal="right" vertical="center"/>
    </xf>
    <xf numFmtId="166" fontId="22" fillId="0" borderId="8" xfId="3" applyFont="1" applyFill="1" applyBorder="1" applyAlignment="1">
      <alignment horizontal="right" vertical="center"/>
    </xf>
    <xf numFmtId="166" fontId="22" fillId="0" borderId="9" xfId="3" applyFont="1" applyFill="1" applyBorder="1" applyAlignment="1">
      <alignment horizontal="right" vertical="center"/>
    </xf>
    <xf numFmtId="166" fontId="21" fillId="0" borderId="20" xfId="3" applyFont="1" applyBorder="1" applyAlignment="1">
      <alignment horizontal="center" vertical="center"/>
    </xf>
    <xf numFmtId="166" fontId="21" fillId="0" borderId="21" xfId="3" applyFont="1" applyBorder="1" applyAlignment="1">
      <alignment horizontal="center" vertical="center"/>
    </xf>
    <xf numFmtId="0" fontId="29" fillId="0" borderId="22" xfId="1" applyFont="1" applyBorder="1" applyAlignment="1">
      <alignment horizontal="center" vertical="center"/>
    </xf>
    <xf numFmtId="0" fontId="29" fillId="0" borderId="23" xfId="1" applyFont="1" applyBorder="1" applyAlignment="1">
      <alignment horizontal="center" vertical="center"/>
    </xf>
    <xf numFmtId="0" fontId="29" fillId="0" borderId="21" xfId="1" applyFont="1" applyBorder="1" applyAlignment="1">
      <alignment horizontal="center" vertical="center"/>
    </xf>
    <xf numFmtId="0" fontId="29" fillId="0" borderId="24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3" fillId="0" borderId="1" xfId="0" quotePrefix="1" applyFont="1" applyBorder="1" applyAlignment="1">
      <alignment horizontal="center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</cellXfs>
  <cellStyles count="4">
    <cellStyle name="Normale" xfId="0" builtinId="0"/>
    <cellStyle name="Normale 3" xfId="2" xr:uid="{82D988B9-F3DC-49F9-9FB8-9202D836995D}"/>
    <cellStyle name="Normale 4" xfId="1" xr:uid="{9CC4A13B-B68F-450E-8A4C-36C82B2634D5}"/>
    <cellStyle name="Valuta 2" xfId="3" xr:uid="{37E43A4E-1A8B-421E-9549-155625A30798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9A4E4"/>
      <color rgb="FFFFE48F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19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B6027DD8-8111-4C1F-8807-504C13220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4200" y="304800"/>
          <a:ext cx="27051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30</xdr:row>
      <xdr:rowOff>0</xdr:rowOff>
    </xdr:from>
    <xdr:to>
      <xdr:col>29</xdr:col>
      <xdr:colOff>0</xdr:colOff>
      <xdr:row>37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91993B-DEC7-40E7-9F56-8AE81CD2E7FD}"/>
            </a:ext>
          </a:extLst>
        </xdr:cNvPr>
        <xdr:cNvSpPr txBox="1"/>
      </xdr:nvSpPr>
      <xdr:spPr>
        <a:xfrm>
          <a:off x="76200" y="5715000"/>
          <a:ext cx="6675967" cy="14706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it-IT" sz="1100" b="0" u="none"/>
            <a:t>This worksheet define a</a:t>
          </a:r>
          <a:r>
            <a:rPr lang="it-IT" sz="1100" b="0" u="none" baseline="0"/>
            <a:t> criteria for bearing type </a:t>
          </a:r>
          <a:r>
            <a:rPr lang="it-IT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selection based on</a:t>
          </a:r>
          <a:r>
            <a:rPr lang="it-IT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stability</a:t>
          </a:r>
          <a:r>
            <a:rPr lang="it-IT" sz="1100" b="0" u="none"/>
            <a:t>.</a:t>
          </a:r>
        </a:p>
        <a:p>
          <a:endParaRPr lang="en-US" sz="1100" b="0" u="none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none" baseline="0"/>
            <a:t>Sheet "Glienicke criteria"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>
              <a:effectLst/>
            </a:rPr>
            <a:t>Calculation</a:t>
          </a:r>
          <a:r>
            <a:rPr lang="it-IT" baseline="0">
              <a:effectLst/>
            </a:rPr>
            <a:t> sheet and diagram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baseline="0">
              <a:effectLst/>
            </a:rPr>
            <a:t>Ref.: Experimental Investigation of the Stiffness and Damping Coefficients of Turbine Bearings and their Application to Instability Prediction - J. Glienicke</a:t>
          </a:r>
          <a:endParaRPr lang="it-IT">
            <a:effectLst/>
          </a:endParaRPr>
        </a:p>
        <a:p>
          <a:endParaRPr lang="it-IT">
            <a:effectLst/>
          </a:endParaRPr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22</xdr:row>
      <xdr:rowOff>0</xdr:rowOff>
    </xdr:from>
    <xdr:to>
      <xdr:col>20</xdr:col>
      <xdr:colOff>0</xdr:colOff>
      <xdr:row>33</xdr:row>
      <xdr:rowOff>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AD600086-1A53-460F-A703-70F6EC174EBF}"/>
            </a:ext>
          </a:extLst>
        </xdr:cNvPr>
        <xdr:cNvSpPr txBox="1"/>
      </xdr:nvSpPr>
      <xdr:spPr>
        <a:xfrm>
          <a:off x="5686425" y="4591050"/>
          <a:ext cx="6753225" cy="23050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</a:p>
        <a:p>
          <a:r>
            <a:rPr lang="it-IT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Compile Bearing Data</a:t>
          </a:r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Collect all relevant bearing parameters, including width (W), bore diameter (D), etc...</a:t>
          </a:r>
        </a:p>
        <a:p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B/D different from 0.5 could</a:t>
          </a:r>
          <a:r>
            <a:rPr lang="it-IT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give correct results.</a:t>
          </a:r>
          <a:endParaRPr lang="it-IT" sz="1100" b="0" i="0" u="non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Calculate the First Natural Frequency of the Rotor.</a:t>
          </a:r>
          <a:b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Determine the first natural frequency of the shaft, assuming it is supported by perfectly rigid (infinitely stiff) bearings.</a:t>
          </a:r>
        </a:p>
        <a:p>
          <a:r>
            <a:rPr lang="it-IT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Verify Bearing Stability.</a:t>
          </a:r>
          <a:b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 that the selected bearing type operates under stable conditions (consider</a:t>
          </a:r>
          <a:r>
            <a:rPr lang="it-IT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exclusively </a:t>
          </a:r>
          <a:r>
            <a:rPr lang="it-IT" sz="1100" b="0" i="0" u="none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cylindrical</a:t>
          </a:r>
          <a:r>
            <a:rPr lang="it-IT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it-IT" sz="11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 lobe </a:t>
          </a:r>
          <a:r>
            <a:rPr lang="it-IT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it-IT" sz="1100" b="0" i="0" u="none" baseline="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tilting pad</a:t>
          </a:r>
          <a:r>
            <a:rPr lang="it-IT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l-G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flexibility parameter: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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l-G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t-IT" sz="1100" b="0" i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→ 0 indicates rigid</a:t>
          </a:r>
          <a:r>
            <a:rPr lang="it-IT" sz="1100" b="0" i="0" baseline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shaft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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l-G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∞ indicates flexible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shaft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9</xdr:col>
      <xdr:colOff>190500</xdr:colOff>
      <xdr:row>31</xdr:row>
      <xdr:rowOff>161925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AD94B50A-6CE6-D90D-0838-E21411A336A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Glienicke criteria'!B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90500"/>
          <a:ext cx="5086350" cy="6448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rilliumflow.sharepoint.com/sites/GRP-RD-TPI/Shared%20Documents/Research%20and%20Development/STANDARD%20WORK/Advanced%20Mechanical%20Design/ready%20to%20publish/casting%20wall%20thickness/MOD.XXX_Casting%20wall%20thickness%20for%20castability%20and%20internal%20pressure.xlsx" TargetMode="External"/><Relationship Id="rId2" Type="http://schemas.microsoft.com/office/2019/04/relationships/externalLinkLongPath" Target="https://trilliumflow.sharepoint.com/sites/GRP-RD-TPI/Shared%20Documents/Research%20and%20Development/STANDARD%20WORK/Advanced%20Mechanical%20Design/ready%20to%20publish/casting%20wall%20thickness/MOD.XXX_Casting%20wall%20thickness%20for%20castability%20and%20internal%20pressure.xlsx?846F1985" TargetMode="External"/><Relationship Id="rId1" Type="http://schemas.openxmlformats.org/officeDocument/2006/relationships/externalLinkPath" Target="file:///\\846F1985\MOD.XXX_Casting%20wall%20thickness%20for%20castability%20and%20internal%20press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ntent"/>
      <sheetName val="casting wall thickness"/>
      <sheetName val="immagini"/>
    </sheetNames>
    <sheetDataSet>
      <sheetData sheetId="0" refreshError="1"/>
      <sheetData sheetId="1">
        <row r="4">
          <cell r="J4" t="str">
            <v>double</v>
          </cell>
        </row>
      </sheetData>
      <sheetData sheetId="2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534</v>
    <v>677</v>
  </a>
</arrayData>
</file>

<file path=xl/richData/rdrichvalue.xml><?xml version="1.0" encoding="utf-8"?>
<rvData xmlns="http://schemas.microsoft.com/office/spreadsheetml/2017/richdata" count="4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size=534x677 at 0x7F09006AB380&gt;</v>
    <v>2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fornito da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B449-F97A-4892-BC8E-ABC297C9C1C8}">
  <dimension ref="A1:AD48"/>
  <sheetViews>
    <sheetView tabSelected="1" zoomScaleNormal="100" zoomScaleSheetLayoutView="100" workbookViewId="0">
      <selection activeCell="AF44" sqref="AF44"/>
    </sheetView>
  </sheetViews>
  <sheetFormatPr defaultRowHeight="12" x14ac:dyDescent="0.2"/>
  <cols>
    <col min="1" max="30" width="3.42578125" style="19" customWidth="1"/>
    <col min="31" max="256" width="8.7109375" style="19"/>
    <col min="257" max="286" width="3.42578125" style="19" customWidth="1"/>
    <col min="287" max="512" width="8.7109375" style="19"/>
    <col min="513" max="542" width="3.42578125" style="19" customWidth="1"/>
    <col min="543" max="768" width="8.7109375" style="19"/>
    <col min="769" max="798" width="3.42578125" style="19" customWidth="1"/>
    <col min="799" max="1024" width="8.7109375" style="19"/>
    <col min="1025" max="1054" width="3.42578125" style="19" customWidth="1"/>
    <col min="1055" max="1280" width="8.7109375" style="19"/>
    <col min="1281" max="1310" width="3.42578125" style="19" customWidth="1"/>
    <col min="1311" max="1536" width="8.7109375" style="19"/>
    <col min="1537" max="1566" width="3.42578125" style="19" customWidth="1"/>
    <col min="1567" max="1792" width="8.7109375" style="19"/>
    <col min="1793" max="1822" width="3.42578125" style="19" customWidth="1"/>
    <col min="1823" max="2048" width="8.7109375" style="19"/>
    <col min="2049" max="2078" width="3.42578125" style="19" customWidth="1"/>
    <col min="2079" max="2304" width="8.7109375" style="19"/>
    <col min="2305" max="2334" width="3.42578125" style="19" customWidth="1"/>
    <col min="2335" max="2560" width="8.7109375" style="19"/>
    <col min="2561" max="2590" width="3.42578125" style="19" customWidth="1"/>
    <col min="2591" max="2816" width="8.7109375" style="19"/>
    <col min="2817" max="2846" width="3.42578125" style="19" customWidth="1"/>
    <col min="2847" max="3072" width="8.7109375" style="19"/>
    <col min="3073" max="3102" width="3.42578125" style="19" customWidth="1"/>
    <col min="3103" max="3328" width="8.7109375" style="19"/>
    <col min="3329" max="3358" width="3.42578125" style="19" customWidth="1"/>
    <col min="3359" max="3584" width="8.7109375" style="19"/>
    <col min="3585" max="3614" width="3.42578125" style="19" customWidth="1"/>
    <col min="3615" max="3840" width="8.7109375" style="19"/>
    <col min="3841" max="3870" width="3.42578125" style="19" customWidth="1"/>
    <col min="3871" max="4096" width="8.7109375" style="19"/>
    <col min="4097" max="4126" width="3.42578125" style="19" customWidth="1"/>
    <col min="4127" max="4352" width="8.7109375" style="19"/>
    <col min="4353" max="4382" width="3.42578125" style="19" customWidth="1"/>
    <col min="4383" max="4608" width="8.7109375" style="19"/>
    <col min="4609" max="4638" width="3.42578125" style="19" customWidth="1"/>
    <col min="4639" max="4864" width="8.7109375" style="19"/>
    <col min="4865" max="4894" width="3.42578125" style="19" customWidth="1"/>
    <col min="4895" max="5120" width="8.7109375" style="19"/>
    <col min="5121" max="5150" width="3.42578125" style="19" customWidth="1"/>
    <col min="5151" max="5376" width="8.7109375" style="19"/>
    <col min="5377" max="5406" width="3.42578125" style="19" customWidth="1"/>
    <col min="5407" max="5632" width="8.7109375" style="19"/>
    <col min="5633" max="5662" width="3.42578125" style="19" customWidth="1"/>
    <col min="5663" max="5888" width="8.7109375" style="19"/>
    <col min="5889" max="5918" width="3.42578125" style="19" customWidth="1"/>
    <col min="5919" max="6144" width="8.7109375" style="19"/>
    <col min="6145" max="6174" width="3.42578125" style="19" customWidth="1"/>
    <col min="6175" max="6400" width="8.7109375" style="19"/>
    <col min="6401" max="6430" width="3.42578125" style="19" customWidth="1"/>
    <col min="6431" max="6656" width="8.7109375" style="19"/>
    <col min="6657" max="6686" width="3.42578125" style="19" customWidth="1"/>
    <col min="6687" max="6912" width="8.7109375" style="19"/>
    <col min="6913" max="6942" width="3.42578125" style="19" customWidth="1"/>
    <col min="6943" max="7168" width="8.7109375" style="19"/>
    <col min="7169" max="7198" width="3.42578125" style="19" customWidth="1"/>
    <col min="7199" max="7424" width="8.7109375" style="19"/>
    <col min="7425" max="7454" width="3.42578125" style="19" customWidth="1"/>
    <col min="7455" max="7680" width="8.7109375" style="19"/>
    <col min="7681" max="7710" width="3.42578125" style="19" customWidth="1"/>
    <col min="7711" max="7936" width="8.7109375" style="19"/>
    <col min="7937" max="7966" width="3.42578125" style="19" customWidth="1"/>
    <col min="7967" max="8192" width="8.7109375" style="19"/>
    <col min="8193" max="8222" width="3.42578125" style="19" customWidth="1"/>
    <col min="8223" max="8448" width="8.7109375" style="19"/>
    <col min="8449" max="8478" width="3.42578125" style="19" customWidth="1"/>
    <col min="8479" max="8704" width="8.7109375" style="19"/>
    <col min="8705" max="8734" width="3.42578125" style="19" customWidth="1"/>
    <col min="8735" max="8960" width="8.7109375" style="19"/>
    <col min="8961" max="8990" width="3.42578125" style="19" customWidth="1"/>
    <col min="8991" max="9216" width="8.7109375" style="19"/>
    <col min="9217" max="9246" width="3.42578125" style="19" customWidth="1"/>
    <col min="9247" max="9472" width="8.7109375" style="19"/>
    <col min="9473" max="9502" width="3.42578125" style="19" customWidth="1"/>
    <col min="9503" max="9728" width="8.7109375" style="19"/>
    <col min="9729" max="9758" width="3.42578125" style="19" customWidth="1"/>
    <col min="9759" max="9984" width="8.7109375" style="19"/>
    <col min="9985" max="10014" width="3.42578125" style="19" customWidth="1"/>
    <col min="10015" max="10240" width="8.7109375" style="19"/>
    <col min="10241" max="10270" width="3.42578125" style="19" customWidth="1"/>
    <col min="10271" max="10496" width="8.7109375" style="19"/>
    <col min="10497" max="10526" width="3.42578125" style="19" customWidth="1"/>
    <col min="10527" max="10752" width="8.7109375" style="19"/>
    <col min="10753" max="10782" width="3.42578125" style="19" customWidth="1"/>
    <col min="10783" max="11008" width="8.7109375" style="19"/>
    <col min="11009" max="11038" width="3.42578125" style="19" customWidth="1"/>
    <col min="11039" max="11264" width="8.7109375" style="19"/>
    <col min="11265" max="11294" width="3.42578125" style="19" customWidth="1"/>
    <col min="11295" max="11520" width="8.7109375" style="19"/>
    <col min="11521" max="11550" width="3.42578125" style="19" customWidth="1"/>
    <col min="11551" max="11776" width="8.7109375" style="19"/>
    <col min="11777" max="11806" width="3.42578125" style="19" customWidth="1"/>
    <col min="11807" max="12032" width="8.7109375" style="19"/>
    <col min="12033" max="12062" width="3.42578125" style="19" customWidth="1"/>
    <col min="12063" max="12288" width="8.7109375" style="19"/>
    <col min="12289" max="12318" width="3.42578125" style="19" customWidth="1"/>
    <col min="12319" max="12544" width="8.7109375" style="19"/>
    <col min="12545" max="12574" width="3.42578125" style="19" customWidth="1"/>
    <col min="12575" max="12800" width="8.7109375" style="19"/>
    <col min="12801" max="12830" width="3.42578125" style="19" customWidth="1"/>
    <col min="12831" max="13056" width="8.7109375" style="19"/>
    <col min="13057" max="13086" width="3.42578125" style="19" customWidth="1"/>
    <col min="13087" max="13312" width="8.7109375" style="19"/>
    <col min="13313" max="13342" width="3.42578125" style="19" customWidth="1"/>
    <col min="13343" max="13568" width="8.7109375" style="19"/>
    <col min="13569" max="13598" width="3.42578125" style="19" customWidth="1"/>
    <col min="13599" max="13824" width="8.7109375" style="19"/>
    <col min="13825" max="13854" width="3.42578125" style="19" customWidth="1"/>
    <col min="13855" max="14080" width="8.7109375" style="19"/>
    <col min="14081" max="14110" width="3.42578125" style="19" customWidth="1"/>
    <col min="14111" max="14336" width="8.7109375" style="19"/>
    <col min="14337" max="14366" width="3.42578125" style="19" customWidth="1"/>
    <col min="14367" max="14592" width="8.7109375" style="19"/>
    <col min="14593" max="14622" width="3.42578125" style="19" customWidth="1"/>
    <col min="14623" max="14848" width="8.7109375" style="19"/>
    <col min="14849" max="14878" width="3.42578125" style="19" customWidth="1"/>
    <col min="14879" max="15104" width="8.7109375" style="19"/>
    <col min="15105" max="15134" width="3.42578125" style="19" customWidth="1"/>
    <col min="15135" max="15360" width="8.7109375" style="19"/>
    <col min="15361" max="15390" width="3.42578125" style="19" customWidth="1"/>
    <col min="15391" max="15616" width="8.7109375" style="19"/>
    <col min="15617" max="15646" width="3.42578125" style="19" customWidth="1"/>
    <col min="15647" max="15872" width="8.7109375" style="19"/>
    <col min="15873" max="15902" width="3.42578125" style="19" customWidth="1"/>
    <col min="15903" max="16128" width="8.7109375" style="19"/>
    <col min="16129" max="16158" width="3.42578125" style="19" customWidth="1"/>
    <col min="16159" max="16384" width="8.7109375" style="19"/>
  </cols>
  <sheetData>
    <row r="1" spans="1:30" ht="15" customHeight="1" x14ac:dyDescent="0.2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8"/>
    </row>
    <row r="2" spans="1:30" ht="15" customHeight="1" x14ac:dyDescent="0.2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2"/>
    </row>
    <row r="3" spans="1:30" ht="15" customHeight="1" x14ac:dyDescent="0.2">
      <c r="A3" s="20"/>
      <c r="B3" s="21"/>
      <c r="C3" s="21"/>
      <c r="D3" s="21"/>
      <c r="E3" s="21"/>
      <c r="F3" s="21"/>
      <c r="G3" s="21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  <c r="X3" s="25"/>
      <c r="Y3" s="25"/>
      <c r="Z3" s="25"/>
      <c r="AA3" s="25"/>
      <c r="AB3" s="25"/>
      <c r="AC3" s="25"/>
      <c r="AD3" s="26"/>
    </row>
    <row r="4" spans="1:30" ht="15" customHeight="1" x14ac:dyDescent="0.2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2"/>
    </row>
    <row r="5" spans="1:30" ht="15" customHeight="1" x14ac:dyDescent="0.2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2"/>
    </row>
    <row r="6" spans="1:30" ht="15" customHeight="1" x14ac:dyDescent="0.2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2"/>
    </row>
    <row r="7" spans="1:30" ht="15" customHeight="1" thickBot="1" x14ac:dyDescent="0.25">
      <c r="A7" s="27"/>
      <c r="B7" s="28"/>
      <c r="C7" s="28"/>
      <c r="D7" s="28"/>
      <c r="E7" s="28"/>
      <c r="F7" s="29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8"/>
      <c r="AB7" s="28"/>
      <c r="AC7" s="28"/>
      <c r="AD7" s="30"/>
    </row>
    <row r="8" spans="1:30" ht="15" customHeight="1" x14ac:dyDescent="0.2">
      <c r="A8" s="35" t="s">
        <v>60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7"/>
    </row>
    <row r="9" spans="1:30" ht="15" customHeight="1" x14ac:dyDescent="0.2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40"/>
    </row>
    <row r="10" spans="1:30" ht="15" customHeight="1" x14ac:dyDescent="0.2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40"/>
    </row>
    <row r="11" spans="1:30" ht="15" customHeight="1" x14ac:dyDescent="0.2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40"/>
    </row>
    <row r="12" spans="1:30" ht="15" customHeight="1" x14ac:dyDescent="0.2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40"/>
    </row>
    <row r="13" spans="1:30" ht="15" customHeight="1" x14ac:dyDescent="0.2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40"/>
    </row>
    <row r="14" spans="1:30" ht="15" customHeight="1" x14ac:dyDescent="0.2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40"/>
    </row>
    <row r="15" spans="1:30" ht="15" customHeight="1" x14ac:dyDescent="0.2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</row>
    <row r="16" spans="1:30" ht="15" customHeight="1" x14ac:dyDescent="0.2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40"/>
    </row>
    <row r="17" spans="1:30" ht="15" customHeight="1" x14ac:dyDescent="0.2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40"/>
    </row>
    <row r="18" spans="1:30" ht="15" customHeight="1" x14ac:dyDescent="0.2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40"/>
    </row>
    <row r="19" spans="1:30" ht="15" customHeight="1" x14ac:dyDescent="0.2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40"/>
    </row>
    <row r="20" spans="1:30" ht="15" customHeight="1" x14ac:dyDescent="0.2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40"/>
    </row>
    <row r="21" spans="1:30" ht="15" customHeight="1" x14ac:dyDescent="0.2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40"/>
    </row>
    <row r="22" spans="1:30" ht="15" customHeight="1" x14ac:dyDescent="0.2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40"/>
    </row>
    <row r="23" spans="1:30" ht="15" customHeight="1" x14ac:dyDescent="0.2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40"/>
    </row>
    <row r="24" spans="1:30" ht="15" customHeight="1" x14ac:dyDescent="0.2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40"/>
    </row>
    <row r="25" spans="1:30" ht="15" customHeight="1" x14ac:dyDescent="0.2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40"/>
    </row>
    <row r="26" spans="1:30" ht="15" customHeight="1" x14ac:dyDescent="0.2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40"/>
    </row>
    <row r="27" spans="1:30" ht="15" customHeight="1" x14ac:dyDescent="0.2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40"/>
    </row>
    <row r="28" spans="1:30" ht="15" customHeight="1" x14ac:dyDescent="0.2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40"/>
    </row>
    <row r="29" spans="1:30" ht="15" customHeight="1" x14ac:dyDescent="0.2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40"/>
    </row>
    <row r="30" spans="1:30" ht="15" customHeight="1" x14ac:dyDescent="0.2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40"/>
    </row>
    <row r="31" spans="1:30" ht="15" customHeight="1" x14ac:dyDescent="0.2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40"/>
    </row>
    <row r="32" spans="1:30" ht="15" customHeight="1" x14ac:dyDescent="0.2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40"/>
    </row>
    <row r="33" spans="1:30" ht="15" customHeight="1" x14ac:dyDescent="0.2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40"/>
    </row>
    <row r="34" spans="1:30" ht="15" customHeight="1" x14ac:dyDescent="0.2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40"/>
    </row>
    <row r="35" spans="1:30" ht="15" customHeight="1" x14ac:dyDescent="0.2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0"/>
    </row>
    <row r="36" spans="1:30" ht="15" customHeight="1" x14ac:dyDescent="0.2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40"/>
    </row>
    <row r="37" spans="1:30" ht="15" customHeight="1" x14ac:dyDescent="0.2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40"/>
    </row>
    <row r="38" spans="1:30" ht="15" customHeight="1" x14ac:dyDescent="0.2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40"/>
    </row>
    <row r="39" spans="1:30" ht="15" customHeight="1" thickBot="1" x14ac:dyDescent="0.25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3"/>
    </row>
    <row r="40" spans="1:30" ht="30" customHeight="1" x14ac:dyDescent="0.2">
      <c r="A40" s="44"/>
      <c r="B40" s="45"/>
      <c r="C40" s="46"/>
      <c r="D40" s="47"/>
      <c r="E40" s="47"/>
      <c r="F40" s="45"/>
      <c r="G40" s="46"/>
      <c r="H40" s="47"/>
      <c r="I40" s="47"/>
      <c r="J40" s="47"/>
      <c r="K40" s="47"/>
      <c r="L40" s="47"/>
      <c r="M40" s="47"/>
      <c r="N40" s="47"/>
      <c r="O40" s="47"/>
      <c r="P40" s="46"/>
      <c r="Q40" s="47"/>
      <c r="R40" s="47"/>
      <c r="S40" s="47"/>
      <c r="T40" s="45"/>
      <c r="U40" s="46"/>
      <c r="V40" s="47"/>
      <c r="W40" s="47"/>
      <c r="X40" s="47"/>
      <c r="Y40" s="45"/>
      <c r="Z40" s="46"/>
      <c r="AA40" s="47"/>
      <c r="AB40" s="47"/>
      <c r="AC40" s="47"/>
      <c r="AD40" s="48"/>
    </row>
    <row r="41" spans="1:30" ht="30" customHeight="1" x14ac:dyDescent="0.2">
      <c r="A41" s="52"/>
      <c r="B41" s="53"/>
      <c r="C41" s="49"/>
      <c r="D41" s="50"/>
      <c r="E41" s="50"/>
      <c r="F41" s="53"/>
      <c r="G41" s="49"/>
      <c r="H41" s="50"/>
      <c r="I41" s="50"/>
      <c r="J41" s="50"/>
      <c r="K41" s="50"/>
      <c r="L41" s="50"/>
      <c r="M41" s="50"/>
      <c r="N41" s="50"/>
      <c r="O41" s="50"/>
      <c r="P41" s="49"/>
      <c r="Q41" s="50"/>
      <c r="R41" s="50"/>
      <c r="S41" s="50"/>
      <c r="T41" s="53"/>
      <c r="U41" s="49"/>
      <c r="V41" s="50"/>
      <c r="W41" s="50"/>
      <c r="X41" s="50"/>
      <c r="Y41" s="53"/>
      <c r="Z41" s="49"/>
      <c r="AA41" s="50"/>
      <c r="AB41" s="50"/>
      <c r="AC41" s="50"/>
      <c r="AD41" s="51"/>
    </row>
    <row r="42" spans="1:30" ht="30" customHeight="1" x14ac:dyDescent="0.2">
      <c r="A42" s="52"/>
      <c r="B42" s="53"/>
      <c r="C42" s="49"/>
      <c r="D42" s="50"/>
      <c r="E42" s="50"/>
      <c r="F42" s="53"/>
      <c r="G42" s="49"/>
      <c r="H42" s="50"/>
      <c r="I42" s="50"/>
      <c r="J42" s="50"/>
      <c r="K42" s="50"/>
      <c r="L42" s="50"/>
      <c r="M42" s="50"/>
      <c r="N42" s="50"/>
      <c r="O42" s="50"/>
      <c r="P42" s="49"/>
      <c r="Q42" s="50"/>
      <c r="R42" s="50"/>
      <c r="S42" s="50"/>
      <c r="T42" s="53"/>
      <c r="U42" s="49"/>
      <c r="V42" s="50"/>
      <c r="W42" s="50"/>
      <c r="X42" s="50"/>
      <c r="Y42" s="53"/>
      <c r="Z42" s="49"/>
      <c r="AA42" s="50"/>
      <c r="AB42" s="50"/>
      <c r="AC42" s="50"/>
      <c r="AD42" s="51"/>
    </row>
    <row r="43" spans="1:30" ht="30" customHeight="1" x14ac:dyDescent="0.2">
      <c r="A43" s="52"/>
      <c r="B43" s="53"/>
      <c r="C43" s="49"/>
      <c r="D43" s="50"/>
      <c r="E43" s="50"/>
      <c r="F43" s="53"/>
      <c r="G43" s="49"/>
      <c r="H43" s="50"/>
      <c r="I43" s="50"/>
      <c r="J43" s="50"/>
      <c r="K43" s="50"/>
      <c r="L43" s="50"/>
      <c r="M43" s="50"/>
      <c r="N43" s="50"/>
      <c r="O43" s="50"/>
      <c r="P43" s="49"/>
      <c r="Q43" s="50"/>
      <c r="R43" s="50"/>
      <c r="S43" s="50"/>
      <c r="T43" s="53"/>
      <c r="U43" s="49"/>
      <c r="V43" s="50"/>
      <c r="W43" s="50"/>
      <c r="X43" s="50"/>
      <c r="Y43" s="53"/>
      <c r="Z43" s="49"/>
      <c r="AA43" s="50"/>
      <c r="AB43" s="50"/>
      <c r="AC43" s="50"/>
      <c r="AD43" s="51"/>
    </row>
    <row r="44" spans="1:30" ht="30" customHeight="1" x14ac:dyDescent="0.2">
      <c r="A44" s="52"/>
      <c r="B44" s="53"/>
      <c r="C44" s="49"/>
      <c r="D44" s="50"/>
      <c r="E44" s="50"/>
      <c r="F44" s="53"/>
      <c r="G44" s="49"/>
      <c r="H44" s="50"/>
      <c r="I44" s="50"/>
      <c r="J44" s="50"/>
      <c r="K44" s="50"/>
      <c r="L44" s="50"/>
      <c r="M44" s="50"/>
      <c r="N44" s="50"/>
      <c r="O44" s="50"/>
      <c r="P44" s="49"/>
      <c r="Q44" s="50"/>
      <c r="R44" s="50"/>
      <c r="S44" s="50"/>
      <c r="T44" s="53"/>
      <c r="U44" s="49"/>
      <c r="V44" s="50"/>
      <c r="W44" s="50"/>
      <c r="X44" s="50"/>
      <c r="Y44" s="53"/>
      <c r="Z44" s="49"/>
      <c r="AA44" s="50"/>
      <c r="AB44" s="50"/>
      <c r="AC44" s="50"/>
      <c r="AD44" s="51"/>
    </row>
    <row r="45" spans="1:30" ht="26.25" customHeight="1" x14ac:dyDescent="0.2">
      <c r="A45" s="52"/>
      <c r="B45" s="53"/>
      <c r="C45" s="49"/>
      <c r="D45" s="50"/>
      <c r="E45" s="50"/>
      <c r="F45" s="53"/>
      <c r="G45" s="49"/>
      <c r="H45" s="50"/>
      <c r="I45" s="50"/>
      <c r="J45" s="50"/>
      <c r="K45" s="50"/>
      <c r="L45" s="50"/>
      <c r="M45" s="50"/>
      <c r="N45" s="50"/>
      <c r="O45" s="50"/>
      <c r="P45" s="49"/>
      <c r="Q45" s="50"/>
      <c r="R45" s="50"/>
      <c r="S45" s="50"/>
      <c r="T45" s="53"/>
      <c r="U45" s="49"/>
      <c r="V45" s="50"/>
      <c r="W45" s="50"/>
      <c r="X45" s="50"/>
      <c r="Y45" s="53"/>
      <c r="Z45" s="49"/>
      <c r="AA45" s="50"/>
      <c r="AB45" s="50"/>
      <c r="AC45" s="50"/>
      <c r="AD45" s="51"/>
    </row>
    <row r="46" spans="1:30" ht="33" customHeight="1" x14ac:dyDescent="0.2">
      <c r="A46" s="57">
        <v>0</v>
      </c>
      <c r="B46" s="58"/>
      <c r="C46" s="59">
        <v>45953</v>
      </c>
      <c r="D46" s="60"/>
      <c r="E46" s="60"/>
      <c r="F46" s="61"/>
      <c r="G46" s="62" t="s">
        <v>43</v>
      </c>
      <c r="H46" s="63"/>
      <c r="I46" s="63"/>
      <c r="J46" s="63"/>
      <c r="K46" s="63"/>
      <c r="L46" s="63"/>
      <c r="M46" s="63"/>
      <c r="N46" s="63"/>
      <c r="O46" s="63"/>
      <c r="P46" s="54" t="s">
        <v>57</v>
      </c>
      <c r="Q46" s="55"/>
      <c r="R46" s="55"/>
      <c r="S46" s="55"/>
      <c r="T46" s="64"/>
      <c r="U46" s="54" t="s">
        <v>58</v>
      </c>
      <c r="V46" s="55"/>
      <c r="W46" s="55"/>
      <c r="X46" s="55"/>
      <c r="Y46" s="64"/>
      <c r="Z46" s="54" t="s">
        <v>59</v>
      </c>
      <c r="AA46" s="55"/>
      <c r="AB46" s="55"/>
      <c r="AC46" s="55"/>
      <c r="AD46" s="56"/>
    </row>
    <row r="47" spans="1:30" ht="15" customHeight="1" thickBot="1" x14ac:dyDescent="0.25">
      <c r="A47" s="68" t="s">
        <v>44</v>
      </c>
      <c r="B47" s="69"/>
      <c r="C47" s="70" t="s">
        <v>45</v>
      </c>
      <c r="D47" s="71"/>
      <c r="E47" s="71"/>
      <c r="F47" s="72"/>
      <c r="G47" s="70" t="s">
        <v>46</v>
      </c>
      <c r="H47" s="71"/>
      <c r="I47" s="71"/>
      <c r="J47" s="71"/>
      <c r="K47" s="71"/>
      <c r="L47" s="71"/>
      <c r="M47" s="71"/>
      <c r="N47" s="71"/>
      <c r="O47" s="71"/>
      <c r="P47" s="70" t="s">
        <v>47</v>
      </c>
      <c r="Q47" s="71"/>
      <c r="R47" s="71"/>
      <c r="S47" s="71"/>
      <c r="T47" s="72"/>
      <c r="U47" s="70" t="s">
        <v>48</v>
      </c>
      <c r="V47" s="71"/>
      <c r="W47" s="71"/>
      <c r="X47" s="71"/>
      <c r="Y47" s="71"/>
      <c r="Z47" s="70" t="s">
        <v>49</v>
      </c>
      <c r="AA47" s="71"/>
      <c r="AB47" s="71"/>
      <c r="AC47" s="71"/>
      <c r="AD47" s="73"/>
    </row>
    <row r="48" spans="1:30" ht="15" customHeight="1" thickBot="1" x14ac:dyDescent="0.25">
      <c r="A48" s="65" t="s">
        <v>61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7"/>
    </row>
  </sheetData>
  <mergeCells count="50">
    <mergeCell ref="A48:AD48"/>
    <mergeCell ref="A47:B47"/>
    <mergeCell ref="C47:F47"/>
    <mergeCell ref="G47:O47"/>
    <mergeCell ref="P47:T47"/>
    <mergeCell ref="U47:Y47"/>
    <mergeCell ref="Z47:AD47"/>
    <mergeCell ref="Z46:AD46"/>
    <mergeCell ref="A45:B45"/>
    <mergeCell ref="C45:F45"/>
    <mergeCell ref="G45:O45"/>
    <mergeCell ref="P45:T45"/>
    <mergeCell ref="U45:Y45"/>
    <mergeCell ref="Z45:AD45"/>
    <mergeCell ref="A46:B46"/>
    <mergeCell ref="C46:F46"/>
    <mergeCell ref="G46:O46"/>
    <mergeCell ref="P46:T46"/>
    <mergeCell ref="U46:Y46"/>
    <mergeCell ref="Z44:AD44"/>
    <mergeCell ref="A43:B43"/>
    <mergeCell ref="C43:F43"/>
    <mergeCell ref="G43:O43"/>
    <mergeCell ref="P43:T43"/>
    <mergeCell ref="U43:Y43"/>
    <mergeCell ref="Z43:AD43"/>
    <mergeCell ref="A44:B44"/>
    <mergeCell ref="C44:F44"/>
    <mergeCell ref="G44:O44"/>
    <mergeCell ref="P44:T44"/>
    <mergeCell ref="U44:Y44"/>
    <mergeCell ref="Z42:AD42"/>
    <mergeCell ref="A41:B41"/>
    <mergeCell ref="C41:F41"/>
    <mergeCell ref="G41:O41"/>
    <mergeCell ref="P41:T41"/>
    <mergeCell ref="U41:Y41"/>
    <mergeCell ref="Z41:AD41"/>
    <mergeCell ref="A42:B42"/>
    <mergeCell ref="C42:F42"/>
    <mergeCell ref="G42:O42"/>
    <mergeCell ref="P42:T42"/>
    <mergeCell ref="U42:Y42"/>
    <mergeCell ref="A8:AD39"/>
    <mergeCell ref="A40:B40"/>
    <mergeCell ref="C40:F40"/>
    <mergeCell ref="G40:O40"/>
    <mergeCell ref="P40:T40"/>
    <mergeCell ref="U40:Y40"/>
    <mergeCell ref="Z40:AD4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920D-F365-47E8-878B-F3B056649837}">
  <dimension ref="B2:AV194"/>
  <sheetViews>
    <sheetView zoomScaleNormal="100" workbookViewId="0">
      <selection activeCell="L13" sqref="L13"/>
    </sheetView>
  </sheetViews>
  <sheetFormatPr defaultRowHeight="15" x14ac:dyDescent="0.25"/>
  <cols>
    <col min="1" max="1" width="2.7109375" customWidth="1"/>
    <col min="2" max="2" width="9.42578125" bestFit="1" customWidth="1"/>
    <col min="11" max="11" width="16.7109375" bestFit="1" customWidth="1"/>
    <col min="12" max="12" width="12.42578125" bestFit="1" customWidth="1"/>
    <col min="14" max="14" width="8.85546875" bestFit="1" customWidth="1"/>
    <col min="16" max="16" width="9" bestFit="1" customWidth="1"/>
    <col min="17" max="20" width="9" customWidth="1"/>
    <col min="21" max="21" width="2.5703125" customWidth="1"/>
    <col min="22" max="24" width="0" hidden="1" customWidth="1"/>
    <col min="25" max="25" width="2.7109375" hidden="1" customWidth="1"/>
    <col min="26" max="28" width="0" hidden="1" customWidth="1"/>
    <col min="29" max="29" width="2.7109375" hidden="1" customWidth="1"/>
    <col min="30" max="32" width="0" hidden="1" customWidth="1"/>
    <col min="33" max="33" width="2.7109375" hidden="1" customWidth="1"/>
    <col min="34" max="36" width="0" hidden="1" customWidth="1"/>
    <col min="37" max="37" width="2.7109375" hidden="1" customWidth="1"/>
    <col min="38" max="39" width="0" hidden="1" customWidth="1"/>
    <col min="40" max="40" width="2.5703125" hidden="1" customWidth="1"/>
    <col min="41" max="41" width="9" hidden="1" customWidth="1"/>
    <col min="42" max="43" width="0" hidden="1" customWidth="1"/>
  </cols>
  <sheetData>
    <row r="2" spans="2:48" ht="16.5" customHeight="1" x14ac:dyDescent="0.25">
      <c r="B2" t="e" cm="1" vm="1">
        <f t="array" ref="B2">_xlfn._xlws.PY(0,1,V3:X5,Z3:AB99,AD3:AF88,AH3:AJ62,AL3:AM6,L13,L14)</f>
        <v>#VALUE!</v>
      </c>
      <c r="K2" s="88" t="s">
        <v>42</v>
      </c>
      <c r="L2" s="88"/>
      <c r="M2" s="88"/>
      <c r="N2" s="88"/>
      <c r="O2" s="88"/>
      <c r="Q2" s="82" t="s">
        <v>28</v>
      </c>
      <c r="R2" s="82"/>
      <c r="W2" s="74" t="s">
        <v>4</v>
      </c>
      <c r="X2" s="74"/>
      <c r="Z2" s="74" t="s">
        <v>0</v>
      </c>
      <c r="AA2" s="74"/>
      <c r="AB2" s="74"/>
      <c r="AD2" s="74" t="s">
        <v>1</v>
      </c>
      <c r="AE2" s="74"/>
      <c r="AF2" s="74"/>
      <c r="AH2" s="74" t="s">
        <v>2</v>
      </c>
      <c r="AI2" s="74"/>
      <c r="AJ2" s="74"/>
      <c r="AK2" s="1"/>
      <c r="AL2" s="74" t="s">
        <v>3</v>
      </c>
      <c r="AM2" s="74"/>
      <c r="AQ2" s="1"/>
    </row>
    <row r="3" spans="2:48" ht="16.5" customHeight="1" x14ac:dyDescent="0.35">
      <c r="K3" s="6" t="s">
        <v>11</v>
      </c>
      <c r="L3" s="8">
        <v>3000</v>
      </c>
      <c r="M3" s="78" t="s">
        <v>12</v>
      </c>
      <c r="N3" s="78"/>
      <c r="O3" s="78"/>
      <c r="Q3" s="83" t="s">
        <v>29</v>
      </c>
      <c r="R3" s="83"/>
      <c r="V3" s="1" t="s">
        <v>8</v>
      </c>
      <c r="W3" s="2" t="s">
        <v>5</v>
      </c>
      <c r="X3" s="2" t="s">
        <v>6</v>
      </c>
      <c r="Z3" s="1" t="s">
        <v>8</v>
      </c>
      <c r="AA3" s="2" t="s">
        <v>5</v>
      </c>
      <c r="AB3" s="2" t="s">
        <v>6</v>
      </c>
      <c r="AD3" s="1" t="s">
        <v>8</v>
      </c>
      <c r="AE3" s="2" t="s">
        <v>5</v>
      </c>
      <c r="AF3" s="2" t="s">
        <v>6</v>
      </c>
      <c r="AH3" s="1" t="s">
        <v>8</v>
      </c>
      <c r="AI3" s="2" t="s">
        <v>5</v>
      </c>
      <c r="AJ3" s="2" t="s">
        <v>6</v>
      </c>
      <c r="AL3" s="1" t="s">
        <v>8</v>
      </c>
      <c r="AM3" s="2" t="s">
        <v>5</v>
      </c>
      <c r="AO3" s="1" t="s">
        <v>7</v>
      </c>
      <c r="AP3" s="2" t="s">
        <v>5</v>
      </c>
      <c r="AQ3" s="1">
        <f>1.23/1.5*L13</f>
        <v>0.24093609846526925</v>
      </c>
      <c r="AS3" s="1"/>
      <c r="AV3" s="1"/>
    </row>
    <row r="4" spans="2:48" ht="16.5" customHeight="1" x14ac:dyDescent="0.25">
      <c r="K4" s="6" t="s">
        <v>13</v>
      </c>
      <c r="L4" s="8">
        <v>50</v>
      </c>
      <c r="M4" s="78" t="s">
        <v>14</v>
      </c>
      <c r="N4" s="78"/>
      <c r="O4" s="78"/>
      <c r="Q4" s="84" t="s">
        <v>30</v>
      </c>
      <c r="R4" s="84"/>
      <c r="V4" s="1">
        <v>0</v>
      </c>
      <c r="W4" s="1">
        <v>0</v>
      </c>
      <c r="X4" s="1">
        <v>2.2000000000000002</v>
      </c>
      <c r="Z4" s="1">
        <v>0</v>
      </c>
      <c r="AA4" s="1">
        <f>11*Z4</f>
        <v>0</v>
      </c>
      <c r="AB4" s="1">
        <v>1.6117847534385048</v>
      </c>
      <c r="AD4" s="1">
        <v>0</v>
      </c>
      <c r="AE4" s="1">
        <f>8/0.65*AD4</f>
        <v>0</v>
      </c>
      <c r="AF4" s="1">
        <v>2.6377341484195589</v>
      </c>
      <c r="AH4" s="1">
        <v>0</v>
      </c>
      <c r="AI4" s="1">
        <f>9/0.25*AH4</f>
        <v>0</v>
      </c>
      <c r="AJ4" s="1" cm="1">
        <f t="array" ref="AJ4">TREND(AJ5:AJ6,AH5:AH6,AH4)</f>
        <v>2.9922819686305009</v>
      </c>
      <c r="AK4" s="1"/>
      <c r="AL4" s="1">
        <v>0</v>
      </c>
      <c r="AM4" s="1">
        <v>3.8</v>
      </c>
      <c r="AP4" s="2" t="s">
        <v>6</v>
      </c>
      <c r="AQ4" s="1">
        <f>2.2-0.5/1.5*L13</f>
        <v>2.1020584965588336</v>
      </c>
      <c r="AS4" s="1"/>
      <c r="AV4" s="1"/>
    </row>
    <row r="5" spans="2:48" ht="16.5" customHeight="1" x14ac:dyDescent="0.25">
      <c r="K5" s="6" t="s">
        <v>10</v>
      </c>
      <c r="L5" s="8">
        <v>100</v>
      </c>
      <c r="M5" s="78" t="s">
        <v>15</v>
      </c>
      <c r="N5" s="78"/>
      <c r="O5" s="78"/>
      <c r="Q5" s="85" t="s">
        <v>31</v>
      </c>
      <c r="R5" s="85"/>
      <c r="V5" s="1">
        <v>1.5</v>
      </c>
      <c r="W5" s="1">
        <v>1.23</v>
      </c>
      <c r="X5" s="1">
        <v>2.15</v>
      </c>
      <c r="Z5" s="1">
        <v>8.1426280419509191E-3</v>
      </c>
      <c r="AA5" s="1">
        <f t="shared" ref="AA5:AA68" si="0">11*Z5</f>
        <v>8.9568908461460109E-2</v>
      </c>
      <c r="AB5" s="1">
        <v>1.64042609451138</v>
      </c>
      <c r="AD5" s="1">
        <v>8.1426280419509191E-3</v>
      </c>
      <c r="AE5" s="1">
        <f t="shared" ref="AE5:AE68" si="1">8/0.65*AD5</f>
        <v>0.100216960516319</v>
      </c>
      <c r="AF5" s="1">
        <v>2.63549654364824</v>
      </c>
      <c r="AH5" s="1">
        <v>8.1426280419509191E-3</v>
      </c>
      <c r="AI5" s="1">
        <f t="shared" ref="AI5:AI61" si="2">9/0.25*AH5</f>
        <v>0.29313460951023307</v>
      </c>
      <c r="AJ5" s="1">
        <v>3.0052600763041499</v>
      </c>
      <c r="AK5" s="1"/>
      <c r="AL5" s="1">
        <f>AL6*AM5/AM6</f>
        <v>1.4249999999999999E-2</v>
      </c>
      <c r="AM5" s="1">
        <v>3.8</v>
      </c>
      <c r="AO5" s="1" t="s">
        <v>0</v>
      </c>
      <c r="AP5" s="2" t="s">
        <v>5</v>
      </c>
      <c r="AQ5" s="1">
        <f>11*L13</f>
        <v>3.2320696135584903</v>
      </c>
    </row>
    <row r="6" spans="2:48" ht="16.5" customHeight="1" x14ac:dyDescent="0.25">
      <c r="K6" s="6" t="s">
        <v>50</v>
      </c>
      <c r="L6" s="8">
        <v>100</v>
      </c>
      <c r="M6" s="79" t="s">
        <v>51</v>
      </c>
      <c r="N6" s="80"/>
      <c r="O6" s="81"/>
      <c r="Q6" s="86" t="s">
        <v>32</v>
      </c>
      <c r="R6" s="86"/>
      <c r="Z6" s="1">
        <v>2.5754760207718101E-2</v>
      </c>
      <c r="AA6" s="1">
        <f t="shared" si="0"/>
        <v>0.28330236228489913</v>
      </c>
      <c r="AB6" s="1">
        <v>1.7023760057416899</v>
      </c>
      <c r="AC6" s="1"/>
      <c r="AD6" s="1">
        <v>2.5754760207718101E-2</v>
      </c>
      <c r="AE6" s="1">
        <f t="shared" si="1"/>
        <v>0.31698166409499201</v>
      </c>
      <c r="AF6" s="1">
        <v>2.6306567068333702</v>
      </c>
      <c r="AG6" s="1"/>
      <c r="AH6" s="1">
        <v>2.5754760207718101E-2</v>
      </c>
      <c r="AI6" s="1">
        <f t="shared" si="2"/>
        <v>0.92717136747785167</v>
      </c>
      <c r="AJ6" s="1">
        <v>3.03333112983039</v>
      </c>
      <c r="AK6" s="1"/>
      <c r="AL6" s="1">
        <v>0.03</v>
      </c>
      <c r="AM6" s="1">
        <v>8</v>
      </c>
      <c r="AP6" s="2" t="s">
        <v>6</v>
      </c>
      <c r="AQ6" s="1" cm="1">
        <f t="array" ref="AQ6">_xlfn.LET(_xlpm.x,L13,_xlpm.xs,Z4:Z98,_xlpm.ys,AB4:AB98,_xlpm.coeff,LINEST(AB4:AB98,Z4:Z98^{1,2,3,4,5,6}),SUMPRODUCT(_xlpm.coeff,_xlpm.x^{6,5,4,3,2,1,0}))</f>
        <v>3.6464079126415334</v>
      </c>
    </row>
    <row r="7" spans="2:48" ht="16.5" customHeight="1" x14ac:dyDescent="0.25">
      <c r="K7" s="6" t="s">
        <v>52</v>
      </c>
      <c r="L7" s="8">
        <v>0.05</v>
      </c>
      <c r="M7" s="78" t="s">
        <v>16</v>
      </c>
      <c r="N7" s="78"/>
      <c r="O7" s="78"/>
      <c r="Z7" s="1">
        <v>4.1899214693004699E-2</v>
      </c>
      <c r="AA7" s="1">
        <f t="shared" si="0"/>
        <v>0.46089136162305167</v>
      </c>
      <c r="AB7" s="1">
        <v>1.75851811279416</v>
      </c>
      <c r="AC7" s="1"/>
      <c r="AD7" s="1">
        <v>4.3366892373485399E-2</v>
      </c>
      <c r="AE7" s="1">
        <f t="shared" si="1"/>
        <v>0.53374636767366646</v>
      </c>
      <c r="AF7" s="1">
        <v>2.63549654364824</v>
      </c>
      <c r="AG7" s="1"/>
      <c r="AH7" s="1">
        <v>4.0431537012524103E-2</v>
      </c>
      <c r="AI7" s="1">
        <f t="shared" si="2"/>
        <v>1.4555353324508677</v>
      </c>
      <c r="AJ7" s="1">
        <v>3.0739857590752799</v>
      </c>
      <c r="AK7" s="1"/>
      <c r="AL7" s="1"/>
      <c r="AM7" s="1"/>
      <c r="AO7" s="1" t="s">
        <v>1</v>
      </c>
      <c r="AP7" s="2" t="s">
        <v>5</v>
      </c>
      <c r="AQ7" s="1">
        <f>8/0.65*L13</f>
        <v>3.6163016655199884</v>
      </c>
    </row>
    <row r="8" spans="2:48" ht="16.5" customHeight="1" x14ac:dyDescent="0.25">
      <c r="K8" s="6" t="s">
        <v>36</v>
      </c>
      <c r="L8" s="8">
        <v>5</v>
      </c>
      <c r="M8" s="78" t="s">
        <v>17</v>
      </c>
      <c r="N8" s="78"/>
      <c r="O8" s="78"/>
      <c r="Q8" s="75" t="s">
        <v>33</v>
      </c>
      <c r="R8" s="75"/>
      <c r="S8" s="75"/>
      <c r="Z8" s="1">
        <v>5.6575991497810799E-2</v>
      </c>
      <c r="AA8" s="1">
        <f t="shared" si="0"/>
        <v>0.62233590647591874</v>
      </c>
      <c r="AB8" s="1">
        <v>1.8235655195859899</v>
      </c>
      <c r="AC8" s="1"/>
      <c r="AD8" s="1">
        <v>6.0979024539252601E-2</v>
      </c>
      <c r="AE8" s="1">
        <f t="shared" si="1"/>
        <v>0.75051107125233962</v>
      </c>
      <c r="AF8" s="1">
        <v>2.63549654364824</v>
      </c>
      <c r="AG8" s="1"/>
      <c r="AH8" s="1">
        <v>4.9237603095407798E-2</v>
      </c>
      <c r="AI8" s="1">
        <f t="shared" si="2"/>
        <v>1.7725537114346808</v>
      </c>
      <c r="AJ8" s="1">
        <v>3.13496770294261</v>
      </c>
      <c r="AK8" s="1"/>
      <c r="AL8" s="1"/>
      <c r="AM8" s="1"/>
      <c r="AP8" s="2" t="s">
        <v>6</v>
      </c>
      <c r="AQ8" s="1" cm="1">
        <f t="array" ref="AQ8">_xlfn.LET(_xlpm.x,L13,_xlpm.xs,AD4:AD86,_xlpm.ys,AF4:AF86,_xlpm.coeff,LINEST(AF4:AF86,AD4:AD86^{1,2,3,4,5,6}),SUMPRODUCT(_xlpm.coeff,_xlpm.x^{6,5,4,3,2,1,0}))</f>
        <v>4.2947530439290116</v>
      </c>
    </row>
    <row r="9" spans="2:48" ht="16.5" customHeight="1" x14ac:dyDescent="0.25">
      <c r="K9" s="6" t="s">
        <v>9</v>
      </c>
      <c r="L9" s="8">
        <v>1500</v>
      </c>
      <c r="M9" s="78" t="s">
        <v>27</v>
      </c>
      <c r="N9" s="78"/>
      <c r="O9" s="78"/>
      <c r="Q9" s="4">
        <v>0</v>
      </c>
      <c r="R9" s="76" t="s">
        <v>34</v>
      </c>
      <c r="S9" s="76"/>
      <c r="Z9" s="1">
        <v>7.1252768302616801E-2</v>
      </c>
      <c r="AA9" s="1">
        <f t="shared" si="0"/>
        <v>0.78378045132878482</v>
      </c>
      <c r="AB9" s="1">
        <v>1.8897744872133799</v>
      </c>
      <c r="AC9" s="1"/>
      <c r="AD9" s="1">
        <v>7.8591156705019802E-2</v>
      </c>
      <c r="AE9" s="1">
        <f t="shared" si="1"/>
        <v>0.9672757748310129</v>
      </c>
      <c r="AF9" s="1">
        <v>2.6393684131001298</v>
      </c>
      <c r="AG9" s="1"/>
      <c r="AH9" s="1">
        <v>5.2172958456368997E-2</v>
      </c>
      <c r="AI9" s="1">
        <f t="shared" si="2"/>
        <v>1.8782265044292838</v>
      </c>
      <c r="AJ9" s="1">
        <v>3.2075652551656302</v>
      </c>
      <c r="AK9" s="1"/>
      <c r="AO9" s="1" t="s">
        <v>23</v>
      </c>
      <c r="AP9" s="2" t="s">
        <v>5</v>
      </c>
      <c r="AQ9" s="1">
        <f>9/0.25*L13</f>
        <v>10.577682371645967</v>
      </c>
    </row>
    <row r="10" spans="2:48" ht="16.5" customHeight="1" x14ac:dyDescent="0.25">
      <c r="K10" s="6" t="s">
        <v>37</v>
      </c>
      <c r="L10" s="8">
        <v>65</v>
      </c>
      <c r="M10" s="78" t="s">
        <v>40</v>
      </c>
      <c r="N10" s="78"/>
      <c r="O10" s="78"/>
      <c r="Q10" s="5">
        <v>0.5</v>
      </c>
      <c r="R10" s="77" t="s">
        <v>54</v>
      </c>
      <c r="S10" s="77"/>
      <c r="Z10" s="1">
        <v>8.5929545107422803E-2</v>
      </c>
      <c r="AA10" s="1">
        <f t="shared" si="0"/>
        <v>0.94522499618165079</v>
      </c>
      <c r="AB10" s="1">
        <v>1.96062969818305</v>
      </c>
      <c r="AD10" s="1">
        <v>9.6203288870787093E-2</v>
      </c>
      <c r="AE10" s="1">
        <f t="shared" si="1"/>
        <v>1.1840404784096872</v>
      </c>
      <c r="AF10" s="1">
        <v>2.66066369508555</v>
      </c>
      <c r="AH10" s="1">
        <v>5.5108313817330203E-2</v>
      </c>
      <c r="AI10" s="1">
        <f t="shared" si="2"/>
        <v>1.9838992974238874</v>
      </c>
      <c r="AJ10" s="1">
        <v>3.29468231783326</v>
      </c>
      <c r="AK10" s="1"/>
      <c r="AP10" s="2" t="s">
        <v>6</v>
      </c>
      <c r="AQ10" s="1" cm="1">
        <f t="array" ref="AQ10">_xlfn.LET(_xlpm.x,L13,_xlpm.xs,AH4:AH61,_xlpm.ys,AJ4:AJ61,_xlpm.coeff,LINEST(AJ4:AJ61,AH4:AH61^{1,2,3,4,5,6}),SUMPRODUCT(_xlpm.coeff,_xlpm.x^{6,5,4,3,2,1,0}))</f>
        <v>-205.28332778616263</v>
      </c>
    </row>
    <row r="11" spans="2:48" ht="16.5" customHeight="1" x14ac:dyDescent="0.25">
      <c r="K11" s="6" t="s">
        <v>55</v>
      </c>
      <c r="L11" s="9">
        <f>L4/L5</f>
        <v>0.5</v>
      </c>
      <c r="M11" s="79" t="s">
        <v>56</v>
      </c>
      <c r="N11" s="80"/>
      <c r="O11" s="81"/>
      <c r="Q11" s="5">
        <v>1</v>
      </c>
      <c r="R11" s="77" t="s">
        <v>35</v>
      </c>
      <c r="S11" s="77"/>
      <c r="Z11" s="1">
        <v>0.100606321912228</v>
      </c>
      <c r="AA11" s="1">
        <f t="shared" si="0"/>
        <v>1.106669541034508</v>
      </c>
      <c r="AB11" s="1">
        <v>2.0372927133305598</v>
      </c>
      <c r="AD11" s="1">
        <v>0.113815421036554</v>
      </c>
      <c r="AE11" s="1">
        <f t="shared" si="1"/>
        <v>1.4008051819883567</v>
      </c>
      <c r="AF11" s="1">
        <v>2.7109979979601802</v>
      </c>
      <c r="AH11" s="1">
        <v>5.8532895071784899E-2</v>
      </c>
      <c r="AI11" s="1">
        <f t="shared" si="2"/>
        <v>2.1071842225842565</v>
      </c>
      <c r="AJ11" s="1">
        <v>3.3963188909454902</v>
      </c>
      <c r="AO11" s="1" t="s">
        <v>3</v>
      </c>
      <c r="AP11" s="2" t="s">
        <v>5</v>
      </c>
      <c r="AQ11" s="1">
        <f>L13*8/0.03</f>
        <v>78.3532027529331</v>
      </c>
    </row>
    <row r="12" spans="2:48" ht="16.5" customHeight="1" x14ac:dyDescent="0.25">
      <c r="K12" s="6" t="s">
        <v>18</v>
      </c>
      <c r="L12" s="9">
        <f>_xlfn.LET(_xlpm.W,L3,_xlpm.B,L4/1000,_xlpm.D,L5/1000,_xlpm.R,L6/2000,_xlpm.c,L7/1000,_xlpm.mu,L8/1000,_xlpm.omega,2*PI()*L9/60,_xlpm.W/_xlpm.B/_xlpm.D/_xlpm.mu/_xlpm.omega*(_xlpm.c/_xlpm.R)^2)</f>
        <v>0.76394372684109757</v>
      </c>
      <c r="M12" s="78" t="s">
        <v>19</v>
      </c>
      <c r="N12" s="78"/>
      <c r="O12" s="78"/>
      <c r="Z12" s="1">
        <v>0.113815421036554</v>
      </c>
      <c r="AA12" s="1">
        <f t="shared" si="0"/>
        <v>1.2519696314020941</v>
      </c>
      <c r="AB12" s="1">
        <v>2.1127941676424999</v>
      </c>
      <c r="AD12" s="1">
        <v>0.12995987552184099</v>
      </c>
      <c r="AE12" s="1">
        <f t="shared" si="1"/>
        <v>1.5995061602688121</v>
      </c>
      <c r="AF12" s="1">
        <v>2.7818532089298502</v>
      </c>
      <c r="AH12" s="1">
        <v>6.1468250432746098E-2</v>
      </c>
      <c r="AI12" s="1">
        <f t="shared" si="2"/>
        <v>2.2128570155788596</v>
      </c>
      <c r="AJ12" s="1">
        <v>3.5124749745023198</v>
      </c>
      <c r="AP12" s="2"/>
    </row>
    <row r="13" spans="2:48" ht="16.5" customHeight="1" x14ac:dyDescent="0.25">
      <c r="K13" s="6" t="s">
        <v>38</v>
      </c>
      <c r="L13" s="9">
        <f>_xlfn.LET(_xlpm.W,L3,_xlpm.B,L4/1000,_xlpm.D,L5/1000,_xlpm.R,L6/2000,_xlpm.c,L7/1000,_xlpm.mu,L8/1000,_xlpm.omegak,2*PI()*L10,_xlpm.W/_xlpm.B/_xlpm.D/_xlpm.mu/_xlpm.omegak*(_xlpm.c/_xlpm.R)^2)</f>
        <v>0.2938245103234991</v>
      </c>
      <c r="M13" s="78" t="s">
        <v>20</v>
      </c>
      <c r="N13" s="78"/>
      <c r="O13" s="78"/>
      <c r="Z13" s="1">
        <v>0.125556842480399</v>
      </c>
      <c r="AA13" s="1">
        <f t="shared" si="0"/>
        <v>1.381125267284389</v>
      </c>
      <c r="AB13" s="1">
        <v>2.1853917198655202</v>
      </c>
      <c r="AD13" s="1">
        <v>0.14316897464616599</v>
      </c>
      <c r="AE13" s="1">
        <f t="shared" si="1"/>
        <v>1.762079687952812</v>
      </c>
      <c r="AF13" s="1">
        <v>2.8561931024062202</v>
      </c>
      <c r="AH13" s="1">
        <v>6.4403605793707297E-2</v>
      </c>
      <c r="AI13" s="1">
        <f t="shared" si="2"/>
        <v>2.3185298085734627</v>
      </c>
      <c r="AJ13" s="1">
        <v>3.6344388622369901</v>
      </c>
    </row>
    <row r="14" spans="2:48" ht="16.5" customHeight="1" x14ac:dyDescent="0.25">
      <c r="K14" s="7" t="s">
        <v>39</v>
      </c>
      <c r="L14" s="9">
        <f>L9/60/L10</f>
        <v>0.38461538461538464</v>
      </c>
      <c r="M14" s="78" t="s">
        <v>53</v>
      </c>
      <c r="N14" s="78"/>
      <c r="O14" s="78"/>
      <c r="Z14" s="1">
        <v>0.13729826392424399</v>
      </c>
      <c r="AA14" s="1">
        <f t="shared" si="0"/>
        <v>1.510280903166684</v>
      </c>
      <c r="AB14" s="1">
        <v>2.2579892720885399</v>
      </c>
      <c r="AD14" s="1">
        <v>0.15344271840953</v>
      </c>
      <c r="AE14" s="1">
        <f t="shared" si="1"/>
        <v>1.8885257650403691</v>
      </c>
      <c r="AF14" s="1">
        <v>2.92782268726627</v>
      </c>
      <c r="AH14" s="1">
        <v>6.6849735261175006E-2</v>
      </c>
      <c r="AI14" s="1">
        <f t="shared" si="2"/>
        <v>2.4065904694023001</v>
      </c>
      <c r="AJ14" s="1">
        <v>3.7476910437048998</v>
      </c>
      <c r="AO14" s="15" t="s">
        <v>24</v>
      </c>
      <c r="AP14" s="1">
        <v>0</v>
      </c>
    </row>
    <row r="15" spans="2:48" ht="16.5" customHeight="1" x14ac:dyDescent="0.25">
      <c r="K15" s="87" t="s">
        <v>41</v>
      </c>
      <c r="L15" s="87"/>
      <c r="M15" s="87"/>
      <c r="N15" s="87"/>
      <c r="O15" s="87"/>
      <c r="Z15" s="1">
        <v>0.14903968536808801</v>
      </c>
      <c r="AA15" s="1">
        <f t="shared" si="0"/>
        <v>1.639436539048968</v>
      </c>
      <c r="AB15" s="1">
        <v>2.3407504816227802</v>
      </c>
      <c r="AD15" s="1">
        <v>0.16224878449241401</v>
      </c>
      <c r="AE15" s="1">
        <f t="shared" si="1"/>
        <v>1.9969081168297107</v>
      </c>
      <c r="AF15" s="1">
        <v>2.9955804026744199</v>
      </c>
      <c r="AH15" s="1">
        <v>6.9785090622136198E-2</v>
      </c>
      <c r="AI15" s="1">
        <f t="shared" si="2"/>
        <v>2.5122632623969032</v>
      </c>
      <c r="AJ15" s="1">
        <v>3.8841744418841802</v>
      </c>
      <c r="AO15" s="15" t="s">
        <v>25</v>
      </c>
      <c r="AP15" s="1">
        <v>1</v>
      </c>
    </row>
    <row r="16" spans="2:48" ht="16.5" customHeight="1" x14ac:dyDescent="0.25">
      <c r="K16" s="34"/>
      <c r="L16" s="34"/>
      <c r="M16" s="34"/>
      <c r="N16" s="34"/>
      <c r="O16" s="34"/>
      <c r="Z16" s="1">
        <v>0.15931342913145299</v>
      </c>
      <c r="AA16" s="1">
        <f t="shared" si="0"/>
        <v>1.752447720445983</v>
      </c>
      <c r="AB16" s="1">
        <v>2.4147999848902599</v>
      </c>
      <c r="AD16" s="1">
        <v>0.17105485057529701</v>
      </c>
      <c r="AE16" s="1">
        <f t="shared" si="1"/>
        <v>2.1052904686190401</v>
      </c>
      <c r="AF16" s="1">
        <v>3.0749537264382498</v>
      </c>
      <c r="AH16" s="1">
        <v>6.8317412941655595E-2</v>
      </c>
      <c r="AI16" s="1">
        <f t="shared" si="2"/>
        <v>2.4594268658996015</v>
      </c>
      <c r="AJ16" s="1">
        <v>3.80867298757224</v>
      </c>
      <c r="AO16" s="15" t="s">
        <v>26</v>
      </c>
      <c r="AP16" s="1">
        <v>2</v>
      </c>
    </row>
    <row r="17" spans="11:36" ht="16.5" customHeight="1" x14ac:dyDescent="0.25">
      <c r="K17" s="12" t="s">
        <v>4</v>
      </c>
      <c r="L17" s="11" t="str" cm="1">
        <f t="array" ref="L17">_xlfn.IFS(L14&lt;=AQ3,"STABLE",L14&lt;=AQ4,"TRANSITION",L14&gt;AQ4,"UNSTABLE")</f>
        <v>TRANSITION</v>
      </c>
      <c r="M17" s="10">
        <f>VLOOKUP(L17,$AO$14:$AP$16,2,FALSE)</f>
        <v>1</v>
      </c>
      <c r="Z17" s="1">
        <v>0.168119495214336</v>
      </c>
      <c r="AA17" s="1">
        <f t="shared" si="0"/>
        <v>1.8493144473576959</v>
      </c>
      <c r="AB17" s="1">
        <v>2.4844936350243598</v>
      </c>
      <c r="AD17" s="1">
        <v>0.17986091665818099</v>
      </c>
      <c r="AE17" s="1">
        <f t="shared" si="1"/>
        <v>2.2136728204083811</v>
      </c>
      <c r="AF17" s="1">
        <v>3.1543270502020899</v>
      </c>
      <c r="AH17" s="1">
        <v>7.2720445983097404E-2</v>
      </c>
      <c r="AI17" s="1">
        <f t="shared" si="2"/>
        <v>2.6179360553915068</v>
      </c>
      <c r="AJ17" s="1">
        <v>4.0235617421523804</v>
      </c>
    </row>
    <row r="18" spans="11:36" ht="16.5" customHeight="1" x14ac:dyDescent="0.25">
      <c r="K18" s="31" t="s">
        <v>21</v>
      </c>
      <c r="L18" s="32" t="str" cm="1">
        <f t="array" ref="L18">_xlfn.IFS(L14&lt;=AQ5,"STABLE",L14&lt;=AQ6,"TRANSITION",L14&gt;AQ6,"UNSTABLE")</f>
        <v>STABLE</v>
      </c>
      <c r="M18" s="10">
        <f>VLOOKUP(L18,$AO$14:$AP$16,2,FALSE)</f>
        <v>0</v>
      </c>
      <c r="Z18" s="1">
        <v>0.17692556129722001</v>
      </c>
      <c r="AA18" s="1">
        <f t="shared" si="0"/>
        <v>1.9461811742694202</v>
      </c>
      <c r="AB18" s="1">
        <v>2.5541872851584602</v>
      </c>
      <c r="AD18" s="1">
        <v>0.188666982741065</v>
      </c>
      <c r="AE18" s="1">
        <f t="shared" si="1"/>
        <v>2.3220551721977229</v>
      </c>
      <c r="AF18" s="1">
        <v>3.24338004759566</v>
      </c>
      <c r="AH18" s="1">
        <v>7.1252768302616801E-2</v>
      </c>
      <c r="AI18" s="1">
        <f t="shared" si="2"/>
        <v>2.565099658894205</v>
      </c>
      <c r="AJ18" s="1">
        <v>3.9480602878404398</v>
      </c>
    </row>
    <row r="19" spans="11:36" ht="16.5" customHeight="1" x14ac:dyDescent="0.25">
      <c r="K19" s="33" t="s">
        <v>22</v>
      </c>
      <c r="L19" s="32" t="str" cm="1">
        <f t="array" ref="L19">_xlfn.IFS(L14&lt;=AQ7,"STABLE",L14&lt;=AQ8,"TRANSITION",L14&gt;AQ8,"UNSTABLE")</f>
        <v>STABLE</v>
      </c>
      <c r="M19" s="10">
        <f>VLOOKUP(L19,$AO$14:$AP$16,2,FALSE)</f>
        <v>0</v>
      </c>
      <c r="Z19" s="1">
        <v>0.18573162738010299</v>
      </c>
      <c r="AA19" s="1">
        <f t="shared" si="0"/>
        <v>2.0430479011811329</v>
      </c>
      <c r="AB19" s="1">
        <v>2.6296887394703998</v>
      </c>
      <c r="AD19" s="1">
        <v>0.19747304882394801</v>
      </c>
      <c r="AE19" s="1">
        <f t="shared" si="1"/>
        <v>2.4304375239870524</v>
      </c>
      <c r="AF19" s="1">
        <v>3.3266252408113899</v>
      </c>
      <c r="AH19" s="1">
        <v>7.5655801344058596E-2</v>
      </c>
      <c r="AI19" s="1">
        <f t="shared" si="2"/>
        <v>2.7236088483861094</v>
      </c>
      <c r="AJ19" s="1">
        <v>4.1658529445094903</v>
      </c>
    </row>
    <row r="20" spans="11:36" ht="16.5" customHeight="1" x14ac:dyDescent="0.25">
      <c r="K20" s="13" t="s">
        <v>2</v>
      </c>
      <c r="L20" s="11" t="str" cm="1">
        <f t="array" ref="L20">_xlfn.IFS(L14&lt;=AQ9,"STABLE",L14&lt;=AQ10,"TRANSITION",L14&gt;AQ10,"UNSTABLE")</f>
        <v>STABLE</v>
      </c>
      <c r="M20" s="10">
        <f>VLOOKUP(L20,$AO$14:$AP$16,2,FALSE)</f>
        <v>0</v>
      </c>
      <c r="Z20" s="1">
        <v>0.19453769346298699</v>
      </c>
      <c r="AA20" s="1">
        <f t="shared" si="0"/>
        <v>2.1399146280928569</v>
      </c>
      <c r="AB20" s="1">
        <v>2.7013183243304399</v>
      </c>
      <c r="AD20" s="1">
        <v>0.20627911490683201</v>
      </c>
      <c r="AE20" s="1">
        <f t="shared" si="1"/>
        <v>2.5388198757763938</v>
      </c>
      <c r="AF20" s="1">
        <v>3.4098704340271202</v>
      </c>
      <c r="AH20" s="1">
        <v>7.4188123663578007E-2</v>
      </c>
      <c r="AI20" s="1">
        <f t="shared" si="2"/>
        <v>2.6707724518888081</v>
      </c>
      <c r="AJ20" s="1">
        <v>4.0874475881086303</v>
      </c>
    </row>
    <row r="21" spans="11:36" ht="16.5" customHeight="1" x14ac:dyDescent="0.25">
      <c r="K21" s="14" t="s">
        <v>3</v>
      </c>
      <c r="L21" s="11" t="str" cm="1">
        <f t="array" ref="L21">_xlfn.IFS(L14&lt;=AM4,"STABLE",L14&lt;=AQ11,"STABLE",L14&gt;AQ11,"UNSTABLE")</f>
        <v>STABLE</v>
      </c>
      <c r="M21" s="10">
        <f>VLOOKUP(L21,$AO$14:$AP$16,2,FALSE)</f>
        <v>0</v>
      </c>
      <c r="Z21" s="1">
        <v>0.203343759545871</v>
      </c>
      <c r="AA21" s="1">
        <f t="shared" si="0"/>
        <v>2.236781355004581</v>
      </c>
      <c r="AB21" s="1">
        <v>2.77875571336833</v>
      </c>
      <c r="AD21" s="1">
        <v>0.21508518098971599</v>
      </c>
      <c r="AE21" s="1">
        <f t="shared" si="1"/>
        <v>2.6472022275657352</v>
      </c>
      <c r="AF21" s="1">
        <v>3.4989234314206898</v>
      </c>
      <c r="AH21" s="1">
        <v>7.8591156705019802E-2</v>
      </c>
      <c r="AI21" s="1">
        <f t="shared" si="2"/>
        <v>2.8292816413807129</v>
      </c>
      <c r="AJ21" s="1">
        <v>4.3139519510444497</v>
      </c>
    </row>
    <row r="22" spans="11:36" ht="16.5" customHeight="1" x14ac:dyDescent="0.25">
      <c r="Z22" s="1">
        <v>0.21214982562875401</v>
      </c>
      <c r="AA22" s="1">
        <f t="shared" si="0"/>
        <v>2.3336480819162939</v>
      </c>
      <c r="AB22" s="1">
        <v>2.8542571676802702</v>
      </c>
      <c r="AD22" s="1">
        <v>0.22242356939211899</v>
      </c>
      <c r="AE22" s="1">
        <f t="shared" si="1"/>
        <v>2.7375208540568488</v>
      </c>
      <c r="AF22" s="1">
        <v>3.57055301628073</v>
      </c>
      <c r="AH22" s="1">
        <v>7.7123479024539199E-2</v>
      </c>
      <c r="AI22" s="1">
        <f t="shared" si="2"/>
        <v>2.7764452448834112</v>
      </c>
      <c r="AJ22" s="1">
        <v>4.2384504967325096</v>
      </c>
    </row>
    <row r="23" spans="11:36" ht="16.5" customHeight="1" x14ac:dyDescent="0.25">
      <c r="Z23" s="1">
        <v>0.22095589171163799</v>
      </c>
      <c r="AA23" s="1">
        <f t="shared" si="0"/>
        <v>2.430514808828018</v>
      </c>
      <c r="AB23" s="1">
        <v>2.9316945567181598</v>
      </c>
      <c r="AD23" s="1">
        <v>0.22829428011404099</v>
      </c>
      <c r="AE23" s="1">
        <f t="shared" si="1"/>
        <v>2.8097757552497349</v>
      </c>
      <c r="AF23" s="1">
        <v>3.6315349601480702</v>
      </c>
      <c r="AH23" s="1">
        <v>8.1526512065980994E-2</v>
      </c>
      <c r="AI23" s="1">
        <f t="shared" si="2"/>
        <v>2.9349544343753156</v>
      </c>
      <c r="AJ23" s="1">
        <v>4.4562431534015703</v>
      </c>
    </row>
    <row r="24" spans="11:36" ht="16.5" customHeight="1" x14ac:dyDescent="0.25">
      <c r="K24" s="3"/>
      <c r="L24" s="1"/>
      <c r="Z24" s="1">
        <v>0.22976195779452199</v>
      </c>
      <c r="AA24" s="1">
        <f t="shared" si="0"/>
        <v>2.527381535739742</v>
      </c>
      <c r="AB24" s="1">
        <v>3.0110678804819901</v>
      </c>
      <c r="AD24" s="1">
        <v>0.23563266851644399</v>
      </c>
      <c r="AE24" s="1">
        <f t="shared" si="1"/>
        <v>2.9000943817408489</v>
      </c>
      <c r="AF24" s="1">
        <v>3.7080043818229802</v>
      </c>
      <c r="AH24" s="1">
        <v>8.0058834385500405E-2</v>
      </c>
      <c r="AI24" s="1">
        <f t="shared" si="2"/>
        <v>2.8821180378780147</v>
      </c>
      <c r="AJ24" s="1">
        <v>4.3778377970007103</v>
      </c>
    </row>
    <row r="25" spans="11:36" ht="16.5" customHeight="1" x14ac:dyDescent="0.25">
      <c r="K25" s="3"/>
      <c r="L25" s="1"/>
      <c r="Z25" s="1">
        <v>0.238568023877405</v>
      </c>
      <c r="AA25" s="1">
        <f t="shared" si="0"/>
        <v>2.6242482626514549</v>
      </c>
      <c r="AB25" s="1">
        <v>3.0923771389717798</v>
      </c>
      <c r="AD25" s="1">
        <v>0.24443873459932799</v>
      </c>
      <c r="AE25" s="1">
        <f t="shared" si="1"/>
        <v>3.0084767335301903</v>
      </c>
      <c r="AF25" s="1">
        <v>3.7931855097646601</v>
      </c>
      <c r="AH25" s="1">
        <v>8.4461867426942297E-2</v>
      </c>
      <c r="AI25" s="1">
        <f t="shared" si="2"/>
        <v>3.0406272273699226</v>
      </c>
      <c r="AJ25" s="1">
        <v>4.6043421599365297</v>
      </c>
    </row>
    <row r="26" spans="11:36" ht="16.5" customHeight="1" x14ac:dyDescent="0.25">
      <c r="K26" s="3"/>
      <c r="L26" s="1"/>
      <c r="Z26" s="1">
        <v>0.24737408996028901</v>
      </c>
      <c r="AA26" s="1">
        <f t="shared" si="0"/>
        <v>2.721114989563179</v>
      </c>
      <c r="AB26" s="1">
        <v>3.1736863974615601</v>
      </c>
      <c r="AD26" s="1">
        <v>0.253244800682211</v>
      </c>
      <c r="AE26" s="1">
        <f t="shared" si="1"/>
        <v>3.1168590853195197</v>
      </c>
      <c r="AF26" s="1">
        <v>3.8841744418841802</v>
      </c>
      <c r="AH26" s="1">
        <v>8.2994189746461597E-2</v>
      </c>
      <c r="AI26" s="1">
        <f t="shared" si="2"/>
        <v>2.9877908308726173</v>
      </c>
      <c r="AJ26" s="1">
        <v>4.5288407056245896</v>
      </c>
    </row>
    <row r="27" spans="11:36" ht="16.5" customHeight="1" x14ac:dyDescent="0.25">
      <c r="K27" s="3"/>
      <c r="L27" s="1"/>
      <c r="Z27" s="1">
        <v>0.25618015604317201</v>
      </c>
      <c r="AA27" s="1">
        <f t="shared" si="0"/>
        <v>2.8179817164748924</v>
      </c>
      <c r="AB27" s="1">
        <v>3.2608034601291802</v>
      </c>
      <c r="AD27" s="1">
        <v>0.26205086676509498</v>
      </c>
      <c r="AE27" s="1">
        <f t="shared" si="1"/>
        <v>3.2252414371088611</v>
      </c>
      <c r="AF27" s="1">
        <v>3.9693555698258498</v>
      </c>
      <c r="AH27" s="1">
        <v>8.7397222787903503E-2</v>
      </c>
      <c r="AI27" s="1">
        <f t="shared" si="2"/>
        <v>3.1463000203645262</v>
      </c>
      <c r="AJ27" s="1">
        <v>4.7437294602047304</v>
      </c>
    </row>
    <row r="28" spans="11:36" ht="16.5" customHeight="1" x14ac:dyDescent="0.25">
      <c r="K28" s="3"/>
      <c r="L28" s="1"/>
      <c r="Z28" s="1">
        <v>0.26498622212605599</v>
      </c>
      <c r="AA28" s="1">
        <f t="shared" si="0"/>
        <v>2.914848443386616</v>
      </c>
      <c r="AB28" s="1">
        <v>3.3459845880708601</v>
      </c>
      <c r="AD28" s="1">
        <v>0.27085693284797802</v>
      </c>
      <c r="AE28" s="1">
        <f t="shared" si="1"/>
        <v>3.3336237888981906</v>
      </c>
      <c r="AF28" s="1">
        <v>4.0564726324934801</v>
      </c>
      <c r="AH28" s="1">
        <v>8.5929545107422803E-2</v>
      </c>
      <c r="AI28" s="1">
        <f t="shared" si="2"/>
        <v>3.0934636238672208</v>
      </c>
      <c r="AJ28" s="1">
        <v>4.6682280058927903</v>
      </c>
    </row>
    <row r="29" spans="11:36" ht="16.5" customHeight="1" x14ac:dyDescent="0.25">
      <c r="Z29" s="1">
        <v>0.27379228820894003</v>
      </c>
      <c r="AA29" s="1">
        <f t="shared" si="0"/>
        <v>3.0117151702983405</v>
      </c>
      <c r="AB29" s="1">
        <v>3.4350375854644302</v>
      </c>
      <c r="AD29" s="1">
        <v>0.27819532125038099</v>
      </c>
      <c r="AE29" s="1">
        <f t="shared" si="1"/>
        <v>3.4239424153893041</v>
      </c>
      <c r="AF29" s="1">
        <v>4.1281022173535202</v>
      </c>
      <c r="AH29" s="1">
        <v>9.0332578148864695E-2</v>
      </c>
      <c r="AI29" s="1">
        <f t="shared" si="2"/>
        <v>3.2519728133591288</v>
      </c>
      <c r="AJ29" s="1">
        <v>4.8831167604729302</v>
      </c>
    </row>
    <row r="30" spans="11:36" ht="16.5" customHeight="1" x14ac:dyDescent="0.25">
      <c r="Z30" s="1">
        <v>0.281130676611343</v>
      </c>
      <c r="AA30" s="1">
        <f t="shared" si="0"/>
        <v>3.0924374427247732</v>
      </c>
      <c r="AB30" s="1">
        <v>3.5066671703244801</v>
      </c>
      <c r="AD30" s="1">
        <v>0.28553370965278402</v>
      </c>
      <c r="AE30" s="1">
        <f t="shared" si="1"/>
        <v>3.5142610418804185</v>
      </c>
      <c r="AF30" s="1">
        <v>4.2036036716654603</v>
      </c>
      <c r="AH30" s="1">
        <v>8.8864900468383995E-2</v>
      </c>
      <c r="AI30" s="1">
        <f t="shared" si="2"/>
        <v>3.1991364168618239</v>
      </c>
      <c r="AJ30" s="1">
        <v>4.8076153061609901</v>
      </c>
    </row>
    <row r="31" spans="11:36" ht="16.5" customHeight="1" x14ac:dyDescent="0.25">
      <c r="Z31" s="1">
        <v>0.28700138733326502</v>
      </c>
      <c r="AA31" s="1">
        <f t="shared" si="0"/>
        <v>3.1570152606659154</v>
      </c>
      <c r="AB31" s="1">
        <v>3.5676491141918101</v>
      </c>
      <c r="AD31" s="1">
        <v>0.294339775735668</v>
      </c>
      <c r="AE31" s="1">
        <f t="shared" si="1"/>
        <v>3.6226433936697595</v>
      </c>
      <c r="AF31" s="1">
        <v>4.2926566690590402</v>
      </c>
      <c r="AH31" s="1">
        <v>9.3757159403319398E-2</v>
      </c>
      <c r="AI31" s="1">
        <f t="shared" si="2"/>
        <v>3.3752577385194984</v>
      </c>
      <c r="AJ31" s="1">
        <v>5.0379915385486997</v>
      </c>
    </row>
    <row r="32" spans="11:36" ht="16.5" customHeight="1" x14ac:dyDescent="0.25">
      <c r="Z32" s="1">
        <v>0.294339775735668</v>
      </c>
      <c r="AA32" s="1">
        <f t="shared" si="0"/>
        <v>3.2377375330923481</v>
      </c>
      <c r="AB32" s="1">
        <v>3.6441185358667298</v>
      </c>
      <c r="AD32" s="1">
        <v>0.30314584181855198</v>
      </c>
      <c r="AE32" s="1">
        <f t="shared" si="1"/>
        <v>3.7310257454591009</v>
      </c>
      <c r="AF32" s="1">
        <v>4.3855815359044996</v>
      </c>
      <c r="AH32" s="1">
        <v>9.1800255829345298E-2</v>
      </c>
      <c r="AI32" s="1">
        <f t="shared" si="2"/>
        <v>3.3048092098564306</v>
      </c>
      <c r="AJ32" s="1">
        <v>4.9470026064291899</v>
      </c>
    </row>
    <row r="33" spans="26:37" ht="16.5" customHeight="1" x14ac:dyDescent="0.25">
      <c r="Z33" s="1">
        <v>0.30314584181855198</v>
      </c>
      <c r="AA33" s="1">
        <f t="shared" si="0"/>
        <v>3.3346042600040717</v>
      </c>
      <c r="AB33" s="1">
        <v>3.7370434027121902</v>
      </c>
      <c r="AD33" s="1">
        <v>0.310484230220955</v>
      </c>
      <c r="AE33" s="1">
        <f t="shared" si="1"/>
        <v>3.8213443719502149</v>
      </c>
      <c r="AF33" s="1">
        <v>4.4649548596683397</v>
      </c>
      <c r="AH33" s="1">
        <v>9.6692514764280604E-2</v>
      </c>
      <c r="AI33" s="1">
        <f t="shared" si="2"/>
        <v>3.4809305315141019</v>
      </c>
      <c r="AJ33" s="1">
        <v>5.1599554262833802</v>
      </c>
    </row>
    <row r="34" spans="26:37" ht="16.5" customHeight="1" x14ac:dyDescent="0.25">
      <c r="Z34" s="1">
        <v>0.31195190790143501</v>
      </c>
      <c r="AA34" s="1">
        <f t="shared" si="0"/>
        <v>3.4314709869157851</v>
      </c>
      <c r="AB34" s="1">
        <v>3.8319042042836</v>
      </c>
      <c r="AD34" s="1">
        <v>0.31782261862335798</v>
      </c>
      <c r="AE34" s="1">
        <f t="shared" si="1"/>
        <v>3.9116629984413285</v>
      </c>
      <c r="AF34" s="1">
        <v>4.5462641181581196</v>
      </c>
      <c r="AH34" s="1">
        <v>9.9627870125241796E-2</v>
      </c>
      <c r="AI34" s="1">
        <f t="shared" si="2"/>
        <v>3.5866033245087046</v>
      </c>
      <c r="AJ34" s="1">
        <v>5.2780474445661598</v>
      </c>
    </row>
    <row r="35" spans="26:37" x14ac:dyDescent="0.25">
      <c r="Z35" s="1">
        <v>0.31929029630383798</v>
      </c>
      <c r="AA35" s="1">
        <f t="shared" si="0"/>
        <v>3.5121932593422178</v>
      </c>
      <c r="AB35" s="1">
        <v>3.9132134627733901</v>
      </c>
      <c r="AD35" s="1">
        <v>0.32516100702576101</v>
      </c>
      <c r="AE35" s="1">
        <f t="shared" si="1"/>
        <v>4.0019816249324425</v>
      </c>
      <c r="AF35" s="1">
        <v>4.6275733766479004</v>
      </c>
      <c r="AH35" s="1">
        <v>0.102563225486203</v>
      </c>
      <c r="AI35" s="1">
        <f t="shared" si="2"/>
        <v>3.6922761175033081</v>
      </c>
      <c r="AJ35" s="1">
        <v>5.3942035281229899</v>
      </c>
    </row>
    <row r="36" spans="26:37" x14ac:dyDescent="0.25">
      <c r="Z36" s="1">
        <v>0.32516100702576101</v>
      </c>
      <c r="AA36" s="1">
        <f t="shared" si="0"/>
        <v>3.5767710772833712</v>
      </c>
      <c r="AB36" s="1">
        <v>3.97709930872964</v>
      </c>
      <c r="AD36" s="1">
        <v>0.33103171774768297</v>
      </c>
      <c r="AE36" s="1">
        <f t="shared" si="1"/>
        <v>4.0742365261253282</v>
      </c>
      <c r="AF36" s="1">
        <v>4.69145922260416</v>
      </c>
      <c r="AH36" s="1">
        <v>0.10500935495367</v>
      </c>
      <c r="AI36" s="1">
        <f t="shared" si="2"/>
        <v>3.7803367783321202</v>
      </c>
      <c r="AJ36" s="1">
        <v>5.5103596116798199</v>
      </c>
    </row>
    <row r="37" spans="26:37" x14ac:dyDescent="0.25">
      <c r="Z37" s="1">
        <v>0.33103171774768297</v>
      </c>
      <c r="AA37" s="1">
        <f t="shared" si="0"/>
        <v>3.6413488952245125</v>
      </c>
      <c r="AB37" s="1">
        <v>4.0409851546858997</v>
      </c>
      <c r="AD37" s="1">
        <v>0.336902428469606</v>
      </c>
      <c r="AE37" s="1">
        <f t="shared" si="1"/>
        <v>4.1464914273182272</v>
      </c>
      <c r="AF37" s="1">
        <v>4.7553450685604099</v>
      </c>
      <c r="AH37" s="1">
        <v>0.107944710314631</v>
      </c>
      <c r="AI37" s="1">
        <f t="shared" si="2"/>
        <v>3.8860095713267162</v>
      </c>
      <c r="AJ37" s="1">
        <v>5.6149000868809704</v>
      </c>
    </row>
    <row r="38" spans="26:37" x14ac:dyDescent="0.25">
      <c r="Z38" s="1">
        <v>0.336902428469606</v>
      </c>
      <c r="AA38" s="1">
        <f t="shared" si="0"/>
        <v>3.7059267131656659</v>
      </c>
      <c r="AB38" s="1">
        <v>4.1077749027310801</v>
      </c>
      <c r="AD38" s="1">
        <v>0.34277313919152802</v>
      </c>
      <c r="AE38" s="1">
        <f t="shared" si="1"/>
        <v>4.2187463285111138</v>
      </c>
      <c r="AF38" s="1">
        <v>4.8221348166055904</v>
      </c>
      <c r="AH38" s="1">
        <v>0.110880065675593</v>
      </c>
      <c r="AI38" s="1">
        <f t="shared" si="2"/>
        <v>3.9916823643213482</v>
      </c>
      <c r="AJ38" s="1">
        <v>5.7252483662599598</v>
      </c>
    </row>
    <row r="39" spans="26:37" x14ac:dyDescent="0.25">
      <c r="Z39" s="1">
        <v>0.34277313919152802</v>
      </c>
      <c r="AA39" s="1">
        <f t="shared" si="0"/>
        <v>3.7705045311068082</v>
      </c>
      <c r="AB39" s="1">
        <v>4.1745646507762597</v>
      </c>
      <c r="AD39" s="1">
        <v>0.34864384991344999</v>
      </c>
      <c r="AE39" s="1">
        <f t="shared" si="1"/>
        <v>4.2910012297039994</v>
      </c>
      <c r="AF39" s="1">
        <v>4.8860206625618501</v>
      </c>
      <c r="AH39" s="1">
        <v>0.113815421036554</v>
      </c>
      <c r="AI39" s="1">
        <f t="shared" si="2"/>
        <v>4.0973551573159437</v>
      </c>
      <c r="AJ39" s="1">
        <v>5.8355966456389501</v>
      </c>
      <c r="AK39" s="1"/>
    </row>
    <row r="40" spans="26:37" x14ac:dyDescent="0.25">
      <c r="Z40" s="1">
        <v>0.34864384991344999</v>
      </c>
      <c r="AA40" s="1">
        <f t="shared" si="0"/>
        <v>3.83508234904795</v>
      </c>
      <c r="AB40" s="1">
        <v>4.2384504967325096</v>
      </c>
      <c r="AD40" s="1">
        <v>0.35451456063537301</v>
      </c>
      <c r="AE40" s="1">
        <f t="shared" si="1"/>
        <v>4.3632561308968985</v>
      </c>
      <c r="AF40" s="1">
        <v>4.9528104106070296</v>
      </c>
      <c r="AH40" s="1">
        <v>0.11675077639751499</v>
      </c>
      <c r="AI40" s="1">
        <f t="shared" si="2"/>
        <v>4.2030279503105401</v>
      </c>
      <c r="AJ40" s="1">
        <v>5.9401371208400997</v>
      </c>
      <c r="AK40" s="1"/>
    </row>
    <row r="41" spans="26:37" x14ac:dyDescent="0.25">
      <c r="Z41" s="1">
        <v>0.35598223831585302</v>
      </c>
      <c r="AA41" s="1">
        <f t="shared" si="0"/>
        <v>3.9158046214743831</v>
      </c>
      <c r="AB41" s="1">
        <v>4.3197597552223002</v>
      </c>
      <c r="AD41" s="1">
        <v>0.36038527135729498</v>
      </c>
      <c r="AE41" s="1">
        <f t="shared" si="1"/>
        <v>4.4355110320897841</v>
      </c>
      <c r="AF41" s="1">
        <v>5.0166962565632804</v>
      </c>
      <c r="AH41" s="1">
        <v>0.11968613175847601</v>
      </c>
      <c r="AI41" s="1">
        <f t="shared" si="2"/>
        <v>4.3087007433051365</v>
      </c>
      <c r="AJ41" s="1">
        <v>6.0446775960412404</v>
      </c>
      <c r="AK41" s="1"/>
    </row>
    <row r="42" spans="26:37" x14ac:dyDescent="0.25">
      <c r="Z42" s="1">
        <v>0.36332062671825599</v>
      </c>
      <c r="AA42" s="1">
        <f t="shared" si="0"/>
        <v>3.9965268939008158</v>
      </c>
      <c r="AB42" s="1">
        <v>4.40106901371208</v>
      </c>
      <c r="AD42" s="1">
        <v>0.366255982079218</v>
      </c>
      <c r="AE42" s="1">
        <f t="shared" si="1"/>
        <v>4.5077659332826823</v>
      </c>
      <c r="AF42" s="1">
        <v>5.0805821025195401</v>
      </c>
      <c r="AH42" s="1">
        <v>0.122621487119437</v>
      </c>
      <c r="AI42" s="1">
        <f t="shared" si="2"/>
        <v>4.4143735362997321</v>
      </c>
      <c r="AJ42" s="1">
        <v>6.1492180712423901</v>
      </c>
      <c r="AK42" s="1"/>
    </row>
    <row r="43" spans="26:37" x14ac:dyDescent="0.25">
      <c r="Z43" s="1">
        <v>0.36919133744017901</v>
      </c>
      <c r="AA43" s="1">
        <f t="shared" si="0"/>
        <v>4.0611047118419688</v>
      </c>
      <c r="AB43" s="1">
        <v>4.4649548596683397</v>
      </c>
      <c r="AD43" s="1">
        <v>0.37212669280114002</v>
      </c>
      <c r="AE43" s="1">
        <f t="shared" si="1"/>
        <v>4.5800208344755688</v>
      </c>
      <c r="AF43" s="1">
        <v>5.1444679484757998</v>
      </c>
      <c r="AH43" s="1">
        <v>0.125556842480399</v>
      </c>
      <c r="AI43" s="1">
        <f t="shared" si="2"/>
        <v>4.520046329294364</v>
      </c>
      <c r="AJ43" s="1">
        <v>6.2508546443546198</v>
      </c>
    </row>
    <row r="44" spans="26:37" x14ac:dyDescent="0.25">
      <c r="Z44" s="1">
        <v>0.37506204816210098</v>
      </c>
      <c r="AA44" s="1">
        <f t="shared" si="0"/>
        <v>4.125682529783111</v>
      </c>
      <c r="AB44" s="1">
        <v>4.5288407056245896</v>
      </c>
      <c r="AD44" s="1">
        <v>0.37799740352306199</v>
      </c>
      <c r="AE44" s="1">
        <f t="shared" si="1"/>
        <v>4.6522757356684545</v>
      </c>
      <c r="AF44" s="1">
        <v>5.2083537944320604</v>
      </c>
      <c r="AH44" s="1">
        <v>0.12849219784136001</v>
      </c>
      <c r="AI44" s="1">
        <f t="shared" si="2"/>
        <v>4.6257191222889604</v>
      </c>
      <c r="AJ44" s="1">
        <v>6.3495873153779296</v>
      </c>
    </row>
    <row r="45" spans="26:37" x14ac:dyDescent="0.25">
      <c r="Z45" s="1">
        <v>0.380932758884024</v>
      </c>
      <c r="AA45" s="1">
        <f t="shared" si="0"/>
        <v>4.1902603477242639</v>
      </c>
      <c r="AB45" s="1">
        <v>4.5956304536697701</v>
      </c>
      <c r="AD45" s="1">
        <v>0.38386811424498501</v>
      </c>
      <c r="AE45" s="1">
        <f t="shared" si="1"/>
        <v>4.7245306368613535</v>
      </c>
      <c r="AF45" s="1">
        <v>5.2751435424772399</v>
      </c>
      <c r="AH45" s="1">
        <v>0.131427553202321</v>
      </c>
      <c r="AI45" s="1">
        <f t="shared" si="2"/>
        <v>4.731391915283556</v>
      </c>
      <c r="AJ45" s="1">
        <v>6.4541277905790704</v>
      </c>
    </row>
    <row r="46" spans="26:37" x14ac:dyDescent="0.25">
      <c r="Z46" s="1">
        <v>0.38680346960594603</v>
      </c>
      <c r="AA46" s="1">
        <f t="shared" si="0"/>
        <v>4.2548381656654062</v>
      </c>
      <c r="AB46" s="1">
        <v>4.6595162996260298</v>
      </c>
      <c r="AD46" s="1">
        <v>0.38973882496690698</v>
      </c>
      <c r="AE46" s="1">
        <f t="shared" si="1"/>
        <v>4.7967855380542392</v>
      </c>
      <c r="AF46" s="1">
        <v>5.3390293884334898</v>
      </c>
      <c r="AH46" s="1">
        <v>0.13436290856328201</v>
      </c>
      <c r="AI46" s="1">
        <f t="shared" si="2"/>
        <v>4.8370647082781524</v>
      </c>
      <c r="AJ46" s="1">
        <v>6.5557643636913001</v>
      </c>
    </row>
    <row r="47" spans="26:37" x14ac:dyDescent="0.25">
      <c r="Z47" s="1">
        <v>0.39267418032786899</v>
      </c>
      <c r="AA47" s="1">
        <f t="shared" si="0"/>
        <v>4.3194159836065591</v>
      </c>
      <c r="AB47" s="1">
        <v>4.7263060476712102</v>
      </c>
      <c r="AD47" s="1">
        <v>0.39560953568883001</v>
      </c>
      <c r="AE47" s="1">
        <f t="shared" si="1"/>
        <v>4.8690404392471383</v>
      </c>
      <c r="AF47" s="1">
        <v>5.4029152343897504</v>
      </c>
      <c r="AH47" s="1">
        <v>0.13729826392424399</v>
      </c>
      <c r="AI47" s="1">
        <f t="shared" si="2"/>
        <v>4.9427375012727834</v>
      </c>
      <c r="AJ47" s="1">
        <v>6.6603048388924497</v>
      </c>
    </row>
    <row r="48" spans="26:37" x14ac:dyDescent="0.25">
      <c r="Z48" s="1">
        <v>0.39854489104979102</v>
      </c>
      <c r="AA48" s="1">
        <f t="shared" si="0"/>
        <v>4.3839938015477014</v>
      </c>
      <c r="AB48" s="1">
        <v>4.7872879915385402</v>
      </c>
      <c r="AD48" s="1">
        <v>0.40148024641075197</v>
      </c>
      <c r="AE48" s="1">
        <f t="shared" si="1"/>
        <v>4.9412953404400239</v>
      </c>
      <c r="AF48" s="1">
        <v>5.4668010803460101</v>
      </c>
      <c r="AH48" s="1">
        <v>0.140233619285205</v>
      </c>
      <c r="AI48" s="1">
        <f t="shared" si="2"/>
        <v>5.0484102942673799</v>
      </c>
      <c r="AJ48" s="1">
        <v>6.7648453140936002</v>
      </c>
    </row>
    <row r="49" spans="26:36" x14ac:dyDescent="0.25">
      <c r="Z49" s="1">
        <v>0.40441560177171298</v>
      </c>
      <c r="AA49" s="1">
        <f t="shared" si="0"/>
        <v>4.4485716194888427</v>
      </c>
      <c r="AB49" s="1">
        <v>4.8540777395837198</v>
      </c>
      <c r="AD49" s="1">
        <v>0.407350957132675</v>
      </c>
      <c r="AE49" s="1">
        <f t="shared" si="1"/>
        <v>5.013550241632923</v>
      </c>
      <c r="AF49" s="1">
        <v>5.5335908283911897</v>
      </c>
      <c r="AH49" s="1">
        <v>0.14316897464616599</v>
      </c>
      <c r="AI49" s="1">
        <f t="shared" si="2"/>
        <v>5.1540830872619754</v>
      </c>
      <c r="AJ49" s="1">
        <v>6.8693857892947499</v>
      </c>
    </row>
    <row r="50" spans="26:36" x14ac:dyDescent="0.25">
      <c r="Z50" s="1">
        <v>0.41028631249363601</v>
      </c>
      <c r="AA50" s="1">
        <f t="shared" si="0"/>
        <v>4.5131494374299965</v>
      </c>
      <c r="AB50" s="1">
        <v>4.9179635855399804</v>
      </c>
      <c r="AD50" s="1">
        <v>0.41322166785459702</v>
      </c>
      <c r="AE50" s="1">
        <f t="shared" si="1"/>
        <v>5.0858051428258086</v>
      </c>
      <c r="AF50" s="1">
        <v>5.5945727722585197</v>
      </c>
      <c r="AH50" s="1">
        <v>0.146104330007127</v>
      </c>
      <c r="AI50" s="1">
        <f t="shared" si="2"/>
        <v>5.2597558802565718</v>
      </c>
      <c r="AJ50" s="1">
        <v>6.9739262644959004</v>
      </c>
    </row>
    <row r="51" spans="26:36" x14ac:dyDescent="0.25">
      <c r="Z51" s="1">
        <v>0.41615702321555798</v>
      </c>
      <c r="AA51" s="1">
        <f t="shared" si="0"/>
        <v>4.5777272553711379</v>
      </c>
      <c r="AB51" s="1">
        <v>4.98184943149624</v>
      </c>
      <c r="AD51" s="1">
        <v>0.41909237857651899</v>
      </c>
      <c r="AE51" s="1">
        <f t="shared" si="1"/>
        <v>5.1580600440186943</v>
      </c>
      <c r="AF51" s="1">
        <v>5.6613625203037001</v>
      </c>
      <c r="AH51" s="1">
        <v>0.14903968536808801</v>
      </c>
      <c r="AI51" s="1">
        <f t="shared" si="2"/>
        <v>5.3654286732511682</v>
      </c>
      <c r="AJ51" s="1">
        <v>7.0784667396970402</v>
      </c>
    </row>
    <row r="52" spans="26:36" x14ac:dyDescent="0.25">
      <c r="Z52" s="1">
        <v>0.422027733937481</v>
      </c>
      <c r="AA52" s="1">
        <f t="shared" si="0"/>
        <v>4.6423050733122908</v>
      </c>
      <c r="AB52" s="1">
        <v>5.0486391795414098</v>
      </c>
      <c r="AD52" s="1">
        <v>0.42496308929844201</v>
      </c>
      <c r="AE52" s="1">
        <f t="shared" si="1"/>
        <v>5.2303149452115933</v>
      </c>
      <c r="AF52" s="1">
        <v>5.7223444641710399</v>
      </c>
      <c r="AH52" s="1">
        <v>0.15197504072904999</v>
      </c>
      <c r="AI52" s="1">
        <f t="shared" si="2"/>
        <v>5.4711014662458002</v>
      </c>
      <c r="AJ52" s="1">
        <v>7.1830072148981898</v>
      </c>
    </row>
    <row r="53" spans="26:36" x14ac:dyDescent="0.25">
      <c r="Z53" s="1">
        <v>0.42789844465940302</v>
      </c>
      <c r="AA53" s="1">
        <f t="shared" si="0"/>
        <v>4.7068828912534331</v>
      </c>
      <c r="AB53" s="1">
        <v>5.1125250254976704</v>
      </c>
      <c r="AD53" s="1">
        <v>0.43083380002036398</v>
      </c>
      <c r="AE53" s="1">
        <f t="shared" si="1"/>
        <v>5.302569846404479</v>
      </c>
      <c r="AF53" s="1">
        <v>5.7891342122162097</v>
      </c>
      <c r="AH53" s="1">
        <v>0.154910396090011</v>
      </c>
      <c r="AI53" s="1">
        <f t="shared" si="2"/>
        <v>5.5767742592403966</v>
      </c>
      <c r="AJ53" s="1">
        <v>7.2875476900993403</v>
      </c>
    </row>
    <row r="54" spans="26:36" x14ac:dyDescent="0.25">
      <c r="Z54" s="1">
        <v>0.43376915538132499</v>
      </c>
      <c r="AA54" s="1">
        <f t="shared" si="0"/>
        <v>4.7714607091945744</v>
      </c>
      <c r="AB54" s="1">
        <v>5.17931477354285</v>
      </c>
      <c r="AD54" s="1">
        <v>0.436704510742287</v>
      </c>
      <c r="AE54" s="1">
        <f t="shared" si="1"/>
        <v>5.374824747597378</v>
      </c>
      <c r="AF54" s="1">
        <v>5.8530200581724703</v>
      </c>
      <c r="AH54" s="1">
        <v>0.15784575145097199</v>
      </c>
      <c r="AI54" s="1">
        <f t="shared" si="2"/>
        <v>5.6824470522349912</v>
      </c>
      <c r="AJ54" s="1">
        <v>7.39208816530049</v>
      </c>
    </row>
    <row r="55" spans="26:36" x14ac:dyDescent="0.25">
      <c r="Z55" s="1">
        <v>0.43963986610324801</v>
      </c>
      <c r="AA55" s="1">
        <f t="shared" si="0"/>
        <v>4.8360385271357282</v>
      </c>
      <c r="AB55" s="1">
        <v>5.2432006194991096</v>
      </c>
      <c r="AD55" s="1">
        <v>0.44257522146420902</v>
      </c>
      <c r="AE55" s="1">
        <f t="shared" si="1"/>
        <v>5.4470796487902646</v>
      </c>
      <c r="AF55" s="1">
        <v>5.91690590412873</v>
      </c>
      <c r="AH55" s="1">
        <v>0.160781106811933</v>
      </c>
      <c r="AI55" s="1">
        <f t="shared" si="2"/>
        <v>5.7881198452295877</v>
      </c>
      <c r="AJ55" s="1">
        <v>7.4966286405016396</v>
      </c>
    </row>
    <row r="56" spans="26:36" x14ac:dyDescent="0.25">
      <c r="Z56" s="1">
        <v>0.44551057682516998</v>
      </c>
      <c r="AA56" s="1">
        <f t="shared" si="0"/>
        <v>4.9006163450768696</v>
      </c>
      <c r="AB56" s="1">
        <v>5.3070864654553596</v>
      </c>
      <c r="AD56" s="1">
        <v>0.44844593218613099</v>
      </c>
      <c r="AE56" s="1">
        <f t="shared" si="1"/>
        <v>5.5193345499831503</v>
      </c>
      <c r="AF56" s="1">
        <v>5.9865995542628303</v>
      </c>
      <c r="AH56" s="1">
        <v>0.16371646217289401</v>
      </c>
      <c r="AI56" s="1">
        <f t="shared" si="2"/>
        <v>5.8937926382241841</v>
      </c>
      <c r="AJ56" s="1">
        <v>7.6011691157027901</v>
      </c>
    </row>
    <row r="57" spans="26:36" x14ac:dyDescent="0.25">
      <c r="Z57" s="1">
        <v>0.451381287547093</v>
      </c>
      <c r="AA57" s="1">
        <f t="shared" si="0"/>
        <v>4.9651941630180234</v>
      </c>
      <c r="AB57" s="1">
        <v>5.3709723114116201</v>
      </c>
      <c r="AD57" s="1">
        <v>0.45431664290805401</v>
      </c>
      <c r="AE57" s="1">
        <f t="shared" si="1"/>
        <v>5.5915894511760493</v>
      </c>
      <c r="AF57" s="1">
        <v>6.0562932043969298</v>
      </c>
      <c r="AH57" s="1">
        <v>0.16665181753385599</v>
      </c>
      <c r="AI57" s="1">
        <f t="shared" si="2"/>
        <v>5.999465431218816</v>
      </c>
      <c r="AJ57" s="1">
        <v>7.7086134929928596</v>
      </c>
    </row>
    <row r="58" spans="26:36" x14ac:dyDescent="0.25">
      <c r="Z58" s="1">
        <v>0.45725199826901503</v>
      </c>
      <c r="AA58" s="1">
        <f t="shared" si="0"/>
        <v>5.0297719809591657</v>
      </c>
      <c r="AB58" s="1">
        <v>5.4348581573678798</v>
      </c>
      <c r="AD58" s="1">
        <v>0.46018735362997598</v>
      </c>
      <c r="AE58" s="1">
        <f t="shared" si="1"/>
        <v>5.663844352368935</v>
      </c>
      <c r="AF58" s="1">
        <v>6.1201790503531797</v>
      </c>
      <c r="AH58" s="1">
        <v>0.16958717289481701</v>
      </c>
      <c r="AI58" s="1">
        <f t="shared" si="2"/>
        <v>6.1051382242134125</v>
      </c>
      <c r="AJ58" s="1">
        <v>7.8131539681940003</v>
      </c>
    </row>
    <row r="59" spans="26:36" x14ac:dyDescent="0.25">
      <c r="Z59" s="1">
        <v>0.46312270899093699</v>
      </c>
      <c r="AA59" s="1">
        <f t="shared" si="0"/>
        <v>5.094349798900307</v>
      </c>
      <c r="AB59" s="1">
        <v>5.5016479054130603</v>
      </c>
      <c r="AD59" s="1">
        <v>0.466058064351899</v>
      </c>
      <c r="AE59" s="1">
        <f t="shared" si="1"/>
        <v>5.7360992535618331</v>
      </c>
      <c r="AF59" s="1">
        <v>6.1927766025761999</v>
      </c>
      <c r="AH59" s="1">
        <v>0.17252252825577799</v>
      </c>
      <c r="AI59" s="1">
        <f t="shared" si="2"/>
        <v>6.210811017208008</v>
      </c>
      <c r="AJ59" s="1">
        <v>7.9089827371283903</v>
      </c>
    </row>
    <row r="60" spans="26:36" x14ac:dyDescent="0.25">
      <c r="Z60" s="1">
        <v>0.46899341971286002</v>
      </c>
      <c r="AA60" s="1">
        <f t="shared" si="0"/>
        <v>5.15892761684146</v>
      </c>
      <c r="AB60" s="1">
        <v>5.5655337513693102</v>
      </c>
      <c r="AD60" s="1">
        <v>0.47192877507382103</v>
      </c>
      <c r="AE60" s="1">
        <f t="shared" si="1"/>
        <v>5.8083541547547197</v>
      </c>
      <c r="AF60" s="1">
        <v>6.2653741547992201</v>
      </c>
      <c r="AH60" s="1">
        <v>0.173990205936259</v>
      </c>
      <c r="AI60" s="1">
        <f t="shared" si="2"/>
        <v>6.263647413705324</v>
      </c>
      <c r="AJ60" s="1">
        <v>7.9670607789068102</v>
      </c>
    </row>
    <row r="61" spans="26:36" x14ac:dyDescent="0.25">
      <c r="Z61" s="1">
        <v>0.47486413043478198</v>
      </c>
      <c r="AA61" s="1">
        <f t="shared" si="0"/>
        <v>5.2235054347826022</v>
      </c>
      <c r="AB61" s="1">
        <v>5.6323234994144897</v>
      </c>
      <c r="AD61" s="1">
        <v>0.477799485795743</v>
      </c>
      <c r="AE61" s="1">
        <f t="shared" si="1"/>
        <v>5.8806090559476054</v>
      </c>
      <c r="AF61" s="1">
        <v>6.3350678049333196</v>
      </c>
      <c r="AH61" s="1" cm="1">
        <f t="array" ref="AH61">TREND(AH59:AH60,AJ59:AJ60,AJ61)</f>
        <v>0.17482260589553014</v>
      </c>
      <c r="AI61" s="1">
        <f t="shared" si="2"/>
        <v>6.2936138122390854</v>
      </c>
      <c r="AJ61" s="1">
        <v>8</v>
      </c>
    </row>
    <row r="62" spans="26:36" x14ac:dyDescent="0.25">
      <c r="Z62" s="1">
        <v>0.48073484115670501</v>
      </c>
      <c r="AA62" s="1">
        <f t="shared" si="0"/>
        <v>5.2880832527237551</v>
      </c>
      <c r="AB62" s="1">
        <v>5.6933054432818304</v>
      </c>
      <c r="AD62" s="1">
        <v>0.48367019651766602</v>
      </c>
      <c r="AE62" s="1">
        <f t="shared" si="1"/>
        <v>5.9528639571405044</v>
      </c>
      <c r="AF62" s="1">
        <v>6.4105692592452597</v>
      </c>
      <c r="AH62" s="1">
        <v>0.22222222222222221</v>
      </c>
      <c r="AI62" s="1">
        <v>8</v>
      </c>
      <c r="AJ62" s="1">
        <v>8</v>
      </c>
    </row>
    <row r="63" spans="26:36" x14ac:dyDescent="0.25">
      <c r="Z63" s="1">
        <v>0.48660555187862697</v>
      </c>
      <c r="AA63" s="1">
        <f t="shared" si="0"/>
        <v>5.3526610706648965</v>
      </c>
      <c r="AB63" s="1">
        <v>5.76009519132701</v>
      </c>
      <c r="AD63" s="1">
        <v>0.48954090723958799</v>
      </c>
      <c r="AE63" s="1">
        <f t="shared" si="1"/>
        <v>6.0251188583333901</v>
      </c>
      <c r="AF63" s="1">
        <v>6.48026290937936</v>
      </c>
    </row>
    <row r="64" spans="26:36" x14ac:dyDescent="0.25">
      <c r="Z64" s="1">
        <v>0.49247626260055</v>
      </c>
      <c r="AA64" s="1">
        <f t="shared" si="0"/>
        <v>5.4172388886060503</v>
      </c>
      <c r="AB64" s="1">
        <v>5.8239810372832599</v>
      </c>
      <c r="AD64" s="1">
        <v>0.49541161796151101</v>
      </c>
      <c r="AE64" s="1">
        <f t="shared" si="1"/>
        <v>6.0973737595262891</v>
      </c>
      <c r="AF64" s="1">
        <v>6.5499565595134603</v>
      </c>
    </row>
    <row r="65" spans="26:32" x14ac:dyDescent="0.25">
      <c r="Z65" s="1">
        <v>0.49834697332247202</v>
      </c>
      <c r="AA65" s="1">
        <f t="shared" si="0"/>
        <v>5.4818167065471926</v>
      </c>
      <c r="AB65" s="1">
        <v>5.8878668832395196</v>
      </c>
      <c r="AD65" s="1">
        <v>0.50128232868343303</v>
      </c>
      <c r="AE65" s="1">
        <f t="shared" si="1"/>
        <v>6.1696286607191748</v>
      </c>
      <c r="AF65" s="1">
        <v>6.6167463075586399</v>
      </c>
    </row>
    <row r="66" spans="26:32" x14ac:dyDescent="0.25">
      <c r="Z66" s="1">
        <v>0.50421768404439404</v>
      </c>
      <c r="AA66" s="1">
        <f t="shared" si="0"/>
        <v>5.5463945244883348</v>
      </c>
      <c r="AB66" s="1">
        <v>5.9546566312847</v>
      </c>
      <c r="AD66" s="1">
        <v>0.50715303940535605</v>
      </c>
      <c r="AE66" s="1">
        <f t="shared" si="1"/>
        <v>6.2418835619120738</v>
      </c>
      <c r="AF66" s="1">
        <v>6.6835360556038204</v>
      </c>
    </row>
    <row r="67" spans="26:32" x14ac:dyDescent="0.25">
      <c r="Z67" s="1">
        <v>0.51008839476631695</v>
      </c>
      <c r="AA67" s="1">
        <f t="shared" si="0"/>
        <v>5.6109723424294868</v>
      </c>
      <c r="AB67" s="1">
        <v>6.0185424772409597</v>
      </c>
      <c r="AD67" s="1">
        <v>0.51302375012727797</v>
      </c>
      <c r="AE67" s="1">
        <f t="shared" si="1"/>
        <v>6.3141384631049586</v>
      </c>
      <c r="AF67" s="1">
        <v>6.7532297057379198</v>
      </c>
    </row>
    <row r="68" spans="26:32" x14ac:dyDescent="0.25">
      <c r="Z68" s="1">
        <v>0.51595910548823898</v>
      </c>
      <c r="AA68" s="1">
        <f t="shared" si="0"/>
        <v>5.6755501603706291</v>
      </c>
      <c r="AB68" s="1">
        <v>6.0824283231972096</v>
      </c>
      <c r="AD68" s="1">
        <v>0.51889446084919999</v>
      </c>
      <c r="AE68" s="1">
        <f t="shared" si="1"/>
        <v>6.3863933642978452</v>
      </c>
      <c r="AF68" s="1">
        <v>6.8171155516941697</v>
      </c>
    </row>
    <row r="69" spans="26:32" x14ac:dyDescent="0.25">
      <c r="Z69" s="1">
        <v>0.521829816210162</v>
      </c>
      <c r="AA69" s="1">
        <f t="shared" ref="AA69:AA99" si="3">11*Z69</f>
        <v>5.740127978311782</v>
      </c>
      <c r="AB69" s="1">
        <v>6.1463141691534702</v>
      </c>
      <c r="AD69" s="1">
        <v>0.52476517157112301</v>
      </c>
      <c r="AE69" s="1">
        <f t="shared" ref="AE69:AE86" si="4">8/0.65*AD69</f>
        <v>6.4586482654907442</v>
      </c>
      <c r="AF69" s="1">
        <v>6.8810013976504303</v>
      </c>
    </row>
    <row r="70" spans="26:32" x14ac:dyDescent="0.25">
      <c r="Z70" s="1">
        <v>0.52770052693208402</v>
      </c>
      <c r="AA70" s="1">
        <f t="shared" si="3"/>
        <v>5.8047057962529243</v>
      </c>
      <c r="AB70" s="1">
        <v>6.2131039171986497</v>
      </c>
      <c r="AD70" s="1">
        <v>0.53063588229304504</v>
      </c>
      <c r="AE70" s="1">
        <f t="shared" si="4"/>
        <v>6.5309031666836308</v>
      </c>
      <c r="AF70" s="1">
        <v>6.9506950477845297</v>
      </c>
    </row>
    <row r="71" spans="26:32" x14ac:dyDescent="0.25">
      <c r="Z71" s="1">
        <v>0.53357123765400605</v>
      </c>
      <c r="AA71" s="1">
        <f t="shared" si="3"/>
        <v>5.8692836141940665</v>
      </c>
      <c r="AB71" s="1">
        <v>6.2769897631549103</v>
      </c>
      <c r="AD71" s="1">
        <v>0.53650659301496795</v>
      </c>
      <c r="AE71" s="1">
        <f t="shared" si="4"/>
        <v>6.603158067876528</v>
      </c>
      <c r="AF71" s="1">
        <v>7.0145808937407903</v>
      </c>
    </row>
    <row r="72" spans="26:32" x14ac:dyDescent="0.25">
      <c r="Z72" s="1">
        <v>0.53944194837592896</v>
      </c>
      <c r="AA72" s="1">
        <f t="shared" si="3"/>
        <v>5.9338614321352185</v>
      </c>
      <c r="AB72" s="1">
        <v>6.3408756091111602</v>
      </c>
      <c r="AD72" s="1">
        <v>0.54237730373688997</v>
      </c>
      <c r="AE72" s="1">
        <f t="shared" si="4"/>
        <v>6.6754129690694146</v>
      </c>
      <c r="AF72" s="1">
        <v>7.0842745438748898</v>
      </c>
    </row>
    <row r="73" spans="26:32" x14ac:dyDescent="0.25">
      <c r="Z73" s="1">
        <v>0.54531265909785098</v>
      </c>
      <c r="AA73" s="1">
        <f t="shared" si="3"/>
        <v>5.9984392500763608</v>
      </c>
      <c r="AB73" s="1">
        <v>6.4076653571563398</v>
      </c>
      <c r="AD73" s="1">
        <v>0.54824801445881199</v>
      </c>
      <c r="AE73" s="1">
        <f t="shared" si="4"/>
        <v>6.7476678702623012</v>
      </c>
      <c r="AF73" s="1">
        <v>7.1539681940089803</v>
      </c>
    </row>
    <row r="74" spans="26:32" x14ac:dyDescent="0.25">
      <c r="Z74" s="1">
        <v>0.55118336981977401</v>
      </c>
      <c r="AA74" s="1">
        <f t="shared" si="3"/>
        <v>6.0630170680175137</v>
      </c>
      <c r="AB74" s="1">
        <v>6.4715512031126003</v>
      </c>
      <c r="AD74" s="1">
        <v>0.55411872518073502</v>
      </c>
      <c r="AE74" s="1">
        <f t="shared" si="4"/>
        <v>6.8199227714551993</v>
      </c>
      <c r="AF74" s="1">
        <v>7.2236618441430798</v>
      </c>
    </row>
    <row r="75" spans="26:32" x14ac:dyDescent="0.25">
      <c r="Z75" s="1">
        <v>0.55705408054169603</v>
      </c>
      <c r="AA75" s="1">
        <f t="shared" si="3"/>
        <v>6.127594885958656</v>
      </c>
      <c r="AB75" s="1">
        <v>6.5383409511577799</v>
      </c>
      <c r="AD75" s="1">
        <v>0.55998943590265704</v>
      </c>
      <c r="AE75" s="1">
        <f t="shared" si="4"/>
        <v>6.8921776726480859</v>
      </c>
      <c r="AF75" s="1">
        <v>7.2933554942771801</v>
      </c>
    </row>
    <row r="76" spans="26:32" x14ac:dyDescent="0.25">
      <c r="Z76" s="1">
        <v>0.56292479126361805</v>
      </c>
      <c r="AA76" s="1">
        <f t="shared" si="3"/>
        <v>6.1921727038997982</v>
      </c>
      <c r="AB76" s="1">
        <v>6.5993228950251197</v>
      </c>
      <c r="AD76" s="1">
        <v>0.56586014662457995</v>
      </c>
      <c r="AE76" s="1">
        <f t="shared" si="4"/>
        <v>6.9644325738409831</v>
      </c>
      <c r="AF76" s="1">
        <v>7.3630491444112796</v>
      </c>
    </row>
    <row r="77" spans="26:32" x14ac:dyDescent="0.25">
      <c r="Z77" s="1">
        <v>0.56879550198554096</v>
      </c>
      <c r="AA77" s="1">
        <f t="shared" si="3"/>
        <v>6.2567505218409503</v>
      </c>
      <c r="AB77" s="1">
        <v>6.6661126430702904</v>
      </c>
      <c r="AD77" s="1">
        <v>0.57173085734650197</v>
      </c>
      <c r="AE77" s="1">
        <f t="shared" si="4"/>
        <v>7.0366874750338697</v>
      </c>
      <c r="AF77" s="1">
        <v>7.4385505987232197</v>
      </c>
    </row>
    <row r="78" spans="26:32" x14ac:dyDescent="0.25">
      <c r="Z78" s="1">
        <v>0.57466621270746299</v>
      </c>
      <c r="AA78" s="1">
        <f t="shared" si="3"/>
        <v>6.3213283397820925</v>
      </c>
      <c r="AB78" s="1">
        <v>6.7299984890265501</v>
      </c>
      <c r="AD78" s="1">
        <v>0.577601568068425</v>
      </c>
      <c r="AE78" s="1">
        <f t="shared" si="4"/>
        <v>7.1089423762267687</v>
      </c>
      <c r="AF78" s="1">
        <v>7.5111481509462399</v>
      </c>
    </row>
    <row r="79" spans="26:32" x14ac:dyDescent="0.25">
      <c r="Z79" s="1">
        <v>0.58053692342938601</v>
      </c>
      <c r="AA79" s="1">
        <f t="shared" si="3"/>
        <v>6.3859061577232463</v>
      </c>
      <c r="AB79" s="1">
        <v>6.7938843349828097</v>
      </c>
      <c r="AD79" s="1">
        <v>0.58347227879034702</v>
      </c>
      <c r="AE79" s="1">
        <f t="shared" si="4"/>
        <v>7.1811972774196553</v>
      </c>
      <c r="AF79" s="1">
        <v>7.5837457031692601</v>
      </c>
    </row>
    <row r="80" spans="26:32" x14ac:dyDescent="0.25">
      <c r="Z80" s="1">
        <v>0.58640763415130803</v>
      </c>
      <c r="AA80" s="1">
        <f t="shared" si="3"/>
        <v>6.4504839756643886</v>
      </c>
      <c r="AB80" s="1">
        <v>6.8606740830279902</v>
      </c>
      <c r="AD80" s="1">
        <v>0.58934298951226904</v>
      </c>
      <c r="AE80" s="1">
        <f t="shared" si="4"/>
        <v>7.2534521786125419</v>
      </c>
      <c r="AF80" s="1">
        <v>7.6534393533033596</v>
      </c>
    </row>
    <row r="81" spans="26:32" x14ac:dyDescent="0.25">
      <c r="Z81" s="1">
        <v>0.59227834487323106</v>
      </c>
      <c r="AA81" s="1">
        <f t="shared" si="3"/>
        <v>6.5150617936055415</v>
      </c>
      <c r="AB81" s="1">
        <v>6.9245599289842401</v>
      </c>
      <c r="AD81" s="1">
        <v>0.59521370023419196</v>
      </c>
      <c r="AE81" s="1">
        <f t="shared" si="4"/>
        <v>7.3257070798054391</v>
      </c>
      <c r="AF81" s="1">
        <v>7.7289408076152997</v>
      </c>
    </row>
    <row r="82" spans="26:32" x14ac:dyDescent="0.25">
      <c r="Z82" s="1">
        <v>0.59814905559515297</v>
      </c>
      <c r="AA82" s="1">
        <f t="shared" si="3"/>
        <v>6.5796396115466829</v>
      </c>
      <c r="AB82" s="1">
        <v>6.9913496770294197</v>
      </c>
      <c r="AD82" s="1">
        <v>0.60108441095611398</v>
      </c>
      <c r="AE82" s="1">
        <f t="shared" si="4"/>
        <v>7.3979619809983248</v>
      </c>
      <c r="AF82" s="1">
        <v>7.8044422619272398</v>
      </c>
    </row>
    <row r="83" spans="26:32" x14ac:dyDescent="0.25">
      <c r="Z83" s="1">
        <v>0.60401976631707499</v>
      </c>
      <c r="AA83" s="1">
        <f t="shared" si="3"/>
        <v>6.6442174294878251</v>
      </c>
      <c r="AB83" s="1">
        <v>7.0523316208967604</v>
      </c>
      <c r="AD83" s="1">
        <v>0.606955121678037</v>
      </c>
      <c r="AE83" s="1">
        <f t="shared" si="4"/>
        <v>7.4702168821912238</v>
      </c>
      <c r="AF83" s="1">
        <v>7.8741359120613401</v>
      </c>
    </row>
    <row r="84" spans="26:32" x14ac:dyDescent="0.25">
      <c r="Z84" s="1">
        <v>0.60989047703899801</v>
      </c>
      <c r="AA84" s="1">
        <f t="shared" si="3"/>
        <v>6.708795247428978</v>
      </c>
      <c r="AB84" s="1">
        <v>7.1191213689419399</v>
      </c>
      <c r="AD84" s="1">
        <v>0.61282583239995903</v>
      </c>
      <c r="AE84" s="1">
        <f t="shared" si="4"/>
        <v>7.5424717833841104</v>
      </c>
      <c r="AF84" s="1">
        <v>7.9438295621954396</v>
      </c>
    </row>
    <row r="85" spans="26:32" x14ac:dyDescent="0.25">
      <c r="Z85" s="1">
        <v>0.61576118776092004</v>
      </c>
      <c r="AA85" s="1">
        <f t="shared" si="3"/>
        <v>6.7733730653701203</v>
      </c>
      <c r="AB85" s="1">
        <v>7.1830072148981898</v>
      </c>
      <c r="AD85" s="1">
        <v>0.61722886544140099</v>
      </c>
      <c r="AE85" s="1">
        <f t="shared" si="4"/>
        <v>7.5966629592787811</v>
      </c>
      <c r="AF85" s="1">
        <v>7.9902919956181702</v>
      </c>
    </row>
    <row r="86" spans="26:32" x14ac:dyDescent="0.25">
      <c r="Z86" s="1">
        <v>0.62163189848284295</v>
      </c>
      <c r="AA86" s="1">
        <f t="shared" si="3"/>
        <v>6.8379508833112723</v>
      </c>
      <c r="AB86" s="1">
        <v>7.2468930608544504</v>
      </c>
      <c r="AD86" s="1">
        <v>0.61814884876794696</v>
      </c>
      <c r="AE86" s="1">
        <f t="shared" si="4"/>
        <v>7.607985830990116</v>
      </c>
      <c r="AF86" s="1">
        <v>8</v>
      </c>
    </row>
    <row r="87" spans="26:32" x14ac:dyDescent="0.25">
      <c r="Z87" s="1">
        <v>0.62750260920476497</v>
      </c>
      <c r="AA87" s="1">
        <f t="shared" si="3"/>
        <v>6.9025287012524146</v>
      </c>
      <c r="AB87" s="1">
        <v>7.31368280889963</v>
      </c>
      <c r="AD87" s="1">
        <v>0.65</v>
      </c>
      <c r="AE87" s="1">
        <v>8</v>
      </c>
      <c r="AF87" s="1">
        <v>8</v>
      </c>
    </row>
    <row r="88" spans="26:32" x14ac:dyDescent="0.25">
      <c r="Z88" s="1">
        <v>0.633373319926687</v>
      </c>
      <c r="AA88" s="1">
        <f t="shared" si="3"/>
        <v>6.9671065191935568</v>
      </c>
      <c r="AB88" s="1">
        <v>7.3775686548558896</v>
      </c>
    </row>
    <row r="89" spans="26:32" x14ac:dyDescent="0.25">
      <c r="Z89" s="1">
        <v>0.63924403064861002</v>
      </c>
      <c r="AA89" s="1">
        <f t="shared" si="3"/>
        <v>7.0316843371347098</v>
      </c>
      <c r="AB89" s="1">
        <v>7.4443584029010603</v>
      </c>
    </row>
    <row r="90" spans="26:32" x14ac:dyDescent="0.25">
      <c r="Z90" s="1">
        <v>0.64511474137053204</v>
      </c>
      <c r="AA90" s="1">
        <f t="shared" si="3"/>
        <v>7.096262155075852</v>
      </c>
      <c r="AB90" s="1">
        <v>7.50824424885732</v>
      </c>
    </row>
    <row r="91" spans="26:32" x14ac:dyDescent="0.25">
      <c r="Z91" s="1">
        <v>0.65098545209245495</v>
      </c>
      <c r="AA91" s="1">
        <f t="shared" si="3"/>
        <v>7.1608399730170049</v>
      </c>
      <c r="AB91" s="1">
        <v>7.5721300948135797</v>
      </c>
    </row>
    <row r="92" spans="26:32" x14ac:dyDescent="0.25">
      <c r="Z92" s="1">
        <v>0.65685616281437698</v>
      </c>
      <c r="AA92" s="1">
        <f t="shared" si="3"/>
        <v>7.2254177909581472</v>
      </c>
      <c r="AB92" s="1">
        <v>7.6360159407698402</v>
      </c>
    </row>
    <row r="93" spans="26:32" x14ac:dyDescent="0.25">
      <c r="Z93" s="1">
        <v>0.6627268735363</v>
      </c>
      <c r="AA93" s="1">
        <f t="shared" si="3"/>
        <v>7.2899956088993001</v>
      </c>
      <c r="AB93" s="1">
        <v>7.6999017867260902</v>
      </c>
    </row>
    <row r="94" spans="26:32" x14ac:dyDescent="0.25">
      <c r="Z94" s="1">
        <v>0.66859758425822202</v>
      </c>
      <c r="AA94" s="1">
        <f t="shared" si="3"/>
        <v>7.3545734268404424</v>
      </c>
      <c r="AB94" s="1">
        <v>7.7666915347712697</v>
      </c>
    </row>
    <row r="95" spans="26:32" x14ac:dyDescent="0.25">
      <c r="Z95" s="1">
        <v>0.67446829498014405</v>
      </c>
      <c r="AA95" s="1">
        <f t="shared" si="3"/>
        <v>7.4191512447815846</v>
      </c>
      <c r="AB95" s="1">
        <v>7.8305773807275303</v>
      </c>
    </row>
    <row r="96" spans="26:32" x14ac:dyDescent="0.25">
      <c r="Z96" s="1">
        <v>0.68033900570206696</v>
      </c>
      <c r="AA96" s="1">
        <f t="shared" si="3"/>
        <v>7.4837290627227366</v>
      </c>
      <c r="AB96" s="1">
        <v>7.8973671287727099</v>
      </c>
    </row>
    <row r="97" spans="26:28" x14ac:dyDescent="0.25">
      <c r="Z97" s="1">
        <v>0.68767739410447004</v>
      </c>
      <c r="AA97" s="1">
        <f t="shared" si="3"/>
        <v>7.5644513351491707</v>
      </c>
      <c r="AB97" s="1">
        <v>7.97286858308465</v>
      </c>
    </row>
    <row r="98" spans="26:28" x14ac:dyDescent="0.25">
      <c r="Z98" s="1">
        <v>0.69031444099378914</v>
      </c>
      <c r="AA98" s="1">
        <f t="shared" si="3"/>
        <v>7.5934588509316807</v>
      </c>
      <c r="AB98" s="1">
        <v>8</v>
      </c>
    </row>
    <row r="99" spans="26:28" x14ac:dyDescent="0.25">
      <c r="Z99">
        <v>0.72727272727272729</v>
      </c>
      <c r="AA99" s="1">
        <f t="shared" si="3"/>
        <v>8</v>
      </c>
      <c r="AB99" s="1">
        <v>8</v>
      </c>
    </row>
    <row r="130" spans="26:28" x14ac:dyDescent="0.25">
      <c r="Z130" s="1"/>
      <c r="AA130" s="1"/>
      <c r="AB130" s="1"/>
    </row>
    <row r="131" spans="26:28" x14ac:dyDescent="0.25">
      <c r="Z131" s="1"/>
      <c r="AA131" s="1"/>
      <c r="AB131" s="1"/>
    </row>
    <row r="132" spans="26:28" x14ac:dyDescent="0.25">
      <c r="Z132" s="1"/>
      <c r="AA132" s="1"/>
      <c r="AB132" s="1"/>
    </row>
    <row r="133" spans="26:28" x14ac:dyDescent="0.25">
      <c r="Z133" s="1"/>
      <c r="AA133" s="1"/>
      <c r="AB133" s="1"/>
    </row>
    <row r="134" spans="26:28" x14ac:dyDescent="0.25">
      <c r="Z134" s="1"/>
      <c r="AA134" s="1"/>
      <c r="AB134" s="1"/>
    </row>
    <row r="135" spans="26:28" x14ac:dyDescent="0.25">
      <c r="Z135" s="1"/>
      <c r="AA135" s="1"/>
    </row>
    <row r="136" spans="26:28" x14ac:dyDescent="0.25">
      <c r="Z136" s="1"/>
      <c r="AA136" s="1"/>
    </row>
    <row r="137" spans="26:28" x14ac:dyDescent="0.25">
      <c r="Z137" s="1"/>
      <c r="AA137" s="1"/>
    </row>
    <row r="138" spans="26:28" x14ac:dyDescent="0.25">
      <c r="Z138" s="1"/>
      <c r="AA138" s="1"/>
    </row>
    <row r="139" spans="26:28" x14ac:dyDescent="0.25">
      <c r="Z139" s="1"/>
      <c r="AA139" s="1"/>
    </row>
    <row r="140" spans="26:28" x14ac:dyDescent="0.25">
      <c r="Z140" s="1"/>
      <c r="AA140" s="1"/>
    </row>
    <row r="141" spans="26:28" x14ac:dyDescent="0.25">
      <c r="Z141" s="1"/>
      <c r="AA141" s="1"/>
    </row>
    <row r="142" spans="26:28" x14ac:dyDescent="0.25">
      <c r="Z142" s="1"/>
      <c r="AA142" s="1"/>
    </row>
    <row r="143" spans="26:28" x14ac:dyDescent="0.25">
      <c r="Z143" s="1"/>
      <c r="AA143" s="1"/>
    </row>
    <row r="144" spans="26:28" x14ac:dyDescent="0.25">
      <c r="Z144" s="1"/>
      <c r="AA144" s="1"/>
    </row>
    <row r="145" spans="26:27" x14ac:dyDescent="0.25">
      <c r="Z145" s="1"/>
      <c r="AA145" s="1"/>
    </row>
    <row r="146" spans="26:27" x14ac:dyDescent="0.25">
      <c r="Z146" s="1"/>
      <c r="AA146" s="1"/>
    </row>
    <row r="147" spans="26:27" x14ac:dyDescent="0.25">
      <c r="Z147" s="1"/>
      <c r="AA147" s="1"/>
    </row>
    <row r="148" spans="26:27" x14ac:dyDescent="0.25">
      <c r="Z148" s="1"/>
      <c r="AA148" s="1"/>
    </row>
    <row r="149" spans="26:27" x14ac:dyDescent="0.25">
      <c r="Z149" s="1"/>
      <c r="AA149" s="1"/>
    </row>
    <row r="150" spans="26:27" x14ac:dyDescent="0.25">
      <c r="Z150" s="1"/>
      <c r="AA150" s="1"/>
    </row>
    <row r="151" spans="26:27" x14ac:dyDescent="0.25">
      <c r="Z151" s="1"/>
      <c r="AA151" s="1"/>
    </row>
    <row r="152" spans="26:27" x14ac:dyDescent="0.25">
      <c r="Z152" s="1"/>
      <c r="AA152" s="1"/>
    </row>
    <row r="153" spans="26:27" x14ac:dyDescent="0.25">
      <c r="Z153" s="1"/>
      <c r="AA153" s="1"/>
    </row>
    <row r="154" spans="26:27" x14ac:dyDescent="0.25">
      <c r="Z154" s="1"/>
      <c r="AA154" s="1"/>
    </row>
    <row r="155" spans="26:27" x14ac:dyDescent="0.25">
      <c r="Z155" s="1"/>
      <c r="AA155" s="1"/>
    </row>
    <row r="156" spans="26:27" x14ac:dyDescent="0.25">
      <c r="Z156" s="1"/>
      <c r="AA156" s="1"/>
    </row>
    <row r="157" spans="26:27" x14ac:dyDescent="0.25">
      <c r="Z157" s="1"/>
      <c r="AA157" s="1"/>
    </row>
    <row r="158" spans="26:27" x14ac:dyDescent="0.25">
      <c r="Z158" s="1"/>
      <c r="AA158" s="1"/>
    </row>
    <row r="159" spans="26:27" x14ac:dyDescent="0.25">
      <c r="Z159" s="1"/>
      <c r="AA159" s="1"/>
    </row>
    <row r="160" spans="26:27" x14ac:dyDescent="0.25">
      <c r="Z160" s="1"/>
      <c r="AA160" s="1"/>
    </row>
    <row r="161" spans="26:27" x14ac:dyDescent="0.25">
      <c r="Z161" s="1"/>
      <c r="AA161" s="1"/>
    </row>
    <row r="162" spans="26:27" x14ac:dyDescent="0.25">
      <c r="Z162" s="1"/>
      <c r="AA162" s="1"/>
    </row>
    <row r="163" spans="26:27" x14ac:dyDescent="0.25">
      <c r="Z163" s="1"/>
      <c r="AA163" s="1"/>
    </row>
    <row r="164" spans="26:27" x14ac:dyDescent="0.25">
      <c r="Z164" s="1"/>
      <c r="AA164" s="1"/>
    </row>
    <row r="165" spans="26:27" x14ac:dyDescent="0.25">
      <c r="Z165" s="1"/>
      <c r="AA165" s="1"/>
    </row>
    <row r="166" spans="26:27" x14ac:dyDescent="0.25">
      <c r="Z166" s="1"/>
      <c r="AA166" s="1"/>
    </row>
    <row r="167" spans="26:27" x14ac:dyDescent="0.25">
      <c r="Z167" s="1"/>
      <c r="AA167" s="1"/>
    </row>
    <row r="168" spans="26:27" x14ac:dyDescent="0.25">
      <c r="Z168" s="1"/>
      <c r="AA168" s="1"/>
    </row>
    <row r="169" spans="26:27" x14ac:dyDescent="0.25">
      <c r="Z169" s="1"/>
      <c r="AA169" s="1"/>
    </row>
    <row r="170" spans="26:27" x14ac:dyDescent="0.25">
      <c r="Z170" s="1"/>
      <c r="AA170" s="1"/>
    </row>
    <row r="171" spans="26:27" x14ac:dyDescent="0.25">
      <c r="Z171" s="1"/>
      <c r="AA171" s="1"/>
    </row>
    <row r="172" spans="26:27" x14ac:dyDescent="0.25">
      <c r="Z172" s="1"/>
      <c r="AA172" s="1"/>
    </row>
    <row r="173" spans="26:27" x14ac:dyDescent="0.25">
      <c r="Z173" s="1"/>
      <c r="AA173" s="1"/>
    </row>
    <row r="174" spans="26:27" x14ac:dyDescent="0.25">
      <c r="Z174" s="1"/>
      <c r="AA174" s="1"/>
    </row>
    <row r="175" spans="26:27" x14ac:dyDescent="0.25">
      <c r="Z175" s="1"/>
      <c r="AA175" s="1"/>
    </row>
    <row r="176" spans="26:27" x14ac:dyDescent="0.25">
      <c r="Z176" s="1"/>
      <c r="AA176" s="1"/>
    </row>
    <row r="177" spans="26:27" x14ac:dyDescent="0.25">
      <c r="Z177" s="1"/>
      <c r="AA177" s="1"/>
    </row>
    <row r="178" spans="26:27" x14ac:dyDescent="0.25">
      <c r="Z178" s="1"/>
      <c r="AA178" s="1"/>
    </row>
    <row r="179" spans="26:27" x14ac:dyDescent="0.25">
      <c r="Z179" s="1"/>
      <c r="AA179" s="1"/>
    </row>
    <row r="180" spans="26:27" x14ac:dyDescent="0.25">
      <c r="Z180" s="1"/>
      <c r="AA180" s="1"/>
    </row>
    <row r="181" spans="26:27" x14ac:dyDescent="0.25">
      <c r="Z181" s="1"/>
      <c r="AA181" s="1"/>
    </row>
    <row r="182" spans="26:27" x14ac:dyDescent="0.25">
      <c r="Z182" s="1"/>
      <c r="AA182" s="1"/>
    </row>
    <row r="183" spans="26:27" x14ac:dyDescent="0.25">
      <c r="Z183" s="1"/>
      <c r="AA183" s="1"/>
    </row>
    <row r="184" spans="26:27" x14ac:dyDescent="0.25">
      <c r="Z184" s="1"/>
      <c r="AA184" s="1"/>
    </row>
    <row r="185" spans="26:27" x14ac:dyDescent="0.25">
      <c r="Z185" s="1"/>
      <c r="AA185" s="1"/>
    </row>
    <row r="186" spans="26:27" x14ac:dyDescent="0.25">
      <c r="Z186" s="1"/>
      <c r="AA186" s="1"/>
    </row>
    <row r="187" spans="26:27" x14ac:dyDescent="0.25">
      <c r="Z187" s="1"/>
      <c r="AA187" s="1"/>
    </row>
    <row r="188" spans="26:27" x14ac:dyDescent="0.25">
      <c r="Z188" s="1"/>
      <c r="AA188" s="1"/>
    </row>
    <row r="189" spans="26:27" x14ac:dyDescent="0.25">
      <c r="Z189" s="1"/>
      <c r="AA189" s="1"/>
    </row>
    <row r="190" spans="26:27" x14ac:dyDescent="0.25">
      <c r="Z190" s="1"/>
      <c r="AA190" s="1"/>
    </row>
    <row r="191" spans="26:27" x14ac:dyDescent="0.25">
      <c r="Z191" s="1"/>
      <c r="AA191" s="1"/>
    </row>
    <row r="192" spans="26:27" x14ac:dyDescent="0.25">
      <c r="Z192" s="1"/>
      <c r="AA192" s="1"/>
    </row>
    <row r="193" spans="26:27" x14ac:dyDescent="0.25">
      <c r="Z193" s="1"/>
      <c r="AA193" s="1"/>
    </row>
    <row r="194" spans="26:27" x14ac:dyDescent="0.25">
      <c r="Z194" s="1"/>
      <c r="AA194" s="1"/>
    </row>
  </sheetData>
  <mergeCells count="28">
    <mergeCell ref="M14:O14"/>
    <mergeCell ref="K15:O15"/>
    <mergeCell ref="K2:O2"/>
    <mergeCell ref="M9:O9"/>
    <mergeCell ref="M10:O10"/>
    <mergeCell ref="M12:O12"/>
    <mergeCell ref="M13:O13"/>
    <mergeCell ref="M6:O6"/>
    <mergeCell ref="Q2:R2"/>
    <mergeCell ref="Q3:R3"/>
    <mergeCell ref="Q4:R4"/>
    <mergeCell ref="Q5:R5"/>
    <mergeCell ref="Q6:R6"/>
    <mergeCell ref="Q8:S8"/>
    <mergeCell ref="R9:S9"/>
    <mergeCell ref="R10:S10"/>
    <mergeCell ref="R11:S11"/>
    <mergeCell ref="M3:O3"/>
    <mergeCell ref="M4:O4"/>
    <mergeCell ref="M5:O5"/>
    <mergeCell ref="M7:O7"/>
    <mergeCell ref="M8:O8"/>
    <mergeCell ref="M11:O11"/>
    <mergeCell ref="W2:X2"/>
    <mergeCell ref="Z2:AB2"/>
    <mergeCell ref="AD2:AF2"/>
    <mergeCell ref="AH2:AJ2"/>
    <mergeCell ref="AL2:AM2"/>
  </mergeCells>
  <conditionalFormatting sqref="L11">
    <cfRule type="expression" dxfId="0" priority="1">
      <formula>ABS($L$11-0.5)&gt;0.15</formula>
    </cfRule>
  </conditionalFormatting>
  <conditionalFormatting sqref="L13">
    <cfRule type="iconSet" priority="5">
      <iconSet iconSet="3Symbols" reverse="1">
        <cfvo type="percent" val="0"/>
        <cfvo type="num" val="1.25"/>
        <cfvo type="num" val="1.5"/>
      </iconSet>
    </cfRule>
  </conditionalFormatting>
  <conditionalFormatting sqref="L14">
    <cfRule type="iconSet" priority="6">
      <iconSet iconSet="3Symbols" reverse="1">
        <cfvo type="percent" val="0"/>
        <cfvo type="num" val="7"/>
        <cfvo type="num" val="8"/>
      </iconSet>
    </cfRule>
  </conditionalFormatting>
  <conditionalFormatting sqref="M17:M21">
    <cfRule type="iconSet" priority="4">
      <iconSet iconSet="3Symbols" showValue="0" reverse="1">
        <cfvo type="percent" val="0"/>
        <cfvo type="num" val="1"/>
        <cfvo type="num" val="2"/>
      </iconSet>
    </cfRule>
  </conditionalFormatting>
  <conditionalFormatting sqref="Q9:Q11">
    <cfRule type="iconSet" priority="3">
      <iconSet iconSet="3Symbols" showValue="0">
        <cfvo type="percent" val="0"/>
        <cfvo type="num" val="0.5"/>
        <cfvo type="num" val="1"/>
      </iconSet>
    </cfRule>
  </conditionalFormatting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5BB9810E8454BA2B38D00B6D18848" ma:contentTypeVersion="3" ma:contentTypeDescription="Creare un nuovo documento." ma:contentTypeScope="" ma:versionID="85968c8a5930af966cb491cc87274750">
  <xsd:schema xmlns:xsd="http://www.w3.org/2001/XMLSchema" xmlns:xs="http://www.w3.org/2001/XMLSchema" xmlns:p="http://schemas.microsoft.com/office/2006/metadata/properties" xmlns:ns2="427a1db5-2437-44f3-a84b-464aead4a71a" targetNamespace="http://schemas.microsoft.com/office/2006/metadata/properties" ma:root="true" ma:fieldsID="d822db9e2d05bc620d08fbffa4bfffa8" ns2:_="">
    <xsd:import namespace="427a1db5-2437-44f3-a84b-464aead4a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a1db5-2437-44f3-a84b-464aead4a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D32E6F-F15C-44FA-B174-70C0C4031D3F}"/>
</file>

<file path=customXml/itemProps2.xml><?xml version="1.0" encoding="utf-8"?>
<ds:datastoreItem xmlns:ds="http://schemas.openxmlformats.org/officeDocument/2006/customXml" ds:itemID="{39272262-3251-4171-B5D0-7996223283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850F6-F508-4FCE-A496-9A50B5E9A405}">
  <ds:schemaRefs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2710bc8b-17c9-4e36-a567-5a8748d28b44"/>
    <ds:schemaRef ds:uri="f16ae08e-32aa-43c4-955b-813e13c9303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ac69433e-9fbc-4566-9c7b-2629ed8b780f}" enabled="0" method="" siteId="{ac69433e-9fbc-4566-9c7b-2629ed8b78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content</vt:lpstr>
      <vt:lpstr>Glienicke criteria</vt:lpstr>
    </vt:vector>
  </TitlesOfParts>
  <Company>Trillium Flow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Cademartori</dc:creator>
  <cp:lastModifiedBy>Jose Omonte Rossi</cp:lastModifiedBy>
  <dcterms:created xsi:type="dcterms:W3CDTF">2025-10-20T14:57:23Z</dcterms:created>
  <dcterms:modified xsi:type="dcterms:W3CDTF">2025-11-11T13:49:26Z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0x0101003FF5BB9810E8454BA2B38D00B6D18848</vt:lpwstr>
  </property>
  <property fmtid="{D5CDD505-2E9C-101B-9397-08002B2CF9AE}" pid="3" name="MediaServiceImageTags">
    <vt:lpwstr/>
  </property>
</Properties>
</file>