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onnections.xml" ContentType="application/vnd.openxmlformats-officedocument.spreadsheetml.connection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ctrlProps/ctrlProp1.xml" ContentType="application/vnd.ms-excel.controlproperties+xml"/>
  <Override PartName="/docProps/core.xml" ContentType="application/vnd.openxmlformats-package.core-properties+xml"/>
  <Override PartName="/xl/richData/rdRichValueTypes.xml" ContentType="application/vnd.ms-excel.rdrichvaluetypes+xml"/>
  <Override PartName="/xl/richData/rdrichvaluestructure.xml" ContentType="application/vnd.ms-excel.rdrichvaluestructure+xml"/>
  <Override PartName="/xl/calcChain.xml" ContentType="application/vnd.openxmlformats-officedocument.spreadsheetml.calcChain+xml"/>
  <Override PartName="/docMetadata/LabelInfo.xml" ContentType="application/vnd.ms-office.classificationlabel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Questa_cartella_di_lavoro" defaultThemeVersion="124226"/>
  <mc:AlternateContent xmlns:mc="http://schemas.openxmlformats.org/markup-compatibility/2006">
    <mc:Choice Requires="x15">
      <x15ac:absPath xmlns:x15ac="http://schemas.microsoft.com/office/spreadsheetml/2010/11/ac" url="T:\IT005\Documentale\# Nuovo Documentale\Area di lavoro HSEQ\Da Gestire - Verificatore 2\3. Tommaso\Toselli-in attesa di  modulo\"/>
    </mc:Choice>
  </mc:AlternateContent>
  <xr:revisionPtr revIDLastSave="0" documentId="13_ncr:1_{6538759D-FEF9-44D7-A963-E16CB9FE895C}" xr6:coauthVersionLast="47" xr6:coauthVersionMax="47" xr10:uidLastSave="{00000000-0000-0000-0000-000000000000}"/>
  <bookViews>
    <workbookView xWindow="-120" yWindow="-120" windowWidth="29040" windowHeight="15720" tabRatio="806" xr2:uid="{00000000-000D-0000-FFFF-FFFF00000000}"/>
  </bookViews>
  <sheets>
    <sheet name="MOD.504 info" sheetId="850" r:id="rId1"/>
    <sheet name="1-START" sheetId="748" r:id="rId2"/>
    <sheet name="2-SCOPE SUMMARY" sheetId="750" r:id="rId3"/>
    <sheet name="3-TECHNICAL TABULATION" sheetId="749" r:id="rId4"/>
    <sheet name="4-Technical Review" sheetId="832" r:id="rId5"/>
    <sheet name="5-Job Report" sheetId="830" r:id="rId6"/>
    <sheet name="6-Pump configuration" sheetId="849" r:id="rId7"/>
  </sheets>
  <functionGroups builtInGroupCount="19"/>
  <externalReferences>
    <externalReference r:id="rId8"/>
  </externalReferences>
  <definedNames>
    <definedName name="_xlnm._FilterDatabase" localSheetId="3" hidden="1">'3-TECHNICAL TABULATION'!$A$7:$A$501</definedName>
    <definedName name="_xlnm._FilterDatabase" localSheetId="4" hidden="1">'4-Technical Review'!$A$8:$A$154</definedName>
    <definedName name="_xlnm._FilterDatabase" localSheetId="5" hidden="1">'5-Job Report'!$A$8:$A$152</definedName>
    <definedName name="_xlnm._FilterDatabase" localSheetId="6" hidden="1">'6-Pump configuration'!$A$8:$A$319</definedName>
    <definedName name="_xleta.AND" hidden="1" xlm="1">#NAME?</definedName>
    <definedName name="_xleta.DATE" hidden="1" xlm="1">#NAME?</definedName>
    <definedName name="_xleta.IF" hidden="1" xlm="1">#NAME?</definedName>
    <definedName name="_xlnm.Print_Area" localSheetId="1">'1-START'!$A$1:$BC$43</definedName>
    <definedName name="myfig1">INDIRECT([1]impeller_type!$A$2)</definedName>
    <definedName name="myfig2">INDIRECT([1]impeller_type!$N$2)</definedName>
    <definedName name="Trasco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3" i="830" l="1"/>
  <c r="C9" i="749" a="1"/>
  <c r="C9" i="749" s="1"/>
  <c r="B9" i="749" a="1"/>
  <c r="B9" i="749" s="1"/>
  <c r="A9" i="749" a="1"/>
  <c r="A9" i="749" s="1"/>
  <c r="B228" i="749" l="1"/>
  <c r="B229" i="749"/>
  <c r="B227" i="749"/>
  <c r="B222" i="749"/>
  <c r="B226" i="749"/>
  <c r="B225" i="749"/>
  <c r="B218" i="749"/>
  <c r="B406" i="749"/>
  <c r="B231" i="749"/>
  <c r="B230" i="749"/>
  <c r="C230" i="749" l="1"/>
  <c r="B184" i="749"/>
  <c r="C113" i="830"/>
  <c r="B405" i="749"/>
  <c r="C299" i="749"/>
  <c r="C267" i="749"/>
  <c r="C245" i="749"/>
  <c r="B273" i="749"/>
  <c r="B272" i="749"/>
  <c r="B202" i="749"/>
  <c r="B197" i="749"/>
  <c r="B196" i="749"/>
  <c r="B194" i="749"/>
  <c r="M43" i="748" l="1"/>
  <c r="B43" i="748"/>
  <c r="C433" i="749"/>
  <c r="B421" i="749"/>
  <c r="B411" i="749"/>
  <c r="B416" i="749"/>
  <c r="B417" i="749"/>
  <c r="B407" i="749"/>
  <c r="B402" i="749"/>
  <c r="B396" i="749"/>
  <c r="B445" i="749"/>
  <c r="B444" i="749"/>
  <c r="B443" i="749"/>
  <c r="B442" i="749"/>
  <c r="B441" i="749"/>
  <c r="B440" i="749"/>
  <c r="B439" i="749"/>
  <c r="B438" i="749"/>
  <c r="B437" i="749"/>
  <c r="B436" i="749"/>
  <c r="B434" i="749"/>
  <c r="B426" i="749"/>
  <c r="B424" i="749"/>
  <c r="B425" i="749"/>
  <c r="B423" i="749"/>
  <c r="B409" i="749"/>
  <c r="B420" i="749"/>
  <c r="B419" i="749"/>
  <c r="B418" i="749"/>
  <c r="B414" i="749"/>
  <c r="B410" i="749"/>
  <c r="B408" i="749"/>
  <c r="B412" i="749"/>
  <c r="B404" i="749"/>
  <c r="B403" i="749"/>
  <c r="B401" i="749"/>
  <c r="B399" i="749"/>
  <c r="B398" i="749"/>
  <c r="B318" i="749"/>
  <c r="B317" i="749"/>
  <c r="B316" i="749"/>
  <c r="B312" i="749"/>
  <c r="B313" i="749"/>
  <c r="B309" i="749"/>
  <c r="B310" i="749"/>
  <c r="B311" i="749"/>
  <c r="B305" i="749"/>
  <c r="B306" i="749"/>
  <c r="B307" i="749"/>
  <c r="B308" i="749"/>
  <c r="B302" i="749"/>
  <c r="B303" i="749"/>
  <c r="B304" i="749"/>
  <c r="B301" i="749" l="1"/>
  <c r="B300" i="749"/>
  <c r="B292" i="749"/>
  <c r="B293" i="749"/>
  <c r="B294" i="749"/>
  <c r="B290" i="749"/>
  <c r="B289" i="749"/>
  <c r="B288" i="749"/>
  <c r="B287" i="749"/>
  <c r="B286" i="749"/>
  <c r="B285" i="749"/>
  <c r="B433" i="749" s="1"/>
  <c r="B284" i="749"/>
  <c r="B283" i="749"/>
  <c r="B282" i="749"/>
  <c r="B280" i="749"/>
  <c r="B281" i="749"/>
  <c r="B279" i="749"/>
  <c r="B276" i="749"/>
  <c r="B275" i="749"/>
  <c r="B274" i="749"/>
  <c r="B270" i="749"/>
  <c r="B269" i="749"/>
  <c r="B266" i="749"/>
  <c r="B297" i="749"/>
  <c r="B296" i="749"/>
  <c r="B295" i="749"/>
  <c r="B255" i="749"/>
  <c r="B245" i="749"/>
  <c r="B243" i="749"/>
  <c r="B241" i="749"/>
  <c r="B224" i="749"/>
  <c r="B233" i="749"/>
  <c r="B232" i="749"/>
  <c r="B221" i="749"/>
  <c r="B223" i="749"/>
  <c r="B219" i="749"/>
  <c r="B204" i="749"/>
  <c r="B203" i="749"/>
  <c r="B198" i="749"/>
  <c r="B195" i="749"/>
  <c r="B193" i="749"/>
  <c r="B192" i="749"/>
  <c r="B191" i="749"/>
  <c r="B190" i="749"/>
  <c r="B189" i="749"/>
  <c r="B201" i="749"/>
  <c r="B200" i="749"/>
  <c r="B199" i="749"/>
  <c r="B214" i="749"/>
  <c r="B213" i="749"/>
  <c r="B212" i="749"/>
  <c r="B211" i="749"/>
  <c r="B210" i="749"/>
  <c r="B187" i="749"/>
  <c r="B177" i="749"/>
  <c r="B175" i="749"/>
  <c r="B160" i="749"/>
  <c r="B159" i="749"/>
  <c r="B156" i="749"/>
  <c r="B153" i="749"/>
  <c r="B152" i="749"/>
  <c r="B148" i="749"/>
  <c r="B149" i="749"/>
  <c r="B147" i="749"/>
  <c r="B315" i="749"/>
  <c r="B314" i="749"/>
  <c r="B299" i="749"/>
  <c r="B271" i="749"/>
  <c r="B267" i="749"/>
  <c r="A433" i="749" l="1"/>
  <c r="A220" i="849" a="1"/>
  <c r="A220" i="849" l="1"/>
  <c r="D5" i="849"/>
  <c r="D5" i="830"/>
  <c r="D5" i="832"/>
  <c r="D5" i="749"/>
  <c r="H5" i="750"/>
  <c r="A6" i="849"/>
  <c r="A5" i="849"/>
  <c r="A4" i="849"/>
  <c r="A3" i="849"/>
  <c r="A2" i="849"/>
  <c r="A6" i="749" l="1"/>
  <c r="A5" i="749"/>
  <c r="A4" i="749"/>
  <c r="A3" i="749"/>
  <c r="A2" i="749"/>
  <c r="D219" i="849" l="1"/>
  <c r="D207" i="849"/>
  <c r="D195" i="849"/>
  <c r="D183" i="849"/>
  <c r="D171" i="849"/>
  <c r="D159" i="849"/>
  <c r="D147" i="849"/>
  <c r="D135" i="849"/>
  <c r="D123" i="849"/>
  <c r="D111" i="849"/>
  <c r="D99" i="849"/>
  <c r="D87" i="849"/>
  <c r="D75" i="849"/>
  <c r="D63" i="849"/>
  <c r="D51" i="849"/>
  <c r="D39" i="849"/>
  <c r="D27" i="849"/>
  <c r="D15" i="849"/>
  <c r="D149" i="832"/>
  <c r="D137" i="832"/>
  <c r="D125" i="832"/>
  <c r="D113" i="832"/>
  <c r="D101" i="832"/>
  <c r="D89" i="832"/>
  <c r="D77" i="832"/>
  <c r="D65" i="832"/>
  <c r="D53" i="832"/>
  <c r="D41" i="832"/>
  <c r="D29" i="832"/>
  <c r="D17" i="832"/>
  <c r="D64" i="832"/>
  <c r="D52" i="832"/>
  <c r="D40" i="832"/>
  <c r="D28" i="832"/>
  <c r="D16" i="832"/>
  <c r="D110" i="832"/>
  <c r="D98" i="832"/>
  <c r="D74" i="832"/>
  <c r="D62" i="832"/>
  <c r="D50" i="832"/>
  <c r="D26" i="832"/>
  <c r="D31" i="832"/>
  <c r="D136" i="849"/>
  <c r="D76" i="849"/>
  <c r="D16" i="849"/>
  <c r="D78" i="832"/>
  <c r="D218" i="849"/>
  <c r="D206" i="849"/>
  <c r="D194" i="849"/>
  <c r="D182" i="849"/>
  <c r="D170" i="849"/>
  <c r="D158" i="849"/>
  <c r="D146" i="849"/>
  <c r="D134" i="849"/>
  <c r="D122" i="849"/>
  <c r="D110" i="849"/>
  <c r="D98" i="849"/>
  <c r="D86" i="849"/>
  <c r="D74" i="849"/>
  <c r="D62" i="849"/>
  <c r="D50" i="849"/>
  <c r="D38" i="849"/>
  <c r="D26" i="849"/>
  <c r="D14" i="849"/>
  <c r="D148" i="832"/>
  <c r="D136" i="832"/>
  <c r="D124" i="832"/>
  <c r="D112" i="832"/>
  <c r="D100" i="832"/>
  <c r="D88" i="832"/>
  <c r="D76" i="832"/>
  <c r="D86" i="832"/>
  <c r="D38" i="832"/>
  <c r="D14" i="832"/>
  <c r="D208" i="849"/>
  <c r="D102" i="832"/>
  <c r="D217" i="849"/>
  <c r="D205" i="849"/>
  <c r="D193" i="849"/>
  <c r="D181" i="849"/>
  <c r="D169" i="849"/>
  <c r="D157" i="849"/>
  <c r="D145" i="849"/>
  <c r="D133" i="849"/>
  <c r="D121" i="849"/>
  <c r="D109" i="849"/>
  <c r="D97" i="849"/>
  <c r="D85" i="849"/>
  <c r="D73" i="849"/>
  <c r="D61" i="849"/>
  <c r="D49" i="849"/>
  <c r="D37" i="849"/>
  <c r="D25" i="849"/>
  <c r="D13" i="849"/>
  <c r="D147" i="832"/>
  <c r="D135" i="832"/>
  <c r="D123" i="832"/>
  <c r="D111" i="832"/>
  <c r="D99" i="832"/>
  <c r="D87" i="832"/>
  <c r="D75" i="832"/>
  <c r="D63" i="832"/>
  <c r="D51" i="832"/>
  <c r="D39" i="832"/>
  <c r="D27" i="832"/>
  <c r="D15" i="832"/>
  <c r="D134" i="832"/>
  <c r="D122" i="832"/>
  <c r="D30" i="832"/>
  <c r="D216" i="849"/>
  <c r="D204" i="849"/>
  <c r="D192" i="849"/>
  <c r="D180" i="849"/>
  <c r="D168" i="849"/>
  <c r="D156" i="849"/>
  <c r="D144" i="849"/>
  <c r="D132" i="849"/>
  <c r="D120" i="849"/>
  <c r="D108" i="849"/>
  <c r="D96" i="849"/>
  <c r="D84" i="849"/>
  <c r="D72" i="849"/>
  <c r="D60" i="849"/>
  <c r="D48" i="849"/>
  <c r="D36" i="849"/>
  <c r="D24" i="849"/>
  <c r="D12" i="849"/>
  <c r="D146" i="832"/>
  <c r="D100" i="849"/>
  <c r="D18" i="832"/>
  <c r="D215" i="849"/>
  <c r="D203" i="849"/>
  <c r="D191" i="849"/>
  <c r="D179" i="849"/>
  <c r="D167" i="849"/>
  <c r="D155" i="849"/>
  <c r="D143" i="849"/>
  <c r="D131" i="849"/>
  <c r="D119" i="849"/>
  <c r="D107" i="849"/>
  <c r="D95" i="849"/>
  <c r="D83" i="849"/>
  <c r="D71" i="849"/>
  <c r="D59" i="849"/>
  <c r="D47" i="849"/>
  <c r="D35" i="849"/>
  <c r="D23" i="849"/>
  <c r="D11" i="849"/>
  <c r="D145" i="832"/>
  <c r="D133" i="832"/>
  <c r="D121" i="832"/>
  <c r="D109" i="832"/>
  <c r="D97" i="832"/>
  <c r="D85" i="832"/>
  <c r="D73" i="832"/>
  <c r="D61" i="832"/>
  <c r="D49" i="832"/>
  <c r="D37" i="832"/>
  <c r="D25" i="832"/>
  <c r="D13" i="832"/>
  <c r="D83" i="832"/>
  <c r="D47" i="832"/>
  <c r="D23" i="832"/>
  <c r="D130" i="832"/>
  <c r="D94" i="832"/>
  <c r="D58" i="832"/>
  <c r="D22" i="832"/>
  <c r="D148" i="849"/>
  <c r="D66" i="832"/>
  <c r="D214" i="849"/>
  <c r="D202" i="849"/>
  <c r="D190" i="849"/>
  <c r="D178" i="849"/>
  <c r="D166" i="849"/>
  <c r="D154" i="849"/>
  <c r="D142" i="849"/>
  <c r="D130" i="849"/>
  <c r="D118" i="849"/>
  <c r="D106" i="849"/>
  <c r="D94" i="849"/>
  <c r="D82" i="849"/>
  <c r="D70" i="849"/>
  <c r="D58" i="849"/>
  <c r="D46" i="849"/>
  <c r="D34" i="849"/>
  <c r="D22" i="849"/>
  <c r="D10" i="849"/>
  <c r="D144" i="832"/>
  <c r="D132" i="832"/>
  <c r="D120" i="832"/>
  <c r="D108" i="832"/>
  <c r="D96" i="832"/>
  <c r="D84" i="832"/>
  <c r="D72" i="832"/>
  <c r="D60" i="832"/>
  <c r="D48" i="832"/>
  <c r="D36" i="832"/>
  <c r="D24" i="832"/>
  <c r="D12" i="832"/>
  <c r="D131" i="832"/>
  <c r="D119" i="832"/>
  <c r="D107" i="832"/>
  <c r="D95" i="832"/>
  <c r="D71" i="832"/>
  <c r="D59" i="832"/>
  <c r="D35" i="832"/>
  <c r="D11" i="832"/>
  <c r="D118" i="832"/>
  <c r="D82" i="832"/>
  <c r="D46" i="832"/>
  <c r="D10" i="832"/>
  <c r="D160" i="849"/>
  <c r="D52" i="849"/>
  <c r="D114" i="832"/>
  <c r="D213" i="849"/>
  <c r="D201" i="849"/>
  <c r="D189" i="849"/>
  <c r="D177" i="849"/>
  <c r="D165" i="849"/>
  <c r="D153" i="849"/>
  <c r="D141" i="849"/>
  <c r="D129" i="849"/>
  <c r="D117" i="849"/>
  <c r="D105" i="849"/>
  <c r="D93" i="849"/>
  <c r="D81" i="849"/>
  <c r="D69" i="849"/>
  <c r="D57" i="849"/>
  <c r="D45" i="849"/>
  <c r="D33" i="849"/>
  <c r="D21" i="849"/>
  <c r="D9" i="849"/>
  <c r="D143" i="832"/>
  <c r="D112" i="849"/>
  <c r="D138" i="832"/>
  <c r="D212" i="849"/>
  <c r="D200" i="849"/>
  <c r="D188" i="849"/>
  <c r="D176" i="849"/>
  <c r="D164" i="849"/>
  <c r="D152" i="849"/>
  <c r="D140" i="849"/>
  <c r="D128" i="849"/>
  <c r="D116" i="849"/>
  <c r="D104" i="849"/>
  <c r="D92" i="849"/>
  <c r="D80" i="849"/>
  <c r="D68" i="849"/>
  <c r="D56" i="849"/>
  <c r="D44" i="849"/>
  <c r="D32" i="849"/>
  <c r="D20" i="849"/>
  <c r="D154" i="832"/>
  <c r="D142" i="832"/>
  <c r="D106" i="832"/>
  <c r="D70" i="832"/>
  <c r="D34" i="832"/>
  <c r="D196" i="849"/>
  <c r="D211" i="849"/>
  <c r="D199" i="849"/>
  <c r="D187" i="849"/>
  <c r="D175" i="849"/>
  <c r="D163" i="849"/>
  <c r="D151" i="849"/>
  <c r="D139" i="849"/>
  <c r="D127" i="849"/>
  <c r="D115" i="849"/>
  <c r="D103" i="849"/>
  <c r="D91" i="849"/>
  <c r="D79" i="849"/>
  <c r="D67" i="849"/>
  <c r="D55" i="849"/>
  <c r="D43" i="849"/>
  <c r="D31" i="849"/>
  <c r="D19" i="849"/>
  <c r="D153" i="832"/>
  <c r="D141" i="832"/>
  <c r="D129" i="832"/>
  <c r="D117" i="832"/>
  <c r="D105" i="832"/>
  <c r="D93" i="832"/>
  <c r="D81" i="832"/>
  <c r="D69" i="832"/>
  <c r="D57" i="832"/>
  <c r="D45" i="832"/>
  <c r="D33" i="832"/>
  <c r="D21" i="832"/>
  <c r="D9" i="832"/>
  <c r="D20" i="832"/>
  <c r="D89" i="849"/>
  <c r="D151" i="832"/>
  <c r="D115" i="832"/>
  <c r="D79" i="832"/>
  <c r="D43" i="832"/>
  <c r="D172" i="849"/>
  <c r="D28" i="849"/>
  <c r="D90" i="832"/>
  <c r="D210" i="849"/>
  <c r="D198" i="849"/>
  <c r="D186" i="849"/>
  <c r="D174" i="849"/>
  <c r="D162" i="849"/>
  <c r="D150" i="849"/>
  <c r="D138" i="849"/>
  <c r="D126" i="849"/>
  <c r="D114" i="849"/>
  <c r="D102" i="849"/>
  <c r="D90" i="849"/>
  <c r="D78" i="849"/>
  <c r="D66" i="849"/>
  <c r="D54" i="849"/>
  <c r="D42" i="849"/>
  <c r="D30" i="849"/>
  <c r="D18" i="849"/>
  <c r="D152" i="832"/>
  <c r="D140" i="832"/>
  <c r="D128" i="832"/>
  <c r="D116" i="832"/>
  <c r="D104" i="832"/>
  <c r="D92" i="832"/>
  <c r="D80" i="832"/>
  <c r="D68" i="832"/>
  <c r="D56" i="832"/>
  <c r="D44" i="832"/>
  <c r="D32" i="832"/>
  <c r="D77" i="849"/>
  <c r="D41" i="849"/>
  <c r="D17" i="849"/>
  <c r="D127" i="832"/>
  <c r="D91" i="832"/>
  <c r="D67" i="832"/>
  <c r="D19" i="832"/>
  <c r="D124" i="849"/>
  <c r="D88" i="849"/>
  <c r="D40" i="849"/>
  <c r="D126" i="832"/>
  <c r="D209" i="849"/>
  <c r="D197" i="849"/>
  <c r="D185" i="849"/>
  <c r="D173" i="849"/>
  <c r="D161" i="849"/>
  <c r="D149" i="849"/>
  <c r="D137" i="849"/>
  <c r="D125" i="849"/>
  <c r="D113" i="849"/>
  <c r="D101" i="849"/>
  <c r="D65" i="849"/>
  <c r="D53" i="849"/>
  <c r="D29" i="849"/>
  <c r="D139" i="832"/>
  <c r="D103" i="832"/>
  <c r="D55" i="832"/>
  <c r="D184" i="849"/>
  <c r="D64" i="849"/>
  <c r="D150" i="832"/>
  <c r="D54" i="832"/>
  <c r="D42" i="832"/>
  <c r="D152" i="830"/>
  <c r="D151" i="830"/>
  <c r="D18" i="830"/>
  <c r="D66" i="830"/>
  <c r="D41" i="830"/>
  <c r="D64" i="830"/>
  <c r="D63" i="830"/>
  <c r="D9" i="830"/>
  <c r="D131" i="830"/>
  <c r="D73" i="830"/>
  <c r="D132" i="830"/>
  <c r="D94" i="830"/>
  <c r="D120" i="830"/>
  <c r="D45" i="830"/>
  <c r="D96" i="830"/>
  <c r="D110" i="830"/>
  <c r="D21" i="830"/>
  <c r="D117" i="830"/>
  <c r="D36" i="830"/>
  <c r="D50" i="830"/>
  <c r="D33" i="830"/>
  <c r="D85" i="830"/>
  <c r="D140" i="830"/>
  <c r="D139" i="830"/>
  <c r="D23" i="830"/>
  <c r="D54" i="830"/>
  <c r="D29" i="830"/>
  <c r="D52" i="830"/>
  <c r="D51" i="830"/>
  <c r="D146" i="830"/>
  <c r="D59" i="830"/>
  <c r="D61" i="830"/>
  <c r="D34" i="830"/>
  <c r="D37" i="830"/>
  <c r="D15" i="830"/>
  <c r="D84" i="830"/>
  <c r="D129" i="830"/>
  <c r="D74" i="830"/>
  <c r="D102" i="830"/>
  <c r="D20" i="830"/>
  <c r="D144" i="830"/>
  <c r="D128" i="830"/>
  <c r="D127" i="830"/>
  <c r="D106" i="830"/>
  <c r="D42" i="830"/>
  <c r="D17" i="830"/>
  <c r="D40" i="830"/>
  <c r="D39" i="830"/>
  <c r="D134" i="830"/>
  <c r="D118" i="830"/>
  <c r="D49" i="830"/>
  <c r="D108" i="830"/>
  <c r="D58" i="830"/>
  <c r="D10" i="830"/>
  <c r="D141" i="830"/>
  <c r="D13" i="830"/>
  <c r="D133" i="830"/>
  <c r="D99" i="830"/>
  <c r="D12" i="830"/>
  <c r="D78" i="830"/>
  <c r="D116" i="830"/>
  <c r="D115" i="830"/>
  <c r="D46" i="830"/>
  <c r="D30" i="830"/>
  <c r="D119" i="830"/>
  <c r="D28" i="830"/>
  <c r="D27" i="830"/>
  <c r="D122" i="830"/>
  <c r="D143" i="830"/>
  <c r="D98" i="830"/>
  <c r="D60" i="830"/>
  <c r="D43" i="830"/>
  <c r="D82" i="830"/>
  <c r="D53" i="830"/>
  <c r="D104" i="830"/>
  <c r="D103" i="830"/>
  <c r="D57" i="830"/>
  <c r="D149" i="830"/>
  <c r="D35" i="830"/>
  <c r="D16" i="830"/>
  <c r="D25" i="830"/>
  <c r="D107" i="830"/>
  <c r="D105" i="830"/>
  <c r="D100" i="830"/>
  <c r="D83" i="830"/>
  <c r="D14" i="830"/>
  <c r="D92" i="830"/>
  <c r="D91" i="830"/>
  <c r="D150" i="830"/>
  <c r="D137" i="830"/>
  <c r="D148" i="830"/>
  <c r="D147" i="830"/>
  <c r="D38" i="830"/>
  <c r="D72" i="830"/>
  <c r="D93" i="830"/>
  <c r="D109" i="830"/>
  <c r="D19" i="830"/>
  <c r="D80" i="830"/>
  <c r="D79" i="830"/>
  <c r="D138" i="830"/>
  <c r="D125" i="830"/>
  <c r="D136" i="830"/>
  <c r="D135" i="830"/>
  <c r="D24" i="830"/>
  <c r="D86" i="830"/>
  <c r="D145" i="830"/>
  <c r="D71" i="830"/>
  <c r="D68" i="830"/>
  <c r="D67" i="830"/>
  <c r="D126" i="830"/>
  <c r="D101" i="830"/>
  <c r="D124" i="830"/>
  <c r="D123" i="830"/>
  <c r="D95" i="830"/>
  <c r="D48" i="830"/>
  <c r="D130" i="830"/>
  <c r="D97" i="830"/>
  <c r="D75" i="830"/>
  <c r="D56" i="830"/>
  <c r="D55" i="830"/>
  <c r="D114" i="830"/>
  <c r="D89" i="830"/>
  <c r="D112" i="830"/>
  <c r="D111" i="830"/>
  <c r="D47" i="830"/>
  <c r="D62" i="830"/>
  <c r="D121" i="830"/>
  <c r="D142" i="830"/>
  <c r="D77" i="830"/>
  <c r="D69" i="830"/>
  <c r="D22" i="830"/>
  <c r="D44" i="830"/>
  <c r="D81" i="830"/>
  <c r="D11" i="830"/>
  <c r="D32" i="830"/>
  <c r="D31" i="830"/>
  <c r="D90" i="830"/>
  <c r="D65" i="830"/>
  <c r="D88" i="830"/>
  <c r="D87" i="830"/>
  <c r="D70" i="830"/>
  <c r="D26" i="830"/>
  <c r="D76" i="830"/>
  <c r="D224" i="849"/>
  <c r="D223" i="849"/>
  <c r="D222" i="849"/>
  <c r="D221" i="849"/>
  <c r="D220" i="849"/>
  <c r="B66" i="832"/>
  <c r="B88" i="830"/>
  <c r="C88" i="830"/>
  <c r="C66" i="832"/>
  <c r="C92" i="830"/>
  <c r="C110" i="830"/>
  <c r="B107" i="830"/>
  <c r="C96" i="830"/>
  <c r="B87" i="830"/>
  <c r="C97" i="830"/>
  <c r="B106" i="830"/>
  <c r="B100" i="830"/>
  <c r="C111" i="830"/>
  <c r="B105" i="830"/>
  <c r="C90" i="830"/>
  <c r="B95" i="830"/>
  <c r="C106" i="830"/>
  <c r="C89" i="830"/>
  <c r="C108" i="830"/>
  <c r="B94" i="830"/>
  <c r="C99" i="830"/>
  <c r="C101" i="830"/>
  <c r="C93" i="830"/>
  <c r="B97" i="830"/>
  <c r="C95" i="830"/>
  <c r="C100" i="830"/>
  <c r="C98" i="830"/>
  <c r="B89" i="830"/>
  <c r="B91" i="830"/>
  <c r="B92" i="830"/>
  <c r="B104" i="830"/>
  <c r="B98" i="830"/>
  <c r="B101" i="830"/>
  <c r="B103" i="830"/>
  <c r="C104" i="830"/>
  <c r="C102" i="830"/>
  <c r="B93" i="830"/>
  <c r="C91" i="830"/>
  <c r="C107" i="830"/>
  <c r="C109" i="830"/>
  <c r="B108" i="830"/>
  <c r="C103" i="830"/>
  <c r="C94" i="830"/>
  <c r="C112" i="830"/>
  <c r="C87" i="830"/>
  <c r="B99" i="830"/>
  <c r="B96" i="830"/>
  <c r="B90" i="830"/>
  <c r="C105" i="830"/>
  <c r="B102" i="830"/>
  <c r="B132" i="849"/>
  <c r="C132" i="849"/>
  <c r="C149" i="830"/>
  <c r="C145" i="830"/>
  <c r="C141" i="830"/>
  <c r="C137" i="830"/>
  <c r="C133" i="830"/>
  <c r="C129" i="830"/>
  <c r="C125" i="830"/>
  <c r="C121" i="830"/>
  <c r="C117" i="830"/>
  <c r="C85" i="830"/>
  <c r="C81" i="830"/>
  <c r="C77" i="830"/>
  <c r="C73" i="830"/>
  <c r="C69" i="830"/>
  <c r="C65" i="830"/>
  <c r="C61" i="830"/>
  <c r="C57" i="830"/>
  <c r="C53" i="830"/>
  <c r="C49" i="830"/>
  <c r="C45" i="830"/>
  <c r="C41" i="830"/>
  <c r="C37" i="830"/>
  <c r="C33" i="830"/>
  <c r="C29" i="830"/>
  <c r="C25" i="830"/>
  <c r="C21" i="830"/>
  <c r="C17" i="830"/>
  <c r="C13" i="830"/>
  <c r="C9" i="830"/>
  <c r="C151" i="832"/>
  <c r="C147" i="832"/>
  <c r="C143" i="832"/>
  <c r="C139" i="832"/>
  <c r="C135" i="832"/>
  <c r="C131" i="832"/>
  <c r="C127" i="832"/>
  <c r="C123" i="832"/>
  <c r="C119" i="832"/>
  <c r="C115" i="832"/>
  <c r="C111" i="832"/>
  <c r="C107" i="832"/>
  <c r="C103" i="832"/>
  <c r="C99" i="832"/>
  <c r="C95" i="832"/>
  <c r="C91" i="832"/>
  <c r="C87" i="832"/>
  <c r="C83" i="832"/>
  <c r="C79" i="832"/>
  <c r="C75" i="832"/>
  <c r="C71" i="832"/>
  <c r="C67" i="832"/>
  <c r="C62" i="832"/>
  <c r="C58" i="832"/>
  <c r="C54" i="832"/>
  <c r="C50" i="832"/>
  <c r="C46" i="832"/>
  <c r="C42" i="832"/>
  <c r="C38" i="832"/>
  <c r="C34" i="832"/>
  <c r="C30" i="832"/>
  <c r="C26" i="832"/>
  <c r="C22" i="832"/>
  <c r="C18" i="832"/>
  <c r="C14" i="832"/>
  <c r="C10" i="832"/>
  <c r="B18" i="832"/>
  <c r="B10" i="832"/>
  <c r="B36" i="832"/>
  <c r="B12" i="832"/>
  <c r="B149" i="830"/>
  <c r="B145" i="830"/>
  <c r="B141" i="830"/>
  <c r="B137" i="830"/>
  <c r="B133" i="830"/>
  <c r="B129" i="830"/>
  <c r="B125" i="830"/>
  <c r="B121" i="830"/>
  <c r="B117" i="830"/>
  <c r="B112" i="830"/>
  <c r="B85" i="830"/>
  <c r="B81" i="830"/>
  <c r="B77" i="830"/>
  <c r="B73" i="830"/>
  <c r="B69" i="830"/>
  <c r="B65" i="830"/>
  <c r="B61" i="830"/>
  <c r="B57" i="830"/>
  <c r="B53" i="830"/>
  <c r="B49" i="830"/>
  <c r="B45" i="830"/>
  <c r="B41" i="830"/>
  <c r="B37" i="830"/>
  <c r="B33" i="830"/>
  <c r="B29" i="830"/>
  <c r="B25" i="830"/>
  <c r="B21" i="830"/>
  <c r="B17" i="830"/>
  <c r="B13" i="830"/>
  <c r="B151" i="832"/>
  <c r="B147" i="832"/>
  <c r="B143" i="832"/>
  <c r="B139" i="832"/>
  <c r="B135" i="832"/>
  <c r="B131" i="832"/>
  <c r="B127" i="832"/>
  <c r="B123" i="832"/>
  <c r="B119" i="832"/>
  <c r="B115" i="832"/>
  <c r="B111" i="832"/>
  <c r="B107" i="832"/>
  <c r="B103" i="832"/>
  <c r="B99" i="832"/>
  <c r="B95" i="832"/>
  <c r="B91" i="832"/>
  <c r="B87" i="832"/>
  <c r="B83" i="832"/>
  <c r="B79" i="832"/>
  <c r="B75" i="832"/>
  <c r="B71" i="832"/>
  <c r="B67" i="832"/>
  <c r="B62" i="832"/>
  <c r="B58" i="832"/>
  <c r="B54" i="832"/>
  <c r="B50" i="832"/>
  <c r="B46" i="832"/>
  <c r="B42" i="832"/>
  <c r="B38" i="832"/>
  <c r="B34" i="832"/>
  <c r="B30" i="832"/>
  <c r="B26" i="832"/>
  <c r="B22" i="832"/>
  <c r="B14" i="832"/>
  <c r="B16" i="832"/>
  <c r="C152" i="830"/>
  <c r="C148" i="830"/>
  <c r="C144" i="830"/>
  <c r="C140" i="830"/>
  <c r="C136" i="830"/>
  <c r="C132" i="830"/>
  <c r="C128" i="830"/>
  <c r="C124" i="830"/>
  <c r="C120" i="830"/>
  <c r="C116" i="830"/>
  <c r="C84" i="830"/>
  <c r="C80" i="830"/>
  <c r="C76" i="830"/>
  <c r="C72" i="830"/>
  <c r="C68" i="830"/>
  <c r="C64" i="830"/>
  <c r="C60" i="830"/>
  <c r="C56" i="830"/>
  <c r="C52" i="830"/>
  <c r="C48" i="830"/>
  <c r="C44" i="830"/>
  <c r="C40" i="830"/>
  <c r="C36" i="830"/>
  <c r="C32" i="830"/>
  <c r="C28" i="830"/>
  <c r="C24" i="830"/>
  <c r="C20" i="830"/>
  <c r="C16" i="830"/>
  <c r="C12" i="830"/>
  <c r="C154" i="832"/>
  <c r="C150" i="832"/>
  <c r="C146" i="832"/>
  <c r="C142" i="832"/>
  <c r="C138" i="832"/>
  <c r="C134" i="832"/>
  <c r="C130" i="832"/>
  <c r="C126" i="832"/>
  <c r="C122" i="832"/>
  <c r="C118" i="832"/>
  <c r="C114" i="832"/>
  <c r="C110" i="832"/>
  <c r="C106" i="832"/>
  <c r="C102" i="832"/>
  <c r="C98" i="832"/>
  <c r="C94" i="832"/>
  <c r="C90" i="832"/>
  <c r="C86" i="832"/>
  <c r="C82" i="832"/>
  <c r="C78" i="832"/>
  <c r="C74" i="832"/>
  <c r="C70" i="832"/>
  <c r="C65" i="832"/>
  <c r="C61" i="832"/>
  <c r="C57" i="832"/>
  <c r="C53" i="832"/>
  <c r="C49" i="832"/>
  <c r="C45" i="832"/>
  <c r="C41" i="832"/>
  <c r="C37" i="832"/>
  <c r="C33" i="832"/>
  <c r="C29" i="832"/>
  <c r="C25" i="832"/>
  <c r="C21" i="832"/>
  <c r="C17" i="832"/>
  <c r="C13" i="832"/>
  <c r="B86" i="832"/>
  <c r="B78" i="832"/>
  <c r="B70" i="832"/>
  <c r="B61" i="832"/>
  <c r="B53" i="832"/>
  <c r="B45" i="832"/>
  <c r="B37" i="832"/>
  <c r="B29" i="832"/>
  <c r="B25" i="832"/>
  <c r="B17" i="832"/>
  <c r="B56" i="832"/>
  <c r="B32" i="832"/>
  <c r="B152" i="830"/>
  <c r="B148" i="830"/>
  <c r="B144" i="830"/>
  <c r="B140" i="830"/>
  <c r="B136" i="830"/>
  <c r="B132" i="830"/>
  <c r="B128" i="830"/>
  <c r="B124" i="830"/>
  <c r="B120" i="830"/>
  <c r="B116" i="830"/>
  <c r="B111" i="830"/>
  <c r="B84" i="830"/>
  <c r="B80" i="830"/>
  <c r="B76" i="830"/>
  <c r="B72" i="830"/>
  <c r="B68" i="830"/>
  <c r="B64" i="830"/>
  <c r="B60" i="830"/>
  <c r="B56" i="830"/>
  <c r="B52" i="830"/>
  <c r="B48" i="830"/>
  <c r="B44" i="830"/>
  <c r="B40" i="830"/>
  <c r="B36" i="830"/>
  <c r="B32" i="830"/>
  <c r="B28" i="830"/>
  <c r="B24" i="830"/>
  <c r="B20" i="830"/>
  <c r="B16" i="830"/>
  <c r="B12" i="830"/>
  <c r="B154" i="832"/>
  <c r="B150" i="832"/>
  <c r="B146" i="832"/>
  <c r="B142" i="832"/>
  <c r="B138" i="832"/>
  <c r="B134" i="832"/>
  <c r="B130" i="832"/>
  <c r="B126" i="832"/>
  <c r="B122" i="832"/>
  <c r="B118" i="832"/>
  <c r="B114" i="832"/>
  <c r="B110" i="832"/>
  <c r="B106" i="832"/>
  <c r="B102" i="832"/>
  <c r="B98" i="832"/>
  <c r="B94" i="832"/>
  <c r="B90" i="832"/>
  <c r="B82" i="832"/>
  <c r="B74" i="832"/>
  <c r="B65" i="832"/>
  <c r="B57" i="832"/>
  <c r="B49" i="832"/>
  <c r="B41" i="832"/>
  <c r="B33" i="832"/>
  <c r="B21" i="832"/>
  <c r="B13" i="832"/>
  <c r="B48" i="832"/>
  <c r="B20" i="832"/>
  <c r="C85" i="832"/>
  <c r="C73" i="832"/>
  <c r="C64" i="832"/>
  <c r="C56" i="832"/>
  <c r="C48" i="832"/>
  <c r="C40" i="832"/>
  <c r="C32" i="832"/>
  <c r="C24" i="832"/>
  <c r="C16" i="832"/>
  <c r="B52" i="832"/>
  <c r="B28" i="832"/>
  <c r="C151" i="830"/>
  <c r="C147" i="830"/>
  <c r="C143" i="830"/>
  <c r="C139" i="830"/>
  <c r="C135" i="830"/>
  <c r="C131" i="830"/>
  <c r="C127" i="830"/>
  <c r="C123" i="830"/>
  <c r="C119" i="830"/>
  <c r="C115" i="830"/>
  <c r="C83" i="830"/>
  <c r="C79" i="830"/>
  <c r="C75" i="830"/>
  <c r="C71" i="830"/>
  <c r="C67" i="830"/>
  <c r="C63" i="830"/>
  <c r="C59" i="830"/>
  <c r="C55" i="830"/>
  <c r="C51" i="830"/>
  <c r="C47" i="830"/>
  <c r="C43" i="830"/>
  <c r="C39" i="830"/>
  <c r="C35" i="830"/>
  <c r="C31" i="830"/>
  <c r="C27" i="830"/>
  <c r="C23" i="830"/>
  <c r="C19" i="830"/>
  <c r="C15" i="830"/>
  <c r="C11" i="830"/>
  <c r="C153" i="832"/>
  <c r="C149" i="832"/>
  <c r="C145" i="832"/>
  <c r="C141" i="832"/>
  <c r="C137" i="832"/>
  <c r="C133" i="832"/>
  <c r="C129" i="832"/>
  <c r="C125" i="832"/>
  <c r="C121" i="832"/>
  <c r="C117" i="832"/>
  <c r="C113" i="832"/>
  <c r="C109" i="832"/>
  <c r="C105" i="832"/>
  <c r="C101" i="832"/>
  <c r="C97" i="832"/>
  <c r="C93" i="832"/>
  <c r="C89" i="832"/>
  <c r="C81" i="832"/>
  <c r="C77" i="832"/>
  <c r="C69" i="832"/>
  <c r="C60" i="832"/>
  <c r="C52" i="832"/>
  <c r="C44" i="832"/>
  <c r="C36" i="832"/>
  <c r="C28" i="832"/>
  <c r="C20" i="832"/>
  <c r="C12" i="832"/>
  <c r="B44" i="832"/>
  <c r="B24" i="832"/>
  <c r="B151" i="830"/>
  <c r="B147" i="830"/>
  <c r="B143" i="830"/>
  <c r="B139" i="830"/>
  <c r="B135" i="830"/>
  <c r="B131" i="830"/>
  <c r="B127" i="830"/>
  <c r="B123" i="830"/>
  <c r="B119" i="830"/>
  <c r="B115" i="830"/>
  <c r="B110" i="830"/>
  <c r="B83" i="830"/>
  <c r="B79" i="830"/>
  <c r="B75" i="830"/>
  <c r="B71" i="830"/>
  <c r="B67" i="830"/>
  <c r="B63" i="830"/>
  <c r="B59" i="830"/>
  <c r="B55" i="830"/>
  <c r="B51" i="830"/>
  <c r="B47" i="830"/>
  <c r="B43" i="830"/>
  <c r="B39" i="830"/>
  <c r="B35" i="830"/>
  <c r="B31" i="830"/>
  <c r="B27" i="830"/>
  <c r="B23" i="830"/>
  <c r="B19" i="830"/>
  <c r="B15" i="830"/>
  <c r="B11" i="830"/>
  <c r="B153" i="832"/>
  <c r="B149" i="832"/>
  <c r="B145" i="832"/>
  <c r="B141" i="832"/>
  <c r="B137" i="832"/>
  <c r="B133" i="832"/>
  <c r="B129" i="832"/>
  <c r="B125" i="832"/>
  <c r="B121" i="832"/>
  <c r="B117" i="832"/>
  <c r="B113" i="832"/>
  <c r="B109" i="832"/>
  <c r="B105" i="832"/>
  <c r="B101" i="832"/>
  <c r="B97" i="832"/>
  <c r="B93" i="832"/>
  <c r="B89" i="832"/>
  <c r="B85" i="832"/>
  <c r="B81" i="832"/>
  <c r="B77" i="832"/>
  <c r="B73" i="832"/>
  <c r="B69" i="832"/>
  <c r="B64" i="832"/>
  <c r="B60" i="832"/>
  <c r="B40" i="832"/>
  <c r="C150" i="830"/>
  <c r="C146" i="830"/>
  <c r="C142" i="830"/>
  <c r="C138" i="830"/>
  <c r="C134" i="830"/>
  <c r="C130" i="830"/>
  <c r="C126" i="830"/>
  <c r="C122" i="830"/>
  <c r="C118" i="830"/>
  <c r="C114" i="830"/>
  <c r="C86" i="830"/>
  <c r="C82" i="830"/>
  <c r="C78" i="830"/>
  <c r="C74" i="830"/>
  <c r="C70" i="830"/>
  <c r="C66" i="830"/>
  <c r="C62" i="830"/>
  <c r="C58" i="830"/>
  <c r="C54" i="830"/>
  <c r="C50" i="830"/>
  <c r="C46" i="830"/>
  <c r="C42" i="830"/>
  <c r="C38" i="830"/>
  <c r="C34" i="830"/>
  <c r="C30" i="830"/>
  <c r="C26" i="830"/>
  <c r="C22" i="830"/>
  <c r="C18" i="830"/>
  <c r="C14" i="830"/>
  <c r="C10" i="830"/>
  <c r="C152" i="832"/>
  <c r="C148" i="832"/>
  <c r="C144" i="832"/>
  <c r="C140" i="832"/>
  <c r="C136" i="832"/>
  <c r="C132" i="832"/>
  <c r="C128" i="832"/>
  <c r="C124" i="832"/>
  <c r="C120" i="832"/>
  <c r="C116" i="832"/>
  <c r="C112" i="832"/>
  <c r="C108" i="832"/>
  <c r="C104" i="832"/>
  <c r="C100" i="832"/>
  <c r="C96" i="832"/>
  <c r="C92" i="832"/>
  <c r="C88" i="832"/>
  <c r="C84" i="832"/>
  <c r="C80" i="832"/>
  <c r="C76" i="832"/>
  <c r="C72" i="832"/>
  <c r="C68" i="832"/>
  <c r="C63" i="832"/>
  <c r="C59" i="832"/>
  <c r="C55" i="832"/>
  <c r="C51" i="832"/>
  <c r="C47" i="832"/>
  <c r="C43" i="832"/>
  <c r="C39" i="832"/>
  <c r="C35" i="832"/>
  <c r="C31" i="832"/>
  <c r="C27" i="832"/>
  <c r="C23" i="832"/>
  <c r="C19" i="832"/>
  <c r="C15" i="832"/>
  <c r="C11" i="832"/>
  <c r="B27" i="832"/>
  <c r="B19" i="832"/>
  <c r="B150" i="830"/>
  <c r="B146" i="830"/>
  <c r="B142" i="830"/>
  <c r="B138" i="830"/>
  <c r="B134" i="830"/>
  <c r="B130" i="830"/>
  <c r="B126" i="830"/>
  <c r="B122" i="830"/>
  <c r="B118" i="830"/>
  <c r="B114" i="830"/>
  <c r="B109" i="830"/>
  <c r="B86" i="830"/>
  <c r="B82" i="830"/>
  <c r="B78" i="830"/>
  <c r="B74" i="830"/>
  <c r="B70" i="830"/>
  <c r="B66" i="830"/>
  <c r="B62" i="830"/>
  <c r="B58" i="830"/>
  <c r="B54" i="830"/>
  <c r="B50" i="830"/>
  <c r="B46" i="830"/>
  <c r="B42" i="830"/>
  <c r="B38" i="830"/>
  <c r="B34" i="830"/>
  <c r="B30" i="830"/>
  <c r="B26" i="830"/>
  <c r="B22" i="830"/>
  <c r="B18" i="830"/>
  <c r="B14" i="830"/>
  <c r="B10" i="830"/>
  <c r="B152" i="832"/>
  <c r="B148" i="832"/>
  <c r="B144" i="832"/>
  <c r="B140" i="832"/>
  <c r="B136" i="832"/>
  <c r="B132" i="832"/>
  <c r="B128" i="832"/>
  <c r="B124" i="832"/>
  <c r="B120" i="832"/>
  <c r="B116" i="832"/>
  <c r="B112" i="832"/>
  <c r="B108" i="832"/>
  <c r="B104" i="832"/>
  <c r="B100" i="832"/>
  <c r="B96" i="832"/>
  <c r="B92" i="832"/>
  <c r="B88" i="832"/>
  <c r="B84" i="832"/>
  <c r="B80" i="832"/>
  <c r="B76" i="832"/>
  <c r="B72" i="832"/>
  <c r="B68" i="832"/>
  <c r="B63" i="832"/>
  <c r="B59" i="832"/>
  <c r="B55" i="832"/>
  <c r="B51" i="832"/>
  <c r="B47" i="832"/>
  <c r="B43" i="832"/>
  <c r="B39" i="832"/>
  <c r="B35" i="832"/>
  <c r="B31" i="832"/>
  <c r="B23" i="832"/>
  <c r="B15" i="832"/>
  <c r="B11" i="832"/>
  <c r="B9" i="830"/>
  <c r="B131" i="849"/>
  <c r="C131" i="849"/>
  <c r="B101" i="849"/>
  <c r="B18" i="849"/>
  <c r="C18" i="849"/>
  <c r="C92" i="849"/>
  <c r="B92" i="849"/>
  <c r="B232" i="849"/>
  <c r="B234" i="849"/>
  <c r="B233" i="849"/>
  <c r="B231" i="849"/>
  <c r="B230" i="849"/>
  <c r="B145" i="849"/>
  <c r="B149" i="849"/>
  <c r="B153" i="849"/>
  <c r="C153" i="849"/>
  <c r="B146" i="849"/>
  <c r="B151" i="849"/>
  <c r="C145" i="849"/>
  <c r="C149" i="849"/>
  <c r="C150" i="849"/>
  <c r="B150" i="849"/>
  <c r="B152" i="849"/>
  <c r="B142" i="849"/>
  <c r="C142" i="849"/>
  <c r="C146" i="849"/>
  <c r="B143" i="849"/>
  <c r="B147" i="849"/>
  <c r="C143" i="849"/>
  <c r="C147" i="849"/>
  <c r="C151" i="849"/>
  <c r="B144" i="849"/>
  <c r="B148" i="849"/>
  <c r="C144" i="849"/>
  <c r="C148" i="849"/>
  <c r="C152" i="849"/>
  <c r="B166" i="849"/>
  <c r="C166" i="849"/>
  <c r="B167" i="849"/>
  <c r="C167" i="849"/>
  <c r="B122" i="849"/>
  <c r="B39" i="849"/>
  <c r="B57" i="849"/>
  <c r="B258" i="849"/>
  <c r="B189" i="849"/>
  <c r="B43" i="849"/>
  <c r="B89" i="849"/>
  <c r="B190" i="849"/>
  <c r="B40" i="849"/>
  <c r="B162" i="849"/>
  <c r="B185" i="849"/>
  <c r="B58" i="849"/>
  <c r="B307" i="849"/>
  <c r="B165" i="849"/>
  <c r="B14" i="849"/>
  <c r="B135" i="849"/>
  <c r="B81" i="849"/>
  <c r="B86" i="849"/>
  <c r="B159" i="849"/>
  <c r="B245" i="849"/>
  <c r="B98" i="849"/>
  <c r="B268" i="849"/>
  <c r="B209" i="849"/>
  <c r="B312" i="849"/>
  <c r="B171" i="849"/>
  <c r="B20" i="849"/>
  <c r="B181" i="849"/>
  <c r="B31" i="849"/>
  <c r="B274" i="849"/>
  <c r="B127" i="849"/>
  <c r="B225" i="849"/>
  <c r="B77" i="849"/>
  <c r="B178" i="849"/>
  <c r="B28" i="849"/>
  <c r="B121" i="849"/>
  <c r="B110" i="849"/>
  <c r="B193" i="849"/>
  <c r="B290" i="849"/>
  <c r="B222" i="849"/>
  <c r="B94" i="849"/>
  <c r="B174" i="849"/>
  <c r="B311" i="849"/>
  <c r="B215" i="849"/>
  <c r="B65" i="849"/>
  <c r="B308" i="849"/>
  <c r="B15" i="849"/>
  <c r="B72" i="849"/>
  <c r="B108" i="849"/>
  <c r="B99" i="849"/>
  <c r="B315" i="849"/>
  <c r="B254" i="849"/>
  <c r="B212" i="849"/>
  <c r="B62" i="849"/>
  <c r="B316" i="849"/>
  <c r="B267" i="849"/>
  <c r="B278" i="849"/>
  <c r="B45" i="849"/>
  <c r="B221" i="849"/>
  <c r="B73" i="849"/>
  <c r="B198" i="849"/>
  <c r="B134" i="849"/>
  <c r="B95" i="849"/>
  <c r="B288" i="849"/>
  <c r="B299" i="849"/>
  <c r="B157" i="849"/>
  <c r="B250" i="849"/>
  <c r="B103" i="849"/>
  <c r="B203" i="849"/>
  <c r="B53" i="849"/>
  <c r="B296" i="849"/>
  <c r="B154" i="849"/>
  <c r="B24" i="849"/>
  <c r="B71" i="849"/>
  <c r="B111" i="849"/>
  <c r="B257" i="849"/>
  <c r="B266" i="849"/>
  <c r="B286" i="849"/>
  <c r="B74" i="849"/>
  <c r="B300" i="849"/>
  <c r="B138" i="849"/>
  <c r="B124" i="849"/>
  <c r="B23" i="849"/>
  <c r="B243" i="849"/>
  <c r="B141" i="849"/>
  <c r="B170" i="849"/>
  <c r="B115" i="849"/>
  <c r="B283" i="849"/>
  <c r="B36" i="849"/>
  <c r="B271" i="849"/>
  <c r="B208" i="849"/>
  <c r="B211" i="849"/>
  <c r="B46" i="849"/>
  <c r="B313" i="849"/>
  <c r="B238" i="849"/>
  <c r="B191" i="849"/>
  <c r="B41" i="849"/>
  <c r="B284" i="849"/>
  <c r="B139" i="849"/>
  <c r="B259" i="849"/>
  <c r="B112" i="849"/>
  <c r="B188" i="849"/>
  <c r="B38" i="849"/>
  <c r="B220" i="849"/>
  <c r="B197" i="849"/>
  <c r="B196" i="849"/>
  <c r="B199" i="849"/>
  <c r="B49" i="849"/>
  <c r="B97" i="849"/>
  <c r="B59" i="849"/>
  <c r="B21" i="849"/>
  <c r="B301" i="849"/>
  <c r="B264" i="849"/>
  <c r="B117" i="849"/>
  <c r="B275" i="849"/>
  <c r="B128" i="849"/>
  <c r="B226" i="849"/>
  <c r="B78" i="849"/>
  <c r="B179" i="849"/>
  <c r="B29" i="849"/>
  <c r="B272" i="849"/>
  <c r="B125" i="849"/>
  <c r="B27" i="849"/>
  <c r="B186" i="849"/>
  <c r="B246" i="849"/>
  <c r="B183" i="849"/>
  <c r="B304" i="849"/>
  <c r="B32" i="849"/>
  <c r="B244" i="849"/>
  <c r="B19" i="849"/>
  <c r="B200" i="849"/>
  <c r="B256" i="849"/>
  <c r="B96" i="849"/>
  <c r="B90" i="849"/>
  <c r="B247" i="849"/>
  <c r="B100" i="849"/>
  <c r="B82" i="849"/>
  <c r="B318" i="849"/>
  <c r="B176" i="849"/>
  <c r="B26" i="849"/>
  <c r="B175" i="849"/>
  <c r="B161" i="849"/>
  <c r="B133" i="849"/>
  <c r="B187" i="849"/>
  <c r="B37" i="849"/>
  <c r="B48" i="849"/>
  <c r="B35" i="849"/>
  <c r="B289" i="849"/>
  <c r="B252" i="849"/>
  <c r="B105" i="849"/>
  <c r="B263" i="849"/>
  <c r="B116" i="849"/>
  <c r="B216" i="849"/>
  <c r="B66" i="849"/>
  <c r="B309" i="849"/>
  <c r="B168" i="849"/>
  <c r="B16" i="849"/>
  <c r="B260" i="849"/>
  <c r="B113" i="849"/>
  <c r="B172" i="849"/>
  <c r="B207" i="849"/>
  <c r="B237" i="849"/>
  <c r="B85" i="849"/>
  <c r="B160" i="849"/>
  <c r="B158" i="849"/>
  <c r="B262" i="849"/>
  <c r="B61" i="849"/>
  <c r="B129" i="849"/>
  <c r="B287" i="849"/>
  <c r="B235" i="849"/>
  <c r="B87" i="849"/>
  <c r="B22" i="849"/>
  <c r="B306" i="849"/>
  <c r="B164" i="849"/>
  <c r="B13" i="849"/>
  <c r="B109" i="849"/>
  <c r="B120" i="849"/>
  <c r="B70" i="849"/>
  <c r="B317" i="849"/>
  <c r="B25" i="849"/>
  <c r="B277" i="849"/>
  <c r="B240" i="849"/>
  <c r="B93" i="849"/>
  <c r="B251" i="849"/>
  <c r="B104" i="849"/>
  <c r="B204" i="849"/>
  <c r="B54" i="849"/>
  <c r="B297" i="849"/>
  <c r="B155" i="849"/>
  <c r="B248" i="849"/>
  <c r="B106" i="849"/>
  <c r="B34" i="849"/>
  <c r="B295" i="849"/>
  <c r="B84" i="849"/>
  <c r="B60" i="849"/>
  <c r="B83" i="849"/>
  <c r="B9" i="849"/>
  <c r="B305" i="849"/>
  <c r="B163" i="849"/>
  <c r="B12" i="849"/>
  <c r="B9" i="832"/>
  <c r="B314" i="849"/>
  <c r="B265" i="849"/>
  <c r="B228" i="849"/>
  <c r="B80" i="849"/>
  <c r="B239" i="849"/>
  <c r="B91" i="849"/>
  <c r="B192" i="849"/>
  <c r="B42" i="849"/>
  <c r="B285" i="849"/>
  <c r="B140" i="849"/>
  <c r="B236" i="849"/>
  <c r="B88" i="849"/>
  <c r="B50" i="849"/>
  <c r="B276" i="849"/>
  <c r="B319" i="849"/>
  <c r="B223" i="849"/>
  <c r="B75" i="849"/>
  <c r="B294" i="849"/>
  <c r="B213" i="849"/>
  <c r="B63" i="849"/>
  <c r="B279" i="849"/>
  <c r="B282" i="849"/>
  <c r="B137" i="849"/>
  <c r="B11" i="849"/>
  <c r="B47" i="849"/>
  <c r="B293" i="849"/>
  <c r="B195" i="849"/>
  <c r="B242" i="849"/>
  <c r="B253" i="849"/>
  <c r="B218" i="849"/>
  <c r="B68" i="849"/>
  <c r="B130" i="849"/>
  <c r="B227" i="849"/>
  <c r="B79" i="849"/>
  <c r="B180" i="849"/>
  <c r="B30" i="849"/>
  <c r="B273" i="849"/>
  <c r="B126" i="849"/>
  <c r="B224" i="849"/>
  <c r="B76" i="849"/>
  <c r="B291" i="849"/>
  <c r="B302" i="849"/>
  <c r="B201" i="849"/>
  <c r="B51" i="849"/>
  <c r="B292" i="849"/>
  <c r="B10" i="849"/>
  <c r="B270" i="849"/>
  <c r="B123" i="849"/>
  <c r="B281" i="849"/>
  <c r="B136" i="849"/>
  <c r="B118" i="849"/>
  <c r="B173" i="849"/>
  <c r="B241" i="849"/>
  <c r="B206" i="849"/>
  <c r="B56" i="849"/>
  <c r="B33" i="849"/>
  <c r="B217" i="849"/>
  <c r="B67" i="849"/>
  <c r="B310" i="849"/>
  <c r="B169" i="849"/>
  <c r="B17" i="849"/>
  <c r="B261" i="849"/>
  <c r="B114" i="849"/>
  <c r="B214" i="849"/>
  <c r="B64" i="849"/>
  <c r="B280" i="849"/>
  <c r="B255" i="849"/>
  <c r="B184" i="849"/>
  <c r="B269" i="849"/>
  <c r="B303" i="849"/>
  <c r="B69" i="849"/>
  <c r="B107" i="849"/>
  <c r="B229" i="849"/>
  <c r="B194" i="849"/>
  <c r="B44" i="849"/>
  <c r="B205" i="849"/>
  <c r="B55" i="849"/>
  <c r="B298" i="849"/>
  <c r="B156" i="849"/>
  <c r="B249" i="849"/>
  <c r="B102" i="849"/>
  <c r="B202" i="849"/>
  <c r="B52" i="849"/>
  <c r="B210" i="849"/>
  <c r="B219" i="849"/>
  <c r="B119" i="849"/>
  <c r="C33" i="849"/>
  <c r="C171" i="849"/>
  <c r="C164" i="849"/>
  <c r="C217" i="849"/>
  <c r="C211" i="849"/>
  <c r="C205" i="849"/>
  <c r="C199" i="849"/>
  <c r="C193" i="849"/>
  <c r="C187" i="849"/>
  <c r="C181" i="849"/>
  <c r="C163" i="849"/>
  <c r="C157" i="849"/>
  <c r="C139" i="849"/>
  <c r="C133" i="849"/>
  <c r="C125" i="849"/>
  <c r="C119" i="849"/>
  <c r="C113" i="849"/>
  <c r="C107" i="849"/>
  <c r="C101" i="849"/>
  <c r="C95" i="849"/>
  <c r="C88" i="849"/>
  <c r="C82" i="849"/>
  <c r="C76" i="849"/>
  <c r="C70" i="849"/>
  <c r="C64" i="849"/>
  <c r="C58" i="849"/>
  <c r="C52" i="849"/>
  <c r="C46" i="849"/>
  <c r="C40" i="849"/>
  <c r="C34" i="849"/>
  <c r="C28" i="849"/>
  <c r="C22" i="849"/>
  <c r="C15" i="849"/>
  <c r="C45" i="849"/>
  <c r="C51" i="849"/>
  <c r="C175" i="849"/>
  <c r="C170" i="849"/>
  <c r="C216" i="849"/>
  <c r="C210" i="849"/>
  <c r="C204" i="849"/>
  <c r="C198" i="849"/>
  <c r="C192" i="849"/>
  <c r="C186" i="849"/>
  <c r="C180" i="849"/>
  <c r="C162" i="849"/>
  <c r="C156" i="849"/>
  <c r="C138" i="849"/>
  <c r="C130" i="849"/>
  <c r="C124" i="849"/>
  <c r="C118" i="849"/>
  <c r="C112" i="849"/>
  <c r="C106" i="849"/>
  <c r="C100" i="849"/>
  <c r="C94" i="849"/>
  <c r="C87" i="849"/>
  <c r="C81" i="849"/>
  <c r="C75" i="849"/>
  <c r="C69" i="849"/>
  <c r="C63" i="849"/>
  <c r="C57" i="849"/>
  <c r="C27" i="849"/>
  <c r="C21" i="849"/>
  <c r="C14" i="849"/>
  <c r="C174" i="849"/>
  <c r="C169" i="849"/>
  <c r="C215" i="849"/>
  <c r="C209" i="849"/>
  <c r="C203" i="849"/>
  <c r="C197" i="849"/>
  <c r="C191" i="849"/>
  <c r="C185" i="849"/>
  <c r="C179" i="849"/>
  <c r="C161" i="849"/>
  <c r="C155" i="849"/>
  <c r="C137" i="849"/>
  <c r="C129" i="849"/>
  <c r="C123" i="849"/>
  <c r="C117" i="849"/>
  <c r="C111" i="849"/>
  <c r="C105" i="849"/>
  <c r="C99" i="849"/>
  <c r="C93" i="849"/>
  <c r="C86" i="849"/>
  <c r="C80" i="849"/>
  <c r="C74" i="849"/>
  <c r="C68" i="849"/>
  <c r="C62" i="849"/>
  <c r="C56" i="849"/>
  <c r="C50" i="849"/>
  <c r="C44" i="849"/>
  <c r="C38" i="849"/>
  <c r="C32" i="849"/>
  <c r="C26" i="849"/>
  <c r="C20" i="849"/>
  <c r="C13" i="849"/>
  <c r="C173" i="849"/>
  <c r="C168" i="849"/>
  <c r="C214" i="849"/>
  <c r="C208" i="849"/>
  <c r="C202" i="849"/>
  <c r="C196" i="849"/>
  <c r="C190" i="849"/>
  <c r="C184" i="849"/>
  <c r="C178" i="849"/>
  <c r="C160" i="849"/>
  <c r="C154" i="849"/>
  <c r="C136" i="849"/>
  <c r="C128" i="849"/>
  <c r="C122" i="849"/>
  <c r="C116" i="849"/>
  <c r="C110" i="849"/>
  <c r="C104" i="849"/>
  <c r="C98" i="849"/>
  <c r="C91" i="849"/>
  <c r="C85" i="849"/>
  <c r="C79" i="849"/>
  <c r="C73" i="849"/>
  <c r="C67" i="849"/>
  <c r="C61" i="849"/>
  <c r="C55" i="849"/>
  <c r="C49" i="849"/>
  <c r="C43" i="849"/>
  <c r="C37" i="849"/>
  <c r="C31" i="849"/>
  <c r="C25" i="849"/>
  <c r="C19" i="849"/>
  <c r="C12" i="849"/>
  <c r="C172" i="849"/>
  <c r="C213" i="849"/>
  <c r="C207" i="849"/>
  <c r="C201" i="849"/>
  <c r="C195" i="849"/>
  <c r="C189" i="849"/>
  <c r="C183" i="849"/>
  <c r="C177" i="849"/>
  <c r="C159" i="849"/>
  <c r="C141" i="849"/>
  <c r="C135" i="849"/>
  <c r="C127" i="849"/>
  <c r="C121" i="849"/>
  <c r="C115" i="849"/>
  <c r="C109" i="849"/>
  <c r="C103" i="849"/>
  <c r="C97" i="849"/>
  <c r="C90" i="849"/>
  <c r="C84" i="849"/>
  <c r="C78" i="849"/>
  <c r="C72" i="849"/>
  <c r="C66" i="849"/>
  <c r="C60" i="849"/>
  <c r="C54" i="849"/>
  <c r="C48" i="849"/>
  <c r="C42" i="849"/>
  <c r="C36" i="849"/>
  <c r="C30" i="849"/>
  <c r="C24" i="849"/>
  <c r="C17" i="849"/>
  <c r="C11" i="849"/>
  <c r="C165" i="849"/>
  <c r="C218" i="849"/>
  <c r="C212" i="849"/>
  <c r="C206" i="849"/>
  <c r="C200" i="849"/>
  <c r="C194" i="849"/>
  <c r="C188" i="849"/>
  <c r="C182" i="849"/>
  <c r="C176" i="849"/>
  <c r="C158" i="849"/>
  <c r="C140" i="849"/>
  <c r="C134" i="849"/>
  <c r="C126" i="849"/>
  <c r="C120" i="849"/>
  <c r="C114" i="849"/>
  <c r="C108" i="849"/>
  <c r="C102" i="849"/>
  <c r="C96" i="849"/>
  <c r="C89" i="849"/>
  <c r="C83" i="849"/>
  <c r="C77" i="849"/>
  <c r="C71" i="849"/>
  <c r="C65" i="849"/>
  <c r="C59" i="849"/>
  <c r="C53" i="849"/>
  <c r="C47" i="849"/>
  <c r="C41" i="849"/>
  <c r="C35" i="849"/>
  <c r="C29" i="849"/>
  <c r="C23" i="849"/>
  <c r="C16" i="849"/>
  <c r="C10" i="849"/>
  <c r="C39" i="849"/>
  <c r="C224" i="849"/>
  <c r="C223" i="849"/>
  <c r="C222" i="849"/>
  <c r="C221" i="849"/>
  <c r="C220" i="849"/>
  <c r="C219" i="849"/>
  <c r="C9" i="849"/>
  <c r="A6" i="750" l="1"/>
  <c r="A5" i="750"/>
  <c r="A4" i="750"/>
  <c r="A3" i="750"/>
  <c r="A2" i="750"/>
  <c r="F5" i="750" l="1"/>
  <c r="C5" i="849"/>
  <c r="C5" i="832"/>
  <c r="C5" i="830"/>
  <c r="C5" i="749"/>
  <c r="A6" i="832" l="1"/>
  <c r="A5" i="832"/>
  <c r="A4" i="832"/>
  <c r="A3" i="832"/>
  <c r="A2" i="832"/>
  <c r="A6" i="830" l="1"/>
  <c r="A5" i="830"/>
  <c r="A4" i="830"/>
  <c r="A3" i="830"/>
  <c r="A2" i="830"/>
  <c r="C9" i="832" l="1"/>
  <c r="B182" i="849"/>
  <c r="B177" i="849"/>
  <c r="C231" i="7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1CF968-B184-4662-8A47-484D04DA1356}" name="Falso" type="6" refreshedVersion="0" background="1">
    <textPr prompt="0" sourceFile="Falso" decimal="," thousands=".">
      <textFields>
        <textField/>
      </textFields>
    </textPr>
  </connection>
  <connection id="2" xr16:uid="{689F718F-7FA5-4814-A78E-9CD798989A03}" name="Falso1" type="6" refreshedVersion="0" background="1">
    <textPr prompt="0" sourceFile="Falso" decimal="," thousands=".">
      <textFields>
        <textField/>
      </textFields>
    </textPr>
  </connection>
  <connection id="3" xr16:uid="{A01C605F-7072-4AF2-8B6F-7E84CD51F959}" name="Falso10" type="6" refreshedVersion="0" background="1">
    <textPr prompt="0" sourceFile="Falso" decimal="," thousands=".">
      <textFields>
        <textField/>
      </textFields>
    </textPr>
  </connection>
  <connection id="4" xr16:uid="{AE2C55B8-1B92-4AF1-9108-8A14A5E9FDC9}" name="Falso11" type="6" refreshedVersion="0" background="1">
    <textPr prompt="0" sourceFile="Falso" decimal="," thousands=".">
      <textFields>
        <textField/>
      </textFields>
    </textPr>
  </connection>
  <connection id="5" xr16:uid="{6D482658-E8C2-4C07-AAFB-B75C6BEADF6C}" name="Falso12" type="6" refreshedVersion="0" background="1">
    <textPr prompt="0" sourceFile="Falso" decimal="," thousands=".">
      <textFields>
        <textField/>
      </textFields>
    </textPr>
  </connection>
  <connection id="6" xr16:uid="{6CD054E5-05D3-499A-AE48-7DCD82AA8ED1}" name="Falso13" type="6" refreshedVersion="0" background="1">
    <textPr prompt="0" sourceFile="Falso" decimal="," thousands=".">
      <textFields>
        <textField/>
      </textFields>
    </textPr>
  </connection>
  <connection id="7" xr16:uid="{29378A1A-C202-43D9-9127-3D09DD85671F}" name="Falso14" type="6" refreshedVersion="0" background="1">
    <textPr prompt="0" sourceFile="Falso" decimal="," thousands=".">
      <textFields>
        <textField/>
      </textFields>
    </textPr>
  </connection>
  <connection id="8" xr16:uid="{31C9439C-B258-4616-8279-28C1DF1CA783}" name="Falso15" type="6" refreshedVersion="0" background="1">
    <textPr prompt="0" sourceFile="Falso" decimal="," thousands=".">
      <textFields>
        <textField/>
      </textFields>
    </textPr>
  </connection>
  <connection id="9" xr16:uid="{6F4A0FF2-DA05-40CF-9742-DFA80C6C7E7B}" name="Falso16" type="6" refreshedVersion="0" background="1">
    <textPr prompt="0" sourceFile="Falso" decimal="," thousands=".">
      <textFields>
        <textField/>
      </textFields>
    </textPr>
  </connection>
  <connection id="10" xr16:uid="{6FA83C88-C632-40F3-8BCC-AE1E5920CF4B}" name="Falso2" type="6" refreshedVersion="0" background="1">
    <textPr prompt="0" sourceFile="Falso" decimal="," thousands=".">
      <textFields>
        <textField/>
      </textFields>
    </textPr>
  </connection>
  <connection id="11" xr16:uid="{5C1C4716-D2C3-4A16-9CE9-B46ECBD7E6C2}" name="Falso3" type="6" refreshedVersion="0" background="1">
    <textPr prompt="0" sourceFile="Falso" thousands=".">
      <textFields>
        <textField/>
      </textFields>
    </textPr>
  </connection>
  <connection id="12" xr16:uid="{F2911D9A-5DCB-47DA-A68A-2FE34E1E723B}" name="Falso4" type="6" refreshedVersion="0" background="1">
    <textPr prompt="0" sourceFile="Falso" decimal="," thousands=".">
      <textFields>
        <textField/>
      </textFields>
    </textPr>
  </connection>
  <connection id="13" xr16:uid="{FEEE299C-1B87-46C0-9A29-4706040500B3}" name="Falso5" type="6" refreshedVersion="0" background="1">
    <textPr prompt="0" sourceFile="Falso" decimal="," thousands=".">
      <textFields>
        <textField/>
      </textFields>
    </textPr>
  </connection>
  <connection id="14" xr16:uid="{A6BF89B8-B361-4DD8-8927-F07E51AAFD30}" name="Falso6" type="6" refreshedVersion="0" background="1">
    <textPr prompt="0" sourceFile="Falso" decimal="," thousands=".">
      <textFields>
        <textField/>
      </textFields>
    </textPr>
  </connection>
  <connection id="15" xr16:uid="{95982315-1763-4F83-B4FE-C6342AE455F4}" name="Falso7" type="6" refreshedVersion="0" background="1">
    <textPr prompt="0" sourceFile="Falso" decimal="," thousands=".">
      <textFields>
        <textField/>
      </textFields>
    </textPr>
  </connection>
  <connection id="16" xr16:uid="{7B53F839-E5B3-4DAF-8A27-177C6D246EBC}" name="Falso8" type="6" refreshedVersion="0" background="1">
    <textPr prompt="0" sourceFile="Falso" decimal="," thousands=".">
      <textFields>
        <textField/>
      </textFields>
    </textPr>
  </connection>
  <connection id="17" xr16:uid="{8861B7F1-37F2-46D1-B2EA-FC0C9A241A81}" name="Falso9" type="6" refreshedVersion="0" background="1">
    <textPr prompt="0" sourceFile="Falso" decimal="," thousands=".">
      <textFields>
        <textField/>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<sst xmlns="http://schemas.openxmlformats.org/spreadsheetml/2006/main" count="1193" uniqueCount="614">
  <si>
    <t>JOB NUMBER</t>
  </si>
  <si>
    <t>:</t>
  </si>
  <si>
    <t>End User Name</t>
  </si>
  <si>
    <t>Engineering Contractor Name</t>
  </si>
  <si>
    <t>Project Name</t>
  </si>
  <si>
    <t>Country Of Installation</t>
  </si>
  <si>
    <t>REV.</t>
  </si>
  <si>
    <t>COMPILED</t>
  </si>
  <si>
    <t>APPROVED</t>
  </si>
  <si>
    <t>DATA</t>
  </si>
  <si>
    <t>TECHNICAL SUMMARY</t>
  </si>
  <si>
    <t>Internal order</t>
  </si>
  <si>
    <t>Item Number</t>
  </si>
  <si>
    <t>Quantity</t>
  </si>
  <si>
    <t>Pump Type</t>
  </si>
  <si>
    <t>Pump Size</t>
  </si>
  <si>
    <t>Stages</t>
  </si>
  <si>
    <t>API Material Class</t>
  </si>
  <si>
    <t>Onshore/Offshore</t>
  </si>
  <si>
    <t>Hazardous Environment</t>
  </si>
  <si>
    <t>Hazardous Area</t>
  </si>
  <si>
    <t>Other Applicable International Standards</t>
  </si>
  <si>
    <t>Which are the contractual tolerances on performance?</t>
  </si>
  <si>
    <t>Penalty on performance</t>
  </si>
  <si>
    <t>Penalty on delivery</t>
  </si>
  <si>
    <t>Other Penalties</t>
  </si>
  <si>
    <t>General Note 1</t>
  </si>
  <si>
    <t>General Note 2</t>
  </si>
  <si>
    <t>General Note 3</t>
  </si>
  <si>
    <t>General Note 4</t>
  </si>
  <si>
    <t>General Note 5</t>
  </si>
  <si>
    <t>Are barrel calculations required BY CLIENT?</t>
  </si>
  <si>
    <t>Seal API Code</t>
  </si>
  <si>
    <t>Primary Seal Flush Plan</t>
  </si>
  <si>
    <t>Secondary Seal Flush Plan</t>
  </si>
  <si>
    <t>Auxiliary Seal Flush Plan</t>
  </si>
  <si>
    <t>Plan System on Baseplate</t>
  </si>
  <si>
    <t>Coupling Type</t>
  </si>
  <si>
    <t>Driver Type</t>
  </si>
  <si>
    <t>Driver Power</t>
  </si>
  <si>
    <t>Diesel Motors</t>
  </si>
  <si>
    <t>Steam Turbine</t>
  </si>
  <si>
    <t>Condenser for Steam turbine</t>
  </si>
  <si>
    <t>Acustic Insulation</t>
  </si>
  <si>
    <t>Thermal Insulation</t>
  </si>
  <si>
    <t>Heat Tracing</t>
  </si>
  <si>
    <t>Heat Tracing Type</t>
  </si>
  <si>
    <t>Steam Jacket</t>
  </si>
  <si>
    <t>Minimim Temperature To be maintained by Tracing</t>
  </si>
  <si>
    <t>Inverter</t>
  </si>
  <si>
    <t>Soft Starter</t>
  </si>
  <si>
    <t>Transformer</t>
  </si>
  <si>
    <t>Lube Oil Console</t>
  </si>
  <si>
    <t>Is Lube Oil Console API614?</t>
  </si>
  <si>
    <t>Is lube Oil Console on baseplate?</t>
  </si>
  <si>
    <t>Gearbox</t>
  </si>
  <si>
    <t>Hydraulic Coupling</t>
  </si>
  <si>
    <t>Clutch</t>
  </si>
  <si>
    <t>Magnetic Coupling</t>
  </si>
  <si>
    <t>Air Cooler</t>
  </si>
  <si>
    <t>ARV</t>
  </si>
  <si>
    <t>Arc Valve</t>
  </si>
  <si>
    <t>Is ARC Valve pressure losses considered in the pump selection?</t>
  </si>
  <si>
    <t>List of API plan Instruments Installed on interconnecting piping</t>
  </si>
  <si>
    <t>Pump casing Warm UP TT</t>
  </si>
  <si>
    <t>PUMP Balancing Line DPT</t>
  </si>
  <si>
    <t xml:space="preserve">PUMP Thrust Bearing RTD NDE </t>
  </si>
  <si>
    <t xml:space="preserve">PUMP Radial Bearing RTD NDE </t>
  </si>
  <si>
    <t xml:space="preserve">PUMP Radial Bearing RTD DE </t>
  </si>
  <si>
    <t>PUMP Bearing TT</t>
  </si>
  <si>
    <t>Thermo Elements on oil</t>
  </si>
  <si>
    <t>Other intrumentation on Pump</t>
  </si>
  <si>
    <t>Pump K-Phasor</t>
  </si>
  <si>
    <t>Anti-reverse ratchet</t>
  </si>
  <si>
    <t xml:space="preserve">DRIVER Thrust Bearing RTD NDE </t>
  </si>
  <si>
    <t xml:space="preserve">DRIVER Radial Bearing RTD NDE </t>
  </si>
  <si>
    <t xml:space="preserve">DRIVER Radial Bearing RTD DE </t>
  </si>
  <si>
    <t>DRIVER Bearing TT</t>
  </si>
  <si>
    <t>Motor Winding Temperature Sensors</t>
  </si>
  <si>
    <t>DRIVER K-Phasor</t>
  </si>
  <si>
    <t>Pump Spare Parts</t>
  </si>
  <si>
    <t>General Note 6</t>
  </si>
  <si>
    <t>General Note 7</t>
  </si>
  <si>
    <t>General Note 8</t>
  </si>
  <si>
    <t>General Note 9</t>
  </si>
  <si>
    <t>General Note 10</t>
  </si>
  <si>
    <t>SECTION 1: SCOPE SUMMARY</t>
  </si>
  <si>
    <t>JOB DATA (COMOPS)</t>
  </si>
  <si>
    <t>SECTION 2: TECHNICAL REVIEW</t>
  </si>
  <si>
    <t>COMPILED BY</t>
  </si>
  <si>
    <t>Date</t>
  </si>
  <si>
    <t>Service</t>
  </si>
  <si>
    <t>Liquid</t>
  </si>
  <si>
    <t>Min Operating Tempetarure</t>
  </si>
  <si>
    <t>Rated Operating Tempetarure</t>
  </si>
  <si>
    <t>Max Operating Tempetarure</t>
  </si>
  <si>
    <t>Max Density</t>
  </si>
  <si>
    <t>Rated Density</t>
  </si>
  <si>
    <t>Min Density</t>
  </si>
  <si>
    <t>Max Viscosity</t>
  </si>
  <si>
    <t>Rated Viscosity</t>
  </si>
  <si>
    <t>Vapor pressure, rated</t>
  </si>
  <si>
    <t>Vapor pressure, max</t>
  </si>
  <si>
    <t>Solid Concent. By volume</t>
  </si>
  <si>
    <t>Solids diameter, max</t>
  </si>
  <si>
    <t>Max Ambient temperature</t>
  </si>
  <si>
    <t>Min Ambient temperature</t>
  </si>
  <si>
    <t>General Note 11</t>
  </si>
  <si>
    <t>General Note 12</t>
  </si>
  <si>
    <t>General Note 13</t>
  </si>
  <si>
    <t>General Note 14</t>
  </si>
  <si>
    <t>General Note 15</t>
  </si>
  <si>
    <t>Curve Number</t>
  </si>
  <si>
    <t>Rated Flow</t>
  </si>
  <si>
    <t>MCSF, rated diameter</t>
  </si>
  <si>
    <t>Rated Differential Head</t>
  </si>
  <si>
    <t>Shutoff head, rated diameter</t>
  </si>
  <si>
    <t>Head rise to shutoff, rated diameter</t>
  </si>
  <si>
    <t>NPSH required, rated flow, rated diameter</t>
  </si>
  <si>
    <t>NPSH available</t>
  </si>
  <si>
    <t>Pump Speed</t>
  </si>
  <si>
    <t>Pump Speed (min/max)</t>
  </si>
  <si>
    <t>Pump rated power</t>
  </si>
  <si>
    <t>Pump max power, rated diameter</t>
  </si>
  <si>
    <t>Pump rated efficiency</t>
  </si>
  <si>
    <t>Pump rated efficiency (BOWL)</t>
  </si>
  <si>
    <t>Max Suction Pressure</t>
  </si>
  <si>
    <t>Rated Suction Pressure</t>
  </si>
  <si>
    <t>Min Suction Pressure</t>
  </si>
  <si>
    <t>Diff. Pressure, rated flow, rated diameter, rated density</t>
  </si>
  <si>
    <t>Discharge Pressure, rated flow, rated diameter, rated density, rated suction pressure</t>
  </si>
  <si>
    <t>Do ALL Intelliquip DATA match with First Emission of Pump Datasheet?</t>
  </si>
  <si>
    <t>Max Impeller Diameter</t>
  </si>
  <si>
    <t>Min Impeller Diameter</t>
  </si>
  <si>
    <t>Rated Impeller Diameter</t>
  </si>
  <si>
    <t>Casing Pattern</t>
  </si>
  <si>
    <t>Diffuser Pattern</t>
  </si>
  <si>
    <t>Impeller pattern</t>
  </si>
  <si>
    <t>Is it necessary to check impellers with templates?</t>
  </si>
  <si>
    <t>Is it necessary to check diffusers with templates?</t>
  </si>
  <si>
    <t>Is it necessary to check volutes with templates?</t>
  </si>
  <si>
    <t>Is bid curve correctly selected?</t>
  </si>
  <si>
    <t>Will Head be within tolerance?</t>
  </si>
  <si>
    <t>Will Efficiency be within tolerance?</t>
  </si>
  <si>
    <t>Will it be NPSHr &lt; NPSHa with right margin?</t>
  </si>
  <si>
    <t>Are CFD Analysis required? Which ones?</t>
  </si>
  <si>
    <t>INTERNAL POLISHING</t>
  </si>
  <si>
    <t>HYDRAULIC ADJUSTMENT OF PLANES IN AXIALLY SPLIT PUMPS</t>
  </si>
  <si>
    <t>IMPELLER BLADE MODIFICATIONS ON INLET</t>
  </si>
  <si>
    <t>IMPELLER BLADE MODIFICATIONS ON OUTLET</t>
  </si>
  <si>
    <t>Are there any OTHER actions needed on hydraulic components? Which ones?</t>
  </si>
  <si>
    <t>Is shut off pressure critical because limited by client piping rating?</t>
  </si>
  <si>
    <t>Is MCF confirmed?</t>
  </si>
  <si>
    <t>Impeller Diameter for TEST</t>
  </si>
  <si>
    <t>Is impeller diameter definitive?</t>
  </si>
  <si>
    <t>Trimming Type</t>
  </si>
  <si>
    <t>Discharge Orifice Diameter (K-Hole diameter)</t>
  </si>
  <si>
    <t>First tentative balancing line/plan 13 orifice diameter, where applicable</t>
  </si>
  <si>
    <t>Additional measurements to be done during internal test</t>
  </si>
  <si>
    <t>Raw Casting Discharge Nozzle Open (25mm) or Closed (only for old AP pumps)</t>
  </si>
  <si>
    <t>General Note 16</t>
  </si>
  <si>
    <t>General Note 17</t>
  </si>
  <si>
    <t>General Note 18</t>
  </si>
  <si>
    <t>General Note 19</t>
  </si>
  <si>
    <t>General Note 20</t>
  </si>
  <si>
    <t>DESIGN CONDITIONS (TE)</t>
  </si>
  <si>
    <t>Mimimum design metal temperature</t>
  </si>
  <si>
    <t>Max Temp.</t>
  </si>
  <si>
    <t>Pump MAWP</t>
  </si>
  <si>
    <t>Maximum pressure in water during pump test</t>
  </si>
  <si>
    <t>MAWP of BARREL</t>
  </si>
  <si>
    <t>MAWP of BOWLS</t>
  </si>
  <si>
    <t>MAWP of COLUMNS</t>
  </si>
  <si>
    <t>MAWP of DISCHARGE HEAD</t>
  </si>
  <si>
    <t>Hydrostatic test pressure</t>
  </si>
  <si>
    <t>Hydrostatic test pressure (BARREL)</t>
  </si>
  <si>
    <t>Hydrostatic test pressure (BOWLS)</t>
  </si>
  <si>
    <t>Hydrostatic test pressure (COLUMNS)</t>
  </si>
  <si>
    <t>Hydrostatic test pressure (DISCHARGE HEAD)</t>
  </si>
  <si>
    <t>Hydrostatic test pressure, suction side (if different)</t>
  </si>
  <si>
    <t>Impeller Material</t>
  </si>
  <si>
    <t xml:space="preserve">Casing Material </t>
  </si>
  <si>
    <t>Diffuser Material(if applicable)</t>
  </si>
  <si>
    <t>Bowl(s) Material</t>
  </si>
  <si>
    <t>Shaft Material</t>
  </si>
  <si>
    <t>Barrel material (VS6 &amp; VS7)</t>
  </si>
  <si>
    <t>Tip Speed</t>
  </si>
  <si>
    <t>Impeller tip speed limit</t>
  </si>
  <si>
    <t xml:space="preserve">Is tip speed acceptable? </t>
  </si>
  <si>
    <t>Was it necessary to modify the original selected material of impeller? Why?</t>
  </si>
  <si>
    <t>Torque, driver power, rated speed</t>
  </si>
  <si>
    <t>Torque, pump max power, rated speed</t>
  </si>
  <si>
    <t>Torque, pump rated power, rated speed</t>
  </si>
  <si>
    <t>Torque, pump shaft limit</t>
  </si>
  <si>
    <t>List of mechanical calculation on shaft to be done</t>
  </si>
  <si>
    <t>List of dynamic calculation on rotor to be done</t>
  </si>
  <si>
    <t>Is it necessary to measure PUMP ROTOR deflection?</t>
  </si>
  <si>
    <t>Is declared MAWP acceptable?</t>
  </si>
  <si>
    <t>New MAWP (if any)</t>
  </si>
  <si>
    <t>Maximum allowable pressure for flange rating (must be bigger than PUMP MAWP)</t>
  </si>
  <si>
    <t xml:space="preserve">Are existing pressure casing in compliance with MAWP and HT? </t>
  </si>
  <si>
    <t>Are any FEM analysis on PRESSURE CASING needed? Make a list on notes column</t>
  </si>
  <si>
    <t>Are any FEM analysis on COMPLETE PUMP needed? Make a list on notes column</t>
  </si>
  <si>
    <t>Was it necessary to modify the original selected material of casing/cover? Why?</t>
  </si>
  <si>
    <t>Are there special procedure/tools for HT to prevent damages on casings required by ENG?</t>
  </si>
  <si>
    <t>Are vibration issue expected?</t>
  </si>
  <si>
    <t>BH stiffener to be added?</t>
  </si>
  <si>
    <t>360° bearing saddle required</t>
  </si>
  <si>
    <t>Are other actions/modifications needed to prevent vibrations?</t>
  </si>
  <si>
    <t>Is provision for balancing on site necessary?</t>
  </si>
  <si>
    <t>Pump Rotation (viewed from coupling)</t>
  </si>
  <si>
    <t>Balance Holes</t>
  </si>
  <si>
    <t>Balance Holes for test</t>
  </si>
  <si>
    <t>Energy density</t>
  </si>
  <si>
    <t xml:space="preserve">Is the choice of bearing &amp; bearing lubrication according to API610? </t>
  </si>
  <si>
    <t>Are standard Bearings (if any) to be modified?</t>
  </si>
  <si>
    <t>Is fan cooling necessary?</t>
  </si>
  <si>
    <t>Is heat sink/internal fan necessary?</t>
  </si>
  <si>
    <t>Is Warm UP necessary?</t>
  </si>
  <si>
    <t>Is Warm UP correctly considered in the selection of the pump?</t>
  </si>
  <si>
    <t>Is HTE casing execution necessary? (refer to SOP.440)</t>
  </si>
  <si>
    <t>General Note 21</t>
  </si>
  <si>
    <t>General Note 22</t>
  </si>
  <si>
    <t>General Note 23</t>
  </si>
  <si>
    <t>General Note 24</t>
  </si>
  <si>
    <t>General Note 25</t>
  </si>
  <si>
    <t>SECTION 3: PUMP CONFIGURATION</t>
  </si>
  <si>
    <t>Suction Nozzle Size</t>
  </si>
  <si>
    <t>Suction Nozzle Rating</t>
  </si>
  <si>
    <t>Suction Nozzle Face</t>
  </si>
  <si>
    <t>Suction Nozzle Position</t>
  </si>
  <si>
    <t>Discharge Nozzle Size</t>
  </si>
  <si>
    <t>Discharge Nozzle Rating</t>
  </si>
  <si>
    <t>Discharge Nozzle Face</t>
  </si>
  <si>
    <t>Discharge Nozzle Position</t>
  </si>
  <si>
    <t>Mounting Flange Size</t>
  </si>
  <si>
    <t>Mounting Flange Rating</t>
  </si>
  <si>
    <t>Mounting Flange Facing</t>
  </si>
  <si>
    <t>Number of Vents</t>
  </si>
  <si>
    <t>Size of Vents</t>
  </si>
  <si>
    <t>Rating of Vents</t>
  </si>
  <si>
    <t>Vent Flange Facing</t>
  </si>
  <si>
    <t>Number of Drains</t>
  </si>
  <si>
    <t>Size of Drains</t>
  </si>
  <si>
    <t>Rating of Drains</t>
  </si>
  <si>
    <t>Drain Flange Facing</t>
  </si>
  <si>
    <t>Flushing Lines Connections</t>
  </si>
  <si>
    <t>Piping Welding Type for Lube Oil Lines</t>
  </si>
  <si>
    <t>Piping Welding Type for Vent &amp; Drains</t>
  </si>
  <si>
    <t>Piping Welding Type for Warmup Line</t>
  </si>
  <si>
    <t>Warmup Line</t>
  </si>
  <si>
    <t>Balancing Line</t>
  </si>
  <si>
    <t>Non standard machining on pump casing/covers</t>
  </si>
  <si>
    <t>Bearing type</t>
  </si>
  <si>
    <t>Bearing lubrication</t>
  </si>
  <si>
    <t>Bearing Isolators</t>
  </si>
  <si>
    <t>Constant Level Oilers TYPE and/or Brand</t>
  </si>
  <si>
    <t>Non configured machining on bearing bracket</t>
  </si>
  <si>
    <t>Holes for RTD</t>
  </si>
  <si>
    <t>Holes for Proximity Probes</t>
  </si>
  <si>
    <t>Holes for Vibration Probes</t>
  </si>
  <si>
    <t>Oil sight glass on drain connection</t>
  </si>
  <si>
    <t>Throttling bush</t>
  </si>
  <si>
    <t>Vent on Stuffing Box</t>
  </si>
  <si>
    <t>Other Special Features</t>
  </si>
  <si>
    <t>Wear Rings With Additional Gap (If T&gt;260° C)</t>
  </si>
  <si>
    <t>JOB REPORT</t>
  </si>
  <si>
    <t>Section 1: MAIN PUMP DATA</t>
  </si>
  <si>
    <t>UM</t>
  </si>
  <si>
    <t>content</t>
  </si>
  <si>
    <t>Note</t>
  </si>
  <si>
    <t>Section 3: ACTIONS ON HYDRAULIC COMPONENTS</t>
  </si>
  <si>
    <t>Impeller Diameter for test</t>
  </si>
  <si>
    <t>Balance holes for test</t>
  </si>
  <si>
    <t>Are there special procedure/tools for HT to prevent damages on casings REQUIRED BY ENG?</t>
  </si>
  <si>
    <t>Section 5: NOTES FOR QUALITY DEPARTMENT</t>
  </si>
  <si>
    <t>Section 6: ADDITIONAL DATA TO BE CONSIDERED BY PLANNING</t>
  </si>
  <si>
    <t>Section 7: NOTES FOR TEST CENTER</t>
  </si>
  <si>
    <t>TECHNICAL REVIEW REPORT</t>
  </si>
  <si>
    <t>Content</t>
  </si>
  <si>
    <t>Balancing Line right or left viewed from coupling</t>
  </si>
  <si>
    <t>Suction Nozzle Surface finish</t>
  </si>
  <si>
    <t>Discharge Nozzle Surface finish</t>
  </si>
  <si>
    <t>Applicable API Standards and Edition</t>
  </si>
  <si>
    <t>Is bearing life calculation required BY CLIENT?</t>
  </si>
  <si>
    <t>Is rotor lateral analisys required BY CLIENT?</t>
  </si>
  <si>
    <t>Is torsional analisys required BY CLIENT?</t>
  </si>
  <si>
    <t>Is baseplate check as per API loads required BY CLIENT?</t>
  </si>
  <si>
    <t>Is baseplate modal analisys required BY CLIENT?</t>
  </si>
  <si>
    <t>Is ARV (Air Released Valve) installed on Discharge Head/Casing?</t>
  </si>
  <si>
    <t>Is ARC (Automatic Recirculation Valve) Valve installed on Discharge Nozzle?</t>
  </si>
  <si>
    <t>Driver bearing type</t>
  </si>
  <si>
    <t xml:space="preserve">PUMP  Thrust Bearing Axial VIBRATION Probe NDE </t>
  </si>
  <si>
    <t>PUMP Radial Bearing VIBRATION Probe NDE</t>
  </si>
  <si>
    <t>PUMP Radial Bearing VIBRATION Probe DE</t>
  </si>
  <si>
    <t xml:space="preserve">DRIVER  Thrust Bearing Axial VIBRATION Probe NDE </t>
  </si>
  <si>
    <t>DRIVER Radial Bearing VIBRATION Probe NDE</t>
  </si>
  <si>
    <t>DRIVER Radial Bearing VIBRATION Probe DE</t>
  </si>
  <si>
    <t xml:space="preserve">GERBOX Thrust Bearing RTD NDE
INPUT SHAFT </t>
  </si>
  <si>
    <t xml:space="preserve">GERBOX Radial Bearing RTD NDE INPUT SHAFT  </t>
  </si>
  <si>
    <t xml:space="preserve">GERBOX Radial Bearing RTD DE INPUT SHAFT </t>
  </si>
  <si>
    <t xml:space="preserve">GERBOX Thrust Bearing RTD NDE
OUTPUT SHAFT </t>
  </si>
  <si>
    <t xml:space="preserve">GERBOX Radial Bearing RTD NDE OUTPUT SHAFT  </t>
  </si>
  <si>
    <t xml:space="preserve">GERBOX Radial Bearing RTD DE OUTPUT SHAFT </t>
  </si>
  <si>
    <t>GERBOX Bearing TT</t>
  </si>
  <si>
    <t>GERBOX  Thrust Bearing Axial VIBRATION Probe NDE INPUT SHAFT</t>
  </si>
  <si>
    <t>GERBOX Radial Bearing VIBRATION Probe NDE INPUT SHAFT</t>
  </si>
  <si>
    <t>GERBOX Radial Bearing VIBRATION Probe DE INPUT SHAFT</t>
  </si>
  <si>
    <t>GERBOX  Thrust Bearing Axial VIBRATION Probe NDE OUTPUT SHAFT</t>
  </si>
  <si>
    <t>GERBOX Radial Bearing VIBRATION Probe NDE OUTPUT SHAFT</t>
  </si>
  <si>
    <t>GERBOX Radial Bearing VIBRATION Probe DE OUTPUT SHAFT</t>
  </si>
  <si>
    <t>GERBOX K-Phasor</t>
  </si>
  <si>
    <t>Scaled Factor (in case of New Scaled Hydraulic)</t>
  </si>
  <si>
    <t>Model Pump to be scaled (in case of New Scaled Hydraulic)</t>
  </si>
  <si>
    <t>Are drawings of patterns to be done?</t>
  </si>
  <si>
    <t>REQUIRED ACTIONS</t>
  </si>
  <si>
    <t>REQUIRED ACTION NR 1</t>
  </si>
  <si>
    <t>REQUIRED ACTION NR 2</t>
  </si>
  <si>
    <t>REQUIRED ACTION NR 3</t>
  </si>
  <si>
    <t>REQUIRED ACTION NR 4</t>
  </si>
  <si>
    <t>REQUIRED ACTION NR 5</t>
  </si>
  <si>
    <t>REQUIRED ACTION NR 6</t>
  </si>
  <si>
    <t>REQUIRED ACTION NR 7</t>
  </si>
  <si>
    <t>REQUIRED ACTION NR 8</t>
  </si>
  <si>
    <t>REQUIRED ACTION NR 9</t>
  </si>
  <si>
    <t>REQUIRED ACTION NR 10</t>
  </si>
  <si>
    <t>Lining of hydraulic components</t>
  </si>
  <si>
    <t>Is any Marking necessary (ATEX, CE, PED, ecc)</t>
  </si>
  <si>
    <t>Max Operanting Temperature</t>
  </si>
  <si>
    <t>Warmup line</t>
  </si>
  <si>
    <t>Cooling Water Piping Plan</t>
  </si>
  <si>
    <t>Seal Chamber Pressure (DE/NDE)</t>
  </si>
  <si>
    <t>Stuffing box pressure with contractual fluid (min) [DE/NDE]</t>
  </si>
  <si>
    <t>Stuffing box pressure with contractual fluid (rated) [DE/NDE]</t>
  </si>
  <si>
    <t>Stuffing box pressure with contractual fluid (max) [DE/NDE]</t>
  </si>
  <si>
    <t>Stuffing box pressure during test in WATER during test (min) [DE/NDE]</t>
  </si>
  <si>
    <t>Stuffing box pressure during test in WATER during test (rated) [DE/NDE]</t>
  </si>
  <si>
    <t>Stuffing box pressure during test in WATER during test (max) [DE/NDE]</t>
  </si>
  <si>
    <t>Are Patterns already existing?</t>
  </si>
  <si>
    <t>LIST OF JBOX NOT ON BUYOUT COMPONENTS</t>
  </si>
  <si>
    <t>R&amp;D Data Quote</t>
  </si>
  <si>
    <t>REQUIRED ACTION NR 11</t>
  </si>
  <si>
    <t>MAWP on technical offer</t>
  </si>
  <si>
    <t>MAWT on technical offer</t>
  </si>
  <si>
    <t>Centrifugal pump Performance Adjustments (IQ)</t>
  </si>
  <si>
    <t>Design Pressure if different from MAWP</t>
  </si>
  <si>
    <t>Is open impeller selected?</t>
  </si>
  <si>
    <t>Are back vanes required?</t>
  </si>
  <si>
    <t>Is inducer or coke crusher required?</t>
  </si>
  <si>
    <t>Is Triplex thrust bearing configuration necessary?</t>
  </si>
  <si>
    <t>List of standard suction connections to mechanical seal (I.E. PLAN13, PLAN31, …) (for standard position refer to CONFIGURATOR USER MANUAL for each pump type)</t>
  </si>
  <si>
    <t>List of standard discharge connections to mechanical seal (I.E. PLAN11, PLAN31, …) (for standard position refer to CONFIGURATOR USER MANUAL for each pump type)</t>
  </si>
  <si>
    <t xml:space="preserve">List of NON STANDARD flushing line connection positions </t>
  </si>
  <si>
    <t>List of  standard Gauge connection position (for standard position refer to CONFIGURATOR USER MANUAL for each pump type)</t>
  </si>
  <si>
    <t xml:space="preserve">List of  NON STANDARD Gauge connection position </t>
  </si>
  <si>
    <t>Drain Position (only for OH2 specify RADIAL or AXIAL)</t>
  </si>
  <si>
    <t>Are back wear rings required by client MR?</t>
  </si>
  <si>
    <t>Conicity on shaft end (if tapered end is selected) [Use conical Gauge]</t>
  </si>
  <si>
    <t>BEARING HOUSING (ICE)</t>
  </si>
  <si>
    <t>steam jacket connection size</t>
  </si>
  <si>
    <t>steam jacket connection rating</t>
  </si>
  <si>
    <t>steam jacket connection face</t>
  </si>
  <si>
    <t>stuffing box cooling jacket connection size</t>
  </si>
  <si>
    <t>stuffing box cooling jacket connection rating</t>
  </si>
  <si>
    <t>stuffing box cooling jacket connection face</t>
  </si>
  <si>
    <t>stuffing box cooling jacket connection type (SW, BW or threaded)</t>
  </si>
  <si>
    <t>Type of thread connection for vibration probes</t>
  </si>
  <si>
    <t>SCOPE SUMMARY----&gt;</t>
  </si>
  <si>
    <t>Original Quote Number</t>
  </si>
  <si>
    <t>ACTION 1 RESULTS / COMPLETED IN DATE</t>
  </si>
  <si>
    <t>ACTION 2 RESULTS / COMPLETED IN DATE</t>
  </si>
  <si>
    <t>ACTION 3 RESULTS / COMPLETED IN DATE</t>
  </si>
  <si>
    <t>ACTION 4 RESULTS / COMPLETED IN DATE</t>
  </si>
  <si>
    <t>ACTION 5 RESULTS / COMPLETED IN DATE</t>
  </si>
  <si>
    <t>ACTION 6 RESULTS / COMPLETED IN DATE</t>
  </si>
  <si>
    <t>ACTION 7 RESULTS / COMPLETED IN DATE</t>
  </si>
  <si>
    <t>ACTION 8 RESULTS / COMPLETED IN DATE</t>
  </si>
  <si>
    <t>ACTION 9 RESULTS / COMPLETED IN DATE</t>
  </si>
  <si>
    <t>ACTION 10 RESULTS / COMPLETED IN DATE</t>
  </si>
  <si>
    <t>ACTION 11 RESULTS / COMPLETED IN DATE</t>
  </si>
  <si>
    <t>Is oil sump water cooling necessary (finned tube or other device)?</t>
  </si>
  <si>
    <t>Is type of cooling correctly considered in the selection of the pump? [if no: warn COMOPS]</t>
  </si>
  <si>
    <t>DESCRIPTION</t>
  </si>
  <si>
    <t>SHEETS</t>
  </si>
  <si>
    <t>MOD. Nr</t>
  </si>
  <si>
    <t>General notes :</t>
  </si>
  <si>
    <t>first issue</t>
  </si>
  <si>
    <t>Pressure Transmitters and/or  Indicators on casing</t>
  </si>
  <si>
    <t>[yes/no]</t>
  </si>
  <si>
    <t>[antifriction / sleeve / tilting pad]</t>
  </si>
  <si>
    <t>[number]</t>
  </si>
  <si>
    <t>Pump Warm Up to be supplied by TPI</t>
  </si>
  <si>
    <t xml:space="preserve">Pump casing Warm UP RTD </t>
  </si>
  <si>
    <t>[type of probe / NONE)</t>
  </si>
  <si>
    <t>[type &amp; number / NONE]</t>
  </si>
  <si>
    <t>[list / NONE]</t>
  </si>
  <si>
    <t>[°C]</t>
  </si>
  <si>
    <t>[barg]</t>
  </si>
  <si>
    <t>[API / HI grade / detailed tolerances]</t>
  </si>
  <si>
    <t>[detailed list / NONE]</t>
  </si>
  <si>
    <t>[complete Line / loose Components / only provision / NONE]</t>
  </si>
  <si>
    <t>SCOPE SUMMARY</t>
  </si>
  <si>
    <t>TECHNICAL TABULATION</t>
  </si>
  <si>
    <t>Heated/cooled jacket for stuffing box</t>
  </si>
  <si>
    <t>piping class</t>
  </si>
  <si>
    <t>Section 2: CONTRACTUAL PERFORMANCES</t>
  </si>
  <si>
    <t>Section 3: PATTERNS &amp; PERFORMANCE CHECK</t>
  </si>
  <si>
    <t>Section 4: DESIGN CONDITIONS (TE)</t>
  </si>
  <si>
    <t>Section 5: MECHANICAL CHECK</t>
  </si>
  <si>
    <t>section separator</t>
  </si>
  <si>
    <t>Color legend:</t>
  </si>
  <si>
    <t>JOB Nr.</t>
  </si>
  <si>
    <t>Technical Summary Pag 6/6</t>
  </si>
  <si>
    <t>MAIN MATERIALS</t>
  </si>
  <si>
    <t>Bearing bushing materials (Vertical Pumps)</t>
  </si>
  <si>
    <t>Wear rings materials</t>
  </si>
  <si>
    <t>Are non metallic materials (if any) correctly selected with fluid type and temeprature?</t>
  </si>
  <si>
    <t>Technical Summary Pag 5/6</t>
  </si>
  <si>
    <t>Technical Summary Pag 4/6</t>
  </si>
  <si>
    <t>Technical Summary Pag 3/6</t>
  </si>
  <si>
    <t>Interstage bushings, Drums and other wear parts material</t>
  </si>
  <si>
    <t>Bearing bushing material (Vertical Pumps)</t>
  </si>
  <si>
    <t>BEARING HOUSING</t>
  </si>
  <si>
    <t>Section 3: PUMP CONFIGURATION</t>
  </si>
  <si>
    <t>CASINGS &amp; IMPELLERS DATA</t>
  </si>
  <si>
    <t>Technical Summary Pag 2/6</t>
  </si>
  <si>
    <t>input only for sheet "start"</t>
  </si>
  <si>
    <t>input for other sheets</t>
  </si>
  <si>
    <t>sub-section separator</t>
  </si>
  <si>
    <t xml:space="preserve">Raw Casting Discharge Nozzle Open (25mm) or Closed (remember to choose correct pattern configuration) </t>
  </si>
  <si>
    <t>Bearing isolator type and/or brand (standard, magnetic, IP66, etc)</t>
  </si>
  <si>
    <t>Shaft driven oil pump?</t>
  </si>
  <si>
    <t>SHAFT - WEAR RINGS - CLEARENCES - OTHER PROVISIONS</t>
  </si>
  <si>
    <t>Tool for cartridge dismantling</t>
  </si>
  <si>
    <t>Container</t>
  </si>
  <si>
    <t>[with trolley/ without trolley/ none]</t>
  </si>
  <si>
    <t>[rotor/inner/ other]</t>
  </si>
  <si>
    <t>data from IQ (*) - if blank it means: no data are found in IQ export file for that set</t>
  </si>
  <si>
    <t>1/6</t>
  </si>
  <si>
    <t>Section 4: NOTES FOR HYDRAULIC TEST and ASSEMBLY</t>
  </si>
  <si>
    <t>Is ShutOff test requested by Client?</t>
  </si>
  <si>
    <t>[Yes/No]</t>
  </si>
  <si>
    <t>Does Client accept to test pump at diameter up to 5% of definitive diameter without retesting?</t>
  </si>
  <si>
    <t>Is any hydro test equipment required?</t>
  </si>
  <si>
    <t>Is any test room modification required?</t>
  </si>
  <si>
    <t>SECTION 4: Installation requirements [Manufacturing]</t>
  </si>
  <si>
    <t>SECTION 5: technical notes</t>
  </si>
  <si>
    <t>is it necessary to build new pipes?</t>
  </si>
  <si>
    <t>is it necessary to buy new intrumentation?</t>
  </si>
  <si>
    <t>Are cranes and plant suitable for weigths and dimensions of the skid/pump?</t>
  </si>
  <si>
    <t>is it necessary to make plant modifications? If yes list the modifications</t>
  </si>
  <si>
    <t>Can the job motor be inverter driven?</t>
  </si>
  <si>
    <t>Is Complete Unit Test feasible?</t>
  </si>
  <si>
    <t>Is Running Test feasible with job motor?</t>
  </si>
  <si>
    <t>Is Running Test feasible with shop motor?</t>
  </si>
  <si>
    <t>Is Performance Test feasible with job motor?</t>
  </si>
  <si>
    <t>Pump max power, test diameter, WITH WATER @ FIRST INTERNAL TEST</t>
  </si>
  <si>
    <t>Is the tested pump diameter expected within 5% of finali diameter?</t>
  </si>
  <si>
    <t>Is discharge orifice definitive?</t>
  </si>
  <si>
    <t>If test at shut-off is requested by client, is it feasible? List if there are any limitations during the test</t>
  </si>
  <si>
    <t>Expected  pump test site</t>
  </si>
  <si>
    <t>[La Spezia / Nova Milanese]</t>
  </si>
  <si>
    <t>Is complete unit test necessary?</t>
  </si>
  <si>
    <t>Expected Assembly site</t>
  </si>
  <si>
    <t>Expected Hydro Test site</t>
  </si>
  <si>
    <t>Expected Hydro test site</t>
  </si>
  <si>
    <t>INTERNAL ORDER</t>
  </si>
  <si>
    <t>deg C</t>
  </si>
  <si>
    <t>rpm</t>
  </si>
  <si>
    <t>kW</t>
  </si>
  <si>
    <t>bar.a</t>
  </si>
  <si>
    <t>cSt</t>
  </si>
  <si>
    <t>mm</t>
  </si>
  <si>
    <t>kg/dm3</t>
  </si>
  <si>
    <t>m3/h</t>
  </si>
  <si>
    <t>%</t>
  </si>
  <si>
    <t>bar.g</t>
  </si>
  <si>
    <t>m</t>
  </si>
  <si>
    <t>Nozzle Loads API Multiplier</t>
  </si>
  <si>
    <t xml:space="preserve">Baseplate/Soleplate connection to client foundation </t>
  </si>
  <si>
    <t>[N x API standard loads]</t>
  </si>
  <si>
    <t>[with grouting/without grouting/welded/3 points gimbals)</t>
  </si>
  <si>
    <t>Is nozzle loads multiplier acceptable for the pump?</t>
  </si>
  <si>
    <t>technical note 1</t>
  </si>
  <si>
    <t>technical note 2</t>
  </si>
  <si>
    <t>technical note 3</t>
  </si>
  <si>
    <t>technical note 4</t>
  </si>
  <si>
    <t>technical note 5</t>
  </si>
  <si>
    <t>technical note 6</t>
  </si>
  <si>
    <t>technical note 7</t>
  </si>
  <si>
    <t>technical note 8</t>
  </si>
  <si>
    <t>technical note 9</t>
  </si>
  <si>
    <t>technical note 10</t>
  </si>
  <si>
    <t>Section 8: ACTIONS TO BE DONE</t>
  </si>
  <si>
    <t>SECTION 4: technical notes</t>
  </si>
  <si>
    <t>[NONE/LIST]</t>
  </si>
  <si>
    <t>[no/MR0175/MR0103]</t>
  </si>
  <si>
    <t>Are NACE applicable?
If YES, which one?</t>
  </si>
  <si>
    <t>Is PWHT necessary? If yes, make a list of components</t>
  </si>
  <si>
    <t>Hydro Test</t>
  </si>
  <si>
    <t>Test room</t>
  </si>
  <si>
    <t>Is any new hydro test equipment required?</t>
  </si>
  <si>
    <t>Miscellaneous</t>
  </si>
  <si>
    <t>REQUIRED ACTION NR 12</t>
  </si>
  <si>
    <t>REQUIRED ACTION NR 13</t>
  </si>
  <si>
    <t>REQUIRED ACTION NR 14</t>
  </si>
  <si>
    <t>REQUIRED ACTION NR 15</t>
  </si>
  <si>
    <t>REQUIRED ACTION NR 16</t>
  </si>
  <si>
    <t>ACTION 12 RESULTS / COMPLETED IN DATE</t>
  </si>
  <si>
    <t>ACTION 13 RESULTS / COMPLETED IN DATE</t>
  </si>
  <si>
    <t>ACTION 14 RESULTS / COMPLETED IN DATE</t>
  </si>
  <si>
    <t>ACTION 15 RESULTS / COMPLETED IN DATE</t>
  </si>
  <si>
    <t>ACTION 16 RESULTS / COMPLETED IN DATE</t>
  </si>
  <si>
    <t>PUMP CONFIGURATION REPORT</t>
  </si>
  <si>
    <t>Balancing drum clearance</t>
  </si>
  <si>
    <t>Impeller/shaft fitting [refer to SOP.463]</t>
  </si>
  <si>
    <t>Has Antifriction Bearing life been calculated and verified? [Ref. Mod.1122]</t>
  </si>
  <si>
    <t>Are clearances verified?
(dissimilar materials and high temperature service)</t>
  </si>
  <si>
    <t>Is interference fitting of components verified? 
(dissimilar materials and high temperature service)</t>
  </si>
  <si>
    <t>Is fitting between shaft and other components correctly verified?</t>
  </si>
  <si>
    <t>CONNECTIONS TO PUMP (DE)</t>
  </si>
  <si>
    <t>CONTRACTUAL OPERATING DATA [PTE]</t>
  </si>
  <si>
    <t>PATTERNS &amp; PERFORMANCE CHECK [PTE]</t>
  </si>
  <si>
    <t>DESIGN CONDITIONS [PTE]</t>
  </si>
  <si>
    <t>MECHANICAL CHECK [PTE]</t>
  </si>
  <si>
    <t>SERVICE, FLUID &amp; AMBIENT CONDITIONS [PTE]</t>
  </si>
  <si>
    <t>WEAR RINGS - IMPELLER - SHAFT [DE]</t>
  </si>
  <si>
    <t>BEARING HOUSING - BEARINGS [DE]</t>
  </si>
  <si>
    <t>Wear ring locking</t>
  </si>
  <si>
    <t>Shaft End type</t>
  </si>
  <si>
    <t>Technical solution under probes on shaft</t>
  </si>
  <si>
    <t>Bull eye type?</t>
  </si>
  <si>
    <t>Type of threads</t>
  </si>
  <si>
    <t>plugs head type</t>
  </si>
  <si>
    <t>Minimum shaft diameter with selected material [Ref. Mod.1130]</t>
  </si>
  <si>
    <r>
      <t xml:space="preserve">CALCULATIO BLOCKING BILL OF MATERIAL: </t>
    </r>
    <r>
      <rPr>
        <b/>
        <sz val="11"/>
        <color theme="9" tint="-0.499984740745262"/>
        <rFont val="Calibri"/>
        <family val="2"/>
        <scheme val="minor"/>
      </rPr>
      <t xml:space="preserve"> CHECK IF THERE ARE STILL CALCULATIONS TO BE DONE!!!</t>
    </r>
  </si>
  <si>
    <r>
      <t xml:space="preserve">REQUIRED ACTIONS: </t>
    </r>
    <r>
      <rPr>
        <b/>
        <sz val="11"/>
        <color theme="9" tint="-0.499984740745262"/>
        <rFont val="Calibri"/>
        <family val="2"/>
        <scheme val="minor"/>
      </rPr>
      <t>CHECK IF THERE ARE STILL OPEN ACTIONS!!!!</t>
    </r>
  </si>
  <si>
    <t>CONNECTIONS TO PUMP</t>
  </si>
  <si>
    <t>COMOPS: Fill in at least all the yellow fields on the first page. If information is missing, insert the character "-" or "N/A".</t>
  </si>
  <si>
    <t>COMOPS: Complete the Scope Summary and issue official revision 00.</t>
  </si>
  <si>
    <t>R&amp;D: Complete TechTab, section 2, and issue official revision 01.</t>
  </si>
  <si>
    <t>after KOM:</t>
  </si>
  <si>
    <t>before KOM</t>
  </si>
  <si>
    <t>COMOPS: Complete Technical Tabulation, section 3, and issue official revision 02.</t>
  </si>
  <si>
    <t>R&amp;D: Check that the Job Report and Technical Review Report have been correctly auto-filled based on the data entered in Technical Tabulation.</t>
  </si>
  <si>
    <r>
      <t xml:space="preserve">R&amp;D: </t>
    </r>
    <r>
      <rPr>
        <b/>
        <sz val="12"/>
        <color rgb="FFFF0000"/>
        <rFont val="Arial"/>
        <family val="2"/>
      </rPr>
      <t>Communicate the issuance of the Job Report to PLANNING-QUALITY-PRODUCTION-TEST CENTER-COMOPS.</t>
    </r>
  </si>
  <si>
    <t>R&amp;D/COMOPS: Manage any updates to any of the Start, Scope Summary, and TechTab sheets with subsequent revisions.</t>
  </si>
  <si>
    <r>
      <t xml:space="preserve">COMOPS: </t>
    </r>
    <r>
      <rPr>
        <b/>
        <sz val="11"/>
        <color rgb="FFFF0000"/>
        <rFont val="Arial"/>
        <family val="2"/>
      </rPr>
      <t>Check that all data entered in IQ is consistent with the datasheets and customer specifications.</t>
    </r>
  </si>
  <si>
    <t>NOTE: Every time a data section that has already been filled is revised, insert the indication "Rev.xx" next to the cell (in the "Notes" column), where xx will be the revision value of the file. Do not delete previously entered revision indications to maintain the history.</t>
  </si>
  <si>
    <t>COMOPS: Export the Item Summary from IQ and save it in the folder of the project.</t>
  </si>
  <si>
    <r>
      <t>R&amp;D/COMOPS:</t>
    </r>
    <r>
      <rPr>
        <b/>
        <sz val="11"/>
        <rFont val="Arial"/>
        <family val="2"/>
      </rPr>
      <t xml:space="preserve"> </t>
    </r>
    <r>
      <rPr>
        <b/>
        <sz val="11"/>
        <color rgb="FFFF0000"/>
        <rFont val="Arial"/>
        <family val="2"/>
      </rPr>
      <t>If the revision also affects the Job Report, notify PLANNING-QUALITY-PRODUCTION-TEST CENTER-COMOPS.</t>
    </r>
  </si>
  <si>
    <t>Is NPSHr test requested by Client?</t>
  </si>
  <si>
    <t>Power density as per API 610 12th 8.3.3.4.2 (limit = 13MW/m3 for test to shutoff)</t>
  </si>
  <si>
    <t>Tip Speed @Dmax</t>
  </si>
  <si>
    <t>Instructions:</t>
  </si>
  <si>
    <r>
      <t>COMOPS: Import the Item Summary using the button below ((*)</t>
    </r>
    <r>
      <rPr>
        <b/>
        <sz val="11"/>
        <color rgb="FF00B050"/>
        <rFont val="Arial"/>
        <family val="2"/>
      </rPr>
      <t xml:space="preserve"> Only the green fields of the SCOPE SUMMARY and TECHNICAL TABULATION sheets will be filled</t>
    </r>
    <r>
      <rPr>
        <sz val="11"/>
        <color rgb="FF00B050"/>
        <rFont val="Arial"/>
        <family val="2"/>
      </rPr>
      <t>).</t>
    </r>
  </si>
  <si>
    <t>Action description / Action result</t>
  </si>
  <si>
    <t>Action owner /     Date of Action result</t>
  </si>
  <si>
    <t>Does client ask for impeller individually secured?</t>
  </si>
  <si>
    <t>Does client ask for impeller individually secured in both direction?</t>
  </si>
  <si>
    <t>technical note 11</t>
  </si>
  <si>
    <t>technical note 12</t>
  </si>
  <si>
    <t>technical note 13</t>
  </si>
  <si>
    <t>technical note 14</t>
  </si>
  <si>
    <t>technical note 15</t>
  </si>
  <si>
    <t>technical note 16</t>
  </si>
  <si>
    <t>technical note 17</t>
  </si>
  <si>
    <t>technical note 18</t>
  </si>
  <si>
    <t>technical note 19</t>
  </si>
  <si>
    <t>technical note 20</t>
  </si>
  <si>
    <t>technical note 21</t>
  </si>
  <si>
    <t>technical note 22</t>
  </si>
  <si>
    <t>technical note 23</t>
  </si>
  <si>
    <t>technical note 24</t>
  </si>
  <si>
    <t>technical note 25</t>
  </si>
  <si>
    <t>technical note 26</t>
  </si>
  <si>
    <t>technical note 27</t>
  </si>
  <si>
    <t>technical note 28</t>
  </si>
  <si>
    <t>technical note 29</t>
  </si>
  <si>
    <t>technical note 30</t>
  </si>
  <si>
    <t>technical note 31</t>
  </si>
  <si>
    <t>technical note 32</t>
  </si>
  <si>
    <t>technical note 33</t>
  </si>
  <si>
    <t>technical note 34</t>
  </si>
  <si>
    <t>technical note 35</t>
  </si>
  <si>
    <t>technical note 36</t>
  </si>
  <si>
    <t>technical note 37</t>
  </si>
  <si>
    <t>technical note 38</t>
  </si>
  <si>
    <t>technical note 39</t>
  </si>
  <si>
    <t>technical note 40</t>
  </si>
  <si>
    <t>technical note 41</t>
  </si>
  <si>
    <t>technical note 42</t>
  </si>
  <si>
    <t>technical note 43</t>
  </si>
  <si>
    <t>technical note 44</t>
  </si>
  <si>
    <t>technical note 45</t>
  </si>
  <si>
    <t>technical note 46</t>
  </si>
  <si>
    <t>technical note 47</t>
  </si>
  <si>
    <t>technical note 48</t>
  </si>
  <si>
    <t>technical note 49</t>
  </si>
  <si>
    <t>technical note 50</t>
  </si>
  <si>
    <t>Expected number of internal tests on first pump</t>
  </si>
  <si>
    <t>Expected number of impeller trimming on first pump</t>
  </si>
  <si>
    <t>First issue</t>
  </si>
  <si>
    <t>Rev.</t>
  </si>
  <si>
    <t>Description</t>
  </si>
  <si>
    <t>Prepared</t>
  </si>
  <si>
    <t>Checked</t>
  </si>
  <si>
    <t>Approved</t>
  </si>
  <si>
    <t xml:space="preserve">TECHNICAL SUMMARY
(linked to SOP-547)
</t>
  </si>
  <si>
    <t>DOCUMENT Nr.</t>
  </si>
  <si>
    <t>Mod.504-0</t>
  </si>
  <si>
    <t>Product Technology/ M.Toselli</t>
  </si>
  <si>
    <t>QA/HSE/N.Legato/ T.Morelli Stefani</t>
  </si>
  <si>
    <t>R&amp;D and Product engineering Manager/ M.Borghetti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</si>
</sst>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00"/>
    <numFmt numFmtId="165" formatCode="##"/>
    <numFmt numFmtId="166" formatCode="dd/mm/yy;@"/>
    <numFmt numFmtId="167" formatCode="General_)"/>
    <numFmt numFmtId="168" formatCode="&quot;$&quot;#,##0.00;[Red]\-&quot;$&quot;#,##0.00"/>
  </numFmts>
  <fonts count="35" x14ac:knownFonts="1">
    <font>
      <sz val="11"/>
      <color theme="1"/>
      <name val="Calibri"/>
      <family val="2"/>
      <scheme val="minor"/>
    </font>
    <font>
      <b/>
      <sz val="11"/>
      <color theme="1"/>
      <name val="Calibri"/>
      <family val="2"/>
      <scheme val="minor"/>
    </font>
    <font>
      <b/>
      <sz val="11"/>
      <name val="Calibri"/>
      <family val="2"/>
      <scheme val="minor"/>
    </font>
    <font>
      <sz val="10"/>
      <name val="Arial"/>
      <family val="2"/>
    </font>
    <font>
      <b/>
      <sz val="18"/>
      <name val="Arial"/>
      <family val="2"/>
    </font>
    <font>
      <b/>
      <sz val="12"/>
      <name val="Arial"/>
      <family val="2"/>
    </font>
    <font>
      <b/>
      <sz val="14"/>
      <name val="Arial"/>
      <family val="2"/>
    </font>
    <font>
      <sz val="8"/>
      <name val="Calibri"/>
      <family val="2"/>
      <scheme val="minor"/>
    </font>
    <font>
      <b/>
      <sz val="16"/>
      <color theme="1"/>
      <name val="Calibri"/>
      <family val="2"/>
      <scheme val="minor"/>
    </font>
    <font>
      <b/>
      <sz val="18"/>
      <color theme="1"/>
      <name val="Calibri"/>
      <family val="2"/>
      <scheme val="minor"/>
    </font>
    <font>
      <sz val="11"/>
      <name val="Calibri"/>
      <family val="2"/>
      <scheme val="minor"/>
    </font>
    <font>
      <sz val="11"/>
      <color theme="1"/>
      <name val="Calibri"/>
      <family val="2"/>
      <scheme val="minor"/>
    </font>
    <font>
      <sz val="11"/>
      <color rgb="FF000000"/>
      <name val="Calibri"/>
      <family val="2"/>
      <scheme val="minor"/>
    </font>
    <font>
      <b/>
      <sz val="11"/>
      <color rgb="FF000000"/>
      <name val="Calibri"/>
      <family val="2"/>
      <scheme val="minor"/>
    </font>
    <font>
      <sz val="14"/>
      <name val="Arial"/>
      <family val="2"/>
    </font>
    <font>
      <b/>
      <sz val="16"/>
      <color rgb="FF0000FF"/>
      <name val="Calibri"/>
      <family val="2"/>
    </font>
    <font>
      <sz val="14"/>
      <color theme="1"/>
      <name val="Calibri"/>
      <family val="2"/>
      <scheme val="minor"/>
    </font>
    <font>
      <b/>
      <sz val="11"/>
      <name val="Arial"/>
      <family val="2"/>
    </font>
    <font>
      <sz val="11"/>
      <name val="Arial"/>
      <family val="2"/>
    </font>
    <font>
      <b/>
      <sz val="11"/>
      <color theme="9" tint="-0.499984740745262"/>
      <name val="Calibri"/>
      <family val="2"/>
      <scheme val="minor"/>
    </font>
    <font>
      <sz val="14"/>
      <color indexed="8"/>
      <name val="Calibri"/>
      <family val="2"/>
      <scheme val="minor"/>
    </font>
    <font>
      <b/>
      <sz val="16"/>
      <color indexed="8"/>
      <name val="Calibri"/>
      <family val="2"/>
      <scheme val="minor"/>
    </font>
    <font>
      <b/>
      <sz val="12"/>
      <color rgb="FFFF0000"/>
      <name val="Arial"/>
      <family val="2"/>
    </font>
    <font>
      <b/>
      <sz val="11"/>
      <color rgb="FFFF0000"/>
      <name val="Arial"/>
      <family val="2"/>
    </font>
    <font>
      <b/>
      <u/>
      <sz val="11"/>
      <color rgb="FFFF0000"/>
      <name val="Arial"/>
      <family val="2"/>
    </font>
    <font>
      <b/>
      <sz val="11"/>
      <color rgb="FF00B050"/>
      <name val="Arial"/>
      <family val="2"/>
    </font>
    <font>
      <sz val="11"/>
      <color rgb="FF00B050"/>
      <name val="Arial"/>
      <family val="2"/>
    </font>
    <font>
      <sz val="14"/>
      <color rgb="FF000000"/>
      <name val="Calibri"/>
      <family val="2"/>
      <scheme val="minor"/>
    </font>
    <font>
      <b/>
      <sz val="16"/>
      <color rgb="FF000000"/>
      <name val="Calibri"/>
      <family val="2"/>
      <scheme val="minor"/>
    </font>
    <font>
      <sz val="9"/>
      <name val="Arial"/>
      <family val="2"/>
    </font>
    <font>
      <b/>
      <sz val="12"/>
      <color indexed="9"/>
      <name val="Arial"/>
      <family val="2"/>
    </font>
    <font>
      <sz val="26"/>
      <name val="Arial"/>
      <family val="2"/>
    </font>
    <font>
      <b/>
      <sz val="26"/>
      <name val="Arial"/>
      <family val="2"/>
    </font>
    <font>
      <sz val="8"/>
      <name val="Arial"/>
      <family val="2"/>
    </font>
    <font>
      <i/>
      <sz val="10"/>
      <name val="Arial"/>
      <family val="2"/>
    </font>
  </fonts>
  <fills count="10">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808080"/>
        <bgColor indexed="64"/>
      </patternFill>
    </fill>
    <fill>
      <patternFill patternType="solid">
        <fgColor rgb="FFBFBFBF"/>
        <bgColor indexed="64"/>
      </patternFill>
    </fill>
    <fill>
      <patternFill patternType="solid">
        <fgColor theme="0" tint="-0.34998626667073579"/>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medium">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auto="1"/>
      </right>
      <top style="medium">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style="thin">
        <color auto="1"/>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7">
    <xf numFmtId="0" fontId="0" fillId="0" borderId="0"/>
    <xf numFmtId="0" fontId="3" fillId="0" borderId="0"/>
    <xf numFmtId="0" fontId="3" fillId="0" borderId="0"/>
    <xf numFmtId="44" fontId="11" fillId="0" borderId="0" applyFont="0" applyFill="0" applyBorder="0" applyAlignment="0" applyProtection="0"/>
    <xf numFmtId="0" fontId="3" fillId="0" borderId="0"/>
    <xf numFmtId="167" fontId="29" fillId="0" borderId="0"/>
    <xf numFmtId="168" fontId="33" fillId="0" borderId="0" applyFont="0" applyFill="0" applyBorder="0" applyAlignment="0" applyProtection="0"/>
  </cellStyleXfs>
  <cellXfs count="345">
    <xf numFmtId="0" fontId="0" fillId="0" borderId="0" xfId="0"/>
    <xf numFmtId="0" fontId="2" fillId="0" borderId="0" xfId="0" applyFont="1" applyAlignment="1">
      <alignment horizontal="left" vertical="center" wrapText="1"/>
    </xf>
    <xf numFmtId="0" fontId="0" fillId="0" borderId="0" xfId="0" applyAlignment="1">
      <alignment horizontal="left" vertical="center" wrapText="1"/>
    </xf>
    <xf numFmtId="0" fontId="1" fillId="0" borderId="0" xfId="0" applyFont="1" applyAlignment="1">
      <alignment horizontal="left" vertical="center" wrapText="1"/>
    </xf>
    <xf numFmtId="0" fontId="0" fillId="0" borderId="0" xfId="0" applyAlignment="1">
      <alignment horizontal="right" vertical="center" wrapText="1"/>
    </xf>
    <xf numFmtId="0" fontId="2" fillId="0" borderId="0" xfId="0" applyFont="1" applyAlignment="1">
      <alignment horizontal="right" vertical="center" wrapText="1"/>
    </xf>
    <xf numFmtId="0" fontId="4" fillId="0" borderId="0" xfId="1" applyFont="1" applyAlignment="1">
      <alignment vertical="center"/>
    </xf>
    <xf numFmtId="0" fontId="3" fillId="0" borderId="0" xfId="1" applyAlignment="1">
      <alignment vertical="center"/>
    </xf>
    <xf numFmtId="0" fontId="2" fillId="3" borderId="1" xfId="0" applyFont="1" applyFill="1" applyBorder="1" applyAlignment="1">
      <alignment horizontal="center" vertical="center" wrapText="1"/>
    </xf>
    <xf numFmtId="0" fontId="2" fillId="5"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2" fillId="9" borderId="27" xfId="0" applyFont="1" applyFill="1" applyBorder="1" applyAlignment="1">
      <alignment horizontal="left" vertical="center" wrapText="1"/>
    </xf>
    <xf numFmtId="0" fontId="2" fillId="9" borderId="15" xfId="0" applyFont="1" applyFill="1" applyBorder="1" applyAlignment="1">
      <alignment horizontal="left" vertical="center" wrapText="1"/>
    </xf>
    <xf numFmtId="0" fontId="2" fillId="0" borderId="2" xfId="0" applyFont="1" applyBorder="1" applyAlignment="1">
      <alignment horizontal="left" vertical="center" wrapText="1"/>
    </xf>
    <xf numFmtId="0" fontId="2" fillId="0" borderId="21" xfId="0" applyFont="1" applyBorder="1" applyAlignment="1">
      <alignment horizontal="left" vertical="center" wrapText="1"/>
    </xf>
    <xf numFmtId="0" fontId="2" fillId="5" borderId="27" xfId="0" applyFont="1" applyFill="1" applyBorder="1" applyAlignment="1">
      <alignment horizontal="left" vertical="center" wrapText="1"/>
    </xf>
    <xf numFmtId="0" fontId="17" fillId="0" borderId="6" xfId="2" applyFont="1" applyBorder="1" applyAlignment="1">
      <alignment horizontal="left" vertical="center"/>
    </xf>
    <xf numFmtId="0" fontId="17" fillId="0" borderId="0" xfId="1" applyFont="1" applyAlignment="1">
      <alignment vertical="center"/>
    </xf>
    <xf numFmtId="0" fontId="18" fillId="0" borderId="0" xfId="1" applyFont="1" applyAlignment="1">
      <alignment vertical="center"/>
    </xf>
    <xf numFmtId="0" fontId="17" fillId="0" borderId="9" xfId="1" applyFont="1" applyBorder="1" applyAlignment="1">
      <alignment vertical="center"/>
    </xf>
    <xf numFmtId="0" fontId="17" fillId="0" borderId="10" xfId="1" applyFont="1" applyBorder="1" applyAlignment="1">
      <alignment vertical="center"/>
    </xf>
    <xf numFmtId="0" fontId="18" fillId="2" borderId="1" xfId="1" applyFont="1" applyFill="1" applyBorder="1" applyAlignment="1">
      <alignment vertical="center"/>
    </xf>
    <xf numFmtId="0" fontId="18" fillId="0" borderId="1" xfId="1" applyFont="1" applyBorder="1" applyAlignment="1">
      <alignment vertical="center"/>
    </xf>
    <xf numFmtId="0" fontId="18" fillId="0" borderId="35" xfId="1" applyFont="1" applyBorder="1" applyAlignment="1">
      <alignment vertical="center"/>
    </xf>
    <xf numFmtId="0" fontId="17" fillId="0" borderId="0" xfId="1" applyFont="1" applyAlignment="1" applyProtection="1">
      <alignment vertical="center"/>
      <protection locked="0"/>
    </xf>
    <xf numFmtId="0" fontId="17" fillId="0" borderId="9" xfId="1" applyFont="1" applyBorder="1" applyAlignment="1" applyProtection="1">
      <alignment vertical="center"/>
      <protection locked="0"/>
    </xf>
    <xf numFmtId="0" fontId="17" fillId="0" borderId="10" xfId="1" applyFont="1" applyBorder="1" applyAlignment="1" applyProtection="1">
      <alignment vertical="center"/>
      <protection locked="0"/>
    </xf>
    <xf numFmtId="0" fontId="18" fillId="0" borderId="9" xfId="1" applyFont="1" applyBorder="1" applyAlignment="1" applyProtection="1">
      <alignment vertical="center"/>
      <protection locked="0"/>
    </xf>
    <xf numFmtId="0" fontId="18" fillId="0" borderId="10" xfId="1" applyFont="1" applyBorder="1" applyAlignment="1" applyProtection="1">
      <alignment vertical="center"/>
      <protection locked="0"/>
    </xf>
    <xf numFmtId="14" fontId="17" fillId="0" borderId="0" xfId="1" applyNumberFormat="1" applyFont="1" applyAlignment="1" applyProtection="1">
      <alignment vertical="center"/>
      <protection locked="0"/>
    </xf>
    <xf numFmtId="14" fontId="17" fillId="0" borderId="10" xfId="1" applyNumberFormat="1" applyFont="1" applyBorder="1" applyAlignment="1" applyProtection="1">
      <alignment vertical="center"/>
      <protection locked="0"/>
    </xf>
    <xf numFmtId="0" fontId="2" fillId="4" borderId="1"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12" fillId="0" borderId="0" xfId="0" applyFont="1" applyAlignment="1">
      <alignment horizontal="center" vertical="center" wrapText="1"/>
    </xf>
    <xf numFmtId="0" fontId="2" fillId="5" borderId="4" xfId="0" applyFont="1" applyFill="1" applyBorder="1" applyAlignment="1">
      <alignment horizontal="left" vertical="center" wrapText="1"/>
    </xf>
    <xf numFmtId="165" fontId="2" fillId="0" borderId="24" xfId="0" applyNumberFormat="1" applyFont="1" applyBorder="1" applyAlignment="1">
      <alignment horizontal="left" vertical="center" wrapText="1"/>
    </xf>
    <xf numFmtId="165" fontId="2" fillId="0" borderId="25" xfId="0" applyNumberFormat="1" applyFont="1" applyBorder="1" applyAlignment="1">
      <alignment horizontal="left" vertical="center" wrapText="1"/>
    </xf>
    <xf numFmtId="0" fontId="2" fillId="0" borderId="48" xfId="0" applyFont="1" applyBorder="1" applyAlignment="1">
      <alignment horizontal="right" vertical="center" wrapText="1"/>
    </xf>
    <xf numFmtId="0" fontId="10" fillId="0" borderId="45" xfId="0" applyFont="1" applyBorder="1" applyAlignment="1">
      <alignment horizontal="right" vertical="center" wrapText="1"/>
    </xf>
    <xf numFmtId="0" fontId="10" fillId="0" borderId="48" xfId="0" applyFont="1" applyBorder="1" applyAlignment="1">
      <alignment horizontal="right" vertical="center" wrapText="1"/>
    </xf>
    <xf numFmtId="0" fontId="2" fillId="9" borderId="44" xfId="0" applyFont="1" applyFill="1" applyBorder="1" applyAlignment="1">
      <alignment horizontal="right" vertical="center" wrapText="1"/>
    </xf>
    <xf numFmtId="0" fontId="2" fillId="9" borderId="47" xfId="0" applyFont="1" applyFill="1" applyBorder="1" applyAlignment="1">
      <alignment horizontal="right" vertical="center" wrapText="1"/>
    </xf>
    <xf numFmtId="0" fontId="2" fillId="5" borderId="45" xfId="0" applyFont="1" applyFill="1" applyBorder="1" applyAlignment="1">
      <alignment horizontal="right" vertical="center" wrapText="1"/>
    </xf>
    <xf numFmtId="0" fontId="2" fillId="5" borderId="48" xfId="0" applyFont="1" applyFill="1" applyBorder="1" applyAlignment="1">
      <alignment horizontal="right" vertical="center" wrapText="1"/>
    </xf>
    <xf numFmtId="0" fontId="10" fillId="0" borderId="37" xfId="0" applyFont="1" applyBorder="1" applyAlignment="1">
      <alignment horizontal="right" vertical="center" wrapText="1"/>
    </xf>
    <xf numFmtId="0" fontId="10" fillId="0" borderId="39" xfId="0" applyFont="1" applyBorder="1" applyAlignment="1">
      <alignment horizontal="right" vertical="center" wrapText="1"/>
    </xf>
    <xf numFmtId="0" fontId="10" fillId="0" borderId="5" xfId="0" applyFont="1" applyBorder="1" applyAlignment="1">
      <alignment horizontal="right" vertical="center" wrapText="1"/>
    </xf>
    <xf numFmtId="0" fontId="0" fillId="0" borderId="5" xfId="0" applyBorder="1" applyAlignment="1">
      <alignment horizontal="right" vertical="center" wrapText="1"/>
    </xf>
    <xf numFmtId="0" fontId="0" fillId="0" borderId="51" xfId="0" applyBorder="1" applyAlignment="1">
      <alignment horizontal="right" vertical="center" wrapText="1"/>
    </xf>
    <xf numFmtId="0" fontId="2" fillId="0" borderId="49" xfId="0" applyFont="1" applyBorder="1" applyAlignment="1">
      <alignment horizontal="right" vertical="center" wrapText="1"/>
    </xf>
    <xf numFmtId="0" fontId="10" fillId="0" borderId="24" xfId="0" applyFont="1" applyBorder="1" applyAlignment="1">
      <alignment horizontal="center" vertical="center" wrapText="1"/>
    </xf>
    <xf numFmtId="0" fontId="2" fillId="9" borderId="15" xfId="0" applyFont="1" applyFill="1" applyBorder="1" applyAlignment="1">
      <alignment horizontal="center" vertical="center"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2" fillId="0" borderId="0" xfId="0" applyFont="1" applyAlignment="1">
      <alignment horizontal="center" vertical="center" wrapText="1"/>
    </xf>
    <xf numFmtId="0" fontId="10" fillId="0" borderId="50" xfId="0" applyFont="1" applyBorder="1" applyAlignment="1">
      <alignment horizontal="center" vertical="center" wrapText="1"/>
    </xf>
    <xf numFmtId="0" fontId="2" fillId="5" borderId="16" xfId="0" applyFont="1" applyFill="1" applyBorder="1" applyAlignment="1">
      <alignment horizontal="center" vertical="center" wrapText="1"/>
    </xf>
    <xf numFmtId="0" fontId="10" fillId="5" borderId="16" xfId="0" applyFont="1" applyFill="1" applyBorder="1" applyAlignment="1">
      <alignment horizontal="center" vertical="center" wrapText="1"/>
    </xf>
    <xf numFmtId="0" fontId="2" fillId="0" borderId="16" xfId="0" applyFont="1" applyBorder="1" applyAlignment="1">
      <alignment horizontal="center" vertical="center" wrapText="1"/>
    </xf>
    <xf numFmtId="0" fontId="2" fillId="0" borderId="17" xfId="0" applyFont="1" applyBorder="1" applyAlignment="1">
      <alignment horizontal="center" vertical="center" wrapText="1"/>
    </xf>
    <xf numFmtId="0" fontId="2" fillId="3" borderId="56" xfId="0" applyFont="1" applyFill="1" applyBorder="1" applyAlignment="1">
      <alignment horizontal="center" vertical="center" wrapText="1"/>
    </xf>
    <xf numFmtId="0" fontId="2" fillId="0" borderId="56" xfId="0" applyFont="1" applyBorder="1" applyAlignment="1">
      <alignment horizontal="center" vertical="center" wrapText="1"/>
    </xf>
    <xf numFmtId="0" fontId="2" fillId="4" borderId="56" xfId="0" applyFont="1" applyFill="1" applyBorder="1" applyAlignment="1">
      <alignment horizontal="center" vertical="center" wrapText="1"/>
    </xf>
    <xf numFmtId="0" fontId="1" fillId="3" borderId="56" xfId="0" applyFont="1" applyFill="1" applyBorder="1" applyAlignment="1">
      <alignment horizontal="center" vertical="center" wrapText="1"/>
    </xf>
    <xf numFmtId="0" fontId="1" fillId="0" borderId="56" xfId="0" applyFont="1" applyBorder="1" applyAlignment="1">
      <alignment horizontal="center" vertical="center" wrapText="1"/>
    </xf>
    <xf numFmtId="0" fontId="2" fillId="0" borderId="57" xfId="0" applyFont="1" applyBorder="1" applyAlignment="1">
      <alignment horizontal="center" vertical="center" wrapText="1"/>
    </xf>
    <xf numFmtId="0" fontId="12" fillId="0" borderId="22" xfId="0" applyFont="1" applyBorder="1" applyAlignment="1" applyProtection="1">
      <alignment horizontal="center" vertical="center" wrapText="1"/>
      <protection locked="0"/>
    </xf>
    <xf numFmtId="0" fontId="12" fillId="0" borderId="49" xfId="0" applyFont="1" applyBorder="1" applyAlignment="1" applyProtection="1">
      <alignment horizontal="center" vertical="center" wrapText="1"/>
      <protection locked="0"/>
    </xf>
    <xf numFmtId="0" fontId="1" fillId="9" borderId="44" xfId="0" applyFont="1" applyFill="1" applyBorder="1" applyAlignment="1">
      <alignment horizontal="center" vertical="center" wrapText="1"/>
    </xf>
    <xf numFmtId="0" fontId="1" fillId="9" borderId="47" xfId="0" applyFont="1" applyFill="1" applyBorder="1" applyAlignment="1">
      <alignment horizontal="center" vertical="center" wrapText="1"/>
    </xf>
    <xf numFmtId="44" fontId="12" fillId="0" borderId="0" xfId="3" applyFont="1" applyFill="1" applyBorder="1" applyAlignment="1" applyProtection="1">
      <alignment horizontal="left" vertical="center"/>
    </xf>
    <xf numFmtId="44" fontId="0" fillId="0" borderId="0" xfId="3" applyFont="1" applyBorder="1" applyAlignment="1" applyProtection="1">
      <alignment horizontal="left" vertical="center"/>
    </xf>
    <xf numFmtId="0" fontId="2" fillId="0" borderId="55" xfId="0" applyFont="1" applyBorder="1" applyAlignment="1">
      <alignment horizontal="center" vertical="center" wrapText="1"/>
    </xf>
    <xf numFmtId="0" fontId="2" fillId="9" borderId="62" xfId="0" applyFont="1" applyFill="1" applyBorder="1" applyAlignment="1">
      <alignment horizontal="left" vertical="center" wrapText="1"/>
    </xf>
    <xf numFmtId="0" fontId="2" fillId="0" borderId="63" xfId="0" applyFont="1" applyBorder="1" applyAlignment="1">
      <alignment horizontal="center" vertical="center" wrapText="1"/>
    </xf>
    <xf numFmtId="0" fontId="10" fillId="0" borderId="64" xfId="0" applyFont="1" applyBorder="1" applyAlignment="1">
      <alignment horizontal="center" vertical="center" wrapText="1"/>
    </xf>
    <xf numFmtId="0" fontId="2" fillId="5" borderId="15" xfId="0" applyFont="1" applyFill="1" applyBorder="1" applyAlignment="1">
      <alignment horizontal="center" vertical="center" wrapText="1"/>
    </xf>
    <xf numFmtId="0" fontId="2" fillId="5" borderId="52" xfId="0" applyFont="1" applyFill="1" applyBorder="1" applyAlignment="1">
      <alignment horizontal="right" vertical="center" wrapText="1"/>
    </xf>
    <xf numFmtId="0" fontId="2" fillId="5" borderId="47" xfId="0" applyFont="1" applyFill="1" applyBorder="1" applyAlignment="1">
      <alignment horizontal="right" vertical="center" wrapText="1"/>
    </xf>
    <xf numFmtId="0" fontId="10" fillId="0" borderId="60" xfId="0" applyFont="1" applyBorder="1" applyAlignment="1">
      <alignment horizontal="right" vertical="center" wrapText="1"/>
    </xf>
    <xf numFmtId="0" fontId="10" fillId="0" borderId="46" xfId="0" applyFont="1" applyBorder="1" applyAlignment="1">
      <alignment horizontal="right" vertical="center" wrapText="1"/>
    </xf>
    <xf numFmtId="0" fontId="10" fillId="0" borderId="49" xfId="0" applyFont="1" applyBorder="1" applyAlignment="1">
      <alignment horizontal="right" vertical="center" wrapText="1"/>
    </xf>
    <xf numFmtId="0" fontId="8" fillId="0" borderId="0" xfId="0" applyFont="1" applyAlignment="1">
      <alignment horizontal="center" vertical="center" wrapText="1"/>
    </xf>
    <xf numFmtId="0" fontId="16" fillId="0" borderId="0" xfId="0" applyFont="1" applyAlignment="1">
      <alignment horizontal="center" vertical="center" wrapText="1"/>
    </xf>
    <xf numFmtId="0" fontId="2" fillId="0" borderId="45" xfId="0" applyFont="1" applyBorder="1" applyAlignment="1">
      <alignment horizontal="left" vertical="center" wrapText="1"/>
    </xf>
    <xf numFmtId="0" fontId="2" fillId="0" borderId="1" xfId="0" applyFont="1" applyBorder="1" applyAlignment="1">
      <alignment horizontal="right" vertical="center" wrapText="1"/>
    </xf>
    <xf numFmtId="0" fontId="0" fillId="0" borderId="22" xfId="0" applyBorder="1" applyAlignment="1" applyProtection="1">
      <alignment vertical="center"/>
      <protection locked="0"/>
    </xf>
    <xf numFmtId="0" fontId="2" fillId="0" borderId="16" xfId="0" applyFont="1" applyBorder="1" applyAlignment="1">
      <alignment horizontal="right" vertical="center" wrapText="1"/>
    </xf>
    <xf numFmtId="0" fontId="2" fillId="0" borderId="63" xfId="0" applyFont="1" applyBorder="1" applyAlignment="1">
      <alignment horizontal="right" vertical="center" wrapText="1"/>
    </xf>
    <xf numFmtId="0" fontId="2" fillId="0" borderId="17" xfId="0" applyFont="1" applyBorder="1" applyAlignment="1">
      <alignment horizontal="right" vertical="center" wrapText="1"/>
    </xf>
    <xf numFmtId="0" fontId="2" fillId="0" borderId="24" xfId="0" applyFont="1" applyBorder="1" applyAlignment="1">
      <alignment horizontal="right" vertical="center" wrapText="1"/>
    </xf>
    <xf numFmtId="0" fontId="2" fillId="0" borderId="31" xfId="0" applyFont="1" applyBorder="1" applyAlignment="1">
      <alignment horizontal="right" vertical="center" wrapText="1"/>
    </xf>
    <xf numFmtId="0" fontId="2" fillId="0" borderId="25" xfId="0" applyFont="1" applyBorder="1" applyAlignment="1">
      <alignment horizontal="right" vertical="center" wrapText="1"/>
    </xf>
    <xf numFmtId="9" fontId="2" fillId="0" borderId="16" xfId="0" applyNumberFormat="1" applyFont="1" applyBorder="1" applyAlignment="1">
      <alignment horizontal="right" vertical="center" wrapText="1"/>
    </xf>
    <xf numFmtId="0" fontId="2" fillId="0" borderId="61" xfId="0" applyFont="1" applyBorder="1" applyAlignment="1">
      <alignment horizontal="right" vertical="center" wrapText="1"/>
    </xf>
    <xf numFmtId="9" fontId="2" fillId="0" borderId="24" xfId="0" applyNumberFormat="1" applyFont="1" applyBorder="1" applyAlignment="1">
      <alignment horizontal="right" vertical="center" wrapText="1"/>
    </xf>
    <xf numFmtId="0" fontId="2" fillId="0" borderId="4" xfId="0" applyFont="1" applyBorder="1" applyAlignment="1">
      <alignment horizontal="right" vertical="center" wrapText="1"/>
    </xf>
    <xf numFmtId="0" fontId="2" fillId="0" borderId="4" xfId="0" applyFont="1" applyBorder="1" applyAlignment="1">
      <alignment horizontal="right" vertical="center"/>
    </xf>
    <xf numFmtId="0" fontId="2" fillId="0" borderId="58" xfId="0" applyFont="1" applyBorder="1" applyAlignment="1">
      <alignment horizontal="right" vertical="center" wrapText="1"/>
    </xf>
    <xf numFmtId="0" fontId="2" fillId="0" borderId="59" xfId="0" applyFont="1" applyBorder="1" applyAlignment="1">
      <alignment horizontal="right" vertical="center" wrapText="1"/>
    </xf>
    <xf numFmtId="0" fontId="1" fillId="0" borderId="59" xfId="0" applyFont="1" applyBorder="1" applyAlignment="1">
      <alignment horizontal="right" vertical="center" wrapText="1"/>
    </xf>
    <xf numFmtId="0" fontId="2" fillId="0" borderId="60" xfId="0" applyFont="1" applyBorder="1" applyAlignment="1">
      <alignment horizontal="right" vertical="center" wrapText="1"/>
    </xf>
    <xf numFmtId="165" fontId="2" fillId="0" borderId="24" xfId="0" applyNumberFormat="1" applyFont="1" applyBorder="1" applyAlignment="1" applyProtection="1">
      <alignment horizontal="right" vertical="center" wrapText="1"/>
      <protection locked="0"/>
    </xf>
    <xf numFmtId="165" fontId="2" fillId="0" borderId="24" xfId="0" applyNumberFormat="1" applyFont="1" applyBorder="1" applyAlignment="1">
      <alignment horizontal="right" vertical="center" wrapText="1"/>
    </xf>
    <xf numFmtId="0" fontId="2" fillId="9" borderId="62" xfId="0" applyFont="1" applyFill="1" applyBorder="1" applyAlignment="1">
      <alignment horizontal="center" vertical="center" wrapText="1"/>
    </xf>
    <xf numFmtId="0" fontId="12" fillId="8" borderId="60" xfId="0" applyFont="1" applyFill="1" applyBorder="1" applyAlignment="1" applyProtection="1">
      <alignment horizontal="right" vertical="center" wrapText="1"/>
      <protection locked="0"/>
    </xf>
    <xf numFmtId="0" fontId="2" fillId="9" borderId="7" xfId="0" applyFont="1" applyFill="1" applyBorder="1" applyAlignment="1">
      <alignment horizontal="left" vertical="center" wrapText="1"/>
    </xf>
    <xf numFmtId="0" fontId="2" fillId="0" borderId="52" xfId="0" applyFont="1" applyBorder="1" applyAlignment="1">
      <alignment horizontal="left" vertical="center" wrapText="1"/>
    </xf>
    <xf numFmtId="0" fontId="2" fillId="0" borderId="46" xfId="0" applyFont="1" applyBorder="1" applyAlignment="1">
      <alignment horizontal="left" vertical="center" wrapText="1"/>
    </xf>
    <xf numFmtId="44" fontId="2" fillId="0" borderId="4" xfId="3" applyFont="1" applyBorder="1" applyAlignment="1" applyProtection="1">
      <alignment horizontal="right" vertical="center" wrapText="1"/>
    </xf>
    <xf numFmtId="0" fontId="2" fillId="0" borderId="4" xfId="0" applyFont="1" applyBorder="1" applyAlignment="1" applyProtection="1">
      <alignment horizontal="right" vertical="center" wrapText="1"/>
      <protection locked="0"/>
    </xf>
    <xf numFmtId="0" fontId="2" fillId="5" borderId="4" xfId="0" applyFont="1" applyFill="1" applyBorder="1" applyAlignment="1" applyProtection="1">
      <alignment horizontal="right" vertical="center" wrapText="1"/>
      <protection locked="0"/>
    </xf>
    <xf numFmtId="0" fontId="12" fillId="7" borderId="45" xfId="0" applyFont="1" applyFill="1" applyBorder="1" applyAlignment="1" applyProtection="1">
      <alignment horizontal="right" vertical="center" wrapText="1"/>
      <protection locked="0"/>
    </xf>
    <xf numFmtId="0" fontId="12" fillId="8" borderId="45" xfId="0" applyFont="1" applyFill="1" applyBorder="1" applyAlignment="1" applyProtection="1">
      <alignment horizontal="right" vertical="center" wrapText="1"/>
      <protection locked="0"/>
    </xf>
    <xf numFmtId="0" fontId="13" fillId="8" borderId="45" xfId="0" applyFont="1" applyFill="1" applyBorder="1" applyAlignment="1" applyProtection="1">
      <alignment horizontal="right" vertical="center" wrapText="1"/>
      <protection locked="0"/>
    </xf>
    <xf numFmtId="0" fontId="12" fillId="7" borderId="24" xfId="0" applyFont="1" applyFill="1" applyBorder="1" applyAlignment="1" applyProtection="1">
      <alignment horizontal="right" vertical="center" wrapText="1"/>
      <protection locked="0"/>
    </xf>
    <xf numFmtId="0" fontId="12" fillId="8" borderId="24" xfId="0" applyFont="1" applyFill="1" applyBorder="1" applyAlignment="1" applyProtection="1">
      <alignment horizontal="right" vertical="center" wrapText="1"/>
      <protection locked="0"/>
    </xf>
    <xf numFmtId="0" fontId="13" fillId="8" borderId="24" xfId="0" applyFont="1" applyFill="1" applyBorder="1" applyAlignment="1" applyProtection="1">
      <alignment horizontal="right" vertical="center" wrapText="1"/>
      <protection locked="0"/>
    </xf>
    <xf numFmtId="0" fontId="12" fillId="7" borderId="60" xfId="0" applyFont="1" applyFill="1" applyBorder="1" applyAlignment="1" applyProtection="1">
      <alignment horizontal="right" vertical="center" wrapText="1"/>
      <protection locked="0"/>
    </xf>
    <xf numFmtId="0" fontId="0" fillId="0" borderId="24" xfId="0" applyBorder="1" applyAlignment="1" applyProtection="1">
      <alignment horizontal="right" vertical="center" wrapText="1"/>
      <protection locked="0"/>
    </xf>
    <xf numFmtId="0" fontId="0" fillId="0" borderId="45" xfId="0" applyBorder="1" applyAlignment="1" applyProtection="1">
      <alignment horizontal="right" vertical="center" wrapText="1"/>
      <protection locked="0"/>
    </xf>
    <xf numFmtId="0" fontId="13" fillId="8" borderId="60" xfId="0" applyFont="1" applyFill="1" applyBorder="1" applyAlignment="1" applyProtection="1">
      <alignment horizontal="right" vertical="center" wrapText="1"/>
      <protection locked="0"/>
    </xf>
    <xf numFmtId="0" fontId="13" fillId="7" borderId="47" xfId="0" applyFont="1" applyFill="1" applyBorder="1" applyAlignment="1" applyProtection="1">
      <alignment horizontal="center" vertical="center" wrapText="1"/>
      <protection locked="0"/>
    </xf>
    <xf numFmtId="0" fontId="12" fillId="7" borderId="25" xfId="0" applyFont="1" applyFill="1" applyBorder="1" applyAlignment="1" applyProtection="1">
      <alignment horizontal="right" vertical="center" wrapText="1"/>
      <protection locked="0"/>
    </xf>
    <xf numFmtId="0" fontId="12" fillId="7" borderId="46" xfId="0" applyFont="1" applyFill="1" applyBorder="1" applyAlignment="1" applyProtection="1">
      <alignment horizontal="right" vertical="center" wrapText="1"/>
      <protection locked="0"/>
    </xf>
    <xf numFmtId="0" fontId="12" fillId="7" borderId="49" xfId="0" applyFont="1" applyFill="1" applyBorder="1" applyAlignment="1" applyProtection="1">
      <alignment horizontal="right" vertical="center" wrapText="1"/>
      <protection locked="0"/>
    </xf>
    <xf numFmtId="44" fontId="12" fillId="0" borderId="45" xfId="3" applyFont="1" applyFill="1" applyBorder="1" applyAlignment="1" applyProtection="1">
      <alignment horizontal="right" vertical="center" wrapText="1"/>
      <protection locked="0"/>
    </xf>
    <xf numFmtId="44" fontId="12" fillId="0" borderId="60" xfId="3" applyFont="1" applyFill="1" applyBorder="1" applyAlignment="1" applyProtection="1">
      <alignment horizontal="right" vertical="center" wrapText="1"/>
      <protection locked="0"/>
    </xf>
    <xf numFmtId="0" fontId="2" fillId="0" borderId="0" xfId="0" applyFont="1" applyAlignment="1" applyProtection="1">
      <alignment horizontal="left" vertical="center"/>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right" vertical="center"/>
      <protection locked="0"/>
    </xf>
    <xf numFmtId="44" fontId="12" fillId="0" borderId="0" xfId="3" applyFont="1" applyFill="1" applyBorder="1" applyAlignment="1" applyProtection="1">
      <alignment horizontal="right" vertical="center" wrapText="1"/>
    </xf>
    <xf numFmtId="0" fontId="3" fillId="0" borderId="7" xfId="4" applyBorder="1" applyAlignment="1">
      <alignment horizontal="center" vertical="center"/>
    </xf>
    <xf numFmtId="0" fontId="3" fillId="0" borderId="13" xfId="4" applyBorder="1" applyAlignment="1">
      <alignment horizontal="center" vertical="center"/>
    </xf>
    <xf numFmtId="0" fontId="3" fillId="0" borderId="8" xfId="4" applyBorder="1" applyAlignment="1">
      <alignment horizontal="center" vertical="center"/>
    </xf>
    <xf numFmtId="167" fontId="29" fillId="0" borderId="0" xfId="5"/>
    <xf numFmtId="0" fontId="3" fillId="0" borderId="9" xfId="4" applyBorder="1" applyAlignment="1">
      <alignment horizontal="center" vertical="center"/>
    </xf>
    <xf numFmtId="0" fontId="3" fillId="0" borderId="0" xfId="4" applyAlignment="1">
      <alignment horizontal="center" vertical="center"/>
    </xf>
    <xf numFmtId="0" fontId="3" fillId="0" borderId="10" xfId="4" applyBorder="1" applyAlignment="1">
      <alignment horizontal="center" vertical="center"/>
    </xf>
    <xf numFmtId="0" fontId="6" fillId="0" borderId="0" xfId="4" applyFont="1" applyAlignment="1">
      <alignment horizontal="center" vertical="top"/>
    </xf>
    <xf numFmtId="0" fontId="3" fillId="0" borderId="0" xfId="4" applyAlignment="1">
      <alignment horizontal="center"/>
    </xf>
    <xf numFmtId="0" fontId="5" fillId="0" borderId="0" xfId="4" applyFont="1" applyAlignment="1">
      <alignment horizontal="center" vertical="top"/>
    </xf>
    <xf numFmtId="0" fontId="30" fillId="0" borderId="10" xfId="4" applyFont="1" applyBorder="1" applyAlignment="1">
      <alignment horizontal="center" vertical="top"/>
    </xf>
    <xf numFmtId="0" fontId="31" fillId="0" borderId="9" xfId="4" applyFont="1" applyBorder="1" applyAlignment="1">
      <alignment horizontal="center" vertical="center"/>
    </xf>
    <xf numFmtId="0" fontId="31" fillId="0" borderId="0" xfId="4" applyFont="1" applyAlignment="1">
      <alignment horizontal="center" vertical="center"/>
    </xf>
    <xf numFmtId="0" fontId="32" fillId="0" borderId="0" xfId="4" applyFont="1" applyAlignment="1">
      <alignment horizontal="center" vertical="center"/>
    </xf>
    <xf numFmtId="0" fontId="31" fillId="0" borderId="10" xfId="4" applyFont="1" applyBorder="1" applyAlignment="1">
      <alignment horizontal="center" vertical="center"/>
    </xf>
    <xf numFmtId="0" fontId="2" fillId="3" borderId="4" xfId="0" applyFont="1" applyFill="1" applyBorder="1" applyAlignment="1">
      <alignment horizontal="right" vertical="center" wrapText="1"/>
    </xf>
    <xf numFmtId="0" fontId="12" fillId="8" borderId="24" xfId="0" applyFont="1" applyFill="1" applyBorder="1" applyAlignment="1">
      <alignment horizontal="right" vertical="center" wrapText="1"/>
    </xf>
    <xf numFmtId="0" fontId="12" fillId="8" borderId="45" xfId="0" applyFont="1" applyFill="1" applyBorder="1" applyAlignment="1">
      <alignment horizontal="right" vertical="center" wrapText="1"/>
    </xf>
    <xf numFmtId="0" fontId="12" fillId="0" borderId="46"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1" xfId="0" applyFont="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12" fillId="0" borderId="60" xfId="0" applyFont="1" applyBorder="1" applyAlignment="1" applyProtection="1">
      <alignment horizontal="right" vertical="center" wrapText="1"/>
      <protection locked="0"/>
    </xf>
    <xf numFmtId="0" fontId="13" fillId="0" borderId="60" xfId="0" applyFont="1" applyBorder="1" applyAlignment="1" applyProtection="1">
      <alignment horizontal="right" vertical="center" wrapText="1"/>
      <protection locked="0"/>
    </xf>
    <xf numFmtId="0" fontId="12" fillId="0" borderId="45" xfId="0" applyFont="1" applyBorder="1" applyAlignment="1">
      <alignment horizontal="right" vertical="center" wrapText="1"/>
    </xf>
    <xf numFmtId="0" fontId="12" fillId="0" borderId="24" xfId="0" applyFont="1" applyBorder="1" applyAlignment="1" applyProtection="1">
      <alignment horizontal="right" vertical="center" wrapText="1"/>
      <protection locked="0"/>
    </xf>
    <xf numFmtId="0" fontId="12" fillId="0" borderId="45" xfId="0" applyFont="1" applyBorder="1" applyAlignment="1" applyProtection="1">
      <alignment horizontal="right" vertical="center" wrapText="1"/>
      <protection locked="0"/>
    </xf>
    <xf numFmtId="14" fontId="12" fillId="0" borderId="24" xfId="0" applyNumberFormat="1" applyFont="1" applyBorder="1" applyAlignment="1" applyProtection="1">
      <alignment horizontal="right" vertical="center" wrapText="1"/>
      <protection locked="0"/>
    </xf>
    <xf numFmtId="14" fontId="12" fillId="0" borderId="45" xfId="0" applyNumberFormat="1" applyFont="1" applyBorder="1" applyAlignment="1" applyProtection="1">
      <alignment horizontal="right" vertical="center" wrapText="1"/>
      <protection locked="0"/>
    </xf>
    <xf numFmtId="14" fontId="12" fillId="0" borderId="60" xfId="0" applyNumberFormat="1" applyFont="1" applyBorder="1" applyAlignment="1" applyProtection="1">
      <alignment horizontal="right" vertical="center" wrapText="1"/>
      <protection locked="0"/>
    </xf>
    <xf numFmtId="0" fontId="12" fillId="0" borderId="31" xfId="0" applyFont="1" applyBorder="1" applyAlignment="1" applyProtection="1">
      <alignment horizontal="right" vertical="center" wrapText="1"/>
      <protection locked="0"/>
    </xf>
    <xf numFmtId="0" fontId="12" fillId="0" borderId="37" xfId="0" applyFont="1" applyBorder="1" applyAlignment="1" applyProtection="1">
      <alignment horizontal="right" vertical="center" wrapText="1"/>
      <protection locked="0"/>
    </xf>
    <xf numFmtId="0" fontId="12" fillId="0" borderId="39" xfId="0" applyFont="1" applyBorder="1" applyAlignment="1" applyProtection="1">
      <alignment horizontal="right" vertical="center" wrapText="1"/>
      <protection locked="0"/>
    </xf>
    <xf numFmtId="0" fontId="12" fillId="0" borderId="25" xfId="0" applyFont="1" applyBorder="1" applyAlignment="1" applyProtection="1">
      <alignment horizontal="right" vertical="center" wrapText="1"/>
      <protection locked="0"/>
    </xf>
    <xf numFmtId="0" fontId="12" fillId="0" borderId="46" xfId="0" applyFont="1" applyBorder="1" applyAlignment="1" applyProtection="1">
      <alignment horizontal="right" vertical="center" wrapText="1"/>
      <protection locked="0"/>
    </xf>
    <xf numFmtId="0" fontId="12" fillId="0" borderId="49" xfId="0" applyFont="1" applyBorder="1" applyAlignment="1" applyProtection="1">
      <alignment horizontal="right" vertical="center" wrapText="1"/>
      <protection locked="0"/>
    </xf>
    <xf numFmtId="0" fontId="12" fillId="0" borderId="9" xfId="0" applyFont="1" applyBorder="1" applyAlignment="1" applyProtection="1">
      <alignment horizontal="right" vertical="center" wrapText="1"/>
      <protection locked="0"/>
    </xf>
    <xf numFmtId="0" fontId="12" fillId="0" borderId="67" xfId="0" applyFont="1" applyBorder="1" applyAlignment="1" applyProtection="1">
      <alignment horizontal="right" vertical="center" wrapText="1"/>
      <protection locked="0"/>
    </xf>
    <xf numFmtId="0" fontId="12" fillId="0" borderId="68" xfId="0" applyFont="1" applyBorder="1" applyAlignment="1" applyProtection="1">
      <alignment horizontal="right" vertical="center" wrapText="1"/>
      <protection locked="0"/>
    </xf>
    <xf numFmtId="0" fontId="12" fillId="0" borderId="26" xfId="0" applyFont="1" applyBorder="1" applyAlignment="1" applyProtection="1">
      <alignment horizontal="right" vertical="center" wrapText="1"/>
      <protection locked="0"/>
    </xf>
    <xf numFmtId="0" fontId="12" fillId="0" borderId="71" xfId="0" applyFont="1" applyBorder="1" applyAlignment="1" applyProtection="1">
      <alignment horizontal="right" vertical="center" wrapText="1"/>
      <protection locked="0"/>
    </xf>
    <xf numFmtId="0" fontId="12" fillId="0" borderId="72" xfId="0" applyFont="1" applyBorder="1" applyAlignment="1" applyProtection="1">
      <alignment horizontal="right" vertical="center" wrapText="1"/>
      <protection locked="0"/>
    </xf>
    <xf numFmtId="0" fontId="13" fillId="8" borderId="4" xfId="0" applyFont="1" applyFill="1" applyBorder="1" applyAlignment="1">
      <alignment horizontal="right" vertical="center" wrapText="1"/>
    </xf>
    <xf numFmtId="0" fontId="1" fillId="3" borderId="4" xfId="0" applyFont="1" applyFill="1" applyBorder="1" applyAlignment="1">
      <alignment horizontal="right" vertical="center" wrapText="1"/>
    </xf>
    <xf numFmtId="0" fontId="1" fillId="0" borderId="4" xfId="0" applyFont="1" applyBorder="1" applyAlignment="1">
      <alignment horizontal="right" vertical="center" wrapText="1"/>
    </xf>
    <xf numFmtId="0" fontId="12" fillId="0" borderId="0" xfId="0" applyFont="1" applyAlignment="1">
      <alignment horizontal="right" vertical="center"/>
    </xf>
    <xf numFmtId="0" fontId="12" fillId="0" borderId="0" xfId="0" applyFont="1" applyAlignment="1">
      <alignment horizontal="left" vertical="center"/>
    </xf>
    <xf numFmtId="0" fontId="0" fillId="0" borderId="0" xfId="0" applyAlignment="1">
      <alignment horizontal="left" vertical="center"/>
    </xf>
    <xf numFmtId="0" fontId="27" fillId="0" borderId="0" xfId="0" applyFont="1" applyAlignment="1">
      <alignment horizontal="center" vertical="center" wrapText="1"/>
    </xf>
    <xf numFmtId="0" fontId="28" fillId="0" borderId="0" xfId="0" applyFont="1" applyAlignment="1">
      <alignment horizontal="left" vertical="center" wrapText="1"/>
    </xf>
    <xf numFmtId="0" fontId="2" fillId="6" borderId="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7" borderId="52" xfId="0"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0" fontId="1" fillId="0" borderId="0" xfId="0" applyFont="1" applyAlignment="1">
      <alignment horizontal="left" vertical="center"/>
    </xf>
    <xf numFmtId="0" fontId="2" fillId="5" borderId="4" xfId="0" applyFont="1" applyFill="1" applyBorder="1" applyAlignment="1">
      <alignment horizontal="right" vertical="center" wrapText="1"/>
    </xf>
    <xf numFmtId="0" fontId="12" fillId="0" borderId="0" xfId="0" applyFont="1" applyAlignment="1">
      <alignment horizontal="right" vertical="center" wrapText="1"/>
    </xf>
    <xf numFmtId="0" fontId="12" fillId="0" borderId="24" xfId="0" applyFont="1" applyBorder="1" applyAlignment="1">
      <alignment horizontal="right" vertical="center" wrapText="1"/>
    </xf>
    <xf numFmtId="0" fontId="13" fillId="0" borderId="24" xfId="0" applyFont="1" applyBorder="1" applyAlignment="1">
      <alignment horizontal="right" vertical="center" wrapText="1"/>
    </xf>
    <xf numFmtId="0" fontId="13" fillId="0" borderId="45" xfId="0" applyFont="1" applyBorder="1" applyAlignment="1">
      <alignment horizontal="right" vertical="center" wrapText="1"/>
    </xf>
    <xf numFmtId="0" fontId="13" fillId="0" borderId="0" xfId="0" applyFont="1" applyAlignment="1">
      <alignment horizontal="right" vertical="center" wrapText="1"/>
    </xf>
    <xf numFmtId="0" fontId="2" fillId="0" borderId="0" xfId="0" applyFont="1" applyAlignment="1">
      <alignment horizontal="left" vertical="center"/>
    </xf>
    <xf numFmtId="0" fontId="2" fillId="6" borderId="4" xfId="0" applyFont="1" applyFill="1" applyBorder="1" applyAlignment="1">
      <alignment horizontal="right" vertical="center" wrapText="1"/>
    </xf>
    <xf numFmtId="0" fontId="12" fillId="7" borderId="24" xfId="0" applyFont="1" applyFill="1" applyBorder="1" applyAlignment="1">
      <alignment horizontal="right" vertical="center" wrapText="1"/>
    </xf>
    <xf numFmtId="0" fontId="12" fillId="7" borderId="45" xfId="0" applyFont="1" applyFill="1" applyBorder="1" applyAlignment="1">
      <alignment horizontal="right" vertical="center" wrapText="1"/>
    </xf>
    <xf numFmtId="0" fontId="12" fillId="7" borderId="60" xfId="0" applyFont="1" applyFill="1" applyBorder="1" applyAlignment="1">
      <alignment horizontal="right" vertical="center" wrapText="1"/>
    </xf>
    <xf numFmtId="14" fontId="12" fillId="0" borderId="0" xfId="0" applyNumberFormat="1" applyFont="1" applyAlignment="1">
      <alignment horizontal="right" vertical="center" wrapText="1"/>
    </xf>
    <xf numFmtId="9" fontId="2" fillId="0" borderId="4" xfId="0" applyNumberFormat="1" applyFont="1" applyBorder="1" applyAlignment="1">
      <alignment horizontal="right" vertical="center" wrapText="1"/>
    </xf>
    <xf numFmtId="0" fontId="2" fillId="0" borderId="69" xfId="0" applyFont="1" applyBorder="1" applyAlignment="1">
      <alignment horizontal="right" vertical="center" wrapText="1"/>
    </xf>
    <xf numFmtId="0" fontId="2" fillId="0" borderId="32" xfId="0" applyFont="1" applyBorder="1" applyAlignment="1">
      <alignment horizontal="right" vertical="center" wrapText="1"/>
    </xf>
    <xf numFmtId="0" fontId="2" fillId="0" borderId="73" xfId="0" applyFont="1" applyBorder="1" applyAlignment="1">
      <alignment horizontal="right" vertical="center" wrapText="1"/>
    </xf>
    <xf numFmtId="0" fontId="2" fillId="6" borderId="32" xfId="0" applyFont="1" applyFill="1" applyBorder="1" applyAlignment="1">
      <alignment horizontal="right" vertical="center" wrapText="1"/>
    </xf>
    <xf numFmtId="0" fontId="2" fillId="0" borderId="70" xfId="0" applyFont="1" applyBorder="1" applyAlignment="1">
      <alignment horizontal="right" vertical="center" wrapText="1"/>
    </xf>
    <xf numFmtId="16" fontId="12" fillId="0" borderId="0" xfId="0" applyNumberFormat="1" applyFont="1" applyAlignment="1">
      <alignment horizontal="right" vertical="center" wrapText="1"/>
    </xf>
    <xf numFmtId="0" fontId="10" fillId="0" borderId="4" xfId="0" applyFont="1" applyBorder="1" applyAlignment="1">
      <alignment horizontal="right" vertical="center" wrapText="1"/>
    </xf>
    <xf numFmtId="16" fontId="12" fillId="0" borderId="60" xfId="0" applyNumberFormat="1" applyFont="1" applyBorder="1" applyAlignment="1" applyProtection="1">
      <alignment horizontal="right" vertical="center" wrapText="1"/>
      <protection locked="0"/>
    </xf>
    <xf numFmtId="0" fontId="2" fillId="9" borderId="27" xfId="0" applyFont="1" applyFill="1" applyBorder="1" applyAlignment="1">
      <alignment horizontal="center" vertical="center" wrapText="1"/>
    </xf>
    <xf numFmtId="0" fontId="1" fillId="9" borderId="52" xfId="0" applyFont="1" applyFill="1" applyBorder="1" applyAlignment="1">
      <alignment horizontal="center" vertical="center" wrapText="1"/>
    </xf>
    <xf numFmtId="0" fontId="2" fillId="9" borderId="66" xfId="0" applyFont="1" applyFill="1" applyBorder="1" applyAlignment="1">
      <alignment horizontal="center" vertical="center" wrapText="1"/>
    </xf>
    <xf numFmtId="0" fontId="2" fillId="9" borderId="65" xfId="0" applyFont="1" applyFill="1" applyBorder="1" applyAlignment="1">
      <alignment horizontal="center" vertical="center" wrapText="1"/>
    </xf>
    <xf numFmtId="0" fontId="10" fillId="0" borderId="27" xfId="0" applyFont="1" applyBorder="1" applyAlignment="1">
      <alignment horizontal="center" vertical="center" wrapText="1"/>
    </xf>
    <xf numFmtId="0" fontId="10" fillId="0" borderId="52" xfId="0" applyFont="1" applyBorder="1" applyAlignment="1">
      <alignment horizontal="right" vertical="center" wrapText="1"/>
    </xf>
    <xf numFmtId="0" fontId="10" fillId="0" borderId="47" xfId="0" applyFont="1" applyBorder="1" applyAlignment="1">
      <alignment horizontal="right" vertical="center" wrapText="1"/>
    </xf>
    <xf numFmtId="0" fontId="10" fillId="0" borderId="25" xfId="0" applyFont="1" applyBorder="1" applyAlignment="1">
      <alignment horizontal="center" vertical="center" wrapText="1"/>
    </xf>
    <xf numFmtId="0" fontId="2" fillId="9" borderId="42" xfId="0" applyFont="1" applyFill="1" applyBorder="1" applyAlignment="1">
      <alignment horizontal="center" vertical="center" wrapText="1"/>
    </xf>
    <xf numFmtId="0" fontId="10" fillId="0" borderId="43" xfId="0" applyFont="1" applyBorder="1" applyAlignment="1">
      <alignment horizontal="right" vertical="center" wrapText="1"/>
    </xf>
    <xf numFmtId="0" fontId="2" fillId="9" borderId="47" xfId="0" applyFont="1" applyFill="1" applyBorder="1" applyAlignment="1">
      <alignment horizontal="center" vertical="center" wrapText="1"/>
    </xf>
    <xf numFmtId="168" fontId="3" fillId="0" borderId="11" xfId="6" applyFont="1" applyBorder="1" applyAlignment="1">
      <alignment horizontal="right" vertical="center"/>
    </xf>
    <xf numFmtId="168" fontId="29" fillId="0" borderId="14" xfId="6" applyFont="1" applyBorder="1" applyAlignment="1">
      <alignment horizontal="right" vertical="center"/>
    </xf>
    <xf numFmtId="168" fontId="29" fillId="0" borderId="12" xfId="6" applyFont="1" applyBorder="1" applyAlignment="1">
      <alignment horizontal="right" vertical="center"/>
    </xf>
    <xf numFmtId="168" fontId="3" fillId="0" borderId="25" xfId="6" applyFont="1" applyBorder="1" applyAlignment="1">
      <alignment horizontal="center" vertical="center"/>
    </xf>
    <xf numFmtId="168" fontId="3" fillId="0" borderId="51" xfId="6" applyFont="1" applyBorder="1" applyAlignment="1">
      <alignment horizontal="center" vertical="center"/>
    </xf>
    <xf numFmtId="0" fontId="34" fillId="0" borderId="32" xfId="4" applyFont="1" applyBorder="1" applyAlignment="1">
      <alignment horizontal="center" vertical="center"/>
    </xf>
    <xf numFmtId="0" fontId="34" fillId="0" borderId="33" xfId="4" applyFont="1" applyBorder="1" applyAlignment="1">
      <alignment horizontal="center" vertical="center"/>
    </xf>
    <xf numFmtId="0" fontId="34" fillId="0" borderId="51" xfId="4" applyFont="1" applyBorder="1" applyAlignment="1">
      <alignment horizontal="center" vertical="center"/>
    </xf>
    <xf numFmtId="0" fontId="34" fillId="0" borderId="30" xfId="4" applyFont="1" applyBorder="1" applyAlignment="1">
      <alignment horizontal="center" vertical="center"/>
    </xf>
    <xf numFmtId="0" fontId="33" fillId="0" borderId="4" xfId="4" applyFont="1" applyBorder="1" applyAlignment="1">
      <alignment horizontal="center" vertical="center" wrapText="1"/>
    </xf>
    <xf numFmtId="0" fontId="33" fillId="0" borderId="6" xfId="4" applyFont="1" applyBorder="1" applyAlignment="1">
      <alignment horizontal="center" vertical="center" wrapText="1"/>
    </xf>
    <xf numFmtId="0" fontId="33" fillId="0" borderId="29" xfId="4" applyFont="1" applyBorder="1" applyAlignment="1">
      <alignment horizontal="center" vertical="center" wrapText="1"/>
    </xf>
    <xf numFmtId="0" fontId="3" fillId="0" borderId="24" xfId="4" applyBorder="1" applyAlignment="1">
      <alignment horizontal="center" vertical="center"/>
    </xf>
    <xf numFmtId="0" fontId="3" fillId="0" borderId="5" xfId="4" applyBorder="1" applyAlignment="1">
      <alignment horizontal="center" vertical="center"/>
    </xf>
    <xf numFmtId="0" fontId="3" fillId="0" borderId="4" xfId="4" applyBorder="1" applyAlignment="1">
      <alignment horizontal="center" vertical="center"/>
    </xf>
    <xf numFmtId="0" fontId="3" fillId="0" borderId="6" xfId="4" applyBorder="1" applyAlignment="1">
      <alignment horizontal="center" vertical="center"/>
    </xf>
    <xf numFmtId="0" fontId="3" fillId="0" borderId="29" xfId="4" applyBorder="1" applyAlignment="1">
      <alignment horizontal="center" vertical="center"/>
    </xf>
    <xf numFmtId="0" fontId="33" fillId="0" borderId="24" xfId="4" applyFont="1" applyBorder="1" applyAlignment="1">
      <alignment horizontal="center" vertical="center"/>
    </xf>
    <xf numFmtId="0" fontId="33" fillId="0" borderId="5" xfId="4" applyFont="1" applyBorder="1" applyAlignment="1">
      <alignment horizontal="center" vertical="center"/>
    </xf>
    <xf numFmtId="14" fontId="33" fillId="0" borderId="4" xfId="4" applyNumberFormat="1" applyFont="1" applyBorder="1" applyAlignment="1">
      <alignment horizontal="center" vertical="center"/>
    </xf>
    <xf numFmtId="14" fontId="33" fillId="0" borderId="6" xfId="4" applyNumberFormat="1" applyFont="1" applyBorder="1" applyAlignment="1">
      <alignment horizontal="center" vertical="center"/>
    </xf>
    <xf numFmtId="14" fontId="33" fillId="0" borderId="5" xfId="4" applyNumberFormat="1" applyFont="1" applyBorder="1" applyAlignment="1">
      <alignment horizontal="center" vertical="center"/>
    </xf>
    <xf numFmtId="0" fontId="33" fillId="0" borderId="4" xfId="4" applyFont="1" applyBorder="1" applyAlignment="1">
      <alignment horizontal="center" vertical="center"/>
    </xf>
    <xf numFmtId="0" fontId="33" fillId="0" borderId="6" xfId="4" applyFont="1" applyBorder="1" applyAlignment="1">
      <alignment horizontal="center" vertical="center"/>
    </xf>
    <xf numFmtId="0" fontId="33" fillId="0" borderId="5" xfId="4" applyFont="1" applyBorder="1" applyAlignment="1">
      <alignment horizontal="center" vertical="center" wrapText="1"/>
    </xf>
    <xf numFmtId="0" fontId="31" fillId="0" borderId="7" xfId="4" applyFont="1" applyBorder="1" applyAlignment="1">
      <alignment horizontal="center" vertical="center" wrapText="1"/>
    </xf>
    <xf numFmtId="0" fontId="31" fillId="0" borderId="13" xfId="4" applyFont="1" applyBorder="1" applyAlignment="1">
      <alignment horizontal="center" vertical="center" wrapText="1"/>
    </xf>
    <xf numFmtId="0" fontId="31" fillId="0" borderId="8" xfId="4" applyFont="1" applyBorder="1" applyAlignment="1">
      <alignment horizontal="center" vertical="center" wrapText="1"/>
    </xf>
    <xf numFmtId="0" fontId="31" fillId="0" borderId="9" xfId="4" applyFont="1" applyBorder="1" applyAlignment="1">
      <alignment horizontal="center" vertical="center" wrapText="1"/>
    </xf>
    <xf numFmtId="0" fontId="31" fillId="0" borderId="0" xfId="4" applyFont="1" applyAlignment="1">
      <alignment horizontal="center" vertical="center" wrapText="1"/>
    </xf>
    <xf numFmtId="0" fontId="31" fillId="0" borderId="10" xfId="4" applyFont="1" applyBorder="1" applyAlignment="1">
      <alignment horizontal="center" vertical="center" wrapText="1"/>
    </xf>
    <xf numFmtId="0" fontId="31" fillId="0" borderId="11" xfId="4" applyFont="1" applyBorder="1" applyAlignment="1">
      <alignment horizontal="center" vertical="center" wrapText="1"/>
    </xf>
    <xf numFmtId="0" fontId="31" fillId="0" borderId="14" xfId="4" applyFont="1" applyBorder="1" applyAlignment="1">
      <alignment horizontal="center" vertical="center" wrapText="1"/>
    </xf>
    <xf numFmtId="0" fontId="31" fillId="0" borderId="12" xfId="4" applyFont="1" applyBorder="1" applyAlignment="1">
      <alignment horizontal="center" vertical="center" wrapText="1"/>
    </xf>
    <xf numFmtId="0" fontId="3" fillId="0" borderId="27" xfId="4" applyBorder="1" applyAlignment="1">
      <alignment horizontal="center" vertical="center"/>
    </xf>
    <xf numFmtId="0" fontId="3" fillId="0" borderId="74" xfId="4" applyBorder="1" applyAlignment="1">
      <alignment horizontal="center" vertical="center"/>
    </xf>
    <xf numFmtId="0" fontId="3" fillId="0" borderId="75" xfId="4" applyBorder="1" applyAlignment="1">
      <alignment horizontal="center" vertical="center"/>
    </xf>
    <xf numFmtId="0" fontId="3" fillId="0" borderId="36" xfId="4" applyBorder="1" applyAlignment="1">
      <alignment horizontal="center" vertical="center"/>
    </xf>
    <xf numFmtId="0" fontId="3" fillId="0" borderId="28" xfId="4" applyBorder="1" applyAlignment="1">
      <alignment horizontal="center" vertical="center"/>
    </xf>
    <xf numFmtId="0" fontId="24" fillId="0" borderId="0" xfId="1" applyFont="1" applyAlignment="1">
      <alignment horizontal="left" vertical="center" wrapText="1"/>
    </xf>
    <xf numFmtId="0" fontId="17" fillId="0" borderId="7" xfId="1" applyFont="1" applyBorder="1" applyAlignment="1" applyProtection="1">
      <alignment horizontal="left" vertical="center"/>
      <protection locked="0"/>
    </xf>
    <xf numFmtId="0" fontId="17" fillId="0" borderId="13" xfId="1" applyFont="1" applyBorder="1" applyAlignment="1" applyProtection="1">
      <alignment horizontal="left" vertical="center"/>
      <protection locked="0"/>
    </xf>
    <xf numFmtId="0" fontId="17" fillId="0" borderId="8" xfId="1" applyFont="1" applyBorder="1" applyAlignment="1" applyProtection="1">
      <alignment horizontal="left" vertical="center"/>
      <protection locked="0"/>
    </xf>
    <xf numFmtId="0" fontId="18" fillId="2" borderId="7" xfId="1" applyFont="1" applyFill="1" applyBorder="1" applyAlignment="1" applyProtection="1">
      <alignment horizontal="left" vertical="top"/>
      <protection locked="0"/>
    </xf>
    <xf numFmtId="0" fontId="18" fillId="2" borderId="13" xfId="1" applyFont="1" applyFill="1" applyBorder="1" applyAlignment="1" applyProtection="1">
      <alignment horizontal="left" vertical="top"/>
      <protection locked="0"/>
    </xf>
    <xf numFmtId="0" fontId="18" fillId="2" borderId="8" xfId="1" applyFont="1" applyFill="1" applyBorder="1" applyAlignment="1" applyProtection="1">
      <alignment horizontal="left" vertical="top"/>
      <protection locked="0"/>
    </xf>
    <xf numFmtId="0" fontId="18" fillId="2" borderId="9" xfId="1" applyFont="1" applyFill="1" applyBorder="1" applyAlignment="1" applyProtection="1">
      <alignment horizontal="left" vertical="top"/>
      <protection locked="0"/>
    </xf>
    <xf numFmtId="0" fontId="18" fillId="2" borderId="0" xfId="1" applyFont="1" applyFill="1" applyAlignment="1" applyProtection="1">
      <alignment horizontal="left" vertical="top"/>
      <protection locked="0"/>
    </xf>
    <xf numFmtId="0" fontId="18" fillId="2" borderId="10" xfId="1" applyFont="1" applyFill="1" applyBorder="1" applyAlignment="1" applyProtection="1">
      <alignment horizontal="left" vertical="top"/>
      <protection locked="0"/>
    </xf>
    <xf numFmtId="0" fontId="18" fillId="2" borderId="11" xfId="1" applyFont="1" applyFill="1" applyBorder="1" applyAlignment="1" applyProtection="1">
      <alignment horizontal="left" vertical="top"/>
      <protection locked="0"/>
    </xf>
    <xf numFmtId="0" fontId="18" fillId="2" borderId="14" xfId="1" applyFont="1" applyFill="1" applyBorder="1" applyAlignment="1" applyProtection="1">
      <alignment horizontal="left" vertical="top"/>
      <protection locked="0"/>
    </xf>
    <xf numFmtId="0" fontId="18" fillId="2" borderId="12" xfId="1" applyFont="1" applyFill="1" applyBorder="1" applyAlignment="1" applyProtection="1">
      <alignment horizontal="left" vertical="top"/>
      <protection locked="0"/>
    </xf>
    <xf numFmtId="0" fontId="5" fillId="0" borderId="1" xfId="1" applyFont="1" applyBorder="1" applyAlignment="1">
      <alignment horizontal="center" vertical="center"/>
    </xf>
    <xf numFmtId="0" fontId="4" fillId="0" borderId="22" xfId="1" applyFont="1" applyBorder="1" applyAlignment="1">
      <alignment horizontal="center" vertical="center"/>
    </xf>
    <xf numFmtId="0" fontId="5" fillId="0" borderId="4" xfId="1" applyFont="1" applyBorder="1" applyAlignment="1">
      <alignment horizontal="center" vertical="center"/>
    </xf>
    <xf numFmtId="0" fontId="5" fillId="0" borderId="6" xfId="1" applyFont="1" applyBorder="1" applyAlignment="1">
      <alignment horizontal="center" vertical="center"/>
    </xf>
    <xf numFmtId="0" fontId="5" fillId="0" borderId="29" xfId="1" applyFont="1" applyBorder="1" applyAlignment="1">
      <alignment horizontal="center" vertical="center"/>
    </xf>
    <xf numFmtId="0" fontId="4" fillId="0" borderId="32" xfId="1" applyFont="1" applyBorder="1" applyAlignment="1">
      <alignment horizontal="center" vertical="center" wrapText="1"/>
    </xf>
    <xf numFmtId="0" fontId="4" fillId="0" borderId="33" xfId="1" applyFont="1" applyBorder="1" applyAlignment="1">
      <alignment horizontal="center" vertical="center"/>
    </xf>
    <xf numFmtId="0" fontId="4" fillId="0" borderId="30" xfId="1" applyFont="1" applyBorder="1" applyAlignment="1">
      <alignment horizontal="center" vertical="center"/>
    </xf>
    <xf numFmtId="0" fontId="5" fillId="0" borderId="2" xfId="1" applyFont="1" applyBorder="1" applyAlignment="1">
      <alignment horizontal="center" vertical="center"/>
    </xf>
    <xf numFmtId="0" fontId="6" fillId="0" borderId="21" xfId="1" applyFont="1" applyBorder="1" applyAlignment="1">
      <alignment horizontal="center" vertical="center"/>
    </xf>
    <xf numFmtId="0" fontId="6" fillId="0" borderId="22" xfId="1" applyFont="1" applyBorder="1" applyAlignment="1">
      <alignment horizontal="center" vertical="center"/>
    </xf>
    <xf numFmtId="0" fontId="5" fillId="0" borderId="5" xfId="1" applyFont="1" applyBorder="1" applyAlignment="1">
      <alignment horizontal="center" vertical="center"/>
    </xf>
    <xf numFmtId="16" fontId="14" fillId="0" borderId="22" xfId="1" quotePrefix="1" applyNumberFormat="1" applyFont="1" applyBorder="1" applyAlignment="1">
      <alignment horizontal="center" vertical="center"/>
    </xf>
    <xf numFmtId="0" fontId="5" fillId="0" borderId="20" xfId="1" applyFont="1" applyBorder="1" applyAlignment="1">
      <alignment horizontal="center" vertical="center"/>
    </xf>
    <xf numFmtId="164" fontId="17" fillId="2" borderId="2" xfId="1" quotePrefix="1" applyNumberFormat="1" applyFont="1" applyFill="1" applyBorder="1" applyAlignment="1" applyProtection="1">
      <alignment horizontal="center" vertical="center"/>
      <protection locked="0"/>
    </xf>
    <xf numFmtId="164" fontId="17" fillId="2" borderId="1" xfId="1" quotePrefix="1" applyNumberFormat="1" applyFont="1" applyFill="1" applyBorder="1" applyAlignment="1" applyProtection="1">
      <alignment horizontal="center" vertical="center"/>
      <protection locked="0"/>
    </xf>
    <xf numFmtId="0" fontId="17" fillId="2" borderId="1" xfId="1" applyFont="1" applyFill="1" applyBorder="1" applyAlignment="1" applyProtection="1">
      <alignment horizontal="center" vertical="center"/>
      <protection locked="0"/>
    </xf>
    <xf numFmtId="166" fontId="17" fillId="2" borderId="1" xfId="1" applyNumberFormat="1" applyFont="1" applyFill="1" applyBorder="1" applyAlignment="1" applyProtection="1">
      <alignment horizontal="center" vertical="center"/>
      <protection locked="0"/>
    </xf>
    <xf numFmtId="166" fontId="17" fillId="2" borderId="20" xfId="1" applyNumberFormat="1" applyFont="1" applyFill="1" applyBorder="1" applyAlignment="1" applyProtection="1">
      <alignment horizontal="center" vertical="center"/>
      <protection locked="0"/>
    </xf>
    <xf numFmtId="0" fontId="4" fillId="0" borderId="7" xfId="1" applyFont="1" applyBorder="1" applyAlignment="1">
      <alignment horizontal="center" vertical="center"/>
    </xf>
    <xf numFmtId="0" fontId="4" fillId="0" borderId="13" xfId="1" applyFont="1" applyBorder="1" applyAlignment="1">
      <alignment horizontal="center" vertical="center"/>
    </xf>
    <xf numFmtId="0" fontId="4" fillId="0" borderId="8" xfId="1" applyFont="1" applyBorder="1" applyAlignment="1">
      <alignment horizontal="center" vertical="center"/>
    </xf>
    <xf numFmtId="0" fontId="4" fillId="0" borderId="9" xfId="1" applyFont="1" applyBorder="1" applyAlignment="1">
      <alignment horizontal="center" vertical="center"/>
    </xf>
    <xf numFmtId="0" fontId="4" fillId="0" borderId="0" xfId="1" applyFont="1" applyAlignment="1">
      <alignment horizontal="center" vertical="center"/>
    </xf>
    <xf numFmtId="0" fontId="4" fillId="0" borderId="10" xfId="1" applyFont="1" applyBorder="1" applyAlignment="1">
      <alignment horizontal="center" vertical="center"/>
    </xf>
    <xf numFmtId="0" fontId="17" fillId="2" borderId="6" xfId="2" applyFont="1" applyFill="1" applyBorder="1" applyAlignment="1" applyProtection="1">
      <alignment horizontal="left" vertical="center"/>
      <protection locked="0"/>
    </xf>
    <xf numFmtId="0" fontId="17" fillId="2" borderId="5" xfId="2" applyFont="1" applyFill="1" applyBorder="1" applyAlignment="1" applyProtection="1">
      <alignment horizontal="left" vertical="center"/>
      <protection locked="0"/>
    </xf>
    <xf numFmtId="0" fontId="17" fillId="0" borderId="4" xfId="2" applyFont="1" applyBorder="1" applyAlignment="1">
      <alignment horizontal="right" vertical="center"/>
    </xf>
    <xf numFmtId="0" fontId="17" fillId="0" borderId="6" xfId="2" applyFont="1" applyBorder="1" applyAlignment="1">
      <alignment horizontal="right" vertical="center"/>
    </xf>
    <xf numFmtId="14" fontId="17" fillId="2" borderId="1" xfId="1" applyNumberFormat="1" applyFont="1" applyFill="1" applyBorder="1" applyAlignment="1" applyProtection="1">
      <alignment horizontal="center" vertical="center"/>
      <protection locked="0"/>
    </xf>
    <xf numFmtId="14" fontId="17" fillId="2" borderId="20" xfId="1" applyNumberFormat="1" applyFont="1" applyFill="1" applyBorder="1" applyAlignment="1" applyProtection="1">
      <alignment horizontal="center" vertical="center"/>
      <protection locked="0"/>
    </xf>
    <xf numFmtId="0" fontId="0" fillId="0" borderId="7" xfId="0" applyBorder="1" applyAlignment="1">
      <alignment horizontal="center" vertical="center" wrapText="1"/>
    </xf>
    <xf numFmtId="0" fontId="0" fillId="0" borderId="1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26" xfId="0" applyBorder="1" applyAlignment="1">
      <alignment horizontal="center" vertical="center" wrapText="1"/>
    </xf>
    <xf numFmtId="0" fontId="0" fillId="0" borderId="3" xfId="0" applyBorder="1" applyAlignment="1">
      <alignment horizontal="center" vertical="center" wrapText="1"/>
    </xf>
    <xf numFmtId="0" fontId="0" fillId="0" borderId="34" xfId="0" applyBorder="1" applyAlignment="1">
      <alignment horizontal="center" vertic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39" xfId="0" applyBorder="1" applyAlignment="1">
      <alignment horizontal="left" vertical="center" wrapText="1"/>
    </xf>
    <xf numFmtId="0" fontId="9" fillId="0" borderId="27" xfId="0" applyFont="1" applyBorder="1" applyAlignment="1">
      <alignment horizontal="left" vertical="center" wrapText="1"/>
    </xf>
    <xf numFmtId="0" fontId="9" fillId="0" borderId="36" xfId="0" applyFont="1" applyBorder="1" applyAlignment="1">
      <alignment horizontal="left" vertical="center" wrapText="1"/>
    </xf>
    <xf numFmtId="0" fontId="9" fillId="0" borderId="28" xfId="0" applyFont="1" applyBorder="1" applyAlignment="1">
      <alignment horizontal="left" vertical="center" wrapText="1"/>
    </xf>
    <xf numFmtId="0" fontId="0" fillId="0" borderId="2" xfId="0" applyBorder="1" applyAlignment="1">
      <alignment horizontal="left" vertical="center" wrapText="1"/>
    </xf>
    <xf numFmtId="0" fontId="0" fillId="0" borderId="1" xfId="0" applyBorder="1" applyAlignment="1">
      <alignment horizontal="left" vertical="center" wrapText="1"/>
    </xf>
    <xf numFmtId="0" fontId="0" fillId="0" borderId="20" xfId="0" applyBorder="1" applyAlignment="1">
      <alignment horizontal="left" vertical="center" wrapText="1"/>
    </xf>
    <xf numFmtId="0" fontId="16" fillId="0" borderId="31" xfId="0" applyFont="1" applyBorder="1" applyAlignment="1">
      <alignment horizontal="center" vertical="center" wrapText="1"/>
    </xf>
    <xf numFmtId="0" fontId="16" fillId="0" borderId="53" xfId="0" applyFont="1" applyBorder="1" applyAlignment="1">
      <alignment horizontal="center" vertical="center" wrapText="1"/>
    </xf>
    <xf numFmtId="0" fontId="16" fillId="0" borderId="54" xfId="0" applyFont="1" applyBorder="1" applyAlignment="1">
      <alignment horizontal="center" vertical="center" wrapText="1"/>
    </xf>
    <xf numFmtId="0" fontId="8" fillId="0" borderId="9" xfId="0" applyFont="1" applyBorder="1" applyAlignment="1">
      <alignment horizontal="right" vertical="center" wrapText="1"/>
    </xf>
    <xf numFmtId="0" fontId="8" fillId="0" borderId="0" xfId="0" applyFont="1" applyAlignment="1">
      <alignment horizontal="right" vertical="center" wrapText="1"/>
    </xf>
    <xf numFmtId="0" fontId="8" fillId="0" borderId="11" xfId="0" applyFont="1" applyBorder="1" applyAlignment="1">
      <alignment horizontal="right" vertical="center" wrapText="1"/>
    </xf>
    <xf numFmtId="0" fontId="8" fillId="0" borderId="14" xfId="0" applyFont="1" applyBorder="1" applyAlignment="1">
      <alignment horizontal="right"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20" fillId="0" borderId="7" xfId="0" applyFont="1" applyBorder="1" applyAlignment="1">
      <alignment horizontal="center" vertical="center" wrapText="1"/>
    </xf>
    <xf numFmtId="0" fontId="20" fillId="0" borderId="8" xfId="0" applyFont="1" applyBorder="1" applyAlignment="1">
      <alignment horizontal="center" vertical="center" wrapText="1"/>
    </xf>
    <xf numFmtId="0" fontId="21" fillId="0" borderId="9" xfId="0" applyFont="1" applyBorder="1" applyAlignment="1">
      <alignment horizontal="right" vertical="center" wrapText="1"/>
    </xf>
    <xf numFmtId="0" fontId="21" fillId="0" borderId="10" xfId="0" applyFont="1" applyBorder="1" applyAlignment="1">
      <alignment horizontal="left" vertical="center" wrapText="1"/>
    </xf>
    <xf numFmtId="0" fontId="0" fillId="0" borderId="21" xfId="0" applyBorder="1" applyAlignment="1">
      <alignment horizontal="left"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9" fillId="0" borderId="40" xfId="0" applyFont="1" applyBorder="1" applyAlignment="1">
      <alignment horizontal="left" vertical="center" wrapText="1"/>
    </xf>
    <xf numFmtId="0" fontId="9" fillId="0" borderId="41" xfId="0" applyFont="1" applyBorder="1" applyAlignment="1">
      <alignment horizontal="left" vertical="center" wrapText="1"/>
    </xf>
    <xf numFmtId="0" fontId="0" fillId="0" borderId="23" xfId="0" applyBorder="1" applyAlignment="1">
      <alignment horizontal="left" vertical="center" wrapText="1"/>
    </xf>
    <xf numFmtId="0" fontId="9" fillId="0" borderId="18" xfId="0" applyFont="1" applyBorder="1" applyAlignment="1">
      <alignment horizontal="left" vertical="center" wrapText="1"/>
    </xf>
    <xf numFmtId="0" fontId="9" fillId="0" borderId="19" xfId="0" applyFont="1" applyBorder="1" applyAlignment="1">
      <alignment horizontal="left" vertical="center" wrapText="1"/>
    </xf>
    <xf numFmtId="0" fontId="21" fillId="0" borderId="11" xfId="0" applyFont="1" applyBorder="1" applyAlignment="1">
      <alignment horizontal="right" vertical="center" wrapText="1"/>
    </xf>
    <xf numFmtId="0" fontId="21" fillId="0" borderId="12" xfId="0" applyFont="1" applyBorder="1" applyAlignment="1">
      <alignment horizontal="left" vertical="center" wrapText="1"/>
    </xf>
  </cellXfs>
  <cellStyles count="7">
    <cellStyle name="Normale" xfId="0" builtinId="0"/>
    <cellStyle name="Normale 3" xfId="2" xr:uid="{56025C60-B7F3-48A1-9EC0-2ED4A94C57EE}"/>
    <cellStyle name="Normale 3 2" xfId="5" xr:uid="{E1C25547-23B1-4A59-96E0-5A9A2BD5CAD1}"/>
    <cellStyle name="Normale 4" xfId="4" xr:uid="{F242557E-9FD4-40BE-8F22-31915C2BCB8D}"/>
    <cellStyle name="Normale_master EDISON per fornitore" xfId="1" xr:uid="{00000000-0005-0000-0000-000001000000}"/>
    <cellStyle name="Valuta" xfId="3" builtinId="4"/>
    <cellStyle name="Valuta 2" xfId="6" xr:uid="{5C191AB4-ED2B-484D-99C6-6558FAF8C7AC}"/>
  </cellStyles>
  <dxfs count="2">
    <dxf>
      <fill>
        <patternFill patternType="none">
          <bgColor auto="1"/>
        </patternFill>
      </fill>
    </dxf>
    <dxf>
      <fill>
        <patternFill patternType="none">
          <bgColor auto="1"/>
        </patternFill>
      </fill>
    </dxf>
  </dxfs>
  <tableStyles count="0" defaultTableStyle="TableStyleMedium2" defaultPivotStyle="PivotStyleLight16"/>
  <colors>
    <mruColors>
      <color rgb="FF99CC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0/relationships/richValueRel" Target="richData/richValueRel.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209550</xdr:colOff>
      <xdr:row>1</xdr:row>
      <xdr:rowOff>114300</xdr:rowOff>
    </xdr:from>
    <xdr:to>
      <xdr:col>19</xdr:col>
      <xdr:colOff>95250</xdr:colOff>
      <xdr:row>4</xdr:row>
      <xdr:rowOff>145782</xdr:rowOff>
    </xdr:to>
    <xdr:pic>
      <xdr:nvPicPr>
        <xdr:cNvPr id="2" name="Picture 2" descr="trillium 2">
          <a:extLst>
            <a:ext uri="{FF2B5EF4-FFF2-40B4-BE49-F238E27FC236}">
              <a16:creationId xmlns:a16="http://schemas.microsoft.com/office/drawing/2014/main" id="{E678E422-6600-4544-A2E2-38A8AAC4FB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5940" y="304800"/>
          <a:ext cx="2628900" cy="6010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19</xdr:row>
      <xdr:rowOff>28575</xdr:rowOff>
    </xdr:from>
    <xdr:to>
      <xdr:col>29</xdr:col>
      <xdr:colOff>19050</xdr:colOff>
      <xdr:row>38</xdr:row>
      <xdr:rowOff>28574</xdr:rowOff>
    </xdr:to>
    <xdr:sp macro="" textlink="">
      <xdr:nvSpPr>
        <xdr:cNvPr id="3" name="TextBox 2">
          <a:extLst>
            <a:ext uri="{FF2B5EF4-FFF2-40B4-BE49-F238E27FC236}">
              <a16:creationId xmlns:a16="http://schemas.microsoft.com/office/drawing/2014/main" id="{0BD15F0B-D029-4C39-9071-AFB46F203AB0}"/>
            </a:ext>
          </a:extLst>
        </xdr:cNvPr>
        <xdr:cNvSpPr txBox="1"/>
      </xdr:nvSpPr>
      <xdr:spPr>
        <a:xfrm>
          <a:off x="91440" y="3646170"/>
          <a:ext cx="6553200" cy="3619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endParaRPr lang="it-IT">
            <a:effectLst/>
          </a:endParaRPr>
        </a:p>
        <a:p>
          <a:pPr eaLnBrk="1" fontAlgn="auto" latinLnBrk="0" hangingPunct="1"/>
          <a:endParaRPr lang="it-IT">
            <a:effectLst/>
          </a:endParaRPr>
        </a:p>
        <a:p>
          <a:endParaRPr lang="en-US" sz="1100" b="0" u="none"/>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56</xdr:col>
          <xdr:colOff>142875</xdr:colOff>
          <xdr:row>8</xdr:row>
          <xdr:rowOff>9525</xdr:rowOff>
        </xdr:from>
        <xdr:to>
          <xdr:col>58</xdr:col>
          <xdr:colOff>771525</xdr:colOff>
          <xdr:row>11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it-IT" sz="1600" b="1" i="0" u="none" strike="noStrike" baseline="0">
                  <a:solidFill>
                    <a:srgbClr val="0000FF"/>
                  </a:solidFill>
                  <a:latin typeface="Calibri"/>
                  <a:ea typeface="Calibri"/>
                  <a:cs typeface="Calibri"/>
                </a:rPr>
                <a:t>Import data from Item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rilliumflow-my.sharepoint.com/personal/noemi_legato_trilliumflow_com/Documents/File%20di%20chat%20di%20Microsoft%20Teams/Mod.530%20-%20Impeller's%20hydraulic%20axial%20thrust.xlsm" TargetMode="External"/><Relationship Id="rId1" Type="http://schemas.openxmlformats.org/officeDocument/2006/relationships/externalLinkPath" Target="https://trilliumflow-my.sharepoint.com/personal/noemi_legato_trilliumflow_com/Documents/File%20di%20chat%20di%20Microsoft%20Teams/Mod.530%20-%20Impeller's%20hydraulic%20axial%20thru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tent"/>
      <sheetName val="single_suction-1"/>
      <sheetName val="double_suction-1"/>
      <sheetName val="back_to_back-1"/>
      <sheetName val="single_suction-2"/>
      <sheetName val="double_suction-2"/>
      <sheetName val="back_to_back-2"/>
      <sheetName val="impeller_typ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figure1</v>
          </cell>
          <cell r="N2" t="str">
            <v>figure6</v>
          </cell>
        </row>
      </sheetData>
    </sheetDataSet>
  </externalBook>
</externalLink>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C5A25-62FD-4357-8737-91903F26FF9C}">
  <sheetPr codeName="Foglio6"/>
  <dimension ref="A1:AD48"/>
  <sheetViews>
    <sheetView tabSelected="1" topLeftCell="A40" zoomScale="175" zoomScaleNormal="175" zoomScaleSheetLayoutView="100" workbookViewId="0">
      <selection activeCell="Q51" sqref="Q51"/>
    </sheetView>
  </sheetViews>
  <sheetFormatPr defaultRowHeight="12" x14ac:dyDescent="0.2"/>
  <cols>
    <col min="1" max="30" width="3.42578125" style="135" customWidth="1"/>
    <col min="31" max="256" width="8.85546875" style="135"/>
    <col min="257" max="286" width="3.42578125" style="135" customWidth="1"/>
    <col min="287" max="512" width="8.85546875" style="135"/>
    <col min="513" max="542" width="3.42578125" style="135" customWidth="1"/>
    <col min="543" max="768" width="8.85546875" style="135"/>
    <col min="769" max="798" width="3.42578125" style="135" customWidth="1"/>
    <col min="799" max="1024" width="8.85546875" style="135"/>
    <col min="1025" max="1054" width="3.42578125" style="135" customWidth="1"/>
    <col min="1055" max="1280" width="8.85546875" style="135"/>
    <col min="1281" max="1310" width="3.42578125" style="135" customWidth="1"/>
    <col min="1311" max="1536" width="8.85546875" style="135"/>
    <col min="1537" max="1566" width="3.42578125" style="135" customWidth="1"/>
    <col min="1567" max="1792" width="8.85546875" style="135"/>
    <col min="1793" max="1822" width="3.42578125" style="135" customWidth="1"/>
    <col min="1823" max="2048" width="8.85546875" style="135"/>
    <col min="2049" max="2078" width="3.42578125" style="135" customWidth="1"/>
    <col min="2079" max="2304" width="8.85546875" style="135"/>
    <col min="2305" max="2334" width="3.42578125" style="135" customWidth="1"/>
    <col min="2335" max="2560" width="8.85546875" style="135"/>
    <col min="2561" max="2590" width="3.42578125" style="135" customWidth="1"/>
    <col min="2591" max="2816" width="8.85546875" style="135"/>
    <col min="2817" max="2846" width="3.42578125" style="135" customWidth="1"/>
    <col min="2847" max="3072" width="8.85546875" style="135"/>
    <col min="3073" max="3102" width="3.42578125" style="135" customWidth="1"/>
    <col min="3103" max="3328" width="8.85546875" style="135"/>
    <col min="3329" max="3358" width="3.42578125" style="135" customWidth="1"/>
    <col min="3359" max="3584" width="8.85546875" style="135"/>
    <col min="3585" max="3614" width="3.42578125" style="135" customWidth="1"/>
    <col min="3615" max="3840" width="8.85546875" style="135"/>
    <col min="3841" max="3870" width="3.42578125" style="135" customWidth="1"/>
    <col min="3871" max="4096" width="8.85546875" style="135"/>
    <col min="4097" max="4126" width="3.42578125" style="135" customWidth="1"/>
    <col min="4127" max="4352" width="8.85546875" style="135"/>
    <col min="4353" max="4382" width="3.42578125" style="135" customWidth="1"/>
    <col min="4383" max="4608" width="8.85546875" style="135"/>
    <col min="4609" max="4638" width="3.42578125" style="135" customWidth="1"/>
    <col min="4639" max="4864" width="8.85546875" style="135"/>
    <col min="4865" max="4894" width="3.42578125" style="135" customWidth="1"/>
    <col min="4895" max="5120" width="8.85546875" style="135"/>
    <col min="5121" max="5150" width="3.42578125" style="135" customWidth="1"/>
    <col min="5151" max="5376" width="8.85546875" style="135"/>
    <col min="5377" max="5406" width="3.42578125" style="135" customWidth="1"/>
    <col min="5407" max="5632" width="8.85546875" style="135"/>
    <col min="5633" max="5662" width="3.42578125" style="135" customWidth="1"/>
    <col min="5663" max="5888" width="8.85546875" style="135"/>
    <col min="5889" max="5918" width="3.42578125" style="135" customWidth="1"/>
    <col min="5919" max="6144" width="8.85546875" style="135"/>
    <col min="6145" max="6174" width="3.42578125" style="135" customWidth="1"/>
    <col min="6175" max="6400" width="8.85546875" style="135"/>
    <col min="6401" max="6430" width="3.42578125" style="135" customWidth="1"/>
    <col min="6431" max="6656" width="8.85546875" style="135"/>
    <col min="6657" max="6686" width="3.42578125" style="135" customWidth="1"/>
    <col min="6687" max="6912" width="8.85546875" style="135"/>
    <col min="6913" max="6942" width="3.42578125" style="135" customWidth="1"/>
    <col min="6943" max="7168" width="8.85546875" style="135"/>
    <col min="7169" max="7198" width="3.42578125" style="135" customWidth="1"/>
    <col min="7199" max="7424" width="8.85546875" style="135"/>
    <col min="7425" max="7454" width="3.42578125" style="135" customWidth="1"/>
    <col min="7455" max="7680" width="8.85546875" style="135"/>
    <col min="7681" max="7710" width="3.42578125" style="135" customWidth="1"/>
    <col min="7711" max="7936" width="8.85546875" style="135"/>
    <col min="7937" max="7966" width="3.42578125" style="135" customWidth="1"/>
    <col min="7967" max="8192" width="8.85546875" style="135"/>
    <col min="8193" max="8222" width="3.42578125" style="135" customWidth="1"/>
    <col min="8223" max="8448" width="8.85546875" style="135"/>
    <col min="8449" max="8478" width="3.42578125" style="135" customWidth="1"/>
    <col min="8479" max="8704" width="8.85546875" style="135"/>
    <col min="8705" max="8734" width="3.42578125" style="135" customWidth="1"/>
    <col min="8735" max="8960" width="8.85546875" style="135"/>
    <col min="8961" max="8990" width="3.42578125" style="135" customWidth="1"/>
    <col min="8991" max="9216" width="8.85546875" style="135"/>
    <col min="9217" max="9246" width="3.42578125" style="135" customWidth="1"/>
    <col min="9247" max="9472" width="8.85546875" style="135"/>
    <col min="9473" max="9502" width="3.42578125" style="135" customWidth="1"/>
    <col min="9503" max="9728" width="8.85546875" style="135"/>
    <col min="9729" max="9758" width="3.42578125" style="135" customWidth="1"/>
    <col min="9759" max="9984" width="8.85546875" style="135"/>
    <col min="9985" max="10014" width="3.42578125" style="135" customWidth="1"/>
    <col min="10015" max="10240" width="8.85546875" style="135"/>
    <col min="10241" max="10270" width="3.42578125" style="135" customWidth="1"/>
    <col min="10271" max="10496" width="8.85546875" style="135"/>
    <col min="10497" max="10526" width="3.42578125" style="135" customWidth="1"/>
    <col min="10527" max="10752" width="8.85546875" style="135"/>
    <col min="10753" max="10782" width="3.42578125" style="135" customWidth="1"/>
    <col min="10783" max="11008" width="8.85546875" style="135"/>
    <col min="11009" max="11038" width="3.42578125" style="135" customWidth="1"/>
    <col min="11039" max="11264" width="8.85546875" style="135"/>
    <col min="11265" max="11294" width="3.42578125" style="135" customWidth="1"/>
    <col min="11295" max="11520" width="8.85546875" style="135"/>
    <col min="11521" max="11550" width="3.42578125" style="135" customWidth="1"/>
    <col min="11551" max="11776" width="8.85546875" style="135"/>
    <col min="11777" max="11806" width="3.42578125" style="135" customWidth="1"/>
    <col min="11807" max="12032" width="8.85546875" style="135"/>
    <col min="12033" max="12062" width="3.42578125" style="135" customWidth="1"/>
    <col min="12063" max="12288" width="8.85546875" style="135"/>
    <col min="12289" max="12318" width="3.42578125" style="135" customWidth="1"/>
    <col min="12319" max="12544" width="8.85546875" style="135"/>
    <col min="12545" max="12574" width="3.42578125" style="135" customWidth="1"/>
    <col min="12575" max="12800" width="8.85546875" style="135"/>
    <col min="12801" max="12830" width="3.42578125" style="135" customWidth="1"/>
    <col min="12831" max="13056" width="8.85546875" style="135"/>
    <col min="13057" max="13086" width="3.42578125" style="135" customWidth="1"/>
    <col min="13087" max="13312" width="8.85546875" style="135"/>
    <col min="13313" max="13342" width="3.42578125" style="135" customWidth="1"/>
    <col min="13343" max="13568" width="8.85546875" style="135"/>
    <col min="13569" max="13598" width="3.42578125" style="135" customWidth="1"/>
    <col min="13599" max="13824" width="8.85546875" style="135"/>
    <col min="13825" max="13854" width="3.42578125" style="135" customWidth="1"/>
    <col min="13855" max="14080" width="8.85546875" style="135"/>
    <col min="14081" max="14110" width="3.42578125" style="135" customWidth="1"/>
    <col min="14111" max="14336" width="8.85546875" style="135"/>
    <col min="14337" max="14366" width="3.42578125" style="135" customWidth="1"/>
    <col min="14367" max="14592" width="8.85546875" style="135"/>
    <col min="14593" max="14622" width="3.42578125" style="135" customWidth="1"/>
    <col min="14623" max="14848" width="8.85546875" style="135"/>
    <col min="14849" max="14878" width="3.42578125" style="135" customWidth="1"/>
    <col min="14879" max="15104" width="8.85546875" style="135"/>
    <col min="15105" max="15134" width="3.42578125" style="135" customWidth="1"/>
    <col min="15135" max="15360" width="8.85546875" style="135"/>
    <col min="15361" max="15390" width="3.42578125" style="135" customWidth="1"/>
    <col min="15391" max="15616" width="8.85546875" style="135"/>
    <col min="15617" max="15646" width="3.42578125" style="135" customWidth="1"/>
    <col min="15647" max="15872" width="8.85546875" style="135"/>
    <col min="15873" max="15902" width="3.42578125" style="135" customWidth="1"/>
    <col min="15903" max="16128" width="8.85546875" style="135"/>
    <col min="16129" max="16158" width="3.42578125" style="135" customWidth="1"/>
    <col min="16159" max="16384" width="8.85546875" style="135"/>
  </cols>
  <sheetData>
    <row r="1" spans="1:30" ht="15" customHeight="1" x14ac:dyDescent="0.2">
      <c r="A1" s="132"/>
      <c r="B1" s="133"/>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4"/>
    </row>
    <row r="2" spans="1:30" ht="15" customHeight="1" x14ac:dyDescent="0.2">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8"/>
    </row>
    <row r="3" spans="1:30" ht="15" customHeight="1" x14ac:dyDescent="0.2">
      <c r="A3" s="136"/>
      <c r="B3" s="137"/>
      <c r="C3" s="137"/>
      <c r="D3" s="137"/>
      <c r="E3" s="137"/>
      <c r="F3" s="137"/>
      <c r="G3" s="137"/>
      <c r="H3" s="139"/>
      <c r="I3" s="139"/>
      <c r="J3" s="139"/>
      <c r="K3" s="140"/>
      <c r="L3" s="140"/>
      <c r="M3" s="140"/>
      <c r="N3" s="140"/>
      <c r="O3" s="140"/>
      <c r="P3" s="140"/>
      <c r="Q3" s="140"/>
      <c r="R3" s="140"/>
      <c r="S3" s="140"/>
      <c r="T3" s="140"/>
      <c r="U3" s="140"/>
      <c r="V3" s="140"/>
      <c r="W3" s="141"/>
      <c r="X3" s="141"/>
      <c r="Y3" s="141"/>
      <c r="Z3" s="141"/>
      <c r="AA3" s="141"/>
      <c r="AB3" s="141"/>
      <c r="AC3" s="141"/>
      <c r="AD3" s="142"/>
    </row>
    <row r="4" spans="1:30" ht="15" customHeight="1" x14ac:dyDescent="0.2">
      <c r="A4" s="136"/>
      <c r="B4" s="137"/>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137"/>
      <c r="AC4" s="137"/>
      <c r="AD4" s="138"/>
    </row>
    <row r="5" spans="1:30" ht="15" customHeight="1" x14ac:dyDescent="0.2">
      <c r="A5" s="136"/>
      <c r="B5" s="137"/>
      <c r="C5" s="137"/>
      <c r="D5" s="137"/>
      <c r="E5" s="137"/>
      <c r="F5" s="137"/>
      <c r="G5" s="137"/>
      <c r="H5" s="137"/>
      <c r="I5" s="137"/>
      <c r="J5" s="137"/>
      <c r="K5" s="137"/>
      <c r="L5" s="137"/>
      <c r="M5" s="137"/>
      <c r="N5" s="137"/>
      <c r="O5" s="137"/>
      <c r="P5" s="137"/>
      <c r="Q5" s="137"/>
      <c r="R5" s="137"/>
      <c r="S5" s="137"/>
      <c r="T5" s="137"/>
      <c r="U5" s="137"/>
      <c r="V5" s="137"/>
      <c r="W5" s="137"/>
      <c r="X5" s="137"/>
      <c r="Y5" s="137"/>
      <c r="Z5" s="137"/>
      <c r="AA5" s="137"/>
      <c r="AB5" s="137"/>
      <c r="AC5" s="137"/>
      <c r="AD5" s="138"/>
    </row>
    <row r="6" spans="1:30" ht="15" customHeight="1" x14ac:dyDescent="0.2">
      <c r="A6" s="136"/>
      <c r="B6" s="137"/>
      <c r="C6" s="137"/>
      <c r="D6" s="137"/>
      <c r="E6" s="137"/>
      <c r="F6" s="137"/>
      <c r="G6" s="137"/>
      <c r="H6" s="137"/>
      <c r="I6" s="137"/>
      <c r="J6" s="137"/>
      <c r="K6" s="137"/>
      <c r="L6" s="137"/>
      <c r="M6" s="137"/>
      <c r="N6" s="137"/>
      <c r="O6" s="137"/>
      <c r="P6" s="137"/>
      <c r="Q6" s="137"/>
      <c r="R6" s="137"/>
      <c r="S6" s="137"/>
      <c r="T6" s="137"/>
      <c r="U6" s="137"/>
      <c r="V6" s="137"/>
      <c r="W6" s="137"/>
      <c r="X6" s="137"/>
      <c r="Y6" s="137"/>
      <c r="Z6" s="137"/>
      <c r="AA6" s="137"/>
      <c r="AB6" s="137"/>
      <c r="AC6" s="137"/>
      <c r="AD6" s="138"/>
    </row>
    <row r="7" spans="1:30" ht="15" customHeight="1" thickBot="1" x14ac:dyDescent="0.25">
      <c r="A7" s="143"/>
      <c r="B7" s="144"/>
      <c r="C7" s="144"/>
      <c r="D7" s="144"/>
      <c r="E7" s="144"/>
      <c r="F7" s="145"/>
      <c r="G7" s="137"/>
      <c r="H7" s="137"/>
      <c r="I7" s="137"/>
      <c r="J7" s="137"/>
      <c r="K7" s="137"/>
      <c r="L7" s="137"/>
      <c r="M7" s="137"/>
      <c r="N7" s="137"/>
      <c r="O7" s="137"/>
      <c r="P7" s="137"/>
      <c r="Q7" s="137"/>
      <c r="R7" s="137"/>
      <c r="S7" s="137"/>
      <c r="T7" s="137"/>
      <c r="U7" s="137"/>
      <c r="V7" s="137"/>
      <c r="W7" s="137"/>
      <c r="X7" s="137"/>
      <c r="Y7" s="137"/>
      <c r="Z7" s="137"/>
      <c r="AA7" s="144"/>
      <c r="AB7" s="144"/>
      <c r="AC7" s="144"/>
      <c r="AD7" s="146"/>
    </row>
    <row r="8" spans="1:30" ht="15" customHeight="1" x14ac:dyDescent="0.2">
      <c r="A8" s="246" t="s">
        <v>608</v>
      </c>
      <c r="B8" s="247"/>
      <c r="C8" s="247"/>
      <c r="D8" s="247"/>
      <c r="E8" s="247"/>
      <c r="F8" s="247"/>
      <c r="G8" s="247"/>
      <c r="H8" s="247"/>
      <c r="I8" s="247"/>
      <c r="J8" s="247"/>
      <c r="K8" s="247"/>
      <c r="L8" s="247"/>
      <c r="M8" s="247"/>
      <c r="N8" s="247"/>
      <c r="O8" s="247"/>
      <c r="P8" s="247"/>
      <c r="Q8" s="247"/>
      <c r="R8" s="247"/>
      <c r="S8" s="247"/>
      <c r="T8" s="247"/>
      <c r="U8" s="247"/>
      <c r="V8" s="247"/>
      <c r="W8" s="247"/>
      <c r="X8" s="247"/>
      <c r="Y8" s="247"/>
      <c r="Z8" s="247"/>
      <c r="AA8" s="247"/>
      <c r="AB8" s="247"/>
      <c r="AC8" s="247"/>
      <c r="AD8" s="248"/>
    </row>
    <row r="9" spans="1:30" ht="15" customHeight="1" x14ac:dyDescent="0.2">
      <c r="A9" s="24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250"/>
      <c r="AB9" s="250"/>
      <c r="AC9" s="250"/>
      <c r="AD9" s="251"/>
    </row>
    <row r="10" spans="1:30" ht="15" customHeight="1" x14ac:dyDescent="0.2">
      <c r="A10" s="24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1"/>
    </row>
    <row r="11" spans="1:30" ht="15" customHeight="1" x14ac:dyDescent="0.2">
      <c r="A11" s="24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1"/>
    </row>
    <row r="12" spans="1:30" ht="15" customHeight="1" x14ac:dyDescent="0.2">
      <c r="A12" s="249"/>
      <c r="B12" s="250"/>
      <c r="C12" s="250"/>
      <c r="D12" s="250"/>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1"/>
    </row>
    <row r="13" spans="1:30" ht="15" customHeight="1" x14ac:dyDescent="0.2">
      <c r="A13" s="249"/>
      <c r="B13" s="250"/>
      <c r="C13" s="250"/>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1"/>
    </row>
    <row r="14" spans="1:30" ht="15" customHeight="1" x14ac:dyDescent="0.2">
      <c r="A14" s="249"/>
      <c r="B14" s="250"/>
      <c r="C14" s="250"/>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1"/>
    </row>
    <row r="15" spans="1:30" ht="15" customHeight="1" x14ac:dyDescent="0.2">
      <c r="A15" s="249"/>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1"/>
    </row>
    <row r="16" spans="1:30" ht="15" customHeight="1" x14ac:dyDescent="0.2">
      <c r="A16" s="249"/>
      <c r="B16" s="250"/>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1"/>
    </row>
    <row r="17" spans="1:30" ht="15" customHeight="1" x14ac:dyDescent="0.2">
      <c r="A17" s="249"/>
      <c r="B17" s="250"/>
      <c r="C17" s="250"/>
      <c r="D17" s="250"/>
      <c r="E17" s="250"/>
      <c r="F17" s="250"/>
      <c r="G17" s="250"/>
      <c r="H17" s="250"/>
      <c r="I17" s="250"/>
      <c r="J17" s="250"/>
      <c r="K17" s="250"/>
      <c r="L17" s="250"/>
      <c r="M17" s="250"/>
      <c r="N17" s="250"/>
      <c r="O17" s="250"/>
      <c r="P17" s="250"/>
      <c r="Q17" s="250"/>
      <c r="R17" s="250"/>
      <c r="S17" s="250"/>
      <c r="T17" s="250"/>
      <c r="U17" s="250"/>
      <c r="V17" s="250"/>
      <c r="W17" s="250"/>
      <c r="X17" s="250"/>
      <c r="Y17" s="250"/>
      <c r="Z17" s="250"/>
      <c r="AA17" s="250"/>
      <c r="AB17" s="250"/>
      <c r="AC17" s="250"/>
      <c r="AD17" s="251"/>
    </row>
    <row r="18" spans="1:30" ht="15" customHeight="1" x14ac:dyDescent="0.2">
      <c r="A18" s="249"/>
      <c r="B18" s="250"/>
      <c r="C18" s="250"/>
      <c r="D18" s="250"/>
      <c r="E18" s="250"/>
      <c r="F18" s="250"/>
      <c r="G18" s="250"/>
      <c r="H18" s="250"/>
      <c r="I18" s="250"/>
      <c r="J18" s="250"/>
      <c r="K18" s="250"/>
      <c r="L18" s="250"/>
      <c r="M18" s="250"/>
      <c r="N18" s="250"/>
      <c r="O18" s="250"/>
      <c r="P18" s="250"/>
      <c r="Q18" s="250"/>
      <c r="R18" s="250"/>
      <c r="S18" s="250"/>
      <c r="T18" s="250"/>
      <c r="U18" s="250"/>
      <c r="V18" s="250"/>
      <c r="W18" s="250"/>
      <c r="X18" s="250"/>
      <c r="Y18" s="250"/>
      <c r="Z18" s="250"/>
      <c r="AA18" s="250"/>
      <c r="AB18" s="250"/>
      <c r="AC18" s="250"/>
      <c r="AD18" s="251"/>
    </row>
    <row r="19" spans="1:30" ht="15" customHeight="1" x14ac:dyDescent="0.2">
      <c r="A19" s="249"/>
      <c r="B19" s="250"/>
      <c r="C19" s="250"/>
      <c r="D19" s="250"/>
      <c r="E19" s="250"/>
      <c r="F19" s="250"/>
      <c r="G19" s="250"/>
      <c r="H19" s="250"/>
      <c r="I19" s="250"/>
      <c r="J19" s="250"/>
      <c r="K19" s="250"/>
      <c r="L19" s="250"/>
      <c r="M19" s="250"/>
      <c r="N19" s="250"/>
      <c r="O19" s="250"/>
      <c r="P19" s="250"/>
      <c r="Q19" s="250"/>
      <c r="R19" s="250"/>
      <c r="S19" s="250"/>
      <c r="T19" s="250"/>
      <c r="U19" s="250"/>
      <c r="V19" s="250"/>
      <c r="W19" s="250"/>
      <c r="X19" s="250"/>
      <c r="Y19" s="250"/>
      <c r="Z19" s="250"/>
      <c r="AA19" s="250"/>
      <c r="AB19" s="250"/>
      <c r="AC19" s="250"/>
      <c r="AD19" s="251"/>
    </row>
    <row r="20" spans="1:30" ht="15" customHeight="1" x14ac:dyDescent="0.2">
      <c r="A20" s="249"/>
      <c r="B20" s="250"/>
      <c r="C20" s="250"/>
      <c r="D20" s="250"/>
      <c r="E20" s="250"/>
      <c r="F20" s="250"/>
      <c r="G20" s="250"/>
      <c r="H20" s="250"/>
      <c r="I20" s="250"/>
      <c r="J20" s="250"/>
      <c r="K20" s="250"/>
      <c r="L20" s="250"/>
      <c r="M20" s="250"/>
      <c r="N20" s="250"/>
      <c r="O20" s="250"/>
      <c r="P20" s="250"/>
      <c r="Q20" s="250"/>
      <c r="R20" s="250"/>
      <c r="S20" s="250"/>
      <c r="T20" s="250"/>
      <c r="U20" s="250"/>
      <c r="V20" s="250"/>
      <c r="W20" s="250"/>
      <c r="X20" s="250"/>
      <c r="Y20" s="250"/>
      <c r="Z20" s="250"/>
      <c r="AA20" s="250"/>
      <c r="AB20" s="250"/>
      <c r="AC20" s="250"/>
      <c r="AD20" s="251"/>
    </row>
    <row r="21" spans="1:30" ht="15" customHeight="1" x14ac:dyDescent="0.2">
      <c r="A21" s="249"/>
      <c r="B21" s="250"/>
      <c r="C21" s="250"/>
      <c r="D21" s="250"/>
      <c r="E21" s="250"/>
      <c r="F21" s="250"/>
      <c r="G21" s="250"/>
      <c r="H21" s="250"/>
      <c r="I21" s="250"/>
      <c r="J21" s="250"/>
      <c r="K21" s="250"/>
      <c r="L21" s="250"/>
      <c r="M21" s="250"/>
      <c r="N21" s="250"/>
      <c r="O21" s="250"/>
      <c r="P21" s="250"/>
      <c r="Q21" s="250"/>
      <c r="R21" s="250"/>
      <c r="S21" s="250"/>
      <c r="T21" s="250"/>
      <c r="U21" s="250"/>
      <c r="V21" s="250"/>
      <c r="W21" s="250"/>
      <c r="X21" s="250"/>
      <c r="Y21" s="250"/>
      <c r="Z21" s="250"/>
      <c r="AA21" s="250"/>
      <c r="AB21" s="250"/>
      <c r="AC21" s="250"/>
      <c r="AD21" s="251"/>
    </row>
    <row r="22" spans="1:30" ht="15" customHeight="1" x14ac:dyDescent="0.2">
      <c r="A22" s="249"/>
      <c r="B22" s="250"/>
      <c r="C22" s="250"/>
      <c r="D22" s="250"/>
      <c r="E22" s="250"/>
      <c r="F22" s="250"/>
      <c r="G22" s="250"/>
      <c r="H22" s="250"/>
      <c r="I22" s="250"/>
      <c r="J22" s="250"/>
      <c r="K22" s="250"/>
      <c r="L22" s="250"/>
      <c r="M22" s="250"/>
      <c r="N22" s="250"/>
      <c r="O22" s="250"/>
      <c r="P22" s="250"/>
      <c r="Q22" s="250"/>
      <c r="R22" s="250"/>
      <c r="S22" s="250"/>
      <c r="T22" s="250"/>
      <c r="U22" s="250"/>
      <c r="V22" s="250"/>
      <c r="W22" s="250"/>
      <c r="X22" s="250"/>
      <c r="Y22" s="250"/>
      <c r="Z22" s="250"/>
      <c r="AA22" s="250"/>
      <c r="AB22" s="250"/>
      <c r="AC22" s="250"/>
      <c r="AD22" s="251"/>
    </row>
    <row r="23" spans="1:30" ht="15" customHeight="1" x14ac:dyDescent="0.2">
      <c r="A23" s="249"/>
      <c r="B23" s="250"/>
      <c r="C23" s="250"/>
      <c r="D23" s="250"/>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c r="AD23" s="251"/>
    </row>
    <row r="24" spans="1:30" ht="15" customHeight="1" x14ac:dyDescent="0.2">
      <c r="A24" s="249"/>
      <c r="B24" s="250"/>
      <c r="C24" s="250"/>
      <c r="D24" s="250"/>
      <c r="E24" s="250"/>
      <c r="F24" s="250"/>
      <c r="G24" s="250"/>
      <c r="H24" s="250"/>
      <c r="I24" s="250"/>
      <c r="J24" s="250"/>
      <c r="K24" s="250"/>
      <c r="L24" s="250"/>
      <c r="M24" s="250"/>
      <c r="N24" s="250"/>
      <c r="O24" s="250"/>
      <c r="P24" s="250"/>
      <c r="Q24" s="250"/>
      <c r="R24" s="250"/>
      <c r="S24" s="250"/>
      <c r="T24" s="250"/>
      <c r="U24" s="250"/>
      <c r="V24" s="250"/>
      <c r="W24" s="250"/>
      <c r="X24" s="250"/>
      <c r="Y24" s="250"/>
      <c r="Z24" s="250"/>
      <c r="AA24" s="250"/>
      <c r="AB24" s="250"/>
      <c r="AC24" s="250"/>
      <c r="AD24" s="251"/>
    </row>
    <row r="25" spans="1:30" ht="15" customHeight="1" x14ac:dyDescent="0.2">
      <c r="A25" s="249"/>
      <c r="B25" s="250"/>
      <c r="C25" s="250"/>
      <c r="D25" s="250"/>
      <c r="E25" s="250"/>
      <c r="F25" s="250"/>
      <c r="G25" s="250"/>
      <c r="H25" s="250"/>
      <c r="I25" s="250"/>
      <c r="J25" s="250"/>
      <c r="K25" s="250"/>
      <c r="L25" s="250"/>
      <c r="M25" s="250"/>
      <c r="N25" s="250"/>
      <c r="O25" s="250"/>
      <c r="P25" s="250"/>
      <c r="Q25" s="250"/>
      <c r="R25" s="250"/>
      <c r="S25" s="250"/>
      <c r="T25" s="250"/>
      <c r="U25" s="250"/>
      <c r="V25" s="250"/>
      <c r="W25" s="250"/>
      <c r="X25" s="250"/>
      <c r="Y25" s="250"/>
      <c r="Z25" s="250"/>
      <c r="AA25" s="250"/>
      <c r="AB25" s="250"/>
      <c r="AC25" s="250"/>
      <c r="AD25" s="251"/>
    </row>
    <row r="26" spans="1:30" ht="15" customHeight="1" x14ac:dyDescent="0.2">
      <c r="A26" s="249"/>
      <c r="B26" s="250"/>
      <c r="C26" s="250"/>
      <c r="D26" s="250"/>
      <c r="E26" s="250"/>
      <c r="F26" s="250"/>
      <c r="G26" s="250"/>
      <c r="H26" s="250"/>
      <c r="I26" s="250"/>
      <c r="J26" s="250"/>
      <c r="K26" s="250"/>
      <c r="L26" s="250"/>
      <c r="M26" s="250"/>
      <c r="N26" s="250"/>
      <c r="O26" s="250"/>
      <c r="P26" s="250"/>
      <c r="Q26" s="250"/>
      <c r="R26" s="250"/>
      <c r="S26" s="250"/>
      <c r="T26" s="250"/>
      <c r="U26" s="250"/>
      <c r="V26" s="250"/>
      <c r="W26" s="250"/>
      <c r="X26" s="250"/>
      <c r="Y26" s="250"/>
      <c r="Z26" s="250"/>
      <c r="AA26" s="250"/>
      <c r="AB26" s="250"/>
      <c r="AC26" s="250"/>
      <c r="AD26" s="251"/>
    </row>
    <row r="27" spans="1:30" ht="15" customHeight="1" x14ac:dyDescent="0.2">
      <c r="A27" s="249"/>
      <c r="B27" s="250"/>
      <c r="C27" s="250"/>
      <c r="D27" s="250"/>
      <c r="E27" s="250"/>
      <c r="F27" s="250"/>
      <c r="G27" s="250"/>
      <c r="H27" s="250"/>
      <c r="I27" s="250"/>
      <c r="J27" s="250"/>
      <c r="K27" s="250"/>
      <c r="L27" s="250"/>
      <c r="M27" s="250"/>
      <c r="N27" s="250"/>
      <c r="O27" s="250"/>
      <c r="P27" s="250"/>
      <c r="Q27" s="250"/>
      <c r="R27" s="250"/>
      <c r="S27" s="250"/>
      <c r="T27" s="250"/>
      <c r="U27" s="250"/>
      <c r="V27" s="250"/>
      <c r="W27" s="250"/>
      <c r="X27" s="250"/>
      <c r="Y27" s="250"/>
      <c r="Z27" s="250"/>
      <c r="AA27" s="250"/>
      <c r="AB27" s="250"/>
      <c r="AC27" s="250"/>
      <c r="AD27" s="251"/>
    </row>
    <row r="28" spans="1:30" ht="15" customHeight="1" x14ac:dyDescent="0.2">
      <c r="A28" s="249"/>
      <c r="B28" s="250"/>
      <c r="C28" s="250"/>
      <c r="D28" s="250"/>
      <c r="E28" s="250"/>
      <c r="F28" s="250"/>
      <c r="G28" s="250"/>
      <c r="H28" s="250"/>
      <c r="I28" s="250"/>
      <c r="J28" s="250"/>
      <c r="K28" s="250"/>
      <c r="L28" s="250"/>
      <c r="M28" s="250"/>
      <c r="N28" s="250"/>
      <c r="O28" s="250"/>
      <c r="P28" s="250"/>
      <c r="Q28" s="250"/>
      <c r="R28" s="250"/>
      <c r="S28" s="250"/>
      <c r="T28" s="250"/>
      <c r="U28" s="250"/>
      <c r="V28" s="250"/>
      <c r="W28" s="250"/>
      <c r="X28" s="250"/>
      <c r="Y28" s="250"/>
      <c r="Z28" s="250"/>
      <c r="AA28" s="250"/>
      <c r="AB28" s="250"/>
      <c r="AC28" s="250"/>
      <c r="AD28" s="251"/>
    </row>
    <row r="29" spans="1:30" ht="15" customHeight="1" x14ac:dyDescent="0.2">
      <c r="A29" s="249"/>
      <c r="B29" s="250"/>
      <c r="C29" s="250"/>
      <c r="D29" s="250"/>
      <c r="E29" s="250"/>
      <c r="F29" s="250"/>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1"/>
    </row>
    <row r="30" spans="1:30" ht="15" customHeight="1" x14ac:dyDescent="0.2">
      <c r="A30" s="249"/>
      <c r="B30" s="250"/>
      <c r="C30" s="250"/>
      <c r="D30" s="250"/>
      <c r="E30" s="250"/>
      <c r="F30" s="250"/>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1"/>
    </row>
    <row r="31" spans="1:30" ht="15" customHeight="1" x14ac:dyDescent="0.2">
      <c r="A31" s="249"/>
      <c r="B31" s="250"/>
      <c r="C31" s="250"/>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0"/>
      <c r="AB31" s="250"/>
      <c r="AC31" s="250"/>
      <c r="AD31" s="251"/>
    </row>
    <row r="32" spans="1:30" ht="15" customHeight="1" x14ac:dyDescent="0.2">
      <c r="A32" s="249"/>
      <c r="B32" s="250"/>
      <c r="C32" s="250"/>
      <c r="D32" s="250"/>
      <c r="E32" s="250"/>
      <c r="F32" s="250"/>
      <c r="G32" s="250"/>
      <c r="H32" s="250"/>
      <c r="I32" s="250"/>
      <c r="J32" s="250"/>
      <c r="K32" s="250"/>
      <c r="L32" s="250"/>
      <c r="M32" s="250"/>
      <c r="N32" s="250"/>
      <c r="O32" s="250"/>
      <c r="P32" s="250"/>
      <c r="Q32" s="250"/>
      <c r="R32" s="250"/>
      <c r="S32" s="250"/>
      <c r="T32" s="250"/>
      <c r="U32" s="250"/>
      <c r="V32" s="250"/>
      <c r="W32" s="250"/>
      <c r="X32" s="250"/>
      <c r="Y32" s="250"/>
      <c r="Z32" s="250"/>
      <c r="AA32" s="250"/>
      <c r="AB32" s="250"/>
      <c r="AC32" s="250"/>
      <c r="AD32" s="251"/>
    </row>
    <row r="33" spans="1:30" ht="15" customHeight="1" x14ac:dyDescent="0.2">
      <c r="A33" s="249"/>
      <c r="B33" s="250"/>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1"/>
    </row>
    <row r="34" spans="1:30" ht="15" customHeight="1" x14ac:dyDescent="0.2">
      <c r="A34" s="249"/>
      <c r="B34" s="250"/>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1"/>
    </row>
    <row r="35" spans="1:30" ht="15" customHeight="1" x14ac:dyDescent="0.2">
      <c r="A35" s="249"/>
      <c r="B35" s="250"/>
      <c r="C35" s="250"/>
      <c r="D35" s="250"/>
      <c r="E35" s="250"/>
      <c r="F35" s="250"/>
      <c r="G35" s="250"/>
      <c r="H35" s="250"/>
      <c r="I35" s="250"/>
      <c r="J35" s="250"/>
      <c r="K35" s="250"/>
      <c r="L35" s="250"/>
      <c r="M35" s="250"/>
      <c r="N35" s="250"/>
      <c r="O35" s="250"/>
      <c r="P35" s="250"/>
      <c r="Q35" s="250"/>
      <c r="R35" s="250"/>
      <c r="S35" s="250"/>
      <c r="T35" s="250"/>
      <c r="U35" s="250"/>
      <c r="V35" s="250"/>
      <c r="W35" s="250"/>
      <c r="X35" s="250"/>
      <c r="Y35" s="250"/>
      <c r="Z35" s="250"/>
      <c r="AA35" s="250"/>
      <c r="AB35" s="250"/>
      <c r="AC35" s="250"/>
      <c r="AD35" s="251"/>
    </row>
    <row r="36" spans="1:30" ht="15" customHeight="1" x14ac:dyDescent="0.2">
      <c r="A36" s="249"/>
      <c r="B36" s="250"/>
      <c r="C36" s="250"/>
      <c r="D36" s="250"/>
      <c r="E36" s="250"/>
      <c r="F36" s="250"/>
      <c r="G36" s="250"/>
      <c r="H36" s="250"/>
      <c r="I36" s="250"/>
      <c r="J36" s="250"/>
      <c r="K36" s="250"/>
      <c r="L36" s="250"/>
      <c r="M36" s="250"/>
      <c r="N36" s="250"/>
      <c r="O36" s="250"/>
      <c r="P36" s="250"/>
      <c r="Q36" s="250"/>
      <c r="R36" s="250"/>
      <c r="S36" s="250"/>
      <c r="T36" s="250"/>
      <c r="U36" s="250"/>
      <c r="V36" s="250"/>
      <c r="W36" s="250"/>
      <c r="X36" s="250"/>
      <c r="Y36" s="250"/>
      <c r="Z36" s="250"/>
      <c r="AA36" s="250"/>
      <c r="AB36" s="250"/>
      <c r="AC36" s="250"/>
      <c r="AD36" s="251"/>
    </row>
    <row r="37" spans="1:30" ht="15" customHeight="1" x14ac:dyDescent="0.2">
      <c r="A37" s="249"/>
      <c r="B37" s="250"/>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1"/>
    </row>
    <row r="38" spans="1:30" ht="15" customHeight="1" x14ac:dyDescent="0.2">
      <c r="A38" s="249"/>
      <c r="B38" s="250"/>
      <c r="C38" s="250"/>
      <c r="D38" s="250"/>
      <c r="E38" s="250"/>
      <c r="F38" s="250"/>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c r="AD38" s="251"/>
    </row>
    <row r="39" spans="1:30" ht="15" customHeight="1" thickBot="1" x14ac:dyDescent="0.25">
      <c r="A39" s="252"/>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4"/>
    </row>
    <row r="40" spans="1:30" ht="30" customHeight="1" x14ac:dyDescent="0.2">
      <c r="A40" s="255"/>
      <c r="B40" s="256"/>
      <c r="C40" s="257"/>
      <c r="D40" s="258"/>
      <c r="E40" s="258"/>
      <c r="F40" s="256"/>
      <c r="G40" s="257"/>
      <c r="H40" s="258"/>
      <c r="I40" s="258"/>
      <c r="J40" s="258"/>
      <c r="K40" s="258"/>
      <c r="L40" s="258"/>
      <c r="M40" s="258"/>
      <c r="N40" s="258"/>
      <c r="O40" s="258"/>
      <c r="P40" s="257"/>
      <c r="Q40" s="258"/>
      <c r="R40" s="258"/>
      <c r="S40" s="258"/>
      <c r="T40" s="256"/>
      <c r="U40" s="257"/>
      <c r="V40" s="258"/>
      <c r="W40" s="258"/>
      <c r="X40" s="258"/>
      <c r="Y40" s="256"/>
      <c r="Z40" s="257"/>
      <c r="AA40" s="258"/>
      <c r="AB40" s="258"/>
      <c r="AC40" s="258"/>
      <c r="AD40" s="259"/>
    </row>
    <row r="41" spans="1:30" ht="30" customHeight="1" x14ac:dyDescent="0.2">
      <c r="A41" s="233"/>
      <c r="B41" s="234"/>
      <c r="C41" s="235"/>
      <c r="D41" s="236"/>
      <c r="E41" s="236"/>
      <c r="F41" s="234"/>
      <c r="G41" s="235"/>
      <c r="H41" s="236"/>
      <c r="I41" s="236"/>
      <c r="J41" s="236"/>
      <c r="K41" s="236"/>
      <c r="L41" s="236"/>
      <c r="M41" s="236"/>
      <c r="N41" s="236"/>
      <c r="O41" s="236"/>
      <c r="P41" s="235"/>
      <c r="Q41" s="236"/>
      <c r="R41" s="236"/>
      <c r="S41" s="236"/>
      <c r="T41" s="234"/>
      <c r="U41" s="235"/>
      <c r="V41" s="236"/>
      <c r="W41" s="236"/>
      <c r="X41" s="236"/>
      <c r="Y41" s="234"/>
      <c r="Z41" s="235"/>
      <c r="AA41" s="236"/>
      <c r="AB41" s="236"/>
      <c r="AC41" s="236"/>
      <c r="AD41" s="237"/>
    </row>
    <row r="42" spans="1:30" ht="30" customHeight="1" x14ac:dyDescent="0.2">
      <c r="A42" s="233"/>
      <c r="B42" s="234"/>
      <c r="C42" s="235"/>
      <c r="D42" s="236"/>
      <c r="E42" s="236"/>
      <c r="F42" s="234"/>
      <c r="G42" s="235"/>
      <c r="H42" s="236"/>
      <c r="I42" s="236"/>
      <c r="J42" s="236"/>
      <c r="K42" s="236"/>
      <c r="L42" s="236"/>
      <c r="M42" s="236"/>
      <c r="N42" s="236"/>
      <c r="O42" s="236"/>
      <c r="P42" s="235"/>
      <c r="Q42" s="236"/>
      <c r="R42" s="236"/>
      <c r="S42" s="236"/>
      <c r="T42" s="234"/>
      <c r="U42" s="235"/>
      <c r="V42" s="236"/>
      <c r="W42" s="236"/>
      <c r="X42" s="236"/>
      <c r="Y42" s="234"/>
      <c r="Z42" s="235"/>
      <c r="AA42" s="236"/>
      <c r="AB42" s="236"/>
      <c r="AC42" s="236"/>
      <c r="AD42" s="237"/>
    </row>
    <row r="43" spans="1:30" ht="30" customHeight="1" x14ac:dyDescent="0.2">
      <c r="A43" s="233"/>
      <c r="B43" s="234"/>
      <c r="C43" s="235"/>
      <c r="D43" s="236"/>
      <c r="E43" s="236"/>
      <c r="F43" s="234"/>
      <c r="G43" s="235"/>
      <c r="H43" s="236"/>
      <c r="I43" s="236"/>
      <c r="J43" s="236"/>
      <c r="K43" s="236"/>
      <c r="L43" s="236"/>
      <c r="M43" s="236"/>
      <c r="N43" s="236"/>
      <c r="O43" s="236"/>
      <c r="P43" s="235"/>
      <c r="Q43" s="236"/>
      <c r="R43" s="236"/>
      <c r="S43" s="236"/>
      <c r="T43" s="234"/>
      <c r="U43" s="235"/>
      <c r="V43" s="236"/>
      <c r="W43" s="236"/>
      <c r="X43" s="236"/>
      <c r="Y43" s="234"/>
      <c r="Z43" s="235"/>
      <c r="AA43" s="236"/>
      <c r="AB43" s="236"/>
      <c r="AC43" s="236"/>
      <c r="AD43" s="237"/>
    </row>
    <row r="44" spans="1:30" ht="30" customHeight="1" x14ac:dyDescent="0.2">
      <c r="A44" s="233"/>
      <c r="B44" s="234"/>
      <c r="C44" s="235"/>
      <c r="D44" s="236"/>
      <c r="E44" s="236"/>
      <c r="F44" s="234"/>
      <c r="G44" s="235"/>
      <c r="H44" s="236"/>
      <c r="I44" s="236"/>
      <c r="J44" s="236"/>
      <c r="K44" s="236"/>
      <c r="L44" s="236"/>
      <c r="M44" s="236"/>
      <c r="N44" s="236"/>
      <c r="O44" s="236"/>
      <c r="P44" s="235"/>
      <c r="Q44" s="236"/>
      <c r="R44" s="236"/>
      <c r="S44" s="236"/>
      <c r="T44" s="234"/>
      <c r="U44" s="235"/>
      <c r="V44" s="236"/>
      <c r="W44" s="236"/>
      <c r="X44" s="236"/>
      <c r="Y44" s="234"/>
      <c r="Z44" s="235"/>
      <c r="AA44" s="236"/>
      <c r="AB44" s="236"/>
      <c r="AC44" s="236"/>
      <c r="AD44" s="237"/>
    </row>
    <row r="45" spans="1:30" ht="30" customHeight="1" x14ac:dyDescent="0.2">
      <c r="A45" s="233"/>
      <c r="B45" s="234"/>
      <c r="C45" s="235"/>
      <c r="D45" s="236"/>
      <c r="E45" s="236"/>
      <c r="F45" s="234"/>
      <c r="G45" s="235"/>
      <c r="H45" s="236"/>
      <c r="I45" s="236"/>
      <c r="J45" s="236"/>
      <c r="K45" s="236"/>
      <c r="L45" s="236"/>
      <c r="M45" s="236"/>
      <c r="N45" s="236"/>
      <c r="O45" s="236"/>
      <c r="P45" s="235"/>
      <c r="Q45" s="236"/>
      <c r="R45" s="236"/>
      <c r="S45" s="236"/>
      <c r="T45" s="234"/>
      <c r="U45" s="235"/>
      <c r="V45" s="236"/>
      <c r="W45" s="236"/>
      <c r="X45" s="236"/>
      <c r="Y45" s="234"/>
      <c r="Z45" s="235"/>
      <c r="AA45" s="236"/>
      <c r="AB45" s="236"/>
      <c r="AC45" s="236"/>
      <c r="AD45" s="237"/>
    </row>
    <row r="46" spans="1:30" ht="30" customHeight="1" x14ac:dyDescent="0.2">
      <c r="A46" s="238">
        <v>0</v>
      </c>
      <c r="B46" s="239"/>
      <c r="C46" s="240">
        <v>38444</v>
      </c>
      <c r="D46" s="241"/>
      <c r="E46" s="241"/>
      <c r="F46" s="242"/>
      <c r="G46" s="243" t="s">
        <v>602</v>
      </c>
      <c r="H46" s="244"/>
      <c r="I46" s="244"/>
      <c r="J46" s="244"/>
      <c r="K46" s="244"/>
      <c r="L46" s="244"/>
      <c r="M46" s="244"/>
      <c r="N46" s="244"/>
      <c r="O46" s="244"/>
      <c r="P46" s="230" t="s">
        <v>611</v>
      </c>
      <c r="Q46" s="231"/>
      <c r="R46" s="231"/>
      <c r="S46" s="231"/>
      <c r="T46" s="245"/>
      <c r="U46" s="230" t="s">
        <v>612</v>
      </c>
      <c r="V46" s="231"/>
      <c r="W46" s="231"/>
      <c r="X46" s="231"/>
      <c r="Y46" s="245"/>
      <c r="Z46" s="230" t="s">
        <v>613</v>
      </c>
      <c r="AA46" s="231"/>
      <c r="AB46" s="231"/>
      <c r="AC46" s="231"/>
      <c r="AD46" s="232"/>
    </row>
    <row r="47" spans="1:30" ht="15" customHeight="1" thickBot="1" x14ac:dyDescent="0.25">
      <c r="A47" s="224" t="s">
        <v>603</v>
      </c>
      <c r="B47" s="225"/>
      <c r="C47" s="226" t="s">
        <v>90</v>
      </c>
      <c r="D47" s="227"/>
      <c r="E47" s="227"/>
      <c r="F47" s="228"/>
      <c r="G47" s="226" t="s">
        <v>604</v>
      </c>
      <c r="H47" s="227"/>
      <c r="I47" s="227"/>
      <c r="J47" s="227"/>
      <c r="K47" s="227"/>
      <c r="L47" s="227"/>
      <c r="M47" s="227"/>
      <c r="N47" s="227"/>
      <c r="O47" s="228"/>
      <c r="P47" s="226" t="s">
        <v>605</v>
      </c>
      <c r="Q47" s="227"/>
      <c r="R47" s="227"/>
      <c r="S47" s="227"/>
      <c r="T47" s="228"/>
      <c r="U47" s="226" t="s">
        <v>606</v>
      </c>
      <c r="V47" s="227"/>
      <c r="W47" s="227"/>
      <c r="X47" s="227"/>
      <c r="Y47" s="227"/>
      <c r="Z47" s="226" t="s">
        <v>607</v>
      </c>
      <c r="AA47" s="227"/>
      <c r="AB47" s="227"/>
      <c r="AC47" s="227"/>
      <c r="AD47" s="229"/>
    </row>
    <row r="48" spans="1:30" ht="15" customHeight="1" thickBot="1" x14ac:dyDescent="0.25">
      <c r="A48" s="221" t="s">
        <v>610</v>
      </c>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3"/>
    </row>
  </sheetData>
  <mergeCells count="50">
    <mergeCell ref="A8:AD39"/>
    <mergeCell ref="A40:B40"/>
    <mergeCell ref="C40:F40"/>
    <mergeCell ref="G40:O40"/>
    <mergeCell ref="P40:T40"/>
    <mergeCell ref="U40:Y40"/>
    <mergeCell ref="Z40:AD40"/>
    <mergeCell ref="Z42:AD42"/>
    <mergeCell ref="A41:B41"/>
    <mergeCell ref="C41:F41"/>
    <mergeCell ref="G41:O41"/>
    <mergeCell ref="P41:T41"/>
    <mergeCell ref="U41:Y41"/>
    <mergeCell ref="Z41:AD41"/>
    <mergeCell ref="A42:B42"/>
    <mergeCell ref="C42:F42"/>
    <mergeCell ref="G42:O42"/>
    <mergeCell ref="P42:T42"/>
    <mergeCell ref="U42:Y42"/>
    <mergeCell ref="Z44:AD44"/>
    <mergeCell ref="A43:B43"/>
    <mergeCell ref="C43:F43"/>
    <mergeCell ref="G43:O43"/>
    <mergeCell ref="P43:T43"/>
    <mergeCell ref="U43:Y43"/>
    <mergeCell ref="Z43:AD43"/>
    <mergeCell ref="A44:B44"/>
    <mergeCell ref="C44:F44"/>
    <mergeCell ref="G44:O44"/>
    <mergeCell ref="P44:T44"/>
    <mergeCell ref="U44:Y44"/>
    <mergeCell ref="Z46:AD46"/>
    <mergeCell ref="A45:B45"/>
    <mergeCell ref="C45:F45"/>
    <mergeCell ref="G45:O45"/>
    <mergeCell ref="P45:T45"/>
    <mergeCell ref="U45:Y45"/>
    <mergeCell ref="Z45:AD45"/>
    <mergeCell ref="A46:B46"/>
    <mergeCell ref="C46:F46"/>
    <mergeCell ref="G46:O46"/>
    <mergeCell ref="P46:T46"/>
    <mergeCell ref="U46:Y46"/>
    <mergeCell ref="A48:AD48"/>
    <mergeCell ref="A47:B47"/>
    <mergeCell ref="C47:F47"/>
    <mergeCell ref="G47:O47"/>
    <mergeCell ref="P47:T47"/>
    <mergeCell ref="U47:Y47"/>
    <mergeCell ref="Z47:AD47"/>
  </mergeCells>
  <printOptions horizontalCentered="1" verticalCentered="1"/>
  <pageMargins left="0.70866141732283472" right="0.70866141732283472" top="0.74803149606299213" bottom="0.74803149606299213" header="0.31496062992125984" footer="0.31496062992125984"/>
  <pageSetup paperSize="9" scale="90" fitToWidth="3" orientation="portrait"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5"/>
  <dimension ref="B1:BO43"/>
  <sheetViews>
    <sheetView zoomScale="85" zoomScaleNormal="85" workbookViewId="0">
      <selection activeCell="P6" sqref="P6:BB6"/>
    </sheetView>
  </sheetViews>
  <sheetFormatPr defaultColWidth="9.85546875" defaultRowHeight="12.75" x14ac:dyDescent="0.25"/>
  <cols>
    <col min="1" max="1" width="2.140625" style="7" customWidth="1"/>
    <col min="2" max="2" width="4.140625" style="7" customWidth="1"/>
    <col min="3" max="4" width="1.85546875" style="7" customWidth="1"/>
    <col min="5" max="9" width="1.85546875" style="7" bestFit="1" customWidth="1"/>
    <col min="10" max="14" width="2.85546875" style="7" bestFit="1" customWidth="1"/>
    <col min="15" max="15" width="1.5703125" style="7" customWidth="1"/>
    <col min="16" max="20" width="2.85546875" style="7" bestFit="1" customWidth="1"/>
    <col min="21" max="54" width="1.85546875" style="7" customWidth="1"/>
    <col min="55" max="55" width="5" style="7" customWidth="1"/>
    <col min="56" max="56" width="1.5703125" style="7" customWidth="1"/>
    <col min="57" max="57" width="2.5703125" style="7" customWidth="1"/>
    <col min="58" max="58" width="11" style="7" customWidth="1"/>
    <col min="59" max="59" width="137.5703125" style="7" customWidth="1"/>
    <col min="60" max="16384" width="9.85546875" style="7"/>
  </cols>
  <sheetData>
    <row r="1" spans="2:59" ht="13.5" thickBot="1" x14ac:dyDescent="0.3"/>
    <row r="2" spans="2:59" ht="13.7" customHeight="1" x14ac:dyDescent="0.25">
      <c r="B2" s="292" t="s">
        <v>10</v>
      </c>
      <c r="C2" s="293"/>
      <c r="D2" s="293"/>
      <c r="E2" s="293"/>
      <c r="F2" s="293"/>
      <c r="G2" s="293"/>
      <c r="H2" s="293"/>
      <c r="I2" s="293"/>
      <c r="J2" s="293"/>
      <c r="K2" s="293"/>
      <c r="L2" s="293"/>
      <c r="M2" s="293"/>
      <c r="N2" s="293"/>
      <c r="O2" s="293"/>
      <c r="P2" s="293"/>
      <c r="Q2" s="293"/>
      <c r="R2" s="293"/>
      <c r="S2" s="293"/>
      <c r="T2" s="293"/>
      <c r="U2" s="293"/>
      <c r="V2" s="293"/>
      <c r="W2" s="293"/>
      <c r="X2" s="293"/>
      <c r="Y2" s="293"/>
      <c r="Z2" s="293"/>
      <c r="AA2" s="293"/>
      <c r="AB2" s="293"/>
      <c r="AC2" s="293"/>
      <c r="AD2" s="293"/>
      <c r="AE2" s="293"/>
      <c r="AF2" s="293"/>
      <c r="AG2" s="293"/>
      <c r="AH2" s="293"/>
      <c r="AI2" s="293"/>
      <c r="AJ2" s="293"/>
      <c r="AK2" s="293"/>
      <c r="AL2" s="293"/>
      <c r="AM2" s="293"/>
      <c r="AN2" s="293"/>
      <c r="AO2" s="293"/>
      <c r="AP2" s="293"/>
      <c r="AQ2" s="293"/>
      <c r="AR2" s="293"/>
      <c r="AS2" s="293"/>
      <c r="AT2" s="293"/>
      <c r="AU2" s="293"/>
      <c r="AV2" s="293"/>
      <c r="AW2" s="293"/>
      <c r="AX2" s="293"/>
      <c r="AY2" s="293"/>
      <c r="AZ2" s="293"/>
      <c r="BA2" s="293"/>
      <c r="BB2" s="293"/>
      <c r="BC2" s="294"/>
    </row>
    <row r="3" spans="2:59" ht="18" customHeight="1" x14ac:dyDescent="0.25">
      <c r="B3" s="295"/>
      <c r="C3" s="296"/>
      <c r="D3" s="296"/>
      <c r="E3" s="296"/>
      <c r="F3" s="296"/>
      <c r="G3" s="296"/>
      <c r="H3" s="296"/>
      <c r="I3" s="296"/>
      <c r="J3" s="296"/>
      <c r="K3" s="296"/>
      <c r="L3" s="296"/>
      <c r="M3" s="296"/>
      <c r="N3" s="296"/>
      <c r="O3" s="296"/>
      <c r="P3" s="296"/>
      <c r="Q3" s="296"/>
      <c r="R3" s="296"/>
      <c r="S3" s="296"/>
      <c r="T3" s="296"/>
      <c r="U3" s="296"/>
      <c r="V3" s="296"/>
      <c r="W3" s="296"/>
      <c r="X3" s="296"/>
      <c r="Y3" s="296"/>
      <c r="Z3" s="296"/>
      <c r="AA3" s="296"/>
      <c r="AB3" s="296"/>
      <c r="AC3" s="296"/>
      <c r="AD3" s="296"/>
      <c r="AE3" s="296"/>
      <c r="AF3" s="296"/>
      <c r="AG3" s="296"/>
      <c r="AH3" s="296"/>
      <c r="AI3" s="296"/>
      <c r="AJ3" s="296"/>
      <c r="AK3" s="296"/>
      <c r="AL3" s="296"/>
      <c r="AM3" s="296"/>
      <c r="AN3" s="296"/>
      <c r="AO3" s="296"/>
      <c r="AP3" s="296"/>
      <c r="AQ3" s="296"/>
      <c r="AR3" s="296"/>
      <c r="AS3" s="296"/>
      <c r="AT3" s="296"/>
      <c r="AU3" s="296"/>
      <c r="AV3" s="296"/>
      <c r="AW3" s="296"/>
      <c r="AX3" s="296"/>
      <c r="AY3" s="296"/>
      <c r="AZ3" s="296"/>
      <c r="BA3" s="296"/>
      <c r="BB3" s="296"/>
      <c r="BC3" s="297"/>
      <c r="BE3" s="6" t="s">
        <v>554</v>
      </c>
    </row>
    <row r="4" spans="2:59" ht="13.35" customHeight="1" x14ac:dyDescent="0.25">
      <c r="B4" s="295"/>
      <c r="C4" s="296"/>
      <c r="D4" s="296"/>
      <c r="E4" s="296"/>
      <c r="F4" s="296"/>
      <c r="G4" s="296"/>
      <c r="H4" s="296"/>
      <c r="I4" s="296"/>
      <c r="J4" s="296"/>
      <c r="K4" s="296"/>
      <c r="L4" s="296"/>
      <c r="M4" s="296"/>
      <c r="N4" s="296"/>
      <c r="O4" s="296"/>
      <c r="P4" s="296"/>
      <c r="Q4" s="296"/>
      <c r="R4" s="296"/>
      <c r="S4" s="296"/>
      <c r="T4" s="296"/>
      <c r="U4" s="296"/>
      <c r="V4" s="296"/>
      <c r="W4" s="296"/>
      <c r="X4" s="296"/>
      <c r="Y4" s="296"/>
      <c r="Z4" s="296"/>
      <c r="AA4" s="296"/>
      <c r="AB4" s="296"/>
      <c r="AC4" s="296"/>
      <c r="AD4" s="296"/>
      <c r="AE4" s="296"/>
      <c r="AF4" s="296"/>
      <c r="AG4" s="296"/>
      <c r="AH4" s="296"/>
      <c r="AI4" s="296"/>
      <c r="AJ4" s="296"/>
      <c r="AK4" s="296"/>
      <c r="AL4" s="296"/>
      <c r="AM4" s="296"/>
      <c r="AN4" s="296"/>
      <c r="AO4" s="296"/>
      <c r="AP4" s="296"/>
      <c r="AQ4" s="296"/>
      <c r="AR4" s="296"/>
      <c r="AS4" s="296"/>
      <c r="AT4" s="296"/>
      <c r="AU4" s="296"/>
      <c r="AV4" s="296"/>
      <c r="AW4" s="296"/>
      <c r="AX4" s="296"/>
      <c r="AY4" s="296"/>
      <c r="AZ4" s="296"/>
      <c r="BA4" s="296"/>
      <c r="BB4" s="296"/>
      <c r="BC4" s="297"/>
    </row>
    <row r="5" spans="2:59" ht="13.35" customHeight="1" x14ac:dyDescent="0.25">
      <c r="B5" s="295"/>
      <c r="C5" s="296"/>
      <c r="D5" s="296"/>
      <c r="E5" s="296"/>
      <c r="F5" s="296"/>
      <c r="G5" s="296"/>
      <c r="H5" s="296"/>
      <c r="I5" s="296"/>
      <c r="J5" s="296"/>
      <c r="K5" s="296"/>
      <c r="L5" s="296"/>
      <c r="M5" s="296"/>
      <c r="N5" s="296"/>
      <c r="O5" s="296"/>
      <c r="P5" s="296"/>
      <c r="Q5" s="296"/>
      <c r="R5" s="296"/>
      <c r="S5" s="296"/>
      <c r="T5" s="296"/>
      <c r="U5" s="296"/>
      <c r="V5" s="296"/>
      <c r="W5" s="296"/>
      <c r="X5" s="296"/>
      <c r="Y5" s="296"/>
      <c r="Z5" s="296"/>
      <c r="AA5" s="296"/>
      <c r="AB5" s="296"/>
      <c r="AC5" s="296"/>
      <c r="AD5" s="296"/>
      <c r="AE5" s="296"/>
      <c r="AF5" s="296"/>
      <c r="AG5" s="296"/>
      <c r="AH5" s="296"/>
      <c r="AI5" s="296"/>
      <c r="AJ5" s="296"/>
      <c r="AK5" s="296"/>
      <c r="AL5" s="296"/>
      <c r="AM5" s="296"/>
      <c r="AN5" s="296"/>
      <c r="AO5" s="296"/>
      <c r="AP5" s="296"/>
      <c r="AQ5" s="296"/>
      <c r="AR5" s="296"/>
      <c r="AS5" s="296"/>
      <c r="AT5" s="296"/>
      <c r="AU5" s="296"/>
      <c r="AV5" s="296"/>
      <c r="AW5" s="296"/>
      <c r="AX5" s="296"/>
      <c r="AY5" s="296"/>
      <c r="AZ5" s="296"/>
      <c r="BA5" s="296"/>
      <c r="BB5" s="296"/>
      <c r="BC5" s="297"/>
      <c r="BE5" s="17" t="s">
        <v>542</v>
      </c>
      <c r="BF5" s="18"/>
      <c r="BG5" s="18"/>
    </row>
    <row r="6" spans="2:59" s="18" customFormat="1" ht="18" customHeight="1" x14ac:dyDescent="0.25">
      <c r="B6" s="19"/>
      <c r="C6" s="300" t="s">
        <v>0</v>
      </c>
      <c r="D6" s="301"/>
      <c r="E6" s="301"/>
      <c r="F6" s="301"/>
      <c r="G6" s="301"/>
      <c r="H6" s="301"/>
      <c r="I6" s="301"/>
      <c r="J6" s="301"/>
      <c r="K6" s="301"/>
      <c r="L6" s="301"/>
      <c r="M6" s="301"/>
      <c r="N6" s="301"/>
      <c r="O6" s="16" t="s">
        <v>1</v>
      </c>
      <c r="P6" s="298"/>
      <c r="Q6" s="298"/>
      <c r="R6" s="298"/>
      <c r="S6" s="298"/>
      <c r="T6" s="298"/>
      <c r="U6" s="298"/>
      <c r="V6" s="298"/>
      <c r="W6" s="298"/>
      <c r="X6" s="298"/>
      <c r="Y6" s="298"/>
      <c r="Z6" s="298"/>
      <c r="AA6" s="298"/>
      <c r="AB6" s="298"/>
      <c r="AC6" s="298"/>
      <c r="AD6" s="298"/>
      <c r="AE6" s="298"/>
      <c r="AF6" s="298"/>
      <c r="AG6" s="298"/>
      <c r="AH6" s="298"/>
      <c r="AI6" s="298"/>
      <c r="AJ6" s="298"/>
      <c r="AK6" s="298"/>
      <c r="AL6" s="298"/>
      <c r="AM6" s="298"/>
      <c r="AN6" s="298"/>
      <c r="AO6" s="298"/>
      <c r="AP6" s="298"/>
      <c r="AQ6" s="298"/>
      <c r="AR6" s="298"/>
      <c r="AS6" s="298"/>
      <c r="AT6" s="298"/>
      <c r="AU6" s="298"/>
      <c r="AV6" s="298"/>
      <c r="AW6" s="298"/>
      <c r="AX6" s="298"/>
      <c r="AY6" s="298"/>
      <c r="AZ6" s="298"/>
      <c r="BA6" s="298"/>
      <c r="BB6" s="299"/>
      <c r="BC6" s="20"/>
      <c r="BE6" s="18">
        <v>0</v>
      </c>
      <c r="BF6" s="18" t="s">
        <v>547</v>
      </c>
    </row>
    <row r="7" spans="2:59" s="18" customFormat="1" ht="18" customHeight="1" x14ac:dyDescent="0.25">
      <c r="B7" s="19"/>
      <c r="C7" s="300" t="s">
        <v>2</v>
      </c>
      <c r="D7" s="301"/>
      <c r="E7" s="301"/>
      <c r="F7" s="301"/>
      <c r="G7" s="301"/>
      <c r="H7" s="301"/>
      <c r="I7" s="301"/>
      <c r="J7" s="301"/>
      <c r="K7" s="301"/>
      <c r="L7" s="301"/>
      <c r="M7" s="301"/>
      <c r="N7" s="301"/>
      <c r="O7" s="16" t="s">
        <v>1</v>
      </c>
      <c r="P7" s="298"/>
      <c r="Q7" s="298"/>
      <c r="R7" s="298"/>
      <c r="S7" s="298"/>
      <c r="T7" s="298"/>
      <c r="U7" s="298"/>
      <c r="V7" s="298"/>
      <c r="W7" s="298"/>
      <c r="X7" s="298"/>
      <c r="Y7" s="298"/>
      <c r="Z7" s="298"/>
      <c r="AA7" s="298"/>
      <c r="AB7" s="298"/>
      <c r="AC7" s="298"/>
      <c r="AD7" s="298"/>
      <c r="AE7" s="298"/>
      <c r="AF7" s="298"/>
      <c r="AG7" s="298"/>
      <c r="AH7" s="298"/>
      <c r="AI7" s="298"/>
      <c r="AJ7" s="298"/>
      <c r="AK7" s="298"/>
      <c r="AL7" s="298"/>
      <c r="AM7" s="298"/>
      <c r="AN7" s="298"/>
      <c r="AO7" s="298"/>
      <c r="AP7" s="298"/>
      <c r="AQ7" s="298"/>
      <c r="AR7" s="298"/>
      <c r="AS7" s="298"/>
      <c r="AT7" s="298"/>
      <c r="AU7" s="298"/>
      <c r="AV7" s="298"/>
      <c r="AW7" s="298"/>
      <c r="AX7" s="298"/>
      <c r="AY7" s="298"/>
      <c r="AZ7" s="298"/>
      <c r="BA7" s="298"/>
      <c r="BB7" s="299"/>
      <c r="BC7" s="20"/>
      <c r="BE7" s="18">
        <v>1</v>
      </c>
      <c r="BF7" s="18" t="s">
        <v>549</v>
      </c>
    </row>
    <row r="8" spans="2:59" s="18" customFormat="1" ht="18" customHeight="1" x14ac:dyDescent="0.25">
      <c r="B8" s="19"/>
      <c r="C8" s="300" t="s">
        <v>3</v>
      </c>
      <c r="D8" s="301"/>
      <c r="E8" s="301"/>
      <c r="F8" s="301"/>
      <c r="G8" s="301"/>
      <c r="H8" s="301"/>
      <c r="I8" s="301"/>
      <c r="J8" s="301"/>
      <c r="K8" s="301"/>
      <c r="L8" s="301"/>
      <c r="M8" s="301"/>
      <c r="N8" s="301"/>
      <c r="O8" s="16" t="s">
        <v>1</v>
      </c>
      <c r="P8" s="298"/>
      <c r="Q8" s="298"/>
      <c r="R8" s="298"/>
      <c r="S8" s="298"/>
      <c r="T8" s="298"/>
      <c r="U8" s="298"/>
      <c r="V8" s="298"/>
      <c r="W8" s="298"/>
      <c r="X8" s="298"/>
      <c r="Y8" s="298"/>
      <c r="Z8" s="298"/>
      <c r="AA8" s="298"/>
      <c r="AB8" s="298"/>
      <c r="AC8" s="298"/>
      <c r="AD8" s="298"/>
      <c r="AE8" s="298"/>
      <c r="AF8" s="298"/>
      <c r="AG8" s="298"/>
      <c r="AH8" s="298"/>
      <c r="AI8" s="298"/>
      <c r="AJ8" s="298"/>
      <c r="AK8" s="298"/>
      <c r="AL8" s="298"/>
      <c r="AM8" s="298"/>
      <c r="AN8" s="298"/>
      <c r="AO8" s="298"/>
      <c r="AP8" s="298"/>
      <c r="AQ8" s="298"/>
      <c r="AR8" s="298"/>
      <c r="AS8" s="298"/>
      <c r="AT8" s="298"/>
      <c r="AU8" s="298"/>
      <c r="AV8" s="298"/>
      <c r="AW8" s="298"/>
      <c r="AX8" s="298"/>
      <c r="AY8" s="298"/>
      <c r="AZ8" s="298"/>
      <c r="BA8" s="298"/>
      <c r="BB8" s="299"/>
      <c r="BC8" s="20"/>
      <c r="BE8" s="18">
        <v>2</v>
      </c>
      <c r="BF8" s="18" t="s">
        <v>555</v>
      </c>
    </row>
    <row r="9" spans="2:59" s="18" customFormat="1" ht="18" customHeight="1" x14ac:dyDescent="0.25">
      <c r="B9" s="19"/>
      <c r="C9" s="300" t="s">
        <v>4</v>
      </c>
      <c r="D9" s="301"/>
      <c r="E9" s="301"/>
      <c r="F9" s="301"/>
      <c r="G9" s="301"/>
      <c r="H9" s="301"/>
      <c r="I9" s="301"/>
      <c r="J9" s="301"/>
      <c r="K9" s="301"/>
      <c r="L9" s="301"/>
      <c r="M9" s="301"/>
      <c r="N9" s="301"/>
      <c r="O9" s="16" t="s">
        <v>1</v>
      </c>
      <c r="P9" s="298"/>
      <c r="Q9" s="298"/>
      <c r="R9" s="298"/>
      <c r="S9" s="298"/>
      <c r="T9" s="298"/>
      <c r="U9" s="298"/>
      <c r="V9" s="298"/>
      <c r="W9" s="298"/>
      <c r="X9" s="298"/>
      <c r="Y9" s="298"/>
      <c r="Z9" s="298"/>
      <c r="AA9" s="298"/>
      <c r="AB9" s="298"/>
      <c r="AC9" s="298"/>
      <c r="AD9" s="298"/>
      <c r="AE9" s="298"/>
      <c r="AF9" s="298"/>
      <c r="AG9" s="298"/>
      <c r="AH9" s="298"/>
      <c r="AI9" s="298"/>
      <c r="AJ9" s="298"/>
      <c r="AK9" s="298"/>
      <c r="AL9" s="298"/>
      <c r="AM9" s="298"/>
      <c r="AN9" s="298"/>
      <c r="AO9" s="298"/>
      <c r="AP9" s="298"/>
      <c r="AQ9" s="298"/>
      <c r="AR9" s="298"/>
      <c r="AS9" s="298"/>
      <c r="AT9" s="298"/>
      <c r="AU9" s="298"/>
      <c r="AV9" s="298"/>
      <c r="AW9" s="298"/>
      <c r="AX9" s="298"/>
      <c r="AY9" s="298"/>
      <c r="AZ9" s="298"/>
      <c r="BA9" s="298"/>
      <c r="BB9" s="299"/>
      <c r="BC9" s="20"/>
    </row>
    <row r="10" spans="2:59" s="18" customFormat="1" ht="18" customHeight="1" x14ac:dyDescent="0.25">
      <c r="B10" s="19"/>
      <c r="C10" s="300" t="s">
        <v>5</v>
      </c>
      <c r="D10" s="301"/>
      <c r="E10" s="301"/>
      <c r="F10" s="301"/>
      <c r="G10" s="301"/>
      <c r="H10" s="301"/>
      <c r="I10" s="301"/>
      <c r="J10" s="301"/>
      <c r="K10" s="301"/>
      <c r="L10" s="301"/>
      <c r="M10" s="301"/>
      <c r="N10" s="301"/>
      <c r="O10" s="16" t="s">
        <v>1</v>
      </c>
      <c r="P10" s="298"/>
      <c r="Q10" s="298"/>
      <c r="R10" s="298"/>
      <c r="S10" s="298"/>
      <c r="T10" s="298"/>
      <c r="U10" s="298"/>
      <c r="V10" s="298"/>
      <c r="W10" s="298"/>
      <c r="X10" s="298"/>
      <c r="Y10" s="298"/>
      <c r="Z10" s="298"/>
      <c r="AA10" s="298"/>
      <c r="AB10" s="298"/>
      <c r="AC10" s="298"/>
      <c r="AD10" s="298"/>
      <c r="AE10" s="298"/>
      <c r="AF10" s="298"/>
      <c r="AG10" s="298"/>
      <c r="AH10" s="298"/>
      <c r="AI10" s="298"/>
      <c r="AJ10" s="298"/>
      <c r="AK10" s="298"/>
      <c r="AL10" s="298"/>
      <c r="AM10" s="298"/>
      <c r="AN10" s="298"/>
      <c r="AO10" s="298"/>
      <c r="AP10" s="298"/>
      <c r="AQ10" s="298"/>
      <c r="AR10" s="298"/>
      <c r="AS10" s="298"/>
      <c r="AT10" s="298"/>
      <c r="AU10" s="298"/>
      <c r="AV10" s="298"/>
      <c r="AW10" s="298"/>
      <c r="AX10" s="298"/>
      <c r="AY10" s="298"/>
      <c r="AZ10" s="298"/>
      <c r="BA10" s="298"/>
      <c r="BB10" s="299"/>
      <c r="BC10" s="20"/>
    </row>
    <row r="11" spans="2:59" s="18" customFormat="1" ht="18" customHeight="1" x14ac:dyDescent="0.25">
      <c r="B11" s="19"/>
      <c r="C11" s="300" t="s">
        <v>340</v>
      </c>
      <c r="D11" s="301"/>
      <c r="E11" s="301"/>
      <c r="F11" s="301"/>
      <c r="G11" s="301"/>
      <c r="H11" s="301"/>
      <c r="I11" s="301"/>
      <c r="J11" s="301"/>
      <c r="K11" s="301"/>
      <c r="L11" s="301"/>
      <c r="M11" s="301"/>
      <c r="N11" s="301"/>
      <c r="O11" s="16" t="s">
        <v>1</v>
      </c>
      <c r="P11" s="298"/>
      <c r="Q11" s="298"/>
      <c r="R11" s="298"/>
      <c r="S11" s="298"/>
      <c r="T11" s="298"/>
      <c r="U11" s="298"/>
      <c r="V11" s="298"/>
      <c r="W11" s="298"/>
      <c r="X11" s="298"/>
      <c r="Y11" s="298"/>
      <c r="Z11" s="298"/>
      <c r="AA11" s="298"/>
      <c r="AB11" s="298"/>
      <c r="AC11" s="298"/>
      <c r="AD11" s="298"/>
      <c r="AE11" s="298"/>
      <c r="AF11" s="298"/>
      <c r="AG11" s="298"/>
      <c r="AH11" s="298"/>
      <c r="AI11" s="298"/>
      <c r="AJ11" s="298"/>
      <c r="AK11" s="298"/>
      <c r="AL11" s="298"/>
      <c r="AM11" s="298"/>
      <c r="AN11" s="298"/>
      <c r="AO11" s="298"/>
      <c r="AP11" s="298"/>
      <c r="AQ11" s="298"/>
      <c r="AR11" s="298"/>
      <c r="AS11" s="298"/>
      <c r="AT11" s="298"/>
      <c r="AU11" s="298"/>
      <c r="AV11" s="298"/>
      <c r="AW11" s="298"/>
      <c r="AX11" s="298"/>
      <c r="AY11" s="298"/>
      <c r="AZ11" s="298"/>
      <c r="BA11" s="298"/>
      <c r="BB11" s="299"/>
      <c r="BC11" s="20"/>
    </row>
    <row r="12" spans="2:59" s="18" customFormat="1" ht="18" customHeight="1" x14ac:dyDescent="0.25">
      <c r="B12" s="19"/>
      <c r="C12" s="300" t="s">
        <v>368</v>
      </c>
      <c r="D12" s="301"/>
      <c r="E12" s="301"/>
      <c r="F12" s="301"/>
      <c r="G12" s="301"/>
      <c r="H12" s="301"/>
      <c r="I12" s="301"/>
      <c r="J12" s="301"/>
      <c r="K12" s="301"/>
      <c r="L12" s="301"/>
      <c r="M12" s="301"/>
      <c r="N12" s="301"/>
      <c r="O12" s="16" t="s">
        <v>1</v>
      </c>
      <c r="P12" s="298"/>
      <c r="Q12" s="298"/>
      <c r="R12" s="298"/>
      <c r="S12" s="298"/>
      <c r="T12" s="298"/>
      <c r="U12" s="298"/>
      <c r="V12" s="298"/>
      <c r="W12" s="298"/>
      <c r="X12" s="298"/>
      <c r="Y12" s="298"/>
      <c r="Z12" s="298"/>
      <c r="AA12" s="298"/>
      <c r="AB12" s="298"/>
      <c r="AC12" s="298"/>
      <c r="AD12" s="298"/>
      <c r="AE12" s="298"/>
      <c r="AF12" s="298"/>
      <c r="AG12" s="298"/>
      <c r="AH12" s="298"/>
      <c r="AI12" s="298"/>
      <c r="AJ12" s="298"/>
      <c r="AK12" s="298"/>
      <c r="AL12" s="298"/>
      <c r="AM12" s="298"/>
      <c r="AN12" s="298"/>
      <c r="AO12" s="298"/>
      <c r="AP12" s="298"/>
      <c r="AQ12" s="298"/>
      <c r="AR12" s="298"/>
      <c r="AS12" s="298"/>
      <c r="AT12" s="298"/>
      <c r="AU12" s="298"/>
      <c r="AV12" s="298"/>
      <c r="AW12" s="298"/>
      <c r="AX12" s="298"/>
      <c r="AY12" s="298"/>
      <c r="AZ12" s="298"/>
      <c r="BA12" s="298"/>
      <c r="BB12" s="299"/>
      <c r="BC12" s="20"/>
      <c r="BE12" s="18">
        <v>3</v>
      </c>
      <c r="BF12" s="18" t="s">
        <v>538</v>
      </c>
    </row>
    <row r="13" spans="2:59" s="18" customFormat="1" ht="18" customHeight="1" thickBot="1" x14ac:dyDescent="0.3">
      <c r="B13" s="25"/>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6"/>
      <c r="BE13" s="18">
        <v>4</v>
      </c>
      <c r="BF13" s="18" t="s">
        <v>539</v>
      </c>
    </row>
    <row r="14" spans="2:59" s="18" customFormat="1" ht="18" customHeight="1" thickBot="1" x14ac:dyDescent="0.3">
      <c r="B14" s="25"/>
      <c r="C14" s="261" t="s">
        <v>385</v>
      </c>
      <c r="D14" s="262"/>
      <c r="E14" s="262"/>
      <c r="F14" s="262"/>
      <c r="G14" s="262"/>
      <c r="H14" s="262"/>
      <c r="I14" s="262"/>
      <c r="J14" s="262"/>
      <c r="K14" s="262"/>
      <c r="L14" s="262"/>
      <c r="M14" s="262"/>
      <c r="N14" s="262"/>
      <c r="O14" s="262"/>
      <c r="P14" s="262"/>
      <c r="Q14" s="262"/>
      <c r="R14" s="262"/>
      <c r="S14" s="262"/>
      <c r="T14" s="262"/>
      <c r="U14" s="262"/>
      <c r="V14" s="262"/>
      <c r="W14" s="262"/>
      <c r="X14" s="262"/>
      <c r="Y14" s="262"/>
      <c r="Z14" s="262"/>
      <c r="AA14" s="262"/>
      <c r="AB14" s="262"/>
      <c r="AC14" s="262"/>
      <c r="AD14" s="262"/>
      <c r="AE14" s="262"/>
      <c r="AF14" s="262"/>
      <c r="AG14" s="262"/>
      <c r="AH14" s="262"/>
      <c r="AI14" s="262"/>
      <c r="AJ14" s="262"/>
      <c r="AK14" s="262"/>
      <c r="AL14" s="262"/>
      <c r="AM14" s="262"/>
      <c r="AN14" s="262"/>
      <c r="AO14" s="262"/>
      <c r="AP14" s="262"/>
      <c r="AQ14" s="262"/>
      <c r="AR14" s="262"/>
      <c r="AS14" s="262"/>
      <c r="AT14" s="262"/>
      <c r="AU14" s="262"/>
      <c r="AV14" s="262"/>
      <c r="AW14" s="262"/>
      <c r="AX14" s="262"/>
      <c r="AY14" s="262"/>
      <c r="AZ14" s="262"/>
      <c r="BA14" s="262"/>
      <c r="BB14" s="263"/>
      <c r="BC14" s="26"/>
      <c r="BE14" s="18">
        <v>5</v>
      </c>
      <c r="BF14" s="18" t="s">
        <v>540</v>
      </c>
    </row>
    <row r="15" spans="2:59" s="18" customFormat="1" ht="18" customHeight="1" x14ac:dyDescent="0.25">
      <c r="B15" s="25"/>
      <c r="C15" s="264"/>
      <c r="D15" s="265"/>
      <c r="E15" s="265"/>
      <c r="F15" s="265"/>
      <c r="G15" s="265"/>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265"/>
      <c r="AH15" s="265"/>
      <c r="AI15" s="265"/>
      <c r="AJ15" s="265"/>
      <c r="AK15" s="265"/>
      <c r="AL15" s="265"/>
      <c r="AM15" s="265"/>
      <c r="AN15" s="265"/>
      <c r="AO15" s="265"/>
      <c r="AP15" s="265"/>
      <c r="AQ15" s="265"/>
      <c r="AR15" s="265"/>
      <c r="AS15" s="265"/>
      <c r="AT15" s="265"/>
      <c r="AU15" s="265"/>
      <c r="AV15" s="265"/>
      <c r="AW15" s="265"/>
      <c r="AX15" s="265"/>
      <c r="AY15" s="265"/>
      <c r="AZ15" s="265"/>
      <c r="BA15" s="265"/>
      <c r="BB15" s="266"/>
      <c r="BC15" s="26"/>
      <c r="BE15" s="17" t="s">
        <v>541</v>
      </c>
    </row>
    <row r="16" spans="2:59" s="18" customFormat="1" ht="18" customHeight="1" x14ac:dyDescent="0.25">
      <c r="B16" s="25"/>
      <c r="C16" s="267"/>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9"/>
      <c r="BC16" s="26"/>
      <c r="BE16" s="18">
        <v>1</v>
      </c>
      <c r="BF16" s="18" t="s">
        <v>543</v>
      </c>
    </row>
    <row r="17" spans="2:67" s="18" customFormat="1" ht="18" customHeight="1" x14ac:dyDescent="0.25">
      <c r="B17" s="25"/>
      <c r="C17" s="267"/>
      <c r="D17" s="268"/>
      <c r="E17" s="268"/>
      <c r="F17" s="268"/>
      <c r="G17" s="268"/>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268"/>
      <c r="AM17" s="268"/>
      <c r="AN17" s="268"/>
      <c r="AO17" s="268"/>
      <c r="AP17" s="268"/>
      <c r="AQ17" s="268"/>
      <c r="AR17" s="268"/>
      <c r="AS17" s="268"/>
      <c r="AT17" s="268"/>
      <c r="AU17" s="268"/>
      <c r="AV17" s="268"/>
      <c r="AW17" s="268"/>
      <c r="AX17" s="268"/>
      <c r="AY17" s="268"/>
      <c r="AZ17" s="268"/>
      <c r="BA17" s="268"/>
      <c r="BB17" s="269"/>
      <c r="BC17" s="26"/>
      <c r="BE17" s="18">
        <v>2</v>
      </c>
      <c r="BF17" s="18" t="s">
        <v>544</v>
      </c>
    </row>
    <row r="18" spans="2:67" s="18" customFormat="1" ht="18" customHeight="1" x14ac:dyDescent="0.25">
      <c r="B18" s="25"/>
      <c r="C18" s="267"/>
      <c r="D18" s="268"/>
      <c r="E18" s="268"/>
      <c r="F18" s="268"/>
      <c r="G18" s="268"/>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268"/>
      <c r="AH18" s="268"/>
      <c r="AI18" s="268"/>
      <c r="AJ18" s="268"/>
      <c r="AK18" s="268"/>
      <c r="AL18" s="268"/>
      <c r="AM18" s="268"/>
      <c r="AN18" s="268"/>
      <c r="AO18" s="268"/>
      <c r="AP18" s="268"/>
      <c r="AQ18" s="268"/>
      <c r="AR18" s="268"/>
      <c r="AS18" s="268"/>
      <c r="AT18" s="268"/>
      <c r="AU18" s="268"/>
      <c r="AV18" s="268"/>
      <c r="AW18" s="268"/>
      <c r="AX18" s="268"/>
      <c r="AY18" s="268"/>
      <c r="AZ18" s="268"/>
      <c r="BA18" s="268"/>
      <c r="BB18" s="269"/>
      <c r="BC18" s="26"/>
      <c r="BE18" s="18">
        <v>3</v>
      </c>
      <c r="BF18" s="18" t="s">
        <v>545</v>
      </c>
    </row>
    <row r="19" spans="2:67" s="18" customFormat="1" ht="18" customHeight="1" x14ac:dyDescent="0.25">
      <c r="B19" s="25"/>
      <c r="C19" s="267"/>
      <c r="D19" s="268"/>
      <c r="E19" s="268"/>
      <c r="F19" s="268"/>
      <c r="G19" s="268"/>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9"/>
      <c r="BC19" s="26"/>
      <c r="BE19" s="18">
        <v>4</v>
      </c>
      <c r="BF19" s="18" t="s">
        <v>546</v>
      </c>
    </row>
    <row r="20" spans="2:67" s="18" customFormat="1" ht="18" customHeight="1" x14ac:dyDescent="0.25">
      <c r="B20" s="25"/>
      <c r="C20" s="267"/>
      <c r="D20" s="268"/>
      <c r="E20" s="268"/>
      <c r="F20" s="268"/>
      <c r="G20" s="268"/>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9"/>
      <c r="BC20" s="26"/>
      <c r="BE20" s="18">
        <v>5</v>
      </c>
      <c r="BF20" s="18" t="s">
        <v>550</v>
      </c>
    </row>
    <row r="21" spans="2:67" s="18" customFormat="1" ht="18" customHeight="1" thickBot="1" x14ac:dyDescent="0.3">
      <c r="B21" s="27"/>
      <c r="C21" s="270"/>
      <c r="D21" s="271"/>
      <c r="E21" s="271"/>
      <c r="F21" s="271"/>
      <c r="G21" s="271"/>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2"/>
      <c r="BC21" s="28"/>
      <c r="BF21" s="260" t="s">
        <v>548</v>
      </c>
      <c r="BG21" s="260"/>
    </row>
    <row r="22" spans="2:67" s="18" customFormat="1" ht="18" customHeight="1" x14ac:dyDescent="0.25">
      <c r="B22" s="27"/>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9"/>
      <c r="AZ22" s="29"/>
      <c r="BA22" s="29"/>
      <c r="BB22" s="29"/>
      <c r="BC22" s="30"/>
      <c r="BF22" s="260"/>
      <c r="BG22" s="260"/>
    </row>
    <row r="23" spans="2:67" s="18" customFormat="1" ht="18" customHeight="1" x14ac:dyDescent="0.25">
      <c r="B23" s="27"/>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9"/>
      <c r="AZ23" s="29"/>
      <c r="BA23" s="29"/>
      <c r="BB23" s="29"/>
      <c r="BC23" s="30"/>
    </row>
    <row r="24" spans="2:67" s="18" customFormat="1" ht="18" customHeight="1" x14ac:dyDescent="0.25">
      <c r="B24" s="27"/>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9"/>
      <c r="AZ24" s="29"/>
      <c r="BA24" s="29"/>
      <c r="BB24" s="29"/>
      <c r="BC24" s="30"/>
      <c r="BF24" s="18" t="s">
        <v>410</v>
      </c>
    </row>
    <row r="25" spans="2:67" s="18" customFormat="1" ht="18" customHeight="1" x14ac:dyDescent="0.25">
      <c r="B25" s="27"/>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9"/>
      <c r="AZ25" s="29"/>
      <c r="BA25" s="29"/>
      <c r="BB25" s="29"/>
      <c r="BC25" s="30"/>
      <c r="BF25" s="21"/>
      <c r="BG25" s="18" t="s">
        <v>426</v>
      </c>
    </row>
    <row r="26" spans="2:67" s="18" customFormat="1" ht="18" customHeight="1" x14ac:dyDescent="0.25">
      <c r="B26" s="27"/>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9"/>
      <c r="AZ26" s="29"/>
      <c r="BA26" s="29"/>
      <c r="BB26" s="29"/>
      <c r="BC26" s="30"/>
      <c r="BF26" s="22"/>
      <c r="BG26" s="18" t="s">
        <v>427</v>
      </c>
    </row>
    <row r="27" spans="2:67" s="18" customFormat="1" ht="18" customHeight="1" x14ac:dyDescent="0.25">
      <c r="B27" s="27"/>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9"/>
      <c r="AZ27" s="29"/>
      <c r="BA27" s="29"/>
      <c r="BB27" s="29"/>
      <c r="BC27" s="30"/>
      <c r="BF27" s="8"/>
      <c r="BG27" s="18" t="s">
        <v>437</v>
      </c>
    </row>
    <row r="28" spans="2:67" s="18" customFormat="1" ht="18" customHeight="1" x14ac:dyDescent="0.25">
      <c r="B28" s="27"/>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9"/>
      <c r="AZ28" s="29"/>
      <c r="BA28" s="29"/>
      <c r="BB28" s="29"/>
      <c r="BC28" s="30"/>
      <c r="BF28" s="10"/>
      <c r="BG28" s="18" t="s">
        <v>409</v>
      </c>
    </row>
    <row r="29" spans="2:67" s="18" customFormat="1" ht="18" customHeight="1" x14ac:dyDescent="0.25">
      <c r="B29" s="27"/>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9"/>
      <c r="AZ29" s="29"/>
      <c r="BA29" s="29"/>
      <c r="BB29" s="29"/>
      <c r="BC29" s="30"/>
      <c r="BF29" s="9"/>
      <c r="BG29" s="18" t="s">
        <v>428</v>
      </c>
    </row>
    <row r="30" spans="2:67" s="18" customFormat="1" ht="18" customHeight="1" thickBot="1" x14ac:dyDescent="0.3">
      <c r="B30" s="27"/>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9"/>
      <c r="AZ30" s="29"/>
      <c r="BA30" s="29"/>
      <c r="BB30" s="29"/>
      <c r="BC30" s="30"/>
    </row>
    <row r="31" spans="2:67" s="18" customFormat="1" ht="18" customHeight="1" thickBot="1" x14ac:dyDescent="0.3">
      <c r="B31" s="27"/>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9"/>
      <c r="AZ31" s="29"/>
      <c r="BA31" s="29"/>
      <c r="BB31" s="29"/>
      <c r="BC31" s="30"/>
      <c r="BO31" s="23"/>
    </row>
    <row r="32" spans="2:67" s="18" customFormat="1" ht="18" customHeight="1" x14ac:dyDescent="0.25">
      <c r="B32" s="27"/>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9"/>
      <c r="AZ32" s="29"/>
      <c r="BA32" s="29"/>
      <c r="BB32" s="29"/>
      <c r="BC32" s="30"/>
    </row>
    <row r="33" spans="2:55" s="18" customFormat="1" ht="18" customHeight="1" x14ac:dyDescent="0.25">
      <c r="B33" s="27"/>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9"/>
      <c r="AZ33" s="29"/>
      <c r="BA33" s="29"/>
      <c r="BB33" s="29"/>
      <c r="BC33" s="30"/>
    </row>
    <row r="34" spans="2:55" s="18" customFormat="1" ht="18" customHeight="1" x14ac:dyDescent="0.25">
      <c r="B34" s="27"/>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9"/>
      <c r="AZ34" s="29"/>
      <c r="BA34" s="29"/>
      <c r="BB34" s="29"/>
      <c r="BC34" s="30"/>
    </row>
    <row r="35" spans="2:55" s="18" customFormat="1" ht="18" customHeight="1" x14ac:dyDescent="0.25">
      <c r="B35" s="27"/>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9"/>
      <c r="AZ35" s="29"/>
      <c r="BA35" s="29"/>
      <c r="BB35" s="29"/>
      <c r="BC35" s="30"/>
    </row>
    <row r="36" spans="2:55" s="18" customFormat="1" ht="18" customHeight="1" x14ac:dyDescent="0.25">
      <c r="B36" s="27"/>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9"/>
      <c r="AZ36" s="29"/>
      <c r="BA36" s="29"/>
      <c r="BB36" s="29"/>
      <c r="BC36" s="30"/>
    </row>
    <row r="37" spans="2:55" s="18" customFormat="1" ht="18" customHeight="1" x14ac:dyDescent="0.25">
      <c r="B37" s="27"/>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9"/>
      <c r="AZ37" s="29"/>
      <c r="BA37" s="29"/>
      <c r="BB37" s="29"/>
      <c r="BC37" s="30"/>
    </row>
    <row r="38" spans="2:55" s="18" customFormat="1" ht="18" customHeight="1" x14ac:dyDescent="0.25">
      <c r="B38" s="27"/>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9"/>
      <c r="AZ38" s="29"/>
      <c r="BA38" s="29"/>
      <c r="BB38" s="29"/>
      <c r="BC38" s="30"/>
    </row>
    <row r="39" spans="2:55" s="18" customFormat="1" ht="18" customHeight="1" x14ac:dyDescent="0.25">
      <c r="B39" s="287"/>
      <c r="C39" s="288"/>
      <c r="D39" s="288"/>
      <c r="E39" s="288"/>
      <c r="F39" s="289"/>
      <c r="G39" s="289"/>
      <c r="H39" s="289"/>
      <c r="I39" s="289"/>
      <c r="J39" s="289"/>
      <c r="K39" s="289"/>
      <c r="L39" s="289"/>
      <c r="M39" s="289"/>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302"/>
      <c r="AZ39" s="302"/>
      <c r="BA39" s="302"/>
      <c r="BB39" s="302"/>
      <c r="BC39" s="303"/>
    </row>
    <row r="40" spans="2:55" s="18" customFormat="1" ht="18" customHeight="1" x14ac:dyDescent="0.25">
      <c r="B40" s="287">
        <v>0</v>
      </c>
      <c r="C40" s="288"/>
      <c r="D40" s="288"/>
      <c r="E40" s="288"/>
      <c r="F40" s="289" t="s">
        <v>386</v>
      </c>
      <c r="G40" s="289"/>
      <c r="H40" s="289"/>
      <c r="I40" s="289"/>
      <c r="J40" s="289"/>
      <c r="K40" s="289"/>
      <c r="L40" s="289"/>
      <c r="M40" s="289"/>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90"/>
      <c r="AZ40" s="290"/>
      <c r="BA40" s="290"/>
      <c r="BB40" s="290"/>
      <c r="BC40" s="291"/>
    </row>
    <row r="41" spans="2:55" ht="17.45" customHeight="1" x14ac:dyDescent="0.25">
      <c r="B41" s="281" t="s">
        <v>6</v>
      </c>
      <c r="C41" s="273"/>
      <c r="D41" s="273"/>
      <c r="E41" s="273"/>
      <c r="F41" s="273" t="s">
        <v>382</v>
      </c>
      <c r="G41" s="273"/>
      <c r="H41" s="273"/>
      <c r="I41" s="273"/>
      <c r="J41" s="273"/>
      <c r="K41" s="273"/>
      <c r="L41" s="273"/>
      <c r="M41" s="273"/>
      <c r="N41" s="273"/>
      <c r="O41" s="273"/>
      <c r="P41" s="273"/>
      <c r="Q41" s="273"/>
      <c r="R41" s="273"/>
      <c r="S41" s="273"/>
      <c r="T41" s="273"/>
      <c r="U41" s="273"/>
      <c r="V41" s="273"/>
      <c r="W41" s="273"/>
      <c r="X41" s="273" t="s">
        <v>7</v>
      </c>
      <c r="Y41" s="273"/>
      <c r="Z41" s="273"/>
      <c r="AA41" s="273"/>
      <c r="AB41" s="273"/>
      <c r="AC41" s="273"/>
      <c r="AD41" s="273"/>
      <c r="AE41" s="273"/>
      <c r="AF41" s="273"/>
      <c r="AG41" s="273"/>
      <c r="AH41" s="273"/>
      <c r="AI41" s="273"/>
      <c r="AJ41" s="273"/>
      <c r="AK41" s="273"/>
      <c r="AL41" s="273" t="s">
        <v>8</v>
      </c>
      <c r="AM41" s="273"/>
      <c r="AN41" s="273"/>
      <c r="AO41" s="273"/>
      <c r="AP41" s="273"/>
      <c r="AQ41" s="273"/>
      <c r="AR41" s="273"/>
      <c r="AS41" s="273"/>
      <c r="AT41" s="273"/>
      <c r="AU41" s="273"/>
      <c r="AV41" s="273"/>
      <c r="AW41" s="273"/>
      <c r="AX41" s="273"/>
      <c r="AY41" s="273" t="s">
        <v>9</v>
      </c>
      <c r="AZ41" s="273"/>
      <c r="BA41" s="273"/>
      <c r="BB41" s="273"/>
      <c r="BC41" s="286"/>
    </row>
    <row r="42" spans="2:55" ht="24" customHeight="1" x14ac:dyDescent="0.25">
      <c r="B42" s="281" t="s">
        <v>411</v>
      </c>
      <c r="C42" s="273"/>
      <c r="D42" s="273"/>
      <c r="E42" s="273"/>
      <c r="F42" s="273"/>
      <c r="G42" s="273"/>
      <c r="H42" s="273"/>
      <c r="I42" s="273"/>
      <c r="J42" s="273"/>
      <c r="K42" s="273"/>
      <c r="L42" s="273"/>
      <c r="M42" s="273" t="s">
        <v>609</v>
      </c>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73"/>
      <c r="AM42" s="273"/>
      <c r="AN42" s="273"/>
      <c r="AO42" s="273"/>
      <c r="AP42" s="273"/>
      <c r="AQ42" s="273"/>
      <c r="AR42" s="275" t="s">
        <v>383</v>
      </c>
      <c r="AS42" s="276"/>
      <c r="AT42" s="276"/>
      <c r="AU42" s="276"/>
      <c r="AV42" s="276"/>
      <c r="AW42" s="276"/>
      <c r="AX42" s="284"/>
      <c r="AY42" s="275" t="s">
        <v>384</v>
      </c>
      <c r="AZ42" s="276"/>
      <c r="BA42" s="276"/>
      <c r="BB42" s="276"/>
      <c r="BC42" s="277"/>
    </row>
    <row r="43" spans="2:55" ht="39.6" customHeight="1" thickBot="1" x14ac:dyDescent="0.3">
      <c r="B43" s="282" t="str">
        <f>IF(P6="","",P6)</f>
        <v/>
      </c>
      <c r="C43" s="283"/>
      <c r="D43" s="283"/>
      <c r="E43" s="283"/>
      <c r="F43" s="283"/>
      <c r="G43" s="283"/>
      <c r="H43" s="283"/>
      <c r="I43" s="283"/>
      <c r="J43" s="283"/>
      <c r="K43" s="283"/>
      <c r="L43" s="283"/>
      <c r="M43" s="274" t="str">
        <f>"TS_"&amp;P6</f>
        <v>TS_</v>
      </c>
      <c r="N43" s="274"/>
      <c r="O43" s="274"/>
      <c r="P43" s="274"/>
      <c r="Q43" s="274"/>
      <c r="R43" s="274"/>
      <c r="S43" s="274"/>
      <c r="T43" s="274"/>
      <c r="U43" s="274"/>
      <c r="V43" s="274"/>
      <c r="W43" s="274"/>
      <c r="X43" s="274"/>
      <c r="Y43" s="274"/>
      <c r="Z43" s="274"/>
      <c r="AA43" s="274"/>
      <c r="AB43" s="274"/>
      <c r="AC43" s="274"/>
      <c r="AD43" s="274"/>
      <c r="AE43" s="274"/>
      <c r="AF43" s="274"/>
      <c r="AG43" s="274"/>
      <c r="AH43" s="274"/>
      <c r="AI43" s="274"/>
      <c r="AJ43" s="274"/>
      <c r="AK43" s="274"/>
      <c r="AL43" s="274"/>
      <c r="AM43" s="274"/>
      <c r="AN43" s="274"/>
      <c r="AO43" s="274"/>
      <c r="AP43" s="274"/>
      <c r="AQ43" s="274"/>
      <c r="AR43" s="285" t="s">
        <v>438</v>
      </c>
      <c r="AS43" s="285"/>
      <c r="AT43" s="285"/>
      <c r="AU43" s="285"/>
      <c r="AV43" s="285"/>
      <c r="AW43" s="285"/>
      <c r="AX43" s="285"/>
      <c r="AY43" s="278">
        <v>504</v>
      </c>
      <c r="AZ43" s="279"/>
      <c r="BA43" s="279"/>
      <c r="BB43" s="279"/>
      <c r="BC43" s="280"/>
    </row>
  </sheetData>
  <sheetProtection algorithmName="SHA-512" hashValue="VKZC/U+1l6fjHIh/M3VV4Csphj6ZC5/nuiqxHoDu+0/PPGsChnu808Kn8xh6mly6E22m0DgufZqfrJ+I4cepJw==" saltValue="smX1GKTZhjgpkWsNTn9zqw==" spinCount="100000" sheet="1" objects="1" scenarios="1" formatCells="0" formatColumns="0" formatRows="0" autoFilter="0"/>
  <dataConsolidate/>
  <mergeCells count="41">
    <mergeCell ref="F39:W39"/>
    <mergeCell ref="X39:AK39"/>
    <mergeCell ref="AL39:AX39"/>
    <mergeCell ref="AY39:BC39"/>
    <mergeCell ref="C12:N12"/>
    <mergeCell ref="P12:BB12"/>
    <mergeCell ref="B39:E39"/>
    <mergeCell ref="B2:BC5"/>
    <mergeCell ref="P11:BB11"/>
    <mergeCell ref="C6:N6"/>
    <mergeCell ref="C7:N7"/>
    <mergeCell ref="C8:N8"/>
    <mergeCell ref="C9:N9"/>
    <mergeCell ref="C10:N10"/>
    <mergeCell ref="C11:N11"/>
    <mergeCell ref="P6:BB6"/>
    <mergeCell ref="P7:BB7"/>
    <mergeCell ref="P8:BB8"/>
    <mergeCell ref="P9:BB9"/>
    <mergeCell ref="P10:BB10"/>
    <mergeCell ref="F41:W41"/>
    <mergeCell ref="X40:AK40"/>
    <mergeCell ref="AL40:AX40"/>
    <mergeCell ref="X41:AK41"/>
    <mergeCell ref="AL41:AX41"/>
    <mergeCell ref="BF21:BG22"/>
    <mergeCell ref="C14:BB14"/>
    <mergeCell ref="C15:BB21"/>
    <mergeCell ref="M42:AQ42"/>
    <mergeCell ref="M43:AQ43"/>
    <mergeCell ref="AY42:BC42"/>
    <mergeCell ref="AY43:BC43"/>
    <mergeCell ref="B42:L42"/>
    <mergeCell ref="B43:L43"/>
    <mergeCell ref="AR42:AX42"/>
    <mergeCell ref="AR43:AX43"/>
    <mergeCell ref="AY41:BC41"/>
    <mergeCell ref="B40:E40"/>
    <mergeCell ref="F40:W40"/>
    <mergeCell ref="AY40:BC40"/>
    <mergeCell ref="B41:E41"/>
  </mergeCells>
  <phoneticPr fontId="7" type="noConversion"/>
  <conditionalFormatting sqref="P6:BB12 C15 B40:BC40">
    <cfRule type="cellIs" dxfId="1" priority="3" operator="notEqual">
      <formula>""</formula>
    </cfRule>
  </conditionalFormatting>
  <conditionalFormatting sqref="B39:BC39">
    <cfRule type="cellIs" dxfId="0" priority="1" operator="notEqual">
      <formula>""</formula>
    </cfRule>
  </conditionalFormatting>
  <printOptions horizontalCentered="1" verticalCentered="1"/>
  <pageMargins left="0" right="0" top="0" bottom="0"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mportCSV">
                <anchor moveWithCells="1">
                  <from>
                    <xdr:col>56</xdr:col>
                    <xdr:colOff>142875</xdr:colOff>
                    <xdr:row>8</xdr:row>
                    <xdr:rowOff>9525</xdr:rowOff>
                  </from>
                  <to>
                    <xdr:col>58</xdr:col>
                    <xdr:colOff>771525</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94D2C-60DC-4A89-BF81-D30002122AF3}">
  <sheetPr codeName="Foglio4"/>
  <dimension ref="A1:EA611"/>
  <sheetViews>
    <sheetView zoomScaleNormal="100" workbookViewId="0">
      <pane xSplit="5" ySplit="7" topLeftCell="F8" activePane="bottomRight" state="frozen"/>
      <selection pane="topRight" activeCell="F1" sqref="F1"/>
      <selection pane="bottomLeft" activeCell="A2" sqref="A2"/>
      <selection pane="bottomRight" activeCell="A9" sqref="A9"/>
    </sheetView>
  </sheetViews>
  <sheetFormatPr defaultColWidth="13.5703125" defaultRowHeight="15" x14ac:dyDescent="0.25"/>
  <cols>
    <col min="1" max="1" width="16.140625" style="32" customWidth="1"/>
    <col min="2" max="2" width="23" style="32" bestFit="1" customWidth="1"/>
    <col min="3" max="3" width="15.140625" style="32" customWidth="1"/>
    <col min="4" max="4" width="14.140625" style="32" customWidth="1"/>
    <col min="5" max="5" width="17.42578125" style="32" bestFit="1" customWidth="1"/>
    <col min="6" max="6" width="8.42578125" style="32" customWidth="1"/>
    <col min="7" max="7" width="12.140625" style="32" customWidth="1"/>
    <col min="8" max="8" width="8" style="32" customWidth="1"/>
    <col min="9" max="9" width="12.85546875" style="32" customWidth="1"/>
    <col min="10" max="10" width="10" style="32" customWidth="1"/>
    <col min="11" max="11" width="13.42578125" style="32" customWidth="1"/>
    <col min="12" max="12" width="10.85546875" style="32" customWidth="1"/>
    <col min="13" max="13" width="13.5703125" style="32"/>
    <col min="14" max="14" width="12.140625" style="32" bestFit="1" customWidth="1"/>
    <col min="15" max="15" width="13.42578125" style="32" bestFit="1" customWidth="1"/>
    <col min="16" max="16" width="13.5703125" style="32"/>
    <col min="17" max="17" width="12.140625" style="32" bestFit="1" customWidth="1"/>
    <col min="18" max="18" width="13.140625" style="32" bestFit="1" customWidth="1"/>
    <col min="19" max="21" width="13.140625" style="32" customWidth="1"/>
    <col min="22" max="27" width="12" style="32" customWidth="1"/>
    <col min="28" max="28" width="11.5703125" style="32" customWidth="1"/>
    <col min="29" max="33" width="13.5703125" style="32"/>
    <col min="34" max="34" width="13.42578125" style="32" bestFit="1" customWidth="1"/>
    <col min="35" max="35" width="11.140625" style="32" bestFit="1" customWidth="1"/>
    <col min="36" max="36" width="12.85546875" style="32" bestFit="1" customWidth="1"/>
    <col min="37" max="37" width="13.140625" style="32" bestFit="1" customWidth="1"/>
    <col min="38" max="38" width="11.140625" style="32" bestFit="1" customWidth="1"/>
    <col min="39" max="39" width="14.85546875" style="32" bestFit="1" customWidth="1"/>
    <col min="40" max="40" width="13.85546875" style="32" bestFit="1" customWidth="1"/>
    <col min="41" max="41" width="12.85546875" style="32" bestFit="1" customWidth="1"/>
    <col min="42" max="43" width="12.85546875" style="32" customWidth="1"/>
    <col min="44" max="44" width="16.42578125" style="32" customWidth="1"/>
    <col min="45" max="47" width="13.42578125" style="32" bestFit="1" customWidth="1"/>
    <col min="48" max="48" width="12.140625" style="32" bestFit="1" customWidth="1"/>
    <col min="49" max="49" width="13.42578125" style="32" bestFit="1" customWidth="1"/>
    <col min="50" max="50" width="14.42578125" style="32" customWidth="1"/>
    <col min="51" max="51" width="13" style="32" customWidth="1"/>
    <col min="52" max="54" width="13.42578125" style="32" bestFit="1" customWidth="1"/>
    <col min="55" max="55" width="12.140625" style="32" bestFit="1" customWidth="1"/>
    <col min="56" max="56" width="13.140625" style="32" bestFit="1" customWidth="1"/>
    <col min="57" max="57" width="13.5703125" style="32"/>
    <col min="58" max="58" width="13.42578125" style="32" bestFit="1" customWidth="1"/>
    <col min="59" max="60" width="9.5703125" style="32" bestFit="1" customWidth="1"/>
    <col min="61" max="62" width="11.5703125" style="32" bestFit="1" customWidth="1"/>
    <col min="63" max="63" width="12.140625" style="32" bestFit="1" customWidth="1"/>
    <col min="64" max="65" width="12.140625" style="32" customWidth="1"/>
    <col min="66" max="66" width="14.85546875" style="32" bestFit="1" customWidth="1"/>
    <col min="67" max="67" width="7.85546875" style="32" bestFit="1" customWidth="1"/>
    <col min="68" max="68" width="10.5703125" style="32" bestFit="1" customWidth="1"/>
    <col min="69" max="69" width="11.5703125" style="32" bestFit="1" customWidth="1"/>
    <col min="70" max="70" width="8" style="32" bestFit="1" customWidth="1"/>
    <col min="71" max="71" width="9.85546875" style="32" bestFit="1" customWidth="1"/>
    <col min="72" max="72" width="10.5703125" style="32" bestFit="1" customWidth="1"/>
    <col min="73" max="73" width="10.85546875" style="32" customWidth="1"/>
    <col min="74" max="74" width="9" style="32" bestFit="1" customWidth="1"/>
    <col min="75" max="75" width="6.42578125" style="32" bestFit="1" customWidth="1"/>
    <col min="76" max="76" width="9" style="32" bestFit="1" customWidth="1"/>
    <col min="77" max="77" width="9.5703125" style="32" bestFit="1" customWidth="1"/>
    <col min="78" max="78" width="4.5703125" style="32" bestFit="1" customWidth="1"/>
    <col min="79" max="79" width="18.5703125" style="32" bestFit="1" customWidth="1"/>
    <col min="80" max="80" width="9" style="32" bestFit="1" customWidth="1"/>
    <col min="81" max="81" width="18.42578125" style="32" bestFit="1" customWidth="1"/>
    <col min="82" max="82" width="16.140625" style="32" bestFit="1" customWidth="1"/>
    <col min="83" max="83" width="19.5703125" style="32" bestFit="1" customWidth="1"/>
    <col min="84" max="84" width="12.140625" style="32" bestFit="1" customWidth="1"/>
    <col min="85" max="85" width="15.85546875" style="32" customWidth="1"/>
    <col min="86" max="86" width="13" style="32" bestFit="1" customWidth="1"/>
    <col min="87" max="87" width="11.5703125" style="32" bestFit="1" customWidth="1"/>
    <col min="88" max="88" width="13.42578125" style="32" bestFit="1" customWidth="1"/>
    <col min="89" max="91" width="12.140625" style="32" bestFit="1" customWidth="1"/>
    <col min="92" max="92" width="13.42578125" style="32" bestFit="1" customWidth="1"/>
    <col min="93" max="93" width="12.85546875" style="32" bestFit="1" customWidth="1"/>
    <col min="94" max="95" width="12.140625" style="32" bestFit="1" customWidth="1"/>
    <col min="96" max="96" width="8.140625" style="32" bestFit="1" customWidth="1"/>
    <col min="97" max="97" width="11.85546875" style="32" bestFit="1" customWidth="1"/>
    <col min="98" max="98" width="13.140625" style="32" customWidth="1"/>
    <col min="99" max="99" width="11.5703125" style="32" bestFit="1" customWidth="1"/>
    <col min="100" max="100" width="13.85546875" style="32" customWidth="1"/>
    <col min="101" max="101" width="13.140625" style="32" bestFit="1" customWidth="1"/>
    <col min="102" max="103" width="13" style="32" bestFit="1" customWidth="1"/>
    <col min="104" max="104" width="9.85546875" style="32" bestFit="1" customWidth="1"/>
    <col min="105" max="105" width="13.5703125" style="32"/>
    <col min="106" max="107" width="13" style="32" bestFit="1" customWidth="1"/>
    <col min="108" max="108" width="9.42578125" style="32" bestFit="1" customWidth="1"/>
    <col min="109" max="109" width="12.140625" style="32" bestFit="1" customWidth="1"/>
    <col min="110" max="110" width="13.42578125" style="32" bestFit="1" customWidth="1"/>
    <col min="111" max="112" width="13.5703125" style="32"/>
    <col min="113" max="113" width="14.140625" style="32" bestFit="1" customWidth="1"/>
    <col min="114" max="115" width="13.85546875" style="32" bestFit="1" customWidth="1"/>
    <col min="116" max="116" width="9.85546875" style="32" bestFit="1" customWidth="1"/>
    <col min="117" max="118" width="16.42578125" style="32" bestFit="1" customWidth="1"/>
    <col min="119" max="119" width="16.140625" style="32" bestFit="1" customWidth="1"/>
    <col min="120" max="120" width="18.42578125" style="32" bestFit="1" customWidth="1"/>
    <col min="121" max="121" width="17.85546875" style="32" bestFit="1" customWidth="1"/>
    <col min="122" max="122" width="16.85546875" style="32" bestFit="1" customWidth="1"/>
    <col min="123" max="123" width="10.140625" style="32" bestFit="1" customWidth="1"/>
    <col min="124" max="124" width="13.5703125" style="32"/>
    <col min="125" max="125" width="11.140625" style="32" bestFit="1" customWidth="1"/>
    <col min="126" max="129" width="13.5703125" style="32"/>
    <col min="130" max="130" width="12.85546875" style="32" bestFit="1" customWidth="1"/>
    <col min="131" max="16384" width="13.5703125" style="32"/>
  </cols>
  <sheetData>
    <row r="1" spans="1:131" s="2" customFormat="1" ht="23.25" x14ac:dyDescent="0.25">
      <c r="A1" s="316" t="s">
        <v>401</v>
      </c>
      <c r="B1" s="317"/>
      <c r="C1" s="317"/>
      <c r="D1" s="317"/>
      <c r="E1" s="318"/>
      <c r="F1" s="304" t="e" vm="1">
        <v>#VALUE!</v>
      </c>
      <c r="G1" s="305"/>
      <c r="H1" s="306"/>
      <c r="I1" s="32"/>
    </row>
    <row r="2" spans="1:131" s="2" customFormat="1" x14ac:dyDescent="0.25">
      <c r="A2" s="319" t="str">
        <f>'1-START'!C6&amp;":"&amp;'1-START'!P6</f>
        <v>JOB NUMBER:</v>
      </c>
      <c r="B2" s="320"/>
      <c r="C2" s="320"/>
      <c r="D2" s="320"/>
      <c r="E2" s="321"/>
      <c r="F2" s="307"/>
      <c r="G2" s="308"/>
      <c r="H2" s="309"/>
      <c r="I2" s="32"/>
    </row>
    <row r="3" spans="1:131" s="2" customFormat="1" x14ac:dyDescent="0.25">
      <c r="A3" s="319" t="str">
        <f>'1-START'!C7&amp;" : "&amp;'1-START'!P7</f>
        <v xml:space="preserve">End User Name : </v>
      </c>
      <c r="B3" s="320"/>
      <c r="C3" s="320"/>
      <c r="D3" s="320"/>
      <c r="E3" s="321"/>
      <c r="F3" s="310"/>
      <c r="G3" s="311"/>
      <c r="H3" s="312"/>
      <c r="I3" s="32"/>
    </row>
    <row r="4" spans="1:131" s="2" customFormat="1" ht="18.75" x14ac:dyDescent="0.25">
      <c r="A4" s="319" t="str">
        <f>'1-START'!C8&amp;" : "&amp;'1-START'!P8</f>
        <v xml:space="preserve">Engineering Contractor Name : </v>
      </c>
      <c r="B4" s="320"/>
      <c r="C4" s="320"/>
      <c r="D4" s="320"/>
      <c r="E4" s="321"/>
      <c r="F4" s="322" t="s">
        <v>425</v>
      </c>
      <c r="G4" s="323"/>
      <c r="H4" s="324"/>
      <c r="I4" s="83"/>
    </row>
    <row r="5" spans="1:131" s="2" customFormat="1" ht="21" x14ac:dyDescent="0.25">
      <c r="A5" s="319" t="str">
        <f>'1-START'!C9&amp;" : "&amp;'1-START'!P9</f>
        <v xml:space="preserve">Project Name : </v>
      </c>
      <c r="B5" s="320"/>
      <c r="C5" s="320"/>
      <c r="D5" s="320"/>
      <c r="E5" s="321"/>
      <c r="F5" s="325" t="str">
        <f>'1-START'!M43</f>
        <v>TS_</v>
      </c>
      <c r="G5" s="326"/>
      <c r="H5" s="329" t="str">
        <f>"Rev." &amp; MAX('1-START'!B22:E40)</f>
        <v>Rev.0</v>
      </c>
      <c r="I5" s="82"/>
    </row>
    <row r="6" spans="1:131" s="2" customFormat="1" ht="21.75" thickBot="1" x14ac:dyDescent="0.3">
      <c r="A6" s="313" t="str">
        <f>'1-START'!C10&amp;" : "&amp;'1-START'!P10</f>
        <v xml:space="preserve">Country Of Installation : </v>
      </c>
      <c r="B6" s="314"/>
      <c r="C6" s="314"/>
      <c r="D6" s="314"/>
      <c r="E6" s="315"/>
      <c r="F6" s="327"/>
      <c r="G6" s="328"/>
      <c r="H6" s="330"/>
      <c r="I6" s="82"/>
    </row>
    <row r="7" spans="1:131" ht="150.75" thickBot="1" x14ac:dyDescent="0.3">
      <c r="A7" s="72" t="s">
        <v>466</v>
      </c>
      <c r="B7" s="60" t="s">
        <v>12</v>
      </c>
      <c r="C7" s="60" t="s">
        <v>15</v>
      </c>
      <c r="D7" s="60" t="s">
        <v>16</v>
      </c>
      <c r="E7" s="60" t="s">
        <v>14</v>
      </c>
      <c r="F7" s="60" t="s">
        <v>13</v>
      </c>
      <c r="G7" s="60" t="s">
        <v>91</v>
      </c>
      <c r="H7" s="60" t="s">
        <v>17</v>
      </c>
      <c r="I7" s="61" t="s">
        <v>497</v>
      </c>
      <c r="J7" s="60" t="s">
        <v>18</v>
      </c>
      <c r="K7" s="60" t="s">
        <v>19</v>
      </c>
      <c r="L7" s="60" t="s">
        <v>20</v>
      </c>
      <c r="M7" s="61" t="s">
        <v>342</v>
      </c>
      <c r="N7" s="61" t="s">
        <v>343</v>
      </c>
      <c r="O7" s="61" t="s">
        <v>328</v>
      </c>
      <c r="P7" s="61" t="s">
        <v>327</v>
      </c>
      <c r="Q7" s="61" t="s">
        <v>283</v>
      </c>
      <c r="R7" s="61" t="s">
        <v>21</v>
      </c>
      <c r="S7" s="61" t="s">
        <v>22</v>
      </c>
      <c r="T7" s="61" t="s">
        <v>551</v>
      </c>
      <c r="U7" s="61" t="s">
        <v>440</v>
      </c>
      <c r="V7" s="61" t="s">
        <v>442</v>
      </c>
      <c r="W7" s="61" t="s">
        <v>462</v>
      </c>
      <c r="X7" s="61" t="s">
        <v>460</v>
      </c>
      <c r="Y7" s="61" t="s">
        <v>463</v>
      </c>
      <c r="Z7" s="61" t="s">
        <v>464</v>
      </c>
      <c r="AA7" s="61" t="s">
        <v>23</v>
      </c>
      <c r="AB7" s="61" t="s">
        <v>24</v>
      </c>
      <c r="AC7" s="61" t="s">
        <v>25</v>
      </c>
      <c r="AD7" s="61" t="s">
        <v>26</v>
      </c>
      <c r="AE7" s="61" t="s">
        <v>27</v>
      </c>
      <c r="AF7" s="61" t="s">
        <v>28</v>
      </c>
      <c r="AG7" s="61" t="s">
        <v>29</v>
      </c>
      <c r="AH7" s="61" t="s">
        <v>30</v>
      </c>
      <c r="AI7" s="62" t="s">
        <v>367</v>
      </c>
      <c r="AJ7" s="61" t="s">
        <v>31</v>
      </c>
      <c r="AK7" s="61" t="s">
        <v>284</v>
      </c>
      <c r="AL7" s="61" t="s">
        <v>285</v>
      </c>
      <c r="AM7" s="61" t="s">
        <v>286</v>
      </c>
      <c r="AN7" s="61" t="s">
        <v>287</v>
      </c>
      <c r="AO7" s="61" t="s">
        <v>288</v>
      </c>
      <c r="AP7" s="61" t="s">
        <v>498</v>
      </c>
      <c r="AQ7" s="61" t="s">
        <v>478</v>
      </c>
      <c r="AR7" s="61" t="s">
        <v>479</v>
      </c>
      <c r="AS7" s="60" t="s">
        <v>32</v>
      </c>
      <c r="AT7" s="60" t="s">
        <v>33</v>
      </c>
      <c r="AU7" s="60" t="s">
        <v>34</v>
      </c>
      <c r="AV7" s="60" t="s">
        <v>35</v>
      </c>
      <c r="AW7" s="61" t="s">
        <v>36</v>
      </c>
      <c r="AX7" s="60" t="s">
        <v>330</v>
      </c>
      <c r="AY7" s="61" t="s">
        <v>403</v>
      </c>
      <c r="AZ7" s="61" t="s">
        <v>253</v>
      </c>
      <c r="BA7" s="61" t="s">
        <v>291</v>
      </c>
      <c r="BB7" s="63" t="s">
        <v>37</v>
      </c>
      <c r="BC7" s="63" t="s">
        <v>38</v>
      </c>
      <c r="BD7" s="63" t="s">
        <v>39</v>
      </c>
      <c r="BE7" s="63" t="s">
        <v>40</v>
      </c>
      <c r="BF7" s="63" t="s">
        <v>41</v>
      </c>
      <c r="BG7" s="64" t="s">
        <v>42</v>
      </c>
      <c r="BH7" s="64" t="s">
        <v>43</v>
      </c>
      <c r="BI7" s="64" t="s">
        <v>44</v>
      </c>
      <c r="BJ7" s="64" t="s">
        <v>45</v>
      </c>
      <c r="BK7" s="64" t="s">
        <v>46</v>
      </c>
      <c r="BL7" s="64" t="s">
        <v>47</v>
      </c>
      <c r="BM7" s="64" t="s">
        <v>433</v>
      </c>
      <c r="BN7" s="64" t="s">
        <v>434</v>
      </c>
      <c r="BO7" s="63" t="s">
        <v>48</v>
      </c>
      <c r="BP7" s="63" t="s">
        <v>49</v>
      </c>
      <c r="BQ7" s="63" t="s">
        <v>50</v>
      </c>
      <c r="BR7" s="63" t="s">
        <v>51</v>
      </c>
      <c r="BS7" s="63" t="s">
        <v>52</v>
      </c>
      <c r="BT7" s="64" t="s">
        <v>53</v>
      </c>
      <c r="BU7" s="64" t="s">
        <v>54</v>
      </c>
      <c r="BV7" s="63" t="s">
        <v>55</v>
      </c>
      <c r="BW7" s="63" t="s">
        <v>56</v>
      </c>
      <c r="BX7" s="63" t="s">
        <v>57</v>
      </c>
      <c r="BY7" s="63" t="s">
        <v>58</v>
      </c>
      <c r="BZ7" s="63" t="s">
        <v>59</v>
      </c>
      <c r="CA7" s="63" t="s">
        <v>60</v>
      </c>
      <c r="CB7" s="64" t="s">
        <v>289</v>
      </c>
      <c r="CC7" s="63" t="s">
        <v>61</v>
      </c>
      <c r="CD7" s="64" t="s">
        <v>290</v>
      </c>
      <c r="CE7" s="64" t="s">
        <v>62</v>
      </c>
      <c r="CF7" s="64" t="s">
        <v>63</v>
      </c>
      <c r="CG7" s="60" t="s">
        <v>329</v>
      </c>
      <c r="CH7" s="64" t="s">
        <v>391</v>
      </c>
      <c r="CI7" s="64" t="s">
        <v>392</v>
      </c>
      <c r="CJ7" s="64" t="s">
        <v>64</v>
      </c>
      <c r="CK7" s="64" t="s">
        <v>65</v>
      </c>
      <c r="CL7" s="64" t="s">
        <v>66</v>
      </c>
      <c r="CM7" s="64" t="s">
        <v>67</v>
      </c>
      <c r="CN7" s="64" t="s">
        <v>68</v>
      </c>
      <c r="CO7" s="64" t="s">
        <v>69</v>
      </c>
      <c r="CP7" s="64" t="s">
        <v>292</v>
      </c>
      <c r="CQ7" s="64" t="s">
        <v>293</v>
      </c>
      <c r="CR7" s="64" t="s">
        <v>294</v>
      </c>
      <c r="CS7" s="64" t="s">
        <v>72</v>
      </c>
      <c r="CT7" s="64" t="s">
        <v>73</v>
      </c>
      <c r="CU7" s="64" t="s">
        <v>387</v>
      </c>
      <c r="CV7" s="64" t="s">
        <v>70</v>
      </c>
      <c r="CW7" s="64" t="s">
        <v>71</v>
      </c>
      <c r="CX7" s="64" t="s">
        <v>74</v>
      </c>
      <c r="CY7" s="64" t="s">
        <v>75</v>
      </c>
      <c r="CZ7" s="64" t="s">
        <v>76</v>
      </c>
      <c r="DA7" s="64" t="s">
        <v>77</v>
      </c>
      <c r="DB7" s="64" t="s">
        <v>295</v>
      </c>
      <c r="DC7" s="64" t="s">
        <v>296</v>
      </c>
      <c r="DD7" s="64" t="s">
        <v>297</v>
      </c>
      <c r="DE7" s="64" t="s">
        <v>79</v>
      </c>
      <c r="DF7" s="64" t="s">
        <v>78</v>
      </c>
      <c r="DG7" s="64" t="s">
        <v>298</v>
      </c>
      <c r="DH7" s="64" t="s">
        <v>299</v>
      </c>
      <c r="DI7" s="64" t="s">
        <v>300</v>
      </c>
      <c r="DJ7" s="64" t="s">
        <v>301</v>
      </c>
      <c r="DK7" s="64" t="s">
        <v>302</v>
      </c>
      <c r="DL7" s="64" t="s">
        <v>303</v>
      </c>
      <c r="DM7" s="64" t="s">
        <v>304</v>
      </c>
      <c r="DN7" s="64" t="s">
        <v>305</v>
      </c>
      <c r="DO7" s="64" t="s">
        <v>306</v>
      </c>
      <c r="DP7" s="64" t="s">
        <v>307</v>
      </c>
      <c r="DQ7" s="64" t="s">
        <v>308</v>
      </c>
      <c r="DR7" s="64" t="s">
        <v>309</v>
      </c>
      <c r="DS7" s="64" t="s">
        <v>310</v>
      </c>
      <c r="DT7" s="64" t="s">
        <v>311</v>
      </c>
      <c r="DU7" s="64" t="s">
        <v>339</v>
      </c>
      <c r="DV7" s="64" t="s">
        <v>80</v>
      </c>
      <c r="DW7" s="61" t="s">
        <v>81</v>
      </c>
      <c r="DX7" s="61" t="s">
        <v>82</v>
      </c>
      <c r="DY7" s="61" t="s">
        <v>83</v>
      </c>
      <c r="DZ7" s="61" t="s">
        <v>84</v>
      </c>
      <c r="EA7" s="65" t="s">
        <v>85</v>
      </c>
    </row>
    <row r="8" spans="1:131" s="33" customFormat="1" ht="90.75" thickBot="1" x14ac:dyDescent="0.3">
      <c r="A8" s="150" t="s">
        <v>390</v>
      </c>
      <c r="B8" s="86"/>
      <c r="C8" s="86"/>
      <c r="D8" s="86"/>
      <c r="E8" s="86"/>
      <c r="F8" s="86"/>
      <c r="G8" s="86"/>
      <c r="H8" s="86"/>
      <c r="I8" s="151" t="s">
        <v>496</v>
      </c>
      <c r="J8" s="86"/>
      <c r="K8" s="86"/>
      <c r="L8" s="86"/>
      <c r="M8" s="151" t="s">
        <v>397</v>
      </c>
      <c r="N8" s="151" t="s">
        <v>396</v>
      </c>
      <c r="O8" s="151" t="s">
        <v>396</v>
      </c>
      <c r="P8" s="151" t="s">
        <v>395</v>
      </c>
      <c r="Q8" s="151" t="s">
        <v>395</v>
      </c>
      <c r="R8" s="151" t="s">
        <v>395</v>
      </c>
      <c r="S8" s="151" t="s">
        <v>398</v>
      </c>
      <c r="T8" s="151" t="s">
        <v>441</v>
      </c>
      <c r="U8" s="151" t="s">
        <v>441</v>
      </c>
      <c r="V8" s="151" t="s">
        <v>441</v>
      </c>
      <c r="W8" s="151" t="s">
        <v>388</v>
      </c>
      <c r="X8" s="151" t="s">
        <v>461</v>
      </c>
      <c r="Y8" s="151" t="s">
        <v>461</v>
      </c>
      <c r="Z8" s="151" t="s">
        <v>461</v>
      </c>
      <c r="AA8" s="151" t="s">
        <v>395</v>
      </c>
      <c r="AB8" s="151" t="s">
        <v>388</v>
      </c>
      <c r="AC8" s="151" t="s">
        <v>388</v>
      </c>
      <c r="AD8" s="66"/>
      <c r="AE8" s="66"/>
      <c r="AF8" s="66"/>
      <c r="AG8" s="66"/>
      <c r="AH8" s="66"/>
      <c r="AI8" s="62"/>
      <c r="AJ8" s="151" t="s">
        <v>388</v>
      </c>
      <c r="AK8" s="151" t="s">
        <v>388</v>
      </c>
      <c r="AL8" s="151" t="s">
        <v>388</v>
      </c>
      <c r="AM8" s="151" t="s">
        <v>388</v>
      </c>
      <c r="AN8" s="151" t="s">
        <v>388</v>
      </c>
      <c r="AO8" s="151" t="s">
        <v>388</v>
      </c>
      <c r="AP8" s="151" t="s">
        <v>495</v>
      </c>
      <c r="AQ8" s="151" t="s">
        <v>480</v>
      </c>
      <c r="AR8" s="151" t="s">
        <v>481</v>
      </c>
      <c r="AS8" s="86"/>
      <c r="AT8" s="86"/>
      <c r="AU8" s="86"/>
      <c r="AV8" s="86"/>
      <c r="AW8" s="151" t="s">
        <v>388</v>
      </c>
      <c r="AX8" s="86"/>
      <c r="AY8" s="151" t="s">
        <v>388</v>
      </c>
      <c r="AZ8" s="151" t="s">
        <v>389</v>
      </c>
      <c r="BA8" s="151" t="s">
        <v>389</v>
      </c>
      <c r="BB8" s="86"/>
      <c r="BC8" s="86"/>
      <c r="BD8" s="86" t="s">
        <v>469</v>
      </c>
      <c r="BE8" s="86"/>
      <c r="BF8" s="86"/>
      <c r="BG8" s="151" t="s">
        <v>388</v>
      </c>
      <c r="BH8" s="151" t="s">
        <v>388</v>
      </c>
      <c r="BI8" s="151" t="s">
        <v>388</v>
      </c>
      <c r="BJ8" s="151" t="s">
        <v>388</v>
      </c>
      <c r="BK8" s="151" t="s">
        <v>388</v>
      </c>
      <c r="BL8" s="151" t="s">
        <v>388</v>
      </c>
      <c r="BM8" s="151" t="s">
        <v>435</v>
      </c>
      <c r="BN8" s="151" t="s">
        <v>436</v>
      </c>
      <c r="BO8" s="66"/>
      <c r="BP8" s="86"/>
      <c r="BQ8" s="66"/>
      <c r="BR8" s="66"/>
      <c r="BS8" s="86"/>
      <c r="BT8" s="151" t="s">
        <v>388</v>
      </c>
      <c r="BU8" s="151" t="s">
        <v>388</v>
      </c>
      <c r="BV8" s="86"/>
      <c r="BW8" s="86"/>
      <c r="BX8" s="86"/>
      <c r="BY8" s="86"/>
      <c r="BZ8" s="86"/>
      <c r="CA8" s="86"/>
      <c r="CB8" s="151" t="s">
        <v>388</v>
      </c>
      <c r="CC8" s="86"/>
      <c r="CD8" s="151" t="s">
        <v>388</v>
      </c>
      <c r="CE8" s="151" t="s">
        <v>388</v>
      </c>
      <c r="CF8" s="151" t="s">
        <v>395</v>
      </c>
      <c r="CG8" s="66"/>
      <c r="CH8" s="151" t="s">
        <v>400</v>
      </c>
      <c r="CI8" s="151" t="s">
        <v>393</v>
      </c>
      <c r="CJ8" s="151" t="s">
        <v>388</v>
      </c>
      <c r="CK8" s="151" t="s">
        <v>388</v>
      </c>
      <c r="CL8" s="151" t="s">
        <v>390</v>
      </c>
      <c r="CM8" s="151" t="s">
        <v>390</v>
      </c>
      <c r="CN8" s="151" t="s">
        <v>390</v>
      </c>
      <c r="CO8" s="151" t="s">
        <v>388</v>
      </c>
      <c r="CP8" s="151" t="s">
        <v>390</v>
      </c>
      <c r="CQ8" s="151" t="s">
        <v>390</v>
      </c>
      <c r="CR8" s="151" t="s">
        <v>390</v>
      </c>
      <c r="CS8" s="151" t="s">
        <v>388</v>
      </c>
      <c r="CT8" s="151" t="s">
        <v>388</v>
      </c>
      <c r="CU8" s="151" t="s">
        <v>390</v>
      </c>
      <c r="CV8" s="151" t="s">
        <v>390</v>
      </c>
      <c r="CW8" s="151" t="s">
        <v>395</v>
      </c>
      <c r="CX8" s="151" t="s">
        <v>390</v>
      </c>
      <c r="CY8" s="151" t="s">
        <v>390</v>
      </c>
      <c r="CZ8" s="151" t="s">
        <v>390</v>
      </c>
      <c r="DA8" s="151" t="s">
        <v>388</v>
      </c>
      <c r="DB8" s="151" t="s">
        <v>390</v>
      </c>
      <c r="DC8" s="151" t="s">
        <v>390</v>
      </c>
      <c r="DD8" s="151" t="s">
        <v>390</v>
      </c>
      <c r="DE8" s="151" t="s">
        <v>390</v>
      </c>
      <c r="DF8" s="151" t="s">
        <v>394</v>
      </c>
      <c r="DG8" s="151" t="s">
        <v>390</v>
      </c>
      <c r="DH8" s="151" t="s">
        <v>390</v>
      </c>
      <c r="DI8" s="151" t="s">
        <v>390</v>
      </c>
      <c r="DJ8" s="151" t="s">
        <v>390</v>
      </c>
      <c r="DK8" s="151" t="s">
        <v>390</v>
      </c>
      <c r="DL8" s="151" t="s">
        <v>390</v>
      </c>
      <c r="DM8" s="151" t="s">
        <v>388</v>
      </c>
      <c r="DN8" s="151" t="s">
        <v>390</v>
      </c>
      <c r="DO8" s="151" t="s">
        <v>390</v>
      </c>
      <c r="DP8" s="151" t="s">
        <v>390</v>
      </c>
      <c r="DQ8" s="151" t="s">
        <v>390</v>
      </c>
      <c r="DR8" s="151" t="s">
        <v>390</v>
      </c>
      <c r="DS8" s="151" t="s">
        <v>390</v>
      </c>
      <c r="DT8" s="151" t="s">
        <v>388</v>
      </c>
      <c r="DU8" s="151" t="s">
        <v>399</v>
      </c>
      <c r="DV8" s="151" t="s">
        <v>388</v>
      </c>
      <c r="DW8" s="66"/>
      <c r="DX8" s="66"/>
      <c r="DY8" s="66"/>
      <c r="DZ8" s="66"/>
      <c r="EA8" s="67"/>
    </row>
    <row r="9" spans="1:131" s="33" customFormat="1" x14ac:dyDescent="0.25">
      <c r="A9" s="152"/>
      <c r="B9" s="152"/>
      <c r="C9" s="152"/>
      <c r="D9" s="152"/>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31"/>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152"/>
      <c r="BU9" s="152"/>
      <c r="BV9" s="152"/>
      <c r="BW9" s="152"/>
      <c r="BX9" s="152"/>
      <c r="BY9" s="152"/>
      <c r="BZ9" s="152"/>
      <c r="CA9" s="152"/>
      <c r="CB9" s="152"/>
      <c r="CC9" s="152"/>
      <c r="CD9" s="152"/>
      <c r="CE9" s="152"/>
      <c r="CF9" s="152"/>
      <c r="CG9" s="152"/>
      <c r="CH9" s="152"/>
      <c r="CI9" s="152"/>
      <c r="CJ9" s="152"/>
      <c r="CK9" s="152"/>
      <c r="CL9" s="152"/>
      <c r="CM9" s="152"/>
      <c r="CN9" s="152"/>
      <c r="CO9" s="152"/>
      <c r="CP9" s="152"/>
      <c r="CQ9" s="152"/>
      <c r="CR9" s="152"/>
      <c r="CS9" s="152"/>
      <c r="CT9" s="152"/>
      <c r="CU9" s="152"/>
      <c r="CV9" s="152"/>
      <c r="CW9" s="152"/>
      <c r="CX9" s="152"/>
      <c r="CY9" s="152"/>
      <c r="CZ9" s="152"/>
      <c r="DA9" s="152"/>
      <c r="DB9" s="152"/>
      <c r="DC9" s="152"/>
      <c r="DD9" s="152"/>
      <c r="DE9" s="152"/>
      <c r="DF9" s="152"/>
      <c r="DG9" s="152"/>
      <c r="DH9" s="152"/>
      <c r="DI9" s="152"/>
      <c r="DJ9" s="152"/>
      <c r="DK9" s="152"/>
      <c r="DL9" s="152"/>
      <c r="DM9" s="152"/>
      <c r="DN9" s="152"/>
      <c r="DO9" s="152"/>
      <c r="DP9" s="152"/>
      <c r="DQ9" s="152"/>
      <c r="DR9" s="152"/>
      <c r="DS9" s="152"/>
      <c r="DT9" s="152"/>
      <c r="DU9" s="152"/>
      <c r="DV9" s="152"/>
      <c r="DW9" s="152"/>
      <c r="DX9" s="152"/>
      <c r="DY9" s="152"/>
      <c r="DZ9" s="152"/>
      <c r="EA9" s="152"/>
    </row>
    <row r="10" spans="1:131" s="33" customFormat="1" x14ac:dyDescent="0.25">
      <c r="A10" s="153"/>
      <c r="B10" s="153"/>
      <c r="C10" s="153"/>
      <c r="D10" s="153"/>
      <c r="E10" s="153"/>
      <c r="F10" s="153"/>
      <c r="G10" s="153"/>
      <c r="H10" s="153"/>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4"/>
      <c r="AJ10" s="153"/>
      <c r="AK10" s="153"/>
      <c r="AL10" s="153"/>
      <c r="AM10" s="153"/>
      <c r="AN10" s="153"/>
      <c r="AO10" s="153"/>
      <c r="AP10" s="153"/>
      <c r="AQ10" s="15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c r="CK10" s="153"/>
      <c r="CL10" s="153"/>
      <c r="CM10" s="153"/>
      <c r="CN10" s="153"/>
      <c r="CO10" s="153"/>
      <c r="CP10" s="153"/>
      <c r="CQ10" s="153"/>
      <c r="CR10" s="153"/>
      <c r="CS10" s="153"/>
      <c r="CT10" s="153"/>
      <c r="CU10" s="153"/>
      <c r="CV10" s="153"/>
      <c r="CW10" s="153"/>
      <c r="CX10" s="153"/>
      <c r="CY10" s="153"/>
      <c r="CZ10" s="153"/>
      <c r="DA10" s="153"/>
      <c r="DB10" s="153"/>
      <c r="DC10" s="153"/>
      <c r="DD10" s="153"/>
      <c r="DE10" s="153"/>
      <c r="DF10" s="153"/>
      <c r="DG10" s="153"/>
      <c r="DH10" s="153"/>
      <c r="DI10" s="153"/>
      <c r="DJ10" s="153"/>
      <c r="DK10" s="153"/>
      <c r="DL10" s="153"/>
      <c r="DM10" s="153"/>
      <c r="DN10" s="153"/>
      <c r="DO10" s="153"/>
      <c r="DP10" s="153"/>
      <c r="DQ10" s="153"/>
      <c r="DR10" s="153"/>
      <c r="DS10" s="153"/>
      <c r="DT10" s="153"/>
      <c r="DU10" s="153"/>
      <c r="DV10" s="153"/>
      <c r="DW10" s="153"/>
      <c r="DX10" s="153"/>
      <c r="DY10" s="153"/>
      <c r="DZ10" s="153"/>
      <c r="EA10" s="153"/>
    </row>
    <row r="11" spans="1:131" s="33" customFormat="1" x14ac:dyDescent="0.25">
      <c r="A11" s="153"/>
      <c r="B11" s="153"/>
      <c r="C11" s="153"/>
      <c r="D11" s="153"/>
      <c r="E11" s="153"/>
      <c r="F11" s="153"/>
      <c r="G11" s="153"/>
      <c r="H11" s="153"/>
      <c r="I11" s="153"/>
      <c r="J11" s="153"/>
      <c r="K11" s="153"/>
      <c r="L11" s="153"/>
      <c r="M11" s="153"/>
      <c r="N11" s="153"/>
      <c r="O11" s="153"/>
      <c r="P11" s="153"/>
      <c r="Q11" s="153"/>
      <c r="R11" s="153"/>
      <c r="S11" s="153"/>
      <c r="T11" s="153"/>
      <c r="U11" s="153"/>
      <c r="V11" s="153"/>
      <c r="W11" s="153"/>
      <c r="X11" s="153"/>
      <c r="Y11" s="153"/>
      <c r="Z11" s="153"/>
      <c r="AA11" s="153"/>
      <c r="AB11" s="153"/>
      <c r="AC11" s="153"/>
      <c r="AD11" s="153"/>
      <c r="AE11" s="153"/>
      <c r="AF11" s="153"/>
      <c r="AG11" s="153"/>
      <c r="AH11" s="153"/>
      <c r="AI11" s="154"/>
      <c r="AJ11" s="153"/>
      <c r="AK11" s="153"/>
      <c r="AL11" s="153"/>
      <c r="AM11" s="153"/>
      <c r="AN11" s="153"/>
      <c r="AO11" s="153"/>
      <c r="AP11" s="153"/>
      <c r="AQ11" s="153"/>
      <c r="AR11" s="153"/>
      <c r="AS11" s="153"/>
      <c r="AT11" s="153"/>
      <c r="AU11" s="153"/>
      <c r="AV11" s="153"/>
      <c r="AW11" s="153"/>
      <c r="AX11" s="153"/>
      <c r="AY11" s="153"/>
      <c r="AZ11" s="153"/>
      <c r="BA11" s="153"/>
      <c r="BB11" s="153"/>
      <c r="BC11" s="153"/>
      <c r="BD11" s="153"/>
      <c r="BE11" s="153"/>
      <c r="BF11" s="153"/>
      <c r="BG11" s="153"/>
      <c r="BH11" s="153"/>
      <c r="BI11" s="153"/>
      <c r="BJ11" s="153"/>
      <c r="BK11" s="153"/>
      <c r="BL11" s="153"/>
      <c r="BM11" s="153"/>
      <c r="BN11" s="153"/>
      <c r="BO11" s="153"/>
      <c r="BP11" s="153"/>
      <c r="BQ11" s="153"/>
      <c r="BR11" s="153"/>
      <c r="BS11" s="153"/>
      <c r="BT11" s="153"/>
      <c r="BU11" s="153"/>
      <c r="BV11" s="153"/>
      <c r="BW11" s="153"/>
      <c r="BX11" s="153"/>
      <c r="BY11" s="153"/>
      <c r="BZ11" s="153"/>
      <c r="CA11" s="153"/>
      <c r="CB11" s="153"/>
      <c r="CC11" s="153"/>
      <c r="CD11" s="153"/>
      <c r="CE11" s="153"/>
      <c r="CF11" s="153"/>
      <c r="CG11" s="153"/>
      <c r="CH11" s="153"/>
      <c r="CI11" s="153"/>
      <c r="CJ11" s="153"/>
      <c r="CK11" s="153"/>
      <c r="CL11" s="153"/>
      <c r="CM11" s="153"/>
      <c r="CN11" s="153"/>
      <c r="CO11" s="153"/>
      <c r="CP11" s="153"/>
      <c r="CQ11" s="153"/>
      <c r="CR11" s="153"/>
      <c r="CS11" s="153"/>
      <c r="CT11" s="153"/>
      <c r="CU11" s="153"/>
      <c r="CV11" s="153"/>
      <c r="CW11" s="153"/>
      <c r="CX11" s="153"/>
      <c r="CY11" s="153"/>
      <c r="CZ11" s="153"/>
      <c r="DA11" s="153"/>
      <c r="DB11" s="153"/>
      <c r="DC11" s="153"/>
      <c r="DD11" s="153"/>
      <c r="DE11" s="153"/>
      <c r="DF11" s="153"/>
      <c r="DG11" s="153"/>
      <c r="DH11" s="153"/>
      <c r="DI11" s="153"/>
      <c r="DJ11" s="153"/>
      <c r="DK11" s="153"/>
      <c r="DL11" s="153"/>
      <c r="DM11" s="153"/>
      <c r="DN11" s="153"/>
      <c r="DO11" s="153"/>
      <c r="DP11" s="153"/>
      <c r="DQ11" s="153"/>
      <c r="DR11" s="153"/>
      <c r="DS11" s="153"/>
      <c r="DT11" s="153"/>
      <c r="DU11" s="153"/>
      <c r="DV11" s="153"/>
      <c r="DW11" s="153"/>
      <c r="DX11" s="153"/>
      <c r="DY11" s="153"/>
      <c r="DZ11" s="153"/>
      <c r="EA11" s="153"/>
    </row>
    <row r="12" spans="1:131" s="33" customFormat="1" x14ac:dyDescent="0.25">
      <c r="A12" s="153"/>
      <c r="B12" s="153"/>
      <c r="C12" s="153"/>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3"/>
      <c r="AB12" s="153"/>
      <c r="AC12" s="153"/>
      <c r="AD12" s="153"/>
      <c r="AE12" s="153"/>
      <c r="AF12" s="153"/>
      <c r="AG12" s="153"/>
      <c r="AH12" s="153"/>
      <c r="AI12" s="154"/>
      <c r="AJ12" s="153"/>
      <c r="AK12" s="153"/>
      <c r="AL12" s="153"/>
      <c r="AM12" s="153"/>
      <c r="AN12" s="153"/>
      <c r="AO12" s="153"/>
      <c r="AP12" s="153"/>
      <c r="AQ12" s="153"/>
      <c r="AR12" s="153"/>
      <c r="AS12" s="153"/>
      <c r="AT12" s="153"/>
      <c r="AU12" s="153"/>
      <c r="AV12" s="153"/>
      <c r="AW12" s="153"/>
      <c r="AX12" s="153"/>
      <c r="AY12" s="153"/>
      <c r="AZ12" s="153"/>
      <c r="BA12" s="153"/>
      <c r="BB12" s="153"/>
      <c r="BC12" s="153"/>
      <c r="BD12" s="153"/>
      <c r="BE12" s="153"/>
      <c r="BF12" s="153"/>
      <c r="BG12" s="153"/>
      <c r="BH12" s="153"/>
      <c r="BI12" s="153"/>
      <c r="BJ12" s="153"/>
      <c r="BK12" s="153"/>
      <c r="BL12" s="153"/>
      <c r="BM12" s="153"/>
      <c r="BN12" s="153"/>
      <c r="BO12" s="153"/>
      <c r="BP12" s="153"/>
      <c r="BQ12" s="153"/>
      <c r="BR12" s="153"/>
      <c r="BS12" s="153"/>
      <c r="BT12" s="153"/>
      <c r="BU12" s="153"/>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row>
    <row r="13" spans="1:131" s="33" customFormat="1" x14ac:dyDescent="0.25">
      <c r="A13" s="153"/>
      <c r="B13" s="153"/>
      <c r="C13" s="153"/>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53"/>
      <c r="AB13" s="153"/>
      <c r="AC13" s="153"/>
      <c r="AD13" s="153"/>
      <c r="AE13" s="153"/>
      <c r="AF13" s="153"/>
      <c r="AG13" s="153"/>
      <c r="AH13" s="153"/>
      <c r="AI13" s="154"/>
      <c r="AJ13" s="153"/>
      <c r="AK13" s="153"/>
      <c r="AL13" s="153"/>
      <c r="AM13" s="153"/>
      <c r="AN13" s="153"/>
      <c r="AO13" s="153"/>
      <c r="AP13" s="153"/>
      <c r="AQ13" s="153"/>
      <c r="AR13" s="153"/>
      <c r="AS13" s="153"/>
      <c r="AT13" s="153"/>
      <c r="AU13" s="153"/>
      <c r="AV13" s="153"/>
      <c r="AW13" s="153"/>
      <c r="AX13" s="153"/>
      <c r="AY13" s="153"/>
      <c r="AZ13" s="153"/>
      <c r="BA13" s="153"/>
      <c r="BB13" s="153"/>
      <c r="BC13" s="153"/>
      <c r="BD13" s="153"/>
      <c r="BE13" s="153"/>
      <c r="BF13" s="153"/>
      <c r="BG13" s="153"/>
      <c r="BH13" s="153"/>
      <c r="BI13" s="153"/>
      <c r="BJ13" s="153"/>
      <c r="BK13" s="153"/>
      <c r="BL13" s="153"/>
      <c r="BM13" s="153"/>
      <c r="BN13" s="153"/>
      <c r="BO13" s="153"/>
      <c r="BP13" s="153"/>
      <c r="BQ13" s="153"/>
      <c r="BR13" s="153"/>
      <c r="BS13" s="153"/>
      <c r="BT13" s="153"/>
      <c r="BU13" s="153"/>
      <c r="BV13" s="153"/>
      <c r="BW13" s="153"/>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row>
    <row r="14" spans="1:131" s="33" customFormat="1" x14ac:dyDescent="0.25">
      <c r="A14" s="153"/>
      <c r="B14" s="153"/>
      <c r="C14" s="153"/>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4"/>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row>
    <row r="15" spans="1:131" s="33" customFormat="1" x14ac:dyDescent="0.25">
      <c r="A15" s="153"/>
      <c r="B15" s="153"/>
      <c r="C15" s="153"/>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c r="AH15" s="153"/>
      <c r="AI15" s="154"/>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row>
    <row r="16" spans="1:131" s="33" customFormat="1" x14ac:dyDescent="0.25">
      <c r="A16" s="153"/>
      <c r="B16" s="153"/>
      <c r="C16" s="153"/>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3"/>
      <c r="AH16" s="153"/>
      <c r="AI16" s="154"/>
      <c r="AJ16" s="153"/>
      <c r="AK16" s="153"/>
      <c r="AL16" s="153"/>
      <c r="AM16" s="153"/>
      <c r="AN16" s="153"/>
      <c r="AO16" s="153"/>
      <c r="AP16" s="153"/>
      <c r="AQ16" s="153"/>
      <c r="AR16" s="153"/>
      <c r="AS16" s="153"/>
      <c r="AT16" s="153"/>
      <c r="AU16" s="153"/>
      <c r="AV16" s="153"/>
      <c r="AW16" s="153"/>
      <c r="AX16" s="153"/>
      <c r="AY16" s="153"/>
      <c r="AZ16" s="153"/>
      <c r="BA16" s="153"/>
      <c r="BB16" s="153"/>
      <c r="BC16" s="153"/>
      <c r="BD16" s="153"/>
      <c r="BE16" s="153"/>
      <c r="BF16" s="153"/>
      <c r="BG16" s="153"/>
      <c r="BH16" s="153"/>
      <c r="BI16" s="153"/>
      <c r="BJ16" s="153"/>
      <c r="BK16" s="153"/>
      <c r="BL16" s="153"/>
      <c r="BM16" s="153"/>
      <c r="BN16" s="153"/>
      <c r="BO16" s="153"/>
      <c r="BP16" s="153"/>
      <c r="BQ16" s="153"/>
      <c r="BR16" s="153"/>
      <c r="BS16" s="153"/>
      <c r="BT16" s="153"/>
      <c r="BU16" s="153"/>
      <c r="BV16" s="153"/>
      <c r="BW16" s="153"/>
      <c r="BX16" s="153"/>
      <c r="BY16" s="153"/>
      <c r="BZ16" s="153"/>
      <c r="CA16" s="153"/>
      <c r="CB16" s="153"/>
      <c r="CC16" s="153"/>
      <c r="CD16" s="153"/>
      <c r="CE16" s="153"/>
      <c r="CF16" s="153"/>
      <c r="CG16" s="153"/>
      <c r="CH16" s="153"/>
      <c r="CI16" s="153"/>
      <c r="CJ16" s="153"/>
      <c r="CK16" s="153"/>
      <c r="CL16" s="153"/>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row>
    <row r="17" spans="1:131" s="33" customFormat="1" x14ac:dyDescent="0.25">
      <c r="A17" s="153"/>
      <c r="B17" s="153"/>
      <c r="C17" s="153"/>
      <c r="D17" s="153"/>
      <c r="E17" s="153"/>
      <c r="F17" s="153"/>
      <c r="G17" s="153"/>
      <c r="H17" s="153"/>
      <c r="I17" s="153"/>
      <c r="J17" s="153"/>
      <c r="K17" s="153"/>
      <c r="L17" s="153"/>
      <c r="M17" s="153"/>
      <c r="N17" s="153"/>
      <c r="O17" s="153"/>
      <c r="P17" s="153"/>
      <c r="Q17" s="153"/>
      <c r="R17" s="153"/>
      <c r="S17" s="153"/>
      <c r="T17" s="153"/>
      <c r="U17" s="153"/>
      <c r="V17" s="153"/>
      <c r="W17" s="153"/>
      <c r="X17" s="153"/>
      <c r="Y17" s="153"/>
      <c r="Z17" s="153"/>
      <c r="AA17" s="153"/>
      <c r="AB17" s="153"/>
      <c r="AC17" s="153"/>
      <c r="AD17" s="153"/>
      <c r="AE17" s="153"/>
      <c r="AF17" s="153"/>
      <c r="AG17" s="153"/>
      <c r="AH17" s="153"/>
      <c r="AI17" s="154"/>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c r="BS17" s="153"/>
      <c r="BT17" s="153"/>
      <c r="BU17" s="153"/>
      <c r="BV17" s="153"/>
      <c r="BW17" s="153"/>
      <c r="BX17" s="153"/>
      <c r="BY17" s="153"/>
      <c r="BZ17" s="153"/>
      <c r="CA17" s="153"/>
      <c r="CB17" s="153"/>
      <c r="CC17" s="153"/>
      <c r="CD17" s="153"/>
      <c r="CE17" s="153"/>
      <c r="CF17" s="153"/>
      <c r="CG17" s="153"/>
      <c r="CH17" s="153"/>
      <c r="CI17" s="153"/>
      <c r="CJ17" s="153"/>
      <c r="CK17" s="153"/>
      <c r="CL17" s="153"/>
      <c r="CM17" s="153"/>
      <c r="CN17" s="153"/>
      <c r="CO17" s="153"/>
      <c r="CP17" s="153"/>
      <c r="CQ17" s="153"/>
      <c r="CR17" s="153"/>
      <c r="CS17" s="153"/>
      <c r="CT17" s="153"/>
      <c r="CU17" s="153"/>
      <c r="CV17" s="153"/>
      <c r="CW17" s="153"/>
      <c r="CX17" s="153"/>
      <c r="CY17" s="153"/>
      <c r="CZ17" s="153"/>
      <c r="DA17" s="153"/>
      <c r="DB17" s="153"/>
      <c r="DC17" s="153"/>
      <c r="DD17" s="153"/>
      <c r="DE17" s="153"/>
      <c r="DF17" s="153"/>
      <c r="DG17" s="153"/>
      <c r="DH17" s="153"/>
      <c r="DI17" s="153"/>
      <c r="DJ17" s="153"/>
      <c r="DK17" s="153"/>
      <c r="DL17" s="153"/>
      <c r="DM17" s="153"/>
      <c r="DN17" s="153"/>
      <c r="DO17" s="153"/>
      <c r="DP17" s="153"/>
      <c r="DQ17" s="153"/>
      <c r="DR17" s="153"/>
      <c r="DS17" s="153"/>
      <c r="DT17" s="153"/>
      <c r="DU17" s="153"/>
      <c r="DV17" s="153"/>
      <c r="DW17" s="153"/>
      <c r="DX17" s="153"/>
      <c r="DY17" s="153"/>
      <c r="DZ17" s="153"/>
      <c r="EA17" s="153"/>
    </row>
    <row r="18" spans="1:131" s="33" customFormat="1" x14ac:dyDescent="0.25">
      <c r="A18" s="153"/>
      <c r="B18" s="153"/>
      <c r="C18" s="153"/>
      <c r="D18" s="153"/>
      <c r="E18" s="153"/>
      <c r="F18" s="153"/>
      <c r="G18" s="153"/>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c r="AG18" s="153"/>
      <c r="AH18" s="153"/>
      <c r="AI18" s="154"/>
      <c r="AJ18" s="153"/>
      <c r="AK18" s="153"/>
      <c r="AL18" s="153"/>
      <c r="AM18" s="153"/>
      <c r="AN18" s="153"/>
      <c r="AO18" s="153"/>
      <c r="AP18" s="153"/>
      <c r="AQ18" s="153"/>
      <c r="AR18" s="153"/>
      <c r="AS18" s="153"/>
      <c r="AT18" s="153"/>
      <c r="AU18" s="153"/>
      <c r="AV18" s="153"/>
      <c r="AW18" s="153"/>
      <c r="AX18" s="153"/>
      <c r="AY18" s="153"/>
      <c r="AZ18" s="153"/>
      <c r="BA18" s="153"/>
      <c r="BB18" s="153"/>
      <c r="BC18" s="153"/>
      <c r="BD18" s="153"/>
      <c r="BE18" s="153"/>
      <c r="BF18" s="153"/>
      <c r="BG18" s="153"/>
      <c r="BH18" s="153"/>
      <c r="BI18" s="153"/>
      <c r="BJ18" s="153"/>
      <c r="BK18" s="153"/>
      <c r="BL18" s="153"/>
      <c r="BM18" s="153"/>
      <c r="BN18" s="153"/>
      <c r="BO18" s="153"/>
      <c r="BP18" s="153"/>
      <c r="BQ18" s="153"/>
      <c r="BR18" s="153"/>
      <c r="BS18" s="153"/>
      <c r="BT18" s="153"/>
      <c r="BU18" s="153"/>
      <c r="BV18" s="153"/>
      <c r="BW18" s="153"/>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row>
    <row r="19" spans="1:131" s="33" customFormat="1" x14ac:dyDescent="0.25">
      <c r="A19" s="153"/>
      <c r="B19" s="153"/>
      <c r="C19" s="153"/>
      <c r="D19" s="153"/>
      <c r="E19" s="153"/>
      <c r="F19" s="153"/>
      <c r="G19" s="153"/>
      <c r="H19" s="153"/>
      <c r="I19" s="153"/>
      <c r="J19" s="153"/>
      <c r="K19" s="153"/>
      <c r="L19" s="153"/>
      <c r="M19" s="153"/>
      <c r="N19" s="153"/>
      <c r="O19" s="153"/>
      <c r="P19" s="153"/>
      <c r="Q19" s="153"/>
      <c r="R19" s="153"/>
      <c r="S19" s="153"/>
      <c r="T19" s="153"/>
      <c r="U19" s="153"/>
      <c r="V19" s="153"/>
      <c r="W19" s="153"/>
      <c r="X19" s="153"/>
      <c r="Y19" s="153"/>
      <c r="Z19" s="153"/>
      <c r="AA19" s="153"/>
      <c r="AB19" s="153"/>
      <c r="AC19" s="153"/>
      <c r="AD19" s="153"/>
      <c r="AE19" s="153"/>
      <c r="AF19" s="153"/>
      <c r="AG19" s="153"/>
      <c r="AH19" s="153"/>
      <c r="AI19" s="154"/>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c r="BS19" s="153"/>
      <c r="BT19" s="153"/>
      <c r="BU19" s="153"/>
      <c r="BV19" s="153"/>
      <c r="BW19" s="153"/>
      <c r="BX19" s="153"/>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row>
    <row r="20" spans="1:131" s="33" customFormat="1" x14ac:dyDescent="0.25">
      <c r="A20" s="153"/>
      <c r="B20" s="153"/>
      <c r="C20" s="153"/>
      <c r="D20" s="153"/>
      <c r="E20" s="153"/>
      <c r="F20" s="153"/>
      <c r="G20" s="153"/>
      <c r="H20" s="153"/>
      <c r="I20" s="153"/>
      <c r="J20" s="153"/>
      <c r="K20" s="153"/>
      <c r="L20" s="153"/>
      <c r="M20" s="153"/>
      <c r="N20" s="153"/>
      <c r="O20" s="153"/>
      <c r="P20" s="153"/>
      <c r="Q20" s="153"/>
      <c r="R20" s="153"/>
      <c r="S20" s="153"/>
      <c r="T20" s="153"/>
      <c r="U20" s="153"/>
      <c r="V20" s="153"/>
      <c r="W20" s="153"/>
      <c r="X20" s="153"/>
      <c r="Y20" s="153"/>
      <c r="Z20" s="153"/>
      <c r="AA20" s="153"/>
      <c r="AB20" s="153"/>
      <c r="AC20" s="153"/>
      <c r="AD20" s="153"/>
      <c r="AE20" s="153"/>
      <c r="AF20" s="153"/>
      <c r="AG20" s="153"/>
      <c r="AH20" s="153"/>
      <c r="AI20" s="154"/>
      <c r="AJ20" s="153"/>
      <c r="AK20" s="153"/>
      <c r="AL20" s="153"/>
      <c r="AM20" s="153"/>
      <c r="AN20" s="153"/>
      <c r="AO20" s="153"/>
      <c r="AP20" s="153"/>
      <c r="AQ20" s="153"/>
      <c r="AR20" s="153"/>
      <c r="AS20" s="153"/>
      <c r="AT20" s="153"/>
      <c r="AU20" s="153"/>
      <c r="AV20" s="153"/>
      <c r="AW20" s="153"/>
      <c r="AX20" s="153"/>
      <c r="AY20" s="153"/>
      <c r="AZ20" s="153"/>
      <c r="BA20" s="153"/>
      <c r="BB20" s="153"/>
      <c r="BC20" s="153"/>
      <c r="BD20" s="153"/>
      <c r="BE20" s="153"/>
      <c r="BF20" s="153"/>
      <c r="BG20" s="153"/>
      <c r="BH20" s="153"/>
      <c r="BI20" s="153"/>
      <c r="BJ20" s="153"/>
      <c r="BK20" s="153"/>
      <c r="BL20" s="153"/>
      <c r="BM20" s="153"/>
      <c r="BN20" s="153"/>
      <c r="BO20" s="153"/>
      <c r="BP20" s="153"/>
      <c r="BQ20" s="153"/>
      <c r="BR20" s="153"/>
      <c r="BS20" s="153"/>
      <c r="BT20" s="153"/>
      <c r="BU20" s="153"/>
      <c r="BV20" s="153"/>
      <c r="BW20" s="153"/>
      <c r="BX20" s="153"/>
      <c r="BY20" s="153"/>
      <c r="BZ20" s="153"/>
      <c r="CA20" s="153"/>
      <c r="CB20" s="153"/>
      <c r="CC20" s="153"/>
      <c r="CD20" s="153"/>
      <c r="CE20" s="153"/>
      <c r="CF20" s="153"/>
      <c r="CG20" s="153"/>
      <c r="CH20" s="153"/>
      <c r="CI20" s="153"/>
      <c r="CJ20" s="153"/>
      <c r="CK20" s="153"/>
      <c r="CL20" s="153"/>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row>
    <row r="21" spans="1:131" s="33" customFormat="1" x14ac:dyDescent="0.25">
      <c r="A21" s="153"/>
      <c r="B21" s="153"/>
      <c r="C21" s="153"/>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53"/>
      <c r="AB21" s="153"/>
      <c r="AC21" s="153"/>
      <c r="AD21" s="153"/>
      <c r="AE21" s="153"/>
      <c r="AF21" s="153"/>
      <c r="AG21" s="153"/>
      <c r="AH21" s="153"/>
      <c r="AI21" s="154"/>
      <c r="AJ21" s="153"/>
      <c r="AK21" s="153"/>
      <c r="AL21" s="153"/>
      <c r="AM21" s="153"/>
      <c r="AN21" s="153"/>
      <c r="AO21" s="153"/>
      <c r="AP21" s="153"/>
      <c r="AQ21" s="153"/>
      <c r="AR21" s="153"/>
      <c r="AS21" s="153"/>
      <c r="AT21" s="153"/>
      <c r="AU21" s="153"/>
      <c r="AV21" s="153"/>
      <c r="AW21" s="153"/>
      <c r="AX21" s="153"/>
      <c r="AY21" s="153"/>
      <c r="AZ21" s="153"/>
      <c r="BA21" s="153"/>
      <c r="BB21" s="153"/>
      <c r="BC21" s="153"/>
      <c r="BD21" s="153"/>
      <c r="BE21" s="153"/>
      <c r="BF21" s="153"/>
      <c r="BG21" s="153"/>
      <c r="BH21" s="153"/>
      <c r="BI21" s="153"/>
      <c r="BJ21" s="153"/>
      <c r="BK21" s="153"/>
      <c r="BL21" s="153"/>
      <c r="BM21" s="153"/>
      <c r="BN21" s="153"/>
      <c r="BO21" s="153"/>
      <c r="BP21" s="153"/>
      <c r="BQ21" s="153"/>
      <c r="BR21" s="153"/>
      <c r="BS21" s="153"/>
      <c r="BT21" s="153"/>
      <c r="BU21" s="153"/>
      <c r="BV21" s="153"/>
      <c r="BW21" s="153"/>
      <c r="BX21" s="153"/>
      <c r="BY21" s="153"/>
      <c r="BZ21" s="153"/>
      <c r="CA21" s="153"/>
      <c r="CB21" s="153"/>
      <c r="CC21" s="153"/>
      <c r="CD21" s="153"/>
      <c r="CE21" s="153"/>
      <c r="CF21" s="153"/>
      <c r="CG21" s="153"/>
      <c r="CH21" s="153"/>
      <c r="CI21" s="153"/>
      <c r="CJ21" s="153"/>
      <c r="CK21" s="153"/>
      <c r="CL21" s="153"/>
      <c r="CM21" s="153"/>
      <c r="CN21" s="153"/>
      <c r="CO21" s="153"/>
      <c r="CP21" s="153"/>
      <c r="CQ21" s="153"/>
      <c r="CR21" s="153"/>
      <c r="CS21" s="153"/>
      <c r="CT21" s="153"/>
      <c r="CU21" s="153"/>
      <c r="CV21" s="153"/>
      <c r="CW21" s="153"/>
      <c r="CX21" s="153"/>
      <c r="CY21" s="153"/>
      <c r="CZ21" s="153"/>
      <c r="DA21" s="153"/>
      <c r="DB21" s="153"/>
      <c r="DC21" s="153"/>
      <c r="DD21" s="153"/>
      <c r="DE21" s="153"/>
      <c r="DF21" s="153"/>
      <c r="DG21" s="153"/>
      <c r="DH21" s="153"/>
      <c r="DI21" s="153"/>
      <c r="DJ21" s="153"/>
      <c r="DK21" s="153"/>
      <c r="DL21" s="153"/>
      <c r="DM21" s="153"/>
      <c r="DN21" s="153"/>
      <c r="DO21" s="153"/>
      <c r="DP21" s="153"/>
      <c r="DQ21" s="153"/>
      <c r="DR21" s="153"/>
      <c r="DS21" s="153"/>
      <c r="DT21" s="153"/>
      <c r="DU21" s="153"/>
      <c r="DV21" s="153"/>
      <c r="DW21" s="153"/>
      <c r="DX21" s="153"/>
      <c r="DY21" s="153"/>
      <c r="DZ21" s="153"/>
      <c r="EA21" s="153"/>
    </row>
    <row r="22" spans="1:131" s="33" customFormat="1" x14ac:dyDescent="0.25">
      <c r="A22" s="153"/>
      <c r="B22" s="153"/>
      <c r="C22" s="15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153"/>
      <c r="AB22" s="153"/>
      <c r="AC22" s="153"/>
      <c r="AD22" s="153"/>
      <c r="AE22" s="153"/>
      <c r="AF22" s="153"/>
      <c r="AG22" s="153"/>
      <c r="AH22" s="153"/>
      <c r="AI22" s="154"/>
      <c r="AJ22" s="153"/>
      <c r="AK22" s="153"/>
      <c r="AL22" s="153"/>
      <c r="AM22" s="153"/>
      <c r="AN22" s="153"/>
      <c r="AO22" s="153"/>
      <c r="AP22" s="153"/>
      <c r="AQ22" s="153"/>
      <c r="AR22" s="153"/>
      <c r="AS22" s="153"/>
      <c r="AT22" s="153"/>
      <c r="AU22" s="153"/>
      <c r="AV22" s="153"/>
      <c r="AW22" s="153"/>
      <c r="AX22" s="153"/>
      <c r="AY22" s="153"/>
      <c r="AZ22" s="153"/>
      <c r="BA22" s="153"/>
      <c r="BB22" s="153"/>
      <c r="BC22" s="153"/>
      <c r="BD22" s="153"/>
      <c r="BE22" s="153"/>
      <c r="BF22" s="153"/>
      <c r="BG22" s="153"/>
      <c r="BH22" s="153"/>
      <c r="BI22" s="153"/>
      <c r="BJ22" s="153"/>
      <c r="BK22" s="153"/>
      <c r="BL22" s="153"/>
      <c r="BM22" s="153"/>
      <c r="BN22" s="153"/>
      <c r="BO22" s="153"/>
      <c r="BP22" s="153"/>
      <c r="BQ22" s="153"/>
      <c r="BR22" s="153"/>
      <c r="BS22" s="153"/>
      <c r="BT22" s="153"/>
      <c r="BU22" s="153"/>
      <c r="BV22" s="153"/>
      <c r="BW22" s="153"/>
      <c r="BX22" s="153"/>
      <c r="BY22" s="153"/>
      <c r="BZ22" s="153"/>
      <c r="CA22" s="153"/>
      <c r="CB22" s="153"/>
      <c r="CC22" s="153"/>
      <c r="CD22" s="153"/>
      <c r="CE22" s="153"/>
      <c r="CF22" s="153"/>
      <c r="CG22" s="153"/>
      <c r="CH22" s="153"/>
      <c r="CI22" s="153"/>
      <c r="CJ22" s="153"/>
      <c r="CK22" s="153"/>
      <c r="CL22" s="153"/>
      <c r="CM22" s="153"/>
      <c r="CN22" s="153"/>
      <c r="CO22" s="153"/>
      <c r="CP22" s="153"/>
      <c r="CQ22" s="153"/>
      <c r="CR22" s="153"/>
      <c r="CS22" s="153"/>
      <c r="CT22" s="153"/>
      <c r="CU22" s="153"/>
      <c r="CV22" s="153"/>
      <c r="CW22" s="153"/>
      <c r="CX22" s="153"/>
      <c r="CY22" s="153"/>
      <c r="CZ22" s="153"/>
      <c r="DA22" s="153"/>
      <c r="DB22" s="153"/>
      <c r="DC22" s="153"/>
      <c r="DD22" s="153"/>
      <c r="DE22" s="153"/>
      <c r="DF22" s="153"/>
      <c r="DG22" s="153"/>
      <c r="DH22" s="153"/>
      <c r="DI22" s="153"/>
      <c r="DJ22" s="153"/>
      <c r="DK22" s="153"/>
      <c r="DL22" s="153"/>
      <c r="DM22" s="153"/>
      <c r="DN22" s="153"/>
      <c r="DO22" s="153"/>
      <c r="DP22" s="153"/>
      <c r="DQ22" s="153"/>
      <c r="DR22" s="153"/>
      <c r="DS22" s="153"/>
      <c r="DT22" s="153"/>
      <c r="DU22" s="153"/>
      <c r="DV22" s="153"/>
      <c r="DW22" s="153"/>
      <c r="DX22" s="153"/>
      <c r="DY22" s="153"/>
      <c r="DZ22" s="153"/>
      <c r="EA22" s="153"/>
    </row>
    <row r="23" spans="1:131" s="33" customFormat="1" x14ac:dyDescent="0.25">
      <c r="A23" s="153"/>
      <c r="B23" s="153"/>
      <c r="C23" s="15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153"/>
      <c r="AB23" s="153"/>
      <c r="AC23" s="153"/>
      <c r="AD23" s="153"/>
      <c r="AE23" s="153"/>
      <c r="AF23" s="153"/>
      <c r="AG23" s="153"/>
      <c r="AH23" s="153"/>
      <c r="AI23" s="154"/>
      <c r="AJ23" s="153"/>
      <c r="AK23" s="153"/>
      <c r="AL23" s="153"/>
      <c r="AM23" s="153"/>
      <c r="AN23" s="153"/>
      <c r="AO23" s="153"/>
      <c r="AP23" s="153"/>
      <c r="AQ23" s="153"/>
      <c r="AR23" s="153"/>
      <c r="AS23" s="153"/>
      <c r="AT23" s="153"/>
      <c r="AU23" s="153"/>
      <c r="AV23" s="153"/>
      <c r="AW23" s="153"/>
      <c r="AX23" s="153"/>
      <c r="AY23" s="153"/>
      <c r="AZ23" s="153"/>
      <c r="BA23" s="153"/>
      <c r="BB23" s="153"/>
      <c r="BC23" s="153"/>
      <c r="BD23" s="153"/>
      <c r="BE23" s="153"/>
      <c r="BF23" s="153"/>
      <c r="BG23" s="153"/>
      <c r="BH23" s="153"/>
      <c r="BI23" s="153"/>
      <c r="BJ23" s="153"/>
      <c r="BK23" s="153"/>
      <c r="BL23" s="153"/>
      <c r="BM23" s="153"/>
      <c r="BN23" s="153"/>
      <c r="BO23" s="153"/>
      <c r="BP23" s="153"/>
      <c r="BQ23" s="153"/>
      <c r="BR23" s="153"/>
      <c r="BS23" s="153"/>
      <c r="BT23" s="153"/>
      <c r="BU23" s="153"/>
      <c r="BV23" s="153"/>
      <c r="BW23" s="153"/>
      <c r="BX23" s="153"/>
      <c r="BY23" s="153"/>
      <c r="BZ23" s="153"/>
      <c r="CA23" s="153"/>
      <c r="CB23" s="153"/>
      <c r="CC23" s="153"/>
      <c r="CD23" s="153"/>
      <c r="CE23" s="153"/>
      <c r="CF23" s="153"/>
      <c r="CG23" s="153"/>
      <c r="CH23" s="153"/>
      <c r="CI23" s="153"/>
      <c r="CJ23" s="153"/>
      <c r="CK23" s="153"/>
      <c r="CL23" s="153"/>
      <c r="CM23" s="153"/>
      <c r="CN23" s="153"/>
      <c r="CO23" s="153"/>
      <c r="CP23" s="153"/>
      <c r="CQ23" s="153"/>
      <c r="CR23" s="153"/>
      <c r="CS23" s="153"/>
      <c r="CT23" s="153"/>
      <c r="CU23" s="153"/>
      <c r="CV23" s="153"/>
      <c r="CW23" s="153"/>
      <c r="CX23" s="153"/>
      <c r="CY23" s="153"/>
      <c r="CZ23" s="153"/>
      <c r="DA23" s="153"/>
      <c r="DB23" s="153"/>
      <c r="DC23" s="153"/>
      <c r="DD23" s="153"/>
      <c r="DE23" s="153"/>
      <c r="DF23" s="153"/>
      <c r="DG23" s="153"/>
      <c r="DH23" s="153"/>
      <c r="DI23" s="153"/>
      <c r="DJ23" s="153"/>
      <c r="DK23" s="153"/>
      <c r="DL23" s="153"/>
      <c r="DM23" s="153"/>
      <c r="DN23" s="153"/>
      <c r="DO23" s="153"/>
      <c r="DP23" s="153"/>
      <c r="DQ23" s="153"/>
      <c r="DR23" s="153"/>
      <c r="DS23" s="153"/>
      <c r="DT23" s="153"/>
      <c r="DU23" s="153"/>
      <c r="DV23" s="153"/>
      <c r="DW23" s="153"/>
      <c r="DX23" s="153"/>
      <c r="DY23" s="153"/>
      <c r="DZ23" s="153"/>
      <c r="EA23" s="153"/>
    </row>
    <row r="24" spans="1:131" s="33" customFormat="1" x14ac:dyDescent="0.25">
      <c r="A24" s="153"/>
      <c r="B24" s="153"/>
      <c r="C24" s="153"/>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153"/>
      <c r="AB24" s="153"/>
      <c r="AC24" s="153"/>
      <c r="AD24" s="153"/>
      <c r="AE24" s="153"/>
      <c r="AF24" s="153"/>
      <c r="AG24" s="153"/>
      <c r="AH24" s="153"/>
      <c r="AI24" s="154"/>
      <c r="AJ24" s="153"/>
      <c r="AK24" s="153"/>
      <c r="AL24" s="153"/>
      <c r="AM24" s="153"/>
      <c r="AN24" s="153"/>
      <c r="AO24" s="153"/>
      <c r="AP24" s="153"/>
      <c r="AQ24" s="153"/>
      <c r="AR24" s="153"/>
      <c r="AS24" s="153"/>
      <c r="AT24" s="153"/>
      <c r="AU24" s="153"/>
      <c r="AV24" s="153"/>
      <c r="AW24" s="153"/>
      <c r="AX24" s="153"/>
      <c r="AY24" s="153"/>
      <c r="AZ24" s="153"/>
      <c r="BA24" s="153"/>
      <c r="BB24" s="153"/>
      <c r="BC24" s="153"/>
      <c r="BD24" s="153"/>
      <c r="BE24" s="153"/>
      <c r="BF24" s="153"/>
      <c r="BG24" s="153"/>
      <c r="BH24" s="153"/>
      <c r="BI24" s="153"/>
      <c r="BJ24" s="153"/>
      <c r="BK24" s="153"/>
      <c r="BL24" s="153"/>
      <c r="BM24" s="153"/>
      <c r="BN24" s="153"/>
      <c r="BO24" s="153"/>
      <c r="BP24" s="153"/>
      <c r="BQ24" s="153"/>
      <c r="BR24" s="153"/>
      <c r="BS24" s="153"/>
      <c r="BT24" s="153"/>
      <c r="BU24" s="153"/>
      <c r="BV24" s="153"/>
      <c r="BW24" s="153"/>
      <c r="BX24" s="153"/>
      <c r="BY24" s="153"/>
      <c r="BZ24" s="153"/>
      <c r="CA24" s="153"/>
      <c r="CB24" s="153"/>
      <c r="CC24" s="153"/>
      <c r="CD24" s="153"/>
      <c r="CE24" s="153"/>
      <c r="CF24" s="153"/>
      <c r="CG24" s="153"/>
      <c r="CH24" s="153"/>
      <c r="CI24" s="153"/>
      <c r="CJ24" s="153"/>
      <c r="CK24" s="153"/>
      <c r="CL24" s="153"/>
      <c r="CM24" s="153"/>
      <c r="CN24" s="153"/>
      <c r="CO24" s="153"/>
      <c r="CP24" s="153"/>
      <c r="CQ24" s="153"/>
      <c r="CR24" s="153"/>
      <c r="CS24" s="153"/>
      <c r="CT24" s="153"/>
      <c r="CU24" s="153"/>
      <c r="CV24" s="153"/>
      <c r="CW24" s="153"/>
      <c r="CX24" s="153"/>
      <c r="CY24" s="153"/>
      <c r="CZ24" s="153"/>
      <c r="DA24" s="153"/>
      <c r="DB24" s="153"/>
      <c r="DC24" s="153"/>
      <c r="DD24" s="153"/>
      <c r="DE24" s="153"/>
      <c r="DF24" s="153"/>
      <c r="DG24" s="153"/>
      <c r="DH24" s="153"/>
      <c r="DI24" s="153"/>
      <c r="DJ24" s="153"/>
      <c r="DK24" s="153"/>
      <c r="DL24" s="153"/>
      <c r="DM24" s="153"/>
      <c r="DN24" s="153"/>
      <c r="DO24" s="153"/>
      <c r="DP24" s="153"/>
      <c r="DQ24" s="153"/>
      <c r="DR24" s="153"/>
      <c r="DS24" s="153"/>
      <c r="DT24" s="153"/>
      <c r="DU24" s="153"/>
      <c r="DV24" s="153"/>
      <c r="DW24" s="153"/>
      <c r="DX24" s="153"/>
      <c r="DY24" s="153"/>
      <c r="DZ24" s="153"/>
      <c r="EA24" s="153"/>
    </row>
    <row r="25" spans="1:131" s="33" customFormat="1" x14ac:dyDescent="0.25">
      <c r="A25" s="153"/>
      <c r="B25" s="153"/>
      <c r="C25" s="153"/>
      <c r="D25" s="153"/>
      <c r="E25" s="153"/>
      <c r="F25" s="153"/>
      <c r="G25" s="153"/>
      <c r="H25" s="153"/>
      <c r="I25" s="153"/>
      <c r="J25" s="153"/>
      <c r="K25" s="153"/>
      <c r="L25" s="153"/>
      <c r="M25" s="153"/>
      <c r="N25" s="153"/>
      <c r="O25" s="153"/>
      <c r="P25" s="153"/>
      <c r="Q25" s="153"/>
      <c r="R25" s="153"/>
      <c r="S25" s="153"/>
      <c r="T25" s="153"/>
      <c r="U25" s="153"/>
      <c r="V25" s="153"/>
      <c r="W25" s="153"/>
      <c r="X25" s="153"/>
      <c r="Y25" s="153"/>
      <c r="Z25" s="153"/>
      <c r="AA25" s="153"/>
      <c r="AB25" s="153"/>
      <c r="AC25" s="153"/>
      <c r="AD25" s="153"/>
      <c r="AE25" s="153"/>
      <c r="AF25" s="153"/>
      <c r="AG25" s="153"/>
      <c r="AH25" s="153"/>
      <c r="AI25" s="154"/>
      <c r="AJ25" s="153"/>
      <c r="AK25" s="153"/>
      <c r="AL25" s="153"/>
      <c r="AM25" s="153"/>
      <c r="AN25" s="153"/>
      <c r="AO25" s="153"/>
      <c r="AP25" s="153"/>
      <c r="AQ25" s="153"/>
      <c r="AR25" s="153"/>
      <c r="AS25" s="153"/>
      <c r="AT25" s="153"/>
      <c r="AU25" s="153"/>
      <c r="AV25" s="153"/>
      <c r="AW25" s="153"/>
      <c r="AX25" s="153"/>
      <c r="AY25" s="153"/>
      <c r="AZ25" s="153"/>
      <c r="BA25" s="153"/>
      <c r="BB25" s="153"/>
      <c r="BC25" s="153"/>
      <c r="BD25" s="153"/>
      <c r="BE25" s="153"/>
      <c r="BF25" s="153"/>
      <c r="BG25" s="153"/>
      <c r="BH25" s="153"/>
      <c r="BI25" s="153"/>
      <c r="BJ25" s="153"/>
      <c r="BK25" s="153"/>
      <c r="BL25" s="153"/>
      <c r="BM25" s="153"/>
      <c r="BN25" s="153"/>
      <c r="BO25" s="153"/>
      <c r="BP25" s="153"/>
      <c r="BQ25" s="153"/>
      <c r="BR25" s="153"/>
      <c r="BS25" s="153"/>
      <c r="BT25" s="153"/>
      <c r="BU25" s="153"/>
      <c r="BV25" s="153"/>
      <c r="BW25" s="153"/>
      <c r="BX25" s="153"/>
      <c r="BY25" s="153"/>
      <c r="BZ25" s="153"/>
      <c r="CA25" s="153"/>
      <c r="CB25" s="153"/>
      <c r="CC25" s="153"/>
      <c r="CD25" s="153"/>
      <c r="CE25" s="153"/>
      <c r="CF25" s="153"/>
      <c r="CG25" s="153"/>
      <c r="CH25" s="153"/>
      <c r="CI25" s="153"/>
      <c r="CJ25" s="153"/>
      <c r="CK25" s="153"/>
      <c r="CL25" s="153"/>
      <c r="CM25" s="153"/>
      <c r="CN25" s="153"/>
      <c r="CO25" s="153"/>
      <c r="CP25" s="153"/>
      <c r="CQ25" s="153"/>
      <c r="CR25" s="153"/>
      <c r="CS25" s="153"/>
      <c r="CT25" s="153"/>
      <c r="CU25" s="153"/>
      <c r="CV25" s="153"/>
      <c r="CW25" s="153"/>
      <c r="CX25" s="153"/>
      <c r="CY25" s="153"/>
      <c r="CZ25" s="153"/>
      <c r="DA25" s="153"/>
      <c r="DB25" s="153"/>
      <c r="DC25" s="153"/>
      <c r="DD25" s="153"/>
      <c r="DE25" s="153"/>
      <c r="DF25" s="153"/>
      <c r="DG25" s="153"/>
      <c r="DH25" s="153"/>
      <c r="DI25" s="153"/>
      <c r="DJ25" s="153"/>
      <c r="DK25" s="153"/>
      <c r="DL25" s="153"/>
      <c r="DM25" s="153"/>
      <c r="DN25" s="153"/>
      <c r="DO25" s="153"/>
      <c r="DP25" s="153"/>
      <c r="DQ25" s="153"/>
      <c r="DR25" s="153"/>
      <c r="DS25" s="153"/>
      <c r="DT25" s="153"/>
      <c r="DU25" s="153"/>
      <c r="DV25" s="153"/>
      <c r="DW25" s="153"/>
      <c r="DX25" s="153"/>
      <c r="DY25" s="153"/>
      <c r="DZ25" s="153"/>
      <c r="EA25" s="153"/>
    </row>
    <row r="26" spans="1:131" s="33" customFormat="1" x14ac:dyDescent="0.25">
      <c r="A26" s="153"/>
      <c r="B26" s="153"/>
      <c r="C26" s="153"/>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3"/>
      <c r="AB26" s="153"/>
      <c r="AC26" s="153"/>
      <c r="AD26" s="153"/>
      <c r="AE26" s="153"/>
      <c r="AF26" s="153"/>
      <c r="AG26" s="153"/>
      <c r="AH26" s="153"/>
      <c r="AI26" s="154"/>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s="153"/>
      <c r="BF26" s="153"/>
      <c r="BG26" s="153"/>
      <c r="BH26" s="153"/>
      <c r="BI26" s="153"/>
      <c r="BJ26" s="153"/>
      <c r="BK26" s="153"/>
      <c r="BL26" s="153"/>
      <c r="BM26" s="153"/>
      <c r="BN26" s="153"/>
      <c r="BO26" s="153"/>
      <c r="BP26" s="153"/>
      <c r="BQ26" s="153"/>
      <c r="BR26" s="153"/>
      <c r="BS26" s="153"/>
      <c r="BT26" s="153"/>
      <c r="BU26" s="153"/>
      <c r="BV26" s="153"/>
      <c r="BW26" s="153"/>
      <c r="BX26" s="153"/>
      <c r="BY26" s="153"/>
      <c r="BZ26" s="153"/>
      <c r="CA26" s="153"/>
      <c r="CB26" s="153"/>
      <c r="CC26" s="153"/>
      <c r="CD26" s="153"/>
      <c r="CE26" s="153"/>
      <c r="CF26" s="153"/>
      <c r="CG26" s="153"/>
      <c r="CH26" s="153"/>
      <c r="CI26" s="153"/>
      <c r="CJ26" s="153"/>
      <c r="CK26" s="153"/>
      <c r="CL26" s="153"/>
      <c r="CM26" s="153"/>
      <c r="CN26" s="153"/>
      <c r="CO26" s="153"/>
      <c r="CP26" s="153"/>
      <c r="CQ26" s="153"/>
      <c r="CR26" s="153"/>
      <c r="CS26" s="153"/>
      <c r="CT26" s="153"/>
      <c r="CU26" s="153"/>
      <c r="CV26" s="153"/>
      <c r="CW26" s="153"/>
      <c r="CX26" s="153"/>
      <c r="CY26" s="15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53"/>
      <c r="DY26" s="153"/>
      <c r="DZ26" s="153"/>
      <c r="EA26" s="153"/>
    </row>
    <row r="27" spans="1:131" s="33" customFormat="1" x14ac:dyDescent="0.25">
      <c r="A27" s="153"/>
      <c r="B27" s="153"/>
      <c r="C27" s="153"/>
      <c r="D27" s="153"/>
      <c r="E27" s="153"/>
      <c r="F27" s="153"/>
      <c r="G27" s="153"/>
      <c r="H27" s="153"/>
      <c r="I27" s="153"/>
      <c r="J27" s="153"/>
      <c r="K27" s="153"/>
      <c r="L27" s="153"/>
      <c r="M27" s="153"/>
      <c r="N27" s="153"/>
      <c r="O27" s="153"/>
      <c r="P27" s="153"/>
      <c r="Q27" s="153"/>
      <c r="R27" s="153"/>
      <c r="S27" s="153"/>
      <c r="T27" s="153"/>
      <c r="U27" s="153"/>
      <c r="V27" s="153"/>
      <c r="W27" s="153"/>
      <c r="X27" s="153"/>
      <c r="Y27" s="153"/>
      <c r="Z27" s="153"/>
      <c r="AA27" s="153"/>
      <c r="AB27" s="153"/>
      <c r="AC27" s="153"/>
      <c r="AD27" s="153"/>
      <c r="AE27" s="153"/>
      <c r="AF27" s="153"/>
      <c r="AG27" s="153"/>
      <c r="AH27" s="153"/>
      <c r="AI27" s="154"/>
      <c r="AJ27" s="153"/>
      <c r="AK27" s="153"/>
      <c r="AL27" s="153"/>
      <c r="AM27" s="153"/>
      <c r="AN27" s="153"/>
      <c r="AO27" s="153"/>
      <c r="AP27" s="153"/>
      <c r="AQ27" s="153"/>
      <c r="AR27" s="153"/>
      <c r="AS27" s="153"/>
      <c r="AT27" s="153"/>
      <c r="AU27" s="153"/>
      <c r="AV27" s="153"/>
      <c r="AW27" s="153"/>
      <c r="AX27" s="153"/>
      <c r="AY27" s="153"/>
      <c r="AZ27" s="153"/>
      <c r="BA27" s="153"/>
      <c r="BB27" s="153"/>
      <c r="BC27" s="153"/>
      <c r="BD27" s="153"/>
      <c r="BE27" s="153"/>
      <c r="BF27" s="153"/>
      <c r="BG27" s="153"/>
      <c r="BH27" s="153"/>
      <c r="BI27" s="153"/>
      <c r="BJ27" s="153"/>
      <c r="BK27" s="153"/>
      <c r="BL27" s="153"/>
      <c r="BM27" s="153"/>
      <c r="BN27" s="153"/>
      <c r="BO27" s="153"/>
      <c r="BP27" s="153"/>
      <c r="BQ27" s="153"/>
      <c r="BR27" s="153"/>
      <c r="BS27" s="153"/>
      <c r="BT27" s="153"/>
      <c r="BU27" s="153"/>
      <c r="BV27" s="153"/>
      <c r="BW27" s="153"/>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row>
    <row r="28" spans="1:131" s="33" customFormat="1" x14ac:dyDescent="0.25">
      <c r="A28" s="153"/>
      <c r="B28" s="153"/>
      <c r="C28" s="153"/>
      <c r="D28" s="153"/>
      <c r="E28" s="153"/>
      <c r="F28" s="153"/>
      <c r="G28" s="153"/>
      <c r="H28" s="153"/>
      <c r="I28" s="153"/>
      <c r="J28" s="153"/>
      <c r="K28" s="153"/>
      <c r="L28" s="153"/>
      <c r="M28" s="153"/>
      <c r="N28" s="153"/>
      <c r="O28" s="153"/>
      <c r="P28" s="153"/>
      <c r="Q28" s="153"/>
      <c r="R28" s="153"/>
      <c r="S28" s="153"/>
      <c r="T28" s="153"/>
      <c r="U28" s="153"/>
      <c r="V28" s="153"/>
      <c r="W28" s="153"/>
      <c r="X28" s="153"/>
      <c r="Y28" s="153"/>
      <c r="Z28" s="153"/>
      <c r="AA28" s="153"/>
      <c r="AB28" s="153"/>
      <c r="AC28" s="153"/>
      <c r="AD28" s="153"/>
      <c r="AE28" s="153"/>
      <c r="AF28" s="153"/>
      <c r="AG28" s="153"/>
      <c r="AH28" s="153"/>
      <c r="AI28" s="154"/>
      <c r="AJ28" s="153"/>
      <c r="AK28" s="153"/>
      <c r="AL28" s="153"/>
      <c r="AM28" s="153"/>
      <c r="AN28" s="153"/>
      <c r="AO28" s="153"/>
      <c r="AP28" s="153"/>
      <c r="AQ28" s="153"/>
      <c r="AR28" s="153"/>
      <c r="AS28" s="153"/>
      <c r="AT28" s="153"/>
      <c r="AU28" s="153"/>
      <c r="AV28" s="153"/>
      <c r="AW28" s="153"/>
      <c r="AX28" s="153"/>
      <c r="AY28" s="153"/>
      <c r="AZ28" s="153"/>
      <c r="BA28" s="153"/>
      <c r="BB28" s="153"/>
      <c r="BC28" s="153"/>
      <c r="BD28" s="153"/>
      <c r="BE28" s="153"/>
      <c r="BF28" s="153"/>
      <c r="BG28" s="153"/>
      <c r="BH28" s="153"/>
      <c r="BI28" s="153"/>
      <c r="BJ28" s="153"/>
      <c r="BK28" s="153"/>
      <c r="BL28" s="153"/>
      <c r="BM28" s="153"/>
      <c r="BN28" s="153"/>
      <c r="BO28" s="153"/>
      <c r="BP28" s="153"/>
      <c r="BQ28" s="153"/>
      <c r="BR28" s="153"/>
      <c r="BS28" s="153"/>
      <c r="BT28" s="153"/>
      <c r="BU28" s="153"/>
      <c r="BV28" s="153"/>
      <c r="BW28" s="153"/>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row>
    <row r="29" spans="1:131" s="33" customFormat="1" x14ac:dyDescent="0.25"/>
    <row r="30" spans="1:131" s="33" customFormat="1" x14ac:dyDescent="0.25"/>
    <row r="31" spans="1:131" s="33" customFormat="1" x14ac:dyDescent="0.25"/>
    <row r="32" spans="1:131" s="33" customFormat="1" x14ac:dyDescent="0.25"/>
    <row r="33" s="33" customFormat="1" x14ac:dyDescent="0.25"/>
    <row r="34" s="33" customFormat="1" x14ac:dyDescent="0.25"/>
    <row r="35" s="33" customFormat="1" x14ac:dyDescent="0.25"/>
    <row r="36" s="33" customFormat="1" x14ac:dyDescent="0.25"/>
    <row r="37" s="33" customFormat="1" x14ac:dyDescent="0.25"/>
    <row r="38" s="33" customFormat="1" x14ac:dyDescent="0.25"/>
    <row r="39" s="33" customFormat="1" x14ac:dyDescent="0.25"/>
    <row r="40" s="33" customFormat="1" x14ac:dyDescent="0.25"/>
    <row r="41" s="33" customFormat="1" x14ac:dyDescent="0.25"/>
    <row r="42" s="33" customFormat="1" x14ac:dyDescent="0.25"/>
    <row r="43" s="33" customFormat="1" x14ac:dyDescent="0.25"/>
    <row r="44" s="33" customFormat="1" x14ac:dyDescent="0.25"/>
    <row r="45" s="33" customFormat="1" x14ac:dyDescent="0.25"/>
    <row r="46" s="33" customFormat="1" x14ac:dyDescent="0.25"/>
    <row r="47" s="33" customFormat="1" x14ac:dyDescent="0.25"/>
    <row r="48" s="33" customFormat="1" x14ac:dyDescent="0.25"/>
    <row r="49" s="33" customFormat="1" x14ac:dyDescent="0.25"/>
    <row r="50" s="33" customFormat="1" x14ac:dyDescent="0.25"/>
    <row r="51" s="33" customFormat="1" x14ac:dyDescent="0.25"/>
    <row r="52" s="33" customFormat="1" x14ac:dyDescent="0.25"/>
    <row r="53" s="33" customFormat="1" x14ac:dyDescent="0.25"/>
    <row r="54" s="33" customFormat="1" x14ac:dyDescent="0.25"/>
    <row r="55" s="33" customFormat="1" x14ac:dyDescent="0.25"/>
    <row r="56" s="33" customFormat="1" x14ac:dyDescent="0.25"/>
    <row r="57" s="33" customFormat="1" x14ac:dyDescent="0.25"/>
    <row r="58" s="33" customFormat="1" x14ac:dyDescent="0.25"/>
    <row r="59" s="33" customFormat="1" x14ac:dyDescent="0.25"/>
    <row r="60" s="33" customFormat="1" x14ac:dyDescent="0.25"/>
    <row r="61" s="33" customFormat="1" x14ac:dyDescent="0.25"/>
    <row r="62" s="33" customFormat="1" x14ac:dyDescent="0.25"/>
    <row r="63" s="33" customFormat="1" x14ac:dyDescent="0.25"/>
    <row r="64" s="33" customFormat="1" x14ac:dyDescent="0.25"/>
    <row r="65" s="33" customFormat="1" x14ac:dyDescent="0.25"/>
    <row r="66" s="33" customFormat="1" x14ac:dyDescent="0.25"/>
    <row r="67" s="33" customFormat="1" x14ac:dyDescent="0.25"/>
    <row r="68" s="33" customFormat="1" x14ac:dyDescent="0.25"/>
    <row r="69" s="33" customFormat="1" x14ac:dyDescent="0.25"/>
    <row r="70" s="33" customFormat="1" x14ac:dyDescent="0.25"/>
    <row r="71" s="33" customFormat="1" x14ac:dyDescent="0.25"/>
    <row r="72" s="33" customFormat="1" x14ac:dyDescent="0.25"/>
    <row r="73" s="33" customFormat="1" x14ac:dyDescent="0.25"/>
    <row r="74" s="33" customFormat="1" x14ac:dyDescent="0.25"/>
    <row r="75" s="33" customFormat="1" x14ac:dyDescent="0.25"/>
    <row r="76" s="33" customFormat="1" x14ac:dyDescent="0.25"/>
    <row r="77" s="33" customFormat="1" x14ac:dyDescent="0.25"/>
    <row r="78" s="33" customFormat="1" x14ac:dyDescent="0.25"/>
    <row r="79" s="33" customFormat="1" x14ac:dyDescent="0.25"/>
    <row r="80" s="33" customFormat="1" x14ac:dyDescent="0.25"/>
    <row r="81" s="33" customFormat="1" x14ac:dyDescent="0.25"/>
    <row r="82" s="33" customFormat="1" x14ac:dyDescent="0.25"/>
    <row r="83" s="33" customFormat="1" x14ac:dyDescent="0.25"/>
    <row r="84" s="33" customFormat="1" x14ac:dyDescent="0.25"/>
    <row r="85" s="33" customFormat="1" x14ac:dyDescent="0.25"/>
    <row r="86" s="33" customFormat="1" x14ac:dyDescent="0.25"/>
    <row r="87" s="33" customFormat="1" x14ac:dyDescent="0.25"/>
    <row r="88" s="33" customFormat="1" x14ac:dyDescent="0.25"/>
    <row r="89" s="33" customFormat="1" x14ac:dyDescent="0.25"/>
    <row r="90" s="33" customFormat="1" x14ac:dyDescent="0.25"/>
    <row r="91" s="33" customFormat="1" x14ac:dyDescent="0.25"/>
    <row r="92" s="33" customFormat="1" x14ac:dyDescent="0.25"/>
    <row r="93" s="33" customFormat="1" x14ac:dyDescent="0.25"/>
    <row r="94" s="33" customFormat="1" x14ac:dyDescent="0.25"/>
    <row r="95" s="33" customFormat="1" x14ac:dyDescent="0.25"/>
    <row r="96" s="33" customFormat="1" x14ac:dyDescent="0.25"/>
    <row r="97" s="33" customFormat="1" x14ac:dyDescent="0.25"/>
    <row r="98" s="33" customFormat="1" x14ac:dyDescent="0.25"/>
    <row r="99" s="33" customFormat="1" x14ac:dyDescent="0.25"/>
    <row r="100" s="33" customFormat="1" x14ac:dyDescent="0.25"/>
    <row r="101" s="33" customFormat="1" x14ac:dyDescent="0.25"/>
    <row r="102" s="33" customFormat="1" x14ac:dyDescent="0.25"/>
    <row r="103" s="33" customFormat="1" x14ac:dyDescent="0.25"/>
    <row r="104" s="33" customFormat="1" x14ac:dyDescent="0.25"/>
    <row r="105" s="33" customFormat="1" x14ac:dyDescent="0.25"/>
    <row r="106" s="33" customFormat="1" x14ac:dyDescent="0.25"/>
    <row r="107" s="33" customFormat="1" x14ac:dyDescent="0.25"/>
    <row r="108" s="33" customFormat="1" x14ac:dyDescent="0.25"/>
    <row r="109" s="33" customFormat="1" x14ac:dyDescent="0.25"/>
    <row r="110" s="33" customFormat="1" x14ac:dyDescent="0.25"/>
    <row r="111" s="33" customFormat="1" x14ac:dyDescent="0.25"/>
    <row r="112" s="33" customFormat="1" x14ac:dyDescent="0.25"/>
    <row r="113" s="33" customFormat="1" x14ac:dyDescent="0.25"/>
    <row r="114" s="33" customFormat="1" x14ac:dyDescent="0.25"/>
    <row r="115" s="33" customFormat="1" x14ac:dyDescent="0.25"/>
    <row r="116" s="33" customFormat="1" x14ac:dyDescent="0.25"/>
    <row r="117" s="33" customFormat="1" x14ac:dyDescent="0.25"/>
    <row r="118" s="33" customFormat="1" x14ac:dyDescent="0.25"/>
    <row r="119" s="33" customFormat="1" x14ac:dyDescent="0.25"/>
    <row r="120" s="33" customFormat="1" x14ac:dyDescent="0.25"/>
    <row r="121" s="33" customFormat="1" x14ac:dyDescent="0.25"/>
    <row r="122" s="33" customFormat="1" x14ac:dyDescent="0.25"/>
    <row r="123" s="33" customFormat="1" x14ac:dyDescent="0.25"/>
    <row r="124" s="33" customFormat="1" x14ac:dyDescent="0.25"/>
    <row r="125" s="33" customFormat="1" x14ac:dyDescent="0.25"/>
    <row r="126" s="33" customFormat="1" x14ac:dyDescent="0.25"/>
    <row r="127" s="33" customFormat="1" x14ac:dyDescent="0.25"/>
    <row r="128" s="33" customFormat="1" x14ac:dyDescent="0.25"/>
    <row r="129" s="33" customFormat="1" x14ac:dyDescent="0.25"/>
    <row r="130" s="33" customFormat="1" x14ac:dyDescent="0.25"/>
    <row r="131" s="33" customFormat="1" x14ac:dyDescent="0.25"/>
    <row r="132" s="33" customFormat="1" x14ac:dyDescent="0.25"/>
    <row r="133" s="33" customFormat="1" x14ac:dyDescent="0.25"/>
    <row r="134" s="33" customFormat="1" x14ac:dyDescent="0.25"/>
    <row r="135" s="33" customFormat="1" x14ac:dyDescent="0.25"/>
    <row r="136" s="33" customFormat="1" x14ac:dyDescent="0.25"/>
    <row r="137" s="33" customFormat="1" x14ac:dyDescent="0.25"/>
    <row r="138" s="33" customFormat="1" x14ac:dyDescent="0.25"/>
    <row r="139" s="33" customFormat="1" x14ac:dyDescent="0.25"/>
    <row r="140" s="33" customFormat="1" x14ac:dyDescent="0.25"/>
    <row r="141" s="33" customFormat="1" x14ac:dyDescent="0.25"/>
    <row r="142" s="33" customFormat="1" x14ac:dyDescent="0.25"/>
    <row r="143" s="33" customFormat="1" x14ac:dyDescent="0.25"/>
    <row r="144" s="33" customFormat="1" x14ac:dyDescent="0.25"/>
    <row r="145" s="33" customFormat="1" x14ac:dyDescent="0.25"/>
    <row r="146" s="33" customFormat="1" x14ac:dyDescent="0.25"/>
    <row r="147" s="33" customFormat="1" x14ac:dyDescent="0.25"/>
    <row r="148" s="33" customFormat="1" x14ac:dyDescent="0.25"/>
    <row r="149" s="33" customFormat="1" x14ac:dyDescent="0.25"/>
    <row r="150" s="33" customFormat="1" x14ac:dyDescent="0.25"/>
    <row r="151" s="33" customFormat="1" x14ac:dyDescent="0.25"/>
    <row r="152" s="33" customFormat="1" x14ac:dyDescent="0.25"/>
    <row r="153" s="33" customFormat="1" x14ac:dyDescent="0.25"/>
    <row r="154" s="33" customFormat="1" x14ac:dyDescent="0.25"/>
    <row r="155" s="33" customFormat="1" x14ac:dyDescent="0.25"/>
    <row r="156" s="33" customFormat="1" x14ac:dyDescent="0.25"/>
    <row r="157" s="33" customFormat="1" x14ac:dyDescent="0.25"/>
    <row r="158" s="33" customFormat="1" x14ac:dyDescent="0.25"/>
    <row r="159" s="33" customFormat="1" x14ac:dyDescent="0.25"/>
    <row r="160" s="33" customFormat="1" x14ac:dyDescent="0.25"/>
    <row r="161" s="33" customFormat="1" x14ac:dyDescent="0.25"/>
    <row r="162" s="33" customFormat="1" x14ac:dyDescent="0.25"/>
    <row r="163" s="33" customFormat="1" x14ac:dyDescent="0.25"/>
    <row r="164" s="33" customFormat="1" x14ac:dyDescent="0.25"/>
    <row r="165" s="33" customFormat="1" x14ac:dyDescent="0.25"/>
    <row r="166" s="33" customFormat="1" x14ac:dyDescent="0.25"/>
    <row r="167" s="33" customFormat="1" x14ac:dyDescent="0.25"/>
    <row r="168" s="33" customFormat="1" x14ac:dyDescent="0.25"/>
    <row r="169" s="33" customFormat="1" x14ac:dyDescent="0.25"/>
    <row r="170" s="33" customFormat="1" x14ac:dyDescent="0.25"/>
    <row r="171" s="33" customFormat="1" x14ac:dyDescent="0.25"/>
    <row r="172" s="33" customFormat="1" x14ac:dyDescent="0.25"/>
    <row r="173" s="33" customFormat="1" x14ac:dyDescent="0.25"/>
    <row r="174" s="33" customFormat="1" x14ac:dyDescent="0.25"/>
    <row r="175" s="33" customFormat="1" x14ac:dyDescent="0.25"/>
    <row r="176" s="33" customFormat="1" x14ac:dyDescent="0.25"/>
    <row r="177" s="33" customFormat="1" x14ac:dyDescent="0.25"/>
    <row r="178" s="33" customFormat="1" x14ac:dyDescent="0.25"/>
    <row r="179" s="33" customFormat="1" x14ac:dyDescent="0.25"/>
    <row r="180" s="33" customFormat="1" x14ac:dyDescent="0.25"/>
    <row r="181" s="33" customFormat="1" x14ac:dyDescent="0.25"/>
    <row r="182" s="33" customFormat="1" x14ac:dyDescent="0.25"/>
    <row r="183" s="33" customFormat="1" x14ac:dyDescent="0.25"/>
    <row r="184" s="33" customFormat="1" x14ac:dyDescent="0.25"/>
    <row r="185" s="33" customFormat="1" x14ac:dyDescent="0.25"/>
    <row r="186" s="33" customFormat="1" x14ac:dyDescent="0.25"/>
    <row r="187" s="33" customFormat="1" x14ac:dyDescent="0.25"/>
    <row r="188" s="33" customFormat="1" x14ac:dyDescent="0.25"/>
    <row r="189" s="33" customFormat="1" x14ac:dyDescent="0.25"/>
    <row r="190" s="33" customFormat="1" x14ac:dyDescent="0.25"/>
    <row r="191" s="33" customFormat="1" x14ac:dyDescent="0.25"/>
    <row r="192" s="33" customFormat="1" x14ac:dyDescent="0.25"/>
    <row r="193" s="33" customFormat="1" x14ac:dyDescent="0.25"/>
    <row r="194" s="33" customFormat="1" x14ac:dyDescent="0.25"/>
    <row r="195" s="33" customFormat="1" x14ac:dyDescent="0.25"/>
    <row r="196" s="33" customFormat="1" x14ac:dyDescent="0.25"/>
    <row r="197" s="33" customFormat="1" x14ac:dyDescent="0.25"/>
    <row r="198" s="33" customFormat="1" x14ac:dyDescent="0.25"/>
    <row r="199" s="33" customFormat="1" x14ac:dyDescent="0.25"/>
    <row r="200" s="33" customFormat="1" x14ac:dyDescent="0.25"/>
    <row r="201" s="33" customFormat="1" x14ac:dyDescent="0.25"/>
    <row r="202" s="33" customFormat="1" x14ac:dyDescent="0.25"/>
    <row r="203" s="33" customFormat="1" x14ac:dyDescent="0.25"/>
    <row r="204" s="33" customFormat="1" x14ac:dyDescent="0.25"/>
    <row r="205" s="33" customFormat="1" x14ac:dyDescent="0.25"/>
    <row r="206" s="33" customFormat="1" x14ac:dyDescent="0.25"/>
    <row r="207" s="33" customFormat="1" x14ac:dyDescent="0.25"/>
    <row r="208" s="33" customFormat="1" x14ac:dyDescent="0.25"/>
    <row r="209" s="33" customFormat="1" x14ac:dyDescent="0.25"/>
    <row r="210" s="33" customFormat="1" x14ac:dyDescent="0.25"/>
    <row r="211" s="33" customFormat="1" x14ac:dyDescent="0.25"/>
    <row r="212" s="33" customFormat="1" x14ac:dyDescent="0.25"/>
    <row r="213" s="33" customFormat="1" x14ac:dyDescent="0.25"/>
    <row r="214" s="33" customFormat="1" x14ac:dyDescent="0.25"/>
    <row r="215" s="33" customFormat="1" x14ac:dyDescent="0.25"/>
    <row r="216" s="33" customFormat="1" x14ac:dyDescent="0.25"/>
    <row r="217" s="33" customFormat="1" x14ac:dyDescent="0.25"/>
    <row r="218" s="33" customFormat="1" x14ac:dyDescent="0.25"/>
    <row r="219" s="33" customFormat="1" x14ac:dyDescent="0.25"/>
    <row r="220" s="33" customFormat="1" x14ac:dyDescent="0.25"/>
    <row r="221" s="33" customFormat="1" x14ac:dyDescent="0.25"/>
    <row r="222" s="33" customFormat="1" x14ac:dyDescent="0.25"/>
    <row r="223" s="33" customFormat="1" x14ac:dyDescent="0.25"/>
    <row r="224" s="33" customFormat="1" x14ac:dyDescent="0.25"/>
    <row r="225" s="33" customFormat="1" x14ac:dyDescent="0.25"/>
    <row r="226" s="33" customFormat="1" x14ac:dyDescent="0.25"/>
    <row r="227" s="33" customFormat="1" x14ac:dyDescent="0.25"/>
    <row r="228" s="33" customFormat="1" x14ac:dyDescent="0.25"/>
    <row r="229" s="33" customFormat="1" x14ac:dyDescent="0.25"/>
    <row r="230" s="33" customFormat="1" x14ac:dyDescent="0.25"/>
    <row r="231" s="33" customFormat="1" x14ac:dyDescent="0.25"/>
    <row r="232" s="33" customFormat="1" x14ac:dyDescent="0.25"/>
    <row r="233" s="33" customFormat="1" x14ac:dyDescent="0.25"/>
    <row r="234" s="33" customFormat="1" x14ac:dyDescent="0.25"/>
    <row r="235" s="33" customFormat="1" x14ac:dyDescent="0.25"/>
    <row r="236" s="33" customFormat="1" x14ac:dyDescent="0.25"/>
    <row r="237" s="33" customFormat="1" x14ac:dyDescent="0.25"/>
    <row r="238" s="33" customFormat="1" x14ac:dyDescent="0.25"/>
    <row r="239" s="33" customFormat="1" x14ac:dyDescent="0.25"/>
    <row r="240" s="33" customFormat="1" x14ac:dyDescent="0.25"/>
    <row r="241" s="33" customFormat="1" x14ac:dyDescent="0.25"/>
    <row r="242" s="33" customFormat="1" x14ac:dyDescent="0.25"/>
    <row r="243" s="33" customFormat="1" x14ac:dyDescent="0.25"/>
    <row r="244" s="33" customFormat="1" x14ac:dyDescent="0.25"/>
    <row r="245" s="33" customFormat="1" x14ac:dyDescent="0.25"/>
    <row r="246" s="33" customFormat="1" x14ac:dyDescent="0.25"/>
    <row r="247" s="33" customFormat="1" x14ac:dyDescent="0.25"/>
    <row r="248" s="33" customFormat="1" x14ac:dyDescent="0.25"/>
    <row r="249" s="33" customFormat="1" x14ac:dyDescent="0.25"/>
    <row r="250" s="33" customFormat="1" x14ac:dyDescent="0.25"/>
    <row r="251" s="33" customFormat="1" x14ac:dyDescent="0.25"/>
    <row r="252" s="33" customFormat="1" x14ac:dyDescent="0.25"/>
    <row r="253" s="33" customFormat="1" x14ac:dyDescent="0.25"/>
    <row r="254" s="33" customFormat="1" x14ac:dyDescent="0.25"/>
    <row r="255" s="33" customFormat="1" x14ac:dyDescent="0.25"/>
    <row r="256" s="33" customFormat="1" x14ac:dyDescent="0.25"/>
    <row r="257" s="33" customFormat="1" x14ac:dyDescent="0.25"/>
    <row r="258" s="33" customFormat="1" x14ac:dyDescent="0.25"/>
    <row r="259" s="33" customFormat="1" x14ac:dyDescent="0.25"/>
    <row r="260" s="33" customFormat="1" x14ac:dyDescent="0.25"/>
    <row r="261" s="33" customFormat="1" x14ac:dyDescent="0.25"/>
    <row r="262" s="33" customFormat="1" x14ac:dyDescent="0.25"/>
    <row r="263" s="33" customFormat="1" x14ac:dyDescent="0.25"/>
    <row r="264" s="33" customFormat="1" x14ac:dyDescent="0.25"/>
    <row r="265" s="33" customFormat="1" x14ac:dyDescent="0.25"/>
    <row r="266" s="33" customFormat="1" x14ac:dyDescent="0.25"/>
    <row r="267" s="33" customFormat="1" x14ac:dyDescent="0.25"/>
    <row r="268" s="33" customFormat="1" x14ac:dyDescent="0.25"/>
    <row r="269" s="33" customFormat="1" x14ac:dyDescent="0.25"/>
    <row r="270" s="33" customFormat="1" x14ac:dyDescent="0.25"/>
    <row r="271" s="33" customFormat="1" x14ac:dyDescent="0.25"/>
    <row r="272" s="33" customFormat="1" x14ac:dyDescent="0.25"/>
    <row r="273" s="33" customFormat="1" x14ac:dyDescent="0.25"/>
    <row r="274" s="33" customFormat="1" x14ac:dyDescent="0.25"/>
    <row r="275" s="33" customFormat="1" x14ac:dyDescent="0.25"/>
    <row r="276" s="33" customFormat="1" x14ac:dyDescent="0.25"/>
    <row r="277" s="33" customFormat="1" x14ac:dyDescent="0.25"/>
    <row r="278" s="33" customFormat="1" x14ac:dyDescent="0.25"/>
    <row r="279" s="33" customFormat="1" x14ac:dyDescent="0.25"/>
    <row r="280" s="33" customFormat="1" x14ac:dyDescent="0.25"/>
    <row r="281" s="33" customFormat="1" x14ac:dyDescent="0.25"/>
    <row r="282" s="33" customFormat="1" x14ac:dyDescent="0.25"/>
    <row r="283" s="33" customFormat="1" x14ac:dyDescent="0.25"/>
    <row r="284" s="33" customFormat="1" x14ac:dyDescent="0.25"/>
    <row r="285" s="33" customFormat="1" x14ac:dyDescent="0.25"/>
    <row r="286" s="33" customFormat="1" x14ac:dyDescent="0.25"/>
    <row r="287" s="33" customFormat="1" x14ac:dyDescent="0.25"/>
    <row r="288" s="33" customFormat="1" x14ac:dyDescent="0.25"/>
    <row r="289" s="33" customFormat="1" x14ac:dyDescent="0.25"/>
    <row r="290" s="33" customFormat="1" x14ac:dyDescent="0.25"/>
    <row r="291" s="33" customFormat="1" x14ac:dyDescent="0.25"/>
    <row r="292" s="33" customFormat="1" x14ac:dyDescent="0.25"/>
    <row r="293" s="33" customFormat="1" x14ac:dyDescent="0.25"/>
    <row r="294" s="33" customFormat="1" x14ac:dyDescent="0.25"/>
    <row r="295" s="33" customFormat="1" x14ac:dyDescent="0.25"/>
    <row r="296" s="33" customFormat="1" x14ac:dyDescent="0.25"/>
    <row r="297" s="33" customFormat="1" x14ac:dyDescent="0.25"/>
    <row r="298" s="33" customFormat="1" x14ac:dyDescent="0.25"/>
    <row r="299" s="33" customFormat="1" x14ac:dyDescent="0.25"/>
    <row r="300" s="33" customFormat="1" x14ac:dyDescent="0.25"/>
    <row r="301" s="33" customFormat="1" x14ac:dyDescent="0.25"/>
    <row r="302" s="33" customFormat="1" x14ac:dyDescent="0.25"/>
    <row r="303" s="33" customFormat="1" x14ac:dyDescent="0.25"/>
    <row r="304" s="33" customFormat="1" x14ac:dyDescent="0.25"/>
    <row r="305" s="33" customFormat="1" x14ac:dyDescent="0.25"/>
    <row r="306" s="33" customFormat="1" x14ac:dyDescent="0.25"/>
    <row r="307" s="33" customFormat="1" x14ac:dyDescent="0.25"/>
    <row r="308" s="33" customFormat="1" x14ac:dyDescent="0.25"/>
    <row r="309" s="33" customFormat="1" x14ac:dyDescent="0.25"/>
    <row r="310" s="33" customFormat="1" x14ac:dyDescent="0.25"/>
    <row r="311" s="33" customFormat="1" x14ac:dyDescent="0.25"/>
    <row r="312" s="33" customFormat="1" x14ac:dyDescent="0.25"/>
    <row r="313" s="33" customFormat="1" x14ac:dyDescent="0.25"/>
    <row r="314" s="33" customFormat="1" x14ac:dyDescent="0.25"/>
    <row r="315" s="33" customFormat="1" x14ac:dyDescent="0.25"/>
    <row r="316" s="33" customFormat="1" x14ac:dyDescent="0.25"/>
    <row r="317" s="33" customFormat="1" x14ac:dyDescent="0.25"/>
    <row r="318" s="33" customFormat="1" x14ac:dyDescent="0.25"/>
    <row r="319" s="33" customFormat="1" x14ac:dyDescent="0.25"/>
    <row r="320" s="33" customFormat="1" x14ac:dyDescent="0.25"/>
    <row r="321" s="33" customFormat="1" x14ac:dyDescent="0.25"/>
    <row r="322" s="33" customFormat="1" x14ac:dyDescent="0.25"/>
    <row r="323" s="33" customFormat="1" x14ac:dyDescent="0.25"/>
    <row r="324" s="33" customFormat="1" x14ac:dyDescent="0.25"/>
    <row r="325" s="33" customFormat="1" x14ac:dyDescent="0.25"/>
    <row r="326" s="33" customFormat="1" x14ac:dyDescent="0.25"/>
    <row r="327" s="33" customFormat="1" x14ac:dyDescent="0.25"/>
    <row r="328" s="33" customFormat="1" x14ac:dyDescent="0.25"/>
    <row r="329" s="33" customFormat="1" x14ac:dyDescent="0.25"/>
    <row r="330" s="33" customFormat="1" x14ac:dyDescent="0.25"/>
    <row r="331" s="33" customFormat="1" x14ac:dyDescent="0.25"/>
    <row r="332" s="33" customFormat="1" x14ac:dyDescent="0.25"/>
    <row r="333" s="33" customFormat="1" x14ac:dyDescent="0.25"/>
    <row r="334" s="33" customFormat="1" x14ac:dyDescent="0.25"/>
    <row r="335" s="33" customFormat="1" x14ac:dyDescent="0.25"/>
    <row r="336" s="33" customFormat="1" x14ac:dyDescent="0.25"/>
    <row r="337" s="33" customFormat="1" x14ac:dyDescent="0.25"/>
    <row r="338" s="33" customFormat="1" x14ac:dyDescent="0.25"/>
    <row r="339" s="33" customFormat="1" x14ac:dyDescent="0.25"/>
    <row r="340" s="33" customFormat="1" x14ac:dyDescent="0.25"/>
    <row r="341" s="33" customFormat="1" x14ac:dyDescent="0.25"/>
    <row r="342" s="33" customFormat="1" x14ac:dyDescent="0.25"/>
    <row r="343" s="33" customFormat="1" x14ac:dyDescent="0.25"/>
    <row r="344" s="33" customFormat="1" x14ac:dyDescent="0.25"/>
    <row r="345" s="33" customFormat="1" x14ac:dyDescent="0.25"/>
    <row r="346" s="33" customFormat="1" x14ac:dyDescent="0.25"/>
    <row r="347" s="33" customFormat="1" x14ac:dyDescent="0.25"/>
    <row r="348" s="33" customFormat="1" x14ac:dyDescent="0.25"/>
    <row r="349" s="33" customFormat="1" x14ac:dyDescent="0.25"/>
    <row r="350" s="33" customFormat="1" x14ac:dyDescent="0.25"/>
    <row r="351" s="33" customFormat="1" x14ac:dyDescent="0.25"/>
    <row r="352" s="33" customFormat="1" x14ac:dyDescent="0.25"/>
    <row r="353" s="33" customFormat="1" x14ac:dyDescent="0.25"/>
    <row r="354" s="33" customFormat="1" x14ac:dyDescent="0.25"/>
    <row r="355" s="33" customFormat="1" x14ac:dyDescent="0.25"/>
    <row r="356" s="33" customFormat="1" x14ac:dyDescent="0.25"/>
    <row r="357" s="33" customFormat="1" x14ac:dyDescent="0.25"/>
    <row r="358" s="33" customFormat="1" x14ac:dyDescent="0.25"/>
    <row r="359" s="33" customFormat="1" x14ac:dyDescent="0.25"/>
    <row r="360" s="33" customFormat="1" x14ac:dyDescent="0.25"/>
    <row r="361" s="33" customFormat="1" x14ac:dyDescent="0.25"/>
    <row r="362" s="33" customFormat="1" x14ac:dyDescent="0.25"/>
    <row r="363" s="33" customFormat="1" x14ac:dyDescent="0.25"/>
    <row r="364" s="33" customFormat="1" x14ac:dyDescent="0.25"/>
    <row r="365" s="33" customFormat="1" x14ac:dyDescent="0.25"/>
    <row r="366" s="33" customFormat="1" x14ac:dyDescent="0.25"/>
    <row r="367" s="33" customFormat="1" x14ac:dyDescent="0.25"/>
    <row r="368" s="33" customFormat="1" x14ac:dyDescent="0.25"/>
    <row r="369" s="33" customFormat="1" x14ac:dyDescent="0.25"/>
    <row r="370" s="33" customFormat="1" x14ac:dyDescent="0.25"/>
    <row r="371" s="33" customFormat="1" x14ac:dyDescent="0.25"/>
    <row r="372" s="33" customFormat="1" x14ac:dyDescent="0.25"/>
    <row r="373" s="33" customFormat="1" x14ac:dyDescent="0.25"/>
    <row r="374" s="33" customFormat="1" x14ac:dyDescent="0.25"/>
    <row r="375" s="33" customFormat="1" x14ac:dyDescent="0.25"/>
    <row r="376" s="33" customFormat="1" x14ac:dyDescent="0.25"/>
    <row r="377" s="33" customFormat="1" x14ac:dyDescent="0.25"/>
    <row r="378" s="33" customFormat="1" x14ac:dyDescent="0.25"/>
    <row r="379" s="33" customFormat="1" x14ac:dyDescent="0.25"/>
    <row r="380" s="33" customFormat="1" x14ac:dyDescent="0.25"/>
    <row r="381" s="33" customFormat="1" x14ac:dyDescent="0.25"/>
    <row r="382" s="33" customFormat="1" x14ac:dyDescent="0.25"/>
    <row r="383" s="33" customFormat="1" x14ac:dyDescent="0.25"/>
    <row r="384" s="33" customFormat="1" x14ac:dyDescent="0.25"/>
    <row r="385" s="33" customFormat="1" x14ac:dyDescent="0.25"/>
    <row r="386" s="33" customFormat="1" x14ac:dyDescent="0.25"/>
    <row r="387" s="33" customFormat="1" x14ac:dyDescent="0.25"/>
    <row r="388" s="33" customFormat="1" x14ac:dyDescent="0.25"/>
    <row r="389" s="33" customFormat="1" x14ac:dyDescent="0.25"/>
    <row r="390" s="33" customFormat="1" x14ac:dyDescent="0.25"/>
    <row r="391" s="33" customFormat="1" x14ac:dyDescent="0.25"/>
    <row r="392" s="33" customFormat="1" x14ac:dyDescent="0.25"/>
    <row r="393" s="33" customFormat="1" x14ac:dyDescent="0.25"/>
    <row r="394" s="33" customFormat="1" x14ac:dyDescent="0.25"/>
    <row r="395" s="33" customFormat="1" x14ac:dyDescent="0.25"/>
    <row r="396" s="33" customFormat="1" x14ac:dyDescent="0.25"/>
    <row r="397" s="33" customFormat="1" x14ac:dyDescent="0.25"/>
    <row r="398" s="33" customFormat="1" x14ac:dyDescent="0.25"/>
    <row r="399" s="33" customFormat="1" x14ac:dyDescent="0.25"/>
    <row r="400" s="33" customFormat="1" x14ac:dyDescent="0.25"/>
    <row r="401" s="33" customFormat="1" x14ac:dyDescent="0.25"/>
    <row r="402" s="33" customFormat="1" x14ac:dyDescent="0.25"/>
    <row r="403" s="33" customFormat="1" x14ac:dyDescent="0.25"/>
    <row r="404" s="33" customFormat="1" x14ac:dyDescent="0.25"/>
    <row r="405" s="33" customFormat="1" x14ac:dyDescent="0.25"/>
    <row r="406" s="33" customFormat="1" x14ac:dyDescent="0.25"/>
    <row r="407" s="33" customFormat="1" x14ac:dyDescent="0.25"/>
    <row r="408" s="33" customFormat="1" x14ac:dyDescent="0.25"/>
    <row r="409" s="33" customFormat="1" x14ac:dyDescent="0.25"/>
    <row r="410" s="33" customFormat="1" x14ac:dyDescent="0.25"/>
    <row r="411" s="33" customFormat="1" x14ac:dyDescent="0.25"/>
    <row r="412" s="33" customFormat="1" x14ac:dyDescent="0.25"/>
    <row r="413" s="33" customFormat="1" x14ac:dyDescent="0.25"/>
    <row r="414" s="33" customFormat="1" x14ac:dyDescent="0.25"/>
    <row r="415" s="33" customFormat="1" x14ac:dyDescent="0.25"/>
    <row r="416" s="33" customFormat="1" x14ac:dyDescent="0.25"/>
    <row r="417" s="33" customFormat="1" x14ac:dyDescent="0.25"/>
    <row r="418" s="33" customFormat="1" x14ac:dyDescent="0.25"/>
    <row r="419" s="33" customFormat="1" x14ac:dyDescent="0.25"/>
    <row r="420" s="33" customFormat="1" x14ac:dyDescent="0.25"/>
    <row r="421" s="33" customFormat="1" x14ac:dyDescent="0.25"/>
    <row r="422" s="33" customFormat="1" x14ac:dyDescent="0.25"/>
    <row r="423" s="33" customFormat="1" x14ac:dyDescent="0.25"/>
    <row r="424" s="33" customFormat="1" x14ac:dyDescent="0.25"/>
    <row r="425" s="33" customFormat="1" x14ac:dyDescent="0.25"/>
    <row r="426" s="33" customFormat="1" x14ac:dyDescent="0.25"/>
    <row r="427" s="33" customFormat="1" x14ac:dyDescent="0.25"/>
    <row r="428" s="33" customFormat="1" x14ac:dyDescent="0.25"/>
    <row r="429" s="33" customFormat="1" x14ac:dyDescent="0.25"/>
    <row r="430" s="33" customFormat="1" x14ac:dyDescent="0.25"/>
    <row r="431" s="33" customFormat="1" x14ac:dyDescent="0.25"/>
    <row r="432" s="33" customFormat="1" x14ac:dyDescent="0.25"/>
    <row r="433" s="33" customFormat="1" x14ac:dyDescent="0.25"/>
    <row r="434" s="33" customFormat="1" x14ac:dyDescent="0.25"/>
    <row r="435" s="33" customFormat="1" x14ac:dyDescent="0.25"/>
    <row r="436" s="33" customFormat="1" x14ac:dyDescent="0.25"/>
    <row r="437" s="33" customFormat="1" x14ac:dyDescent="0.25"/>
    <row r="438" s="33" customFormat="1" x14ac:dyDescent="0.25"/>
    <row r="439" s="33" customFormat="1" x14ac:dyDescent="0.25"/>
    <row r="440" s="33" customFormat="1" x14ac:dyDescent="0.25"/>
    <row r="441" s="33" customFormat="1" x14ac:dyDescent="0.25"/>
    <row r="442" s="33" customFormat="1" x14ac:dyDescent="0.25"/>
    <row r="443" s="33" customFormat="1" x14ac:dyDescent="0.25"/>
    <row r="444" s="33" customFormat="1" x14ac:dyDescent="0.25"/>
    <row r="445" s="33" customFormat="1" x14ac:dyDescent="0.25"/>
    <row r="446" s="33" customFormat="1" x14ac:dyDescent="0.25"/>
    <row r="447" s="33" customFormat="1" x14ac:dyDescent="0.25"/>
    <row r="448" s="33" customFormat="1" x14ac:dyDescent="0.25"/>
    <row r="449" s="33" customFormat="1" x14ac:dyDescent="0.25"/>
    <row r="450" s="33" customFormat="1" x14ac:dyDescent="0.25"/>
    <row r="451" s="33" customFormat="1" x14ac:dyDescent="0.25"/>
    <row r="452" s="33" customFormat="1" x14ac:dyDescent="0.25"/>
    <row r="453" s="33" customFormat="1" x14ac:dyDescent="0.25"/>
    <row r="454" s="33" customFormat="1" x14ac:dyDescent="0.25"/>
    <row r="455" s="33" customFormat="1" x14ac:dyDescent="0.25"/>
    <row r="456" s="33" customFormat="1" x14ac:dyDescent="0.25"/>
    <row r="457" s="33" customFormat="1" x14ac:dyDescent="0.25"/>
    <row r="458" s="33" customFormat="1" x14ac:dyDescent="0.25"/>
    <row r="459" s="33" customFormat="1" x14ac:dyDescent="0.25"/>
    <row r="460" s="33" customFormat="1" x14ac:dyDescent="0.25"/>
    <row r="461" s="33" customFormat="1" x14ac:dyDescent="0.25"/>
    <row r="462" s="33" customFormat="1" x14ac:dyDescent="0.25"/>
    <row r="463" s="33" customFormat="1" x14ac:dyDescent="0.25"/>
    <row r="464" s="33" customFormat="1" x14ac:dyDescent="0.25"/>
    <row r="465" s="33" customFormat="1" x14ac:dyDescent="0.25"/>
    <row r="466" s="33" customFormat="1" x14ac:dyDescent="0.25"/>
    <row r="467" s="33" customFormat="1" x14ac:dyDescent="0.25"/>
    <row r="468" s="33" customFormat="1" x14ac:dyDescent="0.25"/>
    <row r="469" s="33" customFormat="1" x14ac:dyDescent="0.25"/>
    <row r="470" s="33" customFormat="1" x14ac:dyDescent="0.25"/>
    <row r="471" s="33" customFormat="1" x14ac:dyDescent="0.25"/>
    <row r="472" s="33" customFormat="1" x14ac:dyDescent="0.25"/>
    <row r="473" s="33" customFormat="1" x14ac:dyDescent="0.25"/>
    <row r="474" s="33" customFormat="1" x14ac:dyDescent="0.25"/>
    <row r="475" s="33" customFormat="1" x14ac:dyDescent="0.25"/>
    <row r="476" s="33" customFormat="1" x14ac:dyDescent="0.25"/>
    <row r="477" s="33" customFormat="1" x14ac:dyDescent="0.25"/>
    <row r="478" s="33" customFormat="1" x14ac:dyDescent="0.25"/>
    <row r="479" s="33" customFormat="1" x14ac:dyDescent="0.25"/>
    <row r="480" s="33" customFormat="1" x14ac:dyDescent="0.25"/>
    <row r="481" s="33" customFormat="1" x14ac:dyDescent="0.25"/>
    <row r="482" s="33" customFormat="1" x14ac:dyDescent="0.25"/>
    <row r="483" s="33" customFormat="1" x14ac:dyDescent="0.25"/>
    <row r="484" s="33" customFormat="1" x14ac:dyDescent="0.25"/>
    <row r="485" s="33" customFormat="1" x14ac:dyDescent="0.25"/>
    <row r="486" s="33" customFormat="1" x14ac:dyDescent="0.25"/>
    <row r="487" s="33" customFormat="1" x14ac:dyDescent="0.25"/>
    <row r="488" s="33" customFormat="1" x14ac:dyDescent="0.25"/>
    <row r="489" s="33" customFormat="1" x14ac:dyDescent="0.25"/>
    <row r="490" s="33" customFormat="1" x14ac:dyDescent="0.25"/>
    <row r="491" s="33" customFormat="1" x14ac:dyDescent="0.25"/>
    <row r="492" s="33" customFormat="1" x14ac:dyDescent="0.25"/>
    <row r="493" s="33" customFormat="1" x14ac:dyDescent="0.25"/>
    <row r="494" s="33" customFormat="1" x14ac:dyDescent="0.25"/>
    <row r="495" s="33" customFormat="1" x14ac:dyDescent="0.25"/>
    <row r="496" s="33" customFormat="1" x14ac:dyDescent="0.25"/>
    <row r="497" s="33" customFormat="1" x14ac:dyDescent="0.25"/>
    <row r="498" s="33" customFormat="1" x14ac:dyDescent="0.25"/>
    <row r="499" s="33" customFormat="1" x14ac:dyDescent="0.25"/>
    <row r="500" s="33" customFormat="1" x14ac:dyDescent="0.25"/>
    <row r="501" s="33" customFormat="1" x14ac:dyDescent="0.25"/>
    <row r="502" s="33" customFormat="1" x14ac:dyDescent="0.25"/>
    <row r="503" s="33" customFormat="1" x14ac:dyDescent="0.25"/>
    <row r="504" s="33" customFormat="1" x14ac:dyDescent="0.25"/>
    <row r="505" s="33" customFormat="1" x14ac:dyDescent="0.25"/>
    <row r="506" s="33" customFormat="1" x14ac:dyDescent="0.25"/>
    <row r="507" s="33" customFormat="1" x14ac:dyDescent="0.25"/>
    <row r="508" s="33" customFormat="1" x14ac:dyDescent="0.25"/>
    <row r="509" s="33" customFormat="1" x14ac:dyDescent="0.25"/>
    <row r="510" s="33" customFormat="1" x14ac:dyDescent="0.25"/>
    <row r="511" s="33" customFormat="1" x14ac:dyDescent="0.25"/>
    <row r="512" s="33" customFormat="1" x14ac:dyDescent="0.25"/>
    <row r="513" s="33" customFormat="1" x14ac:dyDescent="0.25"/>
    <row r="514" s="33" customFormat="1" x14ac:dyDescent="0.25"/>
    <row r="515" s="33" customFormat="1" x14ac:dyDescent="0.25"/>
    <row r="516" s="33" customFormat="1" x14ac:dyDescent="0.25"/>
    <row r="517" s="33" customFormat="1" x14ac:dyDescent="0.25"/>
    <row r="518" s="33" customFormat="1" x14ac:dyDescent="0.25"/>
    <row r="519" s="33" customFormat="1" x14ac:dyDescent="0.25"/>
    <row r="520" s="33" customFormat="1" x14ac:dyDescent="0.25"/>
    <row r="521" s="33" customFormat="1" x14ac:dyDescent="0.25"/>
    <row r="522" s="33" customFormat="1" x14ac:dyDescent="0.25"/>
    <row r="523" s="33" customFormat="1" x14ac:dyDescent="0.25"/>
    <row r="524" s="33" customFormat="1" x14ac:dyDescent="0.25"/>
    <row r="525" s="33" customFormat="1" x14ac:dyDescent="0.25"/>
    <row r="526" s="33" customFormat="1" x14ac:dyDescent="0.25"/>
    <row r="527" s="33" customFormat="1" x14ac:dyDescent="0.25"/>
    <row r="528" s="33" customFormat="1" x14ac:dyDescent="0.25"/>
    <row r="529" s="33" customFormat="1" x14ac:dyDescent="0.25"/>
    <row r="530" s="33" customFormat="1" x14ac:dyDescent="0.25"/>
    <row r="531" s="33" customFormat="1" x14ac:dyDescent="0.25"/>
    <row r="532" s="33" customFormat="1" x14ac:dyDescent="0.25"/>
    <row r="533" s="33" customFormat="1" x14ac:dyDescent="0.25"/>
    <row r="534" s="33" customFormat="1" x14ac:dyDescent="0.25"/>
    <row r="535" s="33" customFormat="1" x14ac:dyDescent="0.25"/>
    <row r="536" s="33" customFormat="1" x14ac:dyDescent="0.25"/>
    <row r="537" s="33" customFormat="1" x14ac:dyDescent="0.25"/>
    <row r="538" s="33" customFormat="1" x14ac:dyDescent="0.25"/>
    <row r="539" s="33" customFormat="1" x14ac:dyDescent="0.25"/>
    <row r="540" s="33" customFormat="1" x14ac:dyDescent="0.25"/>
    <row r="541" s="33" customFormat="1" x14ac:dyDescent="0.25"/>
    <row r="542" s="33" customFormat="1" x14ac:dyDescent="0.25"/>
    <row r="543" s="33" customFormat="1" x14ac:dyDescent="0.25"/>
    <row r="544" s="33" customFormat="1" x14ac:dyDescent="0.25"/>
    <row r="545" s="33" customFormat="1" x14ac:dyDescent="0.25"/>
    <row r="546" s="33" customFormat="1" x14ac:dyDescent="0.25"/>
    <row r="547" s="33" customFormat="1" x14ac:dyDescent="0.25"/>
    <row r="548" s="33" customFormat="1" x14ac:dyDescent="0.25"/>
    <row r="549" s="33" customFormat="1" x14ac:dyDescent="0.25"/>
    <row r="550" s="33" customFormat="1" x14ac:dyDescent="0.25"/>
    <row r="551" s="33" customFormat="1" x14ac:dyDescent="0.25"/>
    <row r="552" s="33" customFormat="1" x14ac:dyDescent="0.25"/>
    <row r="553" s="33" customFormat="1" x14ac:dyDescent="0.25"/>
    <row r="554" s="33" customFormat="1" x14ac:dyDescent="0.25"/>
    <row r="555" s="33" customFormat="1" x14ac:dyDescent="0.25"/>
    <row r="556" s="33" customFormat="1" x14ac:dyDescent="0.25"/>
    <row r="557" s="33" customFormat="1" x14ac:dyDescent="0.25"/>
    <row r="558" s="33" customFormat="1" x14ac:dyDescent="0.25"/>
    <row r="559" s="33" customFormat="1" x14ac:dyDescent="0.25"/>
    <row r="560" s="33" customFormat="1" x14ac:dyDescent="0.25"/>
    <row r="561" s="33" customFormat="1" x14ac:dyDescent="0.25"/>
    <row r="562" s="33" customFormat="1" x14ac:dyDescent="0.25"/>
    <row r="563" s="33" customFormat="1" x14ac:dyDescent="0.25"/>
    <row r="564" s="33" customFormat="1" x14ac:dyDescent="0.25"/>
    <row r="565" s="33" customFormat="1" x14ac:dyDescent="0.25"/>
    <row r="566" s="33" customFormat="1" x14ac:dyDescent="0.25"/>
    <row r="567" s="33" customFormat="1" x14ac:dyDescent="0.25"/>
    <row r="568" s="33" customFormat="1" x14ac:dyDescent="0.25"/>
    <row r="569" s="33" customFormat="1" x14ac:dyDescent="0.25"/>
    <row r="570" s="33" customFormat="1" x14ac:dyDescent="0.25"/>
    <row r="571" s="33" customFormat="1" x14ac:dyDescent="0.25"/>
    <row r="572" s="33" customFormat="1" x14ac:dyDescent="0.25"/>
    <row r="573" s="33" customFormat="1" x14ac:dyDescent="0.25"/>
    <row r="574" s="33" customFormat="1" x14ac:dyDescent="0.25"/>
    <row r="575" s="33" customFormat="1" x14ac:dyDescent="0.25"/>
    <row r="576" s="33" customFormat="1" x14ac:dyDescent="0.25"/>
    <row r="577" s="33" customFormat="1" x14ac:dyDescent="0.25"/>
    <row r="578" s="33" customFormat="1" x14ac:dyDescent="0.25"/>
    <row r="579" s="33" customFormat="1" x14ac:dyDescent="0.25"/>
    <row r="580" s="33" customFormat="1" x14ac:dyDescent="0.25"/>
    <row r="581" s="33" customFormat="1" x14ac:dyDescent="0.25"/>
    <row r="582" s="33" customFormat="1" x14ac:dyDescent="0.25"/>
    <row r="583" s="33" customFormat="1" x14ac:dyDescent="0.25"/>
    <row r="584" s="33" customFormat="1" x14ac:dyDescent="0.25"/>
    <row r="585" s="33" customFormat="1" x14ac:dyDescent="0.25"/>
    <row r="586" s="33" customFormat="1" x14ac:dyDescent="0.25"/>
    <row r="587" s="33" customFormat="1" x14ac:dyDescent="0.25"/>
    <row r="588" s="33" customFormat="1" x14ac:dyDescent="0.25"/>
    <row r="589" s="33" customFormat="1" x14ac:dyDescent="0.25"/>
    <row r="590" s="33" customFormat="1" x14ac:dyDescent="0.25"/>
    <row r="591" s="33" customFormat="1" x14ac:dyDescent="0.25"/>
    <row r="592" s="33" customFormat="1" x14ac:dyDescent="0.25"/>
    <row r="593" s="33" customFormat="1" x14ac:dyDescent="0.25"/>
    <row r="594" s="33" customFormat="1" x14ac:dyDescent="0.25"/>
    <row r="595" s="33" customFormat="1" x14ac:dyDescent="0.25"/>
    <row r="596" s="33" customFormat="1" x14ac:dyDescent="0.25"/>
    <row r="597" s="33" customFormat="1" x14ac:dyDescent="0.25"/>
    <row r="598" s="33" customFormat="1" x14ac:dyDescent="0.25"/>
    <row r="599" s="33" customFormat="1" x14ac:dyDescent="0.25"/>
    <row r="600" s="33" customFormat="1" x14ac:dyDescent="0.25"/>
    <row r="601" s="33" customFormat="1" x14ac:dyDescent="0.25"/>
    <row r="602" s="33" customFormat="1" x14ac:dyDescent="0.25"/>
    <row r="603" s="33" customFormat="1" x14ac:dyDescent="0.25"/>
    <row r="604" s="33" customFormat="1" x14ac:dyDescent="0.25"/>
    <row r="605" s="33" customFormat="1" x14ac:dyDescent="0.25"/>
    <row r="606" s="33" customFormat="1" x14ac:dyDescent="0.25"/>
    <row r="607" s="33" customFormat="1" x14ac:dyDescent="0.25"/>
    <row r="608" s="33" customFormat="1" x14ac:dyDescent="0.25"/>
    <row r="609" s="33" customFormat="1" x14ac:dyDescent="0.25"/>
    <row r="610" s="33" customFormat="1" x14ac:dyDescent="0.25"/>
    <row r="611" s="33" customFormat="1" x14ac:dyDescent="0.25"/>
  </sheetData>
  <sheetProtection algorithmName="SHA-512" hashValue="S2pFKyNvD++4VaQ/F7rPYrxtbwb8bjMahIzbggxnLtmSOTzKV2bE7saaUVPyBHKlw7S8FoLJKqbgs2IegnPH5g==" saltValue="mnPBJvPVgGa1yYWgkmZgRQ==" spinCount="100000" sheet="1" objects="1" scenarios="1" formatCells="0" formatColumns="0" formatRows="0" autoFilter="0"/>
  <mergeCells count="10">
    <mergeCell ref="F1:H3"/>
    <mergeCell ref="A6:E6"/>
    <mergeCell ref="A1:E1"/>
    <mergeCell ref="A2:E2"/>
    <mergeCell ref="A3:E3"/>
    <mergeCell ref="A4:E4"/>
    <mergeCell ref="A5:E5"/>
    <mergeCell ref="F4:H4"/>
    <mergeCell ref="F5:G6"/>
    <mergeCell ref="H5:H6"/>
  </mergeCells>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6FBB9-7B51-4989-9A6D-4D971CADD203}">
  <sheetPr codeName="Foglio3"/>
  <dimension ref="A1:TV601"/>
  <sheetViews>
    <sheetView zoomScaleNormal="100" workbookViewId="0">
      <pane xSplit="2" ySplit="14" topLeftCell="C28" activePane="bottomRight" state="frozen"/>
      <selection sqref="A1:XFD1048576"/>
      <selection pane="topRight" sqref="A1:XFD1048576"/>
      <selection pane="bottomLeft" sqref="A1:XFD1048576"/>
      <selection pane="bottomRight" sqref="A1:B1"/>
    </sheetView>
  </sheetViews>
  <sheetFormatPr defaultColWidth="37.5703125" defaultRowHeight="15" x14ac:dyDescent="0.25"/>
  <cols>
    <col min="1" max="1" width="72.85546875" style="195" customWidth="1"/>
    <col min="2" max="2" width="23.85546875" style="179" customWidth="1"/>
    <col min="3" max="540" width="20.85546875" style="178" customWidth="1"/>
    <col min="541" max="557" width="20.85546875" style="180" customWidth="1"/>
    <col min="558" max="16384" width="37.5703125" style="180"/>
  </cols>
  <sheetData>
    <row r="1" spans="1:542" ht="23.25" x14ac:dyDescent="0.25">
      <c r="A1" s="338" t="s">
        <v>402</v>
      </c>
      <c r="B1" s="339"/>
      <c r="C1" s="304" t="e" vm="2">
        <v>#VALUE!</v>
      </c>
      <c r="D1" s="306"/>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TU1" s="179"/>
      <c r="TV1" s="179"/>
    </row>
    <row r="2" spans="1:542" x14ac:dyDescent="0.25">
      <c r="A2" s="319" t="str">
        <f>'1-START'!C6&amp;":"&amp;'1-START'!P6</f>
        <v>JOB NUMBER:</v>
      </c>
      <c r="B2" s="321"/>
      <c r="C2" s="307"/>
      <c r="D2" s="309"/>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TU2" s="179"/>
      <c r="TV2" s="179"/>
    </row>
    <row r="3" spans="1:542" ht="15.75" thickBot="1" x14ac:dyDescent="0.3">
      <c r="A3" s="319" t="str">
        <f>'1-START'!C7&amp;" : "&amp;'1-START'!P7</f>
        <v xml:space="preserve">End User Name : </v>
      </c>
      <c r="B3" s="321"/>
      <c r="C3" s="336"/>
      <c r="D3" s="337"/>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TU3" s="179"/>
      <c r="TV3" s="179"/>
    </row>
    <row r="4" spans="1:542" ht="18.75" x14ac:dyDescent="0.25">
      <c r="A4" s="319" t="str">
        <f>'1-START'!C8&amp;" : "&amp;'1-START'!P8</f>
        <v xml:space="preserve">Engineering Contractor Name : </v>
      </c>
      <c r="B4" s="321"/>
      <c r="C4" s="331" t="s">
        <v>419</v>
      </c>
      <c r="D4" s="332"/>
      <c r="E4" s="181"/>
      <c r="F4" s="181"/>
      <c r="G4" s="181"/>
      <c r="H4" s="181"/>
      <c r="I4" s="181"/>
      <c r="J4" s="181"/>
      <c r="K4" s="181"/>
      <c r="L4" s="181"/>
      <c r="M4" s="181"/>
      <c r="N4" s="181"/>
      <c r="O4" s="181"/>
      <c r="P4" s="181"/>
      <c r="Q4" s="181"/>
      <c r="R4" s="181"/>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TU4" s="179"/>
      <c r="TV4" s="179"/>
    </row>
    <row r="5" spans="1:542" ht="21" x14ac:dyDescent="0.25">
      <c r="A5" s="319" t="str">
        <f>'1-START'!C9&amp;" : "&amp;'1-START'!P9</f>
        <v xml:space="preserve">Project Name : </v>
      </c>
      <c r="B5" s="321"/>
      <c r="C5" s="333" t="str">
        <f>'1-START'!M43</f>
        <v>TS_</v>
      </c>
      <c r="D5" s="334" t="str">
        <f>"Rev." &amp; MAX('1-START'!B22:E40)</f>
        <v>Rev.0</v>
      </c>
      <c r="E5" s="182"/>
      <c r="F5" s="182"/>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c r="BH5" s="182"/>
      <c r="BI5" s="182"/>
      <c r="BJ5" s="182"/>
      <c r="BK5" s="182"/>
      <c r="TU5" s="179"/>
      <c r="TV5" s="179"/>
    </row>
    <row r="6" spans="1:542" ht="21.75" thickBot="1" x14ac:dyDescent="0.3">
      <c r="A6" s="335" t="str">
        <f>'1-START'!C10&amp;" : "&amp;'1-START'!P10</f>
        <v xml:space="preserve">Country Of Installation : </v>
      </c>
      <c r="B6" s="315"/>
      <c r="C6" s="333"/>
      <c r="D6" s="334"/>
      <c r="E6" s="182"/>
      <c r="F6" s="18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c r="TU6" s="179"/>
      <c r="TV6" s="179"/>
    </row>
    <row r="7" spans="1:542" s="188" customFormat="1" x14ac:dyDescent="0.25">
      <c r="A7" s="183" t="s">
        <v>86</v>
      </c>
      <c r="B7" s="184" t="s">
        <v>268</v>
      </c>
      <c r="C7" s="185" t="s">
        <v>279</v>
      </c>
      <c r="D7" s="122" t="s">
        <v>270</v>
      </c>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c r="AM7" s="186"/>
      <c r="AN7" s="186"/>
      <c r="AO7" s="186"/>
      <c r="AP7" s="186"/>
      <c r="AQ7" s="186"/>
      <c r="AR7" s="186"/>
      <c r="AS7" s="186"/>
      <c r="AT7" s="186"/>
      <c r="AU7" s="186"/>
      <c r="AV7" s="186"/>
      <c r="AW7" s="186"/>
      <c r="AX7" s="186"/>
      <c r="AY7" s="186"/>
      <c r="AZ7" s="186"/>
      <c r="BA7" s="186"/>
      <c r="BB7" s="186"/>
      <c r="BC7" s="186"/>
      <c r="BD7" s="186"/>
      <c r="BE7" s="186"/>
      <c r="BF7" s="186"/>
      <c r="BG7" s="186"/>
      <c r="BH7" s="186"/>
      <c r="BI7" s="186"/>
      <c r="BJ7" s="186"/>
      <c r="BK7" s="186"/>
      <c r="BL7" s="186"/>
      <c r="BM7" s="186"/>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c r="QN7" s="187"/>
      <c r="QO7" s="187"/>
      <c r="QP7" s="187"/>
      <c r="QQ7" s="187"/>
      <c r="QR7" s="187"/>
      <c r="QS7" s="187"/>
      <c r="QT7" s="187"/>
      <c r="QU7" s="187"/>
      <c r="QV7" s="187"/>
      <c r="QW7" s="187"/>
      <c r="QX7" s="187"/>
      <c r="QY7" s="187"/>
      <c r="QZ7" s="187"/>
      <c r="RA7" s="187"/>
      <c r="RB7" s="187"/>
      <c r="RC7" s="187"/>
      <c r="RD7" s="187"/>
      <c r="RE7" s="187"/>
      <c r="RF7" s="187"/>
      <c r="RG7" s="187"/>
      <c r="RH7" s="187"/>
      <c r="RI7" s="187"/>
      <c r="RJ7" s="187"/>
      <c r="RK7" s="187"/>
      <c r="RL7" s="187"/>
      <c r="RM7" s="187"/>
      <c r="RN7" s="187"/>
      <c r="RO7" s="187"/>
      <c r="RP7" s="187"/>
      <c r="RQ7" s="187"/>
      <c r="RR7" s="187"/>
      <c r="RS7" s="187"/>
      <c r="RT7" s="187"/>
      <c r="RU7" s="187"/>
      <c r="RV7" s="187"/>
      <c r="RW7" s="187"/>
      <c r="RX7" s="187"/>
      <c r="RY7" s="187"/>
      <c r="RZ7" s="187"/>
      <c r="SA7" s="187"/>
      <c r="SB7" s="187"/>
      <c r="SC7" s="187"/>
      <c r="SD7" s="187"/>
      <c r="SE7" s="187"/>
      <c r="SF7" s="187"/>
      <c r="SG7" s="187"/>
      <c r="SH7" s="187"/>
      <c r="SI7" s="187"/>
      <c r="SJ7" s="187"/>
      <c r="SK7" s="187"/>
      <c r="SL7" s="187"/>
      <c r="SM7" s="187"/>
      <c r="SN7" s="187"/>
      <c r="SO7" s="187"/>
      <c r="SP7" s="187"/>
      <c r="SQ7" s="187"/>
      <c r="SR7" s="187"/>
      <c r="SS7" s="187"/>
      <c r="ST7" s="187"/>
      <c r="SU7" s="187"/>
      <c r="SV7" s="187"/>
      <c r="SW7" s="187"/>
      <c r="SX7" s="187"/>
      <c r="SY7" s="187"/>
      <c r="SZ7" s="187"/>
      <c r="TA7" s="187"/>
      <c r="TB7" s="187"/>
      <c r="TC7" s="187"/>
      <c r="TD7" s="187"/>
      <c r="TE7" s="187"/>
      <c r="TF7" s="187"/>
      <c r="TG7" s="187"/>
      <c r="TH7" s="187"/>
      <c r="TI7" s="187"/>
      <c r="TJ7" s="187"/>
      <c r="TK7" s="187"/>
      <c r="TL7" s="187"/>
      <c r="TM7" s="187"/>
      <c r="TN7" s="187"/>
      <c r="TO7" s="187"/>
      <c r="TP7" s="187"/>
      <c r="TQ7" s="187"/>
      <c r="TR7" s="187"/>
      <c r="TS7" s="187"/>
      <c r="TT7" s="187"/>
      <c r="TU7" s="187"/>
      <c r="TV7" s="187"/>
    </row>
    <row r="8" spans="1:542" x14ac:dyDescent="0.25">
      <c r="A8" s="189" t="s">
        <v>87</v>
      </c>
      <c r="B8" s="148"/>
      <c r="C8" s="149"/>
      <c r="D8" s="105"/>
      <c r="E8" s="190"/>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TU8" s="178"/>
      <c r="TV8" s="178"/>
    </row>
    <row r="9" spans="1:542" s="188" customFormat="1" x14ac:dyDescent="0.25">
      <c r="A9" s="96" t="str" cm="1">
        <f t="array" ref="A9:A139">IF(TRANSPOSE('2-SCOPE SUMMARY'!$A$7:$EA$7)="","",TRANSPOSE('2-SCOPE SUMMARY'!$A$7:$EA$7))</f>
        <v>INTERNAL ORDER</v>
      </c>
      <c r="B9" s="191" t="str" cm="1">
        <f t="array" ref="B9:B139">IF(TRANSPOSE('2-SCOPE SUMMARY'!$A$8:$EA$8)="","",TRANSPOSE('2-SCOPE SUMMARY'!$A$8:$EA$8))</f>
        <v>[number]</v>
      </c>
      <c r="C9" s="157" t="str" cm="1">
        <f t="array" ref="C9:C139">IF(TRANSPOSE('2-SCOPE SUMMARY'!$A$9:$EA$9)="","",TRANSPOSE('2-SCOPE SUMMARY'!$A$9:$EA$9))</f>
        <v/>
      </c>
      <c r="D9" s="155"/>
      <c r="E9" s="190"/>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c r="DR9" s="187"/>
      <c r="DS9" s="187"/>
      <c r="DT9" s="187"/>
      <c r="DU9" s="187"/>
      <c r="DV9" s="187"/>
      <c r="DW9" s="187"/>
      <c r="DX9" s="187"/>
      <c r="DY9" s="187"/>
      <c r="DZ9" s="187"/>
      <c r="EA9" s="187"/>
      <c r="EB9" s="187"/>
      <c r="EC9" s="187"/>
      <c r="ED9" s="187"/>
      <c r="EE9" s="187"/>
      <c r="EF9" s="187"/>
      <c r="EG9" s="187"/>
      <c r="EH9" s="187"/>
      <c r="EI9" s="187"/>
      <c r="EJ9" s="187"/>
      <c r="EK9" s="187"/>
      <c r="EL9" s="187"/>
      <c r="EM9" s="187"/>
      <c r="EN9" s="187"/>
      <c r="EO9" s="187"/>
      <c r="EP9" s="187"/>
      <c r="EQ9" s="187"/>
      <c r="ER9" s="187"/>
      <c r="ES9" s="187"/>
      <c r="ET9" s="187"/>
      <c r="EU9" s="187"/>
      <c r="EV9" s="187"/>
      <c r="EW9" s="187"/>
      <c r="EX9" s="187"/>
      <c r="EY9" s="187"/>
      <c r="EZ9" s="187"/>
      <c r="FA9" s="187"/>
      <c r="FB9" s="187"/>
      <c r="FC9" s="187"/>
      <c r="FD9" s="187"/>
      <c r="FE9" s="187"/>
      <c r="FF9" s="187"/>
      <c r="FG9" s="187"/>
      <c r="FH9" s="187"/>
      <c r="FI9" s="187"/>
      <c r="FJ9" s="187"/>
      <c r="FK9" s="187"/>
      <c r="FL9" s="187"/>
      <c r="FM9" s="187"/>
      <c r="FN9" s="187"/>
      <c r="FO9" s="187"/>
      <c r="FP9" s="187"/>
      <c r="FQ9" s="187"/>
      <c r="FR9" s="187"/>
      <c r="FS9" s="187"/>
      <c r="FT9" s="187"/>
      <c r="FU9" s="187"/>
      <c r="FV9" s="187"/>
      <c r="FW9" s="187"/>
      <c r="FX9" s="187"/>
      <c r="FY9" s="187"/>
      <c r="FZ9" s="187"/>
      <c r="GA9" s="187"/>
      <c r="GB9" s="187"/>
      <c r="GC9" s="187"/>
      <c r="GD9" s="187"/>
      <c r="GE9" s="187"/>
      <c r="GF9" s="187"/>
      <c r="GG9" s="187"/>
      <c r="GH9" s="187"/>
      <c r="GI9" s="187"/>
      <c r="GJ9" s="187"/>
      <c r="GK9" s="187"/>
      <c r="GL9" s="187"/>
      <c r="GM9" s="187"/>
      <c r="GN9" s="187"/>
      <c r="GO9" s="187"/>
      <c r="GP9" s="187"/>
      <c r="GQ9" s="187"/>
      <c r="GR9" s="187"/>
      <c r="GS9" s="187"/>
      <c r="GT9" s="187"/>
      <c r="GU9" s="187"/>
      <c r="GV9" s="187"/>
      <c r="GW9" s="187"/>
      <c r="GX9" s="187"/>
      <c r="GY9" s="187"/>
      <c r="GZ9" s="187"/>
      <c r="HA9" s="187"/>
      <c r="HB9" s="187"/>
      <c r="HC9" s="187"/>
      <c r="HD9" s="187"/>
      <c r="HE9" s="187"/>
      <c r="HF9" s="187"/>
      <c r="HG9" s="187"/>
      <c r="HH9" s="187"/>
      <c r="HI9" s="187"/>
      <c r="HJ9" s="187"/>
      <c r="HK9" s="187"/>
      <c r="HL9" s="187"/>
      <c r="HM9" s="187"/>
      <c r="HN9" s="187"/>
      <c r="HO9" s="187"/>
      <c r="HP9" s="187"/>
      <c r="HQ9" s="187"/>
      <c r="HR9" s="187"/>
      <c r="HS9" s="187"/>
      <c r="HT9" s="187"/>
      <c r="HU9" s="187"/>
      <c r="HV9" s="187"/>
      <c r="HW9" s="187"/>
      <c r="HX9" s="187"/>
      <c r="HY9" s="187"/>
      <c r="HZ9" s="187"/>
      <c r="IA9" s="187"/>
      <c r="IB9" s="187"/>
      <c r="IC9" s="187"/>
      <c r="ID9" s="187"/>
      <c r="IE9" s="187"/>
      <c r="IF9" s="187"/>
      <c r="IG9" s="187"/>
      <c r="IH9" s="187"/>
      <c r="II9" s="187"/>
      <c r="IJ9" s="187"/>
      <c r="IK9" s="187"/>
      <c r="IL9" s="187"/>
      <c r="IM9" s="187"/>
      <c r="IN9" s="187"/>
      <c r="IO9" s="187"/>
      <c r="IP9" s="187"/>
      <c r="IQ9" s="187"/>
      <c r="IR9" s="187"/>
      <c r="IS9" s="187"/>
      <c r="IT9" s="187"/>
      <c r="IU9" s="187"/>
      <c r="IV9" s="187"/>
      <c r="IW9" s="187"/>
      <c r="IX9" s="187"/>
      <c r="IY9" s="187"/>
      <c r="IZ9" s="187"/>
      <c r="JA9" s="187"/>
      <c r="JB9" s="187"/>
      <c r="JC9" s="187"/>
      <c r="JD9" s="187"/>
      <c r="JE9" s="187"/>
      <c r="JF9" s="187"/>
      <c r="JG9" s="187"/>
      <c r="JH9" s="187"/>
      <c r="JI9" s="187"/>
      <c r="JJ9" s="187"/>
      <c r="JK9" s="187"/>
      <c r="JL9" s="187"/>
      <c r="JM9" s="187"/>
      <c r="JN9" s="187"/>
      <c r="JO9" s="187"/>
      <c r="JP9" s="187"/>
      <c r="JQ9" s="187"/>
      <c r="JR9" s="187"/>
      <c r="JS9" s="187"/>
      <c r="JT9" s="187"/>
      <c r="JU9" s="187"/>
      <c r="JV9" s="187"/>
      <c r="JW9" s="187"/>
      <c r="JX9" s="187"/>
      <c r="JY9" s="187"/>
      <c r="JZ9" s="187"/>
      <c r="KA9" s="187"/>
      <c r="KB9" s="187"/>
      <c r="KC9" s="187"/>
      <c r="KD9" s="187"/>
      <c r="KE9" s="187"/>
      <c r="KF9" s="187"/>
      <c r="KG9" s="187"/>
      <c r="KH9" s="187"/>
      <c r="KI9" s="187"/>
      <c r="KJ9" s="187"/>
      <c r="KK9" s="187"/>
      <c r="KL9" s="187"/>
      <c r="KM9" s="187"/>
      <c r="KN9" s="187"/>
      <c r="KO9" s="187"/>
      <c r="KP9" s="187"/>
      <c r="KQ9" s="187"/>
      <c r="KR9" s="187"/>
      <c r="KS9" s="187"/>
      <c r="KT9" s="187"/>
      <c r="KU9" s="187"/>
      <c r="KV9" s="187"/>
      <c r="KW9" s="187"/>
      <c r="KX9" s="187"/>
      <c r="KY9" s="187"/>
      <c r="KZ9" s="187"/>
      <c r="LA9" s="187"/>
      <c r="LB9" s="187"/>
      <c r="LC9" s="187"/>
      <c r="LD9" s="187"/>
      <c r="LE9" s="187"/>
      <c r="LF9" s="187"/>
      <c r="LG9" s="187"/>
      <c r="LH9" s="187"/>
      <c r="LI9" s="187"/>
      <c r="LJ9" s="187"/>
      <c r="LK9" s="187"/>
      <c r="LL9" s="187"/>
      <c r="LM9" s="187"/>
      <c r="LN9" s="187"/>
      <c r="LO9" s="187"/>
      <c r="LP9" s="187"/>
      <c r="LQ9" s="187"/>
      <c r="LR9" s="187"/>
      <c r="LS9" s="187"/>
      <c r="LT9" s="187"/>
      <c r="LU9" s="187"/>
      <c r="LV9" s="187"/>
      <c r="LW9" s="187"/>
      <c r="LX9" s="187"/>
      <c r="LY9" s="187"/>
      <c r="LZ9" s="187"/>
      <c r="MA9" s="187"/>
      <c r="MB9" s="187"/>
      <c r="MC9" s="187"/>
      <c r="MD9" s="187"/>
      <c r="ME9" s="187"/>
      <c r="MF9" s="187"/>
      <c r="MG9" s="187"/>
      <c r="MH9" s="187"/>
      <c r="MI9" s="187"/>
      <c r="MJ9" s="187"/>
      <c r="MK9" s="187"/>
      <c r="ML9" s="187"/>
      <c r="MM9" s="187"/>
      <c r="MN9" s="187"/>
      <c r="MO9" s="187"/>
      <c r="MP9" s="187"/>
      <c r="MQ9" s="187"/>
      <c r="MR9" s="187"/>
      <c r="MS9" s="187"/>
      <c r="MT9" s="187"/>
      <c r="MU9" s="187"/>
      <c r="MV9" s="187"/>
      <c r="MW9" s="187"/>
      <c r="MX9" s="187"/>
      <c r="MY9" s="187"/>
      <c r="MZ9" s="187"/>
      <c r="NA9" s="187"/>
      <c r="NB9" s="187"/>
      <c r="NC9" s="187"/>
      <c r="ND9" s="187"/>
      <c r="NE9" s="187"/>
      <c r="NF9" s="187"/>
      <c r="NG9" s="187"/>
      <c r="NH9" s="187"/>
      <c r="NI9" s="187"/>
      <c r="NJ9" s="187"/>
      <c r="NK9" s="187"/>
      <c r="NL9" s="187"/>
      <c r="NM9" s="187"/>
      <c r="NN9" s="187"/>
      <c r="NO9" s="187"/>
      <c r="NP9" s="187"/>
      <c r="NQ9" s="187"/>
      <c r="NR9" s="187"/>
      <c r="NS9" s="187"/>
      <c r="NT9" s="187"/>
      <c r="NU9" s="187"/>
      <c r="NV9" s="187"/>
      <c r="NW9" s="187"/>
      <c r="NX9" s="187"/>
      <c r="NY9" s="187"/>
      <c r="NZ9" s="187"/>
      <c r="OA9" s="187"/>
      <c r="OB9" s="187"/>
      <c r="OC9" s="187"/>
      <c r="OD9" s="187"/>
      <c r="OE9" s="187"/>
      <c r="OF9" s="187"/>
      <c r="OG9" s="187"/>
      <c r="OH9" s="187"/>
      <c r="OI9" s="187"/>
      <c r="OJ9" s="187"/>
      <c r="OK9" s="187"/>
      <c r="OL9" s="187"/>
      <c r="OM9" s="187"/>
      <c r="ON9" s="187"/>
      <c r="OO9" s="187"/>
      <c r="OP9" s="187"/>
      <c r="OQ9" s="187"/>
      <c r="OR9" s="187"/>
      <c r="OS9" s="187"/>
      <c r="OT9" s="187"/>
      <c r="OU9" s="187"/>
      <c r="OV9" s="187"/>
      <c r="OW9" s="187"/>
      <c r="OX9" s="187"/>
      <c r="OY9" s="187"/>
      <c r="OZ9" s="187"/>
      <c r="PA9" s="187"/>
      <c r="PB9" s="187"/>
      <c r="PC9" s="187"/>
      <c r="PD9" s="187"/>
      <c r="PE9" s="187"/>
      <c r="PF9" s="187"/>
      <c r="PG9" s="187"/>
      <c r="PH9" s="187"/>
      <c r="PI9" s="187"/>
      <c r="PJ9" s="187"/>
      <c r="PK9" s="187"/>
      <c r="PL9" s="187"/>
      <c r="PM9" s="187"/>
      <c r="PN9" s="187"/>
      <c r="PO9" s="187"/>
      <c r="PP9" s="187"/>
      <c r="PQ9" s="187"/>
      <c r="PR9" s="187"/>
      <c r="PS9" s="187"/>
      <c r="PT9" s="187"/>
      <c r="PU9" s="187"/>
      <c r="PV9" s="187"/>
      <c r="PW9" s="187"/>
      <c r="PX9" s="187"/>
      <c r="PY9" s="187"/>
      <c r="PZ9" s="187"/>
      <c r="QA9" s="187"/>
      <c r="QB9" s="187"/>
      <c r="QC9" s="187"/>
      <c r="QD9" s="187"/>
      <c r="QE9" s="187"/>
      <c r="QF9" s="187"/>
      <c r="QG9" s="187"/>
      <c r="QH9" s="187"/>
      <c r="QI9" s="187"/>
      <c r="QJ9" s="187"/>
      <c r="QK9" s="187"/>
      <c r="QL9" s="187"/>
      <c r="QM9" s="187"/>
      <c r="QN9" s="187"/>
      <c r="QO9" s="187"/>
      <c r="QP9" s="187"/>
      <c r="QQ9" s="187"/>
      <c r="QR9" s="187"/>
      <c r="QS9" s="187"/>
      <c r="QT9" s="187"/>
      <c r="QU9" s="187"/>
      <c r="QV9" s="187"/>
      <c r="QW9" s="187"/>
      <c r="QX9" s="187"/>
      <c r="QY9" s="187"/>
      <c r="QZ9" s="187"/>
      <c r="RA9" s="187"/>
      <c r="RB9" s="187"/>
      <c r="RC9" s="187"/>
      <c r="RD9" s="187"/>
      <c r="RE9" s="187"/>
      <c r="RF9" s="187"/>
      <c r="RG9" s="187"/>
      <c r="RH9" s="187"/>
      <c r="RI9" s="187"/>
      <c r="RJ9" s="187"/>
      <c r="RK9" s="187"/>
      <c r="RL9" s="187"/>
      <c r="RM9" s="187"/>
      <c r="RN9" s="187"/>
      <c r="RO9" s="187"/>
      <c r="RP9" s="187"/>
      <c r="RQ9" s="187"/>
      <c r="RR9" s="187"/>
      <c r="RS9" s="187"/>
      <c r="RT9" s="187"/>
      <c r="RU9" s="187"/>
      <c r="RV9" s="187"/>
      <c r="RW9" s="187"/>
      <c r="RX9" s="187"/>
      <c r="RY9" s="187"/>
      <c r="RZ9" s="187"/>
      <c r="SA9" s="187"/>
      <c r="SB9" s="187"/>
      <c r="SC9" s="187"/>
      <c r="SD9" s="187"/>
      <c r="SE9" s="187"/>
      <c r="SF9" s="187"/>
      <c r="SG9" s="187"/>
      <c r="SH9" s="187"/>
      <c r="SI9" s="187"/>
      <c r="SJ9" s="187"/>
      <c r="SK9" s="187"/>
      <c r="SL9" s="187"/>
      <c r="SM9" s="187"/>
      <c r="SN9" s="187"/>
      <c r="SO9" s="187"/>
      <c r="SP9" s="187"/>
      <c r="SQ9" s="187"/>
      <c r="SR9" s="187"/>
      <c r="SS9" s="187"/>
      <c r="ST9" s="187"/>
      <c r="SU9" s="187"/>
      <c r="SV9" s="187"/>
      <c r="SW9" s="187"/>
      <c r="SX9" s="187"/>
      <c r="SY9" s="187"/>
      <c r="SZ9" s="187"/>
      <c r="TA9" s="187"/>
      <c r="TB9" s="187"/>
      <c r="TC9" s="187"/>
      <c r="TD9" s="187"/>
      <c r="TE9" s="187"/>
      <c r="TF9" s="187"/>
      <c r="TG9" s="187"/>
      <c r="TH9" s="187"/>
      <c r="TI9" s="187"/>
      <c r="TJ9" s="187"/>
      <c r="TK9" s="187"/>
      <c r="TL9" s="187"/>
      <c r="TM9" s="187"/>
      <c r="TN9" s="187"/>
      <c r="TO9" s="187"/>
      <c r="TP9" s="187"/>
      <c r="TQ9" s="187"/>
      <c r="TR9" s="187"/>
      <c r="TS9" s="187"/>
      <c r="TT9" s="187"/>
      <c r="TU9" s="187"/>
      <c r="TV9" s="187"/>
    </row>
    <row r="10" spans="1:542" x14ac:dyDescent="0.25">
      <c r="A10" s="96" t="str">
        <v>Item Number</v>
      </c>
      <c r="B10" s="191" t="str">
        <v/>
      </c>
      <c r="C10" s="157" t="str">
        <v/>
      </c>
      <c r="D10" s="155"/>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TU10" s="178"/>
      <c r="TV10" s="178"/>
    </row>
    <row r="11" spans="1:542" x14ac:dyDescent="0.25">
      <c r="A11" s="147" t="str">
        <v>Pump Size</v>
      </c>
      <c r="B11" s="191" t="str">
        <v/>
      </c>
      <c r="C11" s="157" t="str">
        <v/>
      </c>
      <c r="D11" s="155"/>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TU11" s="178"/>
      <c r="TV11" s="178"/>
    </row>
    <row r="12" spans="1:542" x14ac:dyDescent="0.25">
      <c r="A12" s="147" t="str">
        <v>Stages</v>
      </c>
      <c r="B12" s="191" t="str">
        <v/>
      </c>
      <c r="C12" s="157" t="str">
        <v/>
      </c>
      <c r="D12" s="155"/>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TU12" s="178"/>
      <c r="TV12" s="178"/>
    </row>
    <row r="13" spans="1:542" x14ac:dyDescent="0.25">
      <c r="A13" s="147" t="str">
        <v>Pump Type</v>
      </c>
      <c r="B13" s="192" t="str">
        <v/>
      </c>
      <c r="C13" s="193" t="str">
        <v/>
      </c>
      <c r="D13" s="156"/>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4"/>
      <c r="TU13" s="178"/>
      <c r="TV13" s="178"/>
    </row>
    <row r="14" spans="1:542" s="195" customFormat="1" x14ac:dyDescent="0.25">
      <c r="A14" s="147" t="str">
        <v>Quantity</v>
      </c>
      <c r="B14" s="191" t="str">
        <v/>
      </c>
      <c r="C14" s="157" t="str">
        <v/>
      </c>
      <c r="D14" s="155"/>
      <c r="E14" s="190"/>
      <c r="F14" s="190"/>
      <c r="G14" s="190"/>
      <c r="H14" s="190"/>
      <c r="I14" s="190"/>
      <c r="J14" s="190"/>
      <c r="K14" s="190"/>
      <c r="L14" s="190"/>
      <c r="M14" s="190"/>
      <c r="N14" s="190"/>
      <c r="O14" s="190"/>
      <c r="P14" s="190"/>
      <c r="Q14" s="190"/>
      <c r="R14" s="190"/>
      <c r="S14" s="190"/>
      <c r="T14" s="190"/>
      <c r="U14" s="190"/>
      <c r="V14" s="190"/>
      <c r="W14" s="190"/>
      <c r="X14" s="190"/>
      <c r="Y14" s="190"/>
      <c r="Z14" s="190"/>
      <c r="AA14" s="190"/>
      <c r="AB14" s="190"/>
      <c r="AC14" s="190"/>
      <c r="AD14" s="190"/>
      <c r="AE14" s="190"/>
      <c r="AF14" s="190"/>
      <c r="AG14" s="190"/>
      <c r="AH14" s="190"/>
      <c r="AI14" s="190"/>
      <c r="AJ14" s="190"/>
      <c r="AK14" s="190"/>
      <c r="AL14" s="190"/>
      <c r="AM14" s="190"/>
      <c r="AN14" s="190"/>
      <c r="AO14" s="190"/>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87"/>
      <c r="CW14" s="187"/>
      <c r="CX14" s="187"/>
      <c r="CY14" s="187"/>
      <c r="CZ14" s="187"/>
      <c r="DA14" s="187"/>
      <c r="DB14" s="187"/>
      <c r="DC14" s="187"/>
      <c r="DD14" s="187"/>
      <c r="DE14" s="187"/>
      <c r="DF14" s="187"/>
      <c r="DG14" s="187"/>
      <c r="DH14" s="187"/>
      <c r="DI14" s="187"/>
      <c r="DJ14" s="187"/>
      <c r="DK14" s="187"/>
      <c r="DL14" s="187"/>
      <c r="DM14" s="187"/>
      <c r="DN14" s="187"/>
      <c r="DO14" s="187"/>
      <c r="DP14" s="187"/>
      <c r="DQ14" s="187"/>
      <c r="DR14" s="187"/>
      <c r="DS14" s="187"/>
      <c r="DT14" s="187"/>
      <c r="DU14" s="187"/>
      <c r="DV14" s="187"/>
      <c r="DW14" s="187"/>
      <c r="DX14" s="187"/>
      <c r="DY14" s="187"/>
      <c r="DZ14" s="187"/>
      <c r="EA14" s="187"/>
      <c r="EB14" s="187"/>
      <c r="EC14" s="187"/>
      <c r="ED14" s="187"/>
      <c r="EE14" s="187"/>
      <c r="EF14" s="187"/>
      <c r="EG14" s="187"/>
      <c r="EH14" s="187"/>
      <c r="EI14" s="187"/>
      <c r="EJ14" s="187"/>
      <c r="EK14" s="187"/>
      <c r="EL14" s="187"/>
      <c r="EM14" s="187"/>
      <c r="EN14" s="187"/>
      <c r="EO14" s="187"/>
      <c r="EP14" s="187"/>
      <c r="EQ14" s="187"/>
      <c r="ER14" s="187"/>
      <c r="ES14" s="187"/>
      <c r="ET14" s="187"/>
      <c r="EU14" s="187"/>
      <c r="EV14" s="187"/>
      <c r="EW14" s="187"/>
      <c r="EX14" s="187"/>
      <c r="EY14" s="187"/>
      <c r="EZ14" s="187"/>
      <c r="FA14" s="187"/>
      <c r="FB14" s="187"/>
      <c r="FC14" s="187"/>
      <c r="FD14" s="187"/>
      <c r="FE14" s="187"/>
      <c r="FF14" s="187"/>
      <c r="FG14" s="187"/>
      <c r="FH14" s="187"/>
      <c r="FI14" s="187"/>
      <c r="FJ14" s="187"/>
      <c r="FK14" s="187"/>
      <c r="FL14" s="187"/>
      <c r="FM14" s="187"/>
      <c r="FN14" s="187"/>
      <c r="FO14" s="187"/>
      <c r="FP14" s="187"/>
      <c r="FQ14" s="187"/>
      <c r="FR14" s="187"/>
      <c r="FS14" s="187"/>
      <c r="FT14" s="187"/>
      <c r="FU14" s="187"/>
      <c r="FV14" s="187"/>
      <c r="FW14" s="187"/>
      <c r="FX14" s="187"/>
      <c r="FY14" s="187"/>
      <c r="FZ14" s="187"/>
      <c r="GA14" s="187"/>
      <c r="GB14" s="187"/>
      <c r="GC14" s="187"/>
      <c r="GD14" s="187"/>
      <c r="GE14" s="187"/>
      <c r="GF14" s="187"/>
      <c r="GG14" s="187"/>
      <c r="GH14" s="187"/>
      <c r="GI14" s="187"/>
      <c r="GJ14" s="187"/>
      <c r="GK14" s="187"/>
      <c r="GL14" s="187"/>
      <c r="GM14" s="187"/>
      <c r="GN14" s="187"/>
      <c r="GO14" s="187"/>
      <c r="GP14" s="187"/>
      <c r="GQ14" s="187"/>
      <c r="GR14" s="187"/>
      <c r="GS14" s="187"/>
      <c r="GT14" s="187"/>
      <c r="GU14" s="187"/>
      <c r="GV14" s="187"/>
      <c r="GW14" s="187"/>
      <c r="GX14" s="187"/>
      <c r="GY14" s="187"/>
      <c r="GZ14" s="187"/>
      <c r="HA14" s="187"/>
      <c r="HB14" s="187"/>
      <c r="HC14" s="187"/>
      <c r="HD14" s="187"/>
      <c r="HE14" s="187"/>
      <c r="HF14" s="187"/>
      <c r="HG14" s="187"/>
      <c r="HH14" s="187"/>
      <c r="HI14" s="187"/>
      <c r="HJ14" s="187"/>
      <c r="HK14" s="187"/>
      <c r="HL14" s="187"/>
      <c r="HM14" s="187"/>
      <c r="HN14" s="187"/>
      <c r="HO14" s="187"/>
      <c r="HP14" s="187"/>
      <c r="HQ14" s="187"/>
      <c r="HR14" s="187"/>
      <c r="HS14" s="187"/>
      <c r="HT14" s="187"/>
      <c r="HU14" s="187"/>
      <c r="HV14" s="187"/>
      <c r="HW14" s="187"/>
      <c r="HX14" s="187"/>
      <c r="HY14" s="187"/>
      <c r="HZ14" s="187"/>
      <c r="IA14" s="187"/>
      <c r="IB14" s="187"/>
      <c r="IC14" s="187"/>
      <c r="ID14" s="187"/>
      <c r="IE14" s="187"/>
      <c r="IF14" s="187"/>
      <c r="IG14" s="187"/>
      <c r="IH14" s="187"/>
      <c r="II14" s="187"/>
      <c r="IJ14" s="187"/>
      <c r="IK14" s="187"/>
      <c r="IL14" s="187"/>
      <c r="IM14" s="187"/>
      <c r="IN14" s="187"/>
      <c r="IO14" s="187"/>
      <c r="IP14" s="187"/>
      <c r="IQ14" s="187"/>
      <c r="IR14" s="187"/>
      <c r="IS14" s="187"/>
      <c r="IT14" s="187"/>
      <c r="IU14" s="187"/>
      <c r="IV14" s="187"/>
      <c r="IW14" s="187"/>
      <c r="IX14" s="187"/>
      <c r="IY14" s="187"/>
      <c r="IZ14" s="187"/>
      <c r="JA14" s="187"/>
      <c r="JB14" s="187"/>
      <c r="JC14" s="187"/>
      <c r="JD14" s="187"/>
      <c r="JE14" s="187"/>
      <c r="JF14" s="187"/>
      <c r="JG14" s="187"/>
      <c r="JH14" s="187"/>
      <c r="JI14" s="187"/>
      <c r="JJ14" s="187"/>
      <c r="JK14" s="187"/>
      <c r="JL14" s="187"/>
      <c r="JM14" s="187"/>
      <c r="JN14" s="187"/>
      <c r="JO14" s="187"/>
      <c r="JP14" s="187"/>
      <c r="JQ14" s="187"/>
      <c r="JR14" s="187"/>
      <c r="JS14" s="187"/>
      <c r="JT14" s="187"/>
      <c r="JU14" s="187"/>
      <c r="JV14" s="187"/>
      <c r="JW14" s="187"/>
      <c r="JX14" s="187"/>
      <c r="JY14" s="187"/>
      <c r="JZ14" s="187"/>
      <c r="KA14" s="187"/>
      <c r="KB14" s="187"/>
      <c r="KC14" s="187"/>
      <c r="KD14" s="187"/>
      <c r="KE14" s="187"/>
      <c r="KF14" s="187"/>
      <c r="KG14" s="187"/>
      <c r="KH14" s="187"/>
      <c r="KI14" s="187"/>
      <c r="KJ14" s="187"/>
      <c r="KK14" s="187"/>
      <c r="KL14" s="187"/>
      <c r="KM14" s="187"/>
      <c r="KN14" s="187"/>
      <c r="KO14" s="187"/>
      <c r="KP14" s="187"/>
      <c r="KQ14" s="187"/>
      <c r="KR14" s="187"/>
      <c r="KS14" s="187"/>
      <c r="KT14" s="187"/>
      <c r="KU14" s="187"/>
      <c r="KV14" s="187"/>
      <c r="KW14" s="187"/>
      <c r="KX14" s="187"/>
      <c r="KY14" s="187"/>
      <c r="KZ14" s="187"/>
      <c r="LA14" s="187"/>
      <c r="LB14" s="187"/>
      <c r="LC14" s="187"/>
      <c r="LD14" s="187"/>
      <c r="LE14" s="187"/>
      <c r="LF14" s="187"/>
      <c r="LG14" s="187"/>
      <c r="LH14" s="187"/>
      <c r="LI14" s="187"/>
      <c r="LJ14" s="187"/>
      <c r="LK14" s="187"/>
      <c r="LL14" s="187"/>
      <c r="LM14" s="187"/>
      <c r="LN14" s="187"/>
      <c r="LO14" s="187"/>
      <c r="LP14" s="187"/>
      <c r="LQ14" s="187"/>
      <c r="LR14" s="187"/>
      <c r="LS14" s="187"/>
      <c r="LT14" s="187"/>
      <c r="LU14" s="187"/>
      <c r="LV14" s="187"/>
      <c r="LW14" s="187"/>
      <c r="LX14" s="187"/>
      <c r="LY14" s="187"/>
      <c r="LZ14" s="187"/>
      <c r="MA14" s="187"/>
      <c r="MB14" s="187"/>
      <c r="MC14" s="187"/>
      <c r="MD14" s="187"/>
      <c r="ME14" s="187"/>
      <c r="MF14" s="187"/>
      <c r="MG14" s="187"/>
      <c r="MH14" s="187"/>
      <c r="MI14" s="187"/>
      <c r="MJ14" s="187"/>
      <c r="MK14" s="187"/>
      <c r="ML14" s="187"/>
      <c r="MM14" s="187"/>
      <c r="MN14" s="187"/>
      <c r="MO14" s="187"/>
      <c r="MP14" s="187"/>
      <c r="MQ14" s="187"/>
      <c r="MR14" s="187"/>
      <c r="MS14" s="187"/>
      <c r="MT14" s="187"/>
      <c r="MU14" s="187"/>
      <c r="MV14" s="187"/>
      <c r="MW14" s="187"/>
      <c r="MX14" s="187"/>
      <c r="MY14" s="187"/>
      <c r="MZ14" s="187"/>
      <c r="NA14" s="187"/>
      <c r="NB14" s="187"/>
      <c r="NC14" s="187"/>
      <c r="ND14" s="187"/>
      <c r="NE14" s="187"/>
      <c r="NF14" s="187"/>
      <c r="NG14" s="187"/>
      <c r="NH14" s="187"/>
      <c r="NI14" s="187"/>
      <c r="NJ14" s="187"/>
      <c r="NK14" s="187"/>
      <c r="NL14" s="187"/>
      <c r="NM14" s="187"/>
      <c r="NN14" s="187"/>
      <c r="NO14" s="187"/>
      <c r="NP14" s="187"/>
      <c r="NQ14" s="187"/>
      <c r="NR14" s="187"/>
      <c r="NS14" s="187"/>
      <c r="NT14" s="187"/>
      <c r="NU14" s="187"/>
      <c r="NV14" s="187"/>
      <c r="NW14" s="187"/>
      <c r="NX14" s="187"/>
      <c r="NY14" s="187"/>
      <c r="NZ14" s="187"/>
      <c r="OA14" s="187"/>
      <c r="OB14" s="187"/>
      <c r="OC14" s="187"/>
      <c r="OD14" s="187"/>
      <c r="OE14" s="187"/>
      <c r="OF14" s="187"/>
      <c r="OG14" s="187"/>
      <c r="OH14" s="187"/>
      <c r="OI14" s="187"/>
      <c r="OJ14" s="187"/>
      <c r="OK14" s="187"/>
      <c r="OL14" s="187"/>
      <c r="OM14" s="187"/>
      <c r="ON14" s="187"/>
      <c r="OO14" s="187"/>
      <c r="OP14" s="187"/>
      <c r="OQ14" s="187"/>
      <c r="OR14" s="187"/>
      <c r="OS14" s="187"/>
      <c r="OT14" s="187"/>
      <c r="OU14" s="187"/>
      <c r="OV14" s="187"/>
      <c r="OW14" s="187"/>
      <c r="OX14" s="187"/>
      <c r="OY14" s="187"/>
      <c r="OZ14" s="187"/>
      <c r="PA14" s="187"/>
      <c r="PB14" s="187"/>
      <c r="PC14" s="187"/>
      <c r="PD14" s="187"/>
      <c r="PE14" s="187"/>
      <c r="PF14" s="187"/>
      <c r="PG14" s="187"/>
      <c r="PH14" s="187"/>
      <c r="PI14" s="187"/>
      <c r="PJ14" s="187"/>
      <c r="PK14" s="187"/>
      <c r="PL14" s="187"/>
      <c r="PM14" s="187"/>
      <c r="PN14" s="187"/>
      <c r="PO14" s="187"/>
      <c r="PP14" s="187"/>
      <c r="PQ14" s="187"/>
      <c r="PR14" s="187"/>
      <c r="PS14" s="187"/>
      <c r="PT14" s="187"/>
      <c r="PU14" s="187"/>
      <c r="PV14" s="187"/>
      <c r="PW14" s="187"/>
      <c r="PX14" s="187"/>
      <c r="PY14" s="187"/>
      <c r="PZ14" s="187"/>
      <c r="QA14" s="187"/>
      <c r="QB14" s="187"/>
      <c r="QC14" s="187"/>
      <c r="QD14" s="187"/>
      <c r="QE14" s="187"/>
      <c r="QF14" s="187"/>
      <c r="QG14" s="187"/>
      <c r="QH14" s="187"/>
      <c r="QI14" s="187"/>
      <c r="QJ14" s="187"/>
      <c r="QK14" s="187"/>
      <c r="QL14" s="187"/>
      <c r="QM14" s="187"/>
      <c r="QN14" s="187"/>
      <c r="QO14" s="187"/>
      <c r="QP14" s="187"/>
      <c r="QQ14" s="187"/>
      <c r="QR14" s="187"/>
      <c r="QS14" s="187"/>
      <c r="QT14" s="187"/>
      <c r="QU14" s="187"/>
      <c r="QV14" s="187"/>
      <c r="QW14" s="187"/>
      <c r="QX14" s="187"/>
      <c r="QY14" s="187"/>
      <c r="QZ14" s="187"/>
      <c r="RA14" s="187"/>
      <c r="RB14" s="187"/>
      <c r="RC14" s="187"/>
      <c r="RD14" s="187"/>
      <c r="RE14" s="187"/>
      <c r="RF14" s="187"/>
      <c r="RG14" s="187"/>
      <c r="RH14" s="187"/>
      <c r="RI14" s="187"/>
      <c r="RJ14" s="187"/>
      <c r="RK14" s="187"/>
      <c r="RL14" s="187"/>
      <c r="RM14" s="187"/>
      <c r="RN14" s="187"/>
      <c r="RO14" s="187"/>
      <c r="RP14" s="187"/>
      <c r="RQ14" s="187"/>
      <c r="RR14" s="187"/>
      <c r="RS14" s="187"/>
      <c r="RT14" s="187"/>
      <c r="RU14" s="187"/>
      <c r="RV14" s="187"/>
      <c r="RW14" s="187"/>
      <c r="RX14" s="187"/>
      <c r="RY14" s="187"/>
      <c r="RZ14" s="187"/>
      <c r="SA14" s="187"/>
      <c r="SB14" s="187"/>
      <c r="SC14" s="187"/>
      <c r="SD14" s="187"/>
      <c r="SE14" s="187"/>
      <c r="SF14" s="187"/>
      <c r="SG14" s="187"/>
      <c r="SH14" s="187"/>
      <c r="SI14" s="187"/>
      <c r="SJ14" s="187"/>
      <c r="SK14" s="187"/>
      <c r="SL14" s="187"/>
      <c r="SM14" s="187"/>
      <c r="SN14" s="187"/>
      <c r="SO14" s="187"/>
      <c r="SP14" s="187"/>
      <c r="SQ14" s="187"/>
      <c r="SR14" s="187"/>
      <c r="SS14" s="187"/>
      <c r="ST14" s="187"/>
      <c r="SU14" s="187"/>
      <c r="SV14" s="187"/>
      <c r="SW14" s="187"/>
      <c r="SX14" s="187"/>
      <c r="SY14" s="187"/>
      <c r="SZ14" s="187"/>
      <c r="TA14" s="187"/>
      <c r="TB14" s="187"/>
      <c r="TC14" s="187"/>
      <c r="TD14" s="187"/>
      <c r="TE14" s="187"/>
      <c r="TF14" s="187"/>
      <c r="TG14" s="187"/>
      <c r="TH14" s="187"/>
      <c r="TI14" s="187"/>
      <c r="TJ14" s="187"/>
      <c r="TK14" s="187"/>
      <c r="TL14" s="187"/>
      <c r="TM14" s="187"/>
      <c r="TN14" s="187"/>
      <c r="TO14" s="187"/>
      <c r="TP14" s="187"/>
      <c r="TQ14" s="187"/>
      <c r="TR14" s="187"/>
      <c r="TS14" s="187"/>
      <c r="TT14" s="187"/>
      <c r="TU14" s="187"/>
      <c r="TV14" s="187"/>
    </row>
    <row r="15" spans="1:542" x14ac:dyDescent="0.25">
      <c r="A15" s="147" t="str">
        <v>Service</v>
      </c>
      <c r="B15" s="191" t="str">
        <v/>
      </c>
      <c r="C15" s="157" t="str">
        <v/>
      </c>
      <c r="D15" s="155"/>
      <c r="E15" s="190"/>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190"/>
      <c r="AH15" s="190"/>
      <c r="AI15" s="190"/>
      <c r="AJ15" s="190"/>
      <c r="AK15" s="190"/>
      <c r="AL15" s="190"/>
      <c r="AM15" s="190"/>
      <c r="AN15" s="190"/>
      <c r="AO15" s="190"/>
      <c r="AP15" s="190"/>
      <c r="AQ15" s="190"/>
      <c r="AR15" s="190"/>
      <c r="AS15" s="190"/>
      <c r="AT15" s="190"/>
      <c r="AU15" s="190"/>
      <c r="AV15" s="190"/>
      <c r="AW15" s="190"/>
      <c r="AX15" s="190"/>
      <c r="AY15" s="190"/>
      <c r="AZ15" s="190"/>
      <c r="BA15" s="190"/>
      <c r="BB15" s="190"/>
      <c r="BC15" s="190"/>
      <c r="BD15" s="190"/>
      <c r="BE15" s="190"/>
      <c r="BF15" s="190"/>
      <c r="BG15" s="190"/>
      <c r="BH15" s="190"/>
      <c r="BI15" s="190"/>
      <c r="BJ15" s="190"/>
      <c r="BK15" s="190"/>
      <c r="BL15" s="190"/>
      <c r="BM15" s="190"/>
      <c r="TU15" s="178"/>
      <c r="TV15" s="178"/>
    </row>
    <row r="16" spans="1:542" x14ac:dyDescent="0.25">
      <c r="A16" s="147" t="str">
        <v>API Material Class</v>
      </c>
      <c r="B16" s="191" t="str">
        <v/>
      </c>
      <c r="C16" s="157" t="str">
        <v/>
      </c>
      <c r="D16" s="155"/>
      <c r="E16" s="190"/>
      <c r="F16" s="190"/>
      <c r="G16" s="190"/>
      <c r="H16" s="190"/>
      <c r="I16" s="190"/>
      <c r="J16" s="190"/>
      <c r="K16" s="190"/>
      <c r="L16" s="190"/>
      <c r="M16" s="190"/>
      <c r="N16" s="190"/>
      <c r="O16" s="190"/>
      <c r="P16" s="190"/>
      <c r="Q16" s="190"/>
      <c r="R16" s="190"/>
      <c r="S16" s="190"/>
      <c r="T16" s="190"/>
      <c r="U16" s="190"/>
      <c r="V16" s="190"/>
      <c r="W16" s="190"/>
      <c r="X16" s="190"/>
      <c r="Y16" s="190"/>
      <c r="Z16" s="190"/>
      <c r="AA16" s="190"/>
      <c r="AB16" s="190"/>
      <c r="AC16" s="190"/>
      <c r="AD16" s="190"/>
      <c r="AE16" s="190"/>
      <c r="AF16" s="190"/>
      <c r="AG16" s="190"/>
      <c r="AH16" s="190"/>
      <c r="AI16" s="190"/>
      <c r="AJ16" s="190"/>
      <c r="AK16" s="190"/>
      <c r="AL16" s="190"/>
      <c r="AM16" s="190"/>
      <c r="AN16" s="190"/>
      <c r="AO16" s="190"/>
      <c r="AP16" s="190"/>
      <c r="AQ16" s="190"/>
      <c r="AR16" s="190"/>
      <c r="AS16" s="190"/>
      <c r="AT16" s="190"/>
      <c r="AU16" s="190"/>
      <c r="AV16" s="190"/>
      <c r="AW16" s="190"/>
      <c r="AX16" s="190"/>
      <c r="AY16" s="190"/>
      <c r="AZ16" s="190"/>
      <c r="BA16" s="190"/>
      <c r="BB16" s="190"/>
      <c r="BC16" s="190"/>
      <c r="BD16" s="190"/>
      <c r="BE16" s="190"/>
      <c r="BF16" s="190"/>
      <c r="BG16" s="190"/>
      <c r="BH16" s="190"/>
      <c r="BI16" s="190"/>
      <c r="BJ16" s="190"/>
      <c r="BK16" s="190"/>
      <c r="BL16" s="190"/>
      <c r="BM16" s="190"/>
      <c r="TU16" s="178"/>
      <c r="TV16" s="178"/>
    </row>
    <row r="17" spans="1:542" ht="30" x14ac:dyDescent="0.25">
      <c r="A17" s="147" t="str">
        <v>Are NACE applicable?
If YES, which one?</v>
      </c>
      <c r="B17" s="191" t="str">
        <v>[no/MR0175/MR0103]</v>
      </c>
      <c r="C17" s="157" t="str">
        <v/>
      </c>
      <c r="D17" s="155"/>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0"/>
      <c r="AJ17" s="190"/>
      <c r="AK17" s="190"/>
      <c r="AL17" s="190"/>
      <c r="AM17" s="190"/>
      <c r="AN17" s="190"/>
      <c r="AO17" s="190"/>
      <c r="AP17" s="190"/>
      <c r="AQ17" s="190"/>
      <c r="AR17" s="190"/>
      <c r="AS17" s="190"/>
      <c r="AT17" s="190"/>
      <c r="AU17" s="190"/>
      <c r="AV17" s="190"/>
      <c r="AW17" s="190"/>
      <c r="AX17" s="190"/>
      <c r="AY17" s="190"/>
      <c r="AZ17" s="190"/>
      <c r="BA17" s="190"/>
      <c r="BB17" s="190"/>
      <c r="BC17" s="190"/>
      <c r="BD17" s="190"/>
      <c r="BE17" s="190"/>
      <c r="BF17" s="190"/>
      <c r="BG17" s="190"/>
      <c r="BH17" s="190"/>
      <c r="BI17" s="190"/>
      <c r="BJ17" s="190"/>
      <c r="BK17" s="190"/>
      <c r="BL17" s="190"/>
      <c r="BM17" s="190"/>
      <c r="TU17" s="178"/>
      <c r="TV17" s="178"/>
    </row>
    <row r="18" spans="1:542" x14ac:dyDescent="0.25">
      <c r="A18" s="96" t="str">
        <v>Onshore/Offshore</v>
      </c>
      <c r="B18" s="191" t="str">
        <v/>
      </c>
      <c r="C18" s="157" t="str">
        <v/>
      </c>
      <c r="D18" s="155"/>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190"/>
      <c r="AR18" s="190"/>
      <c r="AS18" s="190"/>
      <c r="AT18" s="190"/>
      <c r="AU18" s="190"/>
      <c r="AV18" s="190"/>
      <c r="AW18" s="190"/>
      <c r="AX18" s="190"/>
      <c r="AY18" s="190"/>
      <c r="AZ18" s="190"/>
      <c r="BA18" s="190"/>
      <c r="BB18" s="190"/>
      <c r="BC18" s="190"/>
      <c r="BD18" s="190"/>
      <c r="BE18" s="190"/>
      <c r="BF18" s="190"/>
      <c r="BG18" s="190"/>
      <c r="BH18" s="190"/>
      <c r="BI18" s="190"/>
      <c r="BJ18" s="190"/>
      <c r="BK18" s="190"/>
      <c r="BL18" s="190"/>
      <c r="BM18" s="190"/>
      <c r="TU18" s="178"/>
      <c r="TV18" s="178"/>
    </row>
    <row r="19" spans="1:542" x14ac:dyDescent="0.25">
      <c r="A19" s="147" t="str">
        <v>Hazardous Environment</v>
      </c>
      <c r="B19" s="191" t="str">
        <v/>
      </c>
      <c r="C19" s="157" t="str">
        <v/>
      </c>
      <c r="D19" s="155"/>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0"/>
      <c r="AJ19" s="190"/>
      <c r="AK19" s="190"/>
      <c r="AL19" s="190"/>
      <c r="AM19" s="190"/>
      <c r="AN19" s="190"/>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TU19" s="178"/>
      <c r="TV19" s="178"/>
    </row>
    <row r="20" spans="1:542" x14ac:dyDescent="0.25">
      <c r="A20" s="147" t="str">
        <v>Hazardous Area</v>
      </c>
      <c r="B20" s="191" t="str">
        <v/>
      </c>
      <c r="C20" s="157" t="str">
        <v/>
      </c>
      <c r="D20" s="155"/>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0"/>
      <c r="AJ20" s="190"/>
      <c r="AK20" s="190"/>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TU20" s="178"/>
      <c r="TV20" s="178"/>
    </row>
    <row r="21" spans="1:542" x14ac:dyDescent="0.25">
      <c r="A21" s="147" t="str">
        <v>MAWP on technical offer</v>
      </c>
      <c r="B21" s="191" t="str">
        <v>[barg]</v>
      </c>
      <c r="C21" s="157" t="str">
        <v/>
      </c>
      <c r="D21" s="155"/>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190"/>
      <c r="AT21" s="190"/>
      <c r="AU21" s="190"/>
      <c r="AV21" s="190"/>
      <c r="AW21" s="190"/>
      <c r="AX21" s="190"/>
      <c r="AY21" s="190"/>
      <c r="AZ21" s="190"/>
      <c r="BA21" s="190"/>
      <c r="BB21" s="190"/>
      <c r="BC21" s="190"/>
      <c r="BD21" s="190"/>
      <c r="BE21" s="190"/>
      <c r="BF21" s="190"/>
      <c r="BG21" s="190"/>
      <c r="BH21" s="190"/>
      <c r="BI21" s="190"/>
      <c r="BJ21" s="190"/>
      <c r="BK21" s="190"/>
      <c r="BL21" s="190"/>
      <c r="BM21" s="190"/>
      <c r="TU21" s="178"/>
      <c r="TV21" s="178"/>
    </row>
    <row r="22" spans="1:542" x14ac:dyDescent="0.25">
      <c r="A22" s="96" t="str">
        <v>MAWT on technical offer</v>
      </c>
      <c r="B22" s="191" t="str">
        <v>[°C]</v>
      </c>
      <c r="C22" s="157" t="str">
        <v/>
      </c>
      <c r="D22" s="155"/>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0"/>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TU22" s="178"/>
      <c r="TV22" s="178"/>
    </row>
    <row r="23" spans="1:542" x14ac:dyDescent="0.25">
      <c r="A23" s="96" t="str">
        <v>Max Operanting Temperature</v>
      </c>
      <c r="B23" s="191" t="str">
        <v>[°C]</v>
      </c>
      <c r="C23" s="157" t="str">
        <v/>
      </c>
      <c r="D23" s="155"/>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0"/>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TU23" s="178"/>
      <c r="TV23" s="178"/>
    </row>
    <row r="24" spans="1:542" x14ac:dyDescent="0.25">
      <c r="A24" s="96" t="str">
        <v>Is any Marking necessary (ATEX, CE, PED, ecc)</v>
      </c>
      <c r="B24" s="191" t="str">
        <v>[list / NONE]</v>
      </c>
      <c r="C24" s="157" t="str">
        <v/>
      </c>
      <c r="D24" s="155"/>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0"/>
      <c r="AJ24" s="190"/>
      <c r="AK24" s="190"/>
      <c r="AL24" s="190"/>
      <c r="AM24" s="190"/>
      <c r="AN24" s="190"/>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TU24" s="178"/>
      <c r="TV24" s="178"/>
    </row>
    <row r="25" spans="1:542" x14ac:dyDescent="0.25">
      <c r="A25" s="96" t="str">
        <v>Applicable API Standards and Edition</v>
      </c>
      <c r="B25" s="191" t="str">
        <v>[list / NONE]</v>
      </c>
      <c r="C25" s="157" t="str">
        <v/>
      </c>
      <c r="D25" s="155"/>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0"/>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TU25" s="178"/>
      <c r="TV25" s="178"/>
    </row>
    <row r="26" spans="1:542" x14ac:dyDescent="0.25">
      <c r="A26" s="96" t="str">
        <v>Other Applicable International Standards</v>
      </c>
      <c r="B26" s="191" t="str">
        <v>[list / NONE]</v>
      </c>
      <c r="C26" s="157" t="str">
        <v/>
      </c>
      <c r="D26" s="155"/>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TU26" s="178"/>
      <c r="TV26" s="178"/>
    </row>
    <row r="27" spans="1:542" ht="30" x14ac:dyDescent="0.25">
      <c r="A27" s="96" t="str">
        <v>Which are the contractual tolerances on performance?</v>
      </c>
      <c r="B27" s="191" t="str">
        <v>[API / HI grade / detailed tolerances]</v>
      </c>
      <c r="C27" s="157" t="str">
        <v/>
      </c>
      <c r="D27" s="155"/>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TU27" s="178"/>
      <c r="TV27" s="178"/>
    </row>
    <row r="28" spans="1:542" x14ac:dyDescent="0.25">
      <c r="A28" s="96" t="str">
        <v>Is NPSHr test requested by Client?</v>
      </c>
      <c r="B28" s="191" t="str">
        <v>[Yes/No]</v>
      </c>
      <c r="C28" s="157" t="str">
        <v/>
      </c>
      <c r="D28" s="155"/>
      <c r="E28" s="190"/>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0"/>
      <c r="AJ28" s="190"/>
      <c r="AK28" s="190"/>
      <c r="AL28" s="190"/>
      <c r="AM28" s="190"/>
      <c r="AN28" s="190"/>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TU28" s="178"/>
      <c r="TV28" s="178"/>
    </row>
    <row r="29" spans="1:542" x14ac:dyDescent="0.25">
      <c r="A29" s="96" t="str">
        <v>Is ShutOff test requested by Client?</v>
      </c>
      <c r="B29" s="191" t="str">
        <v>[Yes/No]</v>
      </c>
      <c r="C29" s="157" t="str">
        <v/>
      </c>
      <c r="D29" s="155"/>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TU29" s="178"/>
      <c r="TV29" s="178"/>
    </row>
    <row r="30" spans="1:542" ht="30" x14ac:dyDescent="0.25">
      <c r="A30" s="96" t="str">
        <v>Does Client accept to test pump at diameter up to 5% of definitive diameter without retesting?</v>
      </c>
      <c r="B30" s="191" t="str">
        <v>[Yes/No]</v>
      </c>
      <c r="C30" s="157" t="str">
        <v/>
      </c>
      <c r="D30" s="155"/>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190"/>
      <c r="AT30" s="190"/>
      <c r="AU30" s="190"/>
      <c r="AV30" s="190"/>
      <c r="AW30" s="190"/>
      <c r="AX30" s="190"/>
      <c r="AY30" s="190"/>
      <c r="AZ30" s="190"/>
      <c r="BA30" s="190"/>
      <c r="BB30" s="190"/>
      <c r="BC30" s="190"/>
      <c r="BD30" s="190"/>
      <c r="BE30" s="190"/>
      <c r="BF30" s="190"/>
      <c r="BG30" s="190"/>
      <c r="BH30" s="190"/>
      <c r="BI30" s="190"/>
      <c r="BJ30" s="190"/>
      <c r="BK30" s="190"/>
      <c r="BL30" s="190"/>
      <c r="BM30" s="190"/>
      <c r="TU30" s="178"/>
      <c r="TV30" s="178"/>
    </row>
    <row r="31" spans="1:542" x14ac:dyDescent="0.25">
      <c r="A31" s="96" t="str">
        <v>Is complete unit test necessary?</v>
      </c>
      <c r="B31" s="191" t="str">
        <v>[yes/no]</v>
      </c>
      <c r="C31" s="157" t="str">
        <v/>
      </c>
      <c r="D31" s="155"/>
      <c r="E31" s="190"/>
      <c r="F31" s="190"/>
      <c r="G31" s="190"/>
      <c r="H31" s="190"/>
      <c r="I31" s="190"/>
      <c r="J31" s="190"/>
      <c r="K31" s="190"/>
      <c r="L31" s="190"/>
      <c r="M31" s="190"/>
      <c r="N31" s="190"/>
      <c r="O31" s="190"/>
      <c r="P31" s="190"/>
      <c r="Q31" s="190"/>
      <c r="R31" s="190"/>
      <c r="S31" s="190"/>
      <c r="T31" s="190"/>
      <c r="U31" s="190"/>
      <c r="V31" s="190"/>
      <c r="W31" s="190"/>
      <c r="X31" s="190"/>
      <c r="Y31" s="190"/>
      <c r="Z31" s="190"/>
      <c r="AA31" s="190"/>
      <c r="AB31" s="190"/>
      <c r="AC31" s="190"/>
      <c r="AD31" s="190"/>
      <c r="AE31" s="190"/>
      <c r="AF31" s="190"/>
      <c r="AG31" s="190"/>
      <c r="AH31" s="190"/>
      <c r="AI31" s="190"/>
      <c r="AJ31" s="190"/>
      <c r="AK31" s="190"/>
      <c r="AL31" s="190"/>
      <c r="AM31" s="190"/>
      <c r="AN31" s="190"/>
      <c r="AO31" s="190"/>
      <c r="AP31" s="190"/>
      <c r="AQ31" s="190"/>
      <c r="AR31" s="190"/>
      <c r="AS31" s="190"/>
      <c r="AT31" s="190"/>
      <c r="AU31" s="190"/>
      <c r="AV31" s="190"/>
      <c r="AW31" s="190"/>
      <c r="AX31" s="190"/>
      <c r="AY31" s="190"/>
      <c r="AZ31" s="190"/>
      <c r="BA31" s="190"/>
      <c r="BB31" s="190"/>
      <c r="BC31" s="190"/>
      <c r="BD31" s="190"/>
      <c r="BE31" s="190"/>
      <c r="BF31" s="190"/>
      <c r="BG31" s="190"/>
      <c r="BH31" s="190"/>
      <c r="BI31" s="190"/>
      <c r="BJ31" s="190"/>
      <c r="BK31" s="190"/>
      <c r="BL31" s="190"/>
      <c r="BM31" s="190"/>
      <c r="TU31" s="178"/>
      <c r="TV31" s="178"/>
    </row>
    <row r="32" spans="1:542" ht="30" x14ac:dyDescent="0.25">
      <c r="A32" s="96" t="str">
        <v>Expected  pump test site</v>
      </c>
      <c r="B32" s="191" t="str">
        <v>[La Spezia / Nova Milanese]</v>
      </c>
      <c r="C32" s="157" t="str">
        <v/>
      </c>
      <c r="D32" s="155"/>
      <c r="E32" s="190"/>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0"/>
      <c r="AJ32" s="190"/>
      <c r="AK32" s="190"/>
      <c r="AL32" s="190"/>
      <c r="AM32" s="190"/>
      <c r="AN32" s="190"/>
      <c r="AO32" s="190"/>
      <c r="AP32" s="190"/>
      <c r="AQ32" s="190"/>
      <c r="AR32" s="190"/>
      <c r="AS32" s="190"/>
      <c r="AT32" s="190"/>
      <c r="AU32" s="190"/>
      <c r="AV32" s="190"/>
      <c r="AW32" s="190"/>
      <c r="AX32" s="190"/>
      <c r="AY32" s="190"/>
      <c r="AZ32" s="190"/>
      <c r="BA32" s="190"/>
      <c r="BB32" s="190"/>
      <c r="BC32" s="190"/>
      <c r="BD32" s="190"/>
      <c r="BE32" s="190"/>
      <c r="BF32" s="190"/>
      <c r="BG32" s="190"/>
      <c r="BH32" s="190"/>
      <c r="BI32" s="190"/>
      <c r="BJ32" s="190"/>
      <c r="BK32" s="190"/>
      <c r="BL32" s="190"/>
      <c r="BM32" s="190"/>
      <c r="TU32" s="178"/>
      <c r="TV32" s="178"/>
    </row>
    <row r="33" spans="1:542" ht="30" x14ac:dyDescent="0.25">
      <c r="A33" s="96" t="str">
        <v>Expected Assembly site</v>
      </c>
      <c r="B33" s="191" t="str">
        <v>[La Spezia / Nova Milanese]</v>
      </c>
      <c r="C33" s="157" t="str">
        <v/>
      </c>
      <c r="D33" s="155"/>
      <c r="E33" s="190"/>
      <c r="F33" s="190"/>
      <c r="G33" s="190"/>
      <c r="H33" s="190"/>
      <c r="I33" s="190"/>
      <c r="J33" s="190"/>
      <c r="K33" s="190"/>
      <c r="L33" s="190"/>
      <c r="M33" s="190"/>
      <c r="N33" s="190"/>
      <c r="O33" s="190"/>
      <c r="P33" s="190"/>
      <c r="Q33" s="190"/>
      <c r="R33" s="190"/>
      <c r="S33" s="190"/>
      <c r="T33" s="190"/>
      <c r="U33" s="190"/>
      <c r="V33" s="190"/>
      <c r="W33" s="190"/>
      <c r="X33" s="190"/>
      <c r="Y33" s="190"/>
      <c r="Z33" s="190"/>
      <c r="AA33" s="190"/>
      <c r="AB33" s="190"/>
      <c r="AC33" s="190"/>
      <c r="AD33" s="190"/>
      <c r="AE33" s="190"/>
      <c r="AF33" s="190"/>
      <c r="AG33" s="190"/>
      <c r="AH33" s="190"/>
      <c r="AI33" s="190"/>
      <c r="AJ33" s="190"/>
      <c r="AK33" s="190"/>
      <c r="AL33" s="190"/>
      <c r="AM33" s="190"/>
      <c r="AN33" s="190"/>
      <c r="AO33" s="190"/>
      <c r="AP33" s="190"/>
      <c r="AQ33" s="190"/>
      <c r="AR33" s="190"/>
      <c r="AS33" s="190"/>
      <c r="AT33" s="190"/>
      <c r="AU33" s="190"/>
      <c r="AV33" s="190"/>
      <c r="AW33" s="190"/>
      <c r="AX33" s="190"/>
      <c r="AY33" s="190"/>
      <c r="AZ33" s="190"/>
      <c r="BA33" s="190"/>
      <c r="BB33" s="190"/>
      <c r="BC33" s="190"/>
      <c r="BD33" s="190"/>
      <c r="BE33" s="190"/>
      <c r="BF33" s="190"/>
      <c r="BG33" s="190"/>
      <c r="BH33" s="190"/>
      <c r="BI33" s="190"/>
      <c r="BJ33" s="190"/>
      <c r="BK33" s="190"/>
      <c r="BL33" s="190"/>
      <c r="BM33" s="190"/>
      <c r="TU33" s="178"/>
      <c r="TV33" s="178"/>
    </row>
    <row r="34" spans="1:542" ht="30" x14ac:dyDescent="0.25">
      <c r="A34" s="96" t="str">
        <v>Expected Hydro Test site</v>
      </c>
      <c r="B34" s="191" t="str">
        <v>[La Spezia / Nova Milanese]</v>
      </c>
      <c r="C34" s="157" t="str">
        <v/>
      </c>
      <c r="D34" s="155"/>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0"/>
      <c r="AJ34" s="190"/>
      <c r="AK34" s="190"/>
      <c r="AL34" s="190"/>
      <c r="AM34" s="190"/>
      <c r="AN34" s="190"/>
      <c r="AO34" s="190"/>
      <c r="AP34" s="190"/>
      <c r="AQ34" s="190"/>
      <c r="AR34" s="190"/>
      <c r="AS34" s="190"/>
      <c r="AT34" s="190"/>
      <c r="AU34" s="190"/>
      <c r="AV34" s="190"/>
      <c r="AW34" s="190"/>
      <c r="AX34" s="190"/>
      <c r="AY34" s="190"/>
      <c r="AZ34" s="190"/>
      <c r="BA34" s="190"/>
      <c r="BB34" s="190"/>
      <c r="BC34" s="190"/>
      <c r="BD34" s="190"/>
      <c r="BE34" s="190"/>
      <c r="BF34" s="190"/>
      <c r="BG34" s="190"/>
      <c r="BH34" s="190"/>
      <c r="BI34" s="190"/>
      <c r="BJ34" s="190"/>
      <c r="BK34" s="190"/>
      <c r="BL34" s="190"/>
      <c r="BM34" s="190"/>
      <c r="TU34" s="178"/>
      <c r="TV34" s="178"/>
    </row>
    <row r="35" spans="1:542" x14ac:dyDescent="0.25">
      <c r="A35" s="96" t="str">
        <v>Penalty on performance</v>
      </c>
      <c r="B35" s="191" t="str">
        <v>[list / NONE]</v>
      </c>
      <c r="C35" s="157" t="str">
        <v/>
      </c>
      <c r="D35" s="155"/>
      <c r="E35" s="190"/>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0"/>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TU35" s="178"/>
      <c r="TV35" s="178"/>
    </row>
    <row r="36" spans="1:542" x14ac:dyDescent="0.25">
      <c r="A36" s="96" t="str">
        <v>Penalty on delivery</v>
      </c>
      <c r="B36" s="191" t="str">
        <v>[yes/no]</v>
      </c>
      <c r="C36" s="157" t="str">
        <v/>
      </c>
      <c r="D36" s="155"/>
      <c r="E36" s="190"/>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0"/>
      <c r="AJ36" s="190"/>
      <c r="AK36" s="190"/>
      <c r="AL36" s="190"/>
      <c r="AM36" s="190"/>
      <c r="AN36" s="190"/>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TU36" s="178"/>
      <c r="TV36" s="178"/>
    </row>
    <row r="37" spans="1:542" x14ac:dyDescent="0.25">
      <c r="A37" s="96" t="str">
        <v>Other Penalties</v>
      </c>
      <c r="B37" s="191" t="str">
        <v>[yes/no]</v>
      </c>
      <c r="C37" s="157" t="str">
        <v/>
      </c>
      <c r="D37" s="155"/>
      <c r="E37" s="190"/>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0"/>
      <c r="AJ37" s="190"/>
      <c r="AK37" s="190"/>
      <c r="AL37" s="190"/>
      <c r="AM37" s="190"/>
      <c r="AN37" s="190"/>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TU37" s="178"/>
      <c r="TV37" s="178"/>
    </row>
    <row r="38" spans="1:542" x14ac:dyDescent="0.25">
      <c r="A38" s="96" t="str">
        <v>General Note 1</v>
      </c>
      <c r="B38" s="191" t="str">
        <v/>
      </c>
      <c r="C38" s="157" t="str">
        <v/>
      </c>
      <c r="D38" s="155"/>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0"/>
      <c r="AJ38" s="190"/>
      <c r="AK38" s="190"/>
      <c r="AL38" s="190"/>
      <c r="AM38" s="190"/>
      <c r="AN38" s="190"/>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TU38" s="178"/>
      <c r="TV38" s="178"/>
    </row>
    <row r="39" spans="1:542" x14ac:dyDescent="0.25">
      <c r="A39" s="96" t="str">
        <v>General Note 2</v>
      </c>
      <c r="B39" s="191" t="str">
        <v/>
      </c>
      <c r="C39" s="157" t="str">
        <v/>
      </c>
      <c r="D39" s="155"/>
      <c r="E39" s="190"/>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0"/>
      <c r="AJ39" s="190"/>
      <c r="AK39" s="190"/>
      <c r="AL39" s="190"/>
      <c r="AM39" s="190"/>
      <c r="AN39" s="190"/>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TU39" s="178"/>
      <c r="TV39" s="178"/>
    </row>
    <row r="40" spans="1:542" x14ac:dyDescent="0.25">
      <c r="A40" s="96" t="str">
        <v>General Note 3</v>
      </c>
      <c r="B40" s="191" t="str">
        <v/>
      </c>
      <c r="C40" s="157" t="str">
        <v/>
      </c>
      <c r="D40" s="155"/>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TU40" s="178"/>
      <c r="TV40" s="178"/>
    </row>
    <row r="41" spans="1:542" x14ac:dyDescent="0.25">
      <c r="A41" s="96" t="str">
        <v>General Note 4</v>
      </c>
      <c r="B41" s="191" t="str">
        <v/>
      </c>
      <c r="C41" s="157" t="str">
        <v/>
      </c>
      <c r="D41" s="155"/>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0"/>
      <c r="AJ41" s="190"/>
      <c r="AK41" s="190"/>
      <c r="AL41" s="190"/>
      <c r="AM41" s="190"/>
      <c r="AN41" s="190"/>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TU41" s="178"/>
      <c r="TV41" s="178"/>
    </row>
    <row r="42" spans="1:542" x14ac:dyDescent="0.25">
      <c r="A42" s="96" t="str">
        <v>General Note 5</v>
      </c>
      <c r="B42" s="191" t="str">
        <v/>
      </c>
      <c r="C42" s="157" t="str">
        <v/>
      </c>
      <c r="D42" s="155"/>
      <c r="E42" s="190"/>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TU42" s="178"/>
      <c r="TV42" s="178"/>
    </row>
    <row r="43" spans="1:542" x14ac:dyDescent="0.25">
      <c r="A43" s="175" t="str">
        <v>SCOPE SUMMARY----&gt;</v>
      </c>
      <c r="B43" s="148" t="str">
        <v/>
      </c>
      <c r="C43" s="149" t="str">
        <v/>
      </c>
      <c r="D43" s="105"/>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TU43" s="178"/>
      <c r="TV43" s="178"/>
    </row>
    <row r="44" spans="1:542" x14ac:dyDescent="0.25">
      <c r="A44" s="96" t="str">
        <v>Are barrel calculations required BY CLIENT?</v>
      </c>
      <c r="B44" s="191" t="str">
        <v>[yes/no]</v>
      </c>
      <c r="C44" s="157" t="str">
        <v/>
      </c>
      <c r="D44" s="155"/>
      <c r="E44" s="190"/>
      <c r="F44" s="190"/>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TU44" s="178"/>
      <c r="TV44" s="178"/>
    </row>
    <row r="45" spans="1:542" x14ac:dyDescent="0.25">
      <c r="A45" s="96" t="str">
        <v>Is bearing life calculation required BY CLIENT?</v>
      </c>
      <c r="B45" s="191" t="str">
        <v>[yes/no]</v>
      </c>
      <c r="C45" s="157" t="str">
        <v/>
      </c>
      <c r="D45" s="155"/>
      <c r="E45" s="190"/>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0"/>
      <c r="AJ45" s="190"/>
      <c r="AK45" s="190"/>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TU45" s="178"/>
      <c r="TV45" s="178"/>
    </row>
    <row r="46" spans="1:542" x14ac:dyDescent="0.25">
      <c r="A46" s="96" t="str">
        <v>Is rotor lateral analisys required BY CLIENT?</v>
      </c>
      <c r="B46" s="191" t="str">
        <v>[yes/no]</v>
      </c>
      <c r="C46" s="157" t="str">
        <v/>
      </c>
      <c r="D46" s="155"/>
      <c r="E46" s="190"/>
      <c r="F46" s="190"/>
      <c r="G46" s="190"/>
      <c r="H46" s="190"/>
      <c r="I46" s="190"/>
      <c r="J46" s="190"/>
      <c r="K46" s="190"/>
      <c r="L46" s="190"/>
      <c r="M46" s="190"/>
      <c r="N46" s="190"/>
      <c r="O46" s="190"/>
      <c r="P46" s="190"/>
      <c r="Q46" s="190"/>
      <c r="R46" s="190"/>
      <c r="S46" s="190"/>
      <c r="T46" s="190"/>
      <c r="U46" s="190"/>
      <c r="V46" s="190"/>
      <c r="W46" s="190"/>
      <c r="X46" s="190"/>
      <c r="Y46" s="190"/>
      <c r="Z46" s="190"/>
      <c r="AA46" s="190"/>
      <c r="AB46" s="190"/>
      <c r="AC46" s="190"/>
      <c r="AD46" s="190"/>
      <c r="AE46" s="190"/>
      <c r="AF46" s="190"/>
      <c r="AG46" s="190"/>
      <c r="AH46" s="190"/>
      <c r="AI46" s="190"/>
      <c r="AJ46" s="190"/>
      <c r="AK46" s="190"/>
      <c r="AL46" s="190"/>
      <c r="AM46" s="190"/>
      <c r="AN46" s="190"/>
      <c r="AO46" s="190"/>
      <c r="AP46" s="190"/>
      <c r="AQ46" s="190"/>
      <c r="AR46" s="190"/>
      <c r="AS46" s="190"/>
      <c r="AT46" s="190"/>
      <c r="AU46" s="190"/>
      <c r="AV46" s="190"/>
      <c r="AW46" s="190"/>
      <c r="AX46" s="190"/>
      <c r="AY46" s="190"/>
      <c r="AZ46" s="190"/>
      <c r="BA46" s="190"/>
      <c r="BB46" s="190"/>
      <c r="BC46" s="190"/>
      <c r="BD46" s="190"/>
      <c r="BE46" s="190"/>
      <c r="BF46" s="190"/>
      <c r="BG46" s="190"/>
      <c r="BH46" s="190"/>
      <c r="BI46" s="190"/>
      <c r="BJ46" s="190"/>
      <c r="BK46" s="190"/>
      <c r="BL46" s="190"/>
      <c r="BM46" s="190"/>
      <c r="TU46" s="178"/>
      <c r="TV46" s="178"/>
    </row>
    <row r="47" spans="1:542" x14ac:dyDescent="0.25">
      <c r="A47" s="96" t="str">
        <v>Is torsional analisys required BY CLIENT?</v>
      </c>
      <c r="B47" s="191" t="str">
        <v>[yes/no]</v>
      </c>
      <c r="C47" s="157" t="str">
        <v/>
      </c>
      <c r="D47" s="155"/>
      <c r="E47" s="190"/>
      <c r="F47" s="190"/>
      <c r="G47" s="190"/>
      <c r="H47" s="190"/>
      <c r="I47" s="190"/>
      <c r="J47" s="190"/>
      <c r="K47" s="190"/>
      <c r="L47" s="190"/>
      <c r="M47" s="190"/>
      <c r="N47" s="190"/>
      <c r="O47" s="190"/>
      <c r="P47" s="190"/>
      <c r="Q47" s="190"/>
      <c r="R47" s="190"/>
      <c r="S47" s="190"/>
      <c r="T47" s="190"/>
      <c r="U47" s="190"/>
      <c r="V47" s="190"/>
      <c r="W47" s="190"/>
      <c r="X47" s="190"/>
      <c r="Y47" s="190"/>
      <c r="Z47" s="190"/>
      <c r="AA47" s="190"/>
      <c r="AB47" s="190"/>
      <c r="AC47" s="190"/>
      <c r="AD47" s="190"/>
      <c r="AE47" s="190"/>
      <c r="AF47" s="190"/>
      <c r="AG47" s="190"/>
      <c r="AH47" s="190"/>
      <c r="AI47" s="190"/>
      <c r="AJ47" s="190"/>
      <c r="AK47" s="190"/>
      <c r="AL47" s="190"/>
      <c r="AM47" s="190"/>
      <c r="AN47" s="190"/>
      <c r="AO47" s="190"/>
      <c r="AP47" s="190"/>
      <c r="AQ47" s="190"/>
      <c r="AR47" s="190"/>
      <c r="AS47" s="190"/>
      <c r="AT47" s="190"/>
      <c r="AU47" s="190"/>
      <c r="AV47" s="190"/>
      <c r="AW47" s="190"/>
      <c r="AX47" s="190"/>
      <c r="AY47" s="190"/>
      <c r="AZ47" s="190"/>
      <c r="BA47" s="190"/>
      <c r="BB47" s="190"/>
      <c r="BC47" s="190"/>
      <c r="BD47" s="190"/>
      <c r="BE47" s="190"/>
      <c r="BF47" s="190"/>
      <c r="BG47" s="190"/>
      <c r="BH47" s="190"/>
      <c r="BI47" s="190"/>
      <c r="BJ47" s="190"/>
      <c r="BK47" s="190"/>
      <c r="BL47" s="190"/>
      <c r="BM47" s="190"/>
      <c r="TU47" s="178"/>
      <c r="TV47" s="178"/>
    </row>
    <row r="48" spans="1:542" x14ac:dyDescent="0.25">
      <c r="A48" s="96" t="str">
        <v>Is baseplate check as per API loads required BY CLIENT?</v>
      </c>
      <c r="B48" s="191" t="str">
        <v>[yes/no]</v>
      </c>
      <c r="C48" s="157" t="str">
        <v/>
      </c>
      <c r="D48" s="155"/>
      <c r="E48" s="190"/>
      <c r="F48" s="190"/>
      <c r="G48" s="190"/>
      <c r="H48" s="190"/>
      <c r="I48" s="190"/>
      <c r="J48" s="190"/>
      <c r="K48" s="190"/>
      <c r="L48" s="190"/>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0"/>
      <c r="AJ48" s="190"/>
      <c r="AK48" s="190"/>
      <c r="AL48" s="190"/>
      <c r="AM48" s="190"/>
      <c r="AN48" s="190"/>
      <c r="AO48" s="190"/>
      <c r="AP48" s="190"/>
      <c r="AQ48" s="190"/>
      <c r="AR48" s="190"/>
      <c r="AS48" s="190"/>
      <c r="AT48" s="190"/>
      <c r="AU48" s="190"/>
      <c r="AV48" s="190"/>
      <c r="AW48" s="190"/>
      <c r="AX48" s="190"/>
      <c r="AY48" s="190"/>
      <c r="AZ48" s="190"/>
      <c r="BA48" s="190"/>
      <c r="BB48" s="190"/>
      <c r="BC48" s="190"/>
      <c r="BD48" s="190"/>
      <c r="BE48" s="190"/>
      <c r="BF48" s="190"/>
      <c r="BG48" s="190"/>
      <c r="BH48" s="190"/>
      <c r="BI48" s="190"/>
      <c r="BJ48" s="190"/>
      <c r="BK48" s="190"/>
      <c r="BL48" s="190"/>
      <c r="BM48" s="190"/>
      <c r="TU48" s="178"/>
      <c r="TV48" s="178"/>
    </row>
    <row r="49" spans="1:542" x14ac:dyDescent="0.25">
      <c r="A49" s="96" t="str">
        <v>Is baseplate modal analisys required BY CLIENT?</v>
      </c>
      <c r="B49" s="191" t="str">
        <v>[yes/no]</v>
      </c>
      <c r="C49" s="157" t="str">
        <v/>
      </c>
      <c r="D49" s="155"/>
      <c r="E49" s="190"/>
      <c r="F49" s="190"/>
      <c r="G49" s="190"/>
      <c r="H49" s="190"/>
      <c r="I49" s="190"/>
      <c r="J49" s="190"/>
      <c r="K49" s="190"/>
      <c r="L49" s="190"/>
      <c r="M49" s="190"/>
      <c r="N49" s="190"/>
      <c r="O49" s="190"/>
      <c r="P49" s="190"/>
      <c r="Q49" s="190"/>
      <c r="R49" s="190"/>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TU49" s="178"/>
      <c r="TV49" s="178"/>
    </row>
    <row r="50" spans="1:542" x14ac:dyDescent="0.25">
      <c r="A50" s="96" t="str">
        <v>Is PWHT necessary? If yes, make a list of components</v>
      </c>
      <c r="B50" s="191" t="str">
        <v>[NONE/LIST]</v>
      </c>
      <c r="C50" s="157" t="str">
        <v/>
      </c>
      <c r="D50" s="155"/>
      <c r="E50" s="190"/>
      <c r="F50" s="190"/>
      <c r="G50" s="190"/>
      <c r="H50" s="190"/>
      <c r="I50" s="190"/>
      <c r="J50" s="190"/>
      <c r="K50" s="190"/>
      <c r="L50" s="190"/>
      <c r="M50" s="190"/>
      <c r="N50" s="190"/>
      <c r="O50" s="190"/>
      <c r="P50" s="190"/>
      <c r="Q50" s="190"/>
      <c r="R50" s="190"/>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TU50" s="178"/>
      <c r="TV50" s="178"/>
    </row>
    <row r="51" spans="1:542" x14ac:dyDescent="0.25">
      <c r="A51" s="96" t="str">
        <v>Nozzle Loads API Multiplier</v>
      </c>
      <c r="B51" s="191" t="str">
        <v>[N x API standard loads]</v>
      </c>
      <c r="C51" s="157" t="str">
        <v/>
      </c>
      <c r="D51" s="155"/>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TU51" s="178"/>
      <c r="TV51" s="178"/>
    </row>
    <row r="52" spans="1:542" ht="45" x14ac:dyDescent="0.25">
      <c r="A52" s="96" t="str">
        <v xml:space="preserve">Baseplate/Soleplate connection to client foundation </v>
      </c>
      <c r="B52" s="191" t="str">
        <v>[with grouting/without grouting/welded/3 points gimbals)</v>
      </c>
      <c r="C52" s="157" t="str">
        <v/>
      </c>
      <c r="D52" s="155"/>
      <c r="E52" s="190"/>
      <c r="F52" s="190"/>
      <c r="G52" s="190"/>
      <c r="H52" s="190"/>
      <c r="I52" s="190"/>
      <c r="J52" s="190"/>
      <c r="K52" s="190"/>
      <c r="L52" s="190"/>
      <c r="M52" s="190"/>
      <c r="N52" s="190"/>
      <c r="O52" s="190"/>
      <c r="P52" s="190"/>
      <c r="Q52" s="190"/>
      <c r="R52" s="190"/>
      <c r="S52" s="190"/>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TU52" s="178"/>
      <c r="TV52" s="178"/>
    </row>
    <row r="53" spans="1:542" x14ac:dyDescent="0.25">
      <c r="A53" s="147" t="str">
        <v>Seal API Code</v>
      </c>
      <c r="B53" s="191" t="str">
        <v/>
      </c>
      <c r="C53" s="157" t="str">
        <v/>
      </c>
      <c r="D53" s="155"/>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TU53" s="178"/>
      <c r="TV53" s="178"/>
    </row>
    <row r="54" spans="1:542" x14ac:dyDescent="0.25">
      <c r="A54" s="147" t="str">
        <v>Primary Seal Flush Plan</v>
      </c>
      <c r="B54" s="191" t="str">
        <v/>
      </c>
      <c r="C54" s="157" t="str">
        <v/>
      </c>
      <c r="D54" s="155"/>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TU54" s="178"/>
      <c r="TV54" s="178"/>
    </row>
    <row r="55" spans="1:542" x14ac:dyDescent="0.25">
      <c r="A55" s="147" t="str">
        <v>Secondary Seal Flush Plan</v>
      </c>
      <c r="B55" s="191" t="str">
        <v/>
      </c>
      <c r="C55" s="157" t="str">
        <v/>
      </c>
      <c r="D55" s="155"/>
      <c r="E55" s="190"/>
      <c r="F55" s="190"/>
      <c r="G55" s="190"/>
      <c r="H55" s="190"/>
      <c r="I55" s="190"/>
      <c r="J55" s="190"/>
      <c r="K55" s="190"/>
      <c r="L55" s="190"/>
      <c r="M55" s="190"/>
      <c r="N55" s="190"/>
      <c r="O55" s="190"/>
      <c r="P55" s="190"/>
      <c r="Q55" s="190"/>
      <c r="R55" s="190"/>
      <c r="S55" s="190"/>
      <c r="T55" s="190"/>
      <c r="U55" s="190"/>
      <c r="V55" s="190"/>
      <c r="W55" s="190"/>
      <c r="X55" s="190"/>
      <c r="Y55" s="190"/>
      <c r="Z55" s="190"/>
      <c r="AA55" s="190"/>
      <c r="AB55" s="190"/>
      <c r="AC55" s="190"/>
      <c r="AD55" s="190"/>
      <c r="AE55" s="190"/>
      <c r="AF55" s="190"/>
      <c r="AG55" s="190"/>
      <c r="AH55" s="190"/>
      <c r="AI55" s="190"/>
      <c r="AJ55" s="190"/>
      <c r="AK55" s="190"/>
      <c r="AL55" s="190"/>
      <c r="AM55" s="190"/>
      <c r="AN55" s="190"/>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TU55" s="178"/>
      <c r="TV55" s="178"/>
    </row>
    <row r="56" spans="1:542" x14ac:dyDescent="0.25">
      <c r="A56" s="147" t="str">
        <v>Auxiliary Seal Flush Plan</v>
      </c>
      <c r="B56" s="191" t="str">
        <v/>
      </c>
      <c r="C56" s="157" t="str">
        <v/>
      </c>
      <c r="D56" s="155"/>
      <c r="E56" s="190"/>
      <c r="F56" s="190"/>
      <c r="G56" s="190"/>
      <c r="H56" s="190"/>
      <c r="I56" s="190"/>
      <c r="J56" s="190"/>
      <c r="K56" s="190"/>
      <c r="L56" s="190"/>
      <c r="M56" s="190"/>
      <c r="N56" s="190"/>
      <c r="O56" s="190"/>
      <c r="P56" s="190"/>
      <c r="Q56" s="190"/>
      <c r="R56" s="190"/>
      <c r="S56" s="190"/>
      <c r="T56" s="190"/>
      <c r="U56" s="190"/>
      <c r="V56" s="190"/>
      <c r="W56" s="190"/>
      <c r="X56" s="190"/>
      <c r="Y56" s="190"/>
      <c r="Z56" s="190"/>
      <c r="AA56" s="190"/>
      <c r="AB56" s="190"/>
      <c r="AC56" s="190"/>
      <c r="AD56" s="190"/>
      <c r="AE56" s="190"/>
      <c r="AF56" s="190"/>
      <c r="AG56" s="190"/>
      <c r="AH56" s="190"/>
      <c r="AI56" s="190"/>
      <c r="AJ56" s="190"/>
      <c r="AK56" s="190"/>
      <c r="AL56" s="190"/>
      <c r="AM56" s="190"/>
      <c r="AN56" s="190"/>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TU56" s="178"/>
      <c r="TV56" s="178"/>
    </row>
    <row r="57" spans="1:542" x14ac:dyDescent="0.25">
      <c r="A57" s="96" t="str">
        <v>Plan System on Baseplate</v>
      </c>
      <c r="B57" s="191" t="str">
        <v>[yes/no]</v>
      </c>
      <c r="C57" s="157" t="str">
        <v/>
      </c>
      <c r="D57" s="155"/>
      <c r="E57" s="190"/>
      <c r="F57" s="190"/>
      <c r="G57" s="190"/>
      <c r="H57" s="190"/>
      <c r="I57" s="190"/>
      <c r="J57" s="190"/>
      <c r="K57" s="190"/>
      <c r="L57" s="190"/>
      <c r="M57" s="190"/>
      <c r="N57" s="190"/>
      <c r="O57" s="190"/>
      <c r="P57" s="190"/>
      <c r="Q57" s="190"/>
      <c r="R57" s="190"/>
      <c r="S57" s="190"/>
      <c r="T57" s="190"/>
      <c r="U57" s="190"/>
      <c r="V57" s="190"/>
      <c r="W57" s="190"/>
      <c r="X57" s="190"/>
      <c r="Y57" s="190"/>
      <c r="Z57" s="190"/>
      <c r="AA57" s="190"/>
      <c r="AB57" s="190"/>
      <c r="AC57" s="190"/>
      <c r="AD57" s="190"/>
      <c r="AE57" s="190"/>
      <c r="AF57" s="190"/>
      <c r="AG57" s="190"/>
      <c r="AH57" s="190"/>
      <c r="AI57" s="190"/>
      <c r="AJ57" s="190"/>
      <c r="AK57" s="190"/>
      <c r="AL57" s="190"/>
      <c r="AM57" s="190"/>
      <c r="AN57" s="190"/>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TU57" s="178"/>
      <c r="TV57" s="178"/>
    </row>
    <row r="58" spans="1:542" x14ac:dyDescent="0.25">
      <c r="A58" s="147" t="str">
        <v>Cooling Water Piping Plan</v>
      </c>
      <c r="B58" s="191" t="str">
        <v/>
      </c>
      <c r="C58" s="157" t="str">
        <v/>
      </c>
      <c r="D58" s="155"/>
      <c r="E58" s="190"/>
      <c r="F58" s="190"/>
      <c r="G58" s="190"/>
      <c r="H58" s="190"/>
      <c r="I58" s="190"/>
      <c r="J58" s="190"/>
      <c r="K58" s="190"/>
      <c r="L58" s="190"/>
      <c r="M58" s="190"/>
      <c r="N58" s="190"/>
      <c r="O58" s="190"/>
      <c r="P58" s="190"/>
      <c r="Q58" s="190"/>
      <c r="R58" s="190"/>
      <c r="S58" s="190"/>
      <c r="T58" s="190"/>
      <c r="U58" s="190"/>
      <c r="V58" s="190"/>
      <c r="W58" s="190"/>
      <c r="X58" s="190"/>
      <c r="Y58" s="190"/>
      <c r="Z58" s="190"/>
      <c r="AA58" s="190"/>
      <c r="AB58" s="190"/>
      <c r="AC58" s="190"/>
      <c r="AD58" s="190"/>
      <c r="AE58" s="190"/>
      <c r="AF58" s="190"/>
      <c r="AG58" s="190"/>
      <c r="AH58" s="190"/>
      <c r="AI58" s="190"/>
      <c r="AJ58" s="190"/>
      <c r="AK58" s="190"/>
      <c r="AL58" s="190"/>
      <c r="AM58" s="190"/>
      <c r="AN58" s="190"/>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TU58" s="178"/>
      <c r="TV58" s="178"/>
    </row>
    <row r="59" spans="1:542" x14ac:dyDescent="0.25">
      <c r="A59" s="96" t="str">
        <v>Heated/cooled jacket for stuffing box</v>
      </c>
      <c r="B59" s="191" t="str">
        <v>[yes/no]</v>
      </c>
      <c r="C59" s="157" t="str">
        <v/>
      </c>
      <c r="D59" s="155"/>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TU59" s="178"/>
      <c r="TV59" s="178"/>
    </row>
    <row r="60" spans="1:542" ht="30" x14ac:dyDescent="0.25">
      <c r="A60" s="96" t="str">
        <v>Bearing type</v>
      </c>
      <c r="B60" s="191" t="str">
        <v>[antifriction / sleeve / tilting pad]</v>
      </c>
      <c r="C60" s="157" t="str">
        <v/>
      </c>
      <c r="D60" s="155"/>
      <c r="E60" s="190"/>
      <c r="F60" s="190"/>
      <c r="G60" s="190"/>
      <c r="H60" s="190"/>
      <c r="I60" s="190"/>
      <c r="J60" s="190"/>
      <c r="K60" s="190"/>
      <c r="L60" s="190"/>
      <c r="M60" s="190"/>
      <c r="N60" s="190"/>
      <c r="O60" s="190"/>
      <c r="P60" s="190"/>
      <c r="Q60" s="190"/>
      <c r="R60" s="190"/>
      <c r="S60" s="190"/>
      <c r="T60" s="190"/>
      <c r="U60" s="190"/>
      <c r="V60" s="19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TU60" s="178"/>
      <c r="TV60" s="178"/>
    </row>
    <row r="61" spans="1:542" ht="30" x14ac:dyDescent="0.25">
      <c r="A61" s="96" t="str">
        <v>Driver bearing type</v>
      </c>
      <c r="B61" s="191" t="str">
        <v>[antifriction / sleeve / tilting pad]</v>
      </c>
      <c r="C61" s="157" t="str">
        <v/>
      </c>
      <c r="D61" s="155"/>
      <c r="E61" s="190"/>
      <c r="F61" s="190"/>
      <c r="G61" s="190"/>
      <c r="H61" s="190"/>
      <c r="I61" s="190"/>
      <c r="J61" s="190"/>
      <c r="K61" s="190"/>
      <c r="L61" s="190"/>
      <c r="M61" s="190"/>
      <c r="N61" s="190"/>
      <c r="O61" s="190"/>
      <c r="P61" s="190"/>
      <c r="Q61" s="190"/>
      <c r="R61" s="190"/>
      <c r="S61" s="190"/>
      <c r="T61" s="190"/>
      <c r="U61" s="190"/>
      <c r="V61" s="190"/>
      <c r="W61" s="190"/>
      <c r="X61" s="190"/>
      <c r="Y61" s="190"/>
      <c r="Z61" s="190"/>
      <c r="AA61" s="190"/>
      <c r="AB61" s="190"/>
      <c r="AC61" s="190"/>
      <c r="AD61" s="190"/>
      <c r="AE61" s="190"/>
      <c r="AF61" s="190"/>
      <c r="AG61" s="190"/>
      <c r="AH61" s="190"/>
      <c r="AI61" s="190"/>
      <c r="AJ61" s="190"/>
      <c r="AK61" s="190"/>
      <c r="AL61" s="190"/>
      <c r="AM61" s="190"/>
      <c r="AN61" s="190"/>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TU61" s="178"/>
      <c r="TV61" s="178"/>
    </row>
    <row r="62" spans="1:542" x14ac:dyDescent="0.25">
      <c r="A62" s="176" t="str">
        <v>Coupling Type</v>
      </c>
      <c r="B62" s="191" t="str">
        <v/>
      </c>
      <c r="C62" s="157" t="str">
        <v/>
      </c>
      <c r="D62" s="155"/>
      <c r="E62" s="190"/>
      <c r="F62" s="190"/>
      <c r="G62" s="190"/>
      <c r="H62" s="190"/>
      <c r="I62" s="190"/>
      <c r="J62" s="190"/>
      <c r="K62" s="190"/>
      <c r="L62" s="190"/>
      <c r="M62" s="190"/>
      <c r="N62" s="190"/>
      <c r="O62" s="190"/>
      <c r="P62" s="190"/>
      <c r="Q62" s="190"/>
      <c r="R62" s="190"/>
      <c r="S62" s="190"/>
      <c r="T62" s="190"/>
      <c r="U62" s="190"/>
      <c r="V62" s="190"/>
      <c r="W62" s="190"/>
      <c r="X62" s="190"/>
      <c r="Y62" s="190"/>
      <c r="Z62" s="190"/>
      <c r="AA62" s="190"/>
      <c r="AB62" s="190"/>
      <c r="AC62" s="190"/>
      <c r="AD62" s="190"/>
      <c r="AE62" s="190"/>
      <c r="AF62" s="190"/>
      <c r="AG62" s="190"/>
      <c r="AH62" s="190"/>
      <c r="AI62" s="190"/>
      <c r="AJ62" s="190"/>
      <c r="AK62" s="190"/>
      <c r="AL62" s="190"/>
      <c r="AM62" s="190"/>
      <c r="AN62" s="190"/>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TU62" s="178"/>
      <c r="TV62" s="178"/>
    </row>
    <row r="63" spans="1:542" x14ac:dyDescent="0.25">
      <c r="A63" s="176" t="str">
        <v>Driver Type</v>
      </c>
      <c r="B63" s="191" t="str">
        <v/>
      </c>
      <c r="C63" s="157" t="str">
        <v/>
      </c>
      <c r="D63" s="155"/>
      <c r="E63" s="190"/>
      <c r="F63" s="190"/>
      <c r="G63" s="190"/>
      <c r="H63" s="190"/>
      <c r="I63" s="190"/>
      <c r="J63" s="190"/>
      <c r="K63" s="190"/>
      <c r="L63" s="190"/>
      <c r="M63" s="190"/>
      <c r="N63" s="190"/>
      <c r="O63" s="190"/>
      <c r="P63" s="190"/>
      <c r="Q63" s="190"/>
      <c r="R63" s="190"/>
      <c r="S63" s="190"/>
      <c r="T63" s="190"/>
      <c r="U63" s="190"/>
      <c r="V63" s="190"/>
      <c r="W63" s="190"/>
      <c r="X63" s="190"/>
      <c r="Y63" s="190"/>
      <c r="Z63" s="190"/>
      <c r="AA63" s="190"/>
      <c r="AB63" s="190"/>
      <c r="AC63" s="190"/>
      <c r="AD63" s="190"/>
      <c r="AE63" s="190"/>
      <c r="AF63" s="190"/>
      <c r="AG63" s="190"/>
      <c r="AH63" s="190"/>
      <c r="AI63" s="190"/>
      <c r="AJ63" s="190"/>
      <c r="AK63" s="190"/>
      <c r="AL63" s="190"/>
      <c r="AM63" s="190"/>
      <c r="AN63" s="190"/>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TU63" s="178"/>
      <c r="TV63" s="178"/>
    </row>
    <row r="64" spans="1:542" x14ac:dyDescent="0.25">
      <c r="A64" s="176" t="str">
        <v>Driver Power</v>
      </c>
      <c r="B64" s="191" t="str">
        <v>kW</v>
      </c>
      <c r="C64" s="157" t="str">
        <v/>
      </c>
      <c r="D64" s="15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N64" s="190"/>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TU64" s="178"/>
      <c r="TV64" s="178"/>
    </row>
    <row r="65" spans="1:542" x14ac:dyDescent="0.25">
      <c r="A65" s="176" t="str">
        <v>Diesel Motors</v>
      </c>
      <c r="B65" s="191" t="str">
        <v/>
      </c>
      <c r="C65" s="157" t="str">
        <v/>
      </c>
      <c r="D65" s="15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N65" s="190"/>
      <c r="AO65" s="190"/>
      <c r="AP65" s="190"/>
      <c r="AQ65" s="190"/>
      <c r="AR65" s="190"/>
      <c r="AS65" s="190"/>
      <c r="AT65" s="190"/>
      <c r="AU65" s="190"/>
      <c r="AV65" s="190"/>
      <c r="AW65" s="190"/>
      <c r="AX65" s="190"/>
      <c r="AY65" s="190"/>
      <c r="AZ65" s="190"/>
      <c r="BA65" s="190"/>
      <c r="BB65" s="190"/>
      <c r="BC65" s="190"/>
      <c r="BD65" s="190"/>
      <c r="BE65" s="190"/>
      <c r="BF65" s="190"/>
      <c r="BG65" s="190"/>
      <c r="BH65" s="190"/>
      <c r="BI65" s="190"/>
      <c r="BJ65" s="190"/>
      <c r="BK65" s="190"/>
      <c r="BL65" s="190"/>
      <c r="BM65" s="190"/>
      <c r="TU65" s="178"/>
      <c r="TV65" s="178"/>
    </row>
    <row r="66" spans="1:542" x14ac:dyDescent="0.25">
      <c r="A66" s="176" t="str">
        <v>Steam Turbine</v>
      </c>
      <c r="B66" s="191" t="str">
        <v/>
      </c>
      <c r="C66" s="157" t="str">
        <v/>
      </c>
      <c r="D66" s="15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N66" s="190"/>
      <c r="AO66" s="190"/>
      <c r="AP66" s="190"/>
      <c r="AQ66" s="190"/>
      <c r="AR66" s="190"/>
      <c r="AS66" s="190"/>
      <c r="AT66" s="190"/>
      <c r="AU66" s="190"/>
      <c r="AV66" s="190"/>
      <c r="AW66" s="190"/>
      <c r="AX66" s="190"/>
      <c r="AY66" s="190"/>
      <c r="AZ66" s="190"/>
      <c r="BA66" s="190"/>
      <c r="BB66" s="190"/>
      <c r="BC66" s="190"/>
      <c r="BD66" s="190"/>
      <c r="BE66" s="190"/>
      <c r="BF66" s="190"/>
      <c r="BG66" s="190"/>
      <c r="BH66" s="190"/>
      <c r="BI66" s="190"/>
      <c r="BJ66" s="190"/>
      <c r="BK66" s="190"/>
      <c r="BL66" s="190"/>
      <c r="BM66" s="190"/>
      <c r="TU66" s="178"/>
      <c r="TV66" s="178"/>
    </row>
    <row r="67" spans="1:542" x14ac:dyDescent="0.25">
      <c r="A67" s="177" t="str">
        <v>Condenser for Steam turbine</v>
      </c>
      <c r="B67" s="191" t="str">
        <v>[yes/no]</v>
      </c>
      <c r="C67" s="157" t="str">
        <v/>
      </c>
      <c r="D67" s="15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N67" s="190"/>
      <c r="AO67" s="190"/>
      <c r="AP67" s="190"/>
      <c r="AQ67" s="190"/>
      <c r="AR67" s="190"/>
      <c r="AS67" s="190"/>
      <c r="AT67" s="190"/>
      <c r="AU67" s="190"/>
      <c r="AV67" s="190"/>
      <c r="AW67" s="190"/>
      <c r="AX67" s="190"/>
      <c r="AY67" s="190"/>
      <c r="AZ67" s="190"/>
      <c r="BA67" s="190"/>
      <c r="BB67" s="190"/>
      <c r="BC67" s="190"/>
      <c r="BD67" s="190"/>
      <c r="BE67" s="190"/>
      <c r="BF67" s="190"/>
      <c r="BG67" s="190"/>
      <c r="BH67" s="190"/>
      <c r="BI67" s="190"/>
      <c r="BJ67" s="190"/>
      <c r="BK67" s="190"/>
      <c r="BL67" s="190"/>
      <c r="BM67" s="190"/>
      <c r="TU67" s="178"/>
      <c r="TV67" s="178"/>
    </row>
    <row r="68" spans="1:542" x14ac:dyDescent="0.25">
      <c r="A68" s="177" t="str">
        <v>Acustic Insulation</v>
      </c>
      <c r="B68" s="191" t="str">
        <v>[yes/no]</v>
      </c>
      <c r="C68" s="157" t="str">
        <v/>
      </c>
      <c r="D68" s="15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c r="AS68" s="190"/>
      <c r="AT68" s="190"/>
      <c r="AU68" s="190"/>
      <c r="AV68" s="190"/>
      <c r="AW68" s="190"/>
      <c r="AX68" s="190"/>
      <c r="AY68" s="190"/>
      <c r="AZ68" s="190"/>
      <c r="BA68" s="190"/>
      <c r="BB68" s="190"/>
      <c r="BC68" s="190"/>
      <c r="BD68" s="190"/>
      <c r="BE68" s="190"/>
      <c r="BF68" s="190"/>
      <c r="BG68" s="190"/>
      <c r="BH68" s="190"/>
      <c r="BI68" s="190"/>
      <c r="BJ68" s="190"/>
      <c r="BK68" s="190"/>
      <c r="BL68" s="190"/>
      <c r="BM68" s="190"/>
      <c r="TU68" s="178"/>
      <c r="TV68" s="178"/>
    </row>
    <row r="69" spans="1:542" x14ac:dyDescent="0.25">
      <c r="A69" s="177" t="str">
        <v>Thermal Insulation</v>
      </c>
      <c r="B69" s="191" t="str">
        <v>[yes/no]</v>
      </c>
      <c r="C69" s="157" t="str">
        <v/>
      </c>
      <c r="D69" s="15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0"/>
      <c r="AP69" s="190"/>
      <c r="AQ69" s="190"/>
      <c r="AR69" s="190"/>
      <c r="AS69" s="190"/>
      <c r="AT69" s="190"/>
      <c r="AU69" s="190"/>
      <c r="AV69" s="190"/>
      <c r="AW69" s="190"/>
      <c r="AX69" s="190"/>
      <c r="AY69" s="190"/>
      <c r="AZ69" s="190"/>
      <c r="BA69" s="190"/>
      <c r="BB69" s="190"/>
      <c r="BC69" s="190"/>
      <c r="BD69" s="190"/>
      <c r="BE69" s="190"/>
      <c r="BF69" s="190"/>
      <c r="BG69" s="190"/>
      <c r="BH69" s="190"/>
      <c r="BI69" s="190"/>
      <c r="BJ69" s="190"/>
      <c r="BK69" s="190"/>
      <c r="BL69" s="190"/>
      <c r="BM69" s="190"/>
      <c r="TU69" s="178"/>
      <c r="TV69" s="178"/>
    </row>
    <row r="70" spans="1:542" x14ac:dyDescent="0.25">
      <c r="A70" s="177" t="str">
        <v>Heat Tracing</v>
      </c>
      <c r="B70" s="191" t="str">
        <v>[yes/no]</v>
      </c>
      <c r="C70" s="157" t="str">
        <v/>
      </c>
      <c r="D70" s="15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190"/>
      <c r="AS70" s="190"/>
      <c r="AT70" s="190"/>
      <c r="AU70" s="190"/>
      <c r="AV70" s="190"/>
      <c r="AW70" s="190"/>
      <c r="AX70" s="190"/>
      <c r="AY70" s="190"/>
      <c r="AZ70" s="190"/>
      <c r="BA70" s="190"/>
      <c r="BB70" s="190"/>
      <c r="BC70" s="190"/>
      <c r="BD70" s="190"/>
      <c r="BE70" s="190"/>
      <c r="BF70" s="190"/>
      <c r="BG70" s="190"/>
      <c r="BH70" s="190"/>
      <c r="BI70" s="190"/>
      <c r="BJ70" s="190"/>
      <c r="BK70" s="190"/>
      <c r="BL70" s="190"/>
      <c r="BM70" s="190"/>
      <c r="TU70" s="178"/>
      <c r="TV70" s="178"/>
    </row>
    <row r="71" spans="1:542" x14ac:dyDescent="0.25">
      <c r="A71" s="177" t="str">
        <v>Heat Tracing Type</v>
      </c>
      <c r="B71" s="191" t="str">
        <v>[yes/no]</v>
      </c>
      <c r="C71" s="157" t="str">
        <v/>
      </c>
      <c r="D71" s="15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TU71" s="178"/>
      <c r="TV71" s="178"/>
    </row>
    <row r="72" spans="1:542" x14ac:dyDescent="0.25">
      <c r="A72" s="177" t="str">
        <v>Steam Jacket</v>
      </c>
      <c r="B72" s="191" t="str">
        <v>[yes/no]</v>
      </c>
      <c r="C72" s="157" t="str">
        <v/>
      </c>
      <c r="D72" s="155"/>
      <c r="E72" s="190"/>
      <c r="F72" s="190"/>
      <c r="G72" s="190"/>
      <c r="H72" s="190"/>
      <c r="I72" s="190"/>
      <c r="J72" s="190"/>
      <c r="K72" s="190"/>
      <c r="L72" s="190"/>
      <c r="M72" s="190"/>
      <c r="N72" s="190"/>
      <c r="O72" s="190"/>
      <c r="P72" s="190"/>
      <c r="Q72" s="190"/>
      <c r="R72" s="190"/>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TU72" s="178"/>
      <c r="TV72" s="178"/>
    </row>
    <row r="73" spans="1:542" ht="30" x14ac:dyDescent="0.25">
      <c r="A73" s="177" t="str">
        <v>Tool for cartridge dismantling</v>
      </c>
      <c r="B73" s="191" t="str">
        <v>[with trolley/ without trolley/ none]</v>
      </c>
      <c r="C73" s="157" t="str">
        <v/>
      </c>
      <c r="D73" s="155"/>
      <c r="E73" s="190"/>
      <c r="F73" s="190"/>
      <c r="G73" s="190"/>
      <c r="H73" s="190"/>
      <c r="I73" s="190"/>
      <c r="J73" s="190"/>
      <c r="K73" s="190"/>
      <c r="L73" s="190"/>
      <c r="M73" s="190"/>
      <c r="N73" s="190"/>
      <c r="O73" s="190"/>
      <c r="P73" s="190"/>
      <c r="Q73" s="190"/>
      <c r="R73" s="190"/>
      <c r="S73" s="190"/>
      <c r="T73" s="190"/>
      <c r="U73" s="190"/>
      <c r="V73" s="190"/>
      <c r="W73" s="190"/>
      <c r="X73" s="190"/>
      <c r="Y73" s="190"/>
      <c r="Z73" s="190"/>
      <c r="AA73" s="190"/>
      <c r="AB73" s="190"/>
      <c r="AC73" s="190"/>
      <c r="AD73" s="190"/>
      <c r="AE73" s="190"/>
      <c r="AF73" s="190"/>
      <c r="AG73" s="190"/>
      <c r="AH73" s="190"/>
      <c r="AI73" s="190"/>
      <c r="AJ73" s="190"/>
      <c r="AK73" s="190"/>
      <c r="AL73" s="190"/>
      <c r="AM73" s="190"/>
      <c r="AN73" s="190"/>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TU73" s="178"/>
      <c r="TV73" s="178"/>
    </row>
    <row r="74" spans="1:542" x14ac:dyDescent="0.25">
      <c r="A74" s="177" t="str">
        <v>Container</v>
      </c>
      <c r="B74" s="191" t="str">
        <v>[rotor/inner/ other]</v>
      </c>
      <c r="C74" s="157" t="str">
        <v/>
      </c>
      <c r="D74" s="155"/>
      <c r="E74" s="190"/>
      <c r="F74" s="190"/>
      <c r="G74" s="190"/>
      <c r="H74" s="190"/>
      <c r="I74" s="190"/>
      <c r="J74" s="190"/>
      <c r="K74" s="190"/>
      <c r="L74" s="190"/>
      <c r="M74" s="190"/>
      <c r="N74" s="190"/>
      <c r="O74" s="190"/>
      <c r="P74" s="190"/>
      <c r="Q74" s="190"/>
      <c r="R74" s="190"/>
      <c r="S74" s="190"/>
      <c r="T74" s="190"/>
      <c r="U74" s="190"/>
      <c r="V74" s="190"/>
      <c r="W74" s="190"/>
      <c r="X74" s="190"/>
      <c r="Y74" s="190"/>
      <c r="Z74" s="190"/>
      <c r="AA74" s="190"/>
      <c r="AB74" s="190"/>
      <c r="AC74" s="190"/>
      <c r="AD74" s="190"/>
      <c r="AE74" s="190"/>
      <c r="AF74" s="190"/>
      <c r="AG74" s="190"/>
      <c r="AH74" s="190"/>
      <c r="AI74" s="190"/>
      <c r="AJ74" s="190"/>
      <c r="AK74" s="190"/>
      <c r="AL74" s="190"/>
      <c r="AM74" s="190"/>
      <c r="AN74" s="190"/>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TU74" s="178"/>
      <c r="TV74" s="178"/>
    </row>
    <row r="75" spans="1:542" x14ac:dyDescent="0.25">
      <c r="A75" s="176" t="str">
        <v>Minimim Temperature To be maintained by Tracing</v>
      </c>
      <c r="B75" s="191" t="str">
        <v/>
      </c>
      <c r="C75" s="157" t="str">
        <v/>
      </c>
      <c r="D75" s="155"/>
      <c r="E75" s="190"/>
      <c r="F75" s="190"/>
      <c r="G75" s="190"/>
      <c r="H75" s="190"/>
      <c r="I75" s="190"/>
      <c r="J75" s="190"/>
      <c r="K75" s="190"/>
      <c r="L75" s="190"/>
      <c r="M75" s="190"/>
      <c r="N75" s="190"/>
      <c r="O75" s="190"/>
      <c r="P75" s="190"/>
      <c r="Q75" s="190"/>
      <c r="R75" s="190"/>
      <c r="S75" s="190"/>
      <c r="T75" s="190"/>
      <c r="U75" s="190"/>
      <c r="V75" s="190"/>
      <c r="W75" s="190"/>
      <c r="X75" s="190"/>
      <c r="Y75" s="190"/>
      <c r="Z75" s="190"/>
      <c r="AA75" s="190"/>
      <c r="AB75" s="190"/>
      <c r="AC75" s="190"/>
      <c r="AD75" s="190"/>
      <c r="AE75" s="190"/>
      <c r="AF75" s="190"/>
      <c r="AG75" s="190"/>
      <c r="AH75" s="190"/>
      <c r="AI75" s="190"/>
      <c r="AJ75" s="190"/>
      <c r="AK75" s="190"/>
      <c r="AL75" s="190"/>
      <c r="AM75" s="190"/>
      <c r="AN75" s="190"/>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TU75" s="178"/>
      <c r="TV75" s="178"/>
    </row>
    <row r="76" spans="1:542" x14ac:dyDescent="0.25">
      <c r="A76" s="176" t="str">
        <v>Inverter</v>
      </c>
      <c r="B76" s="191" t="str">
        <v/>
      </c>
      <c r="C76" s="157" t="str">
        <v/>
      </c>
      <c r="D76" s="155"/>
      <c r="E76" s="190"/>
      <c r="F76" s="190"/>
      <c r="G76" s="190"/>
      <c r="H76" s="190"/>
      <c r="I76" s="190"/>
      <c r="J76" s="190"/>
      <c r="K76" s="190"/>
      <c r="L76" s="190"/>
      <c r="M76" s="190"/>
      <c r="N76" s="190"/>
      <c r="O76" s="190"/>
      <c r="P76" s="190"/>
      <c r="Q76" s="190"/>
      <c r="R76" s="190"/>
      <c r="S76" s="190"/>
      <c r="T76" s="190"/>
      <c r="U76" s="190"/>
      <c r="V76" s="190"/>
      <c r="W76" s="190"/>
      <c r="X76" s="190"/>
      <c r="Y76" s="190"/>
      <c r="Z76" s="190"/>
      <c r="AA76" s="190"/>
      <c r="AB76" s="190"/>
      <c r="AC76" s="190"/>
      <c r="AD76" s="190"/>
      <c r="AE76" s="190"/>
      <c r="AF76" s="190"/>
      <c r="AG76" s="190"/>
      <c r="AH76" s="190"/>
      <c r="AI76" s="190"/>
      <c r="AJ76" s="190"/>
      <c r="AK76" s="190"/>
      <c r="AL76" s="190"/>
      <c r="AM76" s="190"/>
      <c r="AN76" s="190"/>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TU76" s="178"/>
      <c r="TV76" s="178"/>
    </row>
    <row r="77" spans="1:542" x14ac:dyDescent="0.25">
      <c r="A77" s="176" t="str">
        <v>Soft Starter</v>
      </c>
      <c r="B77" s="191" t="str">
        <v/>
      </c>
      <c r="C77" s="157" t="str">
        <v/>
      </c>
      <c r="D77" s="155"/>
      <c r="E77" s="190"/>
      <c r="F77" s="190"/>
      <c r="G77" s="190"/>
      <c r="H77" s="190"/>
      <c r="I77" s="190"/>
      <c r="J77" s="190"/>
      <c r="K77" s="190"/>
      <c r="L77" s="190"/>
      <c r="M77" s="190"/>
      <c r="N77" s="190"/>
      <c r="O77" s="190"/>
      <c r="P77" s="190"/>
      <c r="Q77" s="190"/>
      <c r="R77" s="190"/>
      <c r="S77" s="190"/>
      <c r="T77" s="190"/>
      <c r="U77" s="190"/>
      <c r="V77" s="190"/>
      <c r="W77" s="190"/>
      <c r="X77" s="190"/>
      <c r="Y77" s="190"/>
      <c r="Z77" s="190"/>
      <c r="AA77" s="190"/>
      <c r="AB77" s="190"/>
      <c r="AC77" s="190"/>
      <c r="AD77" s="190"/>
      <c r="AE77" s="190"/>
      <c r="AF77" s="190"/>
      <c r="AG77" s="190"/>
      <c r="AH77" s="190"/>
      <c r="AI77" s="190"/>
      <c r="AJ77" s="190"/>
      <c r="AK77" s="190"/>
      <c r="AL77" s="190"/>
      <c r="AM77" s="190"/>
      <c r="AN77" s="190"/>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TU77" s="178"/>
      <c r="TV77" s="178"/>
    </row>
    <row r="78" spans="1:542" x14ac:dyDescent="0.25">
      <c r="A78" s="176" t="str">
        <v>Transformer</v>
      </c>
      <c r="B78" s="191" t="str">
        <v/>
      </c>
      <c r="C78" s="157" t="str">
        <v/>
      </c>
      <c r="D78" s="155"/>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190"/>
      <c r="AC78" s="190"/>
      <c r="AD78" s="190"/>
      <c r="AE78" s="190"/>
      <c r="AF78" s="190"/>
      <c r="AG78" s="190"/>
      <c r="AH78" s="190"/>
      <c r="AI78" s="190"/>
      <c r="AJ78" s="190"/>
      <c r="AK78" s="190"/>
      <c r="AL78" s="190"/>
      <c r="AM78" s="190"/>
      <c r="AN78" s="190"/>
      <c r="AO78" s="190"/>
      <c r="AP78" s="190"/>
      <c r="AQ78" s="190"/>
      <c r="AR78" s="190"/>
      <c r="AS78" s="190"/>
      <c r="AT78" s="190"/>
      <c r="AU78" s="190"/>
      <c r="AV78" s="190"/>
      <c r="AW78" s="190"/>
      <c r="AX78" s="190"/>
      <c r="AY78" s="190"/>
      <c r="AZ78" s="190"/>
      <c r="BA78" s="190"/>
      <c r="BB78" s="190"/>
      <c r="BC78" s="190"/>
      <c r="BD78" s="190"/>
      <c r="BE78" s="190"/>
      <c r="BF78" s="190"/>
      <c r="BG78" s="190"/>
      <c r="BH78" s="190"/>
      <c r="BI78" s="190"/>
      <c r="BJ78" s="190"/>
      <c r="BK78" s="190"/>
      <c r="BL78" s="190"/>
      <c r="BM78" s="190"/>
      <c r="TU78" s="178"/>
      <c r="TV78" s="178"/>
    </row>
    <row r="79" spans="1:542" x14ac:dyDescent="0.25">
      <c r="A79" s="176" t="str">
        <v>Lube Oil Console</v>
      </c>
      <c r="B79" s="191" t="str">
        <v/>
      </c>
      <c r="C79" s="157" t="str">
        <v/>
      </c>
      <c r="D79" s="155"/>
      <c r="E79" s="190"/>
      <c r="F79" s="190"/>
      <c r="G79" s="190"/>
      <c r="H79" s="190"/>
      <c r="I79" s="190"/>
      <c r="J79" s="190"/>
      <c r="K79" s="190"/>
      <c r="L79" s="190"/>
      <c r="M79" s="190"/>
      <c r="N79" s="190"/>
      <c r="O79" s="190"/>
      <c r="P79" s="190"/>
      <c r="Q79" s="190"/>
      <c r="R79" s="190"/>
      <c r="S79" s="190"/>
      <c r="T79" s="190"/>
      <c r="U79" s="190"/>
      <c r="V79" s="190"/>
      <c r="W79" s="190"/>
      <c r="X79" s="190"/>
      <c r="Y79" s="190"/>
      <c r="Z79" s="190"/>
      <c r="AA79" s="190"/>
      <c r="AB79" s="190"/>
      <c r="AC79" s="190"/>
      <c r="AD79" s="190"/>
      <c r="AE79" s="190"/>
      <c r="AF79" s="190"/>
      <c r="AG79" s="190"/>
      <c r="AH79" s="190"/>
      <c r="AI79" s="190"/>
      <c r="AJ79" s="190"/>
      <c r="AK79" s="190"/>
      <c r="AL79" s="190"/>
      <c r="AM79" s="190"/>
      <c r="AN79" s="190"/>
      <c r="AO79" s="190"/>
      <c r="AP79" s="190"/>
      <c r="AQ79" s="190"/>
      <c r="AR79" s="190"/>
      <c r="AS79" s="190"/>
      <c r="AT79" s="190"/>
      <c r="AU79" s="190"/>
      <c r="AV79" s="190"/>
      <c r="AW79" s="190"/>
      <c r="AX79" s="190"/>
      <c r="AY79" s="190"/>
      <c r="AZ79" s="190"/>
      <c r="BA79" s="190"/>
      <c r="BB79" s="190"/>
      <c r="BC79" s="190"/>
      <c r="BD79" s="190"/>
      <c r="BE79" s="190"/>
      <c r="BF79" s="190"/>
      <c r="BG79" s="190"/>
      <c r="BH79" s="190"/>
      <c r="BI79" s="190"/>
      <c r="BJ79" s="190"/>
      <c r="BK79" s="190"/>
      <c r="BL79" s="190"/>
      <c r="BM79" s="190"/>
      <c r="TU79" s="178"/>
      <c r="TV79" s="178"/>
    </row>
    <row r="80" spans="1:542" x14ac:dyDescent="0.25">
      <c r="A80" s="177" t="str">
        <v>Is Lube Oil Console API614?</v>
      </c>
      <c r="B80" s="191" t="str">
        <v>[yes/no]</v>
      </c>
      <c r="C80" s="157" t="str">
        <v/>
      </c>
      <c r="D80" s="155"/>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c r="AS80" s="190"/>
      <c r="AT80" s="190"/>
      <c r="AU80" s="190"/>
      <c r="AV80" s="190"/>
      <c r="AW80" s="190"/>
      <c r="AX80" s="190"/>
      <c r="AY80" s="190"/>
      <c r="AZ80" s="190"/>
      <c r="BA80" s="190"/>
      <c r="BB80" s="190"/>
      <c r="BC80" s="190"/>
      <c r="BD80" s="190"/>
      <c r="BE80" s="190"/>
      <c r="BF80" s="190"/>
      <c r="BG80" s="190"/>
      <c r="BH80" s="190"/>
      <c r="BI80" s="190"/>
      <c r="BJ80" s="190"/>
      <c r="BK80" s="190"/>
      <c r="BL80" s="190"/>
      <c r="BM80" s="190"/>
      <c r="TU80" s="178"/>
      <c r="TV80" s="178"/>
    </row>
    <row r="81" spans="1:542" x14ac:dyDescent="0.25">
      <c r="A81" s="177" t="str">
        <v>Is lube Oil Console on baseplate?</v>
      </c>
      <c r="B81" s="191" t="str">
        <v>[yes/no]</v>
      </c>
      <c r="C81" s="157" t="str">
        <v/>
      </c>
      <c r="D81" s="155"/>
      <c r="E81" s="190"/>
      <c r="F81" s="190"/>
      <c r="G81" s="190"/>
      <c r="H81" s="190"/>
      <c r="I81" s="190"/>
      <c r="J81" s="190"/>
      <c r="K81" s="190"/>
      <c r="L81" s="190"/>
      <c r="M81" s="190"/>
      <c r="N81" s="190"/>
      <c r="O81" s="190"/>
      <c r="P81" s="190"/>
      <c r="Q81" s="190"/>
      <c r="R81" s="190"/>
      <c r="S81" s="190"/>
      <c r="T81" s="190"/>
      <c r="U81" s="190"/>
      <c r="V81" s="190"/>
      <c r="W81" s="190"/>
      <c r="X81" s="190"/>
      <c r="Y81" s="190"/>
      <c r="Z81" s="190"/>
      <c r="AA81" s="190"/>
      <c r="AB81" s="190"/>
      <c r="AC81" s="190"/>
      <c r="AD81" s="190"/>
      <c r="AE81" s="190"/>
      <c r="AF81" s="190"/>
      <c r="AG81" s="190"/>
      <c r="AH81" s="190"/>
      <c r="AI81" s="190"/>
      <c r="AJ81" s="190"/>
      <c r="AK81" s="190"/>
      <c r="AL81" s="190"/>
      <c r="AM81" s="190"/>
      <c r="AN81" s="190"/>
      <c r="AO81" s="190"/>
      <c r="AP81" s="190"/>
      <c r="AQ81" s="190"/>
      <c r="AR81" s="190"/>
      <c r="AS81" s="190"/>
      <c r="AT81" s="190"/>
      <c r="AU81" s="190"/>
      <c r="AV81" s="190"/>
      <c r="AW81" s="190"/>
      <c r="AX81" s="190"/>
      <c r="AY81" s="190"/>
      <c r="AZ81" s="190"/>
      <c r="BA81" s="190"/>
      <c r="BB81" s="190"/>
      <c r="BC81" s="190"/>
      <c r="BD81" s="190"/>
      <c r="BE81" s="190"/>
      <c r="BF81" s="190"/>
      <c r="BG81" s="190"/>
      <c r="BH81" s="190"/>
      <c r="BI81" s="190"/>
      <c r="BJ81" s="190"/>
      <c r="BK81" s="190"/>
      <c r="BL81" s="190"/>
      <c r="BM81" s="190"/>
      <c r="TU81" s="178"/>
      <c r="TV81" s="178"/>
    </row>
    <row r="82" spans="1:542" x14ac:dyDescent="0.25">
      <c r="A82" s="176" t="str">
        <v>Gearbox</v>
      </c>
      <c r="B82" s="191" t="str">
        <v/>
      </c>
      <c r="C82" s="157" t="str">
        <v/>
      </c>
      <c r="D82" s="155"/>
      <c r="E82" s="190"/>
      <c r="F82" s="190"/>
      <c r="G82" s="190"/>
      <c r="H82" s="190"/>
      <c r="I82" s="190"/>
      <c r="J82" s="190"/>
      <c r="K82" s="190"/>
      <c r="L82" s="190"/>
      <c r="M82" s="190"/>
      <c r="N82" s="190"/>
      <c r="O82" s="190"/>
      <c r="P82" s="190"/>
      <c r="Q82" s="190"/>
      <c r="R82" s="190"/>
      <c r="S82" s="190"/>
      <c r="T82" s="190"/>
      <c r="U82" s="190"/>
      <c r="V82" s="190"/>
      <c r="W82" s="190"/>
      <c r="X82" s="190"/>
      <c r="Y82" s="190"/>
      <c r="Z82" s="190"/>
      <c r="AA82" s="190"/>
      <c r="AB82" s="190"/>
      <c r="AC82" s="190"/>
      <c r="AD82" s="190"/>
      <c r="AE82" s="190"/>
      <c r="AF82" s="190"/>
      <c r="AG82" s="190"/>
      <c r="AH82" s="190"/>
      <c r="AI82" s="190"/>
      <c r="AJ82" s="190"/>
      <c r="AK82" s="190"/>
      <c r="AL82" s="190"/>
      <c r="AM82" s="190"/>
      <c r="AN82" s="190"/>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TU82" s="178"/>
      <c r="TV82" s="178"/>
    </row>
    <row r="83" spans="1:542" x14ac:dyDescent="0.25">
      <c r="A83" s="176" t="str">
        <v>Hydraulic Coupling</v>
      </c>
      <c r="B83" s="191" t="str">
        <v/>
      </c>
      <c r="C83" s="157" t="str">
        <v/>
      </c>
      <c r="D83" s="155"/>
      <c r="E83" s="190"/>
      <c r="F83" s="190"/>
      <c r="G83" s="190"/>
      <c r="H83" s="190"/>
      <c r="I83" s="190"/>
      <c r="J83" s="190"/>
      <c r="K83" s="190"/>
      <c r="L83" s="190"/>
      <c r="M83" s="190"/>
      <c r="N83" s="190"/>
      <c r="O83" s="190"/>
      <c r="P83" s="190"/>
      <c r="Q83" s="190"/>
      <c r="R83" s="190"/>
      <c r="S83" s="190"/>
      <c r="T83" s="190"/>
      <c r="U83" s="190"/>
      <c r="V83" s="190"/>
      <c r="W83" s="190"/>
      <c r="X83" s="190"/>
      <c r="Y83" s="190"/>
      <c r="Z83" s="190"/>
      <c r="AA83" s="190"/>
      <c r="AB83" s="190"/>
      <c r="AC83" s="190"/>
      <c r="AD83" s="190"/>
      <c r="AE83" s="190"/>
      <c r="AF83" s="190"/>
      <c r="AG83" s="190"/>
      <c r="AH83" s="190"/>
      <c r="AI83" s="190"/>
      <c r="AJ83" s="190"/>
      <c r="AK83" s="190"/>
      <c r="AL83" s="190"/>
      <c r="AM83" s="190"/>
      <c r="AN83" s="190"/>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TU83" s="178"/>
      <c r="TV83" s="178"/>
    </row>
    <row r="84" spans="1:542" x14ac:dyDescent="0.25">
      <c r="A84" s="176" t="str">
        <v>Clutch</v>
      </c>
      <c r="B84" s="191" t="str">
        <v/>
      </c>
      <c r="C84" s="157" t="str">
        <v/>
      </c>
      <c r="D84" s="155"/>
      <c r="E84" s="190"/>
      <c r="F84" s="190"/>
      <c r="G84" s="190"/>
      <c r="H84" s="190"/>
      <c r="I84" s="190"/>
      <c r="J84" s="190"/>
      <c r="K84" s="190"/>
      <c r="L84" s="190"/>
      <c r="M84" s="190"/>
      <c r="N84" s="190"/>
      <c r="O84" s="190"/>
      <c r="P84" s="190"/>
      <c r="Q84" s="190"/>
      <c r="R84" s="190"/>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TU84" s="178"/>
      <c r="TV84" s="178"/>
    </row>
    <row r="85" spans="1:542" x14ac:dyDescent="0.25">
      <c r="A85" s="176" t="str">
        <v>Magnetic Coupling</v>
      </c>
      <c r="B85" s="191" t="str">
        <v/>
      </c>
      <c r="C85" s="157" t="str">
        <v/>
      </c>
      <c r="D85" s="155"/>
      <c r="E85" s="190"/>
      <c r="F85" s="190"/>
      <c r="G85" s="190"/>
      <c r="H85" s="190"/>
      <c r="I85" s="190"/>
      <c r="J85" s="190"/>
      <c r="K85" s="190"/>
      <c r="L85" s="190"/>
      <c r="M85" s="190"/>
      <c r="N85" s="190"/>
      <c r="O85" s="190"/>
      <c r="P85" s="190"/>
      <c r="Q85" s="190"/>
      <c r="R85" s="190"/>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TU85" s="178"/>
      <c r="TV85" s="178"/>
    </row>
    <row r="86" spans="1:542" x14ac:dyDescent="0.25">
      <c r="A86" s="176" t="str">
        <v>Air Cooler</v>
      </c>
      <c r="B86" s="191" t="str">
        <v/>
      </c>
      <c r="C86" s="157" t="str">
        <v/>
      </c>
      <c r="D86" s="155"/>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190"/>
      <c r="AT86" s="190"/>
      <c r="AU86" s="190"/>
      <c r="AV86" s="190"/>
      <c r="AW86" s="190"/>
      <c r="AX86" s="190"/>
      <c r="AY86" s="190"/>
      <c r="AZ86" s="190"/>
      <c r="BA86" s="190"/>
      <c r="BB86" s="190"/>
      <c r="BC86" s="190"/>
      <c r="BD86" s="190"/>
      <c r="BE86" s="190"/>
      <c r="BF86" s="190"/>
      <c r="BG86" s="190"/>
      <c r="BH86" s="190"/>
      <c r="BI86" s="190"/>
      <c r="BJ86" s="190"/>
      <c r="BK86" s="190"/>
      <c r="BL86" s="190"/>
      <c r="BM86" s="190"/>
      <c r="TU86" s="178"/>
      <c r="TV86" s="178"/>
    </row>
    <row r="87" spans="1:542" x14ac:dyDescent="0.25">
      <c r="A87" s="176" t="str">
        <v>ARV</v>
      </c>
      <c r="B87" s="191" t="str">
        <v/>
      </c>
      <c r="C87" s="157" t="str">
        <v/>
      </c>
      <c r="D87" s="155"/>
      <c r="E87" s="190"/>
      <c r="F87" s="190"/>
      <c r="G87" s="190"/>
      <c r="H87" s="190"/>
      <c r="I87" s="190"/>
      <c r="J87" s="190"/>
      <c r="K87" s="190"/>
      <c r="L87" s="190"/>
      <c r="M87" s="190"/>
      <c r="N87" s="190"/>
      <c r="O87" s="190"/>
      <c r="P87" s="190"/>
      <c r="Q87" s="190"/>
      <c r="R87" s="190"/>
      <c r="S87" s="190"/>
      <c r="T87" s="190"/>
      <c r="U87" s="190"/>
      <c r="V87" s="190"/>
      <c r="W87" s="190"/>
      <c r="X87" s="190"/>
      <c r="Y87" s="190"/>
      <c r="Z87" s="190"/>
      <c r="AA87" s="190"/>
      <c r="AB87" s="190"/>
      <c r="AC87" s="190"/>
      <c r="AD87" s="190"/>
      <c r="AE87" s="190"/>
      <c r="AF87" s="190"/>
      <c r="AG87" s="190"/>
      <c r="AH87" s="190"/>
      <c r="AI87" s="190"/>
      <c r="AJ87" s="190"/>
      <c r="AK87" s="190"/>
      <c r="AL87" s="190"/>
      <c r="AM87" s="190"/>
      <c r="AN87" s="190"/>
      <c r="AO87" s="190"/>
      <c r="AP87" s="190"/>
      <c r="AQ87" s="190"/>
      <c r="AR87" s="190"/>
      <c r="AS87" s="190"/>
      <c r="AT87" s="190"/>
      <c r="AU87" s="190"/>
      <c r="AV87" s="190"/>
      <c r="AW87" s="190"/>
      <c r="AX87" s="190"/>
      <c r="AY87" s="190"/>
      <c r="AZ87" s="190"/>
      <c r="BA87" s="190"/>
      <c r="BB87" s="190"/>
      <c r="BC87" s="190"/>
      <c r="BD87" s="190"/>
      <c r="BE87" s="190"/>
      <c r="BF87" s="190"/>
      <c r="BG87" s="190"/>
      <c r="BH87" s="190"/>
      <c r="BI87" s="190"/>
      <c r="BJ87" s="190"/>
      <c r="BK87" s="190"/>
      <c r="BL87" s="190"/>
      <c r="BM87" s="190"/>
      <c r="TU87" s="178"/>
      <c r="TV87" s="178"/>
    </row>
    <row r="88" spans="1:542" x14ac:dyDescent="0.25">
      <c r="A88" s="177" t="str">
        <v>Is ARV (Air Released Valve) installed on Discharge Head/Casing?</v>
      </c>
      <c r="B88" s="191" t="str">
        <v>[yes/no]</v>
      </c>
      <c r="C88" s="157" t="str">
        <v/>
      </c>
      <c r="D88" s="155"/>
      <c r="E88" s="190"/>
      <c r="F88" s="190"/>
      <c r="G88" s="190"/>
      <c r="H88" s="190"/>
      <c r="I88" s="190"/>
      <c r="J88" s="190"/>
      <c r="K88" s="190"/>
      <c r="L88" s="190"/>
      <c r="M88" s="190"/>
      <c r="N88" s="190"/>
      <c r="O88" s="190"/>
      <c r="P88" s="190"/>
      <c r="Q88" s="190"/>
      <c r="R88" s="190"/>
      <c r="S88" s="190"/>
      <c r="T88" s="190"/>
      <c r="U88" s="190"/>
      <c r="V88" s="190"/>
      <c r="W88" s="190"/>
      <c r="X88" s="190"/>
      <c r="Y88" s="190"/>
      <c r="Z88" s="190"/>
      <c r="AA88" s="190"/>
      <c r="AB88" s="190"/>
      <c r="AC88" s="190"/>
      <c r="AD88" s="190"/>
      <c r="AE88" s="190"/>
      <c r="AF88" s="190"/>
      <c r="AG88" s="190"/>
      <c r="AH88" s="190"/>
      <c r="AI88" s="190"/>
      <c r="AJ88" s="190"/>
      <c r="AK88" s="190"/>
      <c r="AL88" s="190"/>
      <c r="AM88" s="190"/>
      <c r="AN88" s="190"/>
      <c r="AO88" s="190"/>
      <c r="AP88" s="190"/>
      <c r="AQ88" s="190"/>
      <c r="AR88" s="190"/>
      <c r="AS88" s="190"/>
      <c r="AT88" s="190"/>
      <c r="AU88" s="190"/>
      <c r="AV88" s="190"/>
      <c r="AW88" s="190"/>
      <c r="AX88" s="190"/>
      <c r="AY88" s="190"/>
      <c r="AZ88" s="190"/>
      <c r="BA88" s="190"/>
      <c r="BB88" s="190"/>
      <c r="BC88" s="190"/>
      <c r="BD88" s="190"/>
      <c r="BE88" s="190"/>
      <c r="BF88" s="190"/>
      <c r="BG88" s="190"/>
      <c r="BH88" s="190"/>
      <c r="BI88" s="190"/>
      <c r="BJ88" s="190"/>
      <c r="BK88" s="190"/>
      <c r="BL88" s="190"/>
      <c r="BM88" s="190"/>
      <c r="TU88" s="178"/>
      <c r="TV88" s="178"/>
    </row>
    <row r="89" spans="1:542" x14ac:dyDescent="0.25">
      <c r="A89" s="176" t="str">
        <v>Arc Valve</v>
      </c>
      <c r="B89" s="191" t="str">
        <v/>
      </c>
      <c r="C89" s="157" t="str">
        <v/>
      </c>
      <c r="D89" s="155"/>
      <c r="E89" s="190"/>
      <c r="F89" s="190"/>
      <c r="G89" s="190"/>
      <c r="H89" s="190"/>
      <c r="I89" s="190"/>
      <c r="J89" s="190"/>
      <c r="K89" s="190"/>
      <c r="L89" s="190"/>
      <c r="M89" s="190"/>
      <c r="N89" s="190"/>
      <c r="O89" s="190"/>
      <c r="P89" s="190"/>
      <c r="Q89" s="190"/>
      <c r="R89" s="190"/>
      <c r="S89" s="190"/>
      <c r="T89" s="190"/>
      <c r="U89" s="190"/>
      <c r="V89" s="190"/>
      <c r="W89" s="190"/>
      <c r="X89" s="190"/>
      <c r="Y89" s="190"/>
      <c r="Z89" s="190"/>
      <c r="AA89" s="190"/>
      <c r="AB89" s="190"/>
      <c r="AC89" s="190"/>
      <c r="AD89" s="190"/>
      <c r="AE89" s="190"/>
      <c r="AF89" s="190"/>
      <c r="AG89" s="190"/>
      <c r="AH89" s="190"/>
      <c r="AI89" s="190"/>
      <c r="AJ89" s="190"/>
      <c r="AK89" s="190"/>
      <c r="AL89" s="190"/>
      <c r="AM89" s="190"/>
      <c r="AN89" s="190"/>
      <c r="AO89" s="190"/>
      <c r="AP89" s="190"/>
      <c r="AQ89" s="190"/>
      <c r="AR89" s="190"/>
      <c r="AS89" s="190"/>
      <c r="AT89" s="190"/>
      <c r="AU89" s="190"/>
      <c r="AV89" s="190"/>
      <c r="AW89" s="190"/>
      <c r="AX89" s="190"/>
      <c r="AY89" s="190"/>
      <c r="AZ89" s="190"/>
      <c r="BA89" s="190"/>
      <c r="BB89" s="190"/>
      <c r="BC89" s="190"/>
      <c r="BD89" s="190"/>
      <c r="BE89" s="190"/>
      <c r="BF89" s="190"/>
      <c r="BG89" s="190"/>
      <c r="BH89" s="190"/>
      <c r="BI89" s="190"/>
      <c r="BJ89" s="190"/>
      <c r="BK89" s="190"/>
      <c r="BL89" s="190"/>
      <c r="BM89" s="190"/>
      <c r="TU89" s="178"/>
      <c r="TV89" s="178"/>
    </row>
    <row r="90" spans="1:542" x14ac:dyDescent="0.25">
      <c r="A90" s="177" t="str">
        <v>Is ARC (Automatic Recirculation Valve) Valve installed on Discharge Nozzle?</v>
      </c>
      <c r="B90" s="191" t="str">
        <v>[yes/no]</v>
      </c>
      <c r="C90" s="157" t="str">
        <v/>
      </c>
      <c r="D90" s="155"/>
      <c r="E90" s="190"/>
      <c r="F90" s="190"/>
      <c r="G90" s="190"/>
      <c r="H90" s="190"/>
      <c r="I90" s="190"/>
      <c r="J90" s="190"/>
      <c r="K90" s="190"/>
      <c r="L90" s="190"/>
      <c r="M90" s="190"/>
      <c r="N90" s="190"/>
      <c r="O90" s="190"/>
      <c r="P90" s="190"/>
      <c r="Q90" s="190"/>
      <c r="R90" s="190"/>
      <c r="S90" s="190"/>
      <c r="T90" s="190"/>
      <c r="U90" s="190"/>
      <c r="V90" s="190"/>
      <c r="W90" s="190"/>
      <c r="X90" s="190"/>
      <c r="Y90" s="190"/>
      <c r="Z90" s="190"/>
      <c r="AA90" s="190"/>
      <c r="AB90" s="190"/>
      <c r="AC90" s="190"/>
      <c r="AD90" s="190"/>
      <c r="AE90" s="190"/>
      <c r="AF90" s="190"/>
      <c r="AG90" s="190"/>
      <c r="AH90" s="190"/>
      <c r="AI90" s="190"/>
      <c r="AJ90" s="190"/>
      <c r="AK90" s="190"/>
      <c r="AL90" s="190"/>
      <c r="AM90" s="190"/>
      <c r="AN90" s="190"/>
      <c r="AO90" s="190"/>
      <c r="AP90" s="190"/>
      <c r="AQ90" s="190"/>
      <c r="AR90" s="190"/>
      <c r="AS90" s="190"/>
      <c r="AT90" s="190"/>
      <c r="AU90" s="190"/>
      <c r="AV90" s="190"/>
      <c r="AW90" s="190"/>
      <c r="AX90" s="190"/>
      <c r="AY90" s="190"/>
      <c r="AZ90" s="190"/>
      <c r="BA90" s="190"/>
      <c r="BB90" s="190"/>
      <c r="BC90" s="190"/>
      <c r="BD90" s="190"/>
      <c r="BE90" s="190"/>
      <c r="BF90" s="190"/>
      <c r="BG90" s="190"/>
      <c r="BH90" s="190"/>
      <c r="BI90" s="190"/>
      <c r="BJ90" s="190"/>
      <c r="BK90" s="190"/>
      <c r="BL90" s="190"/>
      <c r="BM90" s="190"/>
      <c r="TU90" s="178"/>
      <c r="TV90" s="178"/>
    </row>
    <row r="91" spans="1:542" x14ac:dyDescent="0.25">
      <c r="A91" s="177" t="str">
        <v>Is ARC Valve pressure losses considered in the pump selection?</v>
      </c>
      <c r="B91" s="191" t="str">
        <v>[yes/no]</v>
      </c>
      <c r="C91" s="157" t="str">
        <v/>
      </c>
      <c r="D91" s="155"/>
      <c r="E91" s="190"/>
      <c r="F91" s="190"/>
      <c r="G91" s="190"/>
      <c r="H91" s="190"/>
      <c r="I91" s="190"/>
      <c r="J91" s="190"/>
      <c r="K91" s="190"/>
      <c r="L91" s="190"/>
      <c r="M91" s="190"/>
      <c r="N91" s="190"/>
      <c r="O91" s="190"/>
      <c r="P91" s="190"/>
      <c r="Q91" s="190"/>
      <c r="R91" s="190"/>
      <c r="S91" s="190"/>
      <c r="T91" s="190"/>
      <c r="U91" s="190"/>
      <c r="V91" s="190"/>
      <c r="W91" s="190"/>
      <c r="X91" s="190"/>
      <c r="Y91" s="190"/>
      <c r="Z91" s="190"/>
      <c r="AA91" s="190"/>
      <c r="AB91" s="190"/>
      <c r="AC91" s="190"/>
      <c r="AD91" s="190"/>
      <c r="AE91" s="190"/>
      <c r="AF91" s="190"/>
      <c r="AG91" s="190"/>
      <c r="AH91" s="190"/>
      <c r="AI91" s="190"/>
      <c r="AJ91" s="190"/>
      <c r="AK91" s="190"/>
      <c r="AL91" s="190"/>
      <c r="AM91" s="190"/>
      <c r="AN91" s="190"/>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TU91" s="178"/>
      <c r="TV91" s="178"/>
    </row>
    <row r="92" spans="1:542" x14ac:dyDescent="0.25">
      <c r="A92" s="177" t="str">
        <v>List of API plan Instruments Installed on interconnecting piping</v>
      </c>
      <c r="B92" s="191" t="str">
        <v>[list / NONE]</v>
      </c>
      <c r="C92" s="157" t="str">
        <v/>
      </c>
      <c r="D92" s="155"/>
      <c r="E92" s="190"/>
      <c r="F92" s="190"/>
      <c r="G92" s="190"/>
      <c r="H92" s="190"/>
      <c r="I92" s="190"/>
      <c r="J92" s="190"/>
      <c r="K92" s="190"/>
      <c r="L92" s="190"/>
      <c r="M92" s="190"/>
      <c r="N92" s="190"/>
      <c r="O92" s="190"/>
      <c r="P92" s="190"/>
      <c r="Q92" s="190"/>
      <c r="R92" s="190"/>
      <c r="S92" s="190"/>
      <c r="T92" s="190"/>
      <c r="U92" s="190"/>
      <c r="V92" s="190"/>
      <c r="W92" s="190"/>
      <c r="X92" s="190"/>
      <c r="Y92" s="190"/>
      <c r="Z92" s="190"/>
      <c r="AA92" s="190"/>
      <c r="AB92" s="190"/>
      <c r="AC92" s="190"/>
      <c r="AD92" s="190"/>
      <c r="AE92" s="190"/>
      <c r="AF92" s="190"/>
      <c r="AG92" s="190"/>
      <c r="AH92" s="190"/>
      <c r="AI92" s="190"/>
      <c r="AJ92" s="190"/>
      <c r="AK92" s="190"/>
      <c r="AL92" s="190"/>
      <c r="AM92" s="190"/>
      <c r="AN92" s="190"/>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TU92" s="178"/>
      <c r="TV92" s="178"/>
    </row>
    <row r="93" spans="1:542" x14ac:dyDescent="0.25">
      <c r="A93" s="147" t="str">
        <v>Warmup line</v>
      </c>
      <c r="B93" s="191" t="str">
        <v/>
      </c>
      <c r="C93" s="157" t="str">
        <v/>
      </c>
      <c r="D93" s="155"/>
      <c r="E93" s="190"/>
      <c r="F93" s="190"/>
      <c r="G93" s="190"/>
      <c r="H93" s="19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190"/>
      <c r="AT93" s="190"/>
      <c r="AU93" s="190"/>
      <c r="AV93" s="190"/>
      <c r="AW93" s="190"/>
      <c r="AX93" s="190"/>
      <c r="AY93" s="190"/>
      <c r="AZ93" s="190"/>
      <c r="BA93" s="190"/>
      <c r="BB93" s="190"/>
      <c r="BC93" s="190"/>
      <c r="BD93" s="190"/>
      <c r="BE93" s="190"/>
      <c r="BF93" s="190"/>
      <c r="BG93" s="190"/>
      <c r="BH93" s="190"/>
      <c r="BI93" s="190"/>
      <c r="BJ93" s="190"/>
      <c r="BK93" s="190"/>
      <c r="BL93" s="190"/>
      <c r="BM93" s="190"/>
      <c r="TU93" s="178"/>
      <c r="TV93" s="178"/>
    </row>
    <row r="94" spans="1:542" ht="45" x14ac:dyDescent="0.25">
      <c r="A94" s="177" t="str">
        <v>Pump Warm Up to be supplied by TPI</v>
      </c>
      <c r="B94" s="191" t="str">
        <v>[complete Line / loose Components / only provision / NONE]</v>
      </c>
      <c r="C94" s="157" t="str">
        <v/>
      </c>
      <c r="D94" s="155"/>
      <c r="E94" s="190"/>
      <c r="F94" s="190"/>
      <c r="G94" s="190"/>
      <c r="H94" s="190"/>
      <c r="I94" s="190"/>
      <c r="J94" s="190"/>
      <c r="K94" s="190"/>
      <c r="L94" s="190"/>
      <c r="M94" s="190"/>
      <c r="N94" s="190"/>
      <c r="O94" s="190"/>
      <c r="P94" s="190"/>
      <c r="Q94" s="190"/>
      <c r="R94" s="190"/>
      <c r="S94" s="190"/>
      <c r="T94" s="190"/>
      <c r="U94" s="190"/>
      <c r="V94" s="190"/>
      <c r="W94" s="190"/>
      <c r="X94" s="190"/>
      <c r="Y94" s="190"/>
      <c r="Z94" s="190"/>
      <c r="AA94" s="190"/>
      <c r="AB94" s="190"/>
      <c r="AC94" s="190"/>
      <c r="AD94" s="190"/>
      <c r="AE94" s="190"/>
      <c r="AF94" s="190"/>
      <c r="AG94" s="190"/>
      <c r="AH94" s="190"/>
      <c r="AI94" s="190"/>
      <c r="AJ94" s="190"/>
      <c r="AK94" s="190"/>
      <c r="AL94" s="190"/>
      <c r="AM94" s="190"/>
      <c r="AN94" s="190"/>
      <c r="AO94" s="190"/>
      <c r="AP94" s="190"/>
      <c r="AQ94" s="190"/>
      <c r="AR94" s="190"/>
      <c r="AS94" s="190"/>
      <c r="AT94" s="190"/>
      <c r="AU94" s="190"/>
      <c r="AV94" s="190"/>
      <c r="AW94" s="190"/>
      <c r="AX94" s="190"/>
      <c r="AY94" s="190"/>
      <c r="AZ94" s="190"/>
      <c r="BA94" s="190"/>
      <c r="BB94" s="190"/>
      <c r="BC94" s="190"/>
      <c r="BD94" s="190"/>
      <c r="BE94" s="190"/>
      <c r="BF94" s="190"/>
      <c r="BG94" s="190"/>
      <c r="BH94" s="190"/>
      <c r="BI94" s="190"/>
      <c r="BJ94" s="190"/>
      <c r="BK94" s="190"/>
      <c r="BL94" s="190"/>
      <c r="BM94" s="190"/>
      <c r="TU94" s="178"/>
      <c r="TV94" s="178"/>
    </row>
    <row r="95" spans="1:542" x14ac:dyDescent="0.25">
      <c r="A95" s="177" t="str">
        <v xml:space="preserve">Pump casing Warm UP RTD </v>
      </c>
      <c r="B95" s="191" t="str">
        <v>[type of probe / NONE)</v>
      </c>
      <c r="C95" s="157" t="str">
        <v/>
      </c>
      <c r="D95" s="155"/>
      <c r="E95" s="190"/>
      <c r="F95" s="190"/>
      <c r="G95" s="190"/>
      <c r="H95" s="190"/>
      <c r="I95" s="190"/>
      <c r="J95" s="190"/>
      <c r="K95" s="190"/>
      <c r="L95" s="190"/>
      <c r="M95" s="190"/>
      <c r="N95" s="190"/>
      <c r="O95" s="190"/>
      <c r="P95" s="190"/>
      <c r="Q95" s="190"/>
      <c r="R95" s="190"/>
      <c r="S95" s="190"/>
      <c r="T95" s="190"/>
      <c r="U95" s="190"/>
      <c r="V95" s="190"/>
      <c r="W95" s="190"/>
      <c r="X95" s="190"/>
      <c r="Y95" s="190"/>
      <c r="Z95" s="190"/>
      <c r="AA95" s="190"/>
      <c r="AB95" s="190"/>
      <c r="AC95" s="190"/>
      <c r="AD95" s="190"/>
      <c r="AE95" s="190"/>
      <c r="AF95" s="190"/>
      <c r="AG95" s="190"/>
      <c r="AH95" s="190"/>
      <c r="AI95" s="190"/>
      <c r="AJ95" s="190"/>
      <c r="AK95" s="190"/>
      <c r="AL95" s="190"/>
      <c r="AM95" s="190"/>
      <c r="AN95" s="190"/>
      <c r="AO95" s="190"/>
      <c r="AP95" s="190"/>
      <c r="AQ95" s="190"/>
      <c r="AR95" s="190"/>
      <c r="AS95" s="190"/>
      <c r="AT95" s="190"/>
      <c r="AU95" s="190"/>
      <c r="AV95" s="190"/>
      <c r="AW95" s="190"/>
      <c r="AX95" s="190"/>
      <c r="AY95" s="190"/>
      <c r="AZ95" s="190"/>
      <c r="BA95" s="190"/>
      <c r="BB95" s="190"/>
      <c r="BC95" s="190"/>
      <c r="BD95" s="190"/>
      <c r="BE95" s="190"/>
      <c r="BF95" s="190"/>
      <c r="BG95" s="190"/>
      <c r="BH95" s="190"/>
      <c r="BI95" s="190"/>
      <c r="BJ95" s="190"/>
      <c r="BK95" s="190"/>
      <c r="BL95" s="190"/>
      <c r="BM95" s="190"/>
      <c r="TU95" s="178"/>
      <c r="TV95" s="178"/>
    </row>
    <row r="96" spans="1:542" x14ac:dyDescent="0.25">
      <c r="A96" s="177" t="str">
        <v>Pump casing Warm UP TT</v>
      </c>
      <c r="B96" s="191" t="str">
        <v>[yes/no]</v>
      </c>
      <c r="C96" s="157" t="str">
        <v/>
      </c>
      <c r="D96" s="155"/>
      <c r="E96" s="190"/>
      <c r="F96" s="190"/>
      <c r="G96" s="190"/>
      <c r="H96" s="190"/>
      <c r="I96" s="190"/>
      <c r="J96" s="190"/>
      <c r="K96" s="190"/>
      <c r="L96" s="190"/>
      <c r="M96" s="190"/>
      <c r="N96" s="190"/>
      <c r="O96" s="190"/>
      <c r="P96" s="190"/>
      <c r="Q96" s="190"/>
      <c r="R96" s="190"/>
      <c r="S96" s="190"/>
      <c r="T96" s="190"/>
      <c r="U96" s="190"/>
      <c r="V96" s="190"/>
      <c r="W96" s="190"/>
      <c r="X96" s="190"/>
      <c r="Y96" s="190"/>
      <c r="Z96" s="190"/>
      <c r="AA96" s="190"/>
      <c r="AB96" s="190"/>
      <c r="AC96" s="190"/>
      <c r="AD96" s="190"/>
      <c r="AE96" s="190"/>
      <c r="AF96" s="190"/>
      <c r="AG96" s="190"/>
      <c r="AH96" s="190"/>
      <c r="AI96" s="190"/>
      <c r="AJ96" s="190"/>
      <c r="AK96" s="190"/>
      <c r="AL96" s="190"/>
      <c r="AM96" s="190"/>
      <c r="AN96" s="190"/>
      <c r="AO96" s="190"/>
      <c r="AP96" s="190"/>
      <c r="AQ96" s="190"/>
      <c r="AR96" s="190"/>
      <c r="AS96" s="190"/>
      <c r="AT96" s="190"/>
      <c r="AU96" s="190"/>
      <c r="AV96" s="190"/>
      <c r="AW96" s="190"/>
      <c r="AX96" s="190"/>
      <c r="AY96" s="190"/>
      <c r="AZ96" s="190"/>
      <c r="BA96" s="190"/>
      <c r="BB96" s="190"/>
      <c r="BC96" s="190"/>
      <c r="BD96" s="190"/>
      <c r="BE96" s="190"/>
      <c r="BF96" s="190"/>
      <c r="BG96" s="190"/>
      <c r="BH96" s="190"/>
      <c r="BI96" s="190"/>
      <c r="BJ96" s="190"/>
      <c r="BK96" s="190"/>
      <c r="BL96" s="190"/>
      <c r="BM96" s="190"/>
      <c r="TU96" s="178"/>
      <c r="TV96" s="178"/>
    </row>
    <row r="97" spans="1:542" x14ac:dyDescent="0.25">
      <c r="A97" s="177" t="str">
        <v>PUMP Balancing Line DPT</v>
      </c>
      <c r="B97" s="191" t="str">
        <v>[yes/no]</v>
      </c>
      <c r="C97" s="157" t="str">
        <v/>
      </c>
      <c r="D97" s="155"/>
      <c r="E97" s="190"/>
      <c r="F97" s="190"/>
      <c r="G97" s="190"/>
      <c r="H97" s="190"/>
      <c r="I97" s="190"/>
      <c r="J97" s="190"/>
      <c r="K97" s="190"/>
      <c r="L97" s="190"/>
      <c r="M97" s="190"/>
      <c r="N97" s="190"/>
      <c r="O97" s="190"/>
      <c r="P97" s="190"/>
      <c r="Q97" s="190"/>
      <c r="R97" s="190"/>
      <c r="S97" s="190"/>
      <c r="T97" s="190"/>
      <c r="U97" s="190"/>
      <c r="V97" s="190"/>
      <c r="W97" s="190"/>
      <c r="X97" s="190"/>
      <c r="Y97" s="190"/>
      <c r="Z97" s="190"/>
      <c r="AA97" s="190"/>
      <c r="AB97" s="190"/>
      <c r="AC97" s="190"/>
      <c r="AD97" s="190"/>
      <c r="AE97" s="190"/>
      <c r="AF97" s="190"/>
      <c r="AG97" s="190"/>
      <c r="AH97" s="190"/>
      <c r="AI97" s="190"/>
      <c r="AJ97" s="190"/>
      <c r="AK97" s="190"/>
      <c r="AL97" s="190"/>
      <c r="AM97" s="190"/>
      <c r="AN97" s="190"/>
      <c r="AO97" s="190"/>
      <c r="AP97" s="190"/>
      <c r="AQ97" s="190"/>
      <c r="AR97" s="190"/>
      <c r="AS97" s="190"/>
      <c r="AT97" s="190"/>
      <c r="AU97" s="190"/>
      <c r="AV97" s="190"/>
      <c r="AW97" s="190"/>
      <c r="AX97" s="190"/>
      <c r="AY97" s="190"/>
      <c r="AZ97" s="190"/>
      <c r="BA97" s="190"/>
      <c r="BB97" s="190"/>
      <c r="BC97" s="190"/>
      <c r="BD97" s="190"/>
      <c r="BE97" s="190"/>
      <c r="BF97" s="190"/>
      <c r="BG97" s="190"/>
      <c r="BH97" s="190"/>
      <c r="BI97" s="190"/>
      <c r="BJ97" s="190"/>
      <c r="BK97" s="190"/>
      <c r="BL97" s="190"/>
      <c r="BM97" s="190"/>
      <c r="TU97" s="178"/>
      <c r="TV97" s="178"/>
    </row>
    <row r="98" spans="1:542" x14ac:dyDescent="0.25">
      <c r="A98" s="177" t="str">
        <v xml:space="preserve">PUMP Thrust Bearing RTD NDE </v>
      </c>
      <c r="B98" s="191" t="str">
        <v>[number]</v>
      </c>
      <c r="C98" s="157" t="str">
        <v/>
      </c>
      <c r="D98" s="155"/>
      <c r="E98" s="190"/>
      <c r="F98" s="190"/>
      <c r="G98" s="190"/>
      <c r="H98" s="19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190"/>
      <c r="AT98" s="190"/>
      <c r="AU98" s="190"/>
      <c r="AV98" s="190"/>
      <c r="AW98" s="190"/>
      <c r="AX98" s="190"/>
      <c r="AY98" s="190"/>
      <c r="AZ98" s="190"/>
      <c r="BA98" s="190"/>
      <c r="BB98" s="190"/>
      <c r="BC98" s="190"/>
      <c r="BD98" s="190"/>
      <c r="BE98" s="190"/>
      <c r="BF98" s="190"/>
      <c r="BG98" s="190"/>
      <c r="BH98" s="190"/>
      <c r="BI98" s="190"/>
      <c r="BJ98" s="190"/>
      <c r="BK98" s="190"/>
      <c r="BL98" s="190"/>
      <c r="BM98" s="190"/>
      <c r="TU98" s="178"/>
      <c r="TV98" s="178"/>
    </row>
    <row r="99" spans="1:542" x14ac:dyDescent="0.25">
      <c r="A99" s="177" t="str">
        <v xml:space="preserve">PUMP Radial Bearing RTD NDE </v>
      </c>
      <c r="B99" s="191" t="str">
        <v>[number]</v>
      </c>
      <c r="C99" s="157" t="str">
        <v/>
      </c>
      <c r="D99" s="155"/>
      <c r="E99" s="190"/>
      <c r="F99" s="190"/>
      <c r="G99" s="190"/>
      <c r="H99" s="190"/>
      <c r="I99" s="190"/>
      <c r="J99" s="190"/>
      <c r="K99" s="190"/>
      <c r="L99" s="190"/>
      <c r="M99" s="190"/>
      <c r="N99" s="190"/>
      <c r="O99" s="190"/>
      <c r="P99" s="190"/>
      <c r="Q99" s="190"/>
      <c r="R99" s="190"/>
      <c r="S99" s="190"/>
      <c r="T99" s="190"/>
      <c r="U99" s="190"/>
      <c r="V99" s="190"/>
      <c r="W99" s="190"/>
      <c r="X99" s="190"/>
      <c r="Y99" s="190"/>
      <c r="Z99" s="190"/>
      <c r="AA99" s="190"/>
      <c r="AB99" s="190"/>
      <c r="AC99" s="190"/>
      <c r="AD99" s="190"/>
      <c r="AE99" s="190"/>
      <c r="AF99" s="190"/>
      <c r="AG99" s="190"/>
      <c r="AH99" s="190"/>
      <c r="AI99" s="190"/>
      <c r="AJ99" s="190"/>
      <c r="AK99" s="190"/>
      <c r="AL99" s="190"/>
      <c r="AM99" s="190"/>
      <c r="AN99" s="190"/>
      <c r="AO99" s="190"/>
      <c r="AP99" s="190"/>
      <c r="AQ99" s="190"/>
      <c r="AR99" s="190"/>
      <c r="AS99" s="190"/>
      <c r="AT99" s="190"/>
      <c r="AU99" s="190"/>
      <c r="AV99" s="190"/>
      <c r="AW99" s="190"/>
      <c r="AX99" s="190"/>
      <c r="AY99" s="190"/>
      <c r="AZ99" s="190"/>
      <c r="BA99" s="190"/>
      <c r="BB99" s="190"/>
      <c r="BC99" s="190"/>
      <c r="BD99" s="190"/>
      <c r="BE99" s="190"/>
      <c r="BF99" s="190"/>
      <c r="BG99" s="190"/>
      <c r="BH99" s="190"/>
      <c r="BI99" s="190"/>
      <c r="BJ99" s="190"/>
      <c r="BK99" s="190"/>
      <c r="BL99" s="190"/>
      <c r="BM99" s="190"/>
      <c r="TU99" s="178"/>
      <c r="TV99" s="178"/>
    </row>
    <row r="100" spans="1:542" x14ac:dyDescent="0.25">
      <c r="A100" s="177" t="str">
        <v xml:space="preserve">PUMP Radial Bearing RTD DE </v>
      </c>
      <c r="B100" s="191" t="str">
        <v>[number]</v>
      </c>
      <c r="C100" s="157" t="str">
        <v/>
      </c>
      <c r="D100" s="155"/>
      <c r="E100" s="190"/>
      <c r="F100" s="190"/>
      <c r="G100" s="190"/>
      <c r="H100" s="190"/>
      <c r="I100" s="190"/>
      <c r="J100" s="190"/>
      <c r="K100" s="190"/>
      <c r="L100" s="190"/>
      <c r="M100" s="190"/>
      <c r="N100" s="190"/>
      <c r="O100" s="190"/>
      <c r="P100" s="190"/>
      <c r="Q100" s="190"/>
      <c r="R100" s="190"/>
      <c r="S100" s="190"/>
      <c r="T100" s="190"/>
      <c r="U100" s="190"/>
      <c r="V100" s="190"/>
      <c r="W100" s="190"/>
      <c r="X100" s="190"/>
      <c r="Y100" s="190"/>
      <c r="Z100" s="190"/>
      <c r="AA100" s="190"/>
      <c r="AB100" s="190"/>
      <c r="AC100" s="190"/>
      <c r="AD100" s="190"/>
      <c r="AE100" s="190"/>
      <c r="AF100" s="190"/>
      <c r="AG100" s="190"/>
      <c r="AH100" s="190"/>
      <c r="AI100" s="190"/>
      <c r="AJ100" s="190"/>
      <c r="AK100" s="190"/>
      <c r="AL100" s="190"/>
      <c r="AM100" s="190"/>
      <c r="AN100" s="190"/>
      <c r="AO100" s="190"/>
      <c r="AP100" s="190"/>
      <c r="AQ100" s="190"/>
      <c r="AR100" s="190"/>
      <c r="AS100" s="190"/>
      <c r="AT100" s="190"/>
      <c r="AU100" s="190"/>
      <c r="AV100" s="190"/>
      <c r="AW100" s="190"/>
      <c r="AX100" s="190"/>
      <c r="AY100" s="190"/>
      <c r="AZ100" s="190"/>
      <c r="BA100" s="190"/>
      <c r="BB100" s="190"/>
      <c r="BC100" s="190"/>
      <c r="BD100" s="190"/>
      <c r="BE100" s="190"/>
      <c r="BF100" s="190"/>
      <c r="BG100" s="190"/>
      <c r="BH100" s="190"/>
      <c r="BI100" s="190"/>
      <c r="BJ100" s="190"/>
      <c r="BK100" s="190"/>
      <c r="BL100" s="190"/>
      <c r="BM100" s="190"/>
      <c r="TU100" s="178"/>
      <c r="TV100" s="178"/>
    </row>
    <row r="101" spans="1:542" x14ac:dyDescent="0.25">
      <c r="A101" s="177" t="str">
        <v>PUMP Bearing TT</v>
      </c>
      <c r="B101" s="191" t="str">
        <v>[yes/no]</v>
      </c>
      <c r="C101" s="157" t="str">
        <v/>
      </c>
      <c r="D101" s="155"/>
      <c r="E101" s="190"/>
      <c r="F101" s="190"/>
      <c r="G101" s="190"/>
      <c r="H101" s="19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190"/>
      <c r="AT101" s="190"/>
      <c r="AU101" s="190"/>
      <c r="AV101" s="190"/>
      <c r="AW101" s="190"/>
      <c r="AX101" s="190"/>
      <c r="AY101" s="190"/>
      <c r="AZ101" s="190"/>
      <c r="BA101" s="190"/>
      <c r="BB101" s="190"/>
      <c r="BC101" s="190"/>
      <c r="BD101" s="190"/>
      <c r="BE101" s="190"/>
      <c r="BF101" s="190"/>
      <c r="BG101" s="190"/>
      <c r="BH101" s="190"/>
      <c r="BI101" s="190"/>
      <c r="BJ101" s="190"/>
      <c r="BK101" s="190"/>
      <c r="BL101" s="190"/>
      <c r="BM101" s="190"/>
      <c r="TU101" s="178"/>
      <c r="TV101" s="178"/>
    </row>
    <row r="102" spans="1:542" x14ac:dyDescent="0.25">
      <c r="A102" s="177" t="str">
        <v xml:space="preserve">PUMP  Thrust Bearing Axial VIBRATION Probe NDE </v>
      </c>
      <c r="B102" s="191" t="str">
        <v>[number]</v>
      </c>
      <c r="C102" s="157" t="str">
        <v/>
      </c>
      <c r="D102" s="155"/>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TU102" s="178"/>
      <c r="TV102" s="178"/>
    </row>
    <row r="103" spans="1:542" x14ac:dyDescent="0.25">
      <c r="A103" s="177" t="str">
        <v>PUMP Radial Bearing VIBRATION Probe NDE</v>
      </c>
      <c r="B103" s="191" t="str">
        <v>[number]</v>
      </c>
      <c r="C103" s="157" t="str">
        <v/>
      </c>
      <c r="D103" s="155"/>
      <c r="E103" s="190"/>
      <c r="F103" s="190"/>
      <c r="G103" s="190"/>
      <c r="H103" s="190"/>
      <c r="I103" s="190"/>
      <c r="J103" s="190"/>
      <c r="K103" s="190"/>
      <c r="L103" s="190"/>
      <c r="M103" s="190"/>
      <c r="N103" s="190"/>
      <c r="O103" s="190"/>
      <c r="P103" s="190"/>
      <c r="Q103" s="190"/>
      <c r="R103" s="190"/>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TU103" s="178"/>
      <c r="TV103" s="178"/>
    </row>
    <row r="104" spans="1:542" x14ac:dyDescent="0.25">
      <c r="A104" s="177" t="str">
        <v>PUMP Radial Bearing VIBRATION Probe DE</v>
      </c>
      <c r="B104" s="191" t="str">
        <v>[number]</v>
      </c>
      <c r="C104" s="157" t="str">
        <v/>
      </c>
      <c r="D104" s="155"/>
      <c r="E104" s="190"/>
      <c r="F104" s="190"/>
      <c r="G104" s="190"/>
      <c r="H104" s="190"/>
      <c r="I104" s="190"/>
      <c r="J104" s="190"/>
      <c r="K104" s="190"/>
      <c r="L104" s="190"/>
      <c r="M104" s="190"/>
      <c r="N104" s="190"/>
      <c r="O104" s="190"/>
      <c r="P104" s="190"/>
      <c r="Q104" s="190"/>
      <c r="R104" s="190"/>
      <c r="S104" s="190"/>
      <c r="T104" s="190"/>
      <c r="U104" s="190"/>
      <c r="V104" s="190"/>
      <c r="W104" s="190"/>
      <c r="X104" s="190"/>
      <c r="Y104" s="190"/>
      <c r="Z104" s="190"/>
      <c r="AA104" s="190"/>
      <c r="AB104" s="190"/>
      <c r="AC104" s="190"/>
      <c r="AD104" s="190"/>
      <c r="AE104" s="190"/>
      <c r="AF104" s="190"/>
      <c r="AG104" s="190"/>
      <c r="AH104" s="190"/>
      <c r="AI104" s="190"/>
      <c r="AJ104" s="190"/>
      <c r="AK104" s="190"/>
      <c r="AL104" s="190"/>
      <c r="AM104" s="190"/>
      <c r="AN104" s="190"/>
      <c r="AO104" s="190"/>
      <c r="AP104" s="190"/>
      <c r="AQ104" s="190"/>
      <c r="AR104" s="190"/>
      <c r="AS104" s="190"/>
      <c r="AT104" s="190"/>
      <c r="AU104" s="190"/>
      <c r="AV104" s="190"/>
      <c r="AW104" s="190"/>
      <c r="AX104" s="190"/>
      <c r="AY104" s="190"/>
      <c r="AZ104" s="190"/>
      <c r="BA104" s="190"/>
      <c r="BB104" s="190"/>
      <c r="BC104" s="190"/>
      <c r="BD104" s="190"/>
      <c r="BE104" s="190"/>
      <c r="BF104" s="190"/>
      <c r="BG104" s="190"/>
      <c r="BH104" s="190"/>
      <c r="BI104" s="190"/>
      <c r="BJ104" s="190"/>
      <c r="BK104" s="190"/>
      <c r="BL104" s="190"/>
      <c r="BM104" s="190"/>
      <c r="TU104" s="178"/>
      <c r="TV104" s="178"/>
    </row>
    <row r="105" spans="1:542" x14ac:dyDescent="0.25">
      <c r="A105" s="177" t="str">
        <v>Pump K-Phasor</v>
      </c>
      <c r="B105" s="191" t="str">
        <v>[yes/no]</v>
      </c>
      <c r="C105" s="157" t="str">
        <v/>
      </c>
      <c r="D105" s="155"/>
      <c r="E105" s="190"/>
      <c r="F105" s="190"/>
      <c r="G105" s="190"/>
      <c r="H105" s="19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190"/>
      <c r="AT105" s="190"/>
      <c r="AU105" s="190"/>
      <c r="AV105" s="190"/>
      <c r="AW105" s="190"/>
      <c r="AX105" s="190"/>
      <c r="AY105" s="190"/>
      <c r="AZ105" s="190"/>
      <c r="BA105" s="190"/>
      <c r="BB105" s="190"/>
      <c r="BC105" s="190"/>
      <c r="BD105" s="190"/>
      <c r="BE105" s="190"/>
      <c r="BF105" s="190"/>
      <c r="BG105" s="190"/>
      <c r="BH105" s="190"/>
      <c r="BI105" s="190"/>
      <c r="BJ105" s="190"/>
      <c r="BK105" s="190"/>
      <c r="BL105" s="190"/>
      <c r="BM105" s="190"/>
      <c r="TU105" s="178"/>
      <c r="TV105" s="178"/>
    </row>
    <row r="106" spans="1:542" x14ac:dyDescent="0.25">
      <c r="A106" s="177" t="str">
        <v>Anti-reverse ratchet</v>
      </c>
      <c r="B106" s="191" t="str">
        <v>[yes/no]</v>
      </c>
      <c r="C106" s="157" t="str">
        <v/>
      </c>
      <c r="D106" s="155"/>
      <c r="E106" s="190"/>
      <c r="F106" s="190"/>
      <c r="G106" s="190"/>
      <c r="H106" s="190"/>
      <c r="I106" s="190"/>
      <c r="J106" s="190"/>
      <c r="K106" s="190"/>
      <c r="L106" s="190"/>
      <c r="M106" s="190"/>
      <c r="N106" s="190"/>
      <c r="O106" s="190"/>
      <c r="P106" s="190"/>
      <c r="Q106" s="190"/>
      <c r="R106" s="190"/>
      <c r="S106" s="190"/>
      <c r="T106" s="190"/>
      <c r="U106" s="190"/>
      <c r="V106" s="190"/>
      <c r="W106" s="190"/>
      <c r="X106" s="190"/>
      <c r="Y106" s="190"/>
      <c r="Z106" s="190"/>
      <c r="AA106" s="190"/>
      <c r="AB106" s="190"/>
      <c r="AC106" s="190"/>
      <c r="AD106" s="190"/>
      <c r="AE106" s="190"/>
      <c r="AF106" s="190"/>
      <c r="AG106" s="190"/>
      <c r="AH106" s="190"/>
      <c r="AI106" s="190"/>
      <c r="AJ106" s="190"/>
      <c r="AK106" s="190"/>
      <c r="AL106" s="190"/>
      <c r="AM106" s="190"/>
      <c r="AN106" s="190"/>
      <c r="AO106" s="190"/>
      <c r="AP106" s="190"/>
      <c r="AQ106" s="190"/>
      <c r="AR106" s="190"/>
      <c r="AS106" s="190"/>
      <c r="AT106" s="190"/>
      <c r="AU106" s="190"/>
      <c r="AV106" s="190"/>
      <c r="AW106" s="190"/>
      <c r="AX106" s="190"/>
      <c r="AY106" s="190"/>
      <c r="AZ106" s="190"/>
      <c r="BA106" s="190"/>
      <c r="BB106" s="190"/>
      <c r="BC106" s="190"/>
      <c r="BD106" s="190"/>
      <c r="BE106" s="190"/>
      <c r="BF106" s="190"/>
      <c r="BG106" s="190"/>
      <c r="BH106" s="190"/>
      <c r="BI106" s="190"/>
      <c r="BJ106" s="190"/>
      <c r="BK106" s="190"/>
      <c r="BL106" s="190"/>
      <c r="BM106" s="190"/>
      <c r="TU106" s="178"/>
      <c r="TV106" s="178"/>
    </row>
    <row r="107" spans="1:542" x14ac:dyDescent="0.25">
      <c r="A107" s="177" t="str">
        <v>Pressure Transmitters and/or  Indicators on casing</v>
      </c>
      <c r="B107" s="191" t="str">
        <v>[number]</v>
      </c>
      <c r="C107" s="157" t="str">
        <v/>
      </c>
      <c r="D107" s="155"/>
      <c r="E107" s="190"/>
      <c r="F107" s="190"/>
      <c r="G107" s="190"/>
      <c r="H107" s="190"/>
      <c r="I107" s="190"/>
      <c r="J107" s="190"/>
      <c r="K107" s="190"/>
      <c r="L107" s="190"/>
      <c r="M107" s="190"/>
      <c r="N107" s="190"/>
      <c r="O107" s="190"/>
      <c r="P107" s="190"/>
      <c r="Q107" s="190"/>
      <c r="R107" s="190"/>
      <c r="S107" s="190"/>
      <c r="T107" s="190"/>
      <c r="U107" s="190"/>
      <c r="V107" s="190"/>
      <c r="W107" s="190"/>
      <c r="X107" s="190"/>
      <c r="Y107" s="190"/>
      <c r="Z107" s="190"/>
      <c r="AA107" s="190"/>
      <c r="AB107" s="190"/>
      <c r="AC107" s="190"/>
      <c r="AD107" s="190"/>
      <c r="AE107" s="190"/>
      <c r="AF107" s="190"/>
      <c r="AG107" s="190"/>
      <c r="AH107" s="190"/>
      <c r="AI107" s="190"/>
      <c r="AJ107" s="190"/>
      <c r="AK107" s="190"/>
      <c r="AL107" s="190"/>
      <c r="AM107" s="190"/>
      <c r="AN107" s="190"/>
      <c r="AO107" s="190"/>
      <c r="AP107" s="190"/>
      <c r="AQ107" s="190"/>
      <c r="AR107" s="190"/>
      <c r="AS107" s="190"/>
      <c r="AT107" s="190"/>
      <c r="AU107" s="190"/>
      <c r="AV107" s="190"/>
      <c r="AW107" s="190"/>
      <c r="AX107" s="190"/>
      <c r="AY107" s="190"/>
      <c r="AZ107" s="190"/>
      <c r="BA107" s="190"/>
      <c r="BB107" s="190"/>
      <c r="BC107" s="190"/>
      <c r="BD107" s="190"/>
      <c r="BE107" s="190"/>
      <c r="BF107" s="190"/>
      <c r="BG107" s="190"/>
      <c r="BH107" s="190"/>
      <c r="BI107" s="190"/>
      <c r="BJ107" s="190"/>
      <c r="BK107" s="190"/>
      <c r="BL107" s="190"/>
      <c r="BM107" s="190"/>
      <c r="TU107" s="178"/>
      <c r="TV107" s="178"/>
    </row>
    <row r="108" spans="1:542" x14ac:dyDescent="0.25">
      <c r="A108" s="177" t="str">
        <v>Thermo Elements on oil</v>
      </c>
      <c r="B108" s="191" t="str">
        <v>[number]</v>
      </c>
      <c r="C108" s="157" t="str">
        <v/>
      </c>
      <c r="D108" s="155"/>
      <c r="E108" s="190"/>
      <c r="F108" s="190"/>
      <c r="G108" s="190"/>
      <c r="H108" s="190"/>
      <c r="I108" s="190"/>
      <c r="J108" s="190"/>
      <c r="K108" s="190"/>
      <c r="L108" s="190"/>
      <c r="M108" s="190"/>
      <c r="N108" s="190"/>
      <c r="O108" s="190"/>
      <c r="P108" s="190"/>
      <c r="Q108" s="190"/>
      <c r="R108" s="190"/>
      <c r="S108" s="190"/>
      <c r="T108" s="190"/>
      <c r="U108" s="190"/>
      <c r="V108" s="190"/>
      <c r="W108" s="190"/>
      <c r="X108" s="190"/>
      <c r="Y108" s="190"/>
      <c r="Z108" s="190"/>
      <c r="AA108" s="190"/>
      <c r="AB108" s="190"/>
      <c r="AC108" s="190"/>
      <c r="AD108" s="190"/>
      <c r="AE108" s="190"/>
      <c r="AF108" s="190"/>
      <c r="AG108" s="190"/>
      <c r="AH108" s="190"/>
      <c r="AI108" s="190"/>
      <c r="AJ108" s="190"/>
      <c r="AK108" s="190"/>
      <c r="AL108" s="190"/>
      <c r="AM108" s="190"/>
      <c r="AN108" s="190"/>
      <c r="AO108" s="190"/>
      <c r="AP108" s="190"/>
      <c r="AQ108" s="190"/>
      <c r="AR108" s="190"/>
      <c r="AS108" s="190"/>
      <c r="AT108" s="190"/>
      <c r="AU108" s="190"/>
      <c r="AV108" s="190"/>
      <c r="AW108" s="190"/>
      <c r="AX108" s="190"/>
      <c r="AY108" s="190"/>
      <c r="AZ108" s="190"/>
      <c r="BA108" s="190"/>
      <c r="BB108" s="190"/>
      <c r="BC108" s="190"/>
      <c r="BD108" s="190"/>
      <c r="BE108" s="190"/>
      <c r="BF108" s="190"/>
      <c r="BG108" s="190"/>
      <c r="BH108" s="190"/>
      <c r="BI108" s="190"/>
      <c r="BJ108" s="190"/>
      <c r="BK108" s="190"/>
      <c r="BL108" s="190"/>
      <c r="BM108" s="190"/>
      <c r="TU108" s="178"/>
      <c r="TV108" s="178"/>
    </row>
    <row r="109" spans="1:542" x14ac:dyDescent="0.25">
      <c r="A109" s="177" t="str">
        <v>Other intrumentation on Pump</v>
      </c>
      <c r="B109" s="191" t="str">
        <v>[list / NONE]</v>
      </c>
      <c r="C109" s="157" t="str">
        <v/>
      </c>
      <c r="D109" s="155"/>
      <c r="E109" s="190"/>
      <c r="F109" s="190"/>
      <c r="G109" s="190"/>
      <c r="H109" s="190"/>
      <c r="I109" s="190"/>
      <c r="J109" s="190"/>
      <c r="K109" s="190"/>
      <c r="L109" s="190"/>
      <c r="M109" s="190"/>
      <c r="N109" s="190"/>
      <c r="O109" s="190"/>
      <c r="P109" s="190"/>
      <c r="Q109" s="190"/>
      <c r="R109" s="190"/>
      <c r="S109" s="190"/>
      <c r="T109" s="190"/>
      <c r="U109" s="190"/>
      <c r="V109" s="190"/>
      <c r="W109" s="190"/>
      <c r="X109" s="190"/>
      <c r="Y109" s="190"/>
      <c r="Z109" s="190"/>
      <c r="AA109" s="190"/>
      <c r="AB109" s="190"/>
      <c r="AC109" s="190"/>
      <c r="AD109" s="190"/>
      <c r="AE109" s="190"/>
      <c r="AF109" s="190"/>
      <c r="AG109" s="190"/>
      <c r="AH109" s="190"/>
      <c r="AI109" s="190"/>
      <c r="AJ109" s="190"/>
      <c r="AK109" s="190"/>
      <c r="AL109" s="190"/>
      <c r="AM109" s="190"/>
      <c r="AN109" s="190"/>
      <c r="AO109" s="190"/>
      <c r="AP109" s="190"/>
      <c r="AQ109" s="190"/>
      <c r="AR109" s="190"/>
      <c r="AS109" s="190"/>
      <c r="AT109" s="190"/>
      <c r="AU109" s="190"/>
      <c r="AV109" s="190"/>
      <c r="AW109" s="190"/>
      <c r="AX109" s="190"/>
      <c r="AY109" s="190"/>
      <c r="AZ109" s="190"/>
      <c r="BA109" s="190"/>
      <c r="BB109" s="190"/>
      <c r="BC109" s="190"/>
      <c r="BD109" s="190"/>
      <c r="BE109" s="190"/>
      <c r="BF109" s="190"/>
      <c r="BG109" s="190"/>
      <c r="BH109" s="190"/>
      <c r="BI109" s="190"/>
      <c r="BJ109" s="190"/>
      <c r="BK109" s="190"/>
      <c r="BL109" s="190"/>
      <c r="BM109" s="190"/>
      <c r="TU109" s="178"/>
      <c r="TV109" s="178"/>
    </row>
    <row r="110" spans="1:542" x14ac:dyDescent="0.25">
      <c r="A110" s="177" t="str">
        <v xml:space="preserve">DRIVER Thrust Bearing RTD NDE </v>
      </c>
      <c r="B110" s="191" t="str">
        <v>[number]</v>
      </c>
      <c r="C110" s="157" t="str">
        <v/>
      </c>
      <c r="D110" s="155"/>
      <c r="E110" s="190"/>
      <c r="F110" s="190"/>
      <c r="G110" s="190"/>
      <c r="H110" s="190"/>
      <c r="I110" s="190"/>
      <c r="J110" s="190"/>
      <c r="K110" s="190"/>
      <c r="L110" s="190"/>
      <c r="M110" s="190"/>
      <c r="N110" s="190"/>
      <c r="O110" s="190"/>
      <c r="P110" s="190"/>
      <c r="Q110" s="190"/>
      <c r="R110" s="190"/>
      <c r="S110" s="190"/>
      <c r="T110" s="190"/>
      <c r="U110" s="190"/>
      <c r="V110" s="190"/>
      <c r="W110" s="190"/>
      <c r="X110" s="190"/>
      <c r="Y110" s="190"/>
      <c r="Z110" s="190"/>
      <c r="AA110" s="190"/>
      <c r="AB110" s="190"/>
      <c r="AC110" s="190"/>
      <c r="AD110" s="190"/>
      <c r="AE110" s="190"/>
      <c r="AF110" s="190"/>
      <c r="AG110" s="190"/>
      <c r="AH110" s="190"/>
      <c r="AI110" s="190"/>
      <c r="AJ110" s="190"/>
      <c r="AK110" s="190"/>
      <c r="AL110" s="190"/>
      <c r="AM110" s="190"/>
      <c r="AN110" s="190"/>
      <c r="AO110" s="190"/>
      <c r="AP110" s="190"/>
      <c r="AQ110" s="190"/>
      <c r="AR110" s="190"/>
      <c r="AS110" s="190"/>
      <c r="AT110" s="190"/>
      <c r="AU110" s="190"/>
      <c r="AV110" s="190"/>
      <c r="AW110" s="190"/>
      <c r="AX110" s="190"/>
      <c r="AY110" s="190"/>
      <c r="AZ110" s="190"/>
      <c r="BA110" s="190"/>
      <c r="BB110" s="190"/>
      <c r="BC110" s="190"/>
      <c r="BD110" s="190"/>
      <c r="BE110" s="190"/>
      <c r="BF110" s="190"/>
      <c r="BG110" s="190"/>
      <c r="BH110" s="190"/>
      <c r="BI110" s="190"/>
      <c r="BJ110" s="190"/>
      <c r="BK110" s="190"/>
      <c r="BL110" s="190"/>
      <c r="BM110" s="190"/>
      <c r="TU110" s="178"/>
      <c r="TV110" s="178"/>
    </row>
    <row r="111" spans="1:542" x14ac:dyDescent="0.25">
      <c r="A111" s="177" t="str">
        <v xml:space="preserve">DRIVER Radial Bearing RTD NDE </v>
      </c>
      <c r="B111" s="191" t="str">
        <v>[number]</v>
      </c>
      <c r="C111" s="157" t="str">
        <v/>
      </c>
      <c r="D111" s="155"/>
      <c r="E111" s="190"/>
      <c r="F111" s="190"/>
      <c r="G111" s="190"/>
      <c r="H111" s="190"/>
      <c r="I111" s="190"/>
      <c r="J111" s="190"/>
      <c r="K111" s="190"/>
      <c r="L111" s="190"/>
      <c r="M111" s="190"/>
      <c r="N111" s="190"/>
      <c r="O111" s="190"/>
      <c r="P111" s="190"/>
      <c r="Q111" s="190"/>
      <c r="R111" s="190"/>
      <c r="S111" s="190"/>
      <c r="T111" s="190"/>
      <c r="U111" s="190"/>
      <c r="V111" s="190"/>
      <c r="W111" s="190"/>
      <c r="X111" s="190"/>
      <c r="Y111" s="190"/>
      <c r="Z111" s="190"/>
      <c r="AA111" s="190"/>
      <c r="AB111" s="190"/>
      <c r="AC111" s="190"/>
      <c r="AD111" s="190"/>
      <c r="AE111" s="190"/>
      <c r="AF111" s="190"/>
      <c r="AG111" s="190"/>
      <c r="AH111" s="190"/>
      <c r="AI111" s="190"/>
      <c r="AJ111" s="190"/>
      <c r="AK111" s="190"/>
      <c r="AL111" s="190"/>
      <c r="AM111" s="190"/>
      <c r="AN111" s="190"/>
      <c r="AO111" s="190"/>
      <c r="AP111" s="190"/>
      <c r="AQ111" s="190"/>
      <c r="AR111" s="190"/>
      <c r="AS111" s="190"/>
      <c r="AT111" s="190"/>
      <c r="AU111" s="190"/>
      <c r="AV111" s="190"/>
      <c r="AW111" s="190"/>
      <c r="AX111" s="190"/>
      <c r="AY111" s="190"/>
      <c r="AZ111" s="190"/>
      <c r="BA111" s="190"/>
      <c r="BB111" s="190"/>
      <c r="BC111" s="190"/>
      <c r="BD111" s="190"/>
      <c r="BE111" s="190"/>
      <c r="BF111" s="190"/>
      <c r="BG111" s="190"/>
      <c r="BH111" s="190"/>
      <c r="BI111" s="190"/>
      <c r="BJ111" s="190"/>
      <c r="BK111" s="190"/>
      <c r="BL111" s="190"/>
      <c r="BM111" s="190"/>
      <c r="TU111" s="178"/>
      <c r="TV111" s="178"/>
    </row>
    <row r="112" spans="1:542" x14ac:dyDescent="0.25">
      <c r="A112" s="177" t="str">
        <v xml:space="preserve">DRIVER Radial Bearing RTD DE </v>
      </c>
      <c r="B112" s="191" t="str">
        <v>[number]</v>
      </c>
      <c r="C112" s="157" t="str">
        <v/>
      </c>
      <c r="D112" s="155"/>
      <c r="E112" s="190"/>
      <c r="F112" s="190"/>
      <c r="G112" s="190"/>
      <c r="H112" s="190"/>
      <c r="I112" s="190"/>
      <c r="J112" s="190"/>
      <c r="K112" s="190"/>
      <c r="L112" s="190"/>
      <c r="M112" s="190"/>
      <c r="N112" s="190"/>
      <c r="O112" s="190"/>
      <c r="P112" s="190"/>
      <c r="Q112" s="190"/>
      <c r="R112" s="190"/>
      <c r="S112" s="190"/>
      <c r="T112" s="190"/>
      <c r="U112" s="190"/>
      <c r="V112" s="190"/>
      <c r="W112" s="190"/>
      <c r="X112" s="190"/>
      <c r="Y112" s="190"/>
      <c r="Z112" s="190"/>
      <c r="AA112" s="190"/>
      <c r="AB112" s="190"/>
      <c r="AC112" s="190"/>
      <c r="AD112" s="190"/>
      <c r="AE112" s="190"/>
      <c r="AF112" s="190"/>
      <c r="AG112" s="190"/>
      <c r="AH112" s="190"/>
      <c r="AI112" s="190"/>
      <c r="AJ112" s="190"/>
      <c r="AK112" s="190"/>
      <c r="AL112" s="190"/>
      <c r="AM112" s="190"/>
      <c r="AN112" s="190"/>
      <c r="AO112" s="190"/>
      <c r="AP112" s="190"/>
      <c r="AQ112" s="190"/>
      <c r="AR112" s="190"/>
      <c r="AS112" s="190"/>
      <c r="AT112" s="190"/>
      <c r="AU112" s="190"/>
      <c r="AV112" s="190"/>
      <c r="AW112" s="190"/>
      <c r="AX112" s="190"/>
      <c r="AY112" s="190"/>
      <c r="AZ112" s="190"/>
      <c r="BA112" s="190"/>
      <c r="BB112" s="190"/>
      <c r="BC112" s="190"/>
      <c r="BD112" s="190"/>
      <c r="BE112" s="190"/>
      <c r="BF112" s="190"/>
      <c r="BG112" s="190"/>
      <c r="BH112" s="190"/>
      <c r="BI112" s="190"/>
      <c r="BJ112" s="190"/>
      <c r="BK112" s="190"/>
      <c r="BL112" s="190"/>
      <c r="BM112" s="190"/>
      <c r="TU112" s="178"/>
      <c r="TV112" s="178"/>
    </row>
    <row r="113" spans="1:542" x14ac:dyDescent="0.25">
      <c r="A113" s="177" t="str">
        <v>DRIVER Bearing TT</v>
      </c>
      <c r="B113" s="191" t="str">
        <v>[yes/no]</v>
      </c>
      <c r="C113" s="157" t="str">
        <v/>
      </c>
      <c r="D113" s="155"/>
      <c r="E113" s="190"/>
      <c r="F113" s="190"/>
      <c r="G113" s="190"/>
      <c r="H113" s="190"/>
      <c r="I113" s="190"/>
      <c r="J113" s="190"/>
      <c r="K113" s="190"/>
      <c r="L113" s="190"/>
      <c r="M113" s="190"/>
      <c r="N113" s="190"/>
      <c r="O113" s="190"/>
      <c r="P113" s="190"/>
      <c r="Q113" s="190"/>
      <c r="R113" s="190"/>
      <c r="S113" s="190"/>
      <c r="T113" s="190"/>
      <c r="U113" s="190"/>
      <c r="V113" s="190"/>
      <c r="W113" s="190"/>
      <c r="X113" s="190"/>
      <c r="Y113" s="190"/>
      <c r="Z113" s="190"/>
      <c r="AA113" s="190"/>
      <c r="AB113" s="190"/>
      <c r="AC113" s="190"/>
      <c r="AD113" s="190"/>
      <c r="AE113" s="190"/>
      <c r="AF113" s="190"/>
      <c r="AG113" s="190"/>
      <c r="AH113" s="190"/>
      <c r="AI113" s="190"/>
      <c r="AJ113" s="190"/>
      <c r="AK113" s="190"/>
      <c r="AL113" s="190"/>
      <c r="AM113" s="190"/>
      <c r="AN113" s="190"/>
      <c r="AO113" s="190"/>
      <c r="AP113" s="190"/>
      <c r="AQ113" s="190"/>
      <c r="AR113" s="190"/>
      <c r="AS113" s="190"/>
      <c r="AT113" s="190"/>
      <c r="AU113" s="190"/>
      <c r="AV113" s="190"/>
      <c r="AW113" s="190"/>
      <c r="AX113" s="190"/>
      <c r="AY113" s="190"/>
      <c r="AZ113" s="190"/>
      <c r="BA113" s="190"/>
      <c r="BB113" s="190"/>
      <c r="BC113" s="190"/>
      <c r="BD113" s="190"/>
      <c r="BE113" s="190"/>
      <c r="BF113" s="190"/>
      <c r="BG113" s="190"/>
      <c r="BH113" s="190"/>
      <c r="BI113" s="190"/>
      <c r="BJ113" s="190"/>
      <c r="BK113" s="190"/>
      <c r="BL113" s="190"/>
      <c r="BM113" s="190"/>
      <c r="TU113" s="178"/>
      <c r="TV113" s="178"/>
    </row>
    <row r="114" spans="1:542" x14ac:dyDescent="0.25">
      <c r="A114" s="177" t="str">
        <v xml:space="preserve">DRIVER  Thrust Bearing Axial VIBRATION Probe NDE </v>
      </c>
      <c r="B114" s="191" t="str">
        <v>[number]</v>
      </c>
      <c r="C114" s="157" t="str">
        <v/>
      </c>
      <c r="D114" s="155"/>
      <c r="E114" s="190"/>
      <c r="F114" s="190"/>
      <c r="G114" s="190"/>
      <c r="H114" s="190"/>
      <c r="I114" s="190"/>
      <c r="J114" s="190"/>
      <c r="K114" s="190"/>
      <c r="L114" s="190"/>
      <c r="M114" s="190"/>
      <c r="N114" s="190"/>
      <c r="O114" s="190"/>
      <c r="P114" s="190"/>
      <c r="Q114" s="190"/>
      <c r="R114" s="190"/>
      <c r="S114" s="190"/>
      <c r="T114" s="190"/>
      <c r="U114" s="190"/>
      <c r="V114" s="190"/>
      <c r="W114" s="190"/>
      <c r="X114" s="190"/>
      <c r="Y114" s="190"/>
      <c r="Z114" s="190"/>
      <c r="AA114" s="190"/>
      <c r="AB114" s="190"/>
      <c r="AC114" s="190"/>
      <c r="AD114" s="190"/>
      <c r="AE114" s="190"/>
      <c r="AF114" s="190"/>
      <c r="AG114" s="190"/>
      <c r="AH114" s="190"/>
      <c r="AI114" s="190"/>
      <c r="AJ114" s="190"/>
      <c r="AK114" s="190"/>
      <c r="AL114" s="190"/>
      <c r="AM114" s="190"/>
      <c r="AN114" s="190"/>
      <c r="AO114" s="190"/>
      <c r="AP114" s="190"/>
      <c r="AQ114" s="190"/>
      <c r="AR114" s="190"/>
      <c r="AS114" s="190"/>
      <c r="AT114" s="190"/>
      <c r="AU114" s="190"/>
      <c r="AV114" s="190"/>
      <c r="AW114" s="190"/>
      <c r="AX114" s="190"/>
      <c r="AY114" s="190"/>
      <c r="AZ114" s="190"/>
      <c r="BA114" s="190"/>
      <c r="BB114" s="190"/>
      <c r="BC114" s="190"/>
      <c r="BD114" s="190"/>
      <c r="BE114" s="190"/>
      <c r="BF114" s="190"/>
      <c r="BG114" s="190"/>
      <c r="BH114" s="190"/>
      <c r="BI114" s="190"/>
      <c r="BJ114" s="190"/>
      <c r="BK114" s="190"/>
      <c r="BL114" s="190"/>
      <c r="BM114" s="190"/>
      <c r="TU114" s="178"/>
      <c r="TV114" s="178"/>
    </row>
    <row r="115" spans="1:542" x14ac:dyDescent="0.25">
      <c r="A115" s="177" t="str">
        <v>DRIVER Radial Bearing VIBRATION Probe NDE</v>
      </c>
      <c r="B115" s="191" t="str">
        <v>[number]</v>
      </c>
      <c r="C115" s="157" t="str">
        <v/>
      </c>
      <c r="D115" s="155"/>
      <c r="E115" s="190"/>
      <c r="F115" s="190"/>
      <c r="G115" s="190"/>
      <c r="H115" s="190"/>
      <c r="I115" s="190"/>
      <c r="J115" s="190"/>
      <c r="K115" s="190"/>
      <c r="L115" s="190"/>
      <c r="M115" s="190"/>
      <c r="N115" s="190"/>
      <c r="O115" s="190"/>
      <c r="P115" s="190"/>
      <c r="Q115" s="190"/>
      <c r="R115" s="190"/>
      <c r="S115" s="190"/>
      <c r="T115" s="190"/>
      <c r="U115" s="190"/>
      <c r="V115" s="190"/>
      <c r="W115" s="190"/>
      <c r="X115" s="190"/>
      <c r="Y115" s="190"/>
      <c r="Z115" s="190"/>
      <c r="AA115" s="190"/>
      <c r="AB115" s="190"/>
      <c r="AC115" s="190"/>
      <c r="AD115" s="190"/>
      <c r="AE115" s="190"/>
      <c r="AF115" s="190"/>
      <c r="AG115" s="190"/>
      <c r="AH115" s="190"/>
      <c r="AI115" s="190"/>
      <c r="AJ115" s="190"/>
      <c r="AK115" s="190"/>
      <c r="AL115" s="190"/>
      <c r="AM115" s="190"/>
      <c r="AN115" s="190"/>
      <c r="AO115" s="190"/>
      <c r="AP115" s="190"/>
      <c r="AQ115" s="190"/>
      <c r="AR115" s="190"/>
      <c r="AS115" s="190"/>
      <c r="AT115" s="190"/>
      <c r="AU115" s="190"/>
      <c r="AV115" s="190"/>
      <c r="AW115" s="190"/>
      <c r="AX115" s="190"/>
      <c r="AY115" s="190"/>
      <c r="AZ115" s="190"/>
      <c r="BA115" s="190"/>
      <c r="BB115" s="190"/>
      <c r="BC115" s="190"/>
      <c r="BD115" s="190"/>
      <c r="BE115" s="190"/>
      <c r="BF115" s="190"/>
      <c r="BG115" s="190"/>
      <c r="BH115" s="190"/>
      <c r="BI115" s="190"/>
      <c r="BJ115" s="190"/>
      <c r="BK115" s="190"/>
      <c r="BL115" s="190"/>
      <c r="BM115" s="190"/>
      <c r="TU115" s="178"/>
      <c r="TV115" s="178"/>
    </row>
    <row r="116" spans="1:542" x14ac:dyDescent="0.25">
      <c r="A116" s="177" t="str">
        <v>DRIVER Radial Bearing VIBRATION Probe DE</v>
      </c>
      <c r="B116" s="191" t="str">
        <v>[number]</v>
      </c>
      <c r="C116" s="157" t="str">
        <v/>
      </c>
      <c r="D116" s="155"/>
      <c r="E116" s="190"/>
      <c r="F116" s="190"/>
      <c r="G116" s="190"/>
      <c r="H116" s="190"/>
      <c r="I116" s="190"/>
      <c r="J116" s="190"/>
      <c r="K116" s="190"/>
      <c r="L116" s="190"/>
      <c r="M116" s="190"/>
      <c r="N116" s="190"/>
      <c r="O116" s="190"/>
      <c r="P116" s="190"/>
      <c r="Q116" s="190"/>
      <c r="R116" s="190"/>
      <c r="S116" s="190"/>
      <c r="T116" s="190"/>
      <c r="U116" s="190"/>
      <c r="V116" s="190"/>
      <c r="W116" s="190"/>
      <c r="X116" s="190"/>
      <c r="Y116" s="190"/>
      <c r="Z116" s="190"/>
      <c r="AA116" s="190"/>
      <c r="AB116" s="190"/>
      <c r="AC116" s="190"/>
      <c r="AD116" s="190"/>
      <c r="AE116" s="190"/>
      <c r="AF116" s="190"/>
      <c r="AG116" s="190"/>
      <c r="AH116" s="190"/>
      <c r="AI116" s="190"/>
      <c r="AJ116" s="190"/>
      <c r="AK116" s="190"/>
      <c r="AL116" s="190"/>
      <c r="AM116" s="190"/>
      <c r="AN116" s="190"/>
      <c r="AO116" s="190"/>
      <c r="AP116" s="190"/>
      <c r="AQ116" s="190"/>
      <c r="AR116" s="190"/>
      <c r="AS116" s="190"/>
      <c r="AT116" s="190"/>
      <c r="AU116" s="190"/>
      <c r="AV116" s="190"/>
      <c r="AW116" s="190"/>
      <c r="AX116" s="190"/>
      <c r="AY116" s="190"/>
      <c r="AZ116" s="190"/>
      <c r="BA116" s="190"/>
      <c r="BB116" s="190"/>
      <c r="BC116" s="190"/>
      <c r="BD116" s="190"/>
      <c r="BE116" s="190"/>
      <c r="BF116" s="190"/>
      <c r="BG116" s="190"/>
      <c r="BH116" s="190"/>
      <c r="BI116" s="190"/>
      <c r="BJ116" s="190"/>
      <c r="BK116" s="190"/>
      <c r="BL116" s="190"/>
      <c r="BM116" s="190"/>
      <c r="TU116" s="178"/>
      <c r="TV116" s="178"/>
    </row>
    <row r="117" spans="1:542" x14ac:dyDescent="0.25">
      <c r="A117" s="177" t="str">
        <v>DRIVER K-Phasor</v>
      </c>
      <c r="B117" s="191" t="str">
        <v>[number]</v>
      </c>
      <c r="C117" s="157" t="str">
        <v/>
      </c>
      <c r="D117" s="155"/>
      <c r="E117" s="190"/>
      <c r="F117" s="190"/>
      <c r="G117" s="190"/>
      <c r="H117" s="190"/>
      <c r="I117" s="190"/>
      <c r="J117" s="190"/>
      <c r="K117" s="190"/>
      <c r="L117" s="190"/>
      <c r="M117" s="190"/>
      <c r="N117" s="190"/>
      <c r="O117" s="190"/>
      <c r="P117" s="190"/>
      <c r="Q117" s="190"/>
      <c r="R117" s="190"/>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TU117" s="178"/>
      <c r="TV117" s="178"/>
    </row>
    <row r="118" spans="1:542" x14ac:dyDescent="0.25">
      <c r="A118" s="177" t="str">
        <v>Motor Winding Temperature Sensors</v>
      </c>
      <c r="B118" s="191" t="str">
        <v>[type &amp; number / NONE]</v>
      </c>
      <c r="C118" s="157" t="str">
        <v/>
      </c>
      <c r="D118" s="155"/>
      <c r="E118" s="190"/>
      <c r="F118" s="190"/>
      <c r="G118" s="190"/>
      <c r="H118" s="190"/>
      <c r="I118" s="190"/>
      <c r="J118" s="190"/>
      <c r="K118" s="190"/>
      <c r="L118" s="190"/>
      <c r="M118" s="190"/>
      <c r="N118" s="190"/>
      <c r="O118" s="190"/>
      <c r="P118" s="190"/>
      <c r="Q118" s="190"/>
      <c r="R118" s="190"/>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TU118" s="178"/>
      <c r="TV118" s="178"/>
    </row>
    <row r="119" spans="1:542" ht="30" x14ac:dyDescent="0.25">
      <c r="A119" s="177" t="str">
        <v xml:space="preserve">GERBOX Thrust Bearing RTD NDE
INPUT SHAFT </v>
      </c>
      <c r="B119" s="191" t="str">
        <v>[number]</v>
      </c>
      <c r="C119" s="157" t="str">
        <v/>
      </c>
      <c r="D119" s="155"/>
      <c r="E119" s="190"/>
      <c r="F119" s="190"/>
      <c r="G119" s="190"/>
      <c r="H119" s="190"/>
      <c r="I119" s="190"/>
      <c r="J119" s="190"/>
      <c r="K119" s="190"/>
      <c r="L119" s="190"/>
      <c r="M119" s="190"/>
      <c r="N119" s="190"/>
      <c r="O119" s="190"/>
      <c r="P119" s="190"/>
      <c r="Q119" s="190"/>
      <c r="R119" s="190"/>
      <c r="S119" s="190"/>
      <c r="T119" s="190"/>
      <c r="U119" s="190"/>
      <c r="V119" s="190"/>
      <c r="W119" s="190"/>
      <c r="X119" s="190"/>
      <c r="Y119" s="190"/>
      <c r="Z119" s="190"/>
      <c r="AA119" s="190"/>
      <c r="AB119" s="190"/>
      <c r="AC119" s="190"/>
      <c r="AD119" s="190"/>
      <c r="AE119" s="190"/>
      <c r="AF119" s="190"/>
      <c r="AG119" s="190"/>
      <c r="AH119" s="190"/>
      <c r="AI119" s="190"/>
      <c r="AJ119" s="190"/>
      <c r="AK119" s="190"/>
      <c r="AL119" s="190"/>
      <c r="AM119" s="190"/>
      <c r="AN119" s="190"/>
      <c r="AO119" s="190"/>
      <c r="AP119" s="190"/>
      <c r="AQ119" s="190"/>
      <c r="AR119" s="190"/>
      <c r="AS119" s="190"/>
      <c r="AT119" s="190"/>
      <c r="AU119" s="190"/>
      <c r="AV119" s="190"/>
      <c r="AW119" s="190"/>
      <c r="AX119" s="190"/>
      <c r="AY119" s="190"/>
      <c r="AZ119" s="190"/>
      <c r="BA119" s="190"/>
      <c r="BB119" s="190"/>
      <c r="BC119" s="190"/>
      <c r="BD119" s="190"/>
      <c r="BE119" s="190"/>
      <c r="BF119" s="190"/>
      <c r="BG119" s="190"/>
      <c r="BH119" s="190"/>
      <c r="BI119" s="190"/>
      <c r="BJ119" s="190"/>
      <c r="BK119" s="190"/>
      <c r="BL119" s="190"/>
      <c r="BM119" s="190"/>
      <c r="TU119" s="178"/>
      <c r="TV119" s="178"/>
    </row>
    <row r="120" spans="1:542" x14ac:dyDescent="0.25">
      <c r="A120" s="177" t="str">
        <v xml:space="preserve">GERBOX Radial Bearing RTD NDE INPUT SHAFT  </v>
      </c>
      <c r="B120" s="191" t="str">
        <v>[number]</v>
      </c>
      <c r="C120" s="157" t="str">
        <v/>
      </c>
      <c r="D120" s="155"/>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90"/>
      <c r="BC120" s="190"/>
      <c r="BD120" s="190"/>
      <c r="BE120" s="190"/>
      <c r="BF120" s="190"/>
      <c r="BG120" s="190"/>
      <c r="BH120" s="190"/>
      <c r="BI120" s="190"/>
      <c r="BJ120" s="190"/>
      <c r="BK120" s="190"/>
      <c r="BL120" s="190"/>
      <c r="BM120" s="190"/>
      <c r="TU120" s="178"/>
      <c r="TV120" s="178"/>
    </row>
    <row r="121" spans="1:542" x14ac:dyDescent="0.25">
      <c r="A121" s="177" t="str">
        <v xml:space="preserve">GERBOX Radial Bearing RTD DE INPUT SHAFT </v>
      </c>
      <c r="B121" s="191" t="str">
        <v>[number]</v>
      </c>
      <c r="C121" s="157" t="str">
        <v/>
      </c>
      <c r="D121" s="155"/>
      <c r="E121" s="190"/>
      <c r="F121" s="190"/>
      <c r="G121" s="190"/>
      <c r="H121" s="190"/>
      <c r="I121" s="190"/>
      <c r="J121" s="190"/>
      <c r="K121" s="190"/>
      <c r="L121" s="190"/>
      <c r="M121" s="190"/>
      <c r="N121" s="190"/>
      <c r="O121" s="190"/>
      <c r="P121" s="190"/>
      <c r="Q121" s="190"/>
      <c r="R121" s="190"/>
      <c r="S121" s="190"/>
      <c r="T121" s="190"/>
      <c r="U121" s="190"/>
      <c r="V121" s="190"/>
      <c r="W121" s="190"/>
      <c r="X121" s="190"/>
      <c r="Y121" s="190"/>
      <c r="Z121" s="190"/>
      <c r="AA121" s="190"/>
      <c r="AB121" s="190"/>
      <c r="AC121" s="190"/>
      <c r="AD121" s="190"/>
      <c r="AE121" s="190"/>
      <c r="AF121" s="190"/>
      <c r="AG121" s="190"/>
      <c r="AH121" s="190"/>
      <c r="AI121" s="190"/>
      <c r="AJ121" s="190"/>
      <c r="AK121" s="190"/>
      <c r="AL121" s="190"/>
      <c r="AM121" s="190"/>
      <c r="AN121" s="190"/>
      <c r="AO121" s="190"/>
      <c r="AP121" s="190"/>
      <c r="AQ121" s="190"/>
      <c r="AR121" s="190"/>
      <c r="AS121" s="190"/>
      <c r="AT121" s="190"/>
      <c r="AU121" s="190"/>
      <c r="AV121" s="190"/>
      <c r="AW121" s="190"/>
      <c r="AX121" s="190"/>
      <c r="AY121" s="190"/>
      <c r="AZ121" s="190"/>
      <c r="BA121" s="190"/>
      <c r="BB121" s="190"/>
      <c r="BC121" s="190"/>
      <c r="BD121" s="190"/>
      <c r="BE121" s="190"/>
      <c r="BF121" s="190"/>
      <c r="BG121" s="190"/>
      <c r="BH121" s="190"/>
      <c r="BI121" s="190"/>
      <c r="BJ121" s="190"/>
      <c r="BK121" s="190"/>
      <c r="BL121" s="190"/>
      <c r="BM121" s="190"/>
      <c r="TU121" s="178"/>
      <c r="TV121" s="178"/>
    </row>
    <row r="122" spans="1:542" ht="30" x14ac:dyDescent="0.25">
      <c r="A122" s="177" t="str">
        <v xml:space="preserve">GERBOX Thrust Bearing RTD NDE
OUTPUT SHAFT </v>
      </c>
      <c r="B122" s="191" t="str">
        <v>[number]</v>
      </c>
      <c r="C122" s="157" t="str">
        <v/>
      </c>
      <c r="D122" s="155"/>
      <c r="E122" s="190"/>
      <c r="F122" s="190"/>
      <c r="G122" s="190"/>
      <c r="H122" s="190"/>
      <c r="I122" s="190"/>
      <c r="J122" s="190"/>
      <c r="K122" s="190"/>
      <c r="L122" s="190"/>
      <c r="M122" s="190"/>
      <c r="N122" s="190"/>
      <c r="O122" s="190"/>
      <c r="P122" s="190"/>
      <c r="Q122" s="190"/>
      <c r="R122" s="190"/>
      <c r="S122" s="190"/>
      <c r="T122" s="190"/>
      <c r="U122" s="190"/>
      <c r="V122" s="190"/>
      <c r="W122" s="190"/>
      <c r="X122" s="190"/>
      <c r="Y122" s="190"/>
      <c r="Z122" s="190"/>
      <c r="AA122" s="190"/>
      <c r="AB122" s="190"/>
      <c r="AC122" s="190"/>
      <c r="AD122" s="190"/>
      <c r="AE122" s="190"/>
      <c r="AF122" s="190"/>
      <c r="AG122" s="190"/>
      <c r="AH122" s="190"/>
      <c r="AI122" s="190"/>
      <c r="AJ122" s="190"/>
      <c r="AK122" s="190"/>
      <c r="AL122" s="190"/>
      <c r="AM122" s="190"/>
      <c r="AN122" s="190"/>
      <c r="AO122" s="190"/>
      <c r="AP122" s="190"/>
      <c r="AQ122" s="190"/>
      <c r="AR122" s="190"/>
      <c r="AS122" s="190"/>
      <c r="AT122" s="190"/>
      <c r="AU122" s="190"/>
      <c r="AV122" s="190"/>
      <c r="AW122" s="190"/>
      <c r="AX122" s="190"/>
      <c r="AY122" s="190"/>
      <c r="AZ122" s="190"/>
      <c r="BA122" s="190"/>
      <c r="BB122" s="190"/>
      <c r="BC122" s="190"/>
      <c r="BD122" s="190"/>
      <c r="BE122" s="190"/>
      <c r="BF122" s="190"/>
      <c r="BG122" s="190"/>
      <c r="BH122" s="190"/>
      <c r="BI122" s="190"/>
      <c r="BJ122" s="190"/>
      <c r="BK122" s="190"/>
      <c r="BL122" s="190"/>
      <c r="BM122" s="190"/>
      <c r="TU122" s="178"/>
      <c r="TV122" s="178"/>
    </row>
    <row r="123" spans="1:542" x14ac:dyDescent="0.25">
      <c r="A123" s="177" t="str">
        <v xml:space="preserve">GERBOX Radial Bearing RTD NDE OUTPUT SHAFT  </v>
      </c>
      <c r="B123" s="191" t="str">
        <v>[number]</v>
      </c>
      <c r="C123" s="157" t="str">
        <v/>
      </c>
      <c r="D123" s="155"/>
      <c r="E123" s="190"/>
      <c r="F123" s="190"/>
      <c r="G123" s="190"/>
      <c r="H123" s="190"/>
      <c r="I123" s="190"/>
      <c r="J123" s="190"/>
      <c r="K123" s="190"/>
      <c r="L123" s="190"/>
      <c r="M123" s="190"/>
      <c r="N123" s="190"/>
      <c r="O123" s="190"/>
      <c r="P123" s="190"/>
      <c r="Q123" s="190"/>
      <c r="R123" s="190"/>
      <c r="S123" s="190"/>
      <c r="T123" s="190"/>
      <c r="U123" s="190"/>
      <c r="V123" s="190"/>
      <c r="W123" s="190"/>
      <c r="X123" s="190"/>
      <c r="Y123" s="190"/>
      <c r="Z123" s="190"/>
      <c r="AA123" s="190"/>
      <c r="AB123" s="190"/>
      <c r="AC123" s="190"/>
      <c r="AD123" s="190"/>
      <c r="AE123" s="190"/>
      <c r="AF123" s="190"/>
      <c r="AG123" s="190"/>
      <c r="AH123" s="190"/>
      <c r="AI123" s="190"/>
      <c r="AJ123" s="190"/>
      <c r="AK123" s="190"/>
      <c r="AL123" s="190"/>
      <c r="AM123" s="190"/>
      <c r="AN123" s="190"/>
      <c r="AO123" s="190"/>
      <c r="AP123" s="190"/>
      <c r="AQ123" s="190"/>
      <c r="AR123" s="190"/>
      <c r="AS123" s="190"/>
      <c r="AT123" s="190"/>
      <c r="AU123" s="190"/>
      <c r="AV123" s="190"/>
      <c r="AW123" s="190"/>
      <c r="AX123" s="190"/>
      <c r="AY123" s="190"/>
      <c r="AZ123" s="190"/>
      <c r="BA123" s="190"/>
      <c r="BB123" s="190"/>
      <c r="BC123" s="190"/>
      <c r="BD123" s="190"/>
      <c r="BE123" s="190"/>
      <c r="BF123" s="190"/>
      <c r="BG123" s="190"/>
      <c r="BH123" s="190"/>
      <c r="BI123" s="190"/>
      <c r="BJ123" s="190"/>
      <c r="BK123" s="190"/>
      <c r="BL123" s="190"/>
      <c r="BM123" s="190"/>
      <c r="TU123" s="178"/>
      <c r="TV123" s="178"/>
    </row>
    <row r="124" spans="1:542" x14ac:dyDescent="0.25">
      <c r="A124" s="177" t="str">
        <v xml:space="preserve">GERBOX Radial Bearing RTD DE OUTPUT SHAFT </v>
      </c>
      <c r="B124" s="191" t="str">
        <v>[number]</v>
      </c>
      <c r="C124" s="157" t="str">
        <v/>
      </c>
      <c r="D124" s="155"/>
      <c r="E124" s="190"/>
      <c r="F124" s="190"/>
      <c r="G124" s="190"/>
      <c r="H124" s="190"/>
      <c r="I124" s="190"/>
      <c r="J124" s="190"/>
      <c r="K124" s="190"/>
      <c r="L124" s="190"/>
      <c r="M124" s="190"/>
      <c r="N124" s="190"/>
      <c r="O124" s="190"/>
      <c r="P124" s="190"/>
      <c r="Q124" s="190"/>
      <c r="R124" s="190"/>
      <c r="S124" s="190"/>
      <c r="T124" s="190"/>
      <c r="U124" s="190"/>
      <c r="V124" s="190"/>
      <c r="W124" s="190"/>
      <c r="X124" s="190"/>
      <c r="Y124" s="190"/>
      <c r="Z124" s="190"/>
      <c r="AA124" s="190"/>
      <c r="AB124" s="190"/>
      <c r="AC124" s="190"/>
      <c r="AD124" s="190"/>
      <c r="AE124" s="190"/>
      <c r="AF124" s="190"/>
      <c r="AG124" s="190"/>
      <c r="AH124" s="190"/>
      <c r="AI124" s="190"/>
      <c r="AJ124" s="190"/>
      <c r="AK124" s="190"/>
      <c r="AL124" s="190"/>
      <c r="AM124" s="190"/>
      <c r="AN124" s="190"/>
      <c r="AO124" s="190"/>
      <c r="AP124" s="190"/>
      <c r="AQ124" s="190"/>
      <c r="AR124" s="190"/>
      <c r="AS124" s="190"/>
      <c r="AT124" s="190"/>
      <c r="AU124" s="190"/>
      <c r="AV124" s="190"/>
      <c r="AW124" s="190"/>
      <c r="AX124" s="190"/>
      <c r="AY124" s="190"/>
      <c r="AZ124" s="190"/>
      <c r="BA124" s="190"/>
      <c r="BB124" s="190"/>
      <c r="BC124" s="190"/>
      <c r="BD124" s="190"/>
      <c r="BE124" s="190"/>
      <c r="BF124" s="190"/>
      <c r="BG124" s="190"/>
      <c r="BH124" s="190"/>
      <c r="BI124" s="190"/>
      <c r="BJ124" s="190"/>
      <c r="BK124" s="190"/>
      <c r="BL124" s="190"/>
      <c r="BM124" s="190"/>
      <c r="TU124" s="178"/>
      <c r="TV124" s="178"/>
    </row>
    <row r="125" spans="1:542" x14ac:dyDescent="0.25">
      <c r="A125" s="177" t="str">
        <v>GERBOX Bearing TT</v>
      </c>
      <c r="B125" s="191" t="str">
        <v>[yes/no]</v>
      </c>
      <c r="C125" s="157" t="str">
        <v/>
      </c>
      <c r="D125" s="155"/>
      <c r="E125" s="190"/>
      <c r="F125" s="190"/>
      <c r="G125" s="190"/>
      <c r="H125" s="190"/>
      <c r="I125" s="190"/>
      <c r="J125" s="190"/>
      <c r="K125" s="190"/>
      <c r="L125" s="190"/>
      <c r="M125" s="190"/>
      <c r="N125" s="190"/>
      <c r="O125" s="190"/>
      <c r="P125" s="190"/>
      <c r="Q125" s="190"/>
      <c r="R125" s="190"/>
      <c r="S125" s="190"/>
      <c r="T125" s="190"/>
      <c r="U125" s="190"/>
      <c r="V125" s="190"/>
      <c r="W125" s="190"/>
      <c r="X125" s="190"/>
      <c r="Y125" s="190"/>
      <c r="Z125" s="190"/>
      <c r="AA125" s="190"/>
      <c r="AB125" s="190"/>
      <c r="AC125" s="190"/>
      <c r="AD125" s="190"/>
      <c r="AE125" s="190"/>
      <c r="AF125" s="190"/>
      <c r="AG125" s="190"/>
      <c r="AH125" s="190"/>
      <c r="AI125" s="190"/>
      <c r="AJ125" s="190"/>
      <c r="AK125" s="190"/>
      <c r="AL125" s="190"/>
      <c r="AM125" s="190"/>
      <c r="AN125" s="190"/>
      <c r="AO125" s="190"/>
      <c r="AP125" s="190"/>
      <c r="AQ125" s="190"/>
      <c r="AR125" s="190"/>
      <c r="AS125" s="190"/>
      <c r="AT125" s="190"/>
      <c r="AU125" s="190"/>
      <c r="AV125" s="190"/>
      <c r="AW125" s="190"/>
      <c r="AX125" s="190"/>
      <c r="AY125" s="190"/>
      <c r="AZ125" s="190"/>
      <c r="BA125" s="190"/>
      <c r="BB125" s="190"/>
      <c r="BC125" s="190"/>
      <c r="BD125" s="190"/>
      <c r="BE125" s="190"/>
      <c r="BF125" s="190"/>
      <c r="BG125" s="190"/>
      <c r="BH125" s="190"/>
      <c r="BI125" s="190"/>
      <c r="BJ125" s="190"/>
      <c r="BK125" s="190"/>
      <c r="BL125" s="190"/>
      <c r="BM125" s="190"/>
      <c r="TU125" s="178"/>
      <c r="TV125" s="178"/>
    </row>
    <row r="126" spans="1:542" x14ac:dyDescent="0.25">
      <c r="A126" s="177" t="str">
        <v>GERBOX  Thrust Bearing Axial VIBRATION Probe NDE INPUT SHAFT</v>
      </c>
      <c r="B126" s="191" t="str">
        <v>[number]</v>
      </c>
      <c r="C126" s="157" t="str">
        <v/>
      </c>
      <c r="D126" s="155"/>
      <c r="E126" s="190"/>
      <c r="F126" s="190"/>
      <c r="G126" s="190"/>
      <c r="H126" s="190"/>
      <c r="I126" s="190"/>
      <c r="J126" s="190"/>
      <c r="K126" s="190"/>
      <c r="L126" s="190"/>
      <c r="M126" s="190"/>
      <c r="N126" s="190"/>
      <c r="O126" s="190"/>
      <c r="P126" s="190"/>
      <c r="Q126" s="190"/>
      <c r="R126" s="190"/>
      <c r="S126" s="190"/>
      <c r="T126" s="190"/>
      <c r="U126" s="190"/>
      <c r="V126" s="190"/>
      <c r="W126" s="190"/>
      <c r="X126" s="190"/>
      <c r="Y126" s="190"/>
      <c r="Z126" s="190"/>
      <c r="AA126" s="190"/>
      <c r="AB126" s="190"/>
      <c r="AC126" s="190"/>
      <c r="AD126" s="190"/>
      <c r="AE126" s="190"/>
      <c r="AF126" s="190"/>
      <c r="AG126" s="190"/>
      <c r="AH126" s="190"/>
      <c r="AI126" s="190"/>
      <c r="AJ126" s="190"/>
      <c r="AK126" s="190"/>
      <c r="AL126" s="190"/>
      <c r="AM126" s="190"/>
      <c r="AN126" s="190"/>
      <c r="AO126" s="190"/>
      <c r="AP126" s="190"/>
      <c r="AQ126" s="190"/>
      <c r="AR126" s="190"/>
      <c r="AS126" s="190"/>
      <c r="AT126" s="190"/>
      <c r="AU126" s="190"/>
      <c r="AV126" s="190"/>
      <c r="AW126" s="190"/>
      <c r="AX126" s="190"/>
      <c r="AY126" s="190"/>
      <c r="AZ126" s="190"/>
      <c r="BA126" s="190"/>
      <c r="BB126" s="190"/>
      <c r="BC126" s="190"/>
      <c r="BD126" s="190"/>
      <c r="BE126" s="190"/>
      <c r="BF126" s="190"/>
      <c r="BG126" s="190"/>
      <c r="BH126" s="190"/>
      <c r="BI126" s="190"/>
      <c r="BJ126" s="190"/>
      <c r="BK126" s="190"/>
      <c r="BL126" s="190"/>
      <c r="BM126" s="190"/>
      <c r="TU126" s="178"/>
      <c r="TV126" s="178"/>
    </row>
    <row r="127" spans="1:542" x14ac:dyDescent="0.25">
      <c r="A127" s="177" t="str">
        <v>GERBOX Radial Bearing VIBRATION Probe NDE INPUT SHAFT</v>
      </c>
      <c r="B127" s="191" t="str">
        <v>[number]</v>
      </c>
      <c r="C127" s="157" t="str">
        <v/>
      </c>
      <c r="D127" s="155"/>
      <c r="E127" s="190"/>
      <c r="F127" s="190"/>
      <c r="G127" s="190"/>
      <c r="H127" s="190"/>
      <c r="I127" s="190"/>
      <c r="J127" s="190"/>
      <c r="K127" s="190"/>
      <c r="L127" s="190"/>
      <c r="M127" s="190"/>
      <c r="N127" s="190"/>
      <c r="O127" s="190"/>
      <c r="P127" s="190"/>
      <c r="Q127" s="190"/>
      <c r="R127" s="190"/>
      <c r="S127" s="190"/>
      <c r="T127" s="190"/>
      <c r="U127" s="190"/>
      <c r="V127" s="190"/>
      <c r="W127" s="190"/>
      <c r="X127" s="190"/>
      <c r="Y127" s="190"/>
      <c r="Z127" s="190"/>
      <c r="AA127" s="190"/>
      <c r="AB127" s="190"/>
      <c r="AC127" s="190"/>
      <c r="AD127" s="190"/>
      <c r="AE127" s="190"/>
      <c r="AF127" s="190"/>
      <c r="AG127" s="190"/>
      <c r="AH127" s="190"/>
      <c r="AI127" s="190"/>
      <c r="AJ127" s="190"/>
      <c r="AK127" s="190"/>
      <c r="AL127" s="190"/>
      <c r="AM127" s="190"/>
      <c r="AN127" s="190"/>
      <c r="AO127" s="190"/>
      <c r="AP127" s="190"/>
      <c r="AQ127" s="190"/>
      <c r="AR127" s="190"/>
      <c r="AS127" s="190"/>
      <c r="AT127" s="190"/>
      <c r="AU127" s="190"/>
      <c r="AV127" s="190"/>
      <c r="AW127" s="190"/>
      <c r="AX127" s="190"/>
      <c r="AY127" s="190"/>
      <c r="AZ127" s="190"/>
      <c r="BA127" s="190"/>
      <c r="BB127" s="190"/>
      <c r="BC127" s="190"/>
      <c r="BD127" s="190"/>
      <c r="BE127" s="190"/>
      <c r="BF127" s="190"/>
      <c r="BG127" s="190"/>
      <c r="BH127" s="190"/>
      <c r="BI127" s="190"/>
      <c r="BJ127" s="190"/>
      <c r="BK127" s="190"/>
      <c r="BL127" s="190"/>
      <c r="BM127" s="190"/>
      <c r="TU127" s="178"/>
      <c r="TV127" s="178"/>
    </row>
    <row r="128" spans="1:542" x14ac:dyDescent="0.25">
      <c r="A128" s="177" t="str">
        <v>GERBOX Radial Bearing VIBRATION Probe DE INPUT SHAFT</v>
      </c>
      <c r="B128" s="191" t="str">
        <v>[number]</v>
      </c>
      <c r="C128" s="157" t="str">
        <v/>
      </c>
      <c r="D128" s="155"/>
      <c r="E128" s="190"/>
      <c r="F128" s="190"/>
      <c r="G128" s="190"/>
      <c r="H128" s="190"/>
      <c r="I128" s="190"/>
      <c r="J128" s="190"/>
      <c r="K128" s="190"/>
      <c r="L128" s="190"/>
      <c r="M128" s="190"/>
      <c r="N128" s="190"/>
      <c r="O128" s="190"/>
      <c r="P128" s="190"/>
      <c r="Q128" s="190"/>
      <c r="R128" s="190"/>
      <c r="S128" s="190"/>
      <c r="T128" s="190"/>
      <c r="U128" s="190"/>
      <c r="V128" s="190"/>
      <c r="W128" s="190"/>
      <c r="X128" s="190"/>
      <c r="Y128" s="190"/>
      <c r="Z128" s="190"/>
      <c r="AA128" s="190"/>
      <c r="AB128" s="190"/>
      <c r="AC128" s="190"/>
      <c r="AD128" s="190"/>
      <c r="AE128" s="190"/>
      <c r="AF128" s="190"/>
      <c r="AG128" s="190"/>
      <c r="AH128" s="190"/>
      <c r="AI128" s="190"/>
      <c r="AJ128" s="190"/>
      <c r="AK128" s="190"/>
      <c r="AL128" s="190"/>
      <c r="AM128" s="190"/>
      <c r="AN128" s="190"/>
      <c r="AO128" s="190"/>
      <c r="AP128" s="190"/>
      <c r="AQ128" s="190"/>
      <c r="AR128" s="190"/>
      <c r="AS128" s="190"/>
      <c r="AT128" s="190"/>
      <c r="AU128" s="190"/>
      <c r="AV128" s="190"/>
      <c r="AW128" s="190"/>
      <c r="AX128" s="190"/>
      <c r="AY128" s="190"/>
      <c r="AZ128" s="190"/>
      <c r="BA128" s="190"/>
      <c r="BB128" s="190"/>
      <c r="BC128" s="190"/>
      <c r="BD128" s="190"/>
      <c r="BE128" s="190"/>
      <c r="BF128" s="190"/>
      <c r="BG128" s="190"/>
      <c r="BH128" s="190"/>
      <c r="BI128" s="190"/>
      <c r="BJ128" s="190"/>
      <c r="BK128" s="190"/>
      <c r="BL128" s="190"/>
      <c r="BM128" s="190"/>
      <c r="TU128" s="178"/>
      <c r="TV128" s="178"/>
    </row>
    <row r="129" spans="1:542" x14ac:dyDescent="0.25">
      <c r="A129" s="177" t="str">
        <v>GERBOX  Thrust Bearing Axial VIBRATION Probe NDE OUTPUT SHAFT</v>
      </c>
      <c r="B129" s="191" t="str">
        <v>[number]</v>
      </c>
      <c r="C129" s="157" t="str">
        <v/>
      </c>
      <c r="D129" s="155"/>
      <c r="E129" s="190"/>
      <c r="F129" s="190"/>
      <c r="G129" s="190"/>
      <c r="H129" s="190"/>
      <c r="I129" s="190"/>
      <c r="J129" s="190"/>
      <c r="K129" s="190"/>
      <c r="L129" s="190"/>
      <c r="M129" s="190"/>
      <c r="N129" s="190"/>
      <c r="O129" s="190"/>
      <c r="P129" s="190"/>
      <c r="Q129" s="190"/>
      <c r="R129" s="190"/>
      <c r="S129" s="190"/>
      <c r="T129" s="190"/>
      <c r="U129" s="190"/>
      <c r="V129" s="190"/>
      <c r="W129" s="190"/>
      <c r="X129" s="190"/>
      <c r="Y129" s="190"/>
      <c r="Z129" s="190"/>
      <c r="AA129" s="190"/>
      <c r="AB129" s="190"/>
      <c r="AC129" s="190"/>
      <c r="AD129" s="190"/>
      <c r="AE129" s="190"/>
      <c r="AF129" s="190"/>
      <c r="AG129" s="190"/>
      <c r="AH129" s="190"/>
      <c r="AI129" s="190"/>
      <c r="AJ129" s="190"/>
      <c r="AK129" s="190"/>
      <c r="AL129" s="190"/>
      <c r="AM129" s="190"/>
      <c r="AN129" s="190"/>
      <c r="AO129" s="190"/>
      <c r="AP129" s="190"/>
      <c r="AQ129" s="190"/>
      <c r="AR129" s="190"/>
      <c r="AS129" s="190"/>
      <c r="AT129" s="190"/>
      <c r="AU129" s="190"/>
      <c r="AV129" s="190"/>
      <c r="AW129" s="190"/>
      <c r="AX129" s="190"/>
      <c r="AY129" s="190"/>
      <c r="AZ129" s="190"/>
      <c r="BA129" s="190"/>
      <c r="BB129" s="190"/>
      <c r="BC129" s="190"/>
      <c r="BD129" s="190"/>
      <c r="BE129" s="190"/>
      <c r="BF129" s="190"/>
      <c r="BG129" s="190"/>
      <c r="BH129" s="190"/>
      <c r="BI129" s="190"/>
      <c r="BJ129" s="190"/>
      <c r="BK129" s="190"/>
      <c r="BL129" s="190"/>
      <c r="BM129" s="190"/>
      <c r="TU129" s="178"/>
      <c r="TV129" s="178"/>
    </row>
    <row r="130" spans="1:542" x14ac:dyDescent="0.25">
      <c r="A130" s="177" t="str">
        <v>GERBOX Radial Bearing VIBRATION Probe NDE OUTPUT SHAFT</v>
      </c>
      <c r="B130" s="191" t="str">
        <v>[number]</v>
      </c>
      <c r="C130" s="157" t="str">
        <v/>
      </c>
      <c r="D130" s="155"/>
      <c r="E130" s="190"/>
      <c r="F130" s="190"/>
      <c r="G130" s="190"/>
      <c r="H130" s="190"/>
      <c r="I130" s="190"/>
      <c r="J130" s="190"/>
      <c r="K130" s="190"/>
      <c r="L130" s="190"/>
      <c r="M130" s="190"/>
      <c r="N130" s="190"/>
      <c r="O130" s="190"/>
      <c r="P130" s="190"/>
      <c r="Q130" s="190"/>
      <c r="R130" s="190"/>
      <c r="S130" s="190"/>
      <c r="T130" s="190"/>
      <c r="U130" s="190"/>
      <c r="V130" s="190"/>
      <c r="W130" s="190"/>
      <c r="X130" s="190"/>
      <c r="Y130" s="190"/>
      <c r="Z130" s="190"/>
      <c r="AA130" s="190"/>
      <c r="AB130" s="190"/>
      <c r="AC130" s="190"/>
      <c r="AD130" s="190"/>
      <c r="AE130" s="190"/>
      <c r="AF130" s="190"/>
      <c r="AG130" s="190"/>
      <c r="AH130" s="190"/>
      <c r="AI130" s="190"/>
      <c r="AJ130" s="190"/>
      <c r="AK130" s="190"/>
      <c r="AL130" s="190"/>
      <c r="AM130" s="190"/>
      <c r="AN130" s="190"/>
      <c r="AO130" s="190"/>
      <c r="AP130" s="190"/>
      <c r="AQ130" s="190"/>
      <c r="AR130" s="190"/>
      <c r="AS130" s="190"/>
      <c r="AT130" s="190"/>
      <c r="AU130" s="190"/>
      <c r="AV130" s="190"/>
      <c r="AW130" s="190"/>
      <c r="AX130" s="190"/>
      <c r="AY130" s="190"/>
      <c r="AZ130" s="190"/>
      <c r="BA130" s="190"/>
      <c r="BB130" s="190"/>
      <c r="BC130" s="190"/>
      <c r="BD130" s="190"/>
      <c r="BE130" s="190"/>
      <c r="BF130" s="190"/>
      <c r="BG130" s="190"/>
      <c r="BH130" s="190"/>
      <c r="BI130" s="190"/>
      <c r="BJ130" s="190"/>
      <c r="BK130" s="190"/>
      <c r="BL130" s="190"/>
      <c r="BM130" s="190"/>
      <c r="TU130" s="178"/>
      <c r="TV130" s="178"/>
    </row>
    <row r="131" spans="1:542" x14ac:dyDescent="0.25">
      <c r="A131" s="177" t="str">
        <v>GERBOX Radial Bearing VIBRATION Probe DE OUTPUT SHAFT</v>
      </c>
      <c r="B131" s="191" t="str">
        <v>[number]</v>
      </c>
      <c r="C131" s="157" t="str">
        <v/>
      </c>
      <c r="D131" s="155"/>
      <c r="E131" s="190"/>
      <c r="F131" s="190"/>
      <c r="G131" s="190"/>
      <c r="H131" s="190"/>
      <c r="I131" s="190"/>
      <c r="J131" s="190"/>
      <c r="K131" s="190"/>
      <c r="L131" s="190"/>
      <c r="M131" s="190"/>
      <c r="N131" s="190"/>
      <c r="O131" s="190"/>
      <c r="P131" s="190"/>
      <c r="Q131" s="190"/>
      <c r="R131" s="190"/>
      <c r="S131" s="190"/>
      <c r="T131" s="190"/>
      <c r="U131" s="190"/>
      <c r="V131" s="190"/>
      <c r="W131" s="190"/>
      <c r="X131" s="190"/>
      <c r="Y131" s="190"/>
      <c r="Z131" s="190"/>
      <c r="AA131" s="190"/>
      <c r="AB131" s="190"/>
      <c r="AC131" s="190"/>
      <c r="AD131" s="190"/>
      <c r="AE131" s="190"/>
      <c r="AF131" s="190"/>
      <c r="AG131" s="190"/>
      <c r="AH131" s="190"/>
      <c r="AI131" s="190"/>
      <c r="AJ131" s="190"/>
      <c r="AK131" s="190"/>
      <c r="AL131" s="190"/>
      <c r="AM131" s="190"/>
      <c r="AN131" s="190"/>
      <c r="AO131" s="190"/>
      <c r="AP131" s="190"/>
      <c r="AQ131" s="190"/>
      <c r="AR131" s="190"/>
      <c r="AS131" s="190"/>
      <c r="AT131" s="190"/>
      <c r="AU131" s="190"/>
      <c r="AV131" s="190"/>
      <c r="AW131" s="190"/>
      <c r="AX131" s="190"/>
      <c r="AY131" s="190"/>
      <c r="AZ131" s="190"/>
      <c r="BA131" s="190"/>
      <c r="BB131" s="190"/>
      <c r="BC131" s="190"/>
      <c r="BD131" s="190"/>
      <c r="BE131" s="190"/>
      <c r="BF131" s="190"/>
      <c r="BG131" s="190"/>
      <c r="BH131" s="190"/>
      <c r="BI131" s="190"/>
      <c r="BJ131" s="190"/>
      <c r="BK131" s="190"/>
      <c r="BL131" s="190"/>
      <c r="BM131" s="190"/>
      <c r="TU131" s="178"/>
      <c r="TV131" s="178"/>
    </row>
    <row r="132" spans="1:542" x14ac:dyDescent="0.25">
      <c r="A132" s="177" t="str">
        <v>GERBOX K-Phasor</v>
      </c>
      <c r="B132" s="191" t="str">
        <v>[yes/no]</v>
      </c>
      <c r="C132" s="157" t="str">
        <v/>
      </c>
      <c r="D132" s="155"/>
      <c r="E132" s="190"/>
      <c r="F132" s="190"/>
      <c r="G132" s="190"/>
      <c r="H132" s="190"/>
      <c r="I132" s="190"/>
      <c r="J132" s="190"/>
      <c r="K132" s="190"/>
      <c r="L132" s="190"/>
      <c r="M132" s="190"/>
      <c r="N132" s="190"/>
      <c r="O132" s="190"/>
      <c r="P132" s="190"/>
      <c r="Q132" s="190"/>
      <c r="R132" s="190"/>
      <c r="S132" s="190"/>
      <c r="T132" s="190"/>
      <c r="U132" s="190"/>
      <c r="V132" s="190"/>
      <c r="W132" s="190"/>
      <c r="X132" s="190"/>
      <c r="Y132" s="190"/>
      <c r="Z132" s="190"/>
      <c r="AA132" s="190"/>
      <c r="AB132" s="190"/>
      <c r="AC132" s="190"/>
      <c r="AD132" s="190"/>
      <c r="AE132" s="190"/>
      <c r="AF132" s="190"/>
      <c r="AG132" s="190"/>
      <c r="AH132" s="190"/>
      <c r="AI132" s="190"/>
      <c r="AJ132" s="190"/>
      <c r="AK132" s="190"/>
      <c r="AL132" s="190"/>
      <c r="AM132" s="190"/>
      <c r="AN132" s="190"/>
      <c r="AO132" s="190"/>
      <c r="AP132" s="190"/>
      <c r="AQ132" s="190"/>
      <c r="AR132" s="190"/>
      <c r="AS132" s="190"/>
      <c r="AT132" s="190"/>
      <c r="AU132" s="190"/>
      <c r="AV132" s="190"/>
      <c r="AW132" s="190"/>
      <c r="AX132" s="190"/>
      <c r="AY132" s="190"/>
      <c r="AZ132" s="190"/>
      <c r="BA132" s="190"/>
      <c r="BB132" s="190"/>
      <c r="BC132" s="190"/>
      <c r="BD132" s="190"/>
      <c r="BE132" s="190"/>
      <c r="BF132" s="190"/>
      <c r="BG132" s="190"/>
      <c r="BH132" s="190"/>
      <c r="BI132" s="190"/>
      <c r="BJ132" s="190"/>
      <c r="BK132" s="190"/>
      <c r="BL132" s="190"/>
      <c r="BM132" s="190"/>
      <c r="TU132" s="178"/>
      <c r="TV132" s="178"/>
    </row>
    <row r="133" spans="1:542" x14ac:dyDescent="0.25">
      <c r="A133" s="177" t="str">
        <v>LIST OF JBOX NOT ON BUYOUT COMPONENTS</v>
      </c>
      <c r="B133" s="191" t="str">
        <v>[detailed list / NONE]</v>
      </c>
      <c r="C133" s="157" t="str">
        <v/>
      </c>
      <c r="D133" s="155"/>
      <c r="E133" s="190"/>
      <c r="F133" s="190"/>
      <c r="G133" s="190"/>
      <c r="H133" s="190"/>
      <c r="I133" s="190"/>
      <c r="J133" s="190"/>
      <c r="K133" s="190"/>
      <c r="L133" s="190"/>
      <c r="M133" s="190"/>
      <c r="N133" s="190"/>
      <c r="O133" s="190"/>
      <c r="P133" s="190"/>
      <c r="Q133" s="190"/>
      <c r="R133" s="190"/>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TU133" s="178"/>
      <c r="TV133" s="178"/>
    </row>
    <row r="134" spans="1:542" x14ac:dyDescent="0.25">
      <c r="A134" s="177" t="str">
        <v>Pump Spare Parts</v>
      </c>
      <c r="B134" s="191" t="str">
        <v>[yes/no]</v>
      </c>
      <c r="C134" s="157" t="str">
        <v/>
      </c>
      <c r="D134" s="155"/>
      <c r="E134" s="190"/>
      <c r="F134" s="190"/>
      <c r="G134" s="190"/>
      <c r="H134" s="190"/>
      <c r="I134" s="190"/>
      <c r="J134" s="190"/>
      <c r="K134" s="190"/>
      <c r="L134" s="190"/>
      <c r="M134" s="190"/>
      <c r="N134" s="190"/>
      <c r="O134" s="190"/>
      <c r="P134" s="190"/>
      <c r="Q134" s="190"/>
      <c r="R134" s="190"/>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TU134" s="178"/>
      <c r="TV134" s="178"/>
    </row>
    <row r="135" spans="1:542" x14ac:dyDescent="0.25">
      <c r="A135" s="96" t="str">
        <v>General Note 6</v>
      </c>
      <c r="B135" s="191" t="str">
        <v/>
      </c>
      <c r="C135" s="157" t="str">
        <v/>
      </c>
      <c r="D135" s="155"/>
      <c r="E135" s="190"/>
      <c r="F135" s="190"/>
      <c r="G135" s="190"/>
      <c r="H135" s="190"/>
      <c r="I135" s="190"/>
      <c r="J135" s="190"/>
      <c r="K135" s="190"/>
      <c r="L135" s="190"/>
      <c r="M135" s="190"/>
      <c r="N135" s="190"/>
      <c r="O135" s="190"/>
      <c r="P135" s="190"/>
      <c r="Q135" s="190"/>
      <c r="R135" s="190"/>
      <c r="S135" s="190"/>
      <c r="T135" s="190"/>
      <c r="U135" s="190"/>
      <c r="V135" s="190"/>
      <c r="W135" s="190"/>
      <c r="X135" s="190"/>
      <c r="Y135" s="190"/>
      <c r="Z135" s="190"/>
      <c r="AA135" s="190"/>
      <c r="AB135" s="190"/>
      <c r="AC135" s="190"/>
      <c r="AD135" s="190"/>
      <c r="AE135" s="190"/>
      <c r="AF135" s="190"/>
      <c r="AG135" s="190"/>
      <c r="AH135" s="190"/>
      <c r="AI135" s="190"/>
      <c r="AJ135" s="190"/>
      <c r="AK135" s="190"/>
      <c r="AL135" s="190"/>
      <c r="AM135" s="190"/>
      <c r="AN135" s="190"/>
      <c r="AO135" s="190"/>
      <c r="AP135" s="190"/>
      <c r="AQ135" s="190"/>
      <c r="AR135" s="190"/>
      <c r="AS135" s="190"/>
      <c r="AT135" s="190"/>
      <c r="AU135" s="190"/>
      <c r="AV135" s="190"/>
      <c r="AW135" s="190"/>
      <c r="AX135" s="190"/>
      <c r="AY135" s="190"/>
      <c r="AZ135" s="190"/>
      <c r="BA135" s="190"/>
      <c r="BB135" s="190"/>
      <c r="BC135" s="190"/>
      <c r="BD135" s="190"/>
      <c r="BE135" s="190"/>
      <c r="BF135" s="190"/>
      <c r="BG135" s="190"/>
      <c r="BH135" s="190"/>
      <c r="BI135" s="190"/>
      <c r="BJ135" s="190"/>
      <c r="BK135" s="190"/>
      <c r="BL135" s="190"/>
      <c r="BM135" s="190"/>
      <c r="TU135" s="178"/>
      <c r="TV135" s="178"/>
    </row>
    <row r="136" spans="1:542" x14ac:dyDescent="0.25">
      <c r="A136" s="96" t="str">
        <v>General Note 7</v>
      </c>
      <c r="B136" s="191" t="str">
        <v/>
      </c>
      <c r="C136" s="157" t="str">
        <v/>
      </c>
      <c r="D136" s="155"/>
      <c r="E136" s="190"/>
      <c r="F136" s="190"/>
      <c r="G136" s="190"/>
      <c r="H136" s="190"/>
      <c r="I136" s="190"/>
      <c r="J136" s="190"/>
      <c r="K136" s="190"/>
      <c r="L136" s="190"/>
      <c r="M136" s="190"/>
      <c r="N136" s="190"/>
      <c r="O136" s="190"/>
      <c r="P136" s="190"/>
      <c r="Q136" s="190"/>
      <c r="R136" s="190"/>
      <c r="S136" s="190"/>
      <c r="T136" s="190"/>
      <c r="U136" s="190"/>
      <c r="V136" s="190"/>
      <c r="W136" s="190"/>
      <c r="X136" s="190"/>
      <c r="Y136" s="190"/>
      <c r="Z136" s="190"/>
      <c r="AA136" s="190"/>
      <c r="AB136" s="190"/>
      <c r="AC136" s="190"/>
      <c r="AD136" s="190"/>
      <c r="AE136" s="190"/>
      <c r="AF136" s="190"/>
      <c r="AG136" s="190"/>
      <c r="AH136" s="190"/>
      <c r="AI136" s="190"/>
      <c r="AJ136" s="190"/>
      <c r="AK136" s="190"/>
      <c r="AL136" s="190"/>
      <c r="AM136" s="190"/>
      <c r="AN136" s="190"/>
      <c r="AO136" s="190"/>
      <c r="AP136" s="190"/>
      <c r="AQ136" s="190"/>
      <c r="AR136" s="190"/>
      <c r="AS136" s="190"/>
      <c r="AT136" s="190"/>
      <c r="AU136" s="190"/>
      <c r="AV136" s="190"/>
      <c r="AW136" s="190"/>
      <c r="AX136" s="190"/>
      <c r="AY136" s="190"/>
      <c r="AZ136" s="190"/>
      <c r="BA136" s="190"/>
      <c r="BB136" s="190"/>
      <c r="BC136" s="190"/>
      <c r="BD136" s="190"/>
      <c r="BE136" s="190"/>
      <c r="BF136" s="190"/>
      <c r="BG136" s="190"/>
      <c r="BH136" s="190"/>
      <c r="BI136" s="190"/>
      <c r="BJ136" s="190"/>
      <c r="BK136" s="190"/>
      <c r="BL136" s="190"/>
      <c r="BM136" s="190"/>
      <c r="TU136" s="178"/>
      <c r="TV136" s="178"/>
    </row>
    <row r="137" spans="1:542" x14ac:dyDescent="0.25">
      <c r="A137" s="96" t="str">
        <v>General Note 8</v>
      </c>
      <c r="B137" s="191" t="str">
        <v/>
      </c>
      <c r="C137" s="157" t="str">
        <v/>
      </c>
      <c r="D137" s="155"/>
      <c r="E137" s="190"/>
      <c r="F137" s="190"/>
      <c r="G137" s="190"/>
      <c r="H137" s="190"/>
      <c r="I137" s="190"/>
      <c r="J137" s="190"/>
      <c r="K137" s="190"/>
      <c r="L137" s="190"/>
      <c r="M137" s="190"/>
      <c r="N137" s="190"/>
      <c r="O137" s="190"/>
      <c r="P137" s="190"/>
      <c r="Q137" s="190"/>
      <c r="R137" s="190"/>
      <c r="S137" s="190"/>
      <c r="T137" s="190"/>
      <c r="U137" s="190"/>
      <c r="V137" s="190"/>
      <c r="W137" s="190"/>
      <c r="X137" s="190"/>
      <c r="Y137" s="190"/>
      <c r="Z137" s="190"/>
      <c r="AA137" s="190"/>
      <c r="AB137" s="190"/>
      <c r="AC137" s="190"/>
      <c r="AD137" s="190"/>
      <c r="AE137" s="190"/>
      <c r="AF137" s="190"/>
      <c r="AG137" s="190"/>
      <c r="AH137" s="190"/>
      <c r="AI137" s="190"/>
      <c r="AJ137" s="190"/>
      <c r="AK137" s="190"/>
      <c r="AL137" s="190"/>
      <c r="AM137" s="190"/>
      <c r="AN137" s="190"/>
      <c r="AO137" s="190"/>
      <c r="AP137" s="190"/>
      <c r="AQ137" s="190"/>
      <c r="AR137" s="190"/>
      <c r="AS137" s="190"/>
      <c r="AT137" s="190"/>
      <c r="AU137" s="190"/>
      <c r="AV137" s="190"/>
      <c r="AW137" s="190"/>
      <c r="AX137" s="190"/>
      <c r="AY137" s="190"/>
      <c r="AZ137" s="190"/>
      <c r="BA137" s="190"/>
      <c r="BB137" s="190"/>
      <c r="BC137" s="190"/>
      <c r="BD137" s="190"/>
      <c r="BE137" s="190"/>
      <c r="BF137" s="190"/>
      <c r="BG137" s="190"/>
      <c r="BH137" s="190"/>
      <c r="BI137" s="190"/>
      <c r="BJ137" s="190"/>
      <c r="BK137" s="190"/>
      <c r="BL137" s="190"/>
      <c r="BM137" s="190"/>
      <c r="TU137" s="178"/>
      <c r="TV137" s="178"/>
    </row>
    <row r="138" spans="1:542" x14ac:dyDescent="0.25">
      <c r="A138" s="96" t="str">
        <v>General Note 9</v>
      </c>
      <c r="B138" s="191" t="str">
        <v/>
      </c>
      <c r="C138" s="157" t="str">
        <v/>
      </c>
      <c r="D138" s="155"/>
      <c r="E138" s="190"/>
      <c r="F138" s="190"/>
      <c r="G138" s="190"/>
      <c r="H138" s="190"/>
      <c r="I138" s="190"/>
      <c r="J138" s="190"/>
      <c r="K138" s="190"/>
      <c r="L138" s="190"/>
      <c r="M138" s="190"/>
      <c r="N138" s="190"/>
      <c r="O138" s="190"/>
      <c r="P138" s="190"/>
      <c r="Q138" s="190"/>
      <c r="R138" s="190"/>
      <c r="S138" s="190"/>
      <c r="T138" s="190"/>
      <c r="U138" s="190"/>
      <c r="V138" s="190"/>
      <c r="W138" s="190"/>
      <c r="X138" s="190"/>
      <c r="Y138" s="190"/>
      <c r="Z138" s="190"/>
      <c r="AA138" s="190"/>
      <c r="AB138" s="190"/>
      <c r="AC138" s="190"/>
      <c r="AD138" s="190"/>
      <c r="AE138" s="190"/>
      <c r="AF138" s="190"/>
      <c r="AG138" s="190"/>
      <c r="AH138" s="190"/>
      <c r="AI138" s="190"/>
      <c r="AJ138" s="190"/>
      <c r="AK138" s="190"/>
      <c r="AL138" s="190"/>
      <c r="AM138" s="190"/>
      <c r="AN138" s="190"/>
      <c r="AO138" s="190"/>
      <c r="AP138" s="190"/>
      <c r="AQ138" s="190"/>
      <c r="AR138" s="190"/>
      <c r="AS138" s="190"/>
      <c r="AT138" s="190"/>
      <c r="AU138" s="190"/>
      <c r="AV138" s="190"/>
      <c r="AW138" s="190"/>
      <c r="AX138" s="190"/>
      <c r="AY138" s="190"/>
      <c r="AZ138" s="190"/>
      <c r="BA138" s="190"/>
      <c r="BB138" s="190"/>
      <c r="BC138" s="190"/>
      <c r="BD138" s="190"/>
      <c r="BE138" s="190"/>
      <c r="BF138" s="190"/>
      <c r="BG138" s="190"/>
      <c r="BH138" s="190"/>
      <c r="BI138" s="190"/>
      <c r="BJ138" s="190"/>
      <c r="BK138" s="190"/>
      <c r="BL138" s="190"/>
      <c r="BM138" s="190"/>
      <c r="TU138" s="178"/>
      <c r="TV138" s="178"/>
    </row>
    <row r="139" spans="1:542" x14ac:dyDescent="0.25">
      <c r="A139" s="96" t="str">
        <v>General Note 10</v>
      </c>
      <c r="B139" s="191" t="str">
        <v/>
      </c>
      <c r="C139" s="157" t="str">
        <v/>
      </c>
      <c r="D139" s="155"/>
      <c r="E139" s="190"/>
      <c r="F139" s="190"/>
      <c r="G139" s="190"/>
      <c r="H139" s="190"/>
      <c r="I139" s="190"/>
      <c r="J139" s="190"/>
      <c r="K139" s="190"/>
      <c r="L139" s="190"/>
      <c r="M139" s="190"/>
      <c r="N139" s="190"/>
      <c r="O139" s="190"/>
      <c r="P139" s="190"/>
      <c r="Q139" s="190"/>
      <c r="R139" s="190"/>
      <c r="S139" s="190"/>
      <c r="T139" s="190"/>
      <c r="U139" s="190"/>
      <c r="V139" s="190"/>
      <c r="W139" s="190"/>
      <c r="X139" s="190"/>
      <c r="Y139" s="190"/>
      <c r="Z139" s="190"/>
      <c r="AA139" s="190"/>
      <c r="AB139" s="190"/>
      <c r="AC139" s="190"/>
      <c r="AD139" s="190"/>
      <c r="AE139" s="190"/>
      <c r="AF139" s="190"/>
      <c r="AG139" s="190"/>
      <c r="AH139" s="190"/>
      <c r="AI139" s="190"/>
      <c r="AJ139" s="190"/>
      <c r="AK139" s="190"/>
      <c r="AL139" s="190"/>
      <c r="AM139" s="190"/>
      <c r="AN139" s="190"/>
      <c r="AO139" s="190"/>
      <c r="AP139" s="190"/>
      <c r="AQ139" s="190"/>
      <c r="AR139" s="190"/>
      <c r="AS139" s="190"/>
      <c r="AT139" s="190"/>
      <c r="AU139" s="190"/>
      <c r="AV139" s="190"/>
      <c r="AW139" s="190"/>
      <c r="AX139" s="190"/>
      <c r="AY139" s="190"/>
      <c r="AZ139" s="190"/>
      <c r="BA139" s="190"/>
      <c r="BB139" s="190"/>
      <c r="BC139" s="190"/>
      <c r="BD139" s="190"/>
      <c r="BE139" s="190"/>
      <c r="BF139" s="190"/>
      <c r="BG139" s="190"/>
      <c r="BH139" s="190"/>
      <c r="BI139" s="190"/>
      <c r="BJ139" s="190"/>
      <c r="BK139" s="190"/>
      <c r="BL139" s="190"/>
      <c r="BM139" s="190"/>
      <c r="TU139" s="178"/>
      <c r="TV139" s="178"/>
    </row>
    <row r="140" spans="1:542" x14ac:dyDescent="0.25">
      <c r="A140" s="96"/>
      <c r="B140" s="191"/>
      <c r="C140" s="157"/>
      <c r="D140" s="155"/>
      <c r="E140" s="190"/>
      <c r="F140" s="190"/>
      <c r="G140" s="190"/>
      <c r="H140" s="190"/>
      <c r="I140" s="190"/>
      <c r="J140" s="190"/>
      <c r="K140" s="190"/>
      <c r="L140" s="190"/>
      <c r="M140" s="190"/>
      <c r="N140" s="190"/>
      <c r="O140" s="190"/>
      <c r="P140" s="190"/>
      <c r="Q140" s="190"/>
      <c r="R140" s="190"/>
      <c r="S140" s="190"/>
      <c r="T140" s="190"/>
      <c r="U140" s="190"/>
      <c r="V140" s="190"/>
      <c r="W140" s="190"/>
      <c r="X140" s="190"/>
      <c r="Y140" s="190"/>
      <c r="Z140" s="190"/>
      <c r="AA140" s="190"/>
      <c r="AB140" s="190"/>
      <c r="AC140" s="190"/>
      <c r="AD140" s="190"/>
      <c r="AE140" s="190"/>
      <c r="AF140" s="190"/>
      <c r="AG140" s="190"/>
      <c r="AH140" s="190"/>
      <c r="AI140" s="190"/>
      <c r="AJ140" s="190"/>
      <c r="AK140" s="190"/>
      <c r="AL140" s="190"/>
      <c r="AM140" s="190"/>
      <c r="AN140" s="190"/>
      <c r="AO140" s="190"/>
      <c r="AP140" s="190"/>
      <c r="AQ140" s="190"/>
      <c r="AR140" s="190"/>
      <c r="AS140" s="190"/>
      <c r="AT140" s="190"/>
      <c r="AU140" s="190"/>
      <c r="AV140" s="190"/>
      <c r="AW140" s="190"/>
      <c r="AX140" s="190"/>
      <c r="AY140" s="190"/>
      <c r="AZ140" s="190"/>
      <c r="BA140" s="190"/>
      <c r="BB140" s="190"/>
      <c r="BC140" s="190"/>
      <c r="BD140" s="190"/>
      <c r="BE140" s="190"/>
      <c r="BF140" s="190"/>
      <c r="BG140" s="190"/>
      <c r="BH140" s="190"/>
      <c r="BI140" s="190"/>
      <c r="BJ140" s="190"/>
      <c r="BK140" s="190"/>
      <c r="BL140" s="190"/>
      <c r="BM140" s="190"/>
      <c r="TU140" s="178"/>
      <c r="TV140" s="178"/>
    </row>
    <row r="141" spans="1:542" x14ac:dyDescent="0.25">
      <c r="A141" s="196" t="s">
        <v>88</v>
      </c>
      <c r="B141" s="115"/>
      <c r="C141" s="112"/>
      <c r="D141" s="118"/>
      <c r="E141" s="190"/>
      <c r="F141" s="190"/>
      <c r="G141" s="190"/>
      <c r="H141" s="190"/>
      <c r="I141" s="190"/>
      <c r="J141" s="190"/>
      <c r="K141" s="190"/>
      <c r="L141" s="190"/>
      <c r="M141" s="190"/>
      <c r="N141" s="190"/>
      <c r="O141" s="190"/>
      <c r="P141" s="190"/>
      <c r="Q141" s="190"/>
      <c r="R141" s="190"/>
      <c r="S141" s="190"/>
      <c r="T141" s="190"/>
      <c r="U141" s="190"/>
      <c r="V141" s="190"/>
      <c r="W141" s="190"/>
      <c r="X141" s="190"/>
      <c r="Y141" s="190"/>
      <c r="Z141" s="190"/>
      <c r="AA141" s="190"/>
      <c r="AB141" s="190"/>
      <c r="AC141" s="190"/>
      <c r="AD141" s="190"/>
      <c r="AE141" s="190"/>
      <c r="AF141" s="190"/>
      <c r="AG141" s="190"/>
      <c r="AH141" s="190"/>
      <c r="AI141" s="190"/>
      <c r="AJ141" s="190"/>
      <c r="AK141" s="190"/>
      <c r="AL141" s="190"/>
      <c r="AM141" s="190"/>
      <c r="AN141" s="190"/>
      <c r="AO141" s="190"/>
      <c r="AP141" s="190"/>
      <c r="AQ141" s="190"/>
      <c r="AR141" s="190"/>
      <c r="AS141" s="190"/>
      <c r="AT141" s="190"/>
      <c r="AU141" s="190"/>
      <c r="AV141" s="190"/>
      <c r="AW141" s="190"/>
      <c r="AX141" s="190"/>
      <c r="AY141" s="190"/>
      <c r="AZ141" s="190"/>
      <c r="BA141" s="190"/>
      <c r="BB141" s="190"/>
      <c r="BC141" s="190"/>
      <c r="BD141" s="190"/>
      <c r="BE141" s="190"/>
      <c r="BF141" s="190"/>
      <c r="BG141" s="190"/>
      <c r="BH141" s="190"/>
      <c r="BI141" s="190"/>
      <c r="BJ141" s="190"/>
      <c r="BK141" s="190"/>
      <c r="BL141" s="190"/>
      <c r="BM141" s="190"/>
      <c r="TU141" s="178"/>
      <c r="TV141" s="178"/>
    </row>
    <row r="142" spans="1:542" x14ac:dyDescent="0.25">
      <c r="A142" s="96" t="s">
        <v>89</v>
      </c>
      <c r="B142" s="158"/>
      <c r="C142" s="159"/>
      <c r="D142" s="155"/>
      <c r="E142" s="190"/>
      <c r="F142" s="190"/>
      <c r="G142" s="190"/>
      <c r="H142" s="190"/>
      <c r="I142" s="190"/>
      <c r="J142" s="190"/>
      <c r="K142" s="190"/>
      <c r="L142" s="190"/>
      <c r="M142" s="190"/>
      <c r="N142" s="190"/>
      <c r="O142" s="190"/>
      <c r="P142" s="190"/>
      <c r="Q142" s="190"/>
      <c r="R142" s="190"/>
      <c r="S142" s="190"/>
      <c r="T142" s="190"/>
      <c r="U142" s="190"/>
      <c r="V142" s="190"/>
      <c r="W142" s="190"/>
      <c r="X142" s="190"/>
      <c r="Y142" s="190"/>
      <c r="Z142" s="190"/>
      <c r="AA142" s="190"/>
      <c r="AB142" s="190"/>
      <c r="AC142" s="190"/>
      <c r="AD142" s="190"/>
      <c r="AE142" s="190"/>
      <c r="AF142" s="190"/>
      <c r="AG142" s="190"/>
      <c r="AH142" s="190"/>
      <c r="AI142" s="190"/>
      <c r="AJ142" s="190"/>
      <c r="AK142" s="190"/>
      <c r="AL142" s="190"/>
      <c r="AM142" s="190"/>
      <c r="AN142" s="190"/>
      <c r="AO142" s="190"/>
      <c r="AP142" s="190"/>
      <c r="AQ142" s="190"/>
      <c r="AR142" s="190"/>
      <c r="AS142" s="190"/>
      <c r="AT142" s="190"/>
      <c r="AU142" s="190"/>
      <c r="AV142" s="190"/>
      <c r="AW142" s="190"/>
      <c r="AX142" s="190"/>
      <c r="AY142" s="190"/>
      <c r="AZ142" s="190"/>
      <c r="BA142" s="190"/>
      <c r="BB142" s="190"/>
      <c r="BC142" s="190"/>
      <c r="BD142" s="190"/>
      <c r="BE142" s="190"/>
      <c r="BF142" s="190"/>
      <c r="BG142" s="190"/>
      <c r="BH142" s="190"/>
      <c r="BI142" s="190"/>
      <c r="BJ142" s="190"/>
      <c r="BK142" s="190"/>
      <c r="BL142" s="190"/>
      <c r="BM142" s="190"/>
      <c r="TU142" s="178"/>
      <c r="TV142" s="178"/>
    </row>
    <row r="143" spans="1:542" x14ac:dyDescent="0.25">
      <c r="A143" s="96" t="s">
        <v>90</v>
      </c>
      <c r="B143" s="160"/>
      <c r="C143" s="161"/>
      <c r="D143" s="162"/>
      <c r="E143" s="200"/>
      <c r="F143" s="200"/>
      <c r="G143" s="200"/>
      <c r="H143" s="200"/>
      <c r="I143" s="200"/>
      <c r="J143" s="200"/>
      <c r="K143" s="200"/>
      <c r="L143" s="200"/>
      <c r="M143" s="200"/>
      <c r="N143" s="200"/>
      <c r="O143" s="200"/>
      <c r="P143" s="200"/>
      <c r="Q143" s="200"/>
      <c r="R143" s="200"/>
      <c r="S143" s="200"/>
      <c r="T143" s="200"/>
      <c r="U143" s="200"/>
      <c r="V143" s="200"/>
      <c r="W143" s="200"/>
      <c r="X143" s="200"/>
      <c r="Y143" s="200"/>
      <c r="Z143" s="200"/>
      <c r="AA143" s="200"/>
      <c r="AB143" s="200"/>
      <c r="AC143" s="200"/>
      <c r="AD143" s="200"/>
      <c r="AE143" s="200"/>
      <c r="AF143" s="200"/>
      <c r="AG143" s="200"/>
      <c r="AH143" s="200"/>
      <c r="AI143" s="200"/>
      <c r="AJ143" s="200"/>
      <c r="AK143" s="200"/>
      <c r="AL143" s="200"/>
      <c r="AM143" s="200"/>
      <c r="AN143" s="200"/>
      <c r="AO143" s="200"/>
      <c r="AP143" s="200"/>
      <c r="AQ143" s="200"/>
      <c r="AR143" s="200"/>
      <c r="AS143" s="200"/>
      <c r="AT143" s="200"/>
      <c r="AU143" s="200"/>
      <c r="AV143" s="200"/>
      <c r="AW143" s="200"/>
      <c r="AX143" s="200"/>
      <c r="AY143" s="200"/>
      <c r="AZ143" s="200"/>
      <c r="BA143" s="200"/>
      <c r="BB143" s="200"/>
      <c r="BC143" s="200"/>
      <c r="BD143" s="200"/>
      <c r="BE143" s="200"/>
      <c r="BF143" s="200"/>
      <c r="BG143" s="200"/>
      <c r="BH143" s="200"/>
      <c r="BI143" s="200"/>
      <c r="BJ143" s="200"/>
      <c r="BK143" s="200"/>
      <c r="BL143" s="200"/>
      <c r="BM143" s="200"/>
      <c r="TU143" s="178"/>
      <c r="TV143" s="178"/>
    </row>
    <row r="144" spans="1:542" x14ac:dyDescent="0.25">
      <c r="A144" s="189" t="s">
        <v>525</v>
      </c>
      <c r="B144" s="116"/>
      <c r="C144" s="113"/>
      <c r="D144" s="105"/>
      <c r="E144" s="190"/>
      <c r="F144" s="190"/>
      <c r="G144" s="190"/>
      <c r="H144" s="190"/>
      <c r="I144" s="190"/>
      <c r="J144" s="190"/>
      <c r="K144" s="190"/>
      <c r="L144" s="190"/>
      <c r="M144" s="190"/>
      <c r="N144" s="190"/>
      <c r="O144" s="190"/>
      <c r="P144" s="190"/>
      <c r="Q144" s="190"/>
      <c r="R144" s="190"/>
      <c r="S144" s="190"/>
      <c r="T144" s="190"/>
      <c r="U144" s="190"/>
      <c r="V144" s="190"/>
      <c r="W144" s="190"/>
      <c r="X144" s="190"/>
      <c r="Y144" s="190"/>
      <c r="Z144" s="190"/>
      <c r="AA144" s="190"/>
      <c r="AB144" s="190"/>
      <c r="AC144" s="190"/>
      <c r="AD144" s="190"/>
      <c r="AE144" s="190"/>
      <c r="AF144" s="190"/>
      <c r="AG144" s="190"/>
      <c r="AH144" s="190"/>
      <c r="AI144" s="190"/>
      <c r="AJ144" s="190"/>
      <c r="AK144" s="190"/>
      <c r="AL144" s="190"/>
      <c r="AM144" s="190"/>
      <c r="AN144" s="190"/>
      <c r="AO144" s="190"/>
      <c r="AP144" s="190"/>
      <c r="AQ144" s="190"/>
      <c r="AR144" s="190"/>
      <c r="AS144" s="190"/>
      <c r="AT144" s="190"/>
      <c r="AU144" s="190"/>
      <c r="AV144" s="190"/>
      <c r="AW144" s="190"/>
      <c r="AX144" s="190"/>
      <c r="AY144" s="190"/>
      <c r="AZ144" s="190"/>
      <c r="BA144" s="190"/>
      <c r="BB144" s="190"/>
      <c r="BC144" s="190"/>
      <c r="BD144" s="190"/>
      <c r="BE144" s="190"/>
      <c r="BF144" s="190"/>
      <c r="BG144" s="190"/>
      <c r="BH144" s="190"/>
      <c r="BI144" s="190"/>
      <c r="BJ144" s="190"/>
      <c r="BK144" s="190"/>
      <c r="BL144" s="190"/>
      <c r="BM144" s="190"/>
      <c r="TU144" s="178"/>
      <c r="TV144" s="178"/>
    </row>
    <row r="145" spans="1:542" x14ac:dyDescent="0.25">
      <c r="A145" s="147" t="s">
        <v>91</v>
      </c>
      <c r="B145" s="119"/>
      <c r="C145" s="120"/>
      <c r="D145" s="155"/>
      <c r="E145" s="190"/>
      <c r="F145" s="190"/>
      <c r="G145" s="190"/>
      <c r="H145" s="190"/>
      <c r="I145" s="190"/>
      <c r="J145" s="190"/>
      <c r="K145" s="190"/>
      <c r="L145" s="190"/>
      <c r="M145" s="190"/>
      <c r="N145" s="190"/>
      <c r="O145" s="190"/>
      <c r="P145" s="190"/>
      <c r="Q145" s="190"/>
      <c r="R145" s="190"/>
      <c r="S145" s="190"/>
      <c r="T145" s="190"/>
      <c r="U145" s="190"/>
      <c r="V145" s="190"/>
      <c r="W145" s="190"/>
      <c r="X145" s="190"/>
      <c r="Y145" s="190"/>
      <c r="Z145" s="190"/>
      <c r="AA145" s="190"/>
      <c r="AB145" s="190"/>
      <c r="AC145" s="190"/>
      <c r="AD145" s="190"/>
      <c r="AE145" s="190"/>
      <c r="AF145" s="190"/>
      <c r="AG145" s="190"/>
      <c r="AH145" s="190"/>
      <c r="AI145" s="190"/>
      <c r="AJ145" s="190"/>
      <c r="AK145" s="190"/>
      <c r="AL145" s="190"/>
      <c r="AM145" s="190"/>
      <c r="AN145" s="190"/>
      <c r="AO145" s="190"/>
      <c r="AP145" s="190"/>
      <c r="AQ145" s="190"/>
      <c r="AR145" s="190"/>
      <c r="AS145" s="190"/>
      <c r="AT145" s="190"/>
      <c r="AU145" s="190"/>
      <c r="AV145" s="190"/>
      <c r="AW145" s="190"/>
      <c r="AX145" s="190"/>
      <c r="AY145" s="190"/>
      <c r="AZ145" s="190"/>
      <c r="BA145" s="190"/>
      <c r="BB145" s="190"/>
      <c r="BC145" s="190"/>
      <c r="BD145" s="190"/>
      <c r="BE145" s="190"/>
      <c r="BF145" s="190"/>
      <c r="BG145" s="190"/>
      <c r="BH145" s="190"/>
      <c r="BI145" s="190"/>
      <c r="BJ145" s="190"/>
      <c r="BK145" s="190"/>
      <c r="BL145" s="190"/>
      <c r="TU145" s="178"/>
      <c r="TV145" s="178"/>
    </row>
    <row r="146" spans="1:542" x14ac:dyDescent="0.25">
      <c r="A146" s="147" t="s">
        <v>92</v>
      </c>
      <c r="B146" s="119"/>
      <c r="C146" s="120"/>
      <c r="D146" s="155"/>
      <c r="E146" s="190"/>
      <c r="F146" s="190"/>
      <c r="G146" s="190"/>
      <c r="H146" s="190"/>
      <c r="I146" s="190"/>
      <c r="J146" s="190"/>
      <c r="K146" s="190"/>
      <c r="L146" s="190"/>
      <c r="M146" s="190"/>
      <c r="N146" s="190"/>
      <c r="O146" s="190"/>
      <c r="P146" s="190"/>
      <c r="Q146" s="190"/>
      <c r="R146" s="190"/>
      <c r="S146" s="190"/>
      <c r="T146" s="190"/>
      <c r="U146" s="190"/>
      <c r="V146" s="190"/>
      <c r="W146" s="190"/>
      <c r="X146" s="190"/>
      <c r="Y146" s="190"/>
      <c r="Z146" s="190"/>
      <c r="AA146" s="190"/>
      <c r="AB146" s="190"/>
      <c r="AC146" s="190"/>
      <c r="AD146" s="190"/>
      <c r="AE146" s="190"/>
      <c r="AF146" s="190"/>
      <c r="AG146" s="190"/>
      <c r="AH146" s="190"/>
      <c r="AI146" s="190"/>
      <c r="AJ146" s="190"/>
      <c r="AK146" s="190"/>
      <c r="AL146" s="190"/>
      <c r="AM146" s="190"/>
      <c r="AN146" s="190"/>
      <c r="AO146" s="190"/>
      <c r="AP146" s="190"/>
      <c r="AQ146" s="190"/>
      <c r="AR146" s="190"/>
      <c r="AS146" s="190"/>
      <c r="AT146" s="190"/>
      <c r="AU146" s="190"/>
      <c r="AV146" s="190"/>
      <c r="AW146" s="190"/>
      <c r="AX146" s="190"/>
      <c r="AY146" s="190"/>
      <c r="AZ146" s="190"/>
      <c r="BA146" s="190"/>
      <c r="BB146" s="190"/>
      <c r="BC146" s="190"/>
      <c r="BD146" s="190"/>
      <c r="BE146" s="190"/>
      <c r="BF146" s="190"/>
      <c r="BG146" s="190"/>
      <c r="BH146" s="190"/>
      <c r="BI146" s="190"/>
      <c r="BJ146" s="190"/>
      <c r="BK146" s="190"/>
      <c r="BL146" s="190"/>
      <c r="TU146" s="178"/>
      <c r="TV146" s="178"/>
    </row>
    <row r="147" spans="1:542" x14ac:dyDescent="0.25">
      <c r="A147" s="96" t="s">
        <v>93</v>
      </c>
      <c r="B147" s="158" t="str">
        <f>"°C"</f>
        <v>°C</v>
      </c>
      <c r="C147" s="159"/>
      <c r="D147" s="155"/>
      <c r="E147" s="190"/>
      <c r="F147" s="190"/>
      <c r="G147" s="190"/>
      <c r="H147" s="190"/>
      <c r="I147" s="190"/>
      <c r="J147" s="190"/>
      <c r="K147" s="190"/>
      <c r="L147" s="190"/>
      <c r="M147" s="190"/>
      <c r="N147" s="190"/>
      <c r="O147" s="190"/>
      <c r="P147" s="190"/>
      <c r="Q147" s="190"/>
      <c r="R147" s="190"/>
      <c r="S147" s="190"/>
      <c r="T147" s="190"/>
      <c r="U147" s="190"/>
      <c r="V147" s="190"/>
      <c r="W147" s="190"/>
      <c r="X147" s="190"/>
      <c r="Y147" s="190"/>
      <c r="Z147" s="190"/>
      <c r="AA147" s="190"/>
      <c r="AB147" s="190"/>
      <c r="AC147" s="190"/>
      <c r="AD147" s="190"/>
      <c r="AE147" s="190"/>
      <c r="AF147" s="190"/>
      <c r="AG147" s="190"/>
      <c r="AH147" s="190"/>
      <c r="AI147" s="190"/>
      <c r="AJ147" s="190"/>
      <c r="AK147" s="190"/>
      <c r="AL147" s="190"/>
      <c r="AM147" s="190"/>
      <c r="AN147" s="190"/>
      <c r="AO147" s="190"/>
      <c r="AP147" s="190"/>
      <c r="AQ147" s="190"/>
      <c r="AR147" s="190"/>
      <c r="AS147" s="190"/>
      <c r="AT147" s="190"/>
      <c r="AU147" s="190"/>
      <c r="AV147" s="190"/>
      <c r="AW147" s="190"/>
      <c r="AX147" s="190"/>
      <c r="AY147" s="190"/>
      <c r="AZ147" s="190"/>
      <c r="BA147" s="190"/>
      <c r="BB147" s="190"/>
      <c r="BC147" s="190"/>
      <c r="BD147" s="190"/>
      <c r="BE147" s="190"/>
      <c r="BF147" s="190"/>
      <c r="BG147" s="190"/>
      <c r="BH147" s="190"/>
      <c r="BI147" s="190"/>
      <c r="BJ147" s="190"/>
      <c r="BK147" s="190"/>
      <c r="BL147" s="190"/>
      <c r="TU147" s="178"/>
      <c r="TV147" s="178"/>
    </row>
    <row r="148" spans="1:542" x14ac:dyDescent="0.25">
      <c r="A148" s="96" t="s">
        <v>94</v>
      </c>
      <c r="B148" s="158" t="str">
        <f t="shared" ref="B148:B149" si="0">"°C"</f>
        <v>°C</v>
      </c>
      <c r="C148" s="159"/>
      <c r="D148" s="155"/>
      <c r="E148" s="190"/>
      <c r="F148" s="190"/>
      <c r="G148" s="190"/>
      <c r="H148" s="190"/>
      <c r="I148" s="190"/>
      <c r="J148" s="190"/>
      <c r="K148" s="190"/>
      <c r="L148" s="190"/>
      <c r="M148" s="190"/>
      <c r="N148" s="190"/>
      <c r="O148" s="190"/>
      <c r="P148" s="190"/>
      <c r="Q148" s="190"/>
      <c r="R148" s="190"/>
      <c r="S148" s="190"/>
      <c r="T148" s="190"/>
      <c r="U148" s="190"/>
      <c r="V148" s="190"/>
      <c r="W148" s="190"/>
      <c r="X148" s="190"/>
      <c r="Y148" s="190"/>
      <c r="Z148" s="190"/>
      <c r="AA148" s="190"/>
      <c r="AB148" s="190"/>
      <c r="AC148" s="190"/>
      <c r="AD148" s="190"/>
      <c r="AE148" s="190"/>
      <c r="AF148" s="190"/>
      <c r="AG148" s="190"/>
      <c r="AH148" s="190"/>
      <c r="AI148" s="190"/>
      <c r="AJ148" s="190"/>
      <c r="AK148" s="190"/>
      <c r="AL148" s="190"/>
      <c r="AM148" s="190"/>
      <c r="AN148" s="190"/>
      <c r="AO148" s="190"/>
      <c r="AP148" s="190"/>
      <c r="AQ148" s="190"/>
      <c r="AR148" s="190"/>
      <c r="AS148" s="190"/>
      <c r="AT148" s="190"/>
      <c r="AU148" s="190"/>
      <c r="AV148" s="190"/>
      <c r="AW148" s="190"/>
      <c r="AX148" s="190"/>
      <c r="AY148" s="190"/>
      <c r="AZ148" s="190"/>
      <c r="BA148" s="190"/>
      <c r="BB148" s="190"/>
      <c r="BC148" s="190"/>
      <c r="BD148" s="190"/>
      <c r="BE148" s="190"/>
      <c r="BF148" s="190"/>
      <c r="BG148" s="190"/>
      <c r="BH148" s="190"/>
      <c r="BI148" s="190"/>
      <c r="BJ148" s="190"/>
      <c r="BK148" s="190"/>
      <c r="BL148" s="190"/>
      <c r="TU148" s="178"/>
      <c r="TV148" s="178"/>
    </row>
    <row r="149" spans="1:542" x14ac:dyDescent="0.25">
      <c r="A149" s="96" t="s">
        <v>95</v>
      </c>
      <c r="B149" s="158" t="str">
        <f t="shared" si="0"/>
        <v>°C</v>
      </c>
      <c r="C149" s="159"/>
      <c r="D149" s="155"/>
      <c r="E149" s="190"/>
      <c r="F149" s="190"/>
      <c r="G149" s="190"/>
      <c r="H149" s="190"/>
      <c r="I149" s="190"/>
      <c r="J149" s="190"/>
      <c r="K149" s="190"/>
      <c r="L149" s="190"/>
      <c r="M149" s="190"/>
      <c r="N149" s="190"/>
      <c r="O149" s="190"/>
      <c r="P149" s="190"/>
      <c r="Q149" s="190"/>
      <c r="R149" s="190"/>
      <c r="S149" s="190"/>
      <c r="T149" s="190"/>
      <c r="U149" s="190"/>
      <c r="V149" s="190"/>
      <c r="W149" s="190"/>
      <c r="X149" s="190"/>
      <c r="Y149" s="190"/>
      <c r="Z149" s="190"/>
      <c r="AA149" s="190"/>
      <c r="AB149" s="190"/>
      <c r="AC149" s="190"/>
      <c r="AD149" s="190"/>
      <c r="AE149" s="190"/>
      <c r="AF149" s="190"/>
      <c r="AG149" s="190"/>
      <c r="AH149" s="190"/>
      <c r="AI149" s="190"/>
      <c r="AJ149" s="190"/>
      <c r="AK149" s="190"/>
      <c r="AL149" s="190"/>
      <c r="AM149" s="190"/>
      <c r="AN149" s="190"/>
      <c r="AO149" s="190"/>
      <c r="AP149" s="190"/>
      <c r="AQ149" s="190"/>
      <c r="AR149" s="190"/>
      <c r="AS149" s="190"/>
      <c r="AT149" s="190"/>
      <c r="AU149" s="190"/>
      <c r="AV149" s="190"/>
      <c r="AW149" s="190"/>
      <c r="AX149" s="190"/>
      <c r="AY149" s="190"/>
      <c r="AZ149" s="190"/>
      <c r="BA149" s="190"/>
      <c r="BB149" s="190"/>
      <c r="BC149" s="190"/>
      <c r="BD149" s="190"/>
      <c r="BE149" s="190"/>
      <c r="BF149" s="190"/>
      <c r="BG149" s="190"/>
      <c r="BH149" s="190"/>
      <c r="BI149" s="190"/>
      <c r="BJ149" s="190"/>
      <c r="BK149" s="190"/>
      <c r="BL149" s="190"/>
      <c r="TU149" s="178"/>
      <c r="TV149" s="178"/>
    </row>
    <row r="150" spans="1:542" x14ac:dyDescent="0.25">
      <c r="A150" s="147" t="s">
        <v>96</v>
      </c>
      <c r="B150" s="119" t="s">
        <v>473</v>
      </c>
      <c r="C150" s="120"/>
      <c r="D150" s="155"/>
      <c r="E150" s="190"/>
      <c r="F150" s="190"/>
      <c r="G150" s="190"/>
      <c r="H150" s="190"/>
      <c r="I150" s="190"/>
      <c r="J150" s="190"/>
      <c r="K150" s="190"/>
      <c r="L150" s="190"/>
      <c r="M150" s="190"/>
      <c r="N150" s="190"/>
      <c r="O150" s="190"/>
      <c r="P150" s="190"/>
      <c r="Q150" s="190"/>
      <c r="R150" s="190"/>
      <c r="S150" s="190"/>
      <c r="T150" s="190"/>
      <c r="U150" s="190"/>
      <c r="V150" s="190"/>
      <c r="W150" s="190"/>
      <c r="X150" s="190"/>
      <c r="Y150" s="190"/>
      <c r="Z150" s="190"/>
      <c r="AA150" s="190"/>
      <c r="AB150" s="190"/>
      <c r="AC150" s="190"/>
      <c r="AD150" s="190"/>
      <c r="AE150" s="190"/>
      <c r="AF150" s="190"/>
      <c r="AG150" s="190"/>
      <c r="AH150" s="190"/>
      <c r="AI150" s="190"/>
      <c r="AJ150" s="190"/>
      <c r="AK150" s="190"/>
      <c r="AL150" s="190"/>
      <c r="AM150" s="190"/>
      <c r="AN150" s="190"/>
      <c r="AO150" s="190"/>
      <c r="AP150" s="190"/>
      <c r="AQ150" s="190"/>
      <c r="AR150" s="190"/>
      <c r="AS150" s="190"/>
      <c r="AT150" s="190"/>
      <c r="AU150" s="190"/>
      <c r="AV150" s="190"/>
      <c r="AW150" s="190"/>
      <c r="AX150" s="190"/>
      <c r="AY150" s="190"/>
      <c r="AZ150" s="190"/>
      <c r="BA150" s="190"/>
      <c r="BB150" s="190"/>
      <c r="BC150" s="190"/>
      <c r="BD150" s="190"/>
      <c r="BE150" s="190"/>
      <c r="BF150" s="190"/>
      <c r="BG150" s="190"/>
      <c r="BH150" s="190"/>
      <c r="BI150" s="190"/>
      <c r="BJ150" s="190"/>
      <c r="BK150" s="190"/>
      <c r="BL150" s="190"/>
      <c r="TU150" s="178"/>
      <c r="TV150" s="178"/>
    </row>
    <row r="151" spans="1:542" x14ac:dyDescent="0.25">
      <c r="A151" s="147" t="s">
        <v>97</v>
      </c>
      <c r="B151" s="119" t="s">
        <v>473</v>
      </c>
      <c r="C151" s="120"/>
      <c r="D151" s="155"/>
      <c r="E151" s="190"/>
      <c r="F151" s="190"/>
      <c r="G151" s="190"/>
      <c r="H151" s="190"/>
      <c r="I151" s="190"/>
      <c r="J151" s="190"/>
      <c r="K151" s="190"/>
      <c r="L151" s="190"/>
      <c r="M151" s="190"/>
      <c r="N151" s="190"/>
      <c r="O151" s="190"/>
      <c r="P151" s="190"/>
      <c r="Q151" s="190"/>
      <c r="R151" s="190"/>
      <c r="S151" s="190"/>
      <c r="T151" s="190"/>
      <c r="U151" s="190"/>
      <c r="V151" s="190"/>
      <c r="W151" s="190"/>
      <c r="X151" s="190"/>
      <c r="Y151" s="190"/>
      <c r="Z151" s="190"/>
      <c r="AA151" s="190"/>
      <c r="AB151" s="190"/>
      <c r="AC151" s="190"/>
      <c r="AD151" s="190"/>
      <c r="AE151" s="190"/>
      <c r="AF151" s="190"/>
      <c r="AG151" s="190"/>
      <c r="AH151" s="190"/>
      <c r="AI151" s="190"/>
      <c r="AJ151" s="190"/>
      <c r="AK151" s="190"/>
      <c r="AL151" s="190"/>
      <c r="AM151" s="190"/>
      <c r="AN151" s="190"/>
      <c r="AO151" s="190"/>
      <c r="AP151" s="190"/>
      <c r="AQ151" s="190"/>
      <c r="AR151" s="190"/>
      <c r="AS151" s="190"/>
      <c r="AT151" s="190"/>
      <c r="AU151" s="190"/>
      <c r="AV151" s="190"/>
      <c r="AW151" s="190"/>
      <c r="AX151" s="190"/>
      <c r="AY151" s="190"/>
      <c r="AZ151" s="190"/>
      <c r="BA151" s="190"/>
      <c r="BB151" s="190"/>
      <c r="BC151" s="190"/>
      <c r="BD151" s="190"/>
      <c r="BE151" s="190"/>
      <c r="BF151" s="190"/>
      <c r="BG151" s="190"/>
      <c r="BH151" s="190"/>
      <c r="BI151" s="190"/>
      <c r="BJ151" s="190"/>
      <c r="BK151" s="190"/>
      <c r="BL151" s="190"/>
      <c r="TU151" s="178"/>
      <c r="TV151" s="178"/>
    </row>
    <row r="152" spans="1:542" x14ac:dyDescent="0.25">
      <c r="A152" s="96" t="s">
        <v>98</v>
      </c>
      <c r="B152" s="158" t="str">
        <f>"kg/dm3"</f>
        <v>kg/dm3</v>
      </c>
      <c r="C152" s="159"/>
      <c r="D152" s="155"/>
      <c r="E152" s="190"/>
      <c r="F152" s="190"/>
      <c r="G152" s="190"/>
      <c r="H152" s="190"/>
      <c r="I152" s="190"/>
      <c r="J152" s="190"/>
      <c r="K152" s="190"/>
      <c r="L152" s="190"/>
      <c r="M152" s="190"/>
      <c r="N152" s="190"/>
      <c r="O152" s="190"/>
      <c r="P152" s="190"/>
      <c r="Q152" s="190"/>
      <c r="R152" s="190"/>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TU152" s="178"/>
      <c r="TV152" s="178"/>
    </row>
    <row r="153" spans="1:542" x14ac:dyDescent="0.25">
      <c r="A153" s="96" t="s">
        <v>99</v>
      </c>
      <c r="B153" s="158" t="str">
        <f>"kg/dm3"</f>
        <v>kg/dm3</v>
      </c>
      <c r="C153" s="159"/>
      <c r="D153" s="155"/>
      <c r="E153" s="190"/>
      <c r="F153" s="190"/>
      <c r="G153" s="190"/>
      <c r="H153" s="190"/>
      <c r="I153" s="190"/>
      <c r="J153" s="190"/>
      <c r="K153" s="190"/>
      <c r="L153" s="190"/>
      <c r="M153" s="190"/>
      <c r="N153" s="190"/>
      <c r="O153" s="190"/>
      <c r="P153" s="190"/>
      <c r="Q153" s="190"/>
      <c r="R153" s="190"/>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TU153" s="178"/>
      <c r="TV153" s="178"/>
    </row>
    <row r="154" spans="1:542" x14ac:dyDescent="0.25">
      <c r="A154" s="147" t="s">
        <v>100</v>
      </c>
      <c r="B154" s="119" t="s">
        <v>471</v>
      </c>
      <c r="C154" s="120"/>
      <c r="D154" s="155"/>
      <c r="E154" s="190"/>
      <c r="F154" s="190"/>
      <c r="G154" s="190"/>
      <c r="H154" s="190"/>
      <c r="I154" s="190"/>
      <c r="J154" s="190"/>
      <c r="K154" s="190"/>
      <c r="L154" s="190"/>
      <c r="M154" s="190"/>
      <c r="N154" s="190"/>
      <c r="O154" s="190"/>
      <c r="P154" s="190"/>
      <c r="Q154" s="190"/>
      <c r="R154" s="190"/>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TU154" s="178"/>
      <c r="TV154" s="178"/>
    </row>
    <row r="155" spans="1:542" x14ac:dyDescent="0.25">
      <c r="A155" s="147" t="s">
        <v>101</v>
      </c>
      <c r="B155" s="119" t="s">
        <v>470</v>
      </c>
      <c r="C155" s="120"/>
      <c r="D155" s="155"/>
      <c r="E155" s="190"/>
      <c r="F155" s="190"/>
      <c r="G155" s="190"/>
      <c r="H155" s="190"/>
      <c r="I155" s="190"/>
      <c r="J155" s="190"/>
      <c r="K155" s="190"/>
      <c r="L155" s="190"/>
      <c r="M155" s="190"/>
      <c r="N155" s="190"/>
      <c r="O155" s="190"/>
      <c r="P155" s="190"/>
      <c r="Q155" s="190"/>
      <c r="R155" s="190"/>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TU155" s="178"/>
      <c r="TV155" s="178"/>
    </row>
    <row r="156" spans="1:542" x14ac:dyDescent="0.25">
      <c r="A156" s="96" t="s">
        <v>102</v>
      </c>
      <c r="B156" s="158" t="str">
        <f>"bar.a"</f>
        <v>bar.a</v>
      </c>
      <c r="C156" s="159"/>
      <c r="D156" s="155"/>
      <c r="E156" s="190"/>
      <c r="F156" s="190"/>
      <c r="G156" s="190"/>
      <c r="H156" s="190"/>
      <c r="I156" s="190"/>
      <c r="J156" s="190"/>
      <c r="K156" s="190"/>
      <c r="L156" s="190"/>
      <c r="M156" s="190"/>
      <c r="N156" s="190"/>
      <c r="O156" s="190"/>
      <c r="P156" s="190"/>
      <c r="Q156" s="190"/>
      <c r="R156" s="190"/>
      <c r="S156" s="190"/>
      <c r="T156" s="190"/>
      <c r="U156" s="190"/>
      <c r="V156" s="190"/>
      <c r="W156" s="190"/>
      <c r="X156" s="190"/>
      <c r="Y156" s="190"/>
      <c r="Z156" s="190"/>
      <c r="AA156" s="190"/>
      <c r="AB156" s="190"/>
      <c r="AC156" s="190"/>
      <c r="AD156" s="190"/>
      <c r="AE156" s="190"/>
      <c r="AF156" s="190"/>
      <c r="AG156" s="190"/>
      <c r="AH156" s="190"/>
      <c r="AI156" s="190"/>
      <c r="AJ156" s="190"/>
      <c r="AK156" s="190"/>
      <c r="AL156" s="190"/>
      <c r="AM156" s="190"/>
      <c r="AN156" s="190"/>
      <c r="AO156" s="190"/>
      <c r="AP156" s="190"/>
      <c r="AQ156" s="190"/>
      <c r="AR156" s="190"/>
      <c r="AS156" s="190"/>
      <c r="AT156" s="190"/>
      <c r="AU156" s="190"/>
      <c r="AV156" s="190"/>
      <c r="AW156" s="190"/>
      <c r="AX156" s="190"/>
      <c r="AY156" s="190"/>
      <c r="AZ156" s="190"/>
      <c r="BA156" s="190"/>
      <c r="BB156" s="190"/>
      <c r="BC156" s="190"/>
      <c r="BD156" s="190"/>
      <c r="BE156" s="190"/>
      <c r="BF156" s="190"/>
      <c r="BG156" s="190"/>
      <c r="BH156" s="190"/>
      <c r="BI156" s="190"/>
      <c r="BJ156" s="190"/>
      <c r="BK156" s="190"/>
      <c r="BL156" s="190"/>
      <c r="TU156" s="178"/>
      <c r="TV156" s="178"/>
    </row>
    <row r="157" spans="1:542" x14ac:dyDescent="0.25">
      <c r="A157" s="147" t="s">
        <v>103</v>
      </c>
      <c r="B157" s="119"/>
      <c r="C157" s="120"/>
      <c r="D157" s="155"/>
      <c r="E157" s="190"/>
      <c r="F157" s="190"/>
      <c r="G157" s="190"/>
      <c r="H157" s="190"/>
      <c r="I157" s="190"/>
      <c r="J157" s="190"/>
      <c r="K157" s="190"/>
      <c r="L157" s="190"/>
      <c r="M157" s="190"/>
      <c r="N157" s="190"/>
      <c r="O157" s="190"/>
      <c r="P157" s="190"/>
      <c r="Q157" s="190"/>
      <c r="R157" s="190"/>
      <c r="S157" s="190"/>
      <c r="T157" s="190"/>
      <c r="U157" s="190"/>
      <c r="V157" s="190"/>
      <c r="W157" s="190"/>
      <c r="X157" s="190"/>
      <c r="Y157" s="190"/>
      <c r="Z157" s="190"/>
      <c r="AA157" s="190"/>
      <c r="AB157" s="190"/>
      <c r="AC157" s="190"/>
      <c r="AD157" s="190"/>
      <c r="AE157" s="190"/>
      <c r="AF157" s="190"/>
      <c r="AG157" s="190"/>
      <c r="AH157" s="190"/>
      <c r="AI157" s="190"/>
      <c r="AJ157" s="190"/>
      <c r="AK157" s="190"/>
      <c r="AL157" s="190"/>
      <c r="AM157" s="190"/>
      <c r="AN157" s="190"/>
      <c r="AO157" s="190"/>
      <c r="AP157" s="190"/>
      <c r="AQ157" s="190"/>
      <c r="AR157" s="190"/>
      <c r="AS157" s="190"/>
      <c r="AT157" s="190"/>
      <c r="AU157" s="190"/>
      <c r="AV157" s="190"/>
      <c r="AW157" s="190"/>
      <c r="AX157" s="190"/>
      <c r="AY157" s="190"/>
      <c r="AZ157" s="190"/>
      <c r="BA157" s="190"/>
      <c r="BB157" s="190"/>
      <c r="BC157" s="190"/>
      <c r="BD157" s="190"/>
      <c r="BE157" s="190"/>
      <c r="BF157" s="190"/>
      <c r="BG157" s="190"/>
      <c r="BH157" s="190"/>
      <c r="BI157" s="190"/>
      <c r="BJ157" s="190"/>
      <c r="BK157" s="190"/>
      <c r="BL157" s="190"/>
      <c r="TU157" s="178"/>
      <c r="TV157" s="178"/>
    </row>
    <row r="158" spans="1:542" x14ac:dyDescent="0.25">
      <c r="A158" s="147" t="s">
        <v>104</v>
      </c>
      <c r="B158" s="119" t="s">
        <v>472</v>
      </c>
      <c r="C158" s="120"/>
      <c r="D158" s="155"/>
      <c r="E158" s="190"/>
      <c r="F158" s="190"/>
      <c r="G158" s="190"/>
      <c r="H158" s="190"/>
      <c r="I158" s="190"/>
      <c r="J158" s="190"/>
      <c r="K158" s="190"/>
      <c r="L158" s="190"/>
      <c r="M158" s="190"/>
      <c r="N158" s="190"/>
      <c r="O158" s="190"/>
      <c r="P158" s="190"/>
      <c r="Q158" s="190"/>
      <c r="R158" s="190"/>
      <c r="S158" s="190"/>
      <c r="T158" s="190"/>
      <c r="U158" s="190"/>
      <c r="V158" s="190"/>
      <c r="W158" s="190"/>
      <c r="X158" s="190"/>
      <c r="Y158" s="190"/>
      <c r="Z158" s="190"/>
      <c r="AA158" s="190"/>
      <c r="AB158" s="190"/>
      <c r="AC158" s="190"/>
      <c r="AD158" s="190"/>
      <c r="AE158" s="190"/>
      <c r="AF158" s="190"/>
      <c r="AG158" s="190"/>
      <c r="AH158" s="190"/>
      <c r="AI158" s="190"/>
      <c r="AJ158" s="190"/>
      <c r="AK158" s="190"/>
      <c r="AL158" s="190"/>
      <c r="AM158" s="190"/>
      <c r="AN158" s="190"/>
      <c r="AO158" s="190"/>
      <c r="AP158" s="190"/>
      <c r="AQ158" s="190"/>
      <c r="AR158" s="190"/>
      <c r="AS158" s="190"/>
      <c r="AT158" s="190"/>
      <c r="AU158" s="190"/>
      <c r="AV158" s="190"/>
      <c r="AW158" s="190"/>
      <c r="AX158" s="190"/>
      <c r="AY158" s="190"/>
      <c r="AZ158" s="190"/>
      <c r="BA158" s="190"/>
      <c r="BB158" s="190"/>
      <c r="BC158" s="190"/>
      <c r="BD158" s="190"/>
      <c r="BE158" s="190"/>
      <c r="BF158" s="190"/>
      <c r="BG158" s="190"/>
      <c r="BH158" s="190"/>
      <c r="BI158" s="190"/>
      <c r="BJ158" s="190"/>
      <c r="BK158" s="190"/>
      <c r="BL158" s="190"/>
      <c r="TU158" s="178"/>
      <c r="TV158" s="178"/>
    </row>
    <row r="159" spans="1:542" x14ac:dyDescent="0.25">
      <c r="A159" s="96" t="s">
        <v>105</v>
      </c>
      <c r="B159" s="158" t="str">
        <f t="shared" ref="B159:B160" si="1">"°C"</f>
        <v>°C</v>
      </c>
      <c r="C159" s="159"/>
      <c r="D159" s="155"/>
      <c r="E159" s="190"/>
      <c r="F159" s="190"/>
      <c r="G159" s="190"/>
      <c r="H159" s="190"/>
      <c r="I159" s="190"/>
      <c r="J159" s="190"/>
      <c r="K159" s="190"/>
      <c r="L159" s="190"/>
      <c r="M159" s="190"/>
      <c r="N159" s="190"/>
      <c r="O159" s="190"/>
      <c r="P159" s="190"/>
      <c r="Q159" s="190"/>
      <c r="R159" s="190"/>
      <c r="S159" s="190"/>
      <c r="T159" s="190"/>
      <c r="U159" s="190"/>
      <c r="V159" s="190"/>
      <c r="W159" s="190"/>
      <c r="X159" s="190"/>
      <c r="Y159" s="190"/>
      <c r="Z159" s="190"/>
      <c r="AA159" s="190"/>
      <c r="AB159" s="190"/>
      <c r="AC159" s="190"/>
      <c r="AD159" s="190"/>
      <c r="AE159" s="190"/>
      <c r="AF159" s="190"/>
      <c r="AG159" s="190"/>
      <c r="AH159" s="190"/>
      <c r="AI159" s="190"/>
      <c r="AJ159" s="190"/>
      <c r="AK159" s="190"/>
      <c r="AL159" s="190"/>
      <c r="AM159" s="190"/>
      <c r="AN159" s="190"/>
      <c r="AO159" s="190"/>
      <c r="AP159" s="190"/>
      <c r="AQ159" s="190"/>
      <c r="AR159" s="190"/>
      <c r="AS159" s="190"/>
      <c r="AT159" s="190"/>
      <c r="AU159" s="190"/>
      <c r="AV159" s="190"/>
      <c r="AW159" s="190"/>
      <c r="AX159" s="190"/>
      <c r="AY159" s="190"/>
      <c r="AZ159" s="190"/>
      <c r="BA159" s="190"/>
      <c r="BB159" s="190"/>
      <c r="BC159" s="190"/>
      <c r="BD159" s="190"/>
      <c r="BE159" s="190"/>
      <c r="BF159" s="190"/>
      <c r="BG159" s="190"/>
      <c r="BH159" s="190"/>
      <c r="BI159" s="190"/>
      <c r="BJ159" s="190"/>
      <c r="BK159" s="190"/>
      <c r="BL159" s="190"/>
      <c r="TU159" s="178"/>
      <c r="TV159" s="178"/>
    </row>
    <row r="160" spans="1:542" x14ac:dyDescent="0.25">
      <c r="A160" s="96" t="s">
        <v>106</v>
      </c>
      <c r="B160" s="158" t="str">
        <f t="shared" si="1"/>
        <v>°C</v>
      </c>
      <c r="C160" s="159"/>
      <c r="D160" s="155"/>
      <c r="E160" s="190"/>
      <c r="F160" s="190"/>
      <c r="G160" s="190"/>
      <c r="H160" s="190"/>
      <c r="I160" s="190"/>
      <c r="J160" s="190"/>
      <c r="K160" s="190"/>
      <c r="L160" s="190"/>
      <c r="M160" s="190"/>
      <c r="N160" s="190"/>
      <c r="O160" s="190"/>
      <c r="P160" s="190"/>
      <c r="Q160" s="190"/>
      <c r="R160" s="190"/>
      <c r="S160" s="190"/>
      <c r="T160" s="190"/>
      <c r="U160" s="190"/>
      <c r="V160" s="190"/>
      <c r="W160" s="190"/>
      <c r="X160" s="190"/>
      <c r="Y160" s="190"/>
      <c r="Z160" s="190"/>
      <c r="AA160" s="190"/>
      <c r="AB160" s="190"/>
      <c r="AC160" s="190"/>
      <c r="AD160" s="190"/>
      <c r="AE160" s="190"/>
      <c r="AF160" s="190"/>
      <c r="AG160" s="190"/>
      <c r="AH160" s="190"/>
      <c r="AI160" s="190"/>
      <c r="AJ160" s="190"/>
      <c r="AK160" s="190"/>
      <c r="AL160" s="190"/>
      <c r="AM160" s="190"/>
      <c r="AN160" s="190"/>
      <c r="AO160" s="190"/>
      <c r="AP160" s="190"/>
      <c r="AQ160" s="190"/>
      <c r="AR160" s="190"/>
      <c r="AS160" s="190"/>
      <c r="AT160" s="190"/>
      <c r="AU160" s="190"/>
      <c r="AV160" s="190"/>
      <c r="AW160" s="190"/>
      <c r="AX160" s="190"/>
      <c r="AY160" s="190"/>
      <c r="AZ160" s="190"/>
      <c r="BA160" s="190"/>
      <c r="BB160" s="190"/>
      <c r="BC160" s="190"/>
      <c r="BD160" s="190"/>
      <c r="BE160" s="190"/>
      <c r="BF160" s="190"/>
      <c r="BG160" s="190"/>
      <c r="BH160" s="190"/>
      <c r="BI160" s="190"/>
      <c r="BJ160" s="190"/>
      <c r="BK160" s="190"/>
      <c r="BL160" s="190"/>
      <c r="TU160" s="178"/>
      <c r="TV160" s="178"/>
    </row>
    <row r="161" spans="1:542" x14ac:dyDescent="0.25">
      <c r="A161" s="96" t="s">
        <v>107</v>
      </c>
      <c r="B161" s="158"/>
      <c r="C161" s="159"/>
      <c r="D161" s="155"/>
      <c r="E161" s="190"/>
      <c r="F161" s="190"/>
      <c r="G161" s="190"/>
      <c r="H161" s="190"/>
      <c r="I161" s="190"/>
      <c r="J161" s="190"/>
      <c r="K161" s="190"/>
      <c r="L161" s="190"/>
      <c r="M161" s="190"/>
      <c r="N161" s="190"/>
      <c r="O161" s="190"/>
      <c r="P161" s="190"/>
      <c r="Q161" s="190"/>
      <c r="R161" s="190"/>
      <c r="S161" s="190"/>
      <c r="T161" s="190"/>
      <c r="U161" s="190"/>
      <c r="V161" s="190"/>
      <c r="W161" s="190"/>
      <c r="X161" s="190"/>
      <c r="Y161" s="190"/>
      <c r="Z161" s="190"/>
      <c r="AA161" s="190"/>
      <c r="AB161" s="190"/>
      <c r="AC161" s="190"/>
      <c r="AD161" s="190"/>
      <c r="AE161" s="190"/>
      <c r="AF161" s="190"/>
      <c r="AG161" s="190"/>
      <c r="AH161" s="190"/>
      <c r="AI161" s="190"/>
      <c r="AJ161" s="190"/>
      <c r="AK161" s="190"/>
      <c r="AL161" s="190"/>
      <c r="AM161" s="190"/>
      <c r="AN161" s="190"/>
      <c r="AO161" s="190"/>
      <c r="AP161" s="190"/>
      <c r="AQ161" s="190"/>
      <c r="AR161" s="190"/>
      <c r="AS161" s="190"/>
      <c r="AT161" s="190"/>
      <c r="AU161" s="190"/>
      <c r="AV161" s="190"/>
      <c r="AW161" s="190"/>
      <c r="AX161" s="190"/>
      <c r="AY161" s="190"/>
      <c r="AZ161" s="190"/>
      <c r="BA161" s="190"/>
      <c r="BB161" s="190"/>
      <c r="BC161" s="190"/>
      <c r="BD161" s="190"/>
      <c r="BE161" s="190"/>
      <c r="BF161" s="190"/>
      <c r="BG161" s="190"/>
      <c r="BH161" s="190"/>
      <c r="BI161" s="190"/>
      <c r="BJ161" s="190"/>
      <c r="BK161" s="190"/>
      <c r="BL161" s="190"/>
      <c r="TU161" s="178"/>
      <c r="TV161" s="178"/>
    </row>
    <row r="162" spans="1:542" x14ac:dyDescent="0.25">
      <c r="A162" s="96" t="s">
        <v>108</v>
      </c>
      <c r="B162" s="158"/>
      <c r="C162" s="159"/>
      <c r="D162" s="155"/>
      <c r="E162" s="190"/>
      <c r="F162" s="190"/>
      <c r="G162" s="190"/>
      <c r="H162" s="190"/>
      <c r="I162" s="190"/>
      <c r="J162" s="190"/>
      <c r="K162" s="190"/>
      <c r="L162" s="190"/>
      <c r="M162" s="190"/>
      <c r="N162" s="190"/>
      <c r="O162" s="190"/>
      <c r="P162" s="190"/>
      <c r="Q162" s="190"/>
      <c r="R162" s="190"/>
      <c r="S162" s="190"/>
      <c r="T162" s="190"/>
      <c r="U162" s="190"/>
      <c r="V162" s="190"/>
      <c r="W162" s="190"/>
      <c r="X162" s="190"/>
      <c r="Y162" s="190"/>
      <c r="Z162" s="190"/>
      <c r="AA162" s="190"/>
      <c r="AB162" s="190"/>
      <c r="AC162" s="190"/>
      <c r="AD162" s="190"/>
      <c r="AE162" s="190"/>
      <c r="AF162" s="190"/>
      <c r="AG162" s="190"/>
      <c r="AH162" s="190"/>
      <c r="AI162" s="190"/>
      <c r="AJ162" s="190"/>
      <c r="AK162" s="190"/>
      <c r="AL162" s="190"/>
      <c r="AM162" s="190"/>
      <c r="AN162" s="190"/>
      <c r="AO162" s="190"/>
      <c r="AP162" s="190"/>
      <c r="AQ162" s="190"/>
      <c r="AR162" s="190"/>
      <c r="AS162" s="190"/>
      <c r="AT162" s="190"/>
      <c r="AU162" s="190"/>
      <c r="AV162" s="190"/>
      <c r="AW162" s="190"/>
      <c r="AX162" s="190"/>
      <c r="AY162" s="190"/>
      <c r="AZ162" s="190"/>
      <c r="BA162" s="190"/>
      <c r="BB162" s="190"/>
      <c r="BC162" s="190"/>
      <c r="BD162" s="190"/>
      <c r="BE162" s="190"/>
      <c r="BF162" s="190"/>
      <c r="BG162" s="190"/>
      <c r="BH162" s="190"/>
      <c r="BI162" s="190"/>
      <c r="BJ162" s="190"/>
      <c r="BK162" s="190"/>
      <c r="BL162" s="190"/>
      <c r="TU162" s="178"/>
      <c r="TV162" s="178"/>
    </row>
    <row r="163" spans="1:542" x14ac:dyDescent="0.25">
      <c r="A163" s="96" t="s">
        <v>109</v>
      </c>
      <c r="B163" s="158"/>
      <c r="C163" s="159"/>
      <c r="D163" s="155"/>
      <c r="E163" s="190"/>
      <c r="F163" s="190"/>
      <c r="G163" s="190"/>
      <c r="H163" s="190"/>
      <c r="I163" s="190"/>
      <c r="J163" s="190"/>
      <c r="K163" s="190"/>
      <c r="L163" s="190"/>
      <c r="M163" s="190"/>
      <c r="N163" s="190"/>
      <c r="O163" s="190"/>
      <c r="P163" s="190"/>
      <c r="Q163" s="190"/>
      <c r="R163" s="190"/>
      <c r="S163" s="190"/>
      <c r="T163" s="190"/>
      <c r="U163" s="190"/>
      <c r="V163" s="190"/>
      <c r="W163" s="190"/>
      <c r="X163" s="190"/>
      <c r="Y163" s="190"/>
      <c r="Z163" s="190"/>
      <c r="AA163" s="190"/>
      <c r="AB163" s="190"/>
      <c r="AC163" s="190"/>
      <c r="AD163" s="190"/>
      <c r="AE163" s="190"/>
      <c r="AF163" s="190"/>
      <c r="AG163" s="190"/>
      <c r="AH163" s="190"/>
      <c r="AI163" s="190"/>
      <c r="AJ163" s="190"/>
      <c r="AK163" s="190"/>
      <c r="AL163" s="190"/>
      <c r="AM163" s="190"/>
      <c r="AN163" s="190"/>
      <c r="AO163" s="190"/>
      <c r="AP163" s="190"/>
      <c r="AQ163" s="190"/>
      <c r="AR163" s="190"/>
      <c r="AS163" s="190"/>
      <c r="AT163" s="190"/>
      <c r="AU163" s="190"/>
      <c r="AV163" s="190"/>
      <c r="AW163" s="190"/>
      <c r="AX163" s="190"/>
      <c r="AY163" s="190"/>
      <c r="AZ163" s="190"/>
      <c r="BA163" s="190"/>
      <c r="BB163" s="190"/>
      <c r="BC163" s="190"/>
      <c r="BD163" s="190"/>
      <c r="BE163" s="190"/>
      <c r="BF163" s="190"/>
      <c r="BG163" s="190"/>
      <c r="BH163" s="190"/>
      <c r="BI163" s="190"/>
      <c r="BJ163" s="190"/>
      <c r="BK163" s="190"/>
      <c r="BL163" s="190"/>
      <c r="TU163" s="178"/>
      <c r="TV163" s="178"/>
    </row>
    <row r="164" spans="1:542" x14ac:dyDescent="0.25">
      <c r="A164" s="96" t="s">
        <v>110</v>
      </c>
      <c r="B164" s="158"/>
      <c r="C164" s="159"/>
      <c r="D164" s="155"/>
      <c r="E164" s="190"/>
      <c r="F164" s="190"/>
      <c r="G164" s="190"/>
      <c r="H164" s="190"/>
      <c r="I164" s="190"/>
      <c r="J164" s="190"/>
      <c r="K164" s="190"/>
      <c r="L164" s="190"/>
      <c r="M164" s="190"/>
      <c r="N164" s="190"/>
      <c r="O164" s="190"/>
      <c r="P164" s="190"/>
      <c r="Q164" s="190"/>
      <c r="R164" s="190"/>
      <c r="S164" s="190"/>
      <c r="T164" s="190"/>
      <c r="U164" s="190"/>
      <c r="V164" s="190"/>
      <c r="W164" s="190"/>
      <c r="X164" s="190"/>
      <c r="Y164" s="190"/>
      <c r="Z164" s="190"/>
      <c r="AA164" s="190"/>
      <c r="AB164" s="190"/>
      <c r="AC164" s="190"/>
      <c r="AD164" s="190"/>
      <c r="AE164" s="190"/>
      <c r="AF164" s="190"/>
      <c r="AG164" s="190"/>
      <c r="AH164" s="190"/>
      <c r="AI164" s="190"/>
      <c r="AJ164" s="190"/>
      <c r="AK164" s="190"/>
      <c r="AL164" s="190"/>
      <c r="AM164" s="190"/>
      <c r="AN164" s="190"/>
      <c r="AO164" s="190"/>
      <c r="AP164" s="190"/>
      <c r="AQ164" s="190"/>
      <c r="AR164" s="190"/>
      <c r="AS164" s="190"/>
      <c r="AT164" s="190"/>
      <c r="AU164" s="190"/>
      <c r="AV164" s="190"/>
      <c r="AW164" s="190"/>
      <c r="AX164" s="190"/>
      <c r="AY164" s="190"/>
      <c r="AZ164" s="190"/>
      <c r="BA164" s="190"/>
      <c r="BB164" s="190"/>
      <c r="BC164" s="190"/>
      <c r="BD164" s="190"/>
      <c r="BE164" s="190"/>
      <c r="BF164" s="190"/>
      <c r="BG164" s="190"/>
      <c r="BH164" s="190"/>
      <c r="BI164" s="190"/>
      <c r="BJ164" s="190"/>
      <c r="BK164" s="190"/>
      <c r="BL164" s="190"/>
      <c r="TU164" s="178"/>
      <c r="TV164" s="178"/>
    </row>
    <row r="165" spans="1:542" x14ac:dyDescent="0.25">
      <c r="A165" s="96" t="s">
        <v>111</v>
      </c>
      <c r="B165" s="158"/>
      <c r="C165" s="159"/>
      <c r="D165" s="155"/>
      <c r="E165" s="190"/>
      <c r="F165" s="190"/>
      <c r="G165" s="190"/>
      <c r="H165" s="190"/>
      <c r="I165" s="190"/>
      <c r="J165" s="190"/>
      <c r="K165" s="190"/>
      <c r="L165" s="190"/>
      <c r="M165" s="190"/>
      <c r="N165" s="190"/>
      <c r="O165" s="190"/>
      <c r="P165" s="190"/>
      <c r="Q165" s="190"/>
      <c r="R165" s="190"/>
      <c r="S165" s="190"/>
      <c r="T165" s="190"/>
      <c r="U165" s="190"/>
      <c r="V165" s="190"/>
      <c r="W165" s="190"/>
      <c r="X165" s="190"/>
      <c r="Y165" s="190"/>
      <c r="Z165" s="190"/>
      <c r="AA165" s="190"/>
      <c r="AB165" s="190"/>
      <c r="AC165" s="190"/>
      <c r="AD165" s="190"/>
      <c r="AE165" s="190"/>
      <c r="AF165" s="190"/>
      <c r="AG165" s="190"/>
      <c r="AH165" s="190"/>
      <c r="AI165" s="190"/>
      <c r="AJ165" s="190"/>
      <c r="AK165" s="190"/>
      <c r="AL165" s="190"/>
      <c r="AM165" s="190"/>
      <c r="AN165" s="190"/>
      <c r="AO165" s="190"/>
      <c r="AP165" s="190"/>
      <c r="AQ165" s="190"/>
      <c r="AR165" s="190"/>
      <c r="AS165" s="190"/>
      <c r="AT165" s="190"/>
      <c r="AU165" s="190"/>
      <c r="AV165" s="190"/>
      <c r="AW165" s="190"/>
      <c r="AX165" s="190"/>
      <c r="AY165" s="190"/>
      <c r="AZ165" s="190"/>
      <c r="BA165" s="190"/>
      <c r="BB165" s="190"/>
      <c r="BC165" s="190"/>
      <c r="BD165" s="190"/>
      <c r="BE165" s="190"/>
      <c r="BF165" s="190"/>
      <c r="BG165" s="190"/>
      <c r="BH165" s="190"/>
      <c r="BI165" s="190"/>
      <c r="BJ165" s="190"/>
      <c r="BK165" s="190"/>
      <c r="BL165" s="190"/>
      <c r="TU165" s="178"/>
      <c r="TV165" s="178"/>
    </row>
    <row r="166" spans="1:542" x14ac:dyDescent="0.25">
      <c r="A166" s="189" t="s">
        <v>521</v>
      </c>
      <c r="B166" s="116"/>
      <c r="C166" s="113"/>
      <c r="D166" s="105"/>
      <c r="E166" s="190"/>
      <c r="F166" s="190"/>
      <c r="G166" s="190"/>
      <c r="H166" s="190"/>
      <c r="I166" s="190"/>
      <c r="J166" s="190"/>
      <c r="K166" s="190"/>
      <c r="L166" s="190"/>
      <c r="M166" s="190"/>
      <c r="N166" s="190"/>
      <c r="O166" s="190"/>
      <c r="P166" s="190"/>
      <c r="Q166" s="190"/>
      <c r="R166" s="190"/>
      <c r="S166" s="190"/>
      <c r="T166" s="190"/>
      <c r="U166" s="190"/>
      <c r="V166" s="190"/>
      <c r="W166" s="190"/>
      <c r="X166" s="190"/>
      <c r="Y166" s="190"/>
      <c r="Z166" s="190"/>
      <c r="AA166" s="190"/>
      <c r="AB166" s="190"/>
      <c r="AC166" s="190"/>
      <c r="AD166" s="190"/>
      <c r="AE166" s="190"/>
      <c r="AF166" s="190"/>
      <c r="AG166" s="190"/>
      <c r="AH166" s="190"/>
      <c r="AI166" s="190"/>
      <c r="AJ166" s="190"/>
      <c r="AK166" s="190"/>
      <c r="AL166" s="190"/>
      <c r="AM166" s="190"/>
      <c r="AN166" s="190"/>
      <c r="AO166" s="190"/>
      <c r="AP166" s="190"/>
      <c r="AQ166" s="190"/>
      <c r="AR166" s="190"/>
      <c r="AS166" s="190"/>
      <c r="AT166" s="190"/>
      <c r="AU166" s="190"/>
      <c r="AV166" s="190"/>
      <c r="AW166" s="190"/>
      <c r="AX166" s="190"/>
      <c r="AY166" s="190"/>
      <c r="AZ166" s="190"/>
      <c r="BA166" s="190"/>
      <c r="BB166" s="190"/>
      <c r="BC166" s="190"/>
      <c r="BD166" s="190"/>
      <c r="BE166" s="190"/>
      <c r="BF166" s="190"/>
      <c r="BG166" s="190"/>
      <c r="BH166" s="190"/>
      <c r="BI166" s="190"/>
      <c r="BJ166" s="190"/>
      <c r="BK166" s="190"/>
      <c r="BL166" s="190"/>
      <c r="TU166" s="178"/>
      <c r="TV166" s="178"/>
    </row>
    <row r="167" spans="1:542" x14ac:dyDescent="0.25">
      <c r="A167" s="147" t="s">
        <v>112</v>
      </c>
      <c r="B167" s="119"/>
      <c r="C167" s="120"/>
      <c r="D167" s="155"/>
      <c r="E167" s="190"/>
      <c r="F167" s="190"/>
      <c r="G167" s="190"/>
      <c r="H167" s="190"/>
      <c r="I167" s="190"/>
      <c r="J167" s="190"/>
      <c r="K167" s="190"/>
      <c r="L167" s="190"/>
      <c r="M167" s="190"/>
      <c r="N167" s="190"/>
      <c r="O167" s="190"/>
      <c r="P167" s="190"/>
      <c r="Q167" s="190"/>
      <c r="R167" s="190"/>
      <c r="S167" s="190"/>
      <c r="T167" s="190"/>
      <c r="U167" s="190"/>
      <c r="V167" s="190"/>
      <c r="W167" s="190"/>
      <c r="X167" s="190"/>
      <c r="Y167" s="190"/>
      <c r="Z167" s="190"/>
      <c r="AA167" s="190"/>
      <c r="AB167" s="190"/>
      <c r="AC167" s="190"/>
      <c r="AD167" s="190"/>
      <c r="AE167" s="190"/>
      <c r="AF167" s="190"/>
      <c r="AG167" s="190"/>
      <c r="AH167" s="190"/>
      <c r="AI167" s="190"/>
      <c r="AJ167" s="190"/>
      <c r="AK167" s="190"/>
      <c r="AL167" s="190"/>
      <c r="AM167" s="190"/>
      <c r="AN167" s="190"/>
      <c r="AO167" s="190"/>
      <c r="AP167" s="190"/>
      <c r="AQ167" s="190"/>
      <c r="AR167" s="190"/>
      <c r="AS167" s="190"/>
      <c r="AT167" s="190"/>
      <c r="AU167" s="190"/>
      <c r="AV167" s="190"/>
      <c r="AW167" s="190"/>
      <c r="AX167" s="190"/>
      <c r="AY167" s="190"/>
      <c r="AZ167" s="190"/>
      <c r="BA167" s="190"/>
      <c r="BB167" s="190"/>
      <c r="BC167" s="190"/>
      <c r="BD167" s="190"/>
      <c r="BE167" s="190"/>
      <c r="BF167" s="190"/>
      <c r="BG167" s="190"/>
      <c r="BH167" s="190"/>
      <c r="BI167" s="190"/>
      <c r="BJ167" s="190"/>
      <c r="BK167" s="190"/>
      <c r="BL167" s="190"/>
      <c r="TU167" s="178"/>
      <c r="TV167" s="178"/>
    </row>
    <row r="168" spans="1:542" x14ac:dyDescent="0.25">
      <c r="A168" s="147" t="s">
        <v>113</v>
      </c>
      <c r="B168" s="119" t="s">
        <v>474</v>
      </c>
      <c r="C168" s="120"/>
      <c r="D168" s="155"/>
      <c r="E168" s="190"/>
      <c r="F168" s="190"/>
      <c r="G168" s="190"/>
      <c r="H168" s="190"/>
      <c r="I168" s="190"/>
      <c r="J168" s="190"/>
      <c r="K168" s="190"/>
      <c r="L168" s="190"/>
      <c r="M168" s="190"/>
      <c r="N168" s="190"/>
      <c r="O168" s="190"/>
      <c r="P168" s="190"/>
      <c r="Q168" s="190"/>
      <c r="R168" s="190"/>
      <c r="S168" s="190"/>
      <c r="T168" s="190"/>
      <c r="U168" s="190"/>
      <c r="V168" s="190"/>
      <c r="W168" s="190"/>
      <c r="X168" s="190"/>
      <c r="Y168" s="190"/>
      <c r="Z168" s="190"/>
      <c r="AA168" s="190"/>
      <c r="AB168" s="190"/>
      <c r="AC168" s="190"/>
      <c r="AD168" s="190"/>
      <c r="AE168" s="190"/>
      <c r="AF168" s="190"/>
      <c r="AG168" s="190"/>
      <c r="AH168" s="190"/>
      <c r="AI168" s="190"/>
      <c r="AJ168" s="190"/>
      <c r="AK168" s="190"/>
      <c r="AL168" s="190"/>
      <c r="AM168" s="190"/>
      <c r="AN168" s="190"/>
      <c r="AO168" s="190"/>
      <c r="AP168" s="190"/>
      <c r="AQ168" s="190"/>
      <c r="AR168" s="190"/>
      <c r="AS168" s="190"/>
      <c r="AT168" s="190"/>
      <c r="AU168" s="190"/>
      <c r="AV168" s="190"/>
      <c r="AW168" s="190"/>
      <c r="AX168" s="190"/>
      <c r="AY168" s="190"/>
      <c r="AZ168" s="190"/>
      <c r="BA168" s="190"/>
      <c r="BB168" s="190"/>
      <c r="BC168" s="190"/>
      <c r="BD168" s="190"/>
      <c r="BE168" s="190"/>
      <c r="BF168" s="190"/>
      <c r="BG168" s="190"/>
      <c r="BH168" s="190"/>
      <c r="BI168" s="190"/>
      <c r="BJ168" s="190"/>
      <c r="BK168" s="190"/>
      <c r="BL168" s="190"/>
      <c r="TU168" s="178"/>
      <c r="TV168" s="178"/>
    </row>
    <row r="169" spans="1:542" x14ac:dyDescent="0.25">
      <c r="A169" s="147" t="s">
        <v>114</v>
      </c>
      <c r="B169" s="119" t="s">
        <v>474</v>
      </c>
      <c r="C169" s="120"/>
      <c r="D169" s="155"/>
      <c r="E169" s="190"/>
      <c r="F169" s="190"/>
      <c r="G169" s="190"/>
      <c r="H169" s="190"/>
      <c r="I169" s="190"/>
      <c r="J169" s="190"/>
      <c r="K169" s="190"/>
      <c r="L169" s="190"/>
      <c r="M169" s="190"/>
      <c r="N169" s="190"/>
      <c r="O169" s="190"/>
      <c r="P169" s="190"/>
      <c r="Q169" s="190"/>
      <c r="R169" s="190"/>
      <c r="S169" s="190"/>
      <c r="T169" s="190"/>
      <c r="U169" s="190"/>
      <c r="V169" s="190"/>
      <c r="W169" s="190"/>
      <c r="X169" s="190"/>
      <c r="Y169" s="190"/>
      <c r="Z169" s="190"/>
      <c r="AA169" s="190"/>
      <c r="AB169" s="190"/>
      <c r="AC169" s="190"/>
      <c r="AD169" s="190"/>
      <c r="AE169" s="190"/>
      <c r="AF169" s="190"/>
      <c r="AG169" s="190"/>
      <c r="AH169" s="190"/>
      <c r="AI169" s="190"/>
      <c r="AJ169" s="190"/>
      <c r="AK169" s="190"/>
      <c r="AL169" s="190"/>
      <c r="AM169" s="190"/>
      <c r="AN169" s="190"/>
      <c r="AO169" s="190"/>
      <c r="AP169" s="190"/>
      <c r="AQ169" s="190"/>
      <c r="AR169" s="190"/>
      <c r="AS169" s="190"/>
      <c r="AT169" s="190"/>
      <c r="AU169" s="190"/>
      <c r="AV169" s="190"/>
      <c r="AW169" s="190"/>
      <c r="AX169" s="190"/>
      <c r="AY169" s="190"/>
      <c r="AZ169" s="190"/>
      <c r="BA169" s="190"/>
      <c r="BB169" s="190"/>
      <c r="BC169" s="190"/>
      <c r="BD169" s="190"/>
      <c r="BE169" s="190"/>
      <c r="BF169" s="190"/>
      <c r="BG169" s="190"/>
      <c r="BH169" s="190"/>
      <c r="BI169" s="190"/>
      <c r="BJ169" s="190"/>
      <c r="BK169" s="190"/>
      <c r="BL169" s="190"/>
      <c r="TU169" s="178"/>
      <c r="TV169" s="178"/>
    </row>
    <row r="170" spans="1:542" x14ac:dyDescent="0.25">
      <c r="A170" s="147" t="s">
        <v>115</v>
      </c>
      <c r="B170" s="119" t="s">
        <v>477</v>
      </c>
      <c r="C170" s="120"/>
      <c r="D170" s="155"/>
      <c r="E170" s="190"/>
      <c r="F170" s="190"/>
      <c r="G170" s="190"/>
      <c r="H170" s="190"/>
      <c r="I170" s="190"/>
      <c r="J170" s="190"/>
      <c r="K170" s="190"/>
      <c r="L170" s="190"/>
      <c r="M170" s="190"/>
      <c r="N170" s="190"/>
      <c r="O170" s="190"/>
      <c r="P170" s="190"/>
      <c r="Q170" s="190"/>
      <c r="R170" s="190"/>
      <c r="S170" s="190"/>
      <c r="T170" s="190"/>
      <c r="U170" s="190"/>
      <c r="V170" s="190"/>
      <c r="W170" s="190"/>
      <c r="X170" s="190"/>
      <c r="Y170" s="190"/>
      <c r="Z170" s="190"/>
      <c r="AA170" s="190"/>
      <c r="AB170" s="190"/>
      <c r="AC170" s="190"/>
      <c r="AD170" s="190"/>
      <c r="AE170" s="190"/>
      <c r="AF170" s="190"/>
      <c r="AG170" s="190"/>
      <c r="AH170" s="190"/>
      <c r="AI170" s="190"/>
      <c r="AJ170" s="190"/>
      <c r="AK170" s="190"/>
      <c r="AL170" s="190"/>
      <c r="AM170" s="190"/>
      <c r="AN170" s="190"/>
      <c r="AO170" s="190"/>
      <c r="AP170" s="190"/>
      <c r="AQ170" s="190"/>
      <c r="AR170" s="190"/>
      <c r="AS170" s="190"/>
      <c r="AT170" s="190"/>
      <c r="AU170" s="190"/>
      <c r="AV170" s="190"/>
      <c r="AW170" s="190"/>
      <c r="AX170" s="190"/>
      <c r="AY170" s="190"/>
      <c r="AZ170" s="190"/>
      <c r="BA170" s="190"/>
      <c r="BB170" s="190"/>
      <c r="BC170" s="190"/>
      <c r="BD170" s="190"/>
      <c r="BE170" s="190"/>
      <c r="BF170" s="190"/>
      <c r="BG170" s="190"/>
      <c r="BH170" s="190"/>
      <c r="BI170" s="190"/>
      <c r="BJ170" s="190"/>
      <c r="BK170" s="190"/>
      <c r="BL170" s="190"/>
      <c r="TU170" s="178"/>
      <c r="TV170" s="178"/>
    </row>
    <row r="171" spans="1:542" x14ac:dyDescent="0.25">
      <c r="A171" s="147" t="s">
        <v>116</v>
      </c>
      <c r="B171" s="119" t="s">
        <v>477</v>
      </c>
      <c r="C171" s="120"/>
      <c r="D171" s="155"/>
      <c r="E171" s="190"/>
      <c r="F171" s="190"/>
      <c r="G171" s="190"/>
      <c r="H171" s="190"/>
      <c r="I171" s="190"/>
      <c r="J171" s="190"/>
      <c r="K171" s="190"/>
      <c r="L171" s="190"/>
      <c r="M171" s="190"/>
      <c r="N171" s="190"/>
      <c r="O171" s="190"/>
      <c r="P171" s="190"/>
      <c r="Q171" s="190"/>
      <c r="R171" s="190"/>
      <c r="S171" s="190"/>
      <c r="T171" s="190"/>
      <c r="U171" s="190"/>
      <c r="V171" s="190"/>
      <c r="W171" s="190"/>
      <c r="X171" s="190"/>
      <c r="Y171" s="190"/>
      <c r="Z171" s="190"/>
      <c r="AA171" s="190"/>
      <c r="AB171" s="190"/>
      <c r="AC171" s="190"/>
      <c r="AD171" s="190"/>
      <c r="AE171" s="190"/>
      <c r="AF171" s="190"/>
      <c r="AG171" s="190"/>
      <c r="AH171" s="190"/>
      <c r="AI171" s="190"/>
      <c r="AJ171" s="190"/>
      <c r="AK171" s="190"/>
      <c r="AL171" s="190"/>
      <c r="AM171" s="190"/>
      <c r="AN171" s="190"/>
      <c r="AO171" s="190"/>
      <c r="AP171" s="190"/>
      <c r="AQ171" s="190"/>
      <c r="AR171" s="190"/>
      <c r="AS171" s="190"/>
      <c r="AT171" s="190"/>
      <c r="AU171" s="190"/>
      <c r="AV171" s="190"/>
      <c r="AW171" s="190"/>
      <c r="AX171" s="190"/>
      <c r="AY171" s="190"/>
      <c r="AZ171" s="190"/>
      <c r="BA171" s="190"/>
      <c r="BB171" s="190"/>
      <c r="BC171" s="190"/>
      <c r="BD171" s="190"/>
      <c r="BE171" s="190"/>
      <c r="BF171" s="190"/>
      <c r="BG171" s="190"/>
      <c r="BH171" s="190"/>
      <c r="BI171" s="190"/>
      <c r="BJ171" s="190"/>
      <c r="BK171" s="190"/>
      <c r="BL171" s="190"/>
      <c r="TU171" s="178"/>
      <c r="TV171" s="178"/>
    </row>
    <row r="172" spans="1:542" x14ac:dyDescent="0.25">
      <c r="A172" s="147" t="s">
        <v>117</v>
      </c>
      <c r="B172" s="119" t="s">
        <v>475</v>
      </c>
      <c r="C172" s="120"/>
      <c r="D172" s="155"/>
      <c r="E172" s="190"/>
      <c r="F172" s="190"/>
      <c r="G172" s="190"/>
      <c r="H172" s="190"/>
      <c r="I172" s="190"/>
      <c r="J172" s="190"/>
      <c r="K172" s="190"/>
      <c r="L172" s="190"/>
      <c r="M172" s="190"/>
      <c r="N172" s="190"/>
      <c r="O172" s="190"/>
      <c r="P172" s="190"/>
      <c r="Q172" s="190"/>
      <c r="R172" s="190"/>
      <c r="S172" s="190"/>
      <c r="T172" s="190"/>
      <c r="U172" s="190"/>
      <c r="V172" s="190"/>
      <c r="W172" s="190"/>
      <c r="X172" s="190"/>
      <c r="Y172" s="190"/>
      <c r="Z172" s="190"/>
      <c r="AA172" s="190"/>
      <c r="AB172" s="190"/>
      <c r="AC172" s="190"/>
      <c r="AD172" s="190"/>
      <c r="AE172" s="190"/>
      <c r="AF172" s="190"/>
      <c r="AG172" s="190"/>
      <c r="AH172" s="190"/>
      <c r="AI172" s="190"/>
      <c r="AJ172" s="190"/>
      <c r="AK172" s="190"/>
      <c r="AL172" s="190"/>
      <c r="AM172" s="190"/>
      <c r="AN172" s="190"/>
      <c r="AO172" s="190"/>
      <c r="AP172" s="190"/>
      <c r="AQ172" s="190"/>
      <c r="AR172" s="190"/>
      <c r="AS172" s="190"/>
      <c r="AT172" s="190"/>
      <c r="AU172" s="190"/>
      <c r="AV172" s="190"/>
      <c r="AW172" s="190"/>
      <c r="AX172" s="190"/>
      <c r="AY172" s="190"/>
      <c r="AZ172" s="190"/>
      <c r="BA172" s="190"/>
      <c r="BB172" s="190"/>
      <c r="BC172" s="190"/>
      <c r="BD172" s="190"/>
      <c r="BE172" s="190"/>
      <c r="BF172" s="190"/>
      <c r="BG172" s="190"/>
      <c r="BH172" s="190"/>
      <c r="BI172" s="190"/>
      <c r="BJ172" s="190"/>
      <c r="BK172" s="190"/>
      <c r="BL172" s="190"/>
      <c r="TU172" s="178"/>
      <c r="TV172" s="178"/>
    </row>
    <row r="173" spans="1:542" x14ac:dyDescent="0.25">
      <c r="A173" s="147" t="s">
        <v>118</v>
      </c>
      <c r="B173" s="119" t="s">
        <v>477</v>
      </c>
      <c r="C173" s="120"/>
      <c r="D173" s="155"/>
      <c r="E173" s="190"/>
      <c r="F173" s="190"/>
      <c r="G173" s="190"/>
      <c r="H173" s="190"/>
      <c r="I173" s="190"/>
      <c r="J173" s="190"/>
      <c r="K173" s="190"/>
      <c r="L173" s="190"/>
      <c r="M173" s="190"/>
      <c r="N173" s="190"/>
      <c r="O173" s="190"/>
      <c r="P173" s="190"/>
      <c r="Q173" s="190"/>
      <c r="R173" s="190"/>
      <c r="S173" s="190"/>
      <c r="T173" s="190"/>
      <c r="U173" s="190"/>
      <c r="V173" s="190"/>
      <c r="W173" s="190"/>
      <c r="X173" s="190"/>
      <c r="Y173" s="190"/>
      <c r="Z173" s="190"/>
      <c r="AA173" s="190"/>
      <c r="AB173" s="190"/>
      <c r="AC173" s="190"/>
      <c r="AD173" s="190"/>
      <c r="AE173" s="190"/>
      <c r="AF173" s="190"/>
      <c r="AG173" s="190"/>
      <c r="AH173" s="190"/>
      <c r="AI173" s="190"/>
      <c r="AJ173" s="190"/>
      <c r="AK173" s="190"/>
      <c r="AL173" s="190"/>
      <c r="AM173" s="190"/>
      <c r="AN173" s="190"/>
      <c r="AO173" s="190"/>
      <c r="AP173" s="190"/>
      <c r="AQ173" s="190"/>
      <c r="AR173" s="190"/>
      <c r="AS173" s="190"/>
      <c r="AT173" s="190"/>
      <c r="AU173" s="190"/>
      <c r="AV173" s="190"/>
      <c r="AW173" s="190"/>
      <c r="AX173" s="190"/>
      <c r="AY173" s="190"/>
      <c r="AZ173" s="190"/>
      <c r="BA173" s="190"/>
      <c r="BB173" s="190"/>
      <c r="BC173" s="190"/>
      <c r="BD173" s="190"/>
      <c r="BE173" s="190"/>
      <c r="BF173" s="190"/>
      <c r="BG173" s="190"/>
      <c r="BH173" s="190"/>
      <c r="BI173" s="190"/>
      <c r="BJ173" s="190"/>
      <c r="BK173" s="190"/>
      <c r="BL173" s="190"/>
      <c r="TU173" s="178"/>
      <c r="TV173" s="178"/>
    </row>
    <row r="174" spans="1:542" x14ac:dyDescent="0.25">
      <c r="A174" s="147" t="s">
        <v>119</v>
      </c>
      <c r="B174" s="119" t="s">
        <v>477</v>
      </c>
      <c r="C174" s="120"/>
      <c r="D174" s="155"/>
      <c r="E174" s="190"/>
      <c r="F174" s="190"/>
      <c r="G174" s="190"/>
      <c r="H174" s="190"/>
      <c r="I174" s="190"/>
      <c r="J174" s="190"/>
      <c r="K174" s="190"/>
      <c r="L174" s="190"/>
      <c r="M174" s="190"/>
      <c r="N174" s="190"/>
      <c r="O174" s="190"/>
      <c r="P174" s="190"/>
      <c r="Q174" s="190"/>
      <c r="R174" s="190"/>
      <c r="S174" s="190"/>
      <c r="T174" s="190"/>
      <c r="U174" s="190"/>
      <c r="V174" s="190"/>
      <c r="W174" s="190"/>
      <c r="X174" s="190"/>
      <c r="Y174" s="190"/>
      <c r="Z174" s="190"/>
      <c r="AA174" s="190"/>
      <c r="AB174" s="190"/>
      <c r="AC174" s="190"/>
      <c r="AD174" s="190"/>
      <c r="AE174" s="190"/>
      <c r="AF174" s="190"/>
      <c r="AG174" s="190"/>
      <c r="AH174" s="190"/>
      <c r="AI174" s="190"/>
      <c r="AJ174" s="190"/>
      <c r="AK174" s="190"/>
      <c r="AL174" s="190"/>
      <c r="AM174" s="190"/>
      <c r="AN174" s="190"/>
      <c r="AO174" s="190"/>
      <c r="AP174" s="190"/>
      <c r="AQ174" s="190"/>
      <c r="AR174" s="190"/>
      <c r="AS174" s="190"/>
      <c r="AT174" s="190"/>
      <c r="AU174" s="190"/>
      <c r="AV174" s="190"/>
      <c r="AW174" s="190"/>
      <c r="AX174" s="190"/>
      <c r="AY174" s="190"/>
      <c r="AZ174" s="190"/>
      <c r="BA174" s="190"/>
      <c r="BB174" s="190"/>
      <c r="BC174" s="190"/>
      <c r="BD174" s="190"/>
      <c r="BE174" s="190"/>
      <c r="BF174" s="190"/>
      <c r="BG174" s="190"/>
      <c r="BH174" s="190"/>
      <c r="BI174" s="190"/>
      <c r="BJ174" s="190"/>
      <c r="BK174" s="190"/>
      <c r="BL174" s="190"/>
      <c r="TU174" s="178"/>
      <c r="TV174" s="178"/>
    </row>
    <row r="175" spans="1:542" ht="30" x14ac:dyDescent="0.25">
      <c r="A175" s="96" t="s">
        <v>344</v>
      </c>
      <c r="B175" s="158" t="str">
        <f>"[none/list of adjustments]"</f>
        <v>[none/list of adjustments]</v>
      </c>
      <c r="C175" s="159"/>
      <c r="D175" s="155"/>
      <c r="E175" s="190"/>
      <c r="F175" s="190"/>
      <c r="G175" s="190"/>
      <c r="H175" s="190"/>
      <c r="I175" s="190"/>
      <c r="J175" s="190"/>
      <c r="K175" s="190"/>
      <c r="L175" s="190"/>
      <c r="M175" s="190"/>
      <c r="N175" s="190"/>
      <c r="O175" s="190"/>
      <c r="P175" s="190"/>
      <c r="Q175" s="190"/>
      <c r="R175" s="190"/>
      <c r="S175" s="190"/>
      <c r="T175" s="190"/>
      <c r="U175" s="190"/>
      <c r="V175" s="190"/>
      <c r="W175" s="190"/>
      <c r="X175" s="190"/>
      <c r="Y175" s="190"/>
      <c r="Z175" s="190"/>
      <c r="AA175" s="190"/>
      <c r="AB175" s="190"/>
      <c r="AC175" s="190"/>
      <c r="AD175" s="190"/>
      <c r="AE175" s="190"/>
      <c r="AF175" s="190"/>
      <c r="AG175" s="190"/>
      <c r="AH175" s="190"/>
      <c r="AI175" s="190"/>
      <c r="AJ175" s="190"/>
      <c r="AK175" s="190"/>
      <c r="AL175" s="190"/>
      <c r="AM175" s="190"/>
      <c r="AN175" s="190"/>
      <c r="AO175" s="190"/>
      <c r="AP175" s="190"/>
      <c r="AQ175" s="190"/>
      <c r="AR175" s="190"/>
      <c r="AS175" s="190"/>
      <c r="AT175" s="190"/>
      <c r="AU175" s="190"/>
      <c r="AV175" s="190"/>
      <c r="AW175" s="190"/>
      <c r="AX175" s="190"/>
      <c r="AY175" s="190"/>
      <c r="AZ175" s="190"/>
      <c r="BA175" s="190"/>
      <c r="BB175" s="190"/>
      <c r="BC175" s="190"/>
      <c r="BD175" s="190"/>
      <c r="BE175" s="190"/>
      <c r="BF175" s="190"/>
      <c r="BG175" s="190"/>
      <c r="BH175" s="190"/>
      <c r="BI175" s="190"/>
      <c r="BJ175" s="190"/>
      <c r="BK175" s="190"/>
      <c r="BL175" s="190"/>
      <c r="TU175" s="178"/>
      <c r="TV175" s="178"/>
    </row>
    <row r="176" spans="1:542" x14ac:dyDescent="0.25">
      <c r="A176" s="147" t="s">
        <v>120</v>
      </c>
      <c r="B176" s="119" t="s">
        <v>468</v>
      </c>
      <c r="C176" s="120"/>
      <c r="D176" s="155"/>
      <c r="E176" s="190"/>
      <c r="F176" s="190"/>
      <c r="G176" s="190"/>
      <c r="H176" s="190"/>
      <c r="I176" s="190"/>
      <c r="J176" s="190"/>
      <c r="K176" s="190"/>
      <c r="L176" s="190"/>
      <c r="M176" s="190"/>
      <c r="N176" s="190"/>
      <c r="O176" s="190"/>
      <c r="P176" s="190"/>
      <c r="Q176" s="190"/>
      <c r="R176" s="190"/>
      <c r="S176" s="190"/>
      <c r="T176" s="190"/>
      <c r="U176" s="190"/>
      <c r="V176" s="190"/>
      <c r="W176" s="190"/>
      <c r="X176" s="190"/>
      <c r="Y176" s="190"/>
      <c r="Z176" s="190"/>
      <c r="AA176" s="190"/>
      <c r="AB176" s="190"/>
      <c r="AC176" s="190"/>
      <c r="AD176" s="190"/>
      <c r="AE176" s="190"/>
      <c r="AF176" s="190"/>
      <c r="AG176" s="190"/>
      <c r="AH176" s="190"/>
      <c r="AI176" s="190"/>
      <c r="AJ176" s="190"/>
      <c r="AK176" s="190"/>
      <c r="AL176" s="190"/>
      <c r="AM176" s="190"/>
      <c r="AN176" s="190"/>
      <c r="AO176" s="190"/>
      <c r="AP176" s="190"/>
      <c r="AQ176" s="190"/>
      <c r="AR176" s="190"/>
      <c r="AS176" s="190"/>
      <c r="AT176" s="190"/>
      <c r="AU176" s="190"/>
      <c r="AV176" s="190"/>
      <c r="AW176" s="190"/>
      <c r="AX176" s="190"/>
      <c r="AY176" s="190"/>
      <c r="AZ176" s="190"/>
      <c r="BA176" s="190"/>
      <c r="BB176" s="190"/>
      <c r="BC176" s="190"/>
      <c r="BD176" s="190"/>
      <c r="BE176" s="190"/>
      <c r="BF176" s="190"/>
      <c r="BG176" s="190"/>
      <c r="BH176" s="190"/>
      <c r="BI176" s="190"/>
      <c r="BJ176" s="190"/>
      <c r="BK176" s="190"/>
      <c r="BL176" s="190"/>
      <c r="TU176" s="178"/>
      <c r="TV176" s="178"/>
    </row>
    <row r="177" spans="1:542" x14ac:dyDescent="0.25">
      <c r="A177" s="96" t="s">
        <v>121</v>
      </c>
      <c r="B177" s="158" t="str">
        <f>"rpm"</f>
        <v>rpm</v>
      </c>
      <c r="C177" s="159"/>
      <c r="D177" s="155"/>
      <c r="E177" s="190"/>
      <c r="F177" s="190"/>
      <c r="G177" s="190"/>
      <c r="H177" s="190"/>
      <c r="I177" s="190"/>
      <c r="J177" s="190"/>
      <c r="K177" s="190"/>
      <c r="L177" s="190"/>
      <c r="M177" s="190"/>
      <c r="N177" s="190"/>
      <c r="O177" s="190"/>
      <c r="P177" s="190"/>
      <c r="Q177" s="190"/>
      <c r="R177" s="190"/>
      <c r="S177" s="190"/>
      <c r="T177" s="190"/>
      <c r="U177" s="190"/>
      <c r="V177" s="190"/>
      <c r="W177" s="190"/>
      <c r="X177" s="190"/>
      <c r="Y177" s="190"/>
      <c r="Z177" s="190"/>
      <c r="AA177" s="190"/>
      <c r="AB177" s="190"/>
      <c r="AC177" s="190"/>
      <c r="AD177" s="190"/>
      <c r="AE177" s="190"/>
      <c r="AF177" s="190"/>
      <c r="AG177" s="190"/>
      <c r="AH177" s="190"/>
      <c r="AI177" s="190"/>
      <c r="AJ177" s="190"/>
      <c r="AK177" s="190"/>
      <c r="AL177" s="190"/>
      <c r="AM177" s="190"/>
      <c r="AN177" s="190"/>
      <c r="AO177" s="190"/>
      <c r="AP177" s="190"/>
      <c r="AQ177" s="190"/>
      <c r="AR177" s="190"/>
      <c r="AS177" s="190"/>
      <c r="AT177" s="190"/>
      <c r="AU177" s="190"/>
      <c r="AV177" s="190"/>
      <c r="AW177" s="190"/>
      <c r="AX177" s="190"/>
      <c r="AY177" s="190"/>
      <c r="AZ177" s="190"/>
      <c r="BA177" s="190"/>
      <c r="BB177" s="190"/>
      <c r="BC177" s="190"/>
      <c r="BD177" s="190"/>
      <c r="BE177" s="190"/>
      <c r="BF177" s="190"/>
      <c r="BG177" s="190"/>
      <c r="BH177" s="190"/>
      <c r="BI177" s="190"/>
      <c r="BJ177" s="190"/>
      <c r="BK177" s="190"/>
      <c r="BL177" s="190"/>
      <c r="TU177" s="178"/>
      <c r="TV177" s="178"/>
    </row>
    <row r="178" spans="1:542" x14ac:dyDescent="0.25">
      <c r="A178" s="147" t="s">
        <v>122</v>
      </c>
      <c r="B178" s="119" t="s">
        <v>469</v>
      </c>
      <c r="C178" s="120"/>
      <c r="D178" s="155"/>
      <c r="E178" s="190"/>
      <c r="F178" s="190"/>
      <c r="G178" s="190"/>
      <c r="H178" s="190"/>
      <c r="I178" s="190"/>
      <c r="J178" s="190"/>
      <c r="K178" s="190"/>
      <c r="L178" s="190"/>
      <c r="M178" s="190"/>
      <c r="N178" s="190"/>
      <c r="O178" s="190"/>
      <c r="P178" s="190"/>
      <c r="Q178" s="190"/>
      <c r="R178" s="190"/>
      <c r="S178" s="190"/>
      <c r="T178" s="190"/>
      <c r="U178" s="190"/>
      <c r="V178" s="190"/>
      <c r="W178" s="190"/>
      <c r="X178" s="190"/>
      <c r="Y178" s="190"/>
      <c r="Z178" s="190"/>
      <c r="AA178" s="190"/>
      <c r="AB178" s="190"/>
      <c r="AC178" s="190"/>
      <c r="AD178" s="190"/>
      <c r="AE178" s="190"/>
      <c r="AF178" s="190"/>
      <c r="AG178" s="190"/>
      <c r="AH178" s="190"/>
      <c r="AI178" s="190"/>
      <c r="AJ178" s="190"/>
      <c r="AK178" s="190"/>
      <c r="AL178" s="190"/>
      <c r="AM178" s="190"/>
      <c r="AN178" s="190"/>
      <c r="AO178" s="190"/>
      <c r="AP178" s="190"/>
      <c r="AQ178" s="190"/>
      <c r="AR178" s="190"/>
      <c r="AS178" s="190"/>
      <c r="AT178" s="190"/>
      <c r="AU178" s="190"/>
      <c r="AV178" s="190"/>
      <c r="AW178" s="190"/>
      <c r="AX178" s="190"/>
      <c r="AY178" s="190"/>
      <c r="AZ178" s="190"/>
      <c r="BA178" s="190"/>
      <c r="BB178" s="190"/>
      <c r="BC178" s="190"/>
      <c r="BD178" s="190"/>
      <c r="BE178" s="190"/>
      <c r="BF178" s="190"/>
      <c r="BG178" s="190"/>
      <c r="BH178" s="190"/>
      <c r="BI178" s="190"/>
      <c r="BJ178" s="190"/>
      <c r="BK178" s="190"/>
      <c r="BL178" s="190"/>
      <c r="TU178" s="178"/>
      <c r="TV178" s="178"/>
    </row>
    <row r="179" spans="1:542" x14ac:dyDescent="0.25">
      <c r="A179" s="147" t="s">
        <v>123</v>
      </c>
      <c r="B179" s="119" t="s">
        <v>469</v>
      </c>
      <c r="C179" s="120"/>
      <c r="D179" s="155"/>
      <c r="E179" s="190"/>
      <c r="F179" s="190"/>
      <c r="G179" s="190"/>
      <c r="H179" s="190"/>
      <c r="I179" s="190"/>
      <c r="J179" s="190"/>
      <c r="K179" s="190"/>
      <c r="L179" s="190"/>
      <c r="M179" s="190"/>
      <c r="N179" s="190"/>
      <c r="O179" s="190"/>
      <c r="P179" s="190"/>
      <c r="Q179" s="190"/>
      <c r="R179" s="190"/>
      <c r="S179" s="190"/>
      <c r="T179" s="190"/>
      <c r="U179" s="190"/>
      <c r="V179" s="190"/>
      <c r="W179" s="190"/>
      <c r="X179" s="190"/>
      <c r="Y179" s="190"/>
      <c r="Z179" s="190"/>
      <c r="AA179" s="190"/>
      <c r="AB179" s="190"/>
      <c r="AC179" s="190"/>
      <c r="AD179" s="190"/>
      <c r="AE179" s="190"/>
      <c r="AF179" s="190"/>
      <c r="AG179" s="190"/>
      <c r="AH179" s="190"/>
      <c r="AI179" s="190"/>
      <c r="AJ179" s="190"/>
      <c r="AK179" s="190"/>
      <c r="AL179" s="190"/>
      <c r="AM179" s="190"/>
      <c r="AN179" s="190"/>
      <c r="AO179" s="190"/>
      <c r="AP179" s="190"/>
      <c r="AQ179" s="190"/>
      <c r="AR179" s="190"/>
      <c r="AS179" s="190"/>
      <c r="AT179" s="190"/>
      <c r="AU179" s="190"/>
      <c r="AV179" s="190"/>
      <c r="AW179" s="190"/>
      <c r="AX179" s="190"/>
      <c r="AY179" s="190"/>
      <c r="AZ179" s="190"/>
      <c r="BA179" s="190"/>
      <c r="BB179" s="190"/>
      <c r="BC179" s="190"/>
      <c r="BD179" s="190"/>
      <c r="BE179" s="190"/>
      <c r="BF179" s="190"/>
      <c r="BG179" s="190"/>
      <c r="BH179" s="190"/>
      <c r="BI179" s="190"/>
      <c r="BJ179" s="190"/>
      <c r="BK179" s="190"/>
      <c r="BL179" s="190"/>
      <c r="TU179" s="178"/>
      <c r="TV179" s="178"/>
    </row>
    <row r="180" spans="1:542" x14ac:dyDescent="0.25">
      <c r="A180" s="147" t="s">
        <v>124</v>
      </c>
      <c r="B180" s="119" t="s">
        <v>475</v>
      </c>
      <c r="C180" s="120"/>
      <c r="D180" s="155"/>
      <c r="E180" s="190"/>
      <c r="F180" s="190"/>
      <c r="G180" s="190"/>
      <c r="H180" s="190"/>
      <c r="I180" s="190"/>
      <c r="J180" s="190"/>
      <c r="K180" s="190"/>
      <c r="L180" s="190"/>
      <c r="M180" s="190"/>
      <c r="N180" s="190"/>
      <c r="O180" s="190"/>
      <c r="P180" s="190"/>
      <c r="Q180" s="190"/>
      <c r="R180" s="190"/>
      <c r="S180" s="190"/>
      <c r="T180" s="190"/>
      <c r="U180" s="190"/>
      <c r="V180" s="190"/>
      <c r="W180" s="190"/>
      <c r="X180" s="190"/>
      <c r="Y180" s="190"/>
      <c r="Z180" s="190"/>
      <c r="AA180" s="190"/>
      <c r="AB180" s="190"/>
      <c r="AC180" s="190"/>
      <c r="AD180" s="190"/>
      <c r="AE180" s="190"/>
      <c r="AF180" s="190"/>
      <c r="AG180" s="190"/>
      <c r="AH180" s="190"/>
      <c r="AI180" s="190"/>
      <c r="AJ180" s="190"/>
      <c r="AK180" s="190"/>
      <c r="AL180" s="190"/>
      <c r="AM180" s="190"/>
      <c r="AN180" s="190"/>
      <c r="AO180" s="190"/>
      <c r="AP180" s="190"/>
      <c r="AQ180" s="190"/>
      <c r="AR180" s="190"/>
      <c r="AS180" s="190"/>
      <c r="AT180" s="190"/>
      <c r="AU180" s="190"/>
      <c r="AV180" s="190"/>
      <c r="AW180" s="190"/>
      <c r="AX180" s="190"/>
      <c r="AY180" s="190"/>
      <c r="AZ180" s="190"/>
      <c r="BA180" s="190"/>
      <c r="BB180" s="190"/>
      <c r="BC180" s="190"/>
      <c r="BD180" s="190"/>
      <c r="BE180" s="190"/>
      <c r="BF180" s="190"/>
      <c r="BG180" s="190"/>
      <c r="BH180" s="190"/>
      <c r="BI180" s="190"/>
      <c r="BJ180" s="190"/>
      <c r="BK180" s="190"/>
      <c r="BL180" s="190"/>
      <c r="TU180" s="178"/>
      <c r="TV180" s="178"/>
    </row>
    <row r="181" spans="1:542" x14ac:dyDescent="0.25">
      <c r="A181" s="147" t="s">
        <v>125</v>
      </c>
      <c r="B181" s="119" t="s">
        <v>475</v>
      </c>
      <c r="C181" s="120"/>
      <c r="D181" s="155"/>
      <c r="E181" s="190"/>
      <c r="F181" s="190"/>
      <c r="G181" s="190"/>
      <c r="H181" s="190"/>
      <c r="I181" s="190"/>
      <c r="J181" s="190"/>
      <c r="K181" s="190"/>
      <c r="L181" s="190"/>
      <c r="M181" s="190"/>
      <c r="N181" s="190"/>
      <c r="O181" s="190"/>
      <c r="P181" s="190"/>
      <c r="Q181" s="190"/>
      <c r="R181" s="190"/>
      <c r="S181" s="190"/>
      <c r="T181" s="190"/>
      <c r="U181" s="190"/>
      <c r="V181" s="190"/>
      <c r="W181" s="190"/>
      <c r="X181" s="190"/>
      <c r="Y181" s="190"/>
      <c r="Z181" s="190"/>
      <c r="AA181" s="190"/>
      <c r="AB181" s="190"/>
      <c r="AC181" s="190"/>
      <c r="AD181" s="190"/>
      <c r="AE181" s="190"/>
      <c r="AF181" s="190"/>
      <c r="AG181" s="190"/>
      <c r="AH181" s="190"/>
      <c r="AI181" s="190"/>
      <c r="AJ181" s="190"/>
      <c r="AK181" s="190"/>
      <c r="AL181" s="190"/>
      <c r="AM181" s="190"/>
      <c r="AN181" s="190"/>
      <c r="AO181" s="190"/>
      <c r="AP181" s="190"/>
      <c r="AQ181" s="190"/>
      <c r="AR181" s="190"/>
      <c r="AS181" s="190"/>
      <c r="AT181" s="190"/>
      <c r="AU181" s="190"/>
      <c r="AV181" s="190"/>
      <c r="AW181" s="190"/>
      <c r="AX181" s="190"/>
      <c r="AY181" s="190"/>
      <c r="AZ181" s="190"/>
      <c r="BA181" s="190"/>
      <c r="BB181" s="190"/>
      <c r="BC181" s="190"/>
      <c r="BD181" s="190"/>
      <c r="BE181" s="190"/>
      <c r="BF181" s="190"/>
      <c r="BG181" s="190"/>
      <c r="BH181" s="190"/>
      <c r="BI181" s="190"/>
      <c r="BJ181" s="190"/>
      <c r="BK181" s="190"/>
      <c r="BL181" s="190"/>
      <c r="TU181" s="178"/>
      <c r="TV181" s="178"/>
    </row>
    <row r="182" spans="1:542" x14ac:dyDescent="0.25">
      <c r="A182" s="147" t="s">
        <v>126</v>
      </c>
      <c r="B182" s="119" t="s">
        <v>476</v>
      </c>
      <c r="C182" s="120"/>
      <c r="D182" s="155"/>
      <c r="E182" s="190"/>
      <c r="F182" s="190"/>
      <c r="G182" s="190"/>
      <c r="H182" s="190"/>
      <c r="I182" s="190"/>
      <c r="J182" s="190"/>
      <c r="K182" s="190"/>
      <c r="L182" s="190"/>
      <c r="M182" s="190"/>
      <c r="N182" s="190"/>
      <c r="O182" s="190"/>
      <c r="P182" s="190"/>
      <c r="Q182" s="190"/>
      <c r="R182" s="190"/>
      <c r="S182" s="190"/>
      <c r="T182" s="190"/>
      <c r="U182" s="190"/>
      <c r="V182" s="190"/>
      <c r="W182" s="190"/>
      <c r="X182" s="190"/>
      <c r="Y182" s="190"/>
      <c r="Z182" s="190"/>
      <c r="AA182" s="190"/>
      <c r="AB182" s="190"/>
      <c r="AC182" s="190"/>
      <c r="AD182" s="190"/>
      <c r="AE182" s="190"/>
      <c r="AF182" s="190"/>
      <c r="AG182" s="190"/>
      <c r="AH182" s="190"/>
      <c r="AI182" s="190"/>
      <c r="AJ182" s="190"/>
      <c r="AK182" s="190"/>
      <c r="AL182" s="190"/>
      <c r="AM182" s="190"/>
      <c r="AN182" s="190"/>
      <c r="AO182" s="190"/>
      <c r="AP182" s="190"/>
      <c r="AQ182" s="190"/>
      <c r="AR182" s="190"/>
      <c r="AS182" s="190"/>
      <c r="AT182" s="190"/>
      <c r="AU182" s="190"/>
      <c r="AV182" s="190"/>
      <c r="AW182" s="190"/>
      <c r="AX182" s="190"/>
      <c r="AY182" s="190"/>
      <c r="AZ182" s="190"/>
      <c r="BA182" s="190"/>
      <c r="BB182" s="190"/>
      <c r="BC182" s="190"/>
      <c r="BD182" s="190"/>
      <c r="BE182" s="190"/>
      <c r="BF182" s="190"/>
      <c r="BG182" s="190"/>
      <c r="BH182" s="190"/>
      <c r="BI182" s="190"/>
      <c r="BJ182" s="190"/>
      <c r="BK182" s="190"/>
      <c r="BL182" s="190"/>
      <c r="TU182" s="178"/>
      <c r="TV182" s="178"/>
    </row>
    <row r="183" spans="1:542" x14ac:dyDescent="0.25">
      <c r="A183" s="147" t="s">
        <v>127</v>
      </c>
      <c r="B183" s="119" t="s">
        <v>476</v>
      </c>
      <c r="C183" s="120"/>
      <c r="D183" s="155"/>
      <c r="E183" s="190"/>
      <c r="F183" s="190"/>
      <c r="G183" s="190"/>
      <c r="H183" s="190"/>
      <c r="I183" s="190"/>
      <c r="J183" s="190"/>
      <c r="K183" s="190"/>
      <c r="L183" s="190"/>
      <c r="M183" s="190"/>
      <c r="N183" s="190"/>
      <c r="O183" s="190"/>
      <c r="P183" s="190"/>
      <c r="Q183" s="190"/>
      <c r="R183" s="190"/>
      <c r="S183" s="190"/>
      <c r="T183" s="190"/>
      <c r="U183" s="190"/>
      <c r="V183" s="190"/>
      <c r="W183" s="190"/>
      <c r="X183" s="190"/>
      <c r="Y183" s="190"/>
      <c r="Z183" s="190"/>
      <c r="AA183" s="190"/>
      <c r="AB183" s="190"/>
      <c r="AC183" s="190"/>
      <c r="AD183" s="190"/>
      <c r="AE183" s="190"/>
      <c r="AF183" s="190"/>
      <c r="AG183" s="190"/>
      <c r="AH183" s="190"/>
      <c r="AI183" s="190"/>
      <c r="AJ183" s="190"/>
      <c r="AK183" s="190"/>
      <c r="AL183" s="190"/>
      <c r="AM183" s="190"/>
      <c r="AN183" s="190"/>
      <c r="AO183" s="190"/>
      <c r="AP183" s="190"/>
      <c r="AQ183" s="190"/>
      <c r="AR183" s="190"/>
      <c r="AS183" s="190"/>
      <c r="AT183" s="190"/>
      <c r="AU183" s="190"/>
      <c r="AV183" s="190"/>
      <c r="AW183" s="190"/>
      <c r="AX183" s="190"/>
      <c r="AY183" s="190"/>
      <c r="AZ183" s="190"/>
      <c r="BA183" s="190"/>
      <c r="BB183" s="190"/>
      <c r="BC183" s="190"/>
      <c r="BD183" s="190"/>
      <c r="BE183" s="190"/>
      <c r="BF183" s="190"/>
      <c r="BG183" s="190"/>
      <c r="BH183" s="190"/>
      <c r="BI183" s="190"/>
      <c r="BJ183" s="190"/>
      <c r="BK183" s="190"/>
      <c r="BL183" s="190"/>
      <c r="TU183" s="178"/>
      <c r="TV183" s="178"/>
    </row>
    <row r="184" spans="1:542" x14ac:dyDescent="0.25">
      <c r="A184" s="96" t="s">
        <v>128</v>
      </c>
      <c r="B184" s="158" t="str">
        <f>"bar.g"</f>
        <v>bar.g</v>
      </c>
      <c r="C184" s="159"/>
      <c r="D184" s="155"/>
      <c r="E184" s="190"/>
      <c r="F184" s="190"/>
      <c r="G184" s="190"/>
      <c r="H184" s="190"/>
      <c r="I184" s="190"/>
      <c r="J184" s="190"/>
      <c r="K184" s="190"/>
      <c r="L184" s="190"/>
      <c r="M184" s="190"/>
      <c r="N184" s="190"/>
      <c r="O184" s="190"/>
      <c r="P184" s="190"/>
      <c r="Q184" s="190"/>
      <c r="R184" s="190"/>
      <c r="S184" s="190"/>
      <c r="T184" s="190"/>
      <c r="U184" s="190"/>
      <c r="V184" s="190"/>
      <c r="W184" s="190"/>
      <c r="X184" s="190"/>
      <c r="Y184" s="190"/>
      <c r="Z184" s="190"/>
      <c r="AA184" s="190"/>
      <c r="AB184" s="190"/>
      <c r="AC184" s="190"/>
      <c r="AD184" s="190"/>
      <c r="AE184" s="190"/>
      <c r="AF184" s="190"/>
      <c r="AG184" s="190"/>
      <c r="AH184" s="190"/>
      <c r="AI184" s="190"/>
      <c r="AJ184" s="190"/>
      <c r="AK184" s="190"/>
      <c r="AL184" s="190"/>
      <c r="AM184" s="190"/>
      <c r="AN184" s="190"/>
      <c r="AO184" s="190"/>
      <c r="AP184" s="190"/>
      <c r="AQ184" s="190"/>
      <c r="AR184" s="190"/>
      <c r="AS184" s="190"/>
      <c r="AT184" s="190"/>
      <c r="AU184" s="190"/>
      <c r="AV184" s="190"/>
      <c r="AW184" s="190"/>
      <c r="AX184" s="190"/>
      <c r="AY184" s="190"/>
      <c r="AZ184" s="190"/>
      <c r="BA184" s="190"/>
      <c r="BB184" s="190"/>
      <c r="BC184" s="190"/>
      <c r="BD184" s="190"/>
      <c r="BE184" s="190"/>
      <c r="BF184" s="190"/>
      <c r="BG184" s="190"/>
      <c r="BH184" s="190"/>
      <c r="BI184" s="190"/>
      <c r="BJ184" s="190"/>
      <c r="BK184" s="190"/>
      <c r="BL184" s="190"/>
      <c r="TU184" s="178"/>
      <c r="TV184" s="178"/>
    </row>
    <row r="185" spans="1:542" x14ac:dyDescent="0.25">
      <c r="A185" s="147" t="s">
        <v>129</v>
      </c>
      <c r="B185" s="119" t="s">
        <v>477</v>
      </c>
      <c r="C185" s="120"/>
      <c r="D185" s="155"/>
      <c r="E185" s="190"/>
      <c r="F185" s="190"/>
      <c r="G185" s="190"/>
      <c r="H185" s="190"/>
      <c r="I185" s="190"/>
      <c r="J185" s="190"/>
      <c r="K185" s="190"/>
      <c r="L185" s="190"/>
      <c r="M185" s="190"/>
      <c r="N185" s="190"/>
      <c r="O185" s="190"/>
      <c r="P185" s="190"/>
      <c r="Q185" s="190"/>
      <c r="R185" s="190"/>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TU185" s="178"/>
      <c r="TV185" s="178"/>
    </row>
    <row r="186" spans="1:542" ht="30" x14ac:dyDescent="0.25">
      <c r="A186" s="147" t="s">
        <v>130</v>
      </c>
      <c r="B186" s="119" t="s">
        <v>476</v>
      </c>
      <c r="C186" s="120"/>
      <c r="D186" s="155"/>
      <c r="E186" s="190"/>
      <c r="F186" s="190"/>
      <c r="G186" s="190"/>
      <c r="H186" s="190"/>
      <c r="I186" s="190"/>
      <c r="J186" s="190"/>
      <c r="K186" s="190"/>
      <c r="L186" s="190"/>
      <c r="M186" s="190"/>
      <c r="N186" s="190"/>
      <c r="O186" s="190"/>
      <c r="P186" s="190"/>
      <c r="Q186" s="190"/>
      <c r="R186" s="190"/>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TU186" s="178"/>
      <c r="TV186" s="178"/>
    </row>
    <row r="187" spans="1:542" x14ac:dyDescent="0.25">
      <c r="A187" s="96" t="s">
        <v>131</v>
      </c>
      <c r="B187" s="158" t="str">
        <f>"[yes/no]"</f>
        <v>[yes/no]</v>
      </c>
      <c r="C187" s="159"/>
      <c r="D187" s="155"/>
      <c r="E187" s="190"/>
      <c r="F187" s="190"/>
      <c r="G187" s="190"/>
      <c r="H187" s="190"/>
      <c r="I187" s="190"/>
      <c r="J187" s="190"/>
      <c r="K187" s="190"/>
      <c r="L187" s="190"/>
      <c r="M187" s="190"/>
      <c r="N187" s="190"/>
      <c r="O187" s="190"/>
      <c r="P187" s="190"/>
      <c r="Q187" s="190"/>
      <c r="R187" s="190"/>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TU187" s="178"/>
      <c r="TV187" s="178"/>
    </row>
    <row r="188" spans="1:542" x14ac:dyDescent="0.25">
      <c r="A188" s="189" t="s">
        <v>522</v>
      </c>
      <c r="B188" s="116"/>
      <c r="C188" s="113"/>
      <c r="D188" s="105"/>
      <c r="E188" s="190"/>
      <c r="F188" s="190"/>
      <c r="G188" s="190"/>
      <c r="H188" s="190"/>
      <c r="I188" s="190"/>
      <c r="J188" s="190"/>
      <c r="K188" s="190"/>
      <c r="L188" s="190"/>
      <c r="M188" s="190"/>
      <c r="N188" s="190"/>
      <c r="O188" s="190"/>
      <c r="P188" s="190"/>
      <c r="Q188" s="190"/>
      <c r="R188" s="190"/>
      <c r="S188" s="190"/>
      <c r="T188" s="190"/>
      <c r="U188" s="190"/>
      <c r="V188" s="190"/>
      <c r="W188" s="190"/>
      <c r="X188" s="190"/>
      <c r="Y188" s="190"/>
      <c r="Z188" s="190"/>
      <c r="AA188" s="190"/>
      <c r="AB188" s="190"/>
      <c r="AC188" s="190"/>
      <c r="AD188" s="190"/>
      <c r="AE188" s="190"/>
      <c r="AF188" s="190"/>
      <c r="AG188" s="190"/>
      <c r="AH188" s="190"/>
      <c r="AI188" s="190"/>
      <c r="AJ188" s="190"/>
      <c r="AK188" s="190"/>
      <c r="AL188" s="190"/>
      <c r="AM188" s="190"/>
      <c r="AN188" s="190"/>
      <c r="AO188" s="190"/>
      <c r="AP188" s="190"/>
      <c r="AQ188" s="190"/>
      <c r="AR188" s="190"/>
      <c r="AS188" s="190"/>
      <c r="AT188" s="190"/>
      <c r="AU188" s="190"/>
      <c r="AV188" s="190"/>
      <c r="AW188" s="190"/>
      <c r="AX188" s="190"/>
      <c r="AY188" s="190"/>
      <c r="AZ188" s="190"/>
      <c r="BA188" s="190"/>
      <c r="BB188" s="190"/>
      <c r="BC188" s="190"/>
      <c r="BD188" s="190"/>
      <c r="BE188" s="190"/>
      <c r="BF188" s="190"/>
      <c r="BG188" s="190"/>
      <c r="BH188" s="190"/>
      <c r="BI188" s="190"/>
      <c r="BJ188" s="190"/>
      <c r="BK188" s="190"/>
      <c r="BL188" s="190"/>
      <c r="TU188" s="178"/>
      <c r="TV188" s="178"/>
    </row>
    <row r="189" spans="1:542" x14ac:dyDescent="0.25">
      <c r="A189" s="96" t="s">
        <v>141</v>
      </c>
      <c r="B189" s="158" t="str">
        <f t="shared" ref="B189:B214" si="2">"[yes/no]"</f>
        <v>[yes/no]</v>
      </c>
      <c r="C189" s="159"/>
      <c r="D189" s="155"/>
      <c r="E189" s="190"/>
      <c r="F189" s="190"/>
      <c r="G189" s="190"/>
      <c r="H189" s="190"/>
      <c r="I189" s="190"/>
      <c r="J189" s="190"/>
      <c r="K189" s="190"/>
      <c r="L189" s="190"/>
      <c r="M189" s="190"/>
      <c r="N189" s="190"/>
      <c r="O189" s="190"/>
      <c r="P189" s="190"/>
      <c r="Q189" s="190"/>
      <c r="R189" s="190"/>
      <c r="S189" s="190"/>
      <c r="T189" s="190"/>
      <c r="U189" s="190"/>
      <c r="V189" s="190"/>
      <c r="W189" s="190"/>
      <c r="X189" s="190"/>
      <c r="Y189" s="190"/>
      <c r="Z189" s="190"/>
      <c r="AA189" s="190"/>
      <c r="AB189" s="190"/>
      <c r="AC189" s="190"/>
      <c r="AD189" s="190"/>
      <c r="AE189" s="190"/>
      <c r="AF189" s="190"/>
      <c r="AG189" s="190"/>
      <c r="AH189" s="190"/>
      <c r="AI189" s="190"/>
      <c r="AJ189" s="190"/>
      <c r="AK189" s="190"/>
      <c r="AL189" s="190"/>
      <c r="AM189" s="190"/>
      <c r="AN189" s="190"/>
      <c r="AO189" s="190"/>
      <c r="AP189" s="190"/>
      <c r="AQ189" s="190"/>
      <c r="AR189" s="190"/>
      <c r="AS189" s="190"/>
      <c r="AT189" s="190"/>
      <c r="AU189" s="190"/>
      <c r="AV189" s="190"/>
      <c r="AW189" s="190"/>
      <c r="AX189" s="190"/>
      <c r="AY189" s="190"/>
      <c r="AZ189" s="190"/>
      <c r="BA189" s="190"/>
      <c r="BB189" s="190"/>
      <c r="BC189" s="190"/>
      <c r="BD189" s="190"/>
      <c r="BE189" s="190"/>
      <c r="BF189" s="190"/>
      <c r="BG189" s="190"/>
      <c r="BH189" s="190"/>
      <c r="BI189" s="190"/>
      <c r="BJ189" s="190"/>
      <c r="BK189" s="190"/>
      <c r="BL189" s="190"/>
      <c r="TU189" s="178"/>
      <c r="TV189" s="178"/>
    </row>
    <row r="190" spans="1:542" x14ac:dyDescent="0.25">
      <c r="A190" s="96" t="s">
        <v>142</v>
      </c>
      <c r="B190" s="158" t="str">
        <f t="shared" si="2"/>
        <v>[yes/no]</v>
      </c>
      <c r="C190" s="159"/>
      <c r="D190" s="155"/>
      <c r="E190" s="190"/>
      <c r="F190" s="190"/>
      <c r="G190" s="190"/>
      <c r="H190" s="190"/>
      <c r="I190" s="190"/>
      <c r="J190" s="190"/>
      <c r="K190" s="190"/>
      <c r="L190" s="190"/>
      <c r="M190" s="190"/>
      <c r="N190" s="190"/>
      <c r="O190" s="190"/>
      <c r="P190" s="190"/>
      <c r="Q190" s="190"/>
      <c r="R190" s="190"/>
      <c r="S190" s="190"/>
      <c r="T190" s="190"/>
      <c r="U190" s="190"/>
      <c r="V190" s="190"/>
      <c r="W190" s="190"/>
      <c r="X190" s="190"/>
      <c r="Y190" s="190"/>
      <c r="Z190" s="190"/>
      <c r="AA190" s="190"/>
      <c r="AB190" s="190"/>
      <c r="AC190" s="190"/>
      <c r="AD190" s="190"/>
      <c r="AE190" s="190"/>
      <c r="AF190" s="190"/>
      <c r="AG190" s="190"/>
      <c r="AH190" s="190"/>
      <c r="AI190" s="190"/>
      <c r="AJ190" s="190"/>
      <c r="AK190" s="190"/>
      <c r="AL190" s="190"/>
      <c r="AM190" s="190"/>
      <c r="AN190" s="190"/>
      <c r="AO190" s="190"/>
      <c r="AP190" s="190"/>
      <c r="AQ190" s="190"/>
      <c r="AR190" s="190"/>
      <c r="AS190" s="190"/>
      <c r="AT190" s="190"/>
      <c r="AU190" s="190"/>
      <c r="AV190" s="190"/>
      <c r="AW190" s="190"/>
      <c r="AX190" s="190"/>
      <c r="AY190" s="190"/>
      <c r="AZ190" s="190"/>
      <c r="BA190" s="190"/>
      <c r="BB190" s="190"/>
      <c r="BC190" s="190"/>
      <c r="BD190" s="190"/>
      <c r="BE190" s="190"/>
      <c r="BF190" s="190"/>
      <c r="BG190" s="190"/>
      <c r="BH190" s="190"/>
      <c r="BI190" s="190"/>
      <c r="BJ190" s="190"/>
      <c r="BK190" s="190"/>
      <c r="BL190" s="190"/>
      <c r="TU190" s="178"/>
      <c r="TV190" s="178"/>
    </row>
    <row r="191" spans="1:542" x14ac:dyDescent="0.25">
      <c r="A191" s="96" t="s">
        <v>143</v>
      </c>
      <c r="B191" s="158" t="str">
        <f t="shared" si="2"/>
        <v>[yes/no]</v>
      </c>
      <c r="C191" s="159"/>
      <c r="D191" s="155"/>
      <c r="E191" s="190"/>
      <c r="F191" s="190"/>
      <c r="G191" s="190"/>
      <c r="H191" s="190"/>
      <c r="I191" s="190"/>
      <c r="J191" s="190"/>
      <c r="K191" s="190"/>
      <c r="L191" s="190"/>
      <c r="M191" s="190"/>
      <c r="N191" s="190"/>
      <c r="O191" s="190"/>
      <c r="P191" s="190"/>
      <c r="Q191" s="190"/>
      <c r="R191" s="190"/>
      <c r="S191" s="190"/>
      <c r="T191" s="190"/>
      <c r="U191" s="190"/>
      <c r="V191" s="190"/>
      <c r="W191" s="190"/>
      <c r="X191" s="190"/>
      <c r="Y191" s="190"/>
      <c r="Z191" s="190"/>
      <c r="AA191" s="190"/>
      <c r="AB191" s="190"/>
      <c r="AC191" s="190"/>
      <c r="AD191" s="190"/>
      <c r="AE191" s="190"/>
      <c r="AF191" s="190"/>
      <c r="AG191" s="190"/>
      <c r="AH191" s="190"/>
      <c r="AI191" s="190"/>
      <c r="AJ191" s="190"/>
      <c r="AK191" s="190"/>
      <c r="AL191" s="190"/>
      <c r="AM191" s="190"/>
      <c r="AN191" s="190"/>
      <c r="AO191" s="190"/>
      <c r="AP191" s="190"/>
      <c r="AQ191" s="190"/>
      <c r="AR191" s="190"/>
      <c r="AS191" s="190"/>
      <c r="AT191" s="190"/>
      <c r="AU191" s="190"/>
      <c r="AV191" s="190"/>
      <c r="AW191" s="190"/>
      <c r="AX191" s="190"/>
      <c r="AY191" s="190"/>
      <c r="AZ191" s="190"/>
      <c r="BA191" s="190"/>
      <c r="BB191" s="190"/>
      <c r="BC191" s="190"/>
      <c r="BD191" s="190"/>
      <c r="BE191" s="190"/>
      <c r="BF191" s="190"/>
      <c r="BG191" s="190"/>
      <c r="BH191" s="190"/>
      <c r="BI191" s="190"/>
      <c r="BJ191" s="190"/>
      <c r="BK191" s="190"/>
      <c r="BL191" s="190"/>
      <c r="TU191" s="178"/>
      <c r="TV191" s="178"/>
    </row>
    <row r="192" spans="1:542" x14ac:dyDescent="0.25">
      <c r="A192" s="96" t="s">
        <v>144</v>
      </c>
      <c r="B192" s="158" t="str">
        <f t="shared" si="2"/>
        <v>[yes/no]</v>
      </c>
      <c r="C192" s="159"/>
      <c r="D192" s="155"/>
      <c r="E192" s="190"/>
      <c r="F192" s="190"/>
      <c r="G192" s="190"/>
      <c r="H192" s="190"/>
      <c r="I192" s="190"/>
      <c r="J192" s="190"/>
      <c r="K192" s="190"/>
      <c r="L192" s="190"/>
      <c r="M192" s="190"/>
      <c r="N192" s="190"/>
      <c r="O192" s="190"/>
      <c r="P192" s="190"/>
      <c r="Q192" s="190"/>
      <c r="R192" s="190"/>
      <c r="S192" s="190"/>
      <c r="T192" s="190"/>
      <c r="U192" s="190"/>
      <c r="V192" s="190"/>
      <c r="W192" s="190"/>
      <c r="X192" s="190"/>
      <c r="Y192" s="190"/>
      <c r="Z192" s="190"/>
      <c r="AA192" s="190"/>
      <c r="AB192" s="190"/>
      <c r="AC192" s="190"/>
      <c r="AD192" s="190"/>
      <c r="AE192" s="190"/>
      <c r="AF192" s="190"/>
      <c r="AG192" s="190"/>
      <c r="AH192" s="190"/>
      <c r="AI192" s="190"/>
      <c r="AJ192" s="190"/>
      <c r="AK192" s="190"/>
      <c r="AL192" s="190"/>
      <c r="AM192" s="190"/>
      <c r="AN192" s="190"/>
      <c r="AO192" s="190"/>
      <c r="AP192" s="190"/>
      <c r="AQ192" s="190"/>
      <c r="AR192" s="190"/>
      <c r="AS192" s="190"/>
      <c r="AT192" s="190"/>
      <c r="AU192" s="190"/>
      <c r="AV192" s="190"/>
      <c r="AW192" s="190"/>
      <c r="AX192" s="190"/>
      <c r="AY192" s="190"/>
      <c r="AZ192" s="190"/>
      <c r="BA192" s="190"/>
      <c r="BB192" s="190"/>
      <c r="BC192" s="190"/>
      <c r="BD192" s="190"/>
      <c r="BE192" s="190"/>
      <c r="BF192" s="190"/>
      <c r="BG192" s="190"/>
      <c r="BH192" s="190"/>
      <c r="BI192" s="190"/>
      <c r="BJ192" s="190"/>
      <c r="BK192" s="190"/>
      <c r="BL192" s="190"/>
      <c r="TU192" s="178"/>
      <c r="TV192" s="178"/>
    </row>
    <row r="193" spans="1:542" x14ac:dyDescent="0.25">
      <c r="A193" s="96" t="s">
        <v>145</v>
      </c>
      <c r="B193" s="158" t="str">
        <f t="shared" si="2"/>
        <v>[yes/no]</v>
      </c>
      <c r="C193" s="159"/>
      <c r="D193" s="155"/>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90"/>
      <c r="AC193" s="190"/>
      <c r="AD193" s="190"/>
      <c r="AE193" s="190"/>
      <c r="AF193" s="190"/>
      <c r="AG193" s="190"/>
      <c r="AH193" s="190"/>
      <c r="AI193" s="190"/>
      <c r="AJ193" s="190"/>
      <c r="AK193" s="190"/>
      <c r="AL193" s="190"/>
      <c r="AM193" s="190"/>
      <c r="AN193" s="190"/>
      <c r="AO193" s="190"/>
      <c r="AP193" s="190"/>
      <c r="AQ193" s="190"/>
      <c r="AR193" s="190"/>
      <c r="AS193" s="190"/>
      <c r="AT193" s="190"/>
      <c r="AU193" s="190"/>
      <c r="AV193" s="190"/>
      <c r="AW193" s="190"/>
      <c r="AX193" s="190"/>
      <c r="AY193" s="190"/>
      <c r="AZ193" s="190"/>
      <c r="BA193" s="190"/>
      <c r="BB193" s="190"/>
      <c r="BC193" s="190"/>
      <c r="BD193" s="190"/>
      <c r="BE193" s="190"/>
      <c r="BF193" s="190"/>
      <c r="BG193" s="190"/>
      <c r="BH193" s="190"/>
      <c r="BI193" s="190"/>
      <c r="BJ193" s="190"/>
      <c r="BK193" s="190"/>
      <c r="BL193" s="190"/>
      <c r="TU193" s="178"/>
      <c r="TV193" s="178"/>
    </row>
    <row r="194" spans="1:542" x14ac:dyDescent="0.25">
      <c r="A194" s="96" t="s">
        <v>146</v>
      </c>
      <c r="B194" s="158" t="str">
        <f>"[none/list]"</f>
        <v>[none/list]</v>
      </c>
      <c r="C194" s="159"/>
      <c r="D194" s="155"/>
      <c r="E194" s="190"/>
      <c r="F194" s="190"/>
      <c r="G194" s="190"/>
      <c r="H194" s="190"/>
      <c r="I194" s="190"/>
      <c r="J194" s="190"/>
      <c r="K194" s="190"/>
      <c r="L194" s="190"/>
      <c r="M194" s="190"/>
      <c r="N194" s="190"/>
      <c r="O194" s="190"/>
      <c r="P194" s="190"/>
      <c r="Q194" s="190"/>
      <c r="R194" s="190"/>
      <c r="S194" s="190"/>
      <c r="T194" s="190"/>
      <c r="U194" s="190"/>
      <c r="V194" s="190"/>
      <c r="W194" s="190"/>
      <c r="X194" s="190"/>
      <c r="Y194" s="190"/>
      <c r="Z194" s="190"/>
      <c r="AA194" s="190"/>
      <c r="AB194" s="190"/>
      <c r="AC194" s="190"/>
      <c r="AD194" s="190"/>
      <c r="AE194" s="190"/>
      <c r="AF194" s="190"/>
      <c r="AG194" s="190"/>
      <c r="AH194" s="190"/>
      <c r="AI194" s="190"/>
      <c r="AJ194" s="190"/>
      <c r="AK194" s="190"/>
      <c r="AL194" s="190"/>
      <c r="AM194" s="190"/>
      <c r="AN194" s="190"/>
      <c r="AO194" s="190"/>
      <c r="AP194" s="190"/>
      <c r="AQ194" s="190"/>
      <c r="AR194" s="190"/>
      <c r="AS194" s="190"/>
      <c r="AT194" s="190"/>
      <c r="AU194" s="190"/>
      <c r="AV194" s="190"/>
      <c r="AW194" s="190"/>
      <c r="AX194" s="190"/>
      <c r="AY194" s="190"/>
      <c r="AZ194" s="190"/>
      <c r="BA194" s="190"/>
      <c r="BB194" s="190"/>
      <c r="BC194" s="190"/>
      <c r="BD194" s="190"/>
      <c r="BE194" s="190"/>
      <c r="BF194" s="190"/>
      <c r="BG194" s="190"/>
      <c r="BH194" s="190"/>
      <c r="BI194" s="190"/>
      <c r="BJ194" s="190"/>
      <c r="BK194" s="190"/>
      <c r="BL194" s="190"/>
      <c r="TU194" s="178"/>
      <c r="TV194" s="178"/>
    </row>
    <row r="195" spans="1:542" x14ac:dyDescent="0.25">
      <c r="A195" s="96" t="s">
        <v>147</v>
      </c>
      <c r="B195" s="158" t="str">
        <f t="shared" ref="B195:B219" si="3">"[yes/no]"</f>
        <v>[yes/no]</v>
      </c>
      <c r="C195" s="159"/>
      <c r="D195" s="155"/>
      <c r="E195" s="190"/>
      <c r="F195" s="190"/>
      <c r="G195" s="190"/>
      <c r="H195" s="190"/>
      <c r="I195" s="190"/>
      <c r="J195" s="190"/>
      <c r="K195" s="190"/>
      <c r="L195" s="190"/>
      <c r="M195" s="190"/>
      <c r="N195" s="190"/>
      <c r="O195" s="190"/>
      <c r="P195" s="190"/>
      <c r="Q195" s="190"/>
      <c r="R195" s="190"/>
      <c r="S195" s="190"/>
      <c r="T195" s="190"/>
      <c r="U195" s="190"/>
      <c r="V195" s="190"/>
      <c r="W195" s="190"/>
      <c r="X195" s="190"/>
      <c r="Y195" s="190"/>
      <c r="Z195" s="190"/>
      <c r="AA195" s="190"/>
      <c r="AB195" s="190"/>
      <c r="AC195" s="190"/>
      <c r="AD195" s="190"/>
      <c r="AE195" s="190"/>
      <c r="AF195" s="190"/>
      <c r="AG195" s="190"/>
      <c r="AH195" s="190"/>
      <c r="AI195" s="190"/>
      <c r="AJ195" s="190"/>
      <c r="AK195" s="190"/>
      <c r="AL195" s="190"/>
      <c r="AM195" s="190"/>
      <c r="AN195" s="190"/>
      <c r="AO195" s="190"/>
      <c r="AP195" s="190"/>
      <c r="AQ195" s="190"/>
      <c r="AR195" s="190"/>
      <c r="AS195" s="190"/>
      <c r="AT195" s="190"/>
      <c r="AU195" s="190"/>
      <c r="AV195" s="190"/>
      <c r="AW195" s="190"/>
      <c r="AX195" s="190"/>
      <c r="AY195" s="190"/>
      <c r="AZ195" s="190"/>
      <c r="BA195" s="190"/>
      <c r="BB195" s="190"/>
      <c r="BC195" s="190"/>
      <c r="BD195" s="190"/>
      <c r="BE195" s="190"/>
      <c r="BF195" s="190"/>
      <c r="BG195" s="190"/>
      <c r="BH195" s="190"/>
      <c r="BI195" s="190"/>
      <c r="BJ195" s="190"/>
      <c r="BK195" s="190"/>
      <c r="BL195" s="190"/>
      <c r="TU195" s="178"/>
      <c r="TV195" s="178"/>
    </row>
    <row r="196" spans="1:542" x14ac:dyDescent="0.25">
      <c r="A196" s="96" t="s">
        <v>148</v>
      </c>
      <c r="B196" s="158" t="str">
        <f>"[none/list]"</f>
        <v>[none/list]</v>
      </c>
      <c r="C196" s="159"/>
      <c r="D196" s="155"/>
      <c r="E196" s="190"/>
      <c r="F196" s="190"/>
      <c r="G196" s="190"/>
      <c r="H196" s="190"/>
      <c r="I196" s="190"/>
      <c r="J196" s="190"/>
      <c r="K196" s="190"/>
      <c r="L196" s="190"/>
      <c r="M196" s="190"/>
      <c r="N196" s="190"/>
      <c r="O196" s="190"/>
      <c r="P196" s="190"/>
      <c r="Q196" s="190"/>
      <c r="R196" s="190"/>
      <c r="S196" s="190"/>
      <c r="T196" s="190"/>
      <c r="U196" s="190"/>
      <c r="V196" s="190"/>
      <c r="W196" s="190"/>
      <c r="X196" s="190"/>
      <c r="Y196" s="190"/>
      <c r="Z196" s="190"/>
      <c r="AA196" s="190"/>
      <c r="AB196" s="190"/>
      <c r="AC196" s="190"/>
      <c r="AD196" s="190"/>
      <c r="AE196" s="190"/>
      <c r="AF196" s="190"/>
      <c r="AG196" s="190"/>
      <c r="AH196" s="190"/>
      <c r="AI196" s="190"/>
      <c r="AJ196" s="190"/>
      <c r="AK196" s="190"/>
      <c r="AL196" s="190"/>
      <c r="AM196" s="190"/>
      <c r="AN196" s="190"/>
      <c r="AO196" s="190"/>
      <c r="AP196" s="190"/>
      <c r="AQ196" s="190"/>
      <c r="AR196" s="190"/>
      <c r="AS196" s="190"/>
      <c r="AT196" s="190"/>
      <c r="AU196" s="190"/>
      <c r="AV196" s="190"/>
      <c r="AW196" s="190"/>
      <c r="AX196" s="190"/>
      <c r="AY196" s="190"/>
      <c r="AZ196" s="190"/>
      <c r="BA196" s="190"/>
      <c r="BB196" s="190"/>
      <c r="BC196" s="190"/>
      <c r="BD196" s="190"/>
      <c r="BE196" s="190"/>
      <c r="BF196" s="190"/>
      <c r="BG196" s="190"/>
      <c r="BH196" s="190"/>
      <c r="BI196" s="190"/>
      <c r="BJ196" s="190"/>
      <c r="BK196" s="190"/>
      <c r="BL196" s="190"/>
      <c r="TU196" s="178"/>
      <c r="TV196" s="178"/>
    </row>
    <row r="197" spans="1:542" x14ac:dyDescent="0.25">
      <c r="A197" s="96" t="s">
        <v>149</v>
      </c>
      <c r="B197" s="158" t="str">
        <f>"[none/list]"</f>
        <v>[none/list]</v>
      </c>
      <c r="C197" s="159"/>
      <c r="D197" s="155"/>
      <c r="E197" s="190"/>
      <c r="F197" s="190"/>
      <c r="G197" s="190"/>
      <c r="H197" s="190"/>
      <c r="I197" s="190"/>
      <c r="J197" s="190"/>
      <c r="K197" s="190"/>
      <c r="L197" s="190"/>
      <c r="M197" s="190"/>
      <c r="N197" s="190"/>
      <c r="O197" s="190"/>
      <c r="P197" s="190"/>
      <c r="Q197" s="190"/>
      <c r="R197" s="190"/>
      <c r="S197" s="190"/>
      <c r="T197" s="190"/>
      <c r="U197" s="190"/>
      <c r="V197" s="190"/>
      <c r="W197" s="190"/>
      <c r="X197" s="190"/>
      <c r="Y197" s="190"/>
      <c r="Z197" s="190"/>
      <c r="AA197" s="190"/>
      <c r="AB197" s="190"/>
      <c r="AC197" s="190"/>
      <c r="AD197" s="190"/>
      <c r="AE197" s="190"/>
      <c r="AF197" s="190"/>
      <c r="AG197" s="190"/>
      <c r="AH197" s="190"/>
      <c r="AI197" s="190"/>
      <c r="AJ197" s="190"/>
      <c r="AK197" s="190"/>
      <c r="AL197" s="190"/>
      <c r="AM197" s="190"/>
      <c r="AN197" s="190"/>
      <c r="AO197" s="190"/>
      <c r="AP197" s="190"/>
      <c r="AQ197" s="190"/>
      <c r="AR197" s="190"/>
      <c r="AS197" s="190"/>
      <c r="AT197" s="190"/>
      <c r="AU197" s="190"/>
      <c r="AV197" s="190"/>
      <c r="AW197" s="190"/>
      <c r="AX197" s="190"/>
      <c r="AY197" s="190"/>
      <c r="AZ197" s="190"/>
      <c r="BA197" s="190"/>
      <c r="BB197" s="190"/>
      <c r="BC197" s="190"/>
      <c r="BD197" s="190"/>
      <c r="BE197" s="190"/>
      <c r="BF197" s="190"/>
      <c r="BG197" s="190"/>
      <c r="BH197" s="190"/>
      <c r="BI197" s="190"/>
      <c r="BJ197" s="190"/>
      <c r="BK197" s="190"/>
      <c r="BL197" s="190"/>
      <c r="TU197" s="178"/>
      <c r="TV197" s="178"/>
    </row>
    <row r="198" spans="1:542" x14ac:dyDescent="0.25">
      <c r="A198" s="96" t="s">
        <v>326</v>
      </c>
      <c r="B198" s="158" t="str">
        <f t="shared" si="3"/>
        <v>[yes/no]</v>
      </c>
      <c r="C198" s="159"/>
      <c r="D198" s="155"/>
      <c r="E198" s="190"/>
      <c r="F198" s="190"/>
      <c r="G198" s="190"/>
      <c r="H198" s="190"/>
      <c r="I198" s="190"/>
      <c r="J198" s="190"/>
      <c r="K198" s="190"/>
      <c r="L198" s="190"/>
      <c r="M198" s="190"/>
      <c r="N198" s="190"/>
      <c r="O198" s="190"/>
      <c r="P198" s="190"/>
      <c r="Q198" s="190"/>
      <c r="R198" s="190"/>
      <c r="S198" s="190"/>
      <c r="T198" s="190"/>
      <c r="U198" s="190"/>
      <c r="V198" s="190"/>
      <c r="W198" s="190"/>
      <c r="X198" s="190"/>
      <c r="Y198" s="190"/>
      <c r="Z198" s="190"/>
      <c r="AA198" s="190"/>
      <c r="AB198" s="190"/>
      <c r="AC198" s="190"/>
      <c r="AD198" s="190"/>
      <c r="AE198" s="190"/>
      <c r="AF198" s="190"/>
      <c r="AG198" s="190"/>
      <c r="AH198" s="190"/>
      <c r="AI198" s="190"/>
      <c r="AJ198" s="190"/>
      <c r="AK198" s="190"/>
      <c r="AL198" s="190"/>
      <c r="AM198" s="190"/>
      <c r="AN198" s="190"/>
      <c r="AO198" s="190"/>
      <c r="AP198" s="190"/>
      <c r="AQ198" s="190"/>
      <c r="AR198" s="190"/>
      <c r="AS198" s="190"/>
      <c r="AT198" s="190"/>
      <c r="AU198" s="190"/>
      <c r="AV198" s="190"/>
      <c r="AW198" s="190"/>
      <c r="AX198" s="190"/>
      <c r="AY198" s="190"/>
      <c r="AZ198" s="190"/>
      <c r="BA198" s="190"/>
      <c r="BB198" s="190"/>
      <c r="BC198" s="190"/>
      <c r="BD198" s="190"/>
      <c r="BE198" s="190"/>
      <c r="BF198" s="190"/>
      <c r="BG198" s="190"/>
      <c r="BH198" s="190"/>
      <c r="BI198" s="190"/>
      <c r="BJ198" s="190"/>
      <c r="BK198" s="190"/>
      <c r="BL198" s="190"/>
      <c r="TU198" s="178"/>
      <c r="TV198" s="178"/>
    </row>
    <row r="199" spans="1:542" x14ac:dyDescent="0.25">
      <c r="A199" s="96" t="s">
        <v>138</v>
      </c>
      <c r="B199" s="158" t="str">
        <f t="shared" si="2"/>
        <v>[yes/no]</v>
      </c>
      <c r="C199" s="159"/>
      <c r="D199" s="155"/>
      <c r="E199" s="190"/>
      <c r="F199" s="190"/>
      <c r="G199" s="190"/>
      <c r="H199" s="190"/>
      <c r="I199" s="190"/>
      <c r="J199" s="190"/>
      <c r="K199" s="190"/>
      <c r="L199" s="190"/>
      <c r="M199" s="190"/>
      <c r="N199" s="190"/>
      <c r="O199" s="190"/>
      <c r="P199" s="190"/>
      <c r="Q199" s="190"/>
      <c r="R199" s="190"/>
      <c r="S199" s="190"/>
      <c r="T199" s="190"/>
      <c r="U199" s="190"/>
      <c r="V199" s="190"/>
      <c r="W199" s="190"/>
      <c r="X199" s="190"/>
      <c r="Y199" s="190"/>
      <c r="Z199" s="190"/>
      <c r="AA199" s="190"/>
      <c r="AB199" s="190"/>
      <c r="AC199" s="190"/>
      <c r="AD199" s="190"/>
      <c r="AE199" s="190"/>
      <c r="AF199" s="190"/>
      <c r="AG199" s="190"/>
      <c r="AH199" s="190"/>
      <c r="AI199" s="190"/>
      <c r="AJ199" s="190"/>
      <c r="AK199" s="190"/>
      <c r="AL199" s="190"/>
      <c r="AM199" s="190"/>
      <c r="AN199" s="190"/>
      <c r="AO199" s="190"/>
      <c r="AP199" s="190"/>
      <c r="AQ199" s="190"/>
      <c r="AR199" s="190"/>
      <c r="AS199" s="190"/>
      <c r="AT199" s="190"/>
      <c r="AU199" s="190"/>
      <c r="AV199" s="190"/>
      <c r="AW199" s="190"/>
      <c r="AX199" s="190"/>
      <c r="AY199" s="190"/>
      <c r="AZ199" s="190"/>
      <c r="BA199" s="190"/>
      <c r="BB199" s="190"/>
      <c r="BC199" s="190"/>
      <c r="BD199" s="190"/>
      <c r="BE199" s="190"/>
      <c r="BF199" s="190"/>
      <c r="BG199" s="190"/>
      <c r="BH199" s="190"/>
      <c r="BI199" s="190"/>
      <c r="BJ199" s="190"/>
      <c r="BK199" s="190"/>
      <c r="BL199" s="190"/>
      <c r="TU199" s="178"/>
      <c r="TV199" s="178"/>
    </row>
    <row r="200" spans="1:542" x14ac:dyDescent="0.25">
      <c r="A200" s="96" t="s">
        <v>139</v>
      </c>
      <c r="B200" s="158" t="str">
        <f t="shared" si="2"/>
        <v>[yes/no]</v>
      </c>
      <c r="C200" s="159"/>
      <c r="D200" s="155"/>
      <c r="E200" s="190"/>
      <c r="F200" s="190"/>
      <c r="G200" s="190"/>
      <c r="H200" s="190"/>
      <c r="I200" s="190"/>
      <c r="J200" s="190"/>
      <c r="K200" s="190"/>
      <c r="L200" s="190"/>
      <c r="M200" s="190"/>
      <c r="N200" s="190"/>
      <c r="O200" s="190"/>
      <c r="P200" s="190"/>
      <c r="Q200" s="190"/>
      <c r="R200" s="190"/>
      <c r="S200" s="190"/>
      <c r="T200" s="190"/>
      <c r="U200" s="190"/>
      <c r="V200" s="190"/>
      <c r="W200" s="190"/>
      <c r="X200" s="190"/>
      <c r="Y200" s="190"/>
      <c r="Z200" s="190"/>
      <c r="AA200" s="190"/>
      <c r="AB200" s="190"/>
      <c r="AC200" s="190"/>
      <c r="AD200" s="190"/>
      <c r="AE200" s="190"/>
      <c r="AF200" s="190"/>
      <c r="AG200" s="190"/>
      <c r="AH200" s="190"/>
      <c r="AI200" s="190"/>
      <c r="AJ200" s="190"/>
      <c r="AK200" s="190"/>
      <c r="AL200" s="190"/>
      <c r="AM200" s="190"/>
      <c r="AN200" s="190"/>
      <c r="AO200" s="190"/>
      <c r="AP200" s="190"/>
      <c r="AQ200" s="190"/>
      <c r="AR200" s="190"/>
      <c r="AS200" s="190"/>
      <c r="AT200" s="190"/>
      <c r="AU200" s="190"/>
      <c r="AV200" s="190"/>
      <c r="AW200" s="190"/>
      <c r="AX200" s="190"/>
      <c r="AY200" s="190"/>
      <c r="AZ200" s="190"/>
      <c r="BA200" s="190"/>
      <c r="BB200" s="190"/>
      <c r="BC200" s="190"/>
      <c r="BD200" s="190"/>
      <c r="BE200" s="190"/>
      <c r="BF200" s="190"/>
      <c r="BG200" s="190"/>
      <c r="BH200" s="190"/>
      <c r="BI200" s="190"/>
      <c r="BJ200" s="190"/>
      <c r="BK200" s="190"/>
      <c r="BL200" s="190"/>
      <c r="TU200" s="178"/>
      <c r="TV200" s="178"/>
    </row>
    <row r="201" spans="1:542" x14ac:dyDescent="0.25">
      <c r="A201" s="96" t="s">
        <v>140</v>
      </c>
      <c r="B201" s="158" t="str">
        <f t="shared" si="2"/>
        <v>[yes/no]</v>
      </c>
      <c r="C201" s="159"/>
      <c r="D201" s="155"/>
      <c r="E201" s="190"/>
      <c r="F201" s="190"/>
      <c r="G201" s="190"/>
      <c r="H201" s="190"/>
      <c r="I201" s="190"/>
      <c r="J201" s="190"/>
      <c r="K201" s="190"/>
      <c r="L201" s="190"/>
      <c r="M201" s="190"/>
      <c r="N201" s="190"/>
      <c r="O201" s="190"/>
      <c r="P201" s="190"/>
      <c r="Q201" s="190"/>
      <c r="R201" s="190"/>
      <c r="S201" s="190"/>
      <c r="T201" s="190"/>
      <c r="U201" s="190"/>
      <c r="V201" s="190"/>
      <c r="W201" s="190"/>
      <c r="X201" s="190"/>
      <c r="Y201" s="190"/>
      <c r="Z201" s="190"/>
      <c r="AA201" s="190"/>
      <c r="AB201" s="190"/>
      <c r="AC201" s="190"/>
      <c r="AD201" s="190"/>
      <c r="AE201" s="190"/>
      <c r="AF201" s="190"/>
      <c r="AG201" s="190"/>
      <c r="AH201" s="190"/>
      <c r="AI201" s="190"/>
      <c r="AJ201" s="190"/>
      <c r="AK201" s="190"/>
      <c r="AL201" s="190"/>
      <c r="AM201" s="190"/>
      <c r="AN201" s="190"/>
      <c r="AO201" s="190"/>
      <c r="AP201" s="190"/>
      <c r="AQ201" s="190"/>
      <c r="AR201" s="190"/>
      <c r="AS201" s="190"/>
      <c r="AT201" s="190"/>
      <c r="AU201" s="190"/>
      <c r="AV201" s="190"/>
      <c r="AW201" s="190"/>
      <c r="AX201" s="190"/>
      <c r="AY201" s="190"/>
      <c r="AZ201" s="190"/>
      <c r="BA201" s="190"/>
      <c r="BB201" s="190"/>
      <c r="BC201" s="190"/>
      <c r="BD201" s="190"/>
      <c r="BE201" s="190"/>
      <c r="BF201" s="190"/>
      <c r="BG201" s="190"/>
      <c r="BH201" s="190"/>
      <c r="BI201" s="190"/>
      <c r="BJ201" s="190"/>
      <c r="BK201" s="190"/>
      <c r="BL201" s="190"/>
      <c r="TU201" s="178"/>
      <c r="TV201" s="178"/>
    </row>
    <row r="202" spans="1:542" x14ac:dyDescent="0.25">
      <c r="A202" s="96" t="s">
        <v>150</v>
      </c>
      <c r="B202" s="158" t="str">
        <f>"[none/list]"</f>
        <v>[none/list]</v>
      </c>
      <c r="C202" s="159"/>
      <c r="D202" s="155"/>
      <c r="E202" s="190"/>
      <c r="F202" s="190"/>
      <c r="G202" s="190"/>
      <c r="H202" s="190"/>
      <c r="I202" s="190"/>
      <c r="J202" s="190"/>
      <c r="K202" s="190"/>
      <c r="L202" s="190"/>
      <c r="M202" s="190"/>
      <c r="N202" s="190"/>
      <c r="O202" s="190"/>
      <c r="P202" s="190"/>
      <c r="Q202" s="190"/>
      <c r="R202" s="190"/>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TU202" s="178"/>
      <c r="TV202" s="178"/>
    </row>
    <row r="203" spans="1:542" x14ac:dyDescent="0.25">
      <c r="A203" s="96" t="s">
        <v>151</v>
      </c>
      <c r="B203" s="158" t="str">
        <f t="shared" si="3"/>
        <v>[yes/no]</v>
      </c>
      <c r="C203" s="159"/>
      <c r="D203" s="155"/>
      <c r="E203" s="190"/>
      <c r="F203" s="190"/>
      <c r="G203" s="190"/>
      <c r="H203" s="190"/>
      <c r="I203" s="190"/>
      <c r="J203" s="190"/>
      <c r="K203" s="190"/>
      <c r="L203" s="190"/>
      <c r="M203" s="190"/>
      <c r="N203" s="190"/>
      <c r="O203" s="190"/>
      <c r="P203" s="190"/>
      <c r="Q203" s="190"/>
      <c r="R203" s="190"/>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TU203" s="178"/>
      <c r="TV203" s="178"/>
    </row>
    <row r="204" spans="1:542" x14ac:dyDescent="0.25">
      <c r="A204" s="96" t="s">
        <v>152</v>
      </c>
      <c r="B204" s="158" t="str">
        <f t="shared" si="3"/>
        <v>[yes/no]</v>
      </c>
      <c r="C204" s="159"/>
      <c r="D204" s="155"/>
      <c r="E204" s="190"/>
      <c r="F204" s="190"/>
      <c r="G204" s="190"/>
      <c r="H204" s="190"/>
      <c r="I204" s="190"/>
      <c r="J204" s="190"/>
      <c r="K204" s="190"/>
      <c r="L204" s="190"/>
      <c r="M204" s="190"/>
      <c r="N204" s="190"/>
      <c r="O204" s="190"/>
      <c r="P204" s="190"/>
      <c r="Q204" s="190"/>
      <c r="R204" s="190"/>
      <c r="S204" s="190"/>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TU204" s="178"/>
      <c r="TV204" s="178"/>
    </row>
    <row r="205" spans="1:542" x14ac:dyDescent="0.25">
      <c r="A205" s="147" t="s">
        <v>135</v>
      </c>
      <c r="B205" s="119"/>
      <c r="C205" s="120"/>
      <c r="D205" s="155"/>
      <c r="E205" s="190"/>
      <c r="F205" s="190"/>
      <c r="G205" s="190"/>
      <c r="H205" s="190"/>
      <c r="I205" s="190"/>
      <c r="J205" s="190"/>
      <c r="K205" s="190"/>
      <c r="L205" s="190"/>
      <c r="M205" s="190"/>
      <c r="N205" s="190"/>
      <c r="O205" s="190"/>
      <c r="P205" s="190"/>
      <c r="Q205" s="190"/>
      <c r="R205" s="190"/>
      <c r="S205" s="190"/>
      <c r="T205" s="190"/>
      <c r="U205" s="190"/>
      <c r="V205" s="190"/>
      <c r="W205" s="190"/>
      <c r="X205" s="190"/>
      <c r="Y205" s="190"/>
      <c r="Z205" s="190"/>
      <c r="AA205" s="190"/>
      <c r="AB205" s="190"/>
      <c r="AC205" s="190"/>
      <c r="AD205" s="190"/>
      <c r="AE205" s="190"/>
      <c r="AF205" s="190"/>
      <c r="AG205" s="190"/>
      <c r="AH205" s="190"/>
      <c r="AI205" s="190"/>
      <c r="AJ205" s="190"/>
      <c r="AK205" s="190"/>
      <c r="AL205" s="190"/>
      <c r="AM205" s="190"/>
      <c r="AN205" s="190"/>
      <c r="AO205" s="190"/>
      <c r="AP205" s="190"/>
      <c r="AQ205" s="190"/>
      <c r="AR205" s="190"/>
      <c r="AS205" s="190"/>
      <c r="AT205" s="190"/>
      <c r="AU205" s="190"/>
      <c r="AV205" s="190"/>
      <c r="AW205" s="190"/>
      <c r="AX205" s="190"/>
      <c r="AY205" s="190"/>
      <c r="AZ205" s="190"/>
      <c r="BA205" s="190"/>
      <c r="BB205" s="190"/>
      <c r="BC205" s="190"/>
      <c r="BD205" s="190"/>
      <c r="BE205" s="190"/>
      <c r="BF205" s="190"/>
      <c r="BG205" s="190"/>
      <c r="BH205" s="190"/>
      <c r="BI205" s="190"/>
      <c r="BJ205" s="190"/>
      <c r="BK205" s="190"/>
      <c r="BL205" s="190"/>
      <c r="TU205" s="178"/>
      <c r="TV205" s="178"/>
    </row>
    <row r="206" spans="1:542" x14ac:dyDescent="0.25">
      <c r="A206" s="147" t="s">
        <v>136</v>
      </c>
      <c r="B206" s="119"/>
      <c r="C206" s="120"/>
      <c r="D206" s="155"/>
      <c r="E206" s="190"/>
      <c r="F206" s="190"/>
      <c r="G206" s="190"/>
      <c r="H206" s="190"/>
      <c r="I206" s="190"/>
      <c r="J206" s="190"/>
      <c r="K206" s="190"/>
      <c r="L206" s="190"/>
      <c r="M206" s="190"/>
      <c r="N206" s="190"/>
      <c r="O206" s="190"/>
      <c r="P206" s="190"/>
      <c r="Q206" s="190"/>
      <c r="R206" s="190"/>
      <c r="S206" s="190"/>
      <c r="T206" s="190"/>
      <c r="U206" s="190"/>
      <c r="V206" s="190"/>
      <c r="W206" s="190"/>
      <c r="X206" s="190"/>
      <c r="Y206" s="190"/>
      <c r="Z206" s="190"/>
      <c r="AA206" s="190"/>
      <c r="AB206" s="190"/>
      <c r="AC206" s="190"/>
      <c r="AD206" s="190"/>
      <c r="AE206" s="190"/>
      <c r="AF206" s="190"/>
      <c r="AG206" s="190"/>
      <c r="AH206" s="190"/>
      <c r="AI206" s="190"/>
      <c r="AJ206" s="190"/>
      <c r="AK206" s="190"/>
      <c r="AL206" s="190"/>
      <c r="AM206" s="190"/>
      <c r="AN206" s="190"/>
      <c r="AO206" s="190"/>
      <c r="AP206" s="190"/>
      <c r="AQ206" s="190"/>
      <c r="AR206" s="190"/>
      <c r="AS206" s="190"/>
      <c r="AT206" s="190"/>
      <c r="AU206" s="190"/>
      <c r="AV206" s="190"/>
      <c r="AW206" s="190"/>
      <c r="AX206" s="190"/>
      <c r="AY206" s="190"/>
      <c r="AZ206" s="190"/>
      <c r="BA206" s="190"/>
      <c r="BB206" s="190"/>
      <c r="BC206" s="190"/>
      <c r="BD206" s="190"/>
      <c r="BE206" s="190"/>
      <c r="BF206" s="190"/>
      <c r="BG206" s="190"/>
      <c r="BH206" s="190"/>
      <c r="BI206" s="190"/>
      <c r="BJ206" s="190"/>
      <c r="BK206" s="190"/>
      <c r="BL206" s="190"/>
      <c r="TU206" s="178"/>
      <c r="TV206" s="178"/>
    </row>
    <row r="207" spans="1:542" x14ac:dyDescent="0.25">
      <c r="A207" s="147" t="s">
        <v>137</v>
      </c>
      <c r="B207" s="119"/>
      <c r="C207" s="120"/>
      <c r="D207" s="155"/>
      <c r="E207" s="190"/>
      <c r="F207" s="190"/>
      <c r="G207" s="190"/>
      <c r="H207" s="190"/>
      <c r="I207" s="190"/>
      <c r="J207" s="190"/>
      <c r="K207" s="190"/>
      <c r="L207" s="190"/>
      <c r="M207" s="190"/>
      <c r="N207" s="190"/>
      <c r="O207" s="190"/>
      <c r="P207" s="190"/>
      <c r="Q207" s="190"/>
      <c r="R207" s="190"/>
      <c r="S207" s="190"/>
      <c r="T207" s="190"/>
      <c r="U207" s="190"/>
      <c r="V207" s="190"/>
      <c r="W207" s="190"/>
      <c r="X207" s="190"/>
      <c r="Y207" s="190"/>
      <c r="Z207" s="190"/>
      <c r="AA207" s="190"/>
      <c r="AB207" s="190"/>
      <c r="AC207" s="190"/>
      <c r="AD207" s="190"/>
      <c r="AE207" s="190"/>
      <c r="AF207" s="190"/>
      <c r="AG207" s="190"/>
      <c r="AH207" s="190"/>
      <c r="AI207" s="190"/>
      <c r="AJ207" s="190"/>
      <c r="AK207" s="190"/>
      <c r="AL207" s="190"/>
      <c r="AM207" s="190"/>
      <c r="AN207" s="190"/>
      <c r="AO207" s="190"/>
      <c r="AP207" s="190"/>
      <c r="AQ207" s="190"/>
      <c r="AR207" s="190"/>
      <c r="AS207" s="190"/>
      <c r="AT207" s="190"/>
      <c r="AU207" s="190"/>
      <c r="AV207" s="190"/>
      <c r="AW207" s="190"/>
      <c r="AX207" s="190"/>
      <c r="AY207" s="190"/>
      <c r="AZ207" s="190"/>
      <c r="BA207" s="190"/>
      <c r="BB207" s="190"/>
      <c r="BC207" s="190"/>
      <c r="BD207" s="190"/>
      <c r="BE207" s="190"/>
      <c r="BF207" s="190"/>
      <c r="BG207" s="190"/>
      <c r="BH207" s="190"/>
      <c r="BI207" s="190"/>
      <c r="BJ207" s="190"/>
      <c r="BK207" s="190"/>
      <c r="BL207" s="190"/>
      <c r="TU207" s="178"/>
      <c r="TV207" s="178"/>
    </row>
    <row r="208" spans="1:542" x14ac:dyDescent="0.25">
      <c r="A208" s="96" t="s">
        <v>312</v>
      </c>
      <c r="B208" s="158"/>
      <c r="C208" s="159"/>
      <c r="D208" s="155"/>
      <c r="E208" s="190"/>
      <c r="F208" s="190"/>
      <c r="G208" s="190"/>
      <c r="H208" s="190"/>
      <c r="I208" s="190"/>
      <c r="J208" s="190"/>
      <c r="K208" s="190"/>
      <c r="L208" s="190"/>
      <c r="M208" s="190"/>
      <c r="N208" s="190"/>
      <c r="O208" s="190"/>
      <c r="P208" s="190"/>
      <c r="Q208" s="190"/>
      <c r="R208" s="190"/>
      <c r="S208" s="190"/>
      <c r="T208" s="190"/>
      <c r="U208" s="190"/>
      <c r="V208" s="190"/>
      <c r="W208" s="190"/>
      <c r="X208" s="190"/>
      <c r="Y208" s="190"/>
      <c r="Z208" s="190"/>
      <c r="AA208" s="190"/>
      <c r="AB208" s="190"/>
      <c r="AC208" s="190"/>
      <c r="AD208" s="190"/>
      <c r="AE208" s="190"/>
      <c r="AF208" s="190"/>
      <c r="AG208" s="190"/>
      <c r="AH208" s="190"/>
      <c r="AI208" s="190"/>
      <c r="AJ208" s="190"/>
      <c r="AK208" s="190"/>
      <c r="AL208" s="190"/>
      <c r="AM208" s="190"/>
      <c r="AN208" s="190"/>
      <c r="AO208" s="190"/>
      <c r="AP208" s="190"/>
      <c r="AQ208" s="190"/>
      <c r="AR208" s="190"/>
      <c r="AS208" s="190"/>
      <c r="AT208" s="190"/>
      <c r="AU208" s="190"/>
      <c r="AV208" s="190"/>
      <c r="AW208" s="190"/>
      <c r="AX208" s="190"/>
      <c r="AY208" s="190"/>
      <c r="AZ208" s="190"/>
      <c r="BA208" s="190"/>
      <c r="BB208" s="190"/>
      <c r="BC208" s="190"/>
      <c r="BD208" s="190"/>
      <c r="BE208" s="190"/>
      <c r="BF208" s="190"/>
      <c r="BG208" s="190"/>
      <c r="BH208" s="190"/>
      <c r="BI208" s="190"/>
      <c r="BJ208" s="190"/>
      <c r="BK208" s="190"/>
      <c r="BL208" s="190"/>
      <c r="TU208" s="178"/>
      <c r="TV208" s="178"/>
    </row>
    <row r="209" spans="1:542" x14ac:dyDescent="0.25">
      <c r="A209" s="96" t="s">
        <v>313</v>
      </c>
      <c r="B209" s="158"/>
      <c r="C209" s="159"/>
      <c r="D209" s="155"/>
      <c r="E209" s="190"/>
      <c r="F209" s="190"/>
      <c r="G209" s="190"/>
      <c r="H209" s="190"/>
      <c r="I209" s="190"/>
      <c r="J209" s="190"/>
      <c r="K209" s="190"/>
      <c r="L209" s="190"/>
      <c r="M209" s="190"/>
      <c r="N209" s="190"/>
      <c r="O209" s="190"/>
      <c r="P209" s="190"/>
      <c r="Q209" s="190"/>
      <c r="R209" s="190"/>
      <c r="S209" s="190"/>
      <c r="T209" s="190"/>
      <c r="U209" s="190"/>
      <c r="V209" s="190"/>
      <c r="W209" s="190"/>
      <c r="X209" s="190"/>
      <c r="Y209" s="190"/>
      <c r="Z209" s="190"/>
      <c r="AA209" s="190"/>
      <c r="AB209" s="190"/>
      <c r="AC209" s="190"/>
      <c r="AD209" s="190"/>
      <c r="AE209" s="190"/>
      <c r="AF209" s="190"/>
      <c r="AG209" s="190"/>
      <c r="AH209" s="190"/>
      <c r="AI209" s="190"/>
      <c r="AJ209" s="190"/>
      <c r="AK209" s="190"/>
      <c r="AL209" s="190"/>
      <c r="AM209" s="190"/>
      <c r="AN209" s="190"/>
      <c r="AO209" s="190"/>
      <c r="AP209" s="190"/>
      <c r="AQ209" s="190"/>
      <c r="AR209" s="190"/>
      <c r="AS209" s="190"/>
      <c r="AT209" s="190"/>
      <c r="AU209" s="190"/>
      <c r="AV209" s="190"/>
      <c r="AW209" s="190"/>
      <c r="AX209" s="190"/>
      <c r="AY209" s="190"/>
      <c r="AZ209" s="190"/>
      <c r="BA209" s="190"/>
      <c r="BB209" s="190"/>
      <c r="BC209" s="190"/>
      <c r="BD209" s="190"/>
      <c r="BE209" s="190"/>
      <c r="BF209" s="190"/>
      <c r="BG209" s="190"/>
      <c r="BH209" s="190"/>
      <c r="BI209" s="190"/>
      <c r="BJ209" s="190"/>
      <c r="BK209" s="190"/>
      <c r="BL209" s="190"/>
      <c r="TU209" s="178"/>
      <c r="TV209" s="178"/>
    </row>
    <row r="210" spans="1:542" ht="30" x14ac:dyDescent="0.25">
      <c r="A210" s="96" t="s">
        <v>338</v>
      </c>
      <c r="B210" s="158" t="str">
        <f>"[yes/no/yes with modification]"</f>
        <v>[yes/no/yes with modification]</v>
      </c>
      <c r="C210" s="159"/>
      <c r="D210" s="155"/>
      <c r="E210" s="190"/>
      <c r="F210" s="190"/>
      <c r="G210" s="190"/>
      <c r="H210" s="190"/>
      <c r="I210" s="190"/>
      <c r="J210" s="190"/>
      <c r="K210" s="190"/>
      <c r="L210" s="190"/>
      <c r="M210" s="190"/>
      <c r="N210" s="190"/>
      <c r="O210" s="190"/>
      <c r="P210" s="190"/>
      <c r="Q210" s="190"/>
      <c r="R210" s="190"/>
      <c r="S210" s="190"/>
      <c r="T210" s="190"/>
      <c r="U210" s="190"/>
      <c r="V210" s="190"/>
      <c r="W210" s="190"/>
      <c r="X210" s="190"/>
      <c r="Y210" s="190"/>
      <c r="Z210" s="190"/>
      <c r="AA210" s="190"/>
      <c r="AB210" s="190"/>
      <c r="AC210" s="190"/>
      <c r="AD210" s="190"/>
      <c r="AE210" s="190"/>
      <c r="AF210" s="190"/>
      <c r="AG210" s="190"/>
      <c r="AH210" s="190"/>
      <c r="AI210" s="190"/>
      <c r="AJ210" s="190"/>
      <c r="AK210" s="190"/>
      <c r="AL210" s="190"/>
      <c r="AM210" s="190"/>
      <c r="AN210" s="190"/>
      <c r="AO210" s="190"/>
      <c r="AP210" s="190"/>
      <c r="AQ210" s="190"/>
      <c r="AR210" s="190"/>
      <c r="AS210" s="190"/>
      <c r="AT210" s="190"/>
      <c r="AU210" s="190"/>
      <c r="AV210" s="190"/>
      <c r="AW210" s="190"/>
      <c r="AX210" s="190"/>
      <c r="AY210" s="190"/>
      <c r="AZ210" s="190"/>
      <c r="BA210" s="190"/>
      <c r="BB210" s="190"/>
      <c r="BC210" s="190"/>
      <c r="BD210" s="190"/>
      <c r="BE210" s="190"/>
      <c r="BF210" s="190"/>
      <c r="BG210" s="190"/>
      <c r="BH210" s="190"/>
      <c r="BI210" s="190"/>
      <c r="BJ210" s="190"/>
      <c r="BK210" s="190"/>
      <c r="BL210" s="190"/>
      <c r="TU210" s="178"/>
      <c r="TV210" s="178"/>
    </row>
    <row r="211" spans="1:542" ht="30" x14ac:dyDescent="0.25">
      <c r="A211" s="96" t="s">
        <v>314</v>
      </c>
      <c r="B211" s="158" t="str">
        <f>"[yes/no/yes with modification]"</f>
        <v>[yes/no/yes with modification]</v>
      </c>
      <c r="C211" s="159"/>
      <c r="D211" s="155"/>
      <c r="E211" s="190"/>
      <c r="F211" s="190"/>
      <c r="G211" s="190"/>
      <c r="H211" s="190"/>
      <c r="I211" s="190"/>
      <c r="J211" s="190"/>
      <c r="K211" s="190"/>
      <c r="L211" s="190"/>
      <c r="M211" s="190"/>
      <c r="N211" s="190"/>
      <c r="O211" s="190"/>
      <c r="P211" s="190"/>
      <c r="Q211" s="190"/>
      <c r="R211" s="190"/>
      <c r="S211" s="190"/>
      <c r="T211" s="190"/>
      <c r="U211" s="190"/>
      <c r="V211" s="190"/>
      <c r="W211" s="190"/>
      <c r="X211" s="190"/>
      <c r="Y211" s="190"/>
      <c r="Z211" s="190"/>
      <c r="AA211" s="190"/>
      <c r="AB211" s="190"/>
      <c r="AC211" s="190"/>
      <c r="AD211" s="190"/>
      <c r="AE211" s="190"/>
      <c r="AF211" s="190"/>
      <c r="AG211" s="190"/>
      <c r="AH211" s="190"/>
      <c r="AI211" s="190"/>
      <c r="AJ211" s="190"/>
      <c r="AK211" s="190"/>
      <c r="AL211" s="190"/>
      <c r="AM211" s="190"/>
      <c r="AN211" s="190"/>
      <c r="AO211" s="190"/>
      <c r="AP211" s="190"/>
      <c r="AQ211" s="190"/>
      <c r="AR211" s="190"/>
      <c r="AS211" s="190"/>
      <c r="AT211" s="190"/>
      <c r="AU211" s="190"/>
      <c r="AV211" s="190"/>
      <c r="AW211" s="190"/>
      <c r="AX211" s="190"/>
      <c r="AY211" s="190"/>
      <c r="AZ211" s="190"/>
      <c r="BA211" s="190"/>
      <c r="BB211" s="190"/>
      <c r="BC211" s="190"/>
      <c r="BD211" s="190"/>
      <c r="BE211" s="190"/>
      <c r="BF211" s="190"/>
      <c r="BG211" s="190"/>
      <c r="BH211" s="190"/>
      <c r="BI211" s="190"/>
      <c r="BJ211" s="190"/>
      <c r="BK211" s="190"/>
      <c r="BL211" s="190"/>
      <c r="TU211" s="178"/>
      <c r="TV211" s="178"/>
    </row>
    <row r="212" spans="1:542" x14ac:dyDescent="0.25">
      <c r="A212" s="96" t="s">
        <v>346</v>
      </c>
      <c r="B212" s="158" t="str">
        <f t="shared" si="2"/>
        <v>[yes/no]</v>
      </c>
      <c r="C212" s="159"/>
      <c r="D212" s="155"/>
      <c r="E212" s="190"/>
      <c r="F212" s="190"/>
      <c r="G212" s="190"/>
      <c r="H212" s="190"/>
      <c r="I212" s="190"/>
      <c r="J212" s="190"/>
      <c r="K212" s="190"/>
      <c r="L212" s="190"/>
      <c r="M212" s="190"/>
      <c r="N212" s="190"/>
      <c r="O212" s="190"/>
      <c r="P212" s="190"/>
      <c r="Q212" s="190"/>
      <c r="R212" s="190"/>
      <c r="S212" s="190"/>
      <c r="T212" s="190"/>
      <c r="U212" s="190"/>
      <c r="V212" s="190"/>
      <c r="W212" s="190"/>
      <c r="X212" s="190"/>
      <c r="Y212" s="190"/>
      <c r="Z212" s="190"/>
      <c r="AA212" s="190"/>
      <c r="AB212" s="190"/>
      <c r="AC212" s="190"/>
      <c r="AD212" s="190"/>
      <c r="AE212" s="190"/>
      <c r="AF212" s="190"/>
      <c r="AG212" s="190"/>
      <c r="AH212" s="190"/>
      <c r="AI212" s="190"/>
      <c r="AJ212" s="190"/>
      <c r="AK212" s="190"/>
      <c r="AL212" s="190"/>
      <c r="AM212" s="190"/>
      <c r="AN212" s="190"/>
      <c r="AO212" s="190"/>
      <c r="AP212" s="190"/>
      <c r="AQ212" s="190"/>
      <c r="AR212" s="190"/>
      <c r="AS212" s="190"/>
      <c r="AT212" s="190"/>
      <c r="AU212" s="190"/>
      <c r="AV212" s="190"/>
      <c r="AW212" s="190"/>
      <c r="AX212" s="190"/>
      <c r="AY212" s="190"/>
      <c r="AZ212" s="190"/>
      <c r="BA212" s="190"/>
      <c r="BB212" s="190"/>
      <c r="BC212" s="190"/>
      <c r="BD212" s="190"/>
      <c r="BE212" s="190"/>
      <c r="BF212" s="190"/>
      <c r="BG212" s="190"/>
      <c r="BH212" s="190"/>
      <c r="BI212" s="190"/>
      <c r="BJ212" s="190"/>
      <c r="BK212" s="190"/>
      <c r="BL212" s="190"/>
      <c r="TU212" s="178"/>
      <c r="TV212" s="178"/>
    </row>
    <row r="213" spans="1:542" x14ac:dyDescent="0.25">
      <c r="A213" s="96" t="s">
        <v>347</v>
      </c>
      <c r="B213" s="158" t="str">
        <f t="shared" si="2"/>
        <v>[yes/no]</v>
      </c>
      <c r="C213" s="159"/>
      <c r="D213" s="155"/>
      <c r="E213" s="190"/>
      <c r="F213" s="190"/>
      <c r="G213" s="190"/>
      <c r="H213" s="190"/>
      <c r="I213" s="190"/>
      <c r="J213" s="190"/>
      <c r="K213" s="190"/>
      <c r="L213" s="190"/>
      <c r="M213" s="190"/>
      <c r="N213" s="190"/>
      <c r="O213" s="190"/>
      <c r="P213" s="190"/>
      <c r="Q213" s="190"/>
      <c r="R213" s="190"/>
      <c r="S213" s="190"/>
      <c r="T213" s="190"/>
      <c r="U213" s="190"/>
      <c r="V213" s="190"/>
      <c r="W213" s="190"/>
      <c r="X213" s="190"/>
      <c r="Y213" s="190"/>
      <c r="Z213" s="190"/>
      <c r="AA213" s="190"/>
      <c r="AB213" s="190"/>
      <c r="AC213" s="190"/>
      <c r="AD213" s="190"/>
      <c r="AE213" s="190"/>
      <c r="AF213" s="190"/>
      <c r="AG213" s="190"/>
      <c r="AH213" s="190"/>
      <c r="AI213" s="190"/>
      <c r="AJ213" s="190"/>
      <c r="AK213" s="190"/>
      <c r="AL213" s="190"/>
      <c r="AM213" s="190"/>
      <c r="AN213" s="190"/>
      <c r="AO213" s="190"/>
      <c r="AP213" s="190"/>
      <c r="AQ213" s="190"/>
      <c r="AR213" s="190"/>
      <c r="AS213" s="190"/>
      <c r="AT213" s="190"/>
      <c r="AU213" s="190"/>
      <c r="AV213" s="190"/>
      <c r="AW213" s="190"/>
      <c r="AX213" s="190"/>
      <c r="AY213" s="190"/>
      <c r="AZ213" s="190"/>
      <c r="BA213" s="190"/>
      <c r="BB213" s="190"/>
      <c r="BC213" s="190"/>
      <c r="BD213" s="190"/>
      <c r="BE213" s="190"/>
      <c r="BF213" s="190"/>
      <c r="BG213" s="190"/>
      <c r="BH213" s="190"/>
      <c r="BI213" s="190"/>
      <c r="BJ213" s="190"/>
      <c r="BK213" s="190"/>
      <c r="BL213" s="190"/>
      <c r="TU213" s="178"/>
      <c r="TV213" s="178"/>
    </row>
    <row r="214" spans="1:542" x14ac:dyDescent="0.25">
      <c r="A214" s="96" t="s">
        <v>348</v>
      </c>
      <c r="B214" s="158" t="str">
        <f t="shared" si="2"/>
        <v>[yes/no]</v>
      </c>
      <c r="C214" s="159"/>
      <c r="D214" s="155"/>
      <c r="E214" s="190"/>
      <c r="F214" s="190"/>
      <c r="G214" s="190"/>
      <c r="H214" s="190"/>
      <c r="I214" s="190"/>
      <c r="J214" s="190"/>
      <c r="K214" s="190"/>
      <c r="L214" s="190"/>
      <c r="M214" s="190"/>
      <c r="N214" s="190"/>
      <c r="O214" s="190"/>
      <c r="P214" s="190"/>
      <c r="Q214" s="190"/>
      <c r="R214" s="190"/>
      <c r="S214" s="190"/>
      <c r="T214" s="190"/>
      <c r="U214" s="190"/>
      <c r="V214" s="190"/>
      <c r="W214" s="190"/>
      <c r="X214" s="190"/>
      <c r="Y214" s="190"/>
      <c r="Z214" s="190"/>
      <c r="AA214" s="190"/>
      <c r="AB214" s="190"/>
      <c r="AC214" s="190"/>
      <c r="AD214" s="190"/>
      <c r="AE214" s="190"/>
      <c r="AF214" s="190"/>
      <c r="AG214" s="190"/>
      <c r="AH214" s="190"/>
      <c r="AI214" s="190"/>
      <c r="AJ214" s="190"/>
      <c r="AK214" s="190"/>
      <c r="AL214" s="190"/>
      <c r="AM214" s="190"/>
      <c r="AN214" s="190"/>
      <c r="AO214" s="190"/>
      <c r="AP214" s="190"/>
      <c r="AQ214" s="190"/>
      <c r="AR214" s="190"/>
      <c r="AS214" s="190"/>
      <c r="AT214" s="190"/>
      <c r="AU214" s="190"/>
      <c r="AV214" s="190"/>
      <c r="AW214" s="190"/>
      <c r="AX214" s="190"/>
      <c r="AY214" s="190"/>
      <c r="AZ214" s="190"/>
      <c r="BA214" s="190"/>
      <c r="BB214" s="190"/>
      <c r="BC214" s="190"/>
      <c r="BD214" s="190"/>
      <c r="BE214" s="190"/>
      <c r="BF214" s="190"/>
      <c r="BG214" s="190"/>
      <c r="BH214" s="190"/>
      <c r="BI214" s="190"/>
      <c r="BJ214" s="190"/>
      <c r="BK214" s="190"/>
      <c r="BL214" s="190"/>
      <c r="TU214" s="178"/>
      <c r="TV214" s="178"/>
    </row>
    <row r="215" spans="1:542" x14ac:dyDescent="0.25">
      <c r="A215" s="147" t="s">
        <v>132</v>
      </c>
      <c r="B215" s="119" t="s">
        <v>472</v>
      </c>
      <c r="C215" s="120"/>
      <c r="D215" s="155"/>
      <c r="E215" s="190"/>
      <c r="F215" s="190"/>
      <c r="G215" s="190"/>
      <c r="H215" s="190"/>
      <c r="I215" s="190"/>
      <c r="J215" s="190"/>
      <c r="K215" s="190"/>
      <c r="L215" s="190"/>
      <c r="M215" s="190"/>
      <c r="N215" s="190"/>
      <c r="O215" s="190"/>
      <c r="P215" s="190"/>
      <c r="Q215" s="190"/>
      <c r="R215" s="190"/>
      <c r="S215" s="190"/>
      <c r="T215" s="190"/>
      <c r="U215" s="190"/>
      <c r="V215" s="190"/>
      <c r="W215" s="190"/>
      <c r="X215" s="190"/>
      <c r="Y215" s="190"/>
      <c r="Z215" s="190"/>
      <c r="AA215" s="190"/>
      <c r="AB215" s="190"/>
      <c r="AC215" s="190"/>
      <c r="AD215" s="190"/>
      <c r="AE215" s="190"/>
      <c r="AF215" s="190"/>
      <c r="AG215" s="190"/>
      <c r="AH215" s="190"/>
      <c r="AI215" s="190"/>
      <c r="AJ215" s="190"/>
      <c r="AK215" s="190"/>
      <c r="AL215" s="190"/>
      <c r="AM215" s="190"/>
      <c r="AN215" s="190"/>
      <c r="AO215" s="190"/>
      <c r="AP215" s="190"/>
      <c r="AQ215" s="190"/>
      <c r="AR215" s="190"/>
      <c r="AS215" s="190"/>
      <c r="AT215" s="190"/>
      <c r="AU215" s="190"/>
      <c r="AV215" s="190"/>
      <c r="AW215" s="190"/>
      <c r="AX215" s="190"/>
      <c r="AY215" s="190"/>
      <c r="AZ215" s="190"/>
      <c r="BA215" s="190"/>
      <c r="BB215" s="190"/>
      <c r="BC215" s="190"/>
      <c r="BD215" s="190"/>
      <c r="BE215" s="190"/>
      <c r="BF215" s="190"/>
      <c r="BG215" s="190"/>
      <c r="BH215" s="190"/>
      <c r="BI215" s="190"/>
      <c r="BJ215" s="190"/>
      <c r="BK215" s="190"/>
      <c r="BL215" s="190"/>
      <c r="TU215" s="178"/>
      <c r="TV215" s="178"/>
    </row>
    <row r="216" spans="1:542" x14ac:dyDescent="0.25">
      <c r="A216" s="147" t="s">
        <v>133</v>
      </c>
      <c r="B216" s="119" t="s">
        <v>472</v>
      </c>
      <c r="C216" s="120"/>
      <c r="D216" s="155"/>
      <c r="E216" s="190"/>
      <c r="F216" s="190"/>
      <c r="G216" s="190"/>
      <c r="H216" s="190"/>
      <c r="I216" s="190"/>
      <c r="J216" s="190"/>
      <c r="K216" s="190"/>
      <c r="L216" s="190"/>
      <c r="M216" s="190"/>
      <c r="N216" s="190"/>
      <c r="O216" s="190"/>
      <c r="P216" s="190"/>
      <c r="Q216" s="190"/>
      <c r="R216" s="190"/>
      <c r="S216" s="190"/>
      <c r="T216" s="190"/>
      <c r="U216" s="190"/>
      <c r="V216" s="190"/>
      <c r="W216" s="190"/>
      <c r="X216" s="190"/>
      <c r="Y216" s="190"/>
      <c r="Z216" s="190"/>
      <c r="AA216" s="190"/>
      <c r="AB216" s="190"/>
      <c r="AC216" s="190"/>
      <c r="AD216" s="190"/>
      <c r="AE216" s="190"/>
      <c r="AF216" s="190"/>
      <c r="AG216" s="190"/>
      <c r="AH216" s="190"/>
      <c r="AI216" s="190"/>
      <c r="AJ216" s="190"/>
      <c r="AK216" s="190"/>
      <c r="AL216" s="190"/>
      <c r="AM216" s="190"/>
      <c r="AN216" s="190"/>
      <c r="AO216" s="190"/>
      <c r="AP216" s="190"/>
      <c r="AQ216" s="190"/>
      <c r="AR216" s="190"/>
      <c r="AS216" s="190"/>
      <c r="AT216" s="190"/>
      <c r="AU216" s="190"/>
      <c r="AV216" s="190"/>
      <c r="AW216" s="190"/>
      <c r="AX216" s="190"/>
      <c r="AY216" s="190"/>
      <c r="AZ216" s="190"/>
      <c r="BA216" s="190"/>
      <c r="BB216" s="190"/>
      <c r="BC216" s="190"/>
      <c r="BD216" s="190"/>
      <c r="BE216" s="190"/>
      <c r="BF216" s="190"/>
      <c r="BG216" s="190"/>
      <c r="BH216" s="190"/>
      <c r="BI216" s="190"/>
      <c r="BJ216" s="190"/>
      <c r="BK216" s="190"/>
      <c r="BL216" s="190"/>
      <c r="TU216" s="178"/>
      <c r="TV216" s="178"/>
    </row>
    <row r="217" spans="1:542" x14ac:dyDescent="0.25">
      <c r="A217" s="147" t="s">
        <v>134</v>
      </c>
      <c r="B217" s="119" t="s">
        <v>472</v>
      </c>
      <c r="C217" s="120"/>
      <c r="D217" s="155"/>
      <c r="E217" s="190"/>
      <c r="F217" s="190"/>
      <c r="G217" s="190"/>
      <c r="H217" s="190"/>
      <c r="I217" s="190"/>
      <c r="J217" s="190"/>
      <c r="K217" s="190"/>
      <c r="L217" s="190"/>
      <c r="M217" s="190"/>
      <c r="N217" s="190"/>
      <c r="O217" s="190"/>
      <c r="P217" s="190"/>
      <c r="Q217" s="190"/>
      <c r="R217" s="190"/>
      <c r="S217" s="190"/>
      <c r="T217" s="190"/>
      <c r="U217" s="190"/>
      <c r="V217" s="190"/>
      <c r="W217" s="190"/>
      <c r="X217" s="190"/>
      <c r="Y217" s="190"/>
      <c r="Z217" s="190"/>
      <c r="AA217" s="190"/>
      <c r="AB217" s="190"/>
      <c r="AC217" s="190"/>
      <c r="AD217" s="190"/>
      <c r="AE217" s="190"/>
      <c r="AF217" s="190"/>
      <c r="AG217" s="190"/>
      <c r="AH217" s="190"/>
      <c r="AI217" s="190"/>
      <c r="AJ217" s="190"/>
      <c r="AK217" s="190"/>
      <c r="AL217" s="190"/>
      <c r="AM217" s="190"/>
      <c r="AN217" s="190"/>
      <c r="AO217" s="190"/>
      <c r="AP217" s="190"/>
      <c r="AQ217" s="190"/>
      <c r="AR217" s="190"/>
      <c r="AS217" s="190"/>
      <c r="AT217" s="190"/>
      <c r="AU217" s="190"/>
      <c r="AV217" s="190"/>
      <c r="AW217" s="190"/>
      <c r="AX217" s="190"/>
      <c r="AY217" s="190"/>
      <c r="AZ217" s="190"/>
      <c r="BA217" s="190"/>
      <c r="BB217" s="190"/>
      <c r="BC217" s="190"/>
      <c r="BD217" s="190"/>
      <c r="BE217" s="190"/>
      <c r="BF217" s="190"/>
      <c r="BG217" s="190"/>
      <c r="BH217" s="190"/>
      <c r="BI217" s="190"/>
      <c r="BJ217" s="190"/>
      <c r="BK217" s="190"/>
      <c r="BL217" s="190"/>
      <c r="TU217" s="178"/>
      <c r="TV217" s="178"/>
    </row>
    <row r="218" spans="1:542" x14ac:dyDescent="0.25">
      <c r="A218" s="96" t="s">
        <v>153</v>
      </c>
      <c r="B218" s="158" t="str">
        <f>"mm"</f>
        <v>mm</v>
      </c>
      <c r="C218" s="159"/>
      <c r="D218" s="155"/>
      <c r="E218" s="190"/>
      <c r="F218" s="190"/>
      <c r="G218" s="190"/>
      <c r="H218" s="190"/>
      <c r="I218" s="190"/>
      <c r="J218" s="190"/>
      <c r="K218" s="190"/>
      <c r="L218" s="190"/>
      <c r="M218" s="190"/>
      <c r="N218" s="190"/>
      <c r="O218" s="190"/>
      <c r="P218" s="190"/>
      <c r="Q218" s="190"/>
      <c r="R218" s="190"/>
      <c r="S218" s="190"/>
      <c r="T218" s="190"/>
      <c r="U218" s="190"/>
      <c r="V218" s="190"/>
      <c r="W218" s="190"/>
      <c r="X218" s="190"/>
      <c r="Y218" s="190"/>
      <c r="Z218" s="190"/>
      <c r="AA218" s="190"/>
      <c r="AB218" s="190"/>
      <c r="AC218" s="190"/>
      <c r="AD218" s="190"/>
      <c r="AE218" s="190"/>
      <c r="AF218" s="190"/>
      <c r="AG218" s="190"/>
      <c r="AH218" s="190"/>
      <c r="AI218" s="190"/>
      <c r="AJ218" s="190"/>
      <c r="AK218" s="190"/>
      <c r="AL218" s="190"/>
      <c r="AM218" s="190"/>
      <c r="AN218" s="190"/>
      <c r="AO218" s="190"/>
      <c r="AP218" s="190"/>
      <c r="AQ218" s="190"/>
      <c r="AR218" s="190"/>
      <c r="AS218" s="190"/>
      <c r="AT218" s="190"/>
      <c r="AU218" s="190"/>
      <c r="AV218" s="190"/>
      <c r="AW218" s="190"/>
      <c r="AX218" s="190"/>
      <c r="AY218" s="190"/>
      <c r="AZ218" s="190"/>
      <c r="BA218" s="190"/>
      <c r="BB218" s="190"/>
      <c r="BC218" s="190"/>
      <c r="BD218" s="190"/>
      <c r="BE218" s="190"/>
      <c r="BF218" s="190"/>
      <c r="BG218" s="190"/>
      <c r="BH218" s="190"/>
      <c r="BI218" s="190"/>
      <c r="BJ218" s="190"/>
      <c r="BK218" s="190"/>
      <c r="BL218" s="190"/>
      <c r="TU218" s="178"/>
      <c r="TV218" s="178"/>
    </row>
    <row r="219" spans="1:542" x14ac:dyDescent="0.25">
      <c r="A219" s="96" t="s">
        <v>154</v>
      </c>
      <c r="B219" s="158" t="str">
        <f t="shared" si="3"/>
        <v>[yes/no]</v>
      </c>
      <c r="C219" s="159"/>
      <c r="D219" s="155"/>
      <c r="E219" s="190"/>
      <c r="F219" s="190"/>
      <c r="G219" s="190"/>
      <c r="H219" s="190"/>
      <c r="I219" s="190"/>
      <c r="J219" s="190"/>
      <c r="K219" s="190"/>
      <c r="L219" s="190"/>
      <c r="M219" s="190"/>
      <c r="N219" s="190"/>
      <c r="O219" s="190"/>
      <c r="P219" s="190"/>
      <c r="Q219" s="190"/>
      <c r="R219" s="190"/>
      <c r="S219" s="190"/>
      <c r="T219" s="190"/>
      <c r="U219" s="190"/>
      <c r="V219" s="190"/>
      <c r="W219" s="190"/>
      <c r="X219" s="190"/>
      <c r="Y219" s="190"/>
      <c r="Z219" s="190"/>
      <c r="AA219" s="190"/>
      <c r="AB219" s="190"/>
      <c r="AC219" s="190"/>
      <c r="AD219" s="190"/>
      <c r="AE219" s="190"/>
      <c r="AF219" s="190"/>
      <c r="AG219" s="190"/>
      <c r="AH219" s="190"/>
      <c r="AI219" s="190"/>
      <c r="AJ219" s="190"/>
      <c r="AK219" s="190"/>
      <c r="AL219" s="190"/>
      <c r="AM219" s="190"/>
      <c r="AN219" s="190"/>
      <c r="AO219" s="190"/>
      <c r="AP219" s="190"/>
      <c r="AQ219" s="190"/>
      <c r="AR219" s="190"/>
      <c r="AS219" s="190"/>
      <c r="AT219" s="190"/>
      <c r="AU219" s="190"/>
      <c r="AV219" s="190"/>
      <c r="AW219" s="190"/>
      <c r="AX219" s="190"/>
      <c r="AY219" s="190"/>
      <c r="AZ219" s="190"/>
      <c r="BA219" s="190"/>
      <c r="BB219" s="190"/>
      <c r="BC219" s="190"/>
      <c r="BD219" s="190"/>
      <c r="BE219" s="190"/>
      <c r="BF219" s="190"/>
      <c r="BG219" s="190"/>
      <c r="BH219" s="190"/>
      <c r="BI219" s="190"/>
      <c r="BJ219" s="190"/>
      <c r="BK219" s="190"/>
      <c r="BL219" s="190"/>
      <c r="TU219" s="178"/>
      <c r="TV219" s="178"/>
    </row>
    <row r="220" spans="1:542" x14ac:dyDescent="0.25">
      <c r="A220" s="96" t="s">
        <v>155</v>
      </c>
      <c r="B220" s="158"/>
      <c r="C220" s="159"/>
      <c r="D220" s="155"/>
      <c r="E220" s="190"/>
      <c r="F220" s="190"/>
      <c r="G220" s="190"/>
      <c r="H220" s="190"/>
      <c r="I220" s="190"/>
      <c r="J220" s="190"/>
      <c r="K220" s="190"/>
      <c r="L220" s="190"/>
      <c r="M220" s="190"/>
      <c r="N220" s="190"/>
      <c r="O220" s="190"/>
      <c r="P220" s="190"/>
      <c r="Q220" s="190"/>
      <c r="R220" s="190"/>
      <c r="S220" s="190"/>
      <c r="T220" s="190"/>
      <c r="U220" s="190"/>
      <c r="V220" s="190"/>
      <c r="W220" s="190"/>
      <c r="X220" s="190"/>
      <c r="Y220" s="190"/>
      <c r="Z220" s="190"/>
      <c r="AA220" s="190"/>
      <c r="AB220" s="190"/>
      <c r="AC220" s="190"/>
      <c r="AD220" s="190"/>
      <c r="AE220" s="190"/>
      <c r="AF220" s="190"/>
      <c r="AG220" s="190"/>
      <c r="AH220" s="190"/>
      <c r="AI220" s="190"/>
      <c r="AJ220" s="190"/>
      <c r="AK220" s="190"/>
      <c r="AL220" s="190"/>
      <c r="AM220" s="190"/>
      <c r="AN220" s="190"/>
      <c r="AO220" s="190"/>
      <c r="AP220" s="190"/>
      <c r="AQ220" s="190"/>
      <c r="AR220" s="190"/>
      <c r="AS220" s="190"/>
      <c r="AT220" s="190"/>
      <c r="AU220" s="190"/>
      <c r="AV220" s="190"/>
      <c r="AW220" s="190"/>
      <c r="AX220" s="190"/>
      <c r="AY220" s="190"/>
      <c r="AZ220" s="190"/>
      <c r="BA220" s="190"/>
      <c r="BB220" s="190"/>
      <c r="BC220" s="190"/>
      <c r="BD220" s="190"/>
      <c r="BE220" s="190"/>
      <c r="BF220" s="190"/>
      <c r="BG220" s="190"/>
      <c r="BH220" s="190"/>
      <c r="BI220" s="190"/>
      <c r="BJ220" s="190"/>
      <c r="BK220" s="190"/>
      <c r="BL220" s="190"/>
      <c r="TU220" s="178"/>
      <c r="TV220" s="178"/>
    </row>
    <row r="221" spans="1:542" x14ac:dyDescent="0.25">
      <c r="A221" s="201" t="s">
        <v>457</v>
      </c>
      <c r="B221" s="158" t="str">
        <f t="shared" ref="B221:B223" si="4">"[yes/no]"</f>
        <v>[yes/no]</v>
      </c>
      <c r="C221" s="159"/>
      <c r="D221" s="155"/>
      <c r="E221" s="190"/>
      <c r="F221" s="190"/>
      <c r="G221" s="190"/>
      <c r="H221" s="190"/>
      <c r="I221" s="190"/>
      <c r="J221" s="190"/>
      <c r="K221" s="190"/>
      <c r="L221" s="190"/>
      <c r="M221" s="190"/>
      <c r="N221" s="190"/>
      <c r="O221" s="190"/>
      <c r="P221" s="190"/>
      <c r="Q221" s="190"/>
      <c r="R221" s="190"/>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TU221" s="178"/>
      <c r="TV221" s="178"/>
    </row>
    <row r="222" spans="1:542" x14ac:dyDescent="0.25">
      <c r="A222" s="96" t="s">
        <v>156</v>
      </c>
      <c r="B222" s="158" t="str">
        <f>"[mm/no orifice]"</f>
        <v>[mm/no orifice]</v>
      </c>
      <c r="C222" s="159"/>
      <c r="D222" s="155"/>
      <c r="E222" s="190"/>
      <c r="F222" s="190"/>
      <c r="G222" s="190"/>
      <c r="H222" s="190"/>
      <c r="I222" s="190"/>
      <c r="J222" s="190"/>
      <c r="K222" s="190"/>
      <c r="L222" s="190"/>
      <c r="M222" s="190"/>
      <c r="N222" s="190"/>
      <c r="O222" s="190"/>
      <c r="P222" s="190"/>
      <c r="Q222" s="190"/>
      <c r="R222" s="190"/>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TU222" s="178"/>
      <c r="TV222" s="178"/>
    </row>
    <row r="223" spans="1:542" x14ac:dyDescent="0.25">
      <c r="A223" s="96" t="s">
        <v>458</v>
      </c>
      <c r="B223" s="158" t="str">
        <f t="shared" si="4"/>
        <v>[yes/no]</v>
      </c>
      <c r="C223" s="159"/>
      <c r="D223" s="155"/>
      <c r="E223" s="190"/>
      <c r="F223" s="190"/>
      <c r="G223" s="190"/>
      <c r="H223" s="190"/>
      <c r="I223" s="190"/>
      <c r="J223" s="190"/>
      <c r="K223" s="190"/>
      <c r="L223" s="190"/>
      <c r="M223" s="190"/>
      <c r="N223" s="190"/>
      <c r="O223" s="190"/>
      <c r="P223" s="190"/>
      <c r="Q223" s="190"/>
      <c r="R223" s="190"/>
      <c r="S223" s="190"/>
      <c r="T223" s="190"/>
      <c r="U223" s="190"/>
      <c r="V223" s="190"/>
      <c r="W223" s="190"/>
      <c r="X223" s="190"/>
      <c r="Y223" s="190"/>
      <c r="Z223" s="190"/>
      <c r="AA223" s="190"/>
      <c r="AB223" s="190"/>
      <c r="AC223" s="190"/>
      <c r="AD223" s="190"/>
      <c r="AE223" s="190"/>
      <c r="AF223" s="190"/>
      <c r="AG223" s="190"/>
      <c r="AH223" s="190"/>
      <c r="AI223" s="190"/>
      <c r="AJ223" s="190"/>
      <c r="AK223" s="190"/>
      <c r="AL223" s="190"/>
      <c r="AM223" s="190"/>
      <c r="AN223" s="190"/>
      <c r="AO223" s="190"/>
      <c r="AP223" s="190"/>
      <c r="AQ223" s="190"/>
      <c r="AR223" s="190"/>
      <c r="AS223" s="190"/>
      <c r="AT223" s="190"/>
      <c r="AU223" s="190"/>
      <c r="AV223" s="190"/>
      <c r="AW223" s="190"/>
      <c r="AX223" s="190"/>
      <c r="AY223" s="190"/>
      <c r="AZ223" s="190"/>
      <c r="BA223" s="190"/>
      <c r="BB223" s="190"/>
      <c r="BC223" s="190"/>
      <c r="BD223" s="190"/>
      <c r="BE223" s="190"/>
      <c r="BF223" s="190"/>
      <c r="BG223" s="190"/>
      <c r="BH223" s="190"/>
      <c r="BI223" s="190"/>
      <c r="BJ223" s="190"/>
      <c r="BK223" s="190"/>
      <c r="BL223" s="190"/>
      <c r="TU223" s="178"/>
      <c r="TV223" s="178"/>
    </row>
    <row r="224" spans="1:542" ht="30" x14ac:dyDescent="0.25">
      <c r="A224" s="96" t="s">
        <v>429</v>
      </c>
      <c r="B224" s="158" t="str">
        <f t="shared" ref="B224" si="5">"[yes/no]"</f>
        <v>[yes/no]</v>
      </c>
      <c r="C224" s="159"/>
      <c r="D224" s="155"/>
      <c r="E224" s="190"/>
      <c r="F224" s="190"/>
      <c r="G224" s="190"/>
      <c r="H224" s="190"/>
      <c r="I224" s="190"/>
      <c r="J224" s="190"/>
      <c r="K224" s="190"/>
      <c r="L224" s="190"/>
      <c r="M224" s="190"/>
      <c r="N224" s="190"/>
      <c r="O224" s="190"/>
      <c r="P224" s="190"/>
      <c r="Q224" s="190"/>
      <c r="R224" s="190"/>
      <c r="S224" s="190"/>
      <c r="T224" s="190"/>
      <c r="U224" s="190"/>
      <c r="V224" s="190"/>
      <c r="W224" s="190"/>
      <c r="X224" s="190"/>
      <c r="Y224" s="190"/>
      <c r="Z224" s="190"/>
      <c r="AA224" s="190"/>
      <c r="AB224" s="190"/>
      <c r="AC224" s="190"/>
      <c r="AD224" s="190"/>
      <c r="AE224" s="190"/>
      <c r="AF224" s="190"/>
      <c r="AG224" s="190"/>
      <c r="AH224" s="190"/>
      <c r="AI224" s="190"/>
      <c r="AJ224" s="190"/>
      <c r="AK224" s="190"/>
      <c r="AL224" s="190"/>
      <c r="AM224" s="190"/>
      <c r="AN224" s="190"/>
      <c r="AO224" s="190"/>
      <c r="AP224" s="190"/>
      <c r="AQ224" s="190"/>
      <c r="AR224" s="190"/>
      <c r="AS224" s="190"/>
      <c r="AT224" s="190"/>
      <c r="AU224" s="190"/>
      <c r="AV224" s="190"/>
      <c r="AW224" s="190"/>
      <c r="AX224" s="190"/>
      <c r="AY224" s="190"/>
      <c r="AZ224" s="190"/>
      <c r="BA224" s="190"/>
      <c r="BB224" s="190"/>
      <c r="BC224" s="190"/>
      <c r="BD224" s="190"/>
      <c r="BE224" s="190"/>
      <c r="BF224" s="190"/>
      <c r="BG224" s="190"/>
      <c r="BH224" s="190"/>
      <c r="BI224" s="190"/>
      <c r="BJ224" s="190"/>
      <c r="BK224" s="190"/>
      <c r="BL224" s="190"/>
      <c r="TU224" s="178"/>
      <c r="TV224" s="178"/>
    </row>
    <row r="225" spans="1:542" x14ac:dyDescent="0.25">
      <c r="A225" s="96" t="s">
        <v>600</v>
      </c>
      <c r="B225" s="158" t="str">
        <f>"[number]"</f>
        <v>[number]</v>
      </c>
      <c r="C225" s="159"/>
      <c r="D225" s="155"/>
      <c r="E225" s="190"/>
      <c r="F225" s="190"/>
      <c r="G225" s="190"/>
      <c r="H225" s="190"/>
      <c r="I225" s="190"/>
      <c r="J225" s="190"/>
      <c r="K225" s="190"/>
      <c r="L225" s="190"/>
      <c r="M225" s="190"/>
      <c r="N225" s="190"/>
      <c r="O225" s="190"/>
      <c r="P225" s="190"/>
      <c r="Q225" s="190"/>
      <c r="R225" s="190"/>
      <c r="S225" s="190"/>
      <c r="T225" s="190"/>
      <c r="U225" s="190"/>
      <c r="V225" s="190"/>
      <c r="W225" s="190"/>
      <c r="X225" s="190"/>
      <c r="Y225" s="190"/>
      <c r="Z225" s="190"/>
      <c r="AA225" s="190"/>
      <c r="AB225" s="190"/>
      <c r="AC225" s="190"/>
      <c r="AD225" s="190"/>
      <c r="AE225" s="190"/>
      <c r="AF225" s="190"/>
      <c r="AG225" s="190"/>
      <c r="AH225" s="190"/>
      <c r="AI225" s="190"/>
      <c r="AJ225" s="190"/>
      <c r="AK225" s="190"/>
      <c r="AL225" s="190"/>
      <c r="AM225" s="190"/>
      <c r="AN225" s="190"/>
      <c r="AO225" s="190"/>
      <c r="AP225" s="190"/>
      <c r="AQ225" s="190"/>
      <c r="AR225" s="190"/>
      <c r="AS225" s="190"/>
      <c r="AT225" s="190"/>
      <c r="AU225" s="190"/>
      <c r="AV225" s="190"/>
      <c r="AW225" s="190"/>
      <c r="AX225" s="190"/>
      <c r="AY225" s="190"/>
      <c r="AZ225" s="190"/>
      <c r="BA225" s="190"/>
      <c r="BB225" s="190"/>
      <c r="BC225" s="190"/>
      <c r="BD225" s="190"/>
      <c r="BE225" s="190"/>
      <c r="BF225" s="190"/>
      <c r="BG225" s="190"/>
      <c r="BH225" s="190"/>
      <c r="BI225" s="190"/>
      <c r="BJ225" s="190"/>
      <c r="BK225" s="190"/>
      <c r="BL225" s="190"/>
      <c r="BM225" s="190"/>
      <c r="BN225" s="190"/>
      <c r="BO225" s="190"/>
      <c r="TU225" s="178"/>
      <c r="TV225" s="178"/>
    </row>
    <row r="226" spans="1:542" x14ac:dyDescent="0.25">
      <c r="A226" s="96" t="s">
        <v>601</v>
      </c>
      <c r="B226" s="158" t="str">
        <f>"[number]"</f>
        <v>[number]</v>
      </c>
      <c r="C226" s="159"/>
      <c r="D226" s="155"/>
      <c r="E226" s="190"/>
      <c r="F226" s="190"/>
      <c r="G226" s="190"/>
      <c r="H226" s="190"/>
      <c r="I226" s="190"/>
      <c r="J226" s="190"/>
      <c r="K226" s="190"/>
      <c r="L226" s="190"/>
      <c r="M226" s="190"/>
      <c r="N226" s="190"/>
      <c r="O226" s="190"/>
      <c r="P226" s="190"/>
      <c r="Q226" s="190"/>
      <c r="R226" s="190"/>
      <c r="S226" s="190"/>
      <c r="T226" s="190"/>
      <c r="U226" s="190"/>
      <c r="V226" s="190"/>
      <c r="W226" s="190"/>
      <c r="X226" s="190"/>
      <c r="Y226" s="190"/>
      <c r="Z226" s="190"/>
      <c r="AA226" s="190"/>
      <c r="AB226" s="190"/>
      <c r="AC226" s="190"/>
      <c r="AD226" s="190"/>
      <c r="AE226" s="190"/>
      <c r="AF226" s="190"/>
      <c r="AG226" s="190"/>
      <c r="AH226" s="190"/>
      <c r="AI226" s="190"/>
      <c r="AJ226" s="190"/>
      <c r="AK226" s="190"/>
      <c r="AL226" s="190"/>
      <c r="AM226" s="190"/>
      <c r="AN226" s="190"/>
      <c r="AO226" s="190"/>
      <c r="AP226" s="190"/>
      <c r="AQ226" s="190"/>
      <c r="AR226" s="190"/>
      <c r="AS226" s="190"/>
      <c r="AT226" s="190"/>
      <c r="AU226" s="190"/>
      <c r="AV226" s="190"/>
      <c r="AW226" s="190"/>
      <c r="AX226" s="190"/>
      <c r="AY226" s="190"/>
      <c r="AZ226" s="190"/>
      <c r="BA226" s="190"/>
      <c r="BB226" s="190"/>
      <c r="BC226" s="190"/>
      <c r="BD226" s="190"/>
      <c r="BE226" s="190"/>
      <c r="BF226" s="190"/>
      <c r="BG226" s="190"/>
      <c r="BH226" s="190"/>
      <c r="BI226" s="190"/>
      <c r="BJ226" s="190"/>
      <c r="BK226" s="190"/>
      <c r="BL226" s="190"/>
      <c r="BM226" s="190"/>
      <c r="BN226" s="190"/>
      <c r="BO226" s="190"/>
      <c r="TU226" s="178"/>
      <c r="TV226" s="178"/>
    </row>
    <row r="227" spans="1:542" x14ac:dyDescent="0.25">
      <c r="A227" s="96" t="s">
        <v>157</v>
      </c>
      <c r="B227" s="158" t="str">
        <f>"[mm/no orifice]"</f>
        <v>[mm/no orifice]</v>
      </c>
      <c r="C227" s="159"/>
      <c r="D227" s="155"/>
      <c r="E227" s="190"/>
      <c r="F227" s="190"/>
      <c r="G227" s="190"/>
      <c r="H227" s="190"/>
      <c r="I227" s="190"/>
      <c r="J227" s="190"/>
      <c r="K227" s="190"/>
      <c r="L227" s="190"/>
      <c r="M227" s="190"/>
      <c r="N227" s="190"/>
      <c r="O227" s="190"/>
      <c r="P227" s="190"/>
      <c r="Q227" s="190"/>
      <c r="R227" s="190"/>
      <c r="S227" s="190"/>
      <c r="T227" s="190"/>
      <c r="U227" s="190"/>
      <c r="V227" s="190"/>
      <c r="W227" s="190"/>
      <c r="X227" s="190"/>
      <c r="Y227" s="190"/>
      <c r="Z227" s="190"/>
      <c r="AA227" s="190"/>
      <c r="AB227" s="190"/>
      <c r="AC227" s="190"/>
      <c r="AD227" s="190"/>
      <c r="AE227" s="190"/>
      <c r="AF227" s="190"/>
      <c r="AG227" s="190"/>
      <c r="AH227" s="190"/>
      <c r="AI227" s="190"/>
      <c r="AJ227" s="190"/>
      <c r="AK227" s="190"/>
      <c r="AL227" s="190"/>
      <c r="AM227" s="190"/>
      <c r="AN227" s="190"/>
      <c r="AO227" s="190"/>
      <c r="AP227" s="190"/>
      <c r="AQ227" s="190"/>
      <c r="AR227" s="190"/>
      <c r="AS227" s="190"/>
      <c r="AT227" s="190"/>
      <c r="AU227" s="190"/>
      <c r="AV227" s="190"/>
      <c r="AW227" s="190"/>
      <c r="AX227" s="190"/>
      <c r="AY227" s="190"/>
      <c r="AZ227" s="190"/>
      <c r="BA227" s="190"/>
      <c r="BB227" s="190"/>
      <c r="BC227" s="190"/>
      <c r="BD227" s="190"/>
      <c r="BE227" s="190"/>
      <c r="BF227" s="190"/>
      <c r="BG227" s="190"/>
      <c r="BH227" s="190"/>
      <c r="BI227" s="190"/>
      <c r="BJ227" s="190"/>
      <c r="BK227" s="190"/>
      <c r="BL227" s="190"/>
      <c r="BM227" s="190"/>
      <c r="BN227" s="190"/>
      <c r="BO227" s="190"/>
      <c r="TU227" s="178"/>
      <c r="TV227" s="178"/>
    </row>
    <row r="228" spans="1:542" x14ac:dyDescent="0.25">
      <c r="A228" s="147" t="s">
        <v>227</v>
      </c>
      <c r="B228" s="158" t="str">
        <f>"in"</f>
        <v>in</v>
      </c>
      <c r="C228" s="120"/>
      <c r="D228" s="155"/>
      <c r="E228" s="190"/>
      <c r="F228" s="190"/>
      <c r="G228" s="190"/>
      <c r="H228" s="190"/>
      <c r="I228" s="190"/>
      <c r="J228" s="190"/>
      <c r="K228" s="190"/>
      <c r="L228" s="190"/>
      <c r="M228" s="190"/>
      <c r="N228" s="190"/>
      <c r="O228" s="190"/>
      <c r="P228" s="190"/>
      <c r="Q228" s="190"/>
      <c r="R228" s="190"/>
      <c r="S228" s="190"/>
      <c r="T228" s="190"/>
      <c r="U228" s="190"/>
      <c r="V228" s="190"/>
      <c r="W228" s="190"/>
      <c r="X228" s="190"/>
      <c r="Y228" s="190"/>
      <c r="Z228" s="190"/>
      <c r="AA228" s="190"/>
      <c r="AB228" s="190"/>
      <c r="AC228" s="190"/>
      <c r="AD228" s="190"/>
      <c r="AE228" s="190"/>
      <c r="AF228" s="190"/>
      <c r="AG228" s="190"/>
      <c r="AH228" s="190"/>
      <c r="AI228" s="190"/>
      <c r="AJ228" s="190"/>
      <c r="AK228" s="190"/>
      <c r="AL228" s="190"/>
      <c r="AM228" s="190"/>
      <c r="AN228" s="190"/>
      <c r="AO228" s="190"/>
      <c r="AP228" s="190"/>
      <c r="AQ228" s="190"/>
      <c r="AR228" s="190"/>
      <c r="AS228" s="190"/>
      <c r="AT228" s="190"/>
      <c r="AU228" s="190"/>
      <c r="AV228" s="190"/>
      <c r="AW228" s="190"/>
      <c r="AX228" s="190"/>
      <c r="AY228" s="190"/>
      <c r="AZ228" s="190"/>
      <c r="BA228" s="190"/>
      <c r="BB228" s="190"/>
      <c r="BC228" s="190"/>
      <c r="BD228" s="190"/>
      <c r="BE228" s="190"/>
      <c r="BF228" s="190"/>
      <c r="BG228" s="190"/>
      <c r="BH228" s="190"/>
      <c r="BI228" s="190"/>
      <c r="BJ228" s="190"/>
      <c r="BK228" s="190"/>
      <c r="BL228" s="190"/>
      <c r="BM228" s="190"/>
      <c r="BN228" s="190"/>
      <c r="BO228" s="190"/>
      <c r="TU228" s="178"/>
      <c r="TV228" s="178"/>
    </row>
    <row r="229" spans="1:542" x14ac:dyDescent="0.25">
      <c r="A229" s="147" t="s">
        <v>231</v>
      </c>
      <c r="B229" s="158" t="str">
        <f>"in"</f>
        <v>in</v>
      </c>
      <c r="C229" s="120"/>
      <c r="D229" s="155"/>
      <c r="E229" s="190"/>
      <c r="F229" s="190"/>
      <c r="G229" s="190"/>
      <c r="H229" s="190"/>
      <c r="I229" s="190"/>
      <c r="J229" s="190"/>
      <c r="K229" s="190"/>
      <c r="L229" s="190"/>
      <c r="M229" s="190"/>
      <c r="N229" s="190"/>
      <c r="O229" s="190"/>
      <c r="P229" s="190"/>
      <c r="Q229" s="190"/>
      <c r="R229" s="190"/>
      <c r="S229" s="190"/>
      <c r="T229" s="190"/>
      <c r="U229" s="190"/>
      <c r="V229" s="190"/>
      <c r="W229" s="190"/>
      <c r="X229" s="190"/>
      <c r="Y229" s="190"/>
      <c r="Z229" s="190"/>
      <c r="AA229" s="190"/>
      <c r="AB229" s="190"/>
      <c r="AC229" s="190"/>
      <c r="AD229" s="190"/>
      <c r="AE229" s="190"/>
      <c r="AF229" s="190"/>
      <c r="AG229" s="190"/>
      <c r="AH229" s="190"/>
      <c r="AI229" s="190"/>
      <c r="AJ229" s="190"/>
      <c r="AK229" s="190"/>
      <c r="AL229" s="190"/>
      <c r="AM229" s="190"/>
      <c r="AN229" s="190"/>
      <c r="AO229" s="190"/>
      <c r="AP229" s="190"/>
      <c r="AQ229" s="190"/>
      <c r="AR229" s="190"/>
      <c r="AS229" s="190"/>
      <c r="AT229" s="190"/>
      <c r="AU229" s="190"/>
      <c r="AV229" s="190"/>
      <c r="AW229" s="190"/>
      <c r="AX229" s="190"/>
      <c r="AY229" s="190"/>
      <c r="AZ229" s="190"/>
      <c r="BA229" s="190"/>
      <c r="BB229" s="190"/>
      <c r="BC229" s="190"/>
      <c r="BD229" s="190"/>
      <c r="BE229" s="190"/>
      <c r="BF229" s="190"/>
      <c r="BG229" s="190"/>
      <c r="BH229" s="190"/>
      <c r="BI229" s="190"/>
      <c r="BJ229" s="190"/>
      <c r="BK229" s="190"/>
      <c r="BL229" s="190"/>
      <c r="BM229" s="190"/>
      <c r="BN229" s="190"/>
      <c r="BO229" s="190"/>
      <c r="TU229" s="178"/>
      <c r="TV229" s="178"/>
    </row>
    <row r="230" spans="1:542" x14ac:dyDescent="0.25">
      <c r="A230" s="96" t="s">
        <v>456</v>
      </c>
      <c r="B230" s="158" t="str">
        <f>"kW"</f>
        <v>kW</v>
      </c>
      <c r="C230" s="159" t="str">
        <f>IFERROR(IF(OR($B$179&lt;&gt;"kW",$B$218&lt;&gt;"mm",$B$217&lt;&gt;"mm"),"check formula for non IS units",IF(AND(C12=1,OR(C13="bb1",C12="bb2")),C179*1/C150*(C218/C217)^4,C179*1/C150*(C218/C217)^4)),"missing input data")</f>
        <v>missing input data</v>
      </c>
      <c r="D230" s="155"/>
      <c r="E230" s="190"/>
      <c r="F230" s="190"/>
      <c r="G230" s="190"/>
      <c r="H230" s="190"/>
      <c r="I230" s="190"/>
      <c r="J230" s="190"/>
      <c r="K230" s="190"/>
      <c r="L230" s="190"/>
      <c r="M230" s="190"/>
      <c r="N230" s="190"/>
      <c r="O230" s="190"/>
      <c r="P230" s="190"/>
      <c r="Q230" s="190"/>
      <c r="R230" s="190"/>
      <c r="S230" s="190"/>
      <c r="T230" s="190"/>
      <c r="U230" s="190"/>
      <c r="V230" s="190"/>
      <c r="W230" s="190"/>
      <c r="X230" s="190"/>
      <c r="Y230" s="190"/>
      <c r="Z230" s="190"/>
      <c r="AA230" s="190"/>
      <c r="AB230" s="190"/>
      <c r="AC230" s="190"/>
      <c r="AD230" s="190"/>
      <c r="AE230" s="190"/>
      <c r="AF230" s="190"/>
      <c r="AG230" s="190"/>
      <c r="AH230" s="190"/>
      <c r="AI230" s="190"/>
      <c r="AJ230" s="190"/>
      <c r="AK230" s="190"/>
      <c r="AL230" s="190"/>
      <c r="AM230" s="190"/>
      <c r="AN230" s="190"/>
      <c r="AO230" s="190"/>
      <c r="AP230" s="190"/>
      <c r="AQ230" s="190"/>
      <c r="AR230" s="190"/>
      <c r="AS230" s="190"/>
      <c r="AT230" s="190"/>
      <c r="AU230" s="190"/>
      <c r="AV230" s="190"/>
      <c r="AW230" s="190"/>
      <c r="AX230" s="190"/>
      <c r="AY230" s="190"/>
      <c r="AZ230" s="190"/>
      <c r="BA230" s="190"/>
      <c r="BB230" s="190"/>
      <c r="BC230" s="190"/>
      <c r="BD230" s="190"/>
      <c r="BE230" s="190"/>
      <c r="BF230" s="190"/>
      <c r="BG230" s="190"/>
      <c r="BH230" s="190"/>
      <c r="BI230" s="190"/>
      <c r="BJ230" s="190"/>
      <c r="BK230" s="190"/>
      <c r="BL230" s="190"/>
      <c r="BM230" s="190"/>
      <c r="BN230" s="190"/>
      <c r="BO230" s="190"/>
      <c r="TU230" s="178"/>
      <c r="TV230" s="178"/>
    </row>
    <row r="231" spans="1:542" ht="30" x14ac:dyDescent="0.25">
      <c r="A231" s="96" t="s">
        <v>552</v>
      </c>
      <c r="B231" s="158" t="str">
        <f>"MW/m3"</f>
        <v>MW/m3</v>
      </c>
      <c r="C231" s="159" t="str">
        <f>IFERROR(IF(OR($B$178&lt;&gt;"kW",$B$218&lt;&gt;"mm",$B$228&lt;&gt;"in",$B229&lt;&gt;"in"),"check formula for non IS units",IF(AND(C13="bb1",C12=1), C178/C12*1/C150/(C218/1000)^2/(C228/1000*25.4)/1000, C178/C12*1/C150/(C218/1000)^2/(C229/1000*25.4)/1000)),"missing input data")</f>
        <v>missing input data</v>
      </c>
      <c r="D231" s="155"/>
      <c r="E231" s="190"/>
      <c r="F231" s="190"/>
      <c r="G231" s="190"/>
      <c r="H231" s="190"/>
      <c r="I231" s="190"/>
      <c r="J231" s="190"/>
      <c r="K231" s="190"/>
      <c r="L231" s="190"/>
      <c r="M231" s="190"/>
      <c r="N231" s="190"/>
      <c r="O231" s="190"/>
      <c r="P231" s="190"/>
      <c r="Q231" s="190"/>
      <c r="R231" s="190"/>
      <c r="S231" s="190"/>
      <c r="T231" s="190"/>
      <c r="U231" s="190"/>
      <c r="V231" s="190"/>
      <c r="W231" s="190"/>
      <c r="X231" s="190"/>
      <c r="Y231" s="190"/>
      <c r="Z231" s="190"/>
      <c r="AA231" s="190"/>
      <c r="AB231" s="190"/>
      <c r="AC231" s="190"/>
      <c r="AD231" s="190"/>
      <c r="AE231" s="190"/>
      <c r="AF231" s="190"/>
      <c r="AG231" s="190"/>
      <c r="AH231" s="190"/>
      <c r="AI231" s="190"/>
      <c r="AJ231" s="190"/>
      <c r="AK231" s="190"/>
      <c r="AL231" s="190"/>
      <c r="AM231" s="190"/>
      <c r="AN231" s="190"/>
      <c r="AO231" s="190"/>
      <c r="AP231" s="190"/>
      <c r="AQ231" s="190"/>
      <c r="AR231" s="190"/>
      <c r="AS231" s="190"/>
      <c r="AT231" s="190"/>
      <c r="AU231" s="190"/>
      <c r="AV231" s="190"/>
      <c r="AW231" s="190"/>
      <c r="AX231" s="190"/>
      <c r="AY231" s="190"/>
      <c r="AZ231" s="190"/>
      <c r="BA231" s="190"/>
      <c r="BB231" s="190"/>
      <c r="BC231" s="190"/>
      <c r="BD231" s="190"/>
      <c r="BE231" s="190"/>
      <c r="BF231" s="190"/>
      <c r="BG231" s="190"/>
      <c r="BH231" s="190"/>
      <c r="BI231" s="190"/>
      <c r="BJ231" s="190"/>
      <c r="BK231" s="190"/>
      <c r="BL231" s="190"/>
      <c r="BM231" s="190"/>
      <c r="BN231" s="190"/>
      <c r="BO231" s="190"/>
      <c r="TU231" s="178"/>
      <c r="TV231" s="178"/>
    </row>
    <row r="232" spans="1:542" ht="30" x14ac:dyDescent="0.25">
      <c r="A232" s="201" t="s">
        <v>459</v>
      </c>
      <c r="B232" s="158" t="str">
        <f>"[none/list]"</f>
        <v>[none/list]</v>
      </c>
      <c r="C232" s="159"/>
      <c r="D232" s="155"/>
      <c r="E232" s="190"/>
      <c r="F232" s="190"/>
      <c r="G232" s="190"/>
      <c r="H232" s="190"/>
      <c r="I232" s="190"/>
      <c r="J232" s="190"/>
      <c r="K232" s="190"/>
      <c r="L232" s="190"/>
      <c r="M232" s="190"/>
      <c r="N232" s="190"/>
      <c r="O232" s="190"/>
      <c r="P232" s="190"/>
      <c r="Q232" s="190"/>
      <c r="R232" s="190"/>
      <c r="S232" s="190"/>
      <c r="T232" s="190"/>
      <c r="U232" s="190"/>
      <c r="V232" s="190"/>
      <c r="W232" s="190"/>
      <c r="X232" s="190"/>
      <c r="Y232" s="190"/>
      <c r="Z232" s="190"/>
      <c r="AA232" s="190"/>
      <c r="AB232" s="190"/>
      <c r="AC232" s="190"/>
      <c r="AD232" s="190"/>
      <c r="AE232" s="190"/>
      <c r="AF232" s="190"/>
      <c r="AG232" s="190"/>
      <c r="AH232" s="190"/>
      <c r="AI232" s="190"/>
      <c r="AJ232" s="190"/>
      <c r="AK232" s="190"/>
      <c r="AL232" s="190"/>
      <c r="AM232" s="190"/>
      <c r="AN232" s="190"/>
      <c r="AO232" s="190"/>
      <c r="AP232" s="190"/>
      <c r="AQ232" s="190"/>
      <c r="AR232" s="190"/>
      <c r="AS232" s="190"/>
      <c r="AT232" s="190"/>
      <c r="AU232" s="190"/>
      <c r="AV232" s="190"/>
      <c r="AW232" s="190"/>
      <c r="AX232" s="190"/>
      <c r="AY232" s="190"/>
      <c r="AZ232" s="190"/>
      <c r="BA232" s="190"/>
      <c r="BB232" s="190"/>
      <c r="BC232" s="190"/>
      <c r="BD232" s="190"/>
      <c r="BE232" s="190"/>
      <c r="BF232" s="190"/>
      <c r="BG232" s="190"/>
      <c r="BH232" s="190"/>
      <c r="BI232" s="190"/>
      <c r="BJ232" s="190"/>
      <c r="BK232" s="190"/>
      <c r="BL232" s="190"/>
      <c r="BM232" s="190"/>
      <c r="BN232" s="190"/>
      <c r="BO232" s="190"/>
      <c r="TU232" s="178"/>
      <c r="TV232" s="178"/>
    </row>
    <row r="233" spans="1:542" x14ac:dyDescent="0.25">
      <c r="A233" s="96" t="s">
        <v>158</v>
      </c>
      <c r="B233" s="158" t="str">
        <f>"[none/list]"</f>
        <v>[none/list]</v>
      </c>
      <c r="C233" s="159"/>
      <c r="D233" s="155"/>
      <c r="E233" s="190"/>
      <c r="F233" s="190"/>
      <c r="G233" s="190"/>
      <c r="H233" s="190"/>
      <c r="I233" s="190"/>
      <c r="J233" s="190"/>
      <c r="K233" s="190"/>
      <c r="L233" s="190"/>
      <c r="M233" s="190"/>
      <c r="N233" s="190"/>
      <c r="O233" s="190"/>
      <c r="P233" s="190"/>
      <c r="Q233" s="190"/>
      <c r="R233" s="190"/>
      <c r="S233" s="190"/>
      <c r="T233" s="190"/>
      <c r="U233" s="190"/>
      <c r="V233" s="190"/>
      <c r="W233" s="190"/>
      <c r="X233" s="190"/>
      <c r="Y233" s="190"/>
      <c r="Z233" s="190"/>
      <c r="AA233" s="190"/>
      <c r="AB233" s="190"/>
      <c r="AC233" s="190"/>
      <c r="AD233" s="190"/>
      <c r="AE233" s="190"/>
      <c r="AF233" s="190"/>
      <c r="AG233" s="190"/>
      <c r="AH233" s="190"/>
      <c r="AI233" s="190"/>
      <c r="AJ233" s="190"/>
      <c r="AK233" s="190"/>
      <c r="AL233" s="190"/>
      <c r="AM233" s="190"/>
      <c r="AN233" s="190"/>
      <c r="AO233" s="190"/>
      <c r="AP233" s="190"/>
      <c r="AQ233" s="190"/>
      <c r="AR233" s="190"/>
      <c r="AS233" s="190"/>
      <c r="AT233" s="190"/>
      <c r="AU233" s="190"/>
      <c r="AV233" s="190"/>
      <c r="AW233" s="190"/>
      <c r="AX233" s="190"/>
      <c r="AY233" s="190"/>
      <c r="AZ233" s="190"/>
      <c r="BA233" s="190"/>
      <c r="BB233" s="190"/>
      <c r="BC233" s="190"/>
      <c r="BD233" s="190"/>
      <c r="BE233" s="190"/>
      <c r="BF233" s="190"/>
      <c r="BG233" s="190"/>
      <c r="BH233" s="190"/>
      <c r="BI233" s="190"/>
      <c r="BJ233" s="190"/>
      <c r="BK233" s="190"/>
      <c r="BL233" s="190"/>
      <c r="BM233" s="190"/>
      <c r="BN233" s="190"/>
      <c r="BO233" s="190"/>
      <c r="TU233" s="178"/>
      <c r="TV233" s="178"/>
    </row>
    <row r="234" spans="1:542" x14ac:dyDescent="0.25">
      <c r="A234" s="96" t="s">
        <v>160</v>
      </c>
      <c r="B234" s="158"/>
      <c r="C234" s="159"/>
      <c r="D234" s="155"/>
      <c r="E234" s="190"/>
      <c r="F234" s="190"/>
      <c r="G234" s="190"/>
      <c r="H234" s="190"/>
      <c r="I234" s="190"/>
      <c r="J234" s="190"/>
      <c r="K234" s="190"/>
      <c r="L234" s="190"/>
      <c r="M234" s="190"/>
      <c r="N234" s="190"/>
      <c r="O234" s="190"/>
      <c r="P234" s="190"/>
      <c r="Q234" s="190"/>
      <c r="R234" s="190"/>
      <c r="S234" s="190"/>
      <c r="T234" s="190"/>
      <c r="U234" s="190"/>
      <c r="V234" s="190"/>
      <c r="W234" s="190"/>
      <c r="X234" s="190"/>
      <c r="Y234" s="190"/>
      <c r="Z234" s="190"/>
      <c r="AA234" s="190"/>
      <c r="AB234" s="190"/>
      <c r="AC234" s="190"/>
      <c r="AD234" s="190"/>
      <c r="AE234" s="190"/>
      <c r="AF234" s="190"/>
      <c r="AG234" s="190"/>
      <c r="AH234" s="190"/>
      <c r="AI234" s="190"/>
      <c r="AJ234" s="190"/>
      <c r="AK234" s="190"/>
      <c r="AL234" s="190"/>
      <c r="AM234" s="190"/>
      <c r="AN234" s="190"/>
      <c r="AO234" s="190"/>
      <c r="AP234" s="190"/>
      <c r="AQ234" s="190"/>
      <c r="AR234" s="190"/>
      <c r="AS234" s="190"/>
      <c r="AT234" s="190"/>
      <c r="AU234" s="190"/>
      <c r="AV234" s="190"/>
      <c r="AW234" s="190"/>
      <c r="AX234" s="190"/>
      <c r="AY234" s="190"/>
      <c r="AZ234" s="190"/>
      <c r="BA234" s="190"/>
      <c r="BB234" s="190"/>
      <c r="BC234" s="190"/>
      <c r="BD234" s="190"/>
      <c r="BE234" s="190"/>
      <c r="BF234" s="190"/>
      <c r="BG234" s="190"/>
      <c r="BH234" s="190"/>
      <c r="BI234" s="190"/>
      <c r="BJ234" s="190"/>
      <c r="BK234" s="190"/>
      <c r="BL234" s="190"/>
      <c r="BM234" s="190"/>
      <c r="BN234" s="190"/>
      <c r="BO234" s="190"/>
      <c r="TU234" s="178"/>
      <c r="TV234" s="178"/>
    </row>
    <row r="235" spans="1:542" x14ac:dyDescent="0.25">
      <c r="A235" s="96" t="s">
        <v>161</v>
      </c>
      <c r="B235" s="158"/>
      <c r="C235" s="159"/>
      <c r="D235" s="155"/>
      <c r="E235" s="190"/>
      <c r="F235" s="190"/>
      <c r="G235" s="190"/>
      <c r="H235" s="190"/>
      <c r="I235" s="190"/>
      <c r="J235" s="190"/>
      <c r="K235" s="190"/>
      <c r="L235" s="190"/>
      <c r="M235" s="190"/>
      <c r="N235" s="190"/>
      <c r="O235" s="190"/>
      <c r="P235" s="190"/>
      <c r="Q235" s="190"/>
      <c r="R235" s="190"/>
      <c r="S235" s="190"/>
      <c r="T235" s="190"/>
      <c r="U235" s="190"/>
      <c r="V235" s="190"/>
      <c r="W235" s="190"/>
      <c r="X235" s="190"/>
      <c r="Y235" s="190"/>
      <c r="Z235" s="190"/>
      <c r="AA235" s="190"/>
      <c r="AB235" s="190"/>
      <c r="AC235" s="190"/>
      <c r="AD235" s="190"/>
      <c r="AE235" s="190"/>
      <c r="AF235" s="190"/>
      <c r="AG235" s="190"/>
      <c r="AH235" s="190"/>
      <c r="AI235" s="190"/>
      <c r="AJ235" s="190"/>
      <c r="AK235" s="190"/>
      <c r="AL235" s="190"/>
      <c r="AM235" s="190"/>
      <c r="AN235" s="190"/>
      <c r="AO235" s="190"/>
      <c r="AP235" s="190"/>
      <c r="AQ235" s="190"/>
      <c r="AR235" s="190"/>
      <c r="AS235" s="190"/>
      <c r="AT235" s="190"/>
      <c r="AU235" s="190"/>
      <c r="AV235" s="190"/>
      <c r="AW235" s="190"/>
      <c r="AX235" s="190"/>
      <c r="AY235" s="190"/>
      <c r="AZ235" s="190"/>
      <c r="BA235" s="190"/>
      <c r="BB235" s="190"/>
      <c r="BC235" s="190"/>
      <c r="BD235" s="190"/>
      <c r="BE235" s="190"/>
      <c r="BF235" s="190"/>
      <c r="BG235" s="190"/>
      <c r="BH235" s="190"/>
      <c r="BI235" s="190"/>
      <c r="BJ235" s="190"/>
      <c r="BK235" s="190"/>
      <c r="BL235" s="190"/>
      <c r="BM235" s="190"/>
      <c r="BN235" s="190"/>
      <c r="BO235" s="190"/>
      <c r="TU235" s="178"/>
      <c r="TV235" s="178"/>
    </row>
    <row r="236" spans="1:542" x14ac:dyDescent="0.25">
      <c r="A236" s="96" t="s">
        <v>162</v>
      </c>
      <c r="B236" s="158"/>
      <c r="C236" s="159"/>
      <c r="D236" s="155"/>
      <c r="E236" s="190"/>
      <c r="F236" s="190"/>
      <c r="G236" s="190"/>
      <c r="H236" s="190"/>
      <c r="I236" s="190"/>
      <c r="J236" s="190"/>
      <c r="K236" s="190"/>
      <c r="L236" s="190"/>
      <c r="M236" s="190"/>
      <c r="N236" s="190"/>
      <c r="O236" s="190"/>
      <c r="P236" s="190"/>
      <c r="Q236" s="190"/>
      <c r="R236" s="190"/>
      <c r="S236" s="190"/>
      <c r="T236" s="190"/>
      <c r="U236" s="190"/>
      <c r="V236" s="190"/>
      <c r="W236" s="190"/>
      <c r="X236" s="190"/>
      <c r="Y236" s="190"/>
      <c r="Z236" s="190"/>
      <c r="AA236" s="190"/>
      <c r="AB236" s="190"/>
      <c r="AC236" s="190"/>
      <c r="AD236" s="190"/>
      <c r="AE236" s="190"/>
      <c r="AF236" s="190"/>
      <c r="AG236" s="190"/>
      <c r="AH236" s="190"/>
      <c r="AI236" s="190"/>
      <c r="AJ236" s="190"/>
      <c r="AK236" s="190"/>
      <c r="AL236" s="190"/>
      <c r="AM236" s="190"/>
      <c r="AN236" s="190"/>
      <c r="AO236" s="190"/>
      <c r="AP236" s="190"/>
      <c r="AQ236" s="190"/>
      <c r="AR236" s="190"/>
      <c r="AS236" s="190"/>
      <c r="AT236" s="190"/>
      <c r="AU236" s="190"/>
      <c r="AV236" s="190"/>
      <c r="AW236" s="190"/>
      <c r="AX236" s="190"/>
      <c r="AY236" s="190"/>
      <c r="AZ236" s="190"/>
      <c r="BA236" s="190"/>
      <c r="BB236" s="190"/>
      <c r="BC236" s="190"/>
      <c r="BD236" s="190"/>
      <c r="BE236" s="190"/>
      <c r="BF236" s="190"/>
      <c r="BG236" s="190"/>
      <c r="BH236" s="190"/>
      <c r="BI236" s="190"/>
      <c r="BJ236" s="190"/>
      <c r="BK236" s="190"/>
      <c r="BL236" s="190"/>
      <c r="BM236" s="190"/>
      <c r="BN236" s="190"/>
      <c r="BO236" s="190"/>
      <c r="TU236" s="178"/>
      <c r="TV236" s="178"/>
    </row>
    <row r="237" spans="1:542" x14ac:dyDescent="0.25">
      <c r="A237" s="96" t="s">
        <v>163</v>
      </c>
      <c r="B237" s="158"/>
      <c r="C237" s="159"/>
      <c r="D237" s="155"/>
      <c r="E237" s="190"/>
      <c r="F237" s="190"/>
      <c r="G237" s="190"/>
      <c r="H237" s="190"/>
      <c r="I237" s="190"/>
      <c r="J237" s="190"/>
      <c r="K237" s="190"/>
      <c r="L237" s="190"/>
      <c r="M237" s="190"/>
      <c r="N237" s="190"/>
      <c r="O237" s="190"/>
      <c r="P237" s="190"/>
      <c r="Q237" s="190"/>
      <c r="R237" s="190"/>
      <c r="S237" s="190"/>
      <c r="T237" s="190"/>
      <c r="U237" s="190"/>
      <c r="V237" s="190"/>
      <c r="W237" s="190"/>
      <c r="X237" s="190"/>
      <c r="Y237" s="190"/>
      <c r="Z237" s="190"/>
      <c r="AA237" s="190"/>
      <c r="AB237" s="190"/>
      <c r="AC237" s="190"/>
      <c r="AD237" s="190"/>
      <c r="AE237" s="190"/>
      <c r="AF237" s="190"/>
      <c r="AG237" s="190"/>
      <c r="AH237" s="190"/>
      <c r="AI237" s="190"/>
      <c r="AJ237" s="190"/>
      <c r="AK237" s="190"/>
      <c r="AL237" s="190"/>
      <c r="AM237" s="190"/>
      <c r="AN237" s="190"/>
      <c r="AO237" s="190"/>
      <c r="AP237" s="190"/>
      <c r="AQ237" s="190"/>
      <c r="AR237" s="190"/>
      <c r="AS237" s="190"/>
      <c r="AT237" s="190"/>
      <c r="AU237" s="190"/>
      <c r="AV237" s="190"/>
      <c r="AW237" s="190"/>
      <c r="AX237" s="190"/>
      <c r="AY237" s="190"/>
      <c r="AZ237" s="190"/>
      <c r="BA237" s="190"/>
      <c r="BB237" s="190"/>
      <c r="BC237" s="190"/>
      <c r="BD237" s="190"/>
      <c r="BE237" s="190"/>
      <c r="BF237" s="190"/>
      <c r="BG237" s="190"/>
      <c r="BH237" s="190"/>
      <c r="BI237" s="190"/>
      <c r="BJ237" s="190"/>
      <c r="BK237" s="190"/>
      <c r="BL237" s="190"/>
      <c r="BM237" s="190"/>
      <c r="BN237" s="190"/>
      <c r="BO237" s="190"/>
      <c r="TU237" s="178"/>
      <c r="TV237" s="178"/>
    </row>
    <row r="238" spans="1:542" x14ac:dyDescent="0.25">
      <c r="A238" s="96" t="s">
        <v>164</v>
      </c>
      <c r="B238" s="158"/>
      <c r="C238" s="159"/>
      <c r="D238" s="155"/>
      <c r="E238" s="190"/>
      <c r="F238" s="190"/>
      <c r="G238" s="190"/>
      <c r="H238" s="190"/>
      <c r="I238" s="190"/>
      <c r="J238" s="190"/>
      <c r="K238" s="190"/>
      <c r="L238" s="190"/>
      <c r="M238" s="190"/>
      <c r="N238" s="190"/>
      <c r="O238" s="190"/>
      <c r="P238" s="190"/>
      <c r="Q238" s="190"/>
      <c r="R238" s="190"/>
      <c r="S238" s="190"/>
      <c r="T238" s="190"/>
      <c r="U238" s="190"/>
      <c r="V238" s="190"/>
      <c r="W238" s="190"/>
      <c r="X238" s="190"/>
      <c r="Y238" s="190"/>
      <c r="Z238" s="190"/>
      <c r="AA238" s="190"/>
      <c r="AB238" s="190"/>
      <c r="AC238" s="190"/>
      <c r="AD238" s="190"/>
      <c r="AE238" s="190"/>
      <c r="AF238" s="190"/>
      <c r="AG238" s="190"/>
      <c r="AH238" s="190"/>
      <c r="AI238" s="190"/>
      <c r="AJ238" s="190"/>
      <c r="AK238" s="190"/>
      <c r="AL238" s="190"/>
      <c r="AM238" s="190"/>
      <c r="AN238" s="190"/>
      <c r="AO238" s="190"/>
      <c r="AP238" s="190"/>
      <c r="AQ238" s="190"/>
      <c r="AR238" s="190"/>
      <c r="AS238" s="190"/>
      <c r="AT238" s="190"/>
      <c r="AU238" s="190"/>
      <c r="AV238" s="190"/>
      <c r="AW238" s="190"/>
      <c r="AX238" s="190"/>
      <c r="AY238" s="190"/>
      <c r="AZ238" s="190"/>
      <c r="BA238" s="190"/>
      <c r="BB238" s="190"/>
      <c r="BC238" s="190"/>
      <c r="BD238" s="190"/>
      <c r="BE238" s="190"/>
      <c r="BF238" s="190"/>
      <c r="BG238" s="190"/>
      <c r="BH238" s="190"/>
      <c r="BI238" s="190"/>
      <c r="BJ238" s="190"/>
      <c r="BK238" s="190"/>
      <c r="BL238" s="190"/>
      <c r="BM238" s="190"/>
      <c r="BN238" s="190"/>
      <c r="BO238" s="190"/>
      <c r="TU238" s="178"/>
      <c r="TV238" s="178"/>
    </row>
    <row r="239" spans="1:542" x14ac:dyDescent="0.25">
      <c r="A239" s="96"/>
      <c r="B239" s="158"/>
      <c r="C239" s="159"/>
      <c r="D239" s="155"/>
      <c r="E239" s="190"/>
      <c r="F239" s="190"/>
      <c r="G239" s="190"/>
      <c r="H239" s="190"/>
      <c r="I239" s="190"/>
      <c r="J239" s="190"/>
      <c r="K239" s="190"/>
      <c r="L239" s="190"/>
      <c r="M239" s="190"/>
      <c r="N239" s="190"/>
      <c r="O239" s="190"/>
      <c r="P239" s="190"/>
      <c r="Q239" s="190"/>
      <c r="R239" s="190"/>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TU239" s="178"/>
      <c r="TV239" s="178"/>
    </row>
    <row r="240" spans="1:542" x14ac:dyDescent="0.25">
      <c r="A240" s="189" t="s">
        <v>523</v>
      </c>
      <c r="B240" s="116"/>
      <c r="C240" s="113"/>
      <c r="D240" s="105"/>
      <c r="E240" s="190"/>
      <c r="F240" s="190"/>
      <c r="G240" s="190"/>
      <c r="H240" s="190"/>
      <c r="I240" s="190"/>
      <c r="J240" s="190"/>
      <c r="K240" s="190"/>
      <c r="L240" s="190"/>
      <c r="M240" s="190"/>
      <c r="N240" s="190"/>
      <c r="O240" s="190"/>
      <c r="P240" s="190"/>
      <c r="Q240" s="190"/>
      <c r="R240" s="190"/>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TU240" s="178"/>
      <c r="TV240" s="178"/>
    </row>
    <row r="241" spans="1:542" x14ac:dyDescent="0.25">
      <c r="A241" s="96" t="s">
        <v>166</v>
      </c>
      <c r="B241" s="158" t="str">
        <f t="shared" ref="B241" si="6">"°C"</f>
        <v>°C</v>
      </c>
      <c r="C241" s="159"/>
      <c r="D241" s="155"/>
      <c r="E241" s="190"/>
      <c r="F241" s="190"/>
      <c r="G241" s="190"/>
      <c r="H241" s="190"/>
      <c r="I241" s="190"/>
      <c r="J241" s="190"/>
      <c r="K241" s="190"/>
      <c r="L241" s="190"/>
      <c r="M241" s="190"/>
      <c r="N241" s="190"/>
      <c r="O241" s="190"/>
      <c r="P241" s="190"/>
      <c r="Q241" s="190"/>
      <c r="R241" s="190"/>
      <c r="S241" s="190"/>
      <c r="T241" s="190"/>
      <c r="U241" s="190"/>
      <c r="V241" s="190"/>
      <c r="W241" s="190"/>
      <c r="X241" s="190"/>
      <c r="Y241" s="190"/>
      <c r="Z241" s="190"/>
      <c r="AA241" s="190"/>
      <c r="AB241" s="190"/>
      <c r="AC241" s="190"/>
      <c r="AD241" s="190"/>
      <c r="AE241" s="190"/>
      <c r="AF241" s="190"/>
      <c r="AG241" s="190"/>
      <c r="AH241" s="190"/>
      <c r="AI241" s="190"/>
      <c r="AJ241" s="190"/>
      <c r="AK241" s="190"/>
      <c r="AL241" s="190"/>
      <c r="AM241" s="190"/>
      <c r="AN241" s="190"/>
      <c r="AO241" s="190"/>
      <c r="AP241" s="190"/>
      <c r="AQ241" s="190"/>
      <c r="AR241" s="190"/>
      <c r="AS241" s="190"/>
      <c r="AT241" s="190"/>
      <c r="AU241" s="190"/>
      <c r="AV241" s="190"/>
      <c r="AW241" s="190"/>
      <c r="AX241" s="190"/>
      <c r="AY241" s="190"/>
      <c r="AZ241" s="190"/>
      <c r="BA241" s="190"/>
      <c r="BB241" s="190"/>
      <c r="BC241" s="190"/>
      <c r="BD241" s="190"/>
      <c r="BE241" s="190"/>
      <c r="BF241" s="190"/>
      <c r="BG241" s="190"/>
      <c r="BH241" s="190"/>
      <c r="BI241" s="190"/>
      <c r="BJ241" s="190"/>
      <c r="BK241" s="190"/>
      <c r="BL241" s="190"/>
      <c r="BM241" s="190"/>
      <c r="BN241" s="190"/>
      <c r="BO241" s="190"/>
      <c r="TU241" s="178"/>
      <c r="TV241" s="178"/>
    </row>
    <row r="242" spans="1:542" x14ac:dyDescent="0.25">
      <c r="A242" s="147" t="s">
        <v>167</v>
      </c>
      <c r="B242" s="119" t="s">
        <v>467</v>
      </c>
      <c r="C242" s="120"/>
      <c r="D242" s="155"/>
      <c r="E242" s="190"/>
      <c r="F242" s="190"/>
      <c r="G242" s="190"/>
      <c r="H242" s="190"/>
      <c r="I242" s="190"/>
      <c r="J242" s="190"/>
      <c r="K242" s="190"/>
      <c r="L242" s="190"/>
      <c r="M242" s="190"/>
      <c r="N242" s="190"/>
      <c r="O242" s="190"/>
      <c r="P242" s="190"/>
      <c r="Q242" s="190"/>
      <c r="R242" s="190"/>
      <c r="S242" s="190"/>
      <c r="T242" s="190"/>
      <c r="U242" s="190"/>
      <c r="V242" s="190"/>
      <c r="W242" s="190"/>
      <c r="X242" s="190"/>
      <c r="Y242" s="190"/>
      <c r="Z242" s="190"/>
      <c r="AA242" s="190"/>
      <c r="AB242" s="190"/>
      <c r="AC242" s="190"/>
      <c r="AD242" s="190"/>
      <c r="AE242" s="190"/>
      <c r="AF242" s="190"/>
      <c r="AG242" s="190"/>
      <c r="AH242" s="190"/>
      <c r="AI242" s="190"/>
      <c r="AJ242" s="190"/>
      <c r="AK242" s="190"/>
      <c r="AL242" s="190"/>
      <c r="AM242" s="190"/>
      <c r="AN242" s="190"/>
      <c r="AO242" s="190"/>
      <c r="AP242" s="190"/>
      <c r="AQ242" s="190"/>
      <c r="AR242" s="190"/>
      <c r="AS242" s="190"/>
      <c r="AT242" s="190"/>
      <c r="AU242" s="190"/>
      <c r="AV242" s="190"/>
      <c r="AW242" s="190"/>
      <c r="AX242" s="190"/>
      <c r="AY242" s="190"/>
      <c r="AZ242" s="190"/>
      <c r="BA242" s="190"/>
      <c r="BB242" s="190"/>
      <c r="BC242" s="190"/>
      <c r="BD242" s="190"/>
      <c r="BE242" s="190"/>
      <c r="BF242" s="190"/>
      <c r="BG242" s="190"/>
      <c r="BH242" s="190"/>
      <c r="BI242" s="190"/>
      <c r="BJ242" s="190"/>
      <c r="BK242" s="190"/>
      <c r="BL242" s="190"/>
      <c r="BM242" s="190"/>
      <c r="BN242" s="190"/>
      <c r="BO242" s="190"/>
      <c r="TU242" s="178"/>
      <c r="TV242" s="178"/>
    </row>
    <row r="243" spans="1:542" x14ac:dyDescent="0.25">
      <c r="A243" s="96" t="s">
        <v>345</v>
      </c>
      <c r="B243" s="158" t="str">
        <f>"bar.g"</f>
        <v>bar.g</v>
      </c>
      <c r="C243" s="159"/>
      <c r="D243" s="155"/>
      <c r="E243" s="190"/>
      <c r="F243" s="190"/>
      <c r="G243" s="190"/>
      <c r="H243" s="190"/>
      <c r="I243" s="190"/>
      <c r="J243" s="190"/>
      <c r="K243" s="190"/>
      <c r="L243" s="190"/>
      <c r="M243" s="190"/>
      <c r="N243" s="190"/>
      <c r="O243" s="190"/>
      <c r="P243" s="190"/>
      <c r="Q243" s="190"/>
      <c r="R243" s="190"/>
      <c r="S243" s="190"/>
      <c r="T243" s="190"/>
      <c r="U243" s="190"/>
      <c r="V243" s="190"/>
      <c r="W243" s="190"/>
      <c r="X243" s="190"/>
      <c r="Y243" s="190"/>
      <c r="Z243" s="190"/>
      <c r="AA243" s="190"/>
      <c r="AB243" s="190"/>
      <c r="AC243" s="190"/>
      <c r="AD243" s="190"/>
      <c r="AE243" s="190"/>
      <c r="AF243" s="190"/>
      <c r="AG243" s="190"/>
      <c r="AH243" s="190"/>
      <c r="AI243" s="190"/>
      <c r="AJ243" s="190"/>
      <c r="AK243" s="190"/>
      <c r="AL243" s="190"/>
      <c r="AM243" s="190"/>
      <c r="AN243" s="190"/>
      <c r="AO243" s="190"/>
      <c r="AP243" s="190"/>
      <c r="AQ243" s="190"/>
      <c r="AR243" s="190"/>
      <c r="AS243" s="190"/>
      <c r="AT243" s="190"/>
      <c r="AU243" s="190"/>
      <c r="AV243" s="190"/>
      <c r="AW243" s="190"/>
      <c r="AX243" s="190"/>
      <c r="AY243" s="190"/>
      <c r="AZ243" s="190"/>
      <c r="BA243" s="190"/>
      <c r="BB243" s="190"/>
      <c r="BC243" s="190"/>
      <c r="BD243" s="190"/>
      <c r="BE243" s="190"/>
      <c r="BF243" s="190"/>
      <c r="BG243" s="190"/>
      <c r="BH243" s="190"/>
      <c r="BI243" s="190"/>
      <c r="BJ243" s="190"/>
      <c r="BK243" s="190"/>
      <c r="BL243" s="190"/>
      <c r="BM243" s="190"/>
      <c r="BN243" s="190"/>
      <c r="BO243" s="190"/>
      <c r="TU243" s="178"/>
      <c r="TV243" s="178"/>
    </row>
    <row r="244" spans="1:542" x14ac:dyDescent="0.25">
      <c r="A244" s="147" t="s">
        <v>168</v>
      </c>
      <c r="B244" s="119" t="s">
        <v>476</v>
      </c>
      <c r="C244" s="120"/>
      <c r="D244" s="155"/>
      <c r="E244" s="190"/>
      <c r="F244" s="190"/>
      <c r="G244" s="190"/>
      <c r="H244" s="190"/>
      <c r="I244" s="190"/>
      <c r="J244" s="190"/>
      <c r="K244" s="190"/>
      <c r="L244" s="190"/>
      <c r="M244" s="190"/>
      <c r="N244" s="190"/>
      <c r="O244" s="190"/>
      <c r="P244" s="190"/>
      <c r="Q244" s="190"/>
      <c r="R244" s="190"/>
      <c r="S244" s="190"/>
      <c r="T244" s="190"/>
      <c r="U244" s="190"/>
      <c r="V244" s="190"/>
      <c r="W244" s="190"/>
      <c r="X244" s="190"/>
      <c r="Y244" s="190"/>
      <c r="Z244" s="190"/>
      <c r="AA244" s="190"/>
      <c r="AB244" s="190"/>
      <c r="AC244" s="190"/>
      <c r="AD244" s="190"/>
      <c r="AE244" s="190"/>
      <c r="AF244" s="190"/>
      <c r="AG244" s="190"/>
      <c r="AH244" s="190"/>
      <c r="AI244" s="190"/>
      <c r="AJ244" s="190"/>
      <c r="AK244" s="190"/>
      <c r="AL244" s="190"/>
      <c r="AM244" s="190"/>
      <c r="AN244" s="190"/>
      <c r="AO244" s="190"/>
      <c r="AP244" s="190"/>
      <c r="AQ244" s="190"/>
      <c r="AR244" s="190"/>
      <c r="AS244" s="190"/>
      <c r="AT244" s="190"/>
      <c r="AU244" s="190"/>
      <c r="AV244" s="190"/>
      <c r="AW244" s="190"/>
      <c r="AX244" s="190"/>
      <c r="AY244" s="190"/>
      <c r="AZ244" s="190"/>
      <c r="BA244" s="190"/>
      <c r="BB244" s="190"/>
      <c r="BC244" s="190"/>
      <c r="BD244" s="190"/>
      <c r="BE244" s="190"/>
      <c r="BF244" s="190"/>
      <c r="BG244" s="190"/>
      <c r="BH244" s="190"/>
      <c r="BI244" s="190"/>
      <c r="BJ244" s="190"/>
      <c r="BK244" s="190"/>
      <c r="BL244" s="190"/>
      <c r="BM244" s="190"/>
      <c r="BN244" s="190"/>
      <c r="BO244" s="190"/>
      <c r="TU244" s="178"/>
      <c r="TV244" s="178"/>
    </row>
    <row r="245" spans="1:542" x14ac:dyDescent="0.25">
      <c r="A245" s="96" t="s">
        <v>169</v>
      </c>
      <c r="B245" s="158" t="str">
        <f>"bar.g"</f>
        <v>bar.g</v>
      </c>
      <c r="C245" s="159" t="str">
        <f>IF(IF($B$171="m",C171*9.806/100+3,IF($B$171="ft",C171*9.806/100*0.3048+3,"check Head units"))&lt;&gt;3,IF($B$171="m",C171*9.806/100+3,IF($B$171="ft",C171*9.806/100*0.3048+3,"check Head units")),"missing input data")</f>
        <v>missing input data</v>
      </c>
      <c r="D245" s="155"/>
      <c r="E245" s="190"/>
      <c r="F245" s="190"/>
      <c r="G245" s="190"/>
      <c r="H245" s="190"/>
      <c r="I245" s="190"/>
      <c r="J245" s="190"/>
      <c r="K245" s="190"/>
      <c r="L245" s="190"/>
      <c r="M245" s="190"/>
      <c r="N245" s="190"/>
      <c r="O245" s="190"/>
      <c r="P245" s="190"/>
      <c r="Q245" s="190"/>
      <c r="R245" s="190"/>
      <c r="S245" s="190"/>
      <c r="T245" s="190"/>
      <c r="U245" s="190"/>
      <c r="V245" s="190"/>
      <c r="W245" s="190"/>
      <c r="X245" s="190"/>
      <c r="Y245" s="190"/>
      <c r="Z245" s="190"/>
      <c r="AA245" s="190"/>
      <c r="AB245" s="190"/>
      <c r="AC245" s="190"/>
      <c r="AD245" s="190"/>
      <c r="AE245" s="190"/>
      <c r="AF245" s="190"/>
      <c r="AG245" s="190"/>
      <c r="AH245" s="190"/>
      <c r="AI245" s="190"/>
      <c r="AJ245" s="190"/>
      <c r="AK245" s="190"/>
      <c r="AL245" s="190"/>
      <c r="AM245" s="190"/>
      <c r="AN245" s="190"/>
      <c r="AO245" s="190"/>
      <c r="AP245" s="190"/>
      <c r="AQ245" s="190"/>
      <c r="AR245" s="190"/>
      <c r="AS245" s="190"/>
      <c r="AT245" s="190"/>
      <c r="AU245" s="190"/>
      <c r="AV245" s="190"/>
      <c r="AW245" s="190"/>
      <c r="AX245" s="190"/>
      <c r="AY245" s="190"/>
      <c r="AZ245" s="190"/>
      <c r="BA245" s="190"/>
      <c r="BB245" s="190"/>
      <c r="BC245" s="190"/>
      <c r="BD245" s="190"/>
      <c r="BE245" s="190"/>
      <c r="BF245" s="190"/>
      <c r="BG245" s="190"/>
      <c r="BH245" s="190"/>
      <c r="BI245" s="190"/>
      <c r="BJ245" s="190"/>
      <c r="BK245" s="190"/>
      <c r="BL245" s="190"/>
      <c r="BM245" s="190"/>
      <c r="BN245" s="190"/>
      <c r="BO245" s="190"/>
      <c r="TU245" s="178"/>
      <c r="TV245" s="178"/>
    </row>
    <row r="246" spans="1:542" x14ac:dyDescent="0.25">
      <c r="A246" s="147" t="s">
        <v>170</v>
      </c>
      <c r="B246" s="119" t="s">
        <v>476</v>
      </c>
      <c r="C246" s="120"/>
      <c r="D246" s="155"/>
      <c r="E246" s="190"/>
      <c r="F246" s="190"/>
      <c r="G246" s="190"/>
      <c r="H246" s="190"/>
      <c r="I246" s="190"/>
      <c r="J246" s="190"/>
      <c r="K246" s="190"/>
      <c r="L246" s="190"/>
      <c r="M246" s="190"/>
      <c r="N246" s="190"/>
      <c r="O246" s="190"/>
      <c r="P246" s="190"/>
      <c r="Q246" s="190"/>
      <c r="R246" s="190"/>
      <c r="S246" s="190"/>
      <c r="T246" s="190"/>
      <c r="U246" s="190"/>
      <c r="V246" s="190"/>
      <c r="W246" s="190"/>
      <c r="X246" s="190"/>
      <c r="Y246" s="190"/>
      <c r="Z246" s="190"/>
      <c r="AA246" s="190"/>
      <c r="AB246" s="190"/>
      <c r="AC246" s="190"/>
      <c r="AD246" s="190"/>
      <c r="AE246" s="190"/>
      <c r="AF246" s="190"/>
      <c r="AG246" s="190"/>
      <c r="AH246" s="190"/>
      <c r="AI246" s="190"/>
      <c r="AJ246" s="190"/>
      <c r="AK246" s="190"/>
      <c r="AL246" s="190"/>
      <c r="AM246" s="190"/>
      <c r="AN246" s="190"/>
      <c r="AO246" s="190"/>
      <c r="AP246" s="190"/>
      <c r="AQ246" s="190"/>
      <c r="AR246" s="190"/>
      <c r="AS246" s="190"/>
      <c r="AT246" s="190"/>
      <c r="AU246" s="190"/>
      <c r="AV246" s="190"/>
      <c r="AW246" s="190"/>
      <c r="AX246" s="190"/>
      <c r="AY246" s="190"/>
      <c r="AZ246" s="190"/>
      <c r="BA246" s="190"/>
      <c r="BB246" s="190"/>
      <c r="BC246" s="190"/>
      <c r="BD246" s="190"/>
      <c r="BE246" s="190"/>
      <c r="BF246" s="190"/>
      <c r="BG246" s="190"/>
      <c r="BH246" s="190"/>
      <c r="BI246" s="190"/>
      <c r="BJ246" s="190"/>
      <c r="BK246" s="190"/>
      <c r="BL246" s="190"/>
      <c r="BM246" s="190"/>
      <c r="BN246" s="190"/>
      <c r="BO246" s="190"/>
      <c r="TU246" s="178"/>
      <c r="TV246" s="178"/>
    </row>
    <row r="247" spans="1:542" x14ac:dyDescent="0.25">
      <c r="A247" s="147" t="s">
        <v>171</v>
      </c>
      <c r="B247" s="119" t="s">
        <v>476</v>
      </c>
      <c r="C247" s="120"/>
      <c r="D247" s="155"/>
      <c r="E247" s="190"/>
      <c r="F247" s="190"/>
      <c r="G247" s="190"/>
      <c r="H247" s="190"/>
      <c r="I247" s="190"/>
      <c r="J247" s="190"/>
      <c r="K247" s="190"/>
      <c r="L247" s="190"/>
      <c r="M247" s="190"/>
      <c r="N247" s="190"/>
      <c r="O247" s="190"/>
      <c r="P247" s="190"/>
      <c r="Q247" s="190"/>
      <c r="R247" s="190"/>
      <c r="S247" s="190"/>
      <c r="T247" s="190"/>
      <c r="U247" s="190"/>
      <c r="V247" s="190"/>
      <c r="W247" s="190"/>
      <c r="X247" s="190"/>
      <c r="Y247" s="190"/>
      <c r="Z247" s="190"/>
      <c r="AA247" s="190"/>
      <c r="AB247" s="190"/>
      <c r="AC247" s="190"/>
      <c r="AD247" s="190"/>
      <c r="AE247" s="190"/>
      <c r="AF247" s="190"/>
      <c r="AG247" s="190"/>
      <c r="AH247" s="190"/>
      <c r="AI247" s="190"/>
      <c r="AJ247" s="190"/>
      <c r="AK247" s="190"/>
      <c r="AL247" s="190"/>
      <c r="AM247" s="190"/>
      <c r="AN247" s="190"/>
      <c r="AO247" s="190"/>
      <c r="AP247" s="190"/>
      <c r="AQ247" s="190"/>
      <c r="AR247" s="190"/>
      <c r="AS247" s="190"/>
      <c r="AT247" s="190"/>
      <c r="AU247" s="190"/>
      <c r="AV247" s="190"/>
      <c r="AW247" s="190"/>
      <c r="AX247" s="190"/>
      <c r="AY247" s="190"/>
      <c r="AZ247" s="190"/>
      <c r="BA247" s="190"/>
      <c r="BB247" s="190"/>
      <c r="BC247" s="190"/>
      <c r="BD247" s="190"/>
      <c r="BE247" s="190"/>
      <c r="BF247" s="190"/>
      <c r="BG247" s="190"/>
      <c r="BH247" s="190"/>
      <c r="BI247" s="190"/>
      <c r="BJ247" s="190"/>
      <c r="BK247" s="190"/>
      <c r="BL247" s="190"/>
      <c r="BM247" s="190"/>
      <c r="BN247" s="190"/>
      <c r="BO247" s="190"/>
      <c r="TU247" s="178"/>
      <c r="TV247" s="178"/>
    </row>
    <row r="248" spans="1:542" x14ac:dyDescent="0.25">
      <c r="A248" s="147" t="s">
        <v>172</v>
      </c>
      <c r="B248" s="119" t="s">
        <v>476</v>
      </c>
      <c r="C248" s="120"/>
      <c r="D248" s="155"/>
      <c r="E248" s="190"/>
      <c r="F248" s="190"/>
      <c r="G248" s="190"/>
      <c r="H248" s="190"/>
      <c r="I248" s="190"/>
      <c r="J248" s="190"/>
      <c r="K248" s="190"/>
      <c r="L248" s="190"/>
      <c r="M248" s="190"/>
      <c r="N248" s="190"/>
      <c r="O248" s="190"/>
      <c r="P248" s="190"/>
      <c r="Q248" s="190"/>
      <c r="R248" s="190"/>
      <c r="S248" s="190"/>
      <c r="T248" s="190"/>
      <c r="U248" s="190"/>
      <c r="V248" s="190"/>
      <c r="W248" s="190"/>
      <c r="X248" s="190"/>
      <c r="Y248" s="190"/>
      <c r="Z248" s="190"/>
      <c r="AA248" s="190"/>
      <c r="AB248" s="190"/>
      <c r="AC248" s="190"/>
      <c r="AD248" s="190"/>
      <c r="AE248" s="190"/>
      <c r="AF248" s="190"/>
      <c r="AG248" s="190"/>
      <c r="AH248" s="190"/>
      <c r="AI248" s="190"/>
      <c r="AJ248" s="190"/>
      <c r="AK248" s="190"/>
      <c r="AL248" s="190"/>
      <c r="AM248" s="190"/>
      <c r="AN248" s="190"/>
      <c r="AO248" s="190"/>
      <c r="AP248" s="190"/>
      <c r="AQ248" s="190"/>
      <c r="AR248" s="190"/>
      <c r="AS248" s="190"/>
      <c r="AT248" s="190"/>
      <c r="AU248" s="190"/>
      <c r="AV248" s="190"/>
      <c r="AW248" s="190"/>
      <c r="AX248" s="190"/>
      <c r="AY248" s="190"/>
      <c r="AZ248" s="190"/>
      <c r="BA248" s="190"/>
      <c r="BB248" s="190"/>
      <c r="BC248" s="190"/>
      <c r="BD248" s="190"/>
      <c r="BE248" s="190"/>
      <c r="BF248" s="190"/>
      <c r="BG248" s="190"/>
      <c r="BH248" s="190"/>
      <c r="BI248" s="190"/>
      <c r="BJ248" s="190"/>
      <c r="BK248" s="190"/>
      <c r="BL248" s="190"/>
      <c r="BM248" s="190"/>
      <c r="BN248" s="190"/>
      <c r="BO248" s="190"/>
      <c r="TU248" s="178"/>
      <c r="TV248" s="178"/>
    </row>
    <row r="249" spans="1:542" x14ac:dyDescent="0.25">
      <c r="A249" s="147" t="s">
        <v>173</v>
      </c>
      <c r="B249" s="119" t="s">
        <v>476</v>
      </c>
      <c r="C249" s="120"/>
      <c r="D249" s="155"/>
      <c r="E249" s="190"/>
      <c r="F249" s="190"/>
      <c r="G249" s="190"/>
      <c r="H249" s="190"/>
      <c r="I249" s="190"/>
      <c r="J249" s="190"/>
      <c r="K249" s="190"/>
      <c r="L249" s="190"/>
      <c r="M249" s="190"/>
      <c r="N249" s="190"/>
      <c r="O249" s="190"/>
      <c r="P249" s="190"/>
      <c r="Q249" s="190"/>
      <c r="R249" s="190"/>
      <c r="S249" s="190"/>
      <c r="T249" s="190"/>
      <c r="U249" s="190"/>
      <c r="V249" s="190"/>
      <c r="W249" s="190"/>
      <c r="X249" s="190"/>
      <c r="Y249" s="190"/>
      <c r="Z249" s="190"/>
      <c r="AA249" s="190"/>
      <c r="AB249" s="190"/>
      <c r="AC249" s="190"/>
      <c r="AD249" s="190"/>
      <c r="AE249" s="190"/>
      <c r="AF249" s="190"/>
      <c r="AG249" s="190"/>
      <c r="AH249" s="190"/>
      <c r="AI249" s="190"/>
      <c r="AJ249" s="190"/>
      <c r="AK249" s="190"/>
      <c r="AL249" s="190"/>
      <c r="AM249" s="190"/>
      <c r="AN249" s="190"/>
      <c r="AO249" s="190"/>
      <c r="AP249" s="190"/>
      <c r="AQ249" s="190"/>
      <c r="AR249" s="190"/>
      <c r="AS249" s="190"/>
      <c r="AT249" s="190"/>
      <c r="AU249" s="190"/>
      <c r="AV249" s="190"/>
      <c r="AW249" s="190"/>
      <c r="AX249" s="190"/>
      <c r="AY249" s="190"/>
      <c r="AZ249" s="190"/>
      <c r="BA249" s="190"/>
      <c r="BB249" s="190"/>
      <c r="BC249" s="190"/>
      <c r="BD249" s="190"/>
      <c r="BE249" s="190"/>
      <c r="BF249" s="190"/>
      <c r="BG249" s="190"/>
      <c r="BH249" s="190"/>
      <c r="BI249" s="190"/>
      <c r="BJ249" s="190"/>
      <c r="BK249" s="190"/>
      <c r="BL249" s="190"/>
      <c r="BM249" s="190"/>
      <c r="BN249" s="190"/>
      <c r="BO249" s="190"/>
      <c r="TU249" s="178"/>
      <c r="TV249" s="178"/>
    </row>
    <row r="250" spans="1:542" x14ac:dyDescent="0.25">
      <c r="A250" s="147" t="s">
        <v>174</v>
      </c>
      <c r="B250" s="119" t="s">
        <v>476</v>
      </c>
      <c r="C250" s="120"/>
      <c r="D250" s="155"/>
      <c r="E250" s="190"/>
      <c r="F250" s="190"/>
      <c r="G250" s="190"/>
      <c r="H250" s="190"/>
      <c r="I250" s="190"/>
      <c r="J250" s="190"/>
      <c r="K250" s="190"/>
      <c r="L250" s="190"/>
      <c r="M250" s="190"/>
      <c r="N250" s="190"/>
      <c r="O250" s="190"/>
      <c r="P250" s="190"/>
      <c r="Q250" s="190"/>
      <c r="R250" s="190"/>
      <c r="S250" s="190"/>
      <c r="T250" s="190"/>
      <c r="U250" s="190"/>
      <c r="V250" s="190"/>
      <c r="W250" s="190"/>
      <c r="X250" s="190"/>
      <c r="Y250" s="190"/>
      <c r="Z250" s="190"/>
      <c r="AA250" s="190"/>
      <c r="AB250" s="190"/>
      <c r="AC250" s="190"/>
      <c r="AD250" s="190"/>
      <c r="AE250" s="190"/>
      <c r="AF250" s="190"/>
      <c r="AG250" s="190"/>
      <c r="AH250" s="190"/>
      <c r="AI250" s="190"/>
      <c r="AJ250" s="190"/>
      <c r="AK250" s="190"/>
      <c r="AL250" s="190"/>
      <c r="AM250" s="190"/>
      <c r="AN250" s="190"/>
      <c r="AO250" s="190"/>
      <c r="AP250" s="190"/>
      <c r="AQ250" s="190"/>
      <c r="AR250" s="190"/>
      <c r="AS250" s="190"/>
      <c r="AT250" s="190"/>
      <c r="AU250" s="190"/>
      <c r="AV250" s="190"/>
      <c r="AW250" s="190"/>
      <c r="AX250" s="190"/>
      <c r="AY250" s="190"/>
      <c r="AZ250" s="190"/>
      <c r="BA250" s="190"/>
      <c r="BB250" s="190"/>
      <c r="BC250" s="190"/>
      <c r="BD250" s="190"/>
      <c r="BE250" s="190"/>
      <c r="BF250" s="190"/>
      <c r="BG250" s="190"/>
      <c r="BH250" s="190"/>
      <c r="BI250" s="190"/>
      <c r="BJ250" s="190"/>
      <c r="BK250" s="190"/>
      <c r="BL250" s="190"/>
      <c r="BM250" s="190"/>
      <c r="BN250" s="190"/>
      <c r="BO250" s="190"/>
      <c r="TU250" s="178"/>
      <c r="TV250" s="178"/>
    </row>
    <row r="251" spans="1:542" x14ac:dyDescent="0.25">
      <c r="A251" s="147" t="s">
        <v>175</v>
      </c>
      <c r="B251" s="119" t="s">
        <v>476</v>
      </c>
      <c r="C251" s="120"/>
      <c r="D251" s="155"/>
      <c r="E251" s="190"/>
      <c r="F251" s="190"/>
      <c r="G251" s="190"/>
      <c r="H251" s="190"/>
      <c r="I251" s="190"/>
      <c r="J251" s="190"/>
      <c r="K251" s="190"/>
      <c r="L251" s="190"/>
      <c r="M251" s="190"/>
      <c r="N251" s="190"/>
      <c r="O251" s="190"/>
      <c r="P251" s="190"/>
      <c r="Q251" s="190"/>
      <c r="R251" s="190"/>
      <c r="S251" s="190"/>
      <c r="T251" s="190"/>
      <c r="U251" s="190"/>
      <c r="V251" s="190"/>
      <c r="W251" s="190"/>
      <c r="X251" s="190"/>
      <c r="Y251" s="190"/>
      <c r="Z251" s="190"/>
      <c r="AA251" s="190"/>
      <c r="AB251" s="190"/>
      <c r="AC251" s="190"/>
      <c r="AD251" s="190"/>
      <c r="AE251" s="190"/>
      <c r="AF251" s="190"/>
      <c r="AG251" s="190"/>
      <c r="AH251" s="190"/>
      <c r="AI251" s="190"/>
      <c r="AJ251" s="190"/>
      <c r="AK251" s="190"/>
      <c r="AL251" s="190"/>
      <c r="AM251" s="190"/>
      <c r="AN251" s="190"/>
      <c r="AO251" s="190"/>
      <c r="AP251" s="190"/>
      <c r="AQ251" s="190"/>
      <c r="AR251" s="190"/>
      <c r="AS251" s="190"/>
      <c r="AT251" s="190"/>
      <c r="AU251" s="190"/>
      <c r="AV251" s="190"/>
      <c r="AW251" s="190"/>
      <c r="AX251" s="190"/>
      <c r="AY251" s="190"/>
      <c r="AZ251" s="190"/>
      <c r="BA251" s="190"/>
      <c r="BB251" s="190"/>
      <c r="BC251" s="190"/>
      <c r="BD251" s="190"/>
      <c r="BE251" s="190"/>
      <c r="BF251" s="190"/>
      <c r="BG251" s="190"/>
      <c r="BH251" s="190"/>
      <c r="BI251" s="190"/>
      <c r="BJ251" s="190"/>
      <c r="BK251" s="190"/>
      <c r="BL251" s="190"/>
      <c r="BM251" s="190"/>
      <c r="BN251" s="190"/>
      <c r="BO251" s="190"/>
      <c r="TU251" s="178"/>
      <c r="TV251" s="178"/>
    </row>
    <row r="252" spans="1:542" x14ac:dyDescent="0.25">
      <c r="A252" s="147" t="s">
        <v>176</v>
      </c>
      <c r="B252" s="119" t="s">
        <v>476</v>
      </c>
      <c r="C252" s="120"/>
      <c r="D252" s="155"/>
      <c r="E252" s="190"/>
      <c r="F252" s="190"/>
      <c r="G252" s="190"/>
      <c r="H252" s="190"/>
      <c r="I252" s="190"/>
      <c r="J252" s="190"/>
      <c r="K252" s="190"/>
      <c r="L252" s="190"/>
      <c r="M252" s="190"/>
      <c r="N252" s="190"/>
      <c r="O252" s="190"/>
      <c r="P252" s="190"/>
      <c r="Q252" s="190"/>
      <c r="R252" s="190"/>
      <c r="S252" s="190"/>
      <c r="T252" s="190"/>
      <c r="U252" s="190"/>
      <c r="V252" s="190"/>
      <c r="W252" s="190"/>
      <c r="X252" s="190"/>
      <c r="Y252" s="190"/>
      <c r="Z252" s="190"/>
      <c r="AA252" s="190"/>
      <c r="AB252" s="190"/>
      <c r="AC252" s="190"/>
      <c r="AD252" s="190"/>
      <c r="AE252" s="190"/>
      <c r="AF252" s="190"/>
      <c r="AG252" s="190"/>
      <c r="AH252" s="190"/>
      <c r="AI252" s="190"/>
      <c r="AJ252" s="190"/>
      <c r="AK252" s="190"/>
      <c r="AL252" s="190"/>
      <c r="AM252" s="190"/>
      <c r="AN252" s="190"/>
      <c r="AO252" s="190"/>
      <c r="AP252" s="190"/>
      <c r="AQ252" s="190"/>
      <c r="AR252" s="190"/>
      <c r="AS252" s="190"/>
      <c r="AT252" s="190"/>
      <c r="AU252" s="190"/>
      <c r="AV252" s="190"/>
      <c r="AW252" s="190"/>
      <c r="AX252" s="190"/>
      <c r="AY252" s="190"/>
      <c r="AZ252" s="190"/>
      <c r="BA252" s="190"/>
      <c r="BB252" s="190"/>
      <c r="BC252" s="190"/>
      <c r="BD252" s="190"/>
      <c r="BE252" s="190"/>
      <c r="BF252" s="190"/>
      <c r="BG252" s="190"/>
      <c r="BH252" s="190"/>
      <c r="BI252" s="190"/>
      <c r="BJ252" s="190"/>
      <c r="BK252" s="190"/>
      <c r="BL252" s="190"/>
      <c r="BM252" s="190"/>
      <c r="BN252" s="190"/>
      <c r="BO252" s="190"/>
      <c r="TU252" s="178"/>
      <c r="TV252" s="178"/>
    </row>
    <row r="253" spans="1:542" x14ac:dyDescent="0.25">
      <c r="A253" s="147" t="s">
        <v>177</v>
      </c>
      <c r="B253" s="119" t="s">
        <v>476</v>
      </c>
      <c r="C253" s="120"/>
      <c r="D253" s="155"/>
      <c r="E253" s="190"/>
      <c r="F253" s="190"/>
      <c r="G253" s="190"/>
      <c r="H253" s="190"/>
      <c r="I253" s="190"/>
      <c r="J253" s="190"/>
      <c r="K253" s="190"/>
      <c r="L253" s="190"/>
      <c r="M253" s="190"/>
      <c r="N253" s="190"/>
      <c r="O253" s="190"/>
      <c r="P253" s="190"/>
      <c r="Q253" s="190"/>
      <c r="R253" s="190"/>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TU253" s="178"/>
      <c r="TV253" s="178"/>
    </row>
    <row r="254" spans="1:542" x14ac:dyDescent="0.25">
      <c r="A254" s="147" t="s">
        <v>178</v>
      </c>
      <c r="B254" s="119" t="s">
        <v>476</v>
      </c>
      <c r="C254" s="120"/>
      <c r="D254" s="155"/>
      <c r="E254" s="190"/>
      <c r="F254" s="190"/>
      <c r="G254" s="190"/>
      <c r="H254" s="190"/>
      <c r="I254" s="190"/>
      <c r="J254" s="190"/>
      <c r="K254" s="190"/>
      <c r="L254" s="190"/>
      <c r="M254" s="190"/>
      <c r="N254" s="190"/>
      <c r="O254" s="190"/>
      <c r="P254" s="190"/>
      <c r="Q254" s="190"/>
      <c r="R254" s="190"/>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TU254" s="178"/>
      <c r="TV254" s="178"/>
    </row>
    <row r="255" spans="1:542" x14ac:dyDescent="0.25">
      <c r="A255" s="96" t="s">
        <v>179</v>
      </c>
      <c r="B255" s="158" t="str">
        <f>"bar.g"</f>
        <v>bar.g</v>
      </c>
      <c r="C255" s="159"/>
      <c r="D255" s="155"/>
      <c r="E255" s="190"/>
      <c r="F255" s="190"/>
      <c r="G255" s="190"/>
      <c r="H255" s="190"/>
      <c r="I255" s="190"/>
      <c r="J255" s="190"/>
      <c r="K255" s="190"/>
      <c r="L255" s="190"/>
      <c r="M255" s="190"/>
      <c r="N255" s="190"/>
      <c r="O255" s="190"/>
      <c r="P255" s="190"/>
      <c r="Q255" s="190"/>
      <c r="R255" s="190"/>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TU255" s="178"/>
      <c r="TV255" s="178"/>
    </row>
    <row r="256" spans="1:542" x14ac:dyDescent="0.25">
      <c r="A256" s="189" t="s">
        <v>524</v>
      </c>
      <c r="B256" s="116"/>
      <c r="C256" s="113"/>
      <c r="D256" s="105"/>
      <c r="E256" s="190"/>
      <c r="F256" s="190"/>
      <c r="G256" s="190"/>
      <c r="H256" s="190"/>
      <c r="I256" s="190"/>
      <c r="J256" s="190"/>
      <c r="K256" s="190"/>
      <c r="L256" s="190"/>
      <c r="M256" s="190"/>
      <c r="N256" s="190"/>
      <c r="O256" s="190"/>
      <c r="P256" s="190"/>
      <c r="Q256" s="190"/>
      <c r="R256" s="190"/>
      <c r="S256" s="190"/>
      <c r="T256" s="190"/>
      <c r="U256" s="190"/>
      <c r="V256" s="190"/>
      <c r="W256" s="190"/>
      <c r="X256" s="190"/>
      <c r="Y256" s="190"/>
      <c r="Z256" s="190"/>
      <c r="AA256" s="190"/>
      <c r="AB256" s="190"/>
      <c r="AC256" s="190"/>
      <c r="AD256" s="190"/>
      <c r="AE256" s="190"/>
      <c r="AF256" s="190"/>
      <c r="AG256" s="190"/>
      <c r="AH256" s="190"/>
      <c r="AI256" s="190"/>
      <c r="AJ256" s="190"/>
      <c r="AK256" s="190"/>
      <c r="AL256" s="190"/>
      <c r="AM256" s="190"/>
      <c r="AN256" s="190"/>
      <c r="AO256" s="190"/>
      <c r="AP256" s="190"/>
      <c r="AQ256" s="190"/>
      <c r="AR256" s="190"/>
      <c r="AS256" s="190"/>
      <c r="AT256" s="190"/>
      <c r="AU256" s="190"/>
      <c r="AV256" s="190"/>
      <c r="AW256" s="190"/>
      <c r="AX256" s="190"/>
      <c r="AY256" s="190"/>
      <c r="AZ256" s="190"/>
      <c r="BA256" s="190"/>
      <c r="BB256" s="190"/>
      <c r="BC256" s="190"/>
      <c r="BD256" s="190"/>
      <c r="BE256" s="190"/>
      <c r="BF256" s="190"/>
      <c r="BG256" s="190"/>
      <c r="BH256" s="190"/>
      <c r="BI256" s="190"/>
      <c r="BJ256" s="190"/>
      <c r="BK256" s="190"/>
      <c r="BL256" s="190"/>
      <c r="BM256" s="190"/>
      <c r="BN256" s="190"/>
      <c r="BO256" s="190"/>
      <c r="TU256" s="178"/>
      <c r="TV256" s="178"/>
    </row>
    <row r="257" spans="1:542" x14ac:dyDescent="0.25">
      <c r="A257" s="147" t="s">
        <v>180</v>
      </c>
      <c r="B257" s="119"/>
      <c r="C257" s="120"/>
      <c r="D257" s="155"/>
      <c r="E257" s="190"/>
      <c r="F257" s="190"/>
      <c r="G257" s="190"/>
      <c r="H257" s="190"/>
      <c r="I257" s="190"/>
      <c r="J257" s="190"/>
      <c r="K257" s="190"/>
      <c r="L257" s="190"/>
      <c r="M257" s="190"/>
      <c r="N257" s="190"/>
      <c r="O257" s="190"/>
      <c r="P257" s="190"/>
      <c r="Q257" s="190"/>
      <c r="R257" s="190"/>
      <c r="S257" s="190"/>
      <c r="T257" s="190"/>
      <c r="U257" s="190"/>
      <c r="V257" s="190"/>
      <c r="W257" s="190"/>
      <c r="X257" s="190"/>
      <c r="Y257" s="190"/>
      <c r="Z257" s="190"/>
      <c r="AA257" s="190"/>
      <c r="AB257" s="190"/>
      <c r="AC257" s="190"/>
      <c r="AD257" s="190"/>
      <c r="AE257" s="190"/>
      <c r="AF257" s="190"/>
      <c r="AG257" s="190"/>
      <c r="AH257" s="190"/>
      <c r="AI257" s="190"/>
      <c r="AJ257" s="190"/>
      <c r="AK257" s="190"/>
      <c r="AL257" s="190"/>
      <c r="AM257" s="190"/>
      <c r="AN257" s="190"/>
      <c r="AO257" s="190"/>
      <c r="AP257" s="190"/>
      <c r="AQ257" s="190"/>
      <c r="AR257" s="190"/>
      <c r="AS257" s="190"/>
      <c r="AT257" s="190"/>
      <c r="AU257" s="190"/>
      <c r="AV257" s="190"/>
      <c r="AW257" s="190"/>
      <c r="AX257" s="190"/>
      <c r="AY257" s="190"/>
      <c r="AZ257" s="190"/>
      <c r="BA257" s="190"/>
      <c r="BB257" s="190"/>
      <c r="BC257" s="190"/>
      <c r="BD257" s="190"/>
      <c r="BE257" s="190"/>
      <c r="BF257" s="190"/>
      <c r="BG257" s="190"/>
      <c r="BH257" s="190"/>
      <c r="BI257" s="190"/>
      <c r="BJ257" s="190"/>
      <c r="BK257" s="190"/>
      <c r="BL257" s="190"/>
      <c r="BM257" s="190"/>
      <c r="BN257" s="190"/>
      <c r="BO257" s="190"/>
      <c r="TU257" s="178"/>
      <c r="TV257" s="178"/>
    </row>
    <row r="258" spans="1:542" x14ac:dyDescent="0.25">
      <c r="A258" s="147" t="s">
        <v>181</v>
      </c>
      <c r="B258" s="158"/>
      <c r="C258" s="159"/>
      <c r="D258" s="155"/>
      <c r="E258" s="190"/>
      <c r="F258" s="190"/>
      <c r="G258" s="190"/>
      <c r="H258" s="190"/>
      <c r="I258" s="190"/>
      <c r="J258" s="190"/>
      <c r="K258" s="190"/>
      <c r="L258" s="190"/>
      <c r="M258" s="190"/>
      <c r="N258" s="190"/>
      <c r="O258" s="190"/>
      <c r="P258" s="190"/>
      <c r="Q258" s="190"/>
      <c r="R258" s="190"/>
      <c r="S258" s="190"/>
      <c r="T258" s="190"/>
      <c r="U258" s="190"/>
      <c r="V258" s="190"/>
      <c r="W258" s="190"/>
      <c r="X258" s="190"/>
      <c r="Y258" s="190"/>
      <c r="Z258" s="190"/>
      <c r="AA258" s="190"/>
      <c r="AB258" s="190"/>
      <c r="AC258" s="190"/>
      <c r="AD258" s="190"/>
      <c r="AE258" s="190"/>
      <c r="AF258" s="190"/>
      <c r="AG258" s="190"/>
      <c r="AH258" s="190"/>
      <c r="AI258" s="190"/>
      <c r="AJ258" s="190"/>
      <c r="AK258" s="190"/>
      <c r="AL258" s="190"/>
      <c r="AM258" s="190"/>
      <c r="AN258" s="190"/>
      <c r="AO258" s="190"/>
      <c r="AP258" s="190"/>
      <c r="AQ258" s="190"/>
      <c r="AR258" s="190"/>
      <c r="AS258" s="190"/>
      <c r="AT258" s="190"/>
      <c r="AU258" s="190"/>
      <c r="AV258" s="190"/>
      <c r="AW258" s="190"/>
      <c r="AX258" s="190"/>
      <c r="AY258" s="190"/>
      <c r="AZ258" s="190"/>
      <c r="BA258" s="190"/>
      <c r="BB258" s="190"/>
      <c r="BC258" s="190"/>
      <c r="BD258" s="190"/>
      <c r="BE258" s="190"/>
      <c r="BF258" s="190"/>
      <c r="BG258" s="190"/>
      <c r="BH258" s="190"/>
      <c r="BI258" s="190"/>
      <c r="BJ258" s="190"/>
      <c r="BK258" s="190"/>
      <c r="BL258" s="190"/>
      <c r="BM258" s="190"/>
      <c r="BN258" s="190"/>
      <c r="BO258" s="190"/>
      <c r="TU258" s="178"/>
      <c r="TV258" s="178"/>
    </row>
    <row r="259" spans="1:542" x14ac:dyDescent="0.25">
      <c r="A259" s="147" t="s">
        <v>182</v>
      </c>
      <c r="B259" s="119"/>
      <c r="C259" s="120"/>
      <c r="D259" s="155"/>
      <c r="E259" s="190"/>
      <c r="F259" s="190"/>
      <c r="G259" s="190"/>
      <c r="H259" s="190"/>
      <c r="I259" s="190"/>
      <c r="J259" s="190"/>
      <c r="K259" s="190"/>
      <c r="L259" s="190"/>
      <c r="M259" s="190"/>
      <c r="N259" s="190"/>
      <c r="O259" s="190"/>
      <c r="P259" s="190"/>
      <c r="Q259" s="190"/>
      <c r="R259" s="190"/>
      <c r="S259" s="190"/>
      <c r="T259" s="190"/>
      <c r="U259" s="190"/>
      <c r="V259" s="190"/>
      <c r="W259" s="190"/>
      <c r="X259" s="190"/>
      <c r="Y259" s="190"/>
      <c r="Z259" s="190"/>
      <c r="AA259" s="190"/>
      <c r="AB259" s="190"/>
      <c r="AC259" s="190"/>
      <c r="AD259" s="190"/>
      <c r="AE259" s="190"/>
      <c r="AF259" s="190"/>
      <c r="AG259" s="190"/>
      <c r="AH259" s="190"/>
      <c r="AI259" s="190"/>
      <c r="AJ259" s="190"/>
      <c r="AK259" s="190"/>
      <c r="AL259" s="190"/>
      <c r="AM259" s="190"/>
      <c r="AN259" s="190"/>
      <c r="AO259" s="190"/>
      <c r="AP259" s="190"/>
      <c r="AQ259" s="190"/>
      <c r="AR259" s="190"/>
      <c r="AS259" s="190"/>
      <c r="AT259" s="190"/>
      <c r="AU259" s="190"/>
      <c r="AV259" s="190"/>
      <c r="AW259" s="190"/>
      <c r="AX259" s="190"/>
      <c r="AY259" s="190"/>
      <c r="AZ259" s="190"/>
      <c r="BA259" s="190"/>
      <c r="BB259" s="190"/>
      <c r="BC259" s="190"/>
      <c r="BD259" s="190"/>
      <c r="BE259" s="190"/>
      <c r="BF259" s="190"/>
      <c r="BG259" s="190"/>
      <c r="BH259" s="190"/>
      <c r="BI259" s="190"/>
      <c r="BJ259" s="190"/>
      <c r="BK259" s="190"/>
      <c r="BL259" s="190"/>
      <c r="BM259" s="190"/>
      <c r="BN259" s="190"/>
      <c r="BO259" s="190"/>
      <c r="TU259" s="178"/>
      <c r="TV259" s="178"/>
    </row>
    <row r="260" spans="1:542" x14ac:dyDescent="0.25">
      <c r="A260" s="147" t="s">
        <v>183</v>
      </c>
      <c r="B260" s="119"/>
      <c r="C260" s="120"/>
      <c r="D260" s="155"/>
      <c r="E260" s="190"/>
      <c r="F260" s="190"/>
      <c r="G260" s="190"/>
      <c r="H260" s="190"/>
      <c r="I260" s="190"/>
      <c r="J260" s="190"/>
      <c r="K260" s="190"/>
      <c r="L260" s="190"/>
      <c r="M260" s="190"/>
      <c r="N260" s="190"/>
      <c r="O260" s="190"/>
      <c r="P260" s="190"/>
      <c r="Q260" s="190"/>
      <c r="R260" s="190"/>
      <c r="S260" s="190"/>
      <c r="T260" s="190"/>
      <c r="U260" s="190"/>
      <c r="V260" s="190"/>
      <c r="W260" s="190"/>
      <c r="X260" s="190"/>
      <c r="Y260" s="190"/>
      <c r="Z260" s="190"/>
      <c r="AA260" s="190"/>
      <c r="AB260" s="190"/>
      <c r="AC260" s="190"/>
      <c r="AD260" s="190"/>
      <c r="AE260" s="190"/>
      <c r="AF260" s="190"/>
      <c r="AG260" s="190"/>
      <c r="AH260" s="190"/>
      <c r="AI260" s="190"/>
      <c r="AJ260" s="190"/>
      <c r="AK260" s="190"/>
      <c r="AL260" s="190"/>
      <c r="AM260" s="190"/>
      <c r="AN260" s="190"/>
      <c r="AO260" s="190"/>
      <c r="AP260" s="190"/>
      <c r="AQ260" s="190"/>
      <c r="AR260" s="190"/>
      <c r="AS260" s="190"/>
      <c r="AT260" s="190"/>
      <c r="AU260" s="190"/>
      <c r="AV260" s="190"/>
      <c r="AW260" s="190"/>
      <c r="AX260" s="190"/>
      <c r="AY260" s="190"/>
      <c r="AZ260" s="190"/>
      <c r="BA260" s="190"/>
      <c r="BB260" s="190"/>
      <c r="BC260" s="190"/>
      <c r="BD260" s="190"/>
      <c r="BE260" s="190"/>
      <c r="BF260" s="190"/>
      <c r="BG260" s="190"/>
      <c r="BH260" s="190"/>
      <c r="BI260" s="190"/>
      <c r="BJ260" s="190"/>
      <c r="BK260" s="190"/>
      <c r="BL260" s="190"/>
      <c r="BM260" s="190"/>
      <c r="BN260" s="190"/>
      <c r="BO260" s="190"/>
      <c r="TU260" s="178"/>
      <c r="TV260" s="178"/>
    </row>
    <row r="261" spans="1:542" x14ac:dyDescent="0.25">
      <c r="A261" s="147" t="s">
        <v>184</v>
      </c>
      <c r="B261" s="119"/>
      <c r="C261" s="120"/>
      <c r="D261" s="155"/>
      <c r="E261" s="190"/>
      <c r="F261" s="190"/>
      <c r="G261" s="190"/>
      <c r="H261" s="190"/>
      <c r="I261" s="190"/>
      <c r="J261" s="190"/>
      <c r="K261" s="190"/>
      <c r="L261" s="190"/>
      <c r="M261" s="190"/>
      <c r="N261" s="190"/>
      <c r="O261" s="190"/>
      <c r="P261" s="190"/>
      <c r="Q261" s="190"/>
      <c r="R261" s="190"/>
      <c r="S261" s="190"/>
      <c r="T261" s="190"/>
      <c r="U261" s="190"/>
      <c r="V261" s="190"/>
      <c r="W261" s="190"/>
      <c r="X261" s="190"/>
      <c r="Y261" s="190"/>
      <c r="Z261" s="190"/>
      <c r="AA261" s="190"/>
      <c r="AB261" s="190"/>
      <c r="AC261" s="190"/>
      <c r="AD261" s="190"/>
      <c r="AE261" s="190"/>
      <c r="AF261" s="190"/>
      <c r="AG261" s="190"/>
      <c r="AH261" s="190"/>
      <c r="AI261" s="190"/>
      <c r="AJ261" s="190"/>
      <c r="AK261" s="190"/>
      <c r="AL261" s="190"/>
      <c r="AM261" s="190"/>
      <c r="AN261" s="190"/>
      <c r="AO261" s="190"/>
      <c r="AP261" s="190"/>
      <c r="AQ261" s="190"/>
      <c r="AR261" s="190"/>
      <c r="AS261" s="190"/>
      <c r="AT261" s="190"/>
      <c r="AU261" s="190"/>
      <c r="AV261" s="190"/>
      <c r="AW261" s="190"/>
      <c r="AX261" s="190"/>
      <c r="AY261" s="190"/>
      <c r="AZ261" s="190"/>
      <c r="BA261" s="190"/>
      <c r="BB261" s="190"/>
      <c r="BC261" s="190"/>
      <c r="BD261" s="190"/>
      <c r="BE261" s="190"/>
      <c r="BF261" s="190"/>
      <c r="BG261" s="190"/>
      <c r="BH261" s="190"/>
      <c r="BI261" s="190"/>
      <c r="BJ261" s="190"/>
      <c r="BK261" s="190"/>
      <c r="BL261" s="190"/>
      <c r="BM261" s="190"/>
      <c r="BN261" s="190"/>
      <c r="BO261" s="190"/>
      <c r="TU261" s="178"/>
      <c r="TV261" s="178"/>
    </row>
    <row r="262" spans="1:542" x14ac:dyDescent="0.25">
      <c r="A262" s="96" t="s">
        <v>185</v>
      </c>
      <c r="B262" s="158"/>
      <c r="C262" s="159"/>
      <c r="D262" s="155"/>
      <c r="E262" s="190"/>
      <c r="F262" s="190"/>
      <c r="G262" s="190"/>
      <c r="H262" s="190"/>
      <c r="I262" s="190"/>
      <c r="J262" s="190"/>
      <c r="K262" s="190"/>
      <c r="L262" s="190"/>
      <c r="M262" s="190"/>
      <c r="N262" s="190"/>
      <c r="O262" s="190"/>
      <c r="P262" s="190"/>
      <c r="Q262" s="190"/>
      <c r="R262" s="190"/>
      <c r="S262" s="190"/>
      <c r="T262" s="190"/>
      <c r="U262" s="190"/>
      <c r="V262" s="190"/>
      <c r="W262" s="190"/>
      <c r="X262" s="190"/>
      <c r="Y262" s="190"/>
      <c r="Z262" s="190"/>
      <c r="AA262" s="190"/>
      <c r="AB262" s="190"/>
      <c r="AC262" s="190"/>
      <c r="AD262" s="190"/>
      <c r="AE262" s="190"/>
      <c r="AF262" s="190"/>
      <c r="AG262" s="190"/>
      <c r="AH262" s="190"/>
      <c r="AI262" s="190"/>
      <c r="AJ262" s="190"/>
      <c r="AK262" s="190"/>
      <c r="AL262" s="190"/>
      <c r="AM262" s="190"/>
      <c r="AN262" s="190"/>
      <c r="AO262" s="190"/>
      <c r="AP262" s="190"/>
      <c r="AQ262" s="190"/>
      <c r="AR262" s="190"/>
      <c r="AS262" s="190"/>
      <c r="AT262" s="190"/>
      <c r="AU262" s="190"/>
      <c r="AV262" s="190"/>
      <c r="AW262" s="190"/>
      <c r="AX262" s="190"/>
      <c r="AY262" s="190"/>
      <c r="AZ262" s="190"/>
      <c r="BA262" s="190"/>
      <c r="BB262" s="190"/>
      <c r="BC262" s="190"/>
      <c r="BD262" s="190"/>
      <c r="BE262" s="190"/>
      <c r="BF262" s="190"/>
      <c r="BG262" s="190"/>
      <c r="BH262" s="190"/>
      <c r="BI262" s="190"/>
      <c r="BJ262" s="190"/>
      <c r="BK262" s="190"/>
      <c r="BL262" s="190"/>
      <c r="BM262" s="190"/>
      <c r="BN262" s="190"/>
      <c r="BO262" s="190"/>
      <c r="TU262" s="178"/>
      <c r="TV262" s="178"/>
    </row>
    <row r="263" spans="1:542" x14ac:dyDescent="0.25">
      <c r="A263" s="96" t="s">
        <v>415</v>
      </c>
      <c r="B263" s="158"/>
      <c r="C263" s="159"/>
      <c r="D263" s="155"/>
      <c r="E263" s="190"/>
      <c r="F263" s="190"/>
      <c r="G263" s="190"/>
      <c r="H263" s="190"/>
      <c r="I263" s="190"/>
      <c r="J263" s="190"/>
      <c r="K263" s="190"/>
      <c r="L263" s="190"/>
      <c r="M263" s="190"/>
      <c r="N263" s="190"/>
      <c r="O263" s="190"/>
      <c r="P263" s="190"/>
      <c r="Q263" s="190"/>
      <c r="R263" s="190"/>
      <c r="S263" s="190"/>
      <c r="T263" s="190"/>
      <c r="U263" s="190"/>
      <c r="V263" s="190"/>
      <c r="W263" s="190"/>
      <c r="X263" s="190"/>
      <c r="Y263" s="190"/>
      <c r="Z263" s="190"/>
      <c r="AA263" s="190"/>
      <c r="AB263" s="190"/>
      <c r="AC263" s="190"/>
      <c r="AD263" s="190"/>
      <c r="AE263" s="190"/>
      <c r="AF263" s="190"/>
      <c r="AG263" s="190"/>
      <c r="AH263" s="190"/>
      <c r="AI263" s="190"/>
      <c r="AJ263" s="190"/>
      <c r="AK263" s="190"/>
      <c r="AL263" s="190"/>
      <c r="AM263" s="190"/>
      <c r="AN263" s="190"/>
      <c r="AO263" s="190"/>
      <c r="AP263" s="190"/>
      <c r="AQ263" s="190"/>
      <c r="AR263" s="190"/>
      <c r="AS263" s="190"/>
      <c r="AT263" s="190"/>
      <c r="AU263" s="190"/>
      <c r="AV263" s="190"/>
      <c r="AW263" s="190"/>
      <c r="AX263" s="190"/>
      <c r="AY263" s="190"/>
      <c r="AZ263" s="190"/>
      <c r="BA263" s="190"/>
      <c r="BB263" s="190"/>
      <c r="BC263" s="190"/>
      <c r="BD263" s="190"/>
      <c r="BE263" s="190"/>
      <c r="BF263" s="190"/>
      <c r="BG263" s="190"/>
      <c r="BH263" s="190"/>
      <c r="BI263" s="190"/>
      <c r="BJ263" s="190"/>
      <c r="BK263" s="190"/>
      <c r="BL263" s="190"/>
      <c r="BM263" s="190"/>
      <c r="BN263" s="190"/>
      <c r="BO263" s="190"/>
      <c r="TU263" s="178"/>
      <c r="TV263" s="178"/>
    </row>
    <row r="264" spans="1:542" x14ac:dyDescent="0.25">
      <c r="A264" s="96" t="s">
        <v>420</v>
      </c>
      <c r="B264" s="158"/>
      <c r="C264" s="159"/>
      <c r="D264" s="155"/>
      <c r="E264" s="190"/>
      <c r="F264" s="190"/>
      <c r="G264" s="190"/>
      <c r="H264" s="190"/>
      <c r="I264" s="190"/>
      <c r="J264" s="190"/>
      <c r="K264" s="190"/>
      <c r="L264" s="190"/>
      <c r="M264" s="190"/>
      <c r="N264" s="190"/>
      <c r="O264" s="190"/>
      <c r="P264" s="190"/>
      <c r="Q264" s="190"/>
      <c r="R264" s="190"/>
      <c r="S264" s="190"/>
      <c r="T264" s="190"/>
      <c r="U264" s="190"/>
      <c r="V264" s="190"/>
      <c r="W264" s="190"/>
      <c r="X264" s="190"/>
      <c r="Y264" s="190"/>
      <c r="Z264" s="190"/>
      <c r="AA264" s="190"/>
      <c r="AB264" s="190"/>
      <c r="AC264" s="190"/>
      <c r="AD264" s="190"/>
      <c r="AE264" s="190"/>
      <c r="AF264" s="190"/>
      <c r="AG264" s="190"/>
      <c r="AH264" s="190"/>
      <c r="AI264" s="190"/>
      <c r="AJ264" s="190"/>
      <c r="AK264" s="190"/>
      <c r="AL264" s="190"/>
      <c r="AM264" s="190"/>
      <c r="AN264" s="190"/>
      <c r="AO264" s="190"/>
      <c r="AP264" s="190"/>
      <c r="AQ264" s="190"/>
      <c r="AR264" s="190"/>
      <c r="AS264" s="190"/>
      <c r="AT264" s="190"/>
      <c r="AU264" s="190"/>
      <c r="AV264" s="190"/>
      <c r="AW264" s="190"/>
      <c r="AX264" s="190"/>
      <c r="AY264" s="190"/>
      <c r="AZ264" s="190"/>
      <c r="BA264" s="190"/>
      <c r="BB264" s="190"/>
      <c r="BC264" s="190"/>
      <c r="BD264" s="190"/>
      <c r="BE264" s="190"/>
      <c r="BF264" s="190"/>
      <c r="BG264" s="190"/>
      <c r="BH264" s="190"/>
      <c r="BI264" s="190"/>
      <c r="BJ264" s="190"/>
      <c r="BK264" s="190"/>
      <c r="BL264" s="190"/>
      <c r="BM264" s="190"/>
      <c r="BN264" s="190"/>
      <c r="BO264" s="190"/>
      <c r="TU264" s="178"/>
      <c r="TV264" s="178"/>
    </row>
    <row r="265" spans="1:542" x14ac:dyDescent="0.25">
      <c r="A265" s="96" t="s">
        <v>414</v>
      </c>
      <c r="B265" s="158"/>
      <c r="C265" s="159"/>
      <c r="D265" s="155"/>
      <c r="E265" s="190"/>
      <c r="F265" s="190"/>
      <c r="G265" s="190"/>
      <c r="H265" s="190"/>
      <c r="I265" s="190"/>
      <c r="J265" s="190"/>
      <c r="K265" s="190"/>
      <c r="L265" s="190"/>
      <c r="M265" s="190"/>
      <c r="N265" s="190"/>
      <c r="O265" s="190"/>
      <c r="P265" s="190"/>
      <c r="Q265" s="190"/>
      <c r="R265" s="190"/>
      <c r="S265" s="190"/>
      <c r="T265" s="190"/>
      <c r="U265" s="190"/>
      <c r="V265" s="190"/>
      <c r="W265" s="190"/>
      <c r="X265" s="190"/>
      <c r="Y265" s="190"/>
      <c r="Z265" s="190"/>
      <c r="AA265" s="190"/>
      <c r="AB265" s="190"/>
      <c r="AC265" s="190"/>
      <c r="AD265" s="190"/>
      <c r="AE265" s="190"/>
      <c r="AF265" s="190"/>
      <c r="AG265" s="190"/>
      <c r="AH265" s="190"/>
      <c r="AI265" s="190"/>
      <c r="AJ265" s="190"/>
      <c r="AK265" s="190"/>
      <c r="AL265" s="190"/>
      <c r="AM265" s="190"/>
      <c r="AN265" s="190"/>
      <c r="AO265" s="190"/>
      <c r="AP265" s="190"/>
      <c r="AQ265" s="190"/>
      <c r="AR265" s="190"/>
      <c r="AS265" s="190"/>
      <c r="AT265" s="190"/>
      <c r="AU265" s="190"/>
      <c r="AV265" s="190"/>
      <c r="AW265" s="190"/>
      <c r="AX265" s="190"/>
      <c r="AY265" s="190"/>
      <c r="AZ265" s="190"/>
      <c r="BA265" s="190"/>
      <c r="BB265" s="190"/>
      <c r="BC265" s="190"/>
      <c r="BD265" s="190"/>
      <c r="BE265" s="190"/>
      <c r="BF265" s="190"/>
      <c r="BG265" s="190"/>
      <c r="BH265" s="190"/>
      <c r="BI265" s="190"/>
      <c r="BJ265" s="190"/>
      <c r="BK265" s="190"/>
      <c r="BL265" s="190"/>
      <c r="BM265" s="190"/>
      <c r="BN265" s="190"/>
      <c r="BO265" s="190"/>
      <c r="TU265" s="178"/>
      <c r="TV265" s="178"/>
    </row>
    <row r="266" spans="1:542" ht="30" x14ac:dyDescent="0.25">
      <c r="A266" s="96" t="s">
        <v>416</v>
      </c>
      <c r="B266" s="158" t="str">
        <f t="shared" ref="B266" si="7">"[yes/no]"</f>
        <v>[yes/no]</v>
      </c>
      <c r="C266" s="159"/>
      <c r="D266" s="155"/>
      <c r="E266" s="190"/>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0"/>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90"/>
      <c r="BN266" s="190"/>
      <c r="BO266" s="190"/>
      <c r="TU266" s="178"/>
      <c r="TV266" s="178"/>
    </row>
    <row r="267" spans="1:542" x14ac:dyDescent="0.25">
      <c r="A267" s="96" t="s">
        <v>553</v>
      </c>
      <c r="B267" s="158" t="str">
        <f>"m/s"</f>
        <v>m/s</v>
      </c>
      <c r="C267" s="159" t="str">
        <f>IF($B$215="mm",IF(C176*PI()/30*C215/1000/2&lt;&gt;0,C176*PI()/30*C215/1000/2,"missing input data"),IF(B215="in",IF(C176*PI()/30*C215*25.4/1000/2&lt;&gt;0,C176*PI()/30*C215*25.4/1000/2,"missing input data"),"check impeller units"))</f>
        <v>missing input data</v>
      </c>
      <c r="D267" s="155"/>
      <c r="E267" s="190"/>
      <c r="F267" s="190"/>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90"/>
      <c r="BN267" s="190"/>
      <c r="BO267" s="190"/>
      <c r="TU267" s="178"/>
      <c r="TV267" s="178"/>
    </row>
    <row r="268" spans="1:542" x14ac:dyDescent="0.25">
      <c r="A268" s="147" t="s">
        <v>187</v>
      </c>
      <c r="B268" s="119" t="s">
        <v>468</v>
      </c>
      <c r="C268" s="120"/>
      <c r="D268" s="155"/>
      <c r="E268" s="190"/>
      <c r="F268" s="190"/>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90"/>
      <c r="BN268" s="190"/>
      <c r="BO268" s="190"/>
      <c r="TU268" s="178"/>
      <c r="TV268" s="178"/>
    </row>
    <row r="269" spans="1:542" x14ac:dyDescent="0.25">
      <c r="A269" s="96" t="s">
        <v>188</v>
      </c>
      <c r="B269" s="158" t="str">
        <f t="shared" ref="B269:B270" si="8">"[yes/no]"</f>
        <v>[yes/no]</v>
      </c>
      <c r="C269" s="159"/>
      <c r="D269" s="155"/>
      <c r="E269" s="190"/>
      <c r="F269" s="190"/>
      <c r="G269" s="190"/>
      <c r="H269" s="190"/>
      <c r="I269" s="190"/>
      <c r="J269" s="190"/>
      <c r="K269" s="190"/>
      <c r="L269" s="190"/>
      <c r="M269" s="190"/>
      <c r="N269" s="190"/>
      <c r="O269" s="190"/>
      <c r="P269" s="190"/>
      <c r="Q269" s="190"/>
      <c r="R269" s="190"/>
      <c r="S269" s="190"/>
      <c r="T269" s="190"/>
      <c r="U269" s="190"/>
      <c r="V269" s="190"/>
      <c r="W269" s="190"/>
      <c r="X269" s="190"/>
      <c r="Y269" s="190"/>
      <c r="Z269" s="190"/>
      <c r="AA269" s="190"/>
      <c r="AB269" s="190"/>
      <c r="AC269" s="190"/>
      <c r="AD269" s="190"/>
      <c r="AE269" s="190"/>
      <c r="AF269" s="190"/>
      <c r="AG269" s="190"/>
      <c r="AH269" s="190"/>
      <c r="AI269" s="190"/>
      <c r="AJ269" s="190"/>
      <c r="AK269" s="190"/>
      <c r="AL269" s="190"/>
      <c r="AM269" s="190"/>
      <c r="AN269" s="190"/>
      <c r="AO269" s="190"/>
      <c r="AP269" s="190"/>
      <c r="AQ269" s="190"/>
      <c r="AR269" s="190"/>
      <c r="AS269" s="190"/>
      <c r="AT269" s="190"/>
      <c r="AU269" s="190"/>
      <c r="AV269" s="190"/>
      <c r="AW269" s="190"/>
      <c r="AX269" s="190"/>
      <c r="AY269" s="190"/>
      <c r="AZ269" s="190"/>
      <c r="BA269" s="190"/>
      <c r="BB269" s="190"/>
      <c r="BC269" s="190"/>
      <c r="BD269" s="190"/>
      <c r="BE269" s="190"/>
      <c r="BF269" s="190"/>
      <c r="BG269" s="190"/>
      <c r="BH269" s="190"/>
      <c r="BI269" s="190"/>
      <c r="BJ269" s="190"/>
      <c r="BK269" s="190"/>
      <c r="BL269" s="190"/>
      <c r="BM269" s="190"/>
      <c r="BN269" s="190"/>
      <c r="BO269" s="190"/>
      <c r="TU269" s="178"/>
      <c r="TV269" s="178"/>
    </row>
    <row r="270" spans="1:542" x14ac:dyDescent="0.25">
      <c r="A270" s="96" t="s">
        <v>189</v>
      </c>
      <c r="B270" s="158" t="str">
        <f t="shared" si="8"/>
        <v>[yes/no]</v>
      </c>
      <c r="C270" s="159"/>
      <c r="D270" s="155"/>
      <c r="E270" s="190"/>
      <c r="F270" s="190"/>
      <c r="G270" s="190"/>
      <c r="H270" s="190"/>
      <c r="I270" s="190"/>
      <c r="J270" s="190"/>
      <c r="K270" s="190"/>
      <c r="L270" s="190"/>
      <c r="M270" s="190"/>
      <c r="N270" s="190"/>
      <c r="O270" s="190"/>
      <c r="P270" s="190"/>
      <c r="Q270" s="190"/>
      <c r="R270" s="190"/>
      <c r="S270" s="190"/>
      <c r="T270" s="190"/>
      <c r="U270" s="190"/>
      <c r="V270" s="190"/>
      <c r="W270" s="190"/>
      <c r="X270" s="190"/>
      <c r="Y270" s="190"/>
      <c r="Z270" s="190"/>
      <c r="AA270" s="190"/>
      <c r="AB270" s="190"/>
      <c r="AC270" s="190"/>
      <c r="AD270" s="190"/>
      <c r="AE270" s="190"/>
      <c r="AF270" s="190"/>
      <c r="AG270" s="190"/>
      <c r="AH270" s="190"/>
      <c r="AI270" s="190"/>
      <c r="AJ270" s="190"/>
      <c r="AK270" s="190"/>
      <c r="AL270" s="190"/>
      <c r="AM270" s="190"/>
      <c r="AN270" s="190"/>
      <c r="AO270" s="190"/>
      <c r="AP270" s="190"/>
      <c r="AQ270" s="190"/>
      <c r="AR270" s="190"/>
      <c r="AS270" s="190"/>
      <c r="AT270" s="190"/>
      <c r="AU270" s="190"/>
      <c r="AV270" s="190"/>
      <c r="AW270" s="190"/>
      <c r="AX270" s="190"/>
      <c r="AY270" s="190"/>
      <c r="AZ270" s="190"/>
      <c r="BA270" s="190"/>
      <c r="BB270" s="190"/>
      <c r="BC270" s="190"/>
      <c r="BD270" s="190"/>
      <c r="BE270" s="190"/>
      <c r="BF270" s="190"/>
      <c r="BG270" s="190"/>
      <c r="BH270" s="190"/>
      <c r="BI270" s="190"/>
      <c r="BJ270" s="190"/>
      <c r="BK270" s="190"/>
      <c r="BL270" s="190"/>
      <c r="BM270" s="190"/>
      <c r="BN270" s="190"/>
      <c r="BO270" s="190"/>
      <c r="TU270" s="178"/>
      <c r="TV270" s="178"/>
    </row>
    <row r="271" spans="1:542" x14ac:dyDescent="0.25">
      <c r="A271" s="96" t="s">
        <v>534</v>
      </c>
      <c r="B271" s="158" t="str">
        <f>"mm"</f>
        <v>mm</v>
      </c>
      <c r="C271" s="159"/>
      <c r="D271" s="155"/>
      <c r="E271" s="190"/>
      <c r="F271" s="190"/>
      <c r="G271" s="190"/>
      <c r="H271" s="190"/>
      <c r="I271" s="190"/>
      <c r="J271" s="190"/>
      <c r="K271" s="190"/>
      <c r="L271" s="190"/>
      <c r="M271" s="190"/>
      <c r="N271" s="190"/>
      <c r="O271" s="190"/>
      <c r="P271" s="190"/>
      <c r="Q271" s="190"/>
      <c r="R271" s="190"/>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TU271" s="178"/>
      <c r="TV271" s="178"/>
    </row>
    <row r="272" spans="1:542" x14ac:dyDescent="0.25">
      <c r="A272" s="96" t="s">
        <v>194</v>
      </c>
      <c r="B272" s="158" t="str">
        <f t="shared" ref="B272:B273" si="9">"[none/list]"</f>
        <v>[none/list]</v>
      </c>
      <c r="C272" s="159"/>
      <c r="D272" s="155"/>
      <c r="E272" s="190"/>
      <c r="F272" s="190"/>
      <c r="G272" s="190"/>
      <c r="H272" s="190"/>
      <c r="I272" s="190"/>
      <c r="J272" s="190"/>
      <c r="K272" s="190"/>
      <c r="L272" s="190"/>
      <c r="M272" s="190"/>
      <c r="N272" s="190"/>
      <c r="O272" s="190"/>
      <c r="P272" s="190"/>
      <c r="Q272" s="190"/>
      <c r="R272" s="190"/>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TU272" s="178"/>
      <c r="TV272" s="178"/>
    </row>
    <row r="273" spans="1:542" x14ac:dyDescent="0.25">
      <c r="A273" s="96" t="s">
        <v>195</v>
      </c>
      <c r="B273" s="158" t="str">
        <f t="shared" si="9"/>
        <v>[none/list]</v>
      </c>
      <c r="C273" s="159"/>
      <c r="D273" s="155"/>
      <c r="E273" s="190"/>
      <c r="F273" s="190"/>
      <c r="G273" s="190"/>
      <c r="H273" s="190"/>
      <c r="I273" s="190"/>
      <c r="J273" s="190"/>
      <c r="K273" s="190"/>
      <c r="L273" s="190"/>
      <c r="M273" s="190"/>
      <c r="N273" s="190"/>
      <c r="O273" s="190"/>
      <c r="P273" s="190"/>
      <c r="Q273" s="190"/>
      <c r="R273" s="190"/>
      <c r="S273" s="190"/>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TU273" s="178"/>
      <c r="TV273" s="178"/>
    </row>
    <row r="274" spans="1:542" x14ac:dyDescent="0.25">
      <c r="A274" s="96" t="s">
        <v>196</v>
      </c>
      <c r="B274" s="158" t="str">
        <f t="shared" ref="B274:B276" si="10">"[yes/no]"</f>
        <v>[yes/no]</v>
      </c>
      <c r="C274" s="159"/>
      <c r="D274" s="155"/>
      <c r="E274" s="190"/>
      <c r="F274" s="190"/>
      <c r="G274" s="190"/>
      <c r="H274" s="190"/>
      <c r="I274" s="190"/>
      <c r="J274" s="190"/>
      <c r="K274" s="190"/>
      <c r="L274" s="190"/>
      <c r="M274" s="190"/>
      <c r="N274" s="190"/>
      <c r="O274" s="190"/>
      <c r="P274" s="190"/>
      <c r="Q274" s="190"/>
      <c r="R274" s="190"/>
      <c r="S274" s="190"/>
      <c r="T274" s="190"/>
      <c r="U274" s="190"/>
      <c r="V274" s="190"/>
      <c r="W274" s="190"/>
      <c r="X274" s="190"/>
      <c r="Y274" s="190"/>
      <c r="Z274" s="190"/>
      <c r="AA274" s="190"/>
      <c r="AB274" s="190"/>
      <c r="AC274" s="190"/>
      <c r="AD274" s="190"/>
      <c r="AE274" s="190"/>
      <c r="AF274" s="190"/>
      <c r="AG274" s="190"/>
      <c r="AH274" s="190"/>
      <c r="AI274" s="190"/>
      <c r="AJ274" s="190"/>
      <c r="AK274" s="190"/>
      <c r="AL274" s="190"/>
      <c r="AM274" s="190"/>
      <c r="AN274" s="190"/>
      <c r="AO274" s="190"/>
      <c r="AP274" s="190"/>
      <c r="AQ274" s="190"/>
      <c r="AR274" s="190"/>
      <c r="AS274" s="190"/>
      <c r="AT274" s="190"/>
      <c r="AU274" s="190"/>
      <c r="AV274" s="190"/>
      <c r="AW274" s="190"/>
      <c r="AX274" s="190"/>
      <c r="AY274" s="190"/>
      <c r="AZ274" s="190"/>
      <c r="BA274" s="190"/>
      <c r="BB274" s="190"/>
      <c r="BC274" s="190"/>
      <c r="BD274" s="190"/>
      <c r="BE274" s="190"/>
      <c r="BF274" s="190"/>
      <c r="BG274" s="190"/>
      <c r="BH274" s="190"/>
      <c r="BI274" s="190"/>
      <c r="BJ274" s="190"/>
      <c r="BK274" s="190"/>
      <c r="BL274" s="190"/>
      <c r="BM274" s="190"/>
      <c r="BN274" s="190"/>
      <c r="BO274" s="190"/>
      <c r="TU274" s="178"/>
      <c r="TV274" s="178"/>
    </row>
    <row r="275" spans="1:542" x14ac:dyDescent="0.25">
      <c r="A275" s="96" t="s">
        <v>197</v>
      </c>
      <c r="B275" s="158" t="str">
        <f t="shared" si="10"/>
        <v>[yes/no]</v>
      </c>
      <c r="C275" s="159"/>
      <c r="D275" s="155"/>
      <c r="E275" s="190"/>
      <c r="F275" s="190"/>
      <c r="G275" s="190"/>
      <c r="H275" s="190"/>
      <c r="I275" s="190"/>
      <c r="J275" s="190"/>
      <c r="K275" s="190"/>
      <c r="L275" s="190"/>
      <c r="M275" s="190"/>
      <c r="N275" s="190"/>
      <c r="O275" s="190"/>
      <c r="P275" s="190"/>
      <c r="Q275" s="190"/>
      <c r="R275" s="190"/>
      <c r="S275" s="190"/>
      <c r="T275" s="190"/>
      <c r="U275" s="190"/>
      <c r="V275" s="190"/>
      <c r="W275" s="190"/>
      <c r="X275" s="190"/>
      <c r="Y275" s="190"/>
      <c r="Z275" s="190"/>
      <c r="AA275" s="190"/>
      <c r="AB275" s="190"/>
      <c r="AC275" s="190"/>
      <c r="AD275" s="190"/>
      <c r="AE275" s="190"/>
      <c r="AF275" s="190"/>
      <c r="AG275" s="190"/>
      <c r="AH275" s="190"/>
      <c r="AI275" s="190"/>
      <c r="AJ275" s="190"/>
      <c r="AK275" s="190"/>
      <c r="AL275" s="190"/>
      <c r="AM275" s="190"/>
      <c r="AN275" s="190"/>
      <c r="AO275" s="190"/>
      <c r="AP275" s="190"/>
      <c r="AQ275" s="190"/>
      <c r="AR275" s="190"/>
      <c r="AS275" s="190"/>
      <c r="AT275" s="190"/>
      <c r="AU275" s="190"/>
      <c r="AV275" s="190"/>
      <c r="AW275" s="190"/>
      <c r="AX275" s="190"/>
      <c r="AY275" s="190"/>
      <c r="AZ275" s="190"/>
      <c r="BA275" s="190"/>
      <c r="BB275" s="190"/>
      <c r="BC275" s="190"/>
      <c r="BD275" s="190"/>
      <c r="BE275" s="190"/>
      <c r="BF275" s="190"/>
      <c r="BG275" s="190"/>
      <c r="BH275" s="190"/>
      <c r="BI275" s="190"/>
      <c r="BJ275" s="190"/>
      <c r="BK275" s="190"/>
      <c r="BL275" s="190"/>
      <c r="BM275" s="190"/>
      <c r="BN275" s="190"/>
      <c r="BO275" s="190"/>
      <c r="TU275" s="178"/>
      <c r="TV275" s="178"/>
    </row>
    <row r="276" spans="1:542" x14ac:dyDescent="0.25">
      <c r="A276" s="96" t="s">
        <v>198</v>
      </c>
      <c r="B276" s="158" t="str">
        <f t="shared" si="10"/>
        <v>[yes/no]</v>
      </c>
      <c r="C276" s="159"/>
      <c r="D276" s="155"/>
      <c r="E276" s="190"/>
      <c r="F276" s="190"/>
      <c r="G276" s="190"/>
      <c r="H276" s="190"/>
      <c r="I276" s="190"/>
      <c r="J276" s="190"/>
      <c r="K276" s="190"/>
      <c r="L276" s="190"/>
      <c r="M276" s="190"/>
      <c r="N276" s="190"/>
      <c r="O276" s="190"/>
      <c r="P276" s="190"/>
      <c r="Q276" s="190"/>
      <c r="R276" s="190"/>
      <c r="S276" s="190"/>
      <c r="T276" s="190"/>
      <c r="U276" s="190"/>
      <c r="V276" s="190"/>
      <c r="W276" s="190"/>
      <c r="X276" s="190"/>
      <c r="Y276" s="190"/>
      <c r="Z276" s="190"/>
      <c r="AA276" s="190"/>
      <c r="AB276" s="190"/>
      <c r="AC276" s="190"/>
      <c r="AD276" s="190"/>
      <c r="AE276" s="190"/>
      <c r="AF276" s="190"/>
      <c r="AG276" s="190"/>
      <c r="AH276" s="190"/>
      <c r="AI276" s="190"/>
      <c r="AJ276" s="190"/>
      <c r="AK276" s="190"/>
      <c r="AL276" s="190"/>
      <c r="AM276" s="190"/>
      <c r="AN276" s="190"/>
      <c r="AO276" s="190"/>
      <c r="AP276" s="190"/>
      <c r="AQ276" s="190"/>
      <c r="AR276" s="190"/>
      <c r="AS276" s="190"/>
      <c r="AT276" s="190"/>
      <c r="AU276" s="190"/>
      <c r="AV276" s="190"/>
      <c r="AW276" s="190"/>
      <c r="AX276" s="190"/>
      <c r="AY276" s="190"/>
      <c r="AZ276" s="190"/>
      <c r="BA276" s="190"/>
      <c r="BB276" s="190"/>
      <c r="BC276" s="190"/>
      <c r="BD276" s="190"/>
      <c r="BE276" s="190"/>
      <c r="BF276" s="190"/>
      <c r="BG276" s="190"/>
      <c r="BH276" s="190"/>
      <c r="BI276" s="190"/>
      <c r="BJ276" s="190"/>
      <c r="BK276" s="190"/>
      <c r="BL276" s="190"/>
      <c r="BM276" s="190"/>
      <c r="BN276" s="190"/>
      <c r="BO276" s="190"/>
      <c r="TU276" s="178"/>
      <c r="TV276" s="178"/>
    </row>
    <row r="277" spans="1:542" x14ac:dyDescent="0.25">
      <c r="A277" s="147" t="s">
        <v>228</v>
      </c>
      <c r="B277" s="119"/>
      <c r="C277" s="120"/>
      <c r="D277" s="155"/>
      <c r="E277" s="190"/>
      <c r="F277" s="190"/>
      <c r="G277" s="190"/>
      <c r="H277" s="190"/>
      <c r="I277" s="190"/>
      <c r="J277" s="190"/>
      <c r="K277" s="190"/>
      <c r="L277" s="190"/>
      <c r="M277" s="190"/>
      <c r="N277" s="190"/>
      <c r="O277" s="190"/>
      <c r="P277" s="190"/>
      <c r="Q277" s="190"/>
      <c r="R277" s="190"/>
      <c r="S277" s="190"/>
      <c r="T277" s="190"/>
      <c r="U277" s="190"/>
      <c r="V277" s="190"/>
      <c r="W277" s="190"/>
      <c r="X277" s="190"/>
      <c r="Y277" s="190"/>
      <c r="Z277" s="190"/>
      <c r="AA277" s="190"/>
      <c r="AB277" s="190"/>
      <c r="AC277" s="190"/>
      <c r="AD277" s="190"/>
      <c r="AE277" s="190"/>
      <c r="AF277" s="190"/>
      <c r="AG277" s="190"/>
      <c r="AH277" s="190"/>
      <c r="AI277" s="190"/>
      <c r="AJ277" s="190"/>
      <c r="AK277" s="190"/>
      <c r="AL277" s="190"/>
      <c r="AM277" s="190"/>
      <c r="AN277" s="190"/>
      <c r="AO277" s="190"/>
      <c r="AP277" s="190"/>
      <c r="AQ277" s="190"/>
      <c r="AR277" s="190"/>
      <c r="AS277" s="190"/>
      <c r="AT277" s="190"/>
      <c r="AU277" s="190"/>
      <c r="AV277" s="190"/>
      <c r="AW277" s="190"/>
      <c r="AX277" s="190"/>
      <c r="AY277" s="190"/>
      <c r="AZ277" s="190"/>
      <c r="BA277" s="190"/>
      <c r="BB277" s="190"/>
      <c r="BC277" s="190"/>
      <c r="BD277" s="190"/>
      <c r="BE277" s="190"/>
      <c r="BF277" s="190"/>
      <c r="BG277" s="190"/>
      <c r="BH277" s="190"/>
      <c r="BI277" s="190"/>
      <c r="BJ277" s="190"/>
      <c r="BK277" s="190"/>
      <c r="BL277" s="190"/>
      <c r="BM277" s="190"/>
      <c r="BN277" s="190"/>
      <c r="BO277" s="190"/>
      <c r="TU277" s="178"/>
      <c r="TV277" s="178"/>
    </row>
    <row r="278" spans="1:542" x14ac:dyDescent="0.25">
      <c r="A278" s="147" t="s">
        <v>232</v>
      </c>
      <c r="B278" s="119"/>
      <c r="C278" s="120"/>
      <c r="D278" s="155"/>
      <c r="E278" s="190"/>
      <c r="F278" s="190"/>
      <c r="G278" s="190"/>
      <c r="H278" s="190"/>
      <c r="I278" s="190"/>
      <c r="J278" s="190"/>
      <c r="K278" s="190"/>
      <c r="L278" s="190"/>
      <c r="M278" s="190"/>
      <c r="N278" s="190"/>
      <c r="O278" s="190"/>
      <c r="P278" s="190"/>
      <c r="Q278" s="190"/>
      <c r="R278" s="190"/>
      <c r="S278" s="190"/>
      <c r="T278" s="190"/>
      <c r="U278" s="190"/>
      <c r="V278" s="190"/>
      <c r="W278" s="190"/>
      <c r="X278" s="190"/>
      <c r="Y278" s="190"/>
      <c r="Z278" s="190"/>
      <c r="AA278" s="190"/>
      <c r="AB278" s="190"/>
      <c r="AC278" s="190"/>
      <c r="AD278" s="190"/>
      <c r="AE278" s="190"/>
      <c r="AF278" s="190"/>
      <c r="AG278" s="190"/>
      <c r="AH278" s="190"/>
      <c r="AI278" s="190"/>
      <c r="AJ278" s="190"/>
      <c r="AK278" s="190"/>
      <c r="AL278" s="190"/>
      <c r="AM278" s="190"/>
      <c r="AN278" s="190"/>
      <c r="AO278" s="190"/>
      <c r="AP278" s="190"/>
      <c r="AQ278" s="190"/>
      <c r="AR278" s="190"/>
      <c r="AS278" s="190"/>
      <c r="AT278" s="190"/>
      <c r="AU278" s="190"/>
      <c r="AV278" s="190"/>
      <c r="AW278" s="190"/>
      <c r="AX278" s="190"/>
      <c r="AY278" s="190"/>
      <c r="AZ278" s="190"/>
      <c r="BA278" s="190"/>
      <c r="BB278" s="190"/>
      <c r="BC278" s="190"/>
      <c r="BD278" s="190"/>
      <c r="BE278" s="190"/>
      <c r="BF278" s="190"/>
      <c r="BG278" s="190"/>
      <c r="BH278" s="190"/>
      <c r="BI278" s="190"/>
      <c r="BJ278" s="190"/>
      <c r="BK278" s="190"/>
      <c r="BL278" s="190"/>
      <c r="BM278" s="190"/>
      <c r="BN278" s="190"/>
      <c r="BO278" s="190"/>
      <c r="TU278" s="178"/>
      <c r="TV278" s="178"/>
    </row>
    <row r="279" spans="1:542" ht="30" x14ac:dyDescent="0.25">
      <c r="A279" s="96" t="s">
        <v>199</v>
      </c>
      <c r="B279" s="158" t="str">
        <f>"bar.g"</f>
        <v>bar.g</v>
      </c>
      <c r="C279" s="159"/>
      <c r="D279" s="155"/>
      <c r="E279" s="190"/>
      <c r="F279" s="190"/>
      <c r="G279" s="190"/>
      <c r="H279" s="190"/>
      <c r="I279" s="190"/>
      <c r="J279" s="190"/>
      <c r="K279" s="190"/>
      <c r="L279" s="190"/>
      <c r="M279" s="190"/>
      <c r="N279" s="190"/>
      <c r="O279" s="190"/>
      <c r="P279" s="190"/>
      <c r="Q279" s="190"/>
      <c r="R279" s="190"/>
      <c r="S279" s="190"/>
      <c r="T279" s="190"/>
      <c r="U279" s="190"/>
      <c r="V279" s="190"/>
      <c r="W279" s="190"/>
      <c r="X279" s="190"/>
      <c r="Y279" s="190"/>
      <c r="Z279" s="190"/>
      <c r="AA279" s="190"/>
      <c r="AB279" s="190"/>
      <c r="AC279" s="190"/>
      <c r="AD279" s="190"/>
      <c r="AE279" s="190"/>
      <c r="AF279" s="190"/>
      <c r="AG279" s="190"/>
      <c r="AH279" s="190"/>
      <c r="AI279" s="190"/>
      <c r="AJ279" s="190"/>
      <c r="AK279" s="190"/>
      <c r="AL279" s="190"/>
      <c r="AM279" s="190"/>
      <c r="AN279" s="190"/>
      <c r="AO279" s="190"/>
      <c r="AP279" s="190"/>
      <c r="AQ279" s="190"/>
      <c r="AR279" s="190"/>
      <c r="AS279" s="190"/>
      <c r="AT279" s="190"/>
      <c r="AU279" s="190"/>
      <c r="AV279" s="190"/>
      <c r="AW279" s="190"/>
      <c r="AX279" s="190"/>
      <c r="AY279" s="190"/>
      <c r="AZ279" s="190"/>
      <c r="BA279" s="190"/>
      <c r="BB279" s="190"/>
      <c r="BC279" s="190"/>
      <c r="BD279" s="190"/>
      <c r="BE279" s="190"/>
      <c r="BF279" s="190"/>
      <c r="BG279" s="190"/>
      <c r="BH279" s="190"/>
      <c r="BI279" s="190"/>
      <c r="BJ279" s="190"/>
      <c r="BK279" s="190"/>
      <c r="BL279" s="190"/>
      <c r="BM279" s="190"/>
      <c r="BN279" s="190"/>
      <c r="BO279" s="190"/>
      <c r="TU279" s="178"/>
      <c r="TV279" s="178"/>
    </row>
    <row r="280" spans="1:542" x14ac:dyDescent="0.25">
      <c r="A280" s="96" t="s">
        <v>482</v>
      </c>
      <c r="B280" s="158" t="str">
        <f t="shared" ref="B280" si="11">"[yes/no]"</f>
        <v>[yes/no]</v>
      </c>
      <c r="C280" s="159"/>
      <c r="D280" s="155"/>
      <c r="E280" s="190"/>
      <c r="F280" s="190"/>
      <c r="G280" s="190"/>
      <c r="H280" s="190"/>
      <c r="I280" s="190"/>
      <c r="J280" s="190"/>
      <c r="K280" s="190"/>
      <c r="L280" s="190"/>
      <c r="M280" s="190"/>
      <c r="N280" s="190"/>
      <c r="O280" s="190"/>
      <c r="P280" s="190"/>
      <c r="Q280" s="190"/>
      <c r="R280" s="190"/>
      <c r="S280" s="190"/>
      <c r="T280" s="190"/>
      <c r="U280" s="190"/>
      <c r="V280" s="190"/>
      <c r="W280" s="190"/>
      <c r="X280" s="190"/>
      <c r="Y280" s="190"/>
      <c r="Z280" s="190"/>
      <c r="AA280" s="190"/>
      <c r="AB280" s="190"/>
      <c r="AC280" s="190"/>
      <c r="AD280" s="190"/>
      <c r="AE280" s="190"/>
      <c r="AF280" s="190"/>
      <c r="AG280" s="190"/>
      <c r="AH280" s="190"/>
      <c r="AI280" s="190"/>
      <c r="AJ280" s="190"/>
      <c r="AK280" s="190"/>
      <c r="AL280" s="190"/>
      <c r="AM280" s="190"/>
      <c r="AN280" s="190"/>
      <c r="AO280" s="190"/>
      <c r="AP280" s="190"/>
      <c r="AQ280" s="190"/>
      <c r="AR280" s="190"/>
      <c r="AS280" s="190"/>
      <c r="AT280" s="190"/>
      <c r="AU280" s="190"/>
      <c r="AV280" s="190"/>
      <c r="AW280" s="190"/>
      <c r="AX280" s="190"/>
      <c r="AY280" s="190"/>
      <c r="AZ280" s="190"/>
      <c r="BA280" s="190"/>
      <c r="BB280" s="190"/>
      <c r="BC280" s="190"/>
      <c r="BD280" s="190"/>
      <c r="BE280" s="190"/>
      <c r="BF280" s="190"/>
      <c r="BG280" s="190"/>
      <c r="BH280" s="190"/>
      <c r="BI280" s="190"/>
      <c r="BJ280" s="190"/>
      <c r="BK280" s="190"/>
      <c r="BL280" s="190"/>
      <c r="BM280" s="190"/>
      <c r="BN280" s="190"/>
      <c r="BO280" s="190"/>
      <c r="TU280" s="178"/>
      <c r="TV280" s="178"/>
    </row>
    <row r="281" spans="1:542" x14ac:dyDescent="0.25">
      <c r="A281" s="96" t="s">
        <v>200</v>
      </c>
      <c r="B281" s="158" t="str">
        <f t="shared" ref="B281" si="12">"[yes/no]"</f>
        <v>[yes/no]</v>
      </c>
      <c r="C281" s="159"/>
      <c r="D281" s="155"/>
      <c r="E281" s="190"/>
      <c r="F281" s="190"/>
      <c r="G281" s="190"/>
      <c r="H281" s="190"/>
      <c r="I281" s="190"/>
      <c r="J281" s="190"/>
      <c r="K281" s="190"/>
      <c r="L281" s="190"/>
      <c r="M281" s="190"/>
      <c r="N281" s="190"/>
      <c r="O281" s="190"/>
      <c r="P281" s="190"/>
      <c r="Q281" s="190"/>
      <c r="R281" s="190"/>
      <c r="S281" s="190"/>
      <c r="T281" s="190"/>
      <c r="U281" s="190"/>
      <c r="V281" s="190"/>
      <c r="W281" s="190"/>
      <c r="X281" s="190"/>
      <c r="Y281" s="190"/>
      <c r="Z281" s="190"/>
      <c r="AA281" s="190"/>
      <c r="AB281" s="190"/>
      <c r="AC281" s="190"/>
      <c r="AD281" s="190"/>
      <c r="AE281" s="190"/>
      <c r="AF281" s="190"/>
      <c r="AG281" s="190"/>
      <c r="AH281" s="190"/>
      <c r="AI281" s="190"/>
      <c r="AJ281" s="190"/>
      <c r="AK281" s="190"/>
      <c r="AL281" s="190"/>
      <c r="AM281" s="190"/>
      <c r="AN281" s="190"/>
      <c r="AO281" s="190"/>
      <c r="AP281" s="190"/>
      <c r="AQ281" s="190"/>
      <c r="AR281" s="190"/>
      <c r="AS281" s="190"/>
      <c r="AT281" s="190"/>
      <c r="AU281" s="190"/>
      <c r="AV281" s="190"/>
      <c r="AW281" s="190"/>
      <c r="AX281" s="190"/>
      <c r="AY281" s="190"/>
      <c r="AZ281" s="190"/>
      <c r="BA281" s="190"/>
      <c r="BB281" s="190"/>
      <c r="BC281" s="190"/>
      <c r="BD281" s="190"/>
      <c r="BE281" s="190"/>
      <c r="BF281" s="190"/>
      <c r="BG281" s="190"/>
      <c r="BH281" s="190"/>
      <c r="BI281" s="190"/>
      <c r="BJ281" s="190"/>
      <c r="BK281" s="190"/>
      <c r="BL281" s="190"/>
      <c r="BM281" s="190"/>
      <c r="BN281" s="190"/>
      <c r="BO281" s="190"/>
      <c r="TU281" s="178"/>
      <c r="TV281" s="178"/>
    </row>
    <row r="282" spans="1:542" ht="30" x14ac:dyDescent="0.25">
      <c r="A282" s="96" t="s">
        <v>201</v>
      </c>
      <c r="B282" s="158" t="str">
        <f>"[none/list]"</f>
        <v>[none/list]</v>
      </c>
      <c r="C282" s="159"/>
      <c r="D282" s="155"/>
      <c r="E282" s="190"/>
      <c r="F282" s="190"/>
      <c r="G282" s="190"/>
      <c r="H282" s="190"/>
      <c r="I282" s="190"/>
      <c r="J282" s="190"/>
      <c r="K282" s="190"/>
      <c r="L282" s="190"/>
      <c r="M282" s="190"/>
      <c r="N282" s="190"/>
      <c r="O282" s="190"/>
      <c r="P282" s="190"/>
      <c r="Q282" s="190"/>
      <c r="R282" s="190"/>
      <c r="S282" s="190"/>
      <c r="T282" s="190"/>
      <c r="U282" s="190"/>
      <c r="V282" s="190"/>
      <c r="W282" s="190"/>
      <c r="X282" s="190"/>
      <c r="Y282" s="190"/>
      <c r="Z282" s="190"/>
      <c r="AA282" s="190"/>
      <c r="AB282" s="190"/>
      <c r="AC282" s="190"/>
      <c r="AD282" s="190"/>
      <c r="AE282" s="190"/>
      <c r="AF282" s="190"/>
      <c r="AG282" s="190"/>
      <c r="AH282" s="190"/>
      <c r="AI282" s="190"/>
      <c r="AJ282" s="190"/>
      <c r="AK282" s="190"/>
      <c r="AL282" s="190"/>
      <c r="AM282" s="190"/>
      <c r="AN282" s="190"/>
      <c r="AO282" s="190"/>
      <c r="AP282" s="190"/>
      <c r="AQ282" s="190"/>
      <c r="AR282" s="190"/>
      <c r="AS282" s="190"/>
      <c r="AT282" s="190"/>
      <c r="AU282" s="190"/>
      <c r="AV282" s="190"/>
      <c r="AW282" s="190"/>
      <c r="AX282" s="190"/>
      <c r="AY282" s="190"/>
      <c r="AZ282" s="190"/>
      <c r="BA282" s="190"/>
      <c r="BB282" s="190"/>
      <c r="BC282" s="190"/>
      <c r="BD282" s="190"/>
      <c r="BE282" s="190"/>
      <c r="BF282" s="190"/>
      <c r="BG282" s="190"/>
      <c r="BH282" s="190"/>
      <c r="BI282" s="190"/>
      <c r="BJ282" s="190"/>
      <c r="BK282" s="190"/>
      <c r="BL282" s="190"/>
      <c r="BM282" s="190"/>
      <c r="BN282" s="190"/>
      <c r="BO282" s="190"/>
      <c r="TU282" s="178"/>
      <c r="TV282" s="178"/>
    </row>
    <row r="283" spans="1:542" ht="30" x14ac:dyDescent="0.25">
      <c r="A283" s="96" t="s">
        <v>202</v>
      </c>
      <c r="B283" s="158" t="str">
        <f t="shared" ref="B283:B285" si="13">"[none/list]"</f>
        <v>[none/list]</v>
      </c>
      <c r="C283" s="159"/>
      <c r="D283" s="155"/>
      <c r="E283" s="190"/>
      <c r="F283" s="190"/>
      <c r="G283" s="190"/>
      <c r="H283" s="190"/>
      <c r="I283" s="190"/>
      <c r="J283" s="190"/>
      <c r="K283" s="190"/>
      <c r="L283" s="190"/>
      <c r="M283" s="190"/>
      <c r="N283" s="190"/>
      <c r="O283" s="190"/>
      <c r="P283" s="190"/>
      <c r="Q283" s="190"/>
      <c r="R283" s="190"/>
      <c r="S283" s="190"/>
      <c r="T283" s="190"/>
      <c r="U283" s="190"/>
      <c r="V283" s="190"/>
      <c r="W283" s="190"/>
      <c r="X283" s="190"/>
      <c r="Y283" s="190"/>
      <c r="Z283" s="190"/>
      <c r="AA283" s="190"/>
      <c r="AB283" s="190"/>
      <c r="AC283" s="190"/>
      <c r="AD283" s="190"/>
      <c r="AE283" s="190"/>
      <c r="AF283" s="190"/>
      <c r="AG283" s="190"/>
      <c r="AH283" s="190"/>
      <c r="AI283" s="190"/>
      <c r="AJ283" s="190"/>
      <c r="AK283" s="190"/>
      <c r="AL283" s="190"/>
      <c r="AM283" s="190"/>
      <c r="AN283" s="190"/>
      <c r="AO283" s="190"/>
      <c r="AP283" s="190"/>
      <c r="AQ283" s="190"/>
      <c r="AR283" s="190"/>
      <c r="AS283" s="190"/>
      <c r="AT283" s="190"/>
      <c r="AU283" s="190"/>
      <c r="AV283" s="190"/>
      <c r="AW283" s="190"/>
      <c r="AX283" s="190"/>
      <c r="AY283" s="190"/>
      <c r="AZ283" s="190"/>
      <c r="BA283" s="190"/>
      <c r="BB283" s="190"/>
      <c r="BC283" s="190"/>
      <c r="BD283" s="190"/>
      <c r="BE283" s="190"/>
      <c r="BF283" s="190"/>
      <c r="BG283" s="190"/>
      <c r="BH283" s="190"/>
      <c r="BI283" s="190"/>
      <c r="BJ283" s="190"/>
      <c r="BK283" s="190"/>
      <c r="BL283" s="190"/>
      <c r="BM283" s="190"/>
      <c r="BN283" s="190"/>
      <c r="BO283" s="190"/>
      <c r="TU283" s="178"/>
      <c r="TV283" s="178"/>
    </row>
    <row r="284" spans="1:542" ht="30" x14ac:dyDescent="0.25">
      <c r="A284" s="96" t="s">
        <v>203</v>
      </c>
      <c r="B284" s="158" t="str">
        <f t="shared" si="13"/>
        <v>[none/list]</v>
      </c>
      <c r="C284" s="159"/>
      <c r="D284" s="155"/>
      <c r="E284" s="190"/>
      <c r="F284" s="190"/>
      <c r="G284" s="190"/>
      <c r="H284" s="190"/>
      <c r="I284" s="190"/>
      <c r="J284" s="190"/>
      <c r="K284" s="190"/>
      <c r="L284" s="190"/>
      <c r="M284" s="190"/>
      <c r="N284" s="190"/>
      <c r="O284" s="190"/>
      <c r="P284" s="190"/>
      <c r="Q284" s="190"/>
      <c r="R284" s="190"/>
      <c r="S284" s="190"/>
      <c r="T284" s="190"/>
      <c r="U284" s="190"/>
      <c r="V284" s="190"/>
      <c r="W284" s="190"/>
      <c r="X284" s="190"/>
      <c r="Y284" s="190"/>
      <c r="Z284" s="190"/>
      <c r="AA284" s="190"/>
      <c r="AB284" s="190"/>
      <c r="AC284" s="190"/>
      <c r="AD284" s="190"/>
      <c r="AE284" s="190"/>
      <c r="AF284" s="190"/>
      <c r="AG284" s="190"/>
      <c r="AH284" s="190"/>
      <c r="AI284" s="190"/>
      <c r="AJ284" s="190"/>
      <c r="AK284" s="190"/>
      <c r="AL284" s="190"/>
      <c r="AM284" s="190"/>
      <c r="AN284" s="190"/>
      <c r="AO284" s="190"/>
      <c r="AP284" s="190"/>
      <c r="AQ284" s="190"/>
      <c r="AR284" s="190"/>
      <c r="AS284" s="190"/>
      <c r="AT284" s="190"/>
      <c r="AU284" s="190"/>
      <c r="AV284" s="190"/>
      <c r="AW284" s="190"/>
      <c r="AX284" s="190"/>
      <c r="AY284" s="190"/>
      <c r="AZ284" s="190"/>
      <c r="BA284" s="190"/>
      <c r="BB284" s="190"/>
      <c r="BC284" s="190"/>
      <c r="BD284" s="190"/>
      <c r="BE284" s="190"/>
      <c r="BF284" s="190"/>
      <c r="BG284" s="190"/>
      <c r="BH284" s="190"/>
      <c r="BI284" s="190"/>
      <c r="BJ284" s="190"/>
      <c r="BK284" s="190"/>
      <c r="BL284" s="190"/>
      <c r="BM284" s="190"/>
      <c r="BN284" s="190"/>
      <c r="BO284" s="190"/>
      <c r="TU284" s="178"/>
      <c r="TV284" s="178"/>
    </row>
    <row r="285" spans="1:542" s="195" customFormat="1" ht="30" x14ac:dyDescent="0.25">
      <c r="A285" s="96" t="s">
        <v>204</v>
      </c>
      <c r="B285" s="158" t="str">
        <f t="shared" si="13"/>
        <v>[none/list]</v>
      </c>
      <c r="C285" s="159"/>
      <c r="D285" s="155"/>
      <c r="E285" s="190"/>
      <c r="F285" s="190"/>
      <c r="G285" s="190"/>
      <c r="H285" s="190"/>
      <c r="I285" s="190"/>
      <c r="J285" s="190"/>
      <c r="K285" s="190"/>
      <c r="L285" s="190"/>
      <c r="M285" s="190"/>
      <c r="N285" s="190"/>
      <c r="O285" s="190"/>
      <c r="P285" s="190"/>
      <c r="Q285" s="190"/>
      <c r="R285" s="190"/>
      <c r="S285" s="190"/>
      <c r="T285" s="190"/>
      <c r="U285" s="190"/>
      <c r="V285" s="190"/>
      <c r="W285" s="190"/>
      <c r="X285" s="190"/>
      <c r="Y285" s="190"/>
      <c r="Z285" s="190"/>
      <c r="AA285" s="190"/>
      <c r="AB285" s="190"/>
      <c r="AC285" s="190"/>
      <c r="AD285" s="190"/>
      <c r="AE285" s="190"/>
      <c r="AF285" s="190"/>
      <c r="AG285" s="190"/>
      <c r="AH285" s="190"/>
      <c r="AI285" s="190"/>
      <c r="AJ285" s="190"/>
      <c r="AK285" s="190"/>
      <c r="AL285" s="190"/>
      <c r="AM285" s="190"/>
      <c r="AN285" s="190"/>
      <c r="AO285" s="190"/>
      <c r="AP285" s="190"/>
      <c r="AQ285" s="190"/>
      <c r="AR285" s="190"/>
      <c r="AS285" s="190"/>
      <c r="AT285" s="190"/>
      <c r="AU285" s="190"/>
      <c r="AV285" s="190"/>
      <c r="AW285" s="190"/>
      <c r="AX285" s="190"/>
      <c r="AY285" s="190"/>
      <c r="AZ285" s="190"/>
      <c r="BA285" s="190"/>
      <c r="BB285" s="190"/>
      <c r="BC285" s="190"/>
      <c r="BD285" s="190"/>
      <c r="BE285" s="190"/>
      <c r="BF285" s="190"/>
      <c r="BG285" s="190"/>
      <c r="BH285" s="190"/>
      <c r="BI285" s="190"/>
      <c r="BJ285" s="190"/>
      <c r="BK285" s="190"/>
      <c r="BL285" s="190"/>
      <c r="BM285" s="190"/>
      <c r="BN285" s="190"/>
      <c r="BO285" s="190"/>
      <c r="BP285" s="187"/>
      <c r="BQ285" s="187"/>
      <c r="BR285" s="187"/>
      <c r="BS285" s="187"/>
      <c r="BT285" s="187"/>
      <c r="BU285" s="187"/>
      <c r="BV285" s="187"/>
      <c r="BW285" s="187"/>
      <c r="BX285" s="187"/>
      <c r="BY285" s="187"/>
      <c r="BZ285" s="187"/>
      <c r="CA285" s="187"/>
      <c r="CB285" s="187"/>
      <c r="CC285" s="187"/>
      <c r="CD285" s="187"/>
      <c r="CE285" s="187"/>
      <c r="CF285" s="187"/>
      <c r="CG285" s="187"/>
      <c r="CH285" s="187"/>
      <c r="CI285" s="187"/>
      <c r="CJ285" s="187"/>
      <c r="CK285" s="187"/>
      <c r="CL285" s="187"/>
      <c r="CM285" s="187"/>
      <c r="CN285" s="187"/>
      <c r="CO285" s="187"/>
      <c r="CP285" s="187"/>
      <c r="CQ285" s="187"/>
      <c r="CR285" s="187"/>
      <c r="CS285" s="187"/>
      <c r="CT285" s="187"/>
      <c r="CU285" s="187"/>
      <c r="CV285" s="187"/>
      <c r="CW285" s="187"/>
      <c r="CX285" s="187"/>
      <c r="CY285" s="187"/>
      <c r="CZ285" s="187"/>
      <c r="DA285" s="187"/>
      <c r="DB285" s="187"/>
      <c r="DC285" s="187"/>
      <c r="DD285" s="187"/>
      <c r="DE285" s="187"/>
      <c r="DF285" s="187"/>
      <c r="DG285" s="187"/>
      <c r="DH285" s="187"/>
      <c r="DI285" s="187"/>
      <c r="DJ285" s="187"/>
      <c r="DK285" s="187"/>
      <c r="DL285" s="187"/>
      <c r="DM285" s="187"/>
      <c r="DN285" s="187"/>
      <c r="DO285" s="187"/>
      <c r="DP285" s="187"/>
      <c r="DQ285" s="187"/>
      <c r="DR285" s="187"/>
      <c r="DS285" s="187"/>
      <c r="DT285" s="187"/>
      <c r="DU285" s="187"/>
      <c r="DV285" s="187"/>
      <c r="DW285" s="187"/>
      <c r="DX285" s="187"/>
      <c r="DY285" s="187"/>
      <c r="DZ285" s="187"/>
      <c r="EA285" s="187"/>
      <c r="EB285" s="187"/>
      <c r="EC285" s="187"/>
      <c r="ED285" s="187"/>
      <c r="EE285" s="187"/>
      <c r="EF285" s="187"/>
      <c r="EG285" s="187"/>
      <c r="EH285" s="187"/>
      <c r="EI285" s="187"/>
      <c r="EJ285" s="187"/>
      <c r="EK285" s="187"/>
      <c r="EL285" s="187"/>
      <c r="EM285" s="187"/>
      <c r="EN285" s="187"/>
      <c r="EO285" s="187"/>
      <c r="EP285" s="187"/>
      <c r="EQ285" s="187"/>
      <c r="ER285" s="187"/>
      <c r="ES285" s="187"/>
      <c r="ET285" s="187"/>
      <c r="EU285" s="187"/>
      <c r="EV285" s="187"/>
      <c r="EW285" s="187"/>
      <c r="EX285" s="187"/>
      <c r="EY285" s="187"/>
      <c r="EZ285" s="187"/>
      <c r="FA285" s="187"/>
      <c r="FB285" s="187"/>
      <c r="FC285" s="187"/>
      <c r="FD285" s="187"/>
      <c r="FE285" s="187"/>
      <c r="FF285" s="187"/>
      <c r="FG285" s="187"/>
      <c r="FH285" s="187"/>
      <c r="FI285" s="187"/>
      <c r="FJ285" s="187"/>
      <c r="FK285" s="187"/>
      <c r="FL285" s="187"/>
      <c r="FM285" s="187"/>
      <c r="FN285" s="187"/>
      <c r="FO285" s="187"/>
      <c r="FP285" s="187"/>
      <c r="FQ285" s="187"/>
      <c r="FR285" s="187"/>
      <c r="FS285" s="187"/>
      <c r="FT285" s="187"/>
      <c r="FU285" s="187"/>
      <c r="FV285" s="187"/>
      <c r="FW285" s="187"/>
      <c r="FX285" s="187"/>
      <c r="FY285" s="187"/>
      <c r="FZ285" s="187"/>
      <c r="GA285" s="187"/>
      <c r="GB285" s="187"/>
      <c r="GC285" s="187"/>
      <c r="GD285" s="187"/>
      <c r="GE285" s="187"/>
      <c r="GF285" s="187"/>
      <c r="GG285" s="187"/>
      <c r="GH285" s="187"/>
      <c r="GI285" s="187"/>
      <c r="GJ285" s="187"/>
      <c r="GK285" s="187"/>
      <c r="GL285" s="187"/>
      <c r="GM285" s="187"/>
      <c r="GN285" s="187"/>
      <c r="GO285" s="187"/>
      <c r="GP285" s="187"/>
      <c r="GQ285" s="187"/>
      <c r="GR285" s="187"/>
      <c r="GS285" s="187"/>
      <c r="GT285" s="187"/>
      <c r="GU285" s="187"/>
      <c r="GV285" s="187"/>
      <c r="GW285" s="187"/>
      <c r="GX285" s="187"/>
      <c r="GY285" s="187"/>
      <c r="GZ285" s="187"/>
      <c r="HA285" s="187"/>
      <c r="HB285" s="187"/>
      <c r="HC285" s="187"/>
      <c r="HD285" s="187"/>
      <c r="HE285" s="187"/>
      <c r="HF285" s="187"/>
      <c r="HG285" s="187"/>
      <c r="HH285" s="187"/>
      <c r="HI285" s="187"/>
      <c r="HJ285" s="187"/>
      <c r="HK285" s="187"/>
      <c r="HL285" s="187"/>
      <c r="HM285" s="187"/>
      <c r="HN285" s="187"/>
      <c r="HO285" s="187"/>
      <c r="HP285" s="187"/>
      <c r="HQ285" s="187"/>
      <c r="HR285" s="187"/>
      <c r="HS285" s="187"/>
      <c r="HT285" s="187"/>
      <c r="HU285" s="187"/>
      <c r="HV285" s="187"/>
      <c r="HW285" s="187"/>
      <c r="HX285" s="187"/>
      <c r="HY285" s="187"/>
      <c r="HZ285" s="187"/>
      <c r="IA285" s="187"/>
      <c r="IB285" s="187"/>
      <c r="IC285" s="187"/>
      <c r="ID285" s="187"/>
      <c r="IE285" s="187"/>
      <c r="IF285" s="187"/>
      <c r="IG285" s="187"/>
      <c r="IH285" s="187"/>
      <c r="II285" s="187"/>
      <c r="IJ285" s="187"/>
      <c r="IK285" s="187"/>
      <c r="IL285" s="187"/>
      <c r="IM285" s="187"/>
      <c r="IN285" s="187"/>
      <c r="IO285" s="187"/>
      <c r="IP285" s="187"/>
      <c r="IQ285" s="187"/>
      <c r="IR285" s="187"/>
      <c r="IS285" s="187"/>
      <c r="IT285" s="187"/>
      <c r="IU285" s="187"/>
      <c r="IV285" s="187"/>
      <c r="IW285" s="187"/>
      <c r="IX285" s="187"/>
      <c r="IY285" s="187"/>
      <c r="IZ285" s="187"/>
      <c r="JA285" s="187"/>
      <c r="JB285" s="187"/>
      <c r="JC285" s="187"/>
      <c r="JD285" s="187"/>
      <c r="JE285" s="187"/>
      <c r="JF285" s="187"/>
      <c r="JG285" s="187"/>
      <c r="JH285" s="187"/>
      <c r="JI285" s="187"/>
      <c r="JJ285" s="187"/>
      <c r="JK285" s="187"/>
      <c r="JL285" s="187"/>
      <c r="JM285" s="187"/>
      <c r="JN285" s="187"/>
      <c r="JO285" s="187"/>
      <c r="JP285" s="187"/>
      <c r="JQ285" s="187"/>
      <c r="JR285" s="187"/>
      <c r="JS285" s="187"/>
      <c r="JT285" s="187"/>
      <c r="JU285" s="187"/>
      <c r="JV285" s="187"/>
      <c r="JW285" s="187"/>
      <c r="JX285" s="187"/>
      <c r="JY285" s="187"/>
      <c r="JZ285" s="187"/>
      <c r="KA285" s="187"/>
      <c r="KB285" s="187"/>
      <c r="KC285" s="187"/>
      <c r="KD285" s="187"/>
      <c r="KE285" s="187"/>
      <c r="KF285" s="187"/>
      <c r="KG285" s="187"/>
      <c r="KH285" s="187"/>
      <c r="KI285" s="187"/>
      <c r="KJ285" s="187"/>
      <c r="KK285" s="187"/>
      <c r="KL285" s="187"/>
      <c r="KM285" s="187"/>
      <c r="KN285" s="187"/>
      <c r="KO285" s="187"/>
      <c r="KP285" s="187"/>
      <c r="KQ285" s="187"/>
      <c r="KR285" s="187"/>
      <c r="KS285" s="187"/>
      <c r="KT285" s="187"/>
      <c r="KU285" s="187"/>
      <c r="KV285" s="187"/>
      <c r="KW285" s="187"/>
      <c r="KX285" s="187"/>
      <c r="KY285" s="187"/>
      <c r="KZ285" s="187"/>
      <c r="LA285" s="187"/>
      <c r="LB285" s="187"/>
      <c r="LC285" s="187"/>
      <c r="LD285" s="187"/>
      <c r="LE285" s="187"/>
      <c r="LF285" s="187"/>
      <c r="LG285" s="187"/>
      <c r="LH285" s="187"/>
      <c r="LI285" s="187"/>
      <c r="LJ285" s="187"/>
      <c r="LK285" s="187"/>
      <c r="LL285" s="187"/>
      <c r="LM285" s="187"/>
      <c r="LN285" s="187"/>
      <c r="LO285" s="187"/>
      <c r="LP285" s="187"/>
      <c r="LQ285" s="187"/>
      <c r="LR285" s="187"/>
      <c r="LS285" s="187"/>
      <c r="LT285" s="187"/>
      <c r="LU285" s="187"/>
      <c r="LV285" s="187"/>
      <c r="LW285" s="187"/>
      <c r="LX285" s="187"/>
      <c r="LY285" s="187"/>
      <c r="LZ285" s="187"/>
      <c r="MA285" s="187"/>
      <c r="MB285" s="187"/>
      <c r="MC285" s="187"/>
      <c r="MD285" s="187"/>
      <c r="ME285" s="187"/>
      <c r="MF285" s="187"/>
      <c r="MG285" s="187"/>
      <c r="MH285" s="187"/>
      <c r="MI285" s="187"/>
      <c r="MJ285" s="187"/>
      <c r="MK285" s="187"/>
      <c r="ML285" s="187"/>
      <c r="MM285" s="187"/>
      <c r="MN285" s="187"/>
      <c r="MO285" s="187"/>
      <c r="MP285" s="187"/>
      <c r="MQ285" s="187"/>
      <c r="MR285" s="187"/>
      <c r="MS285" s="187"/>
      <c r="MT285" s="187"/>
      <c r="MU285" s="187"/>
      <c r="MV285" s="187"/>
      <c r="MW285" s="187"/>
      <c r="MX285" s="187"/>
      <c r="MY285" s="187"/>
      <c r="MZ285" s="187"/>
      <c r="NA285" s="187"/>
      <c r="NB285" s="187"/>
      <c r="NC285" s="187"/>
      <c r="ND285" s="187"/>
      <c r="NE285" s="187"/>
      <c r="NF285" s="187"/>
      <c r="NG285" s="187"/>
      <c r="NH285" s="187"/>
      <c r="NI285" s="187"/>
      <c r="NJ285" s="187"/>
      <c r="NK285" s="187"/>
      <c r="NL285" s="187"/>
      <c r="NM285" s="187"/>
      <c r="NN285" s="187"/>
      <c r="NO285" s="187"/>
      <c r="NP285" s="187"/>
      <c r="NQ285" s="187"/>
      <c r="NR285" s="187"/>
      <c r="NS285" s="187"/>
      <c r="NT285" s="187"/>
      <c r="NU285" s="187"/>
      <c r="NV285" s="187"/>
      <c r="NW285" s="187"/>
      <c r="NX285" s="187"/>
      <c r="NY285" s="187"/>
      <c r="NZ285" s="187"/>
      <c r="OA285" s="187"/>
      <c r="OB285" s="187"/>
      <c r="OC285" s="187"/>
      <c r="OD285" s="187"/>
      <c r="OE285" s="187"/>
      <c r="OF285" s="187"/>
      <c r="OG285" s="187"/>
      <c r="OH285" s="187"/>
      <c r="OI285" s="187"/>
      <c r="OJ285" s="187"/>
      <c r="OK285" s="187"/>
      <c r="OL285" s="187"/>
      <c r="OM285" s="187"/>
      <c r="ON285" s="187"/>
      <c r="OO285" s="187"/>
      <c r="OP285" s="187"/>
      <c r="OQ285" s="187"/>
      <c r="OR285" s="187"/>
      <c r="OS285" s="187"/>
      <c r="OT285" s="187"/>
      <c r="OU285" s="187"/>
      <c r="OV285" s="187"/>
      <c r="OW285" s="187"/>
      <c r="OX285" s="187"/>
      <c r="OY285" s="187"/>
      <c r="OZ285" s="187"/>
      <c r="PA285" s="187"/>
      <c r="PB285" s="187"/>
      <c r="PC285" s="187"/>
      <c r="PD285" s="187"/>
      <c r="PE285" s="187"/>
      <c r="PF285" s="187"/>
      <c r="PG285" s="187"/>
      <c r="PH285" s="187"/>
      <c r="PI285" s="187"/>
      <c r="PJ285" s="187"/>
      <c r="PK285" s="187"/>
      <c r="PL285" s="187"/>
      <c r="PM285" s="187"/>
      <c r="PN285" s="187"/>
      <c r="PO285" s="187"/>
      <c r="PP285" s="187"/>
      <c r="PQ285" s="187"/>
      <c r="PR285" s="187"/>
      <c r="PS285" s="187"/>
      <c r="PT285" s="187"/>
      <c r="PU285" s="187"/>
      <c r="PV285" s="187"/>
      <c r="PW285" s="187"/>
      <c r="PX285" s="187"/>
      <c r="PY285" s="187"/>
      <c r="PZ285" s="187"/>
      <c r="QA285" s="187"/>
      <c r="QB285" s="187"/>
      <c r="QC285" s="187"/>
      <c r="QD285" s="187"/>
      <c r="QE285" s="187"/>
      <c r="QF285" s="187"/>
      <c r="QG285" s="187"/>
      <c r="QH285" s="187"/>
      <c r="QI285" s="187"/>
      <c r="QJ285" s="187"/>
      <c r="QK285" s="187"/>
      <c r="QL285" s="187"/>
      <c r="QM285" s="187"/>
      <c r="QN285" s="187"/>
      <c r="QO285" s="187"/>
      <c r="QP285" s="187"/>
      <c r="QQ285" s="187"/>
      <c r="QR285" s="187"/>
      <c r="QS285" s="187"/>
      <c r="QT285" s="187"/>
      <c r="QU285" s="187"/>
      <c r="QV285" s="187"/>
      <c r="QW285" s="187"/>
      <c r="QX285" s="187"/>
      <c r="QY285" s="187"/>
      <c r="QZ285" s="187"/>
      <c r="RA285" s="187"/>
      <c r="RB285" s="187"/>
      <c r="RC285" s="187"/>
      <c r="RD285" s="187"/>
      <c r="RE285" s="187"/>
      <c r="RF285" s="187"/>
      <c r="RG285" s="187"/>
      <c r="RH285" s="187"/>
      <c r="RI285" s="187"/>
      <c r="RJ285" s="187"/>
      <c r="RK285" s="187"/>
      <c r="RL285" s="187"/>
      <c r="RM285" s="187"/>
      <c r="RN285" s="187"/>
      <c r="RO285" s="187"/>
      <c r="RP285" s="187"/>
      <c r="RQ285" s="187"/>
      <c r="RR285" s="187"/>
      <c r="RS285" s="187"/>
      <c r="RT285" s="187"/>
      <c r="RU285" s="187"/>
      <c r="RV285" s="187"/>
      <c r="RW285" s="187"/>
      <c r="RX285" s="187"/>
      <c r="RY285" s="187"/>
      <c r="RZ285" s="187"/>
      <c r="SA285" s="187"/>
      <c r="SB285" s="187"/>
      <c r="SC285" s="187"/>
      <c r="SD285" s="187"/>
      <c r="SE285" s="187"/>
      <c r="SF285" s="187"/>
      <c r="SG285" s="187"/>
      <c r="SH285" s="187"/>
      <c r="SI285" s="187"/>
      <c r="SJ285" s="187"/>
      <c r="SK285" s="187"/>
      <c r="SL285" s="187"/>
      <c r="SM285" s="187"/>
      <c r="SN285" s="187"/>
      <c r="SO285" s="187"/>
      <c r="SP285" s="187"/>
      <c r="SQ285" s="187"/>
      <c r="SR285" s="187"/>
      <c r="SS285" s="187"/>
      <c r="ST285" s="187"/>
      <c r="SU285" s="187"/>
      <c r="SV285" s="187"/>
      <c r="SW285" s="187"/>
      <c r="SX285" s="187"/>
      <c r="SY285" s="187"/>
      <c r="SZ285" s="187"/>
      <c r="TA285" s="187"/>
      <c r="TB285" s="187"/>
      <c r="TC285" s="187"/>
      <c r="TD285" s="187"/>
      <c r="TE285" s="187"/>
      <c r="TF285" s="187"/>
      <c r="TG285" s="187"/>
      <c r="TH285" s="187"/>
      <c r="TI285" s="187"/>
      <c r="TJ285" s="187"/>
      <c r="TK285" s="187"/>
      <c r="TL285" s="187"/>
      <c r="TM285" s="187"/>
      <c r="TN285" s="187"/>
      <c r="TO285" s="187"/>
      <c r="TP285" s="187"/>
      <c r="TQ285" s="187"/>
      <c r="TR285" s="187"/>
      <c r="TS285" s="187"/>
      <c r="TT285" s="187"/>
      <c r="TU285" s="187"/>
      <c r="TV285" s="187"/>
    </row>
    <row r="286" spans="1:542" x14ac:dyDescent="0.25">
      <c r="A286" s="96" t="s">
        <v>205</v>
      </c>
      <c r="B286" s="158" t="str">
        <f t="shared" ref="B286:B290" si="14">"[yes/no]"</f>
        <v>[yes/no]</v>
      </c>
      <c r="C286" s="159"/>
      <c r="D286" s="155"/>
      <c r="E286" s="190"/>
      <c r="F286" s="190"/>
      <c r="G286" s="190"/>
      <c r="H286" s="190"/>
      <c r="I286" s="190"/>
      <c r="J286" s="190"/>
      <c r="K286" s="190"/>
      <c r="L286" s="190"/>
      <c r="M286" s="190"/>
      <c r="N286" s="190"/>
      <c r="O286" s="190"/>
      <c r="P286" s="190"/>
      <c r="Q286" s="190"/>
      <c r="R286" s="190"/>
      <c r="S286" s="190"/>
      <c r="T286" s="190"/>
      <c r="U286" s="190"/>
      <c r="V286" s="190"/>
      <c r="W286" s="190"/>
      <c r="X286" s="190"/>
      <c r="Y286" s="190"/>
      <c r="Z286" s="190"/>
      <c r="AA286" s="190"/>
      <c r="AB286" s="190"/>
      <c r="AC286" s="190"/>
      <c r="AD286" s="190"/>
      <c r="AE286" s="190"/>
      <c r="AF286" s="190"/>
      <c r="AG286" s="190"/>
      <c r="AH286" s="190"/>
      <c r="AI286" s="190"/>
      <c r="AJ286" s="190"/>
      <c r="AK286" s="190"/>
      <c r="AL286" s="190"/>
      <c r="AM286" s="190"/>
      <c r="AN286" s="190"/>
      <c r="AO286" s="190"/>
      <c r="AP286" s="190"/>
      <c r="AQ286" s="190"/>
      <c r="AR286" s="190"/>
      <c r="AS286" s="190"/>
      <c r="AT286" s="190"/>
      <c r="AU286" s="190"/>
      <c r="AV286" s="190"/>
      <c r="AW286" s="190"/>
      <c r="AX286" s="190"/>
      <c r="AY286" s="190"/>
      <c r="AZ286" s="190"/>
      <c r="BA286" s="190"/>
      <c r="BB286" s="190"/>
      <c r="BC286" s="190"/>
      <c r="BD286" s="190"/>
      <c r="BE286" s="190"/>
      <c r="BF286" s="190"/>
      <c r="BG286" s="190"/>
      <c r="BH286" s="190"/>
      <c r="BI286" s="190"/>
      <c r="BJ286" s="190"/>
      <c r="BK286" s="190"/>
      <c r="BL286" s="190"/>
      <c r="BM286" s="190"/>
      <c r="BN286" s="190"/>
      <c r="BO286" s="190"/>
      <c r="TU286" s="178"/>
      <c r="TV286" s="178"/>
    </row>
    <row r="287" spans="1:542" x14ac:dyDescent="0.25">
      <c r="A287" s="96" t="s">
        <v>206</v>
      </c>
      <c r="B287" s="158" t="str">
        <f t="shared" si="14"/>
        <v>[yes/no]</v>
      </c>
      <c r="C287" s="159"/>
      <c r="D287" s="155"/>
      <c r="E287" s="190"/>
      <c r="F287" s="190"/>
      <c r="G287" s="190"/>
      <c r="H287" s="190"/>
      <c r="I287" s="190"/>
      <c r="J287" s="190"/>
      <c r="K287" s="190"/>
      <c r="L287" s="190"/>
      <c r="M287" s="190"/>
      <c r="N287" s="190"/>
      <c r="O287" s="190"/>
      <c r="P287" s="190"/>
      <c r="Q287" s="190"/>
      <c r="R287" s="190"/>
      <c r="S287" s="190"/>
      <c r="T287" s="190"/>
      <c r="U287" s="190"/>
      <c r="V287" s="190"/>
      <c r="W287" s="190"/>
      <c r="X287" s="190"/>
      <c r="Y287" s="190"/>
      <c r="Z287" s="190"/>
      <c r="AA287" s="190"/>
      <c r="AB287" s="190"/>
      <c r="AC287" s="190"/>
      <c r="AD287" s="190"/>
      <c r="AE287" s="190"/>
      <c r="AF287" s="190"/>
      <c r="AG287" s="190"/>
      <c r="AH287" s="190"/>
      <c r="AI287" s="190"/>
      <c r="AJ287" s="190"/>
      <c r="AK287" s="190"/>
      <c r="AL287" s="190"/>
      <c r="AM287" s="190"/>
      <c r="AN287" s="190"/>
      <c r="AO287" s="190"/>
      <c r="AP287" s="190"/>
      <c r="AQ287" s="190"/>
      <c r="AR287" s="190"/>
      <c r="AS287" s="190"/>
      <c r="AT287" s="190"/>
      <c r="AU287" s="190"/>
      <c r="AV287" s="190"/>
      <c r="AW287" s="190"/>
      <c r="AX287" s="190"/>
      <c r="AY287" s="190"/>
      <c r="AZ287" s="190"/>
      <c r="BA287" s="190"/>
      <c r="BB287" s="190"/>
      <c r="BC287" s="190"/>
      <c r="BD287" s="190"/>
      <c r="BE287" s="190"/>
      <c r="BF287" s="190"/>
      <c r="BG287" s="190"/>
      <c r="BH287" s="190"/>
      <c r="BI287" s="190"/>
      <c r="BJ287" s="190"/>
      <c r="BK287" s="190"/>
      <c r="BL287" s="190"/>
      <c r="BM287" s="190"/>
      <c r="BN287" s="190"/>
      <c r="BO287" s="190"/>
      <c r="TU287" s="178"/>
      <c r="TV287" s="178"/>
    </row>
    <row r="288" spans="1:542" x14ac:dyDescent="0.25">
      <c r="A288" s="96" t="s">
        <v>207</v>
      </c>
      <c r="B288" s="158" t="str">
        <f t="shared" si="14"/>
        <v>[yes/no]</v>
      </c>
      <c r="C288" s="159"/>
      <c r="D288" s="155"/>
      <c r="E288" s="190"/>
      <c r="F288" s="190"/>
      <c r="G288" s="190"/>
      <c r="H288" s="190"/>
      <c r="I288" s="190"/>
      <c r="J288" s="190"/>
      <c r="K288" s="190"/>
      <c r="L288" s="190"/>
      <c r="M288" s="190"/>
      <c r="N288" s="190"/>
      <c r="O288" s="190"/>
      <c r="P288" s="190"/>
      <c r="Q288" s="190"/>
      <c r="R288" s="190"/>
      <c r="S288" s="190"/>
      <c r="T288" s="190"/>
      <c r="U288" s="190"/>
      <c r="V288" s="190"/>
      <c r="W288" s="190"/>
      <c r="X288" s="190"/>
      <c r="Y288" s="190"/>
      <c r="Z288" s="190"/>
      <c r="AA288" s="190"/>
      <c r="AB288" s="190"/>
      <c r="AC288" s="190"/>
      <c r="AD288" s="190"/>
      <c r="AE288" s="190"/>
      <c r="AF288" s="190"/>
      <c r="AG288" s="190"/>
      <c r="AH288" s="190"/>
      <c r="AI288" s="190"/>
      <c r="AJ288" s="190"/>
      <c r="AK288" s="190"/>
      <c r="AL288" s="190"/>
      <c r="AM288" s="190"/>
      <c r="AN288" s="190"/>
      <c r="AO288" s="190"/>
      <c r="AP288" s="190"/>
      <c r="AQ288" s="190"/>
      <c r="AR288" s="190"/>
      <c r="AS288" s="190"/>
      <c r="AT288" s="190"/>
      <c r="AU288" s="190"/>
      <c r="AV288" s="190"/>
      <c r="AW288" s="190"/>
      <c r="AX288" s="190"/>
      <c r="AY288" s="190"/>
      <c r="AZ288" s="190"/>
      <c r="BA288" s="190"/>
      <c r="BB288" s="190"/>
      <c r="BC288" s="190"/>
      <c r="BD288" s="190"/>
      <c r="BE288" s="190"/>
      <c r="BF288" s="190"/>
      <c r="BG288" s="190"/>
      <c r="BH288" s="190"/>
      <c r="BI288" s="190"/>
      <c r="BJ288" s="190"/>
      <c r="BK288" s="190"/>
      <c r="BL288" s="190"/>
      <c r="BM288" s="190"/>
      <c r="BN288" s="190"/>
      <c r="BO288" s="190"/>
      <c r="TU288" s="178"/>
      <c r="TV288" s="178"/>
    </row>
    <row r="289" spans="1:542" x14ac:dyDescent="0.25">
      <c r="A289" s="96" t="s">
        <v>208</v>
      </c>
      <c r="B289" s="158" t="str">
        <f t="shared" ref="B289" si="15">"[none/list]"</f>
        <v>[none/list]</v>
      </c>
      <c r="C289" s="159"/>
      <c r="D289" s="155"/>
      <c r="E289" s="190"/>
      <c r="F289" s="190"/>
      <c r="G289" s="190"/>
      <c r="H289" s="190"/>
      <c r="I289" s="190"/>
      <c r="J289" s="190"/>
      <c r="K289" s="190"/>
      <c r="L289" s="190"/>
      <c r="M289" s="190"/>
      <c r="N289" s="190"/>
      <c r="O289" s="190"/>
      <c r="P289" s="190"/>
      <c r="Q289" s="190"/>
      <c r="R289" s="190"/>
      <c r="S289" s="190"/>
      <c r="T289" s="190"/>
      <c r="U289" s="190"/>
      <c r="V289" s="190"/>
      <c r="W289" s="190"/>
      <c r="X289" s="190"/>
      <c r="Y289" s="190"/>
      <c r="Z289" s="190"/>
      <c r="AA289" s="190"/>
      <c r="AB289" s="190"/>
      <c r="AC289" s="190"/>
      <c r="AD289" s="190"/>
      <c r="AE289" s="190"/>
      <c r="AF289" s="190"/>
      <c r="AG289" s="190"/>
      <c r="AH289" s="190"/>
      <c r="AI289" s="190"/>
      <c r="AJ289" s="190"/>
      <c r="AK289" s="190"/>
      <c r="AL289" s="190"/>
      <c r="AM289" s="190"/>
      <c r="AN289" s="190"/>
      <c r="AO289" s="190"/>
      <c r="AP289" s="190"/>
      <c r="AQ289" s="190"/>
      <c r="AR289" s="190"/>
      <c r="AS289" s="190"/>
      <c r="AT289" s="190"/>
      <c r="AU289" s="190"/>
      <c r="AV289" s="190"/>
      <c r="AW289" s="190"/>
      <c r="AX289" s="190"/>
      <c r="AY289" s="190"/>
      <c r="AZ289" s="190"/>
      <c r="BA289" s="190"/>
      <c r="BB289" s="190"/>
      <c r="BC289" s="190"/>
      <c r="BD289" s="190"/>
      <c r="BE289" s="190"/>
      <c r="BF289" s="190"/>
      <c r="BG289" s="190"/>
      <c r="BH289" s="190"/>
      <c r="BI289" s="190"/>
      <c r="BJ289" s="190"/>
      <c r="BK289" s="190"/>
      <c r="BL289" s="190"/>
      <c r="BM289" s="190"/>
      <c r="BN289" s="190"/>
      <c r="BO289" s="190"/>
      <c r="TU289" s="178"/>
      <c r="TV289" s="178"/>
    </row>
    <row r="290" spans="1:542" x14ac:dyDescent="0.25">
      <c r="A290" s="96" t="s">
        <v>209</v>
      </c>
      <c r="B290" s="158" t="str">
        <f t="shared" si="14"/>
        <v>[yes/no]</v>
      </c>
      <c r="C290" s="159"/>
      <c r="D290" s="155"/>
      <c r="E290" s="190"/>
      <c r="F290" s="190"/>
      <c r="G290" s="190"/>
      <c r="H290" s="190"/>
      <c r="I290" s="190"/>
      <c r="J290" s="190"/>
      <c r="K290" s="190"/>
      <c r="L290" s="190"/>
      <c r="M290" s="190"/>
      <c r="N290" s="190"/>
      <c r="O290" s="190"/>
      <c r="P290" s="190"/>
      <c r="Q290" s="190"/>
      <c r="R290" s="190"/>
      <c r="S290" s="190"/>
      <c r="T290" s="190"/>
      <c r="U290" s="190"/>
      <c r="V290" s="190"/>
      <c r="W290" s="190"/>
      <c r="X290" s="190"/>
      <c r="Y290" s="190"/>
      <c r="Z290" s="190"/>
      <c r="AA290" s="190"/>
      <c r="AB290" s="190"/>
      <c r="AC290" s="190"/>
      <c r="AD290" s="190"/>
      <c r="AE290" s="190"/>
      <c r="AF290" s="190"/>
      <c r="AG290" s="190"/>
      <c r="AH290" s="190"/>
      <c r="AI290" s="190"/>
      <c r="AJ290" s="190"/>
      <c r="AK290" s="190"/>
      <c r="AL290" s="190"/>
      <c r="AM290" s="190"/>
      <c r="AN290" s="190"/>
      <c r="AO290" s="190"/>
      <c r="AP290" s="190"/>
      <c r="AQ290" s="190"/>
      <c r="AR290" s="190"/>
      <c r="AS290" s="190"/>
      <c r="AT290" s="190"/>
      <c r="AU290" s="190"/>
      <c r="AV290" s="190"/>
      <c r="AW290" s="190"/>
      <c r="AX290" s="190"/>
      <c r="AY290" s="190"/>
      <c r="AZ290" s="190"/>
      <c r="BA290" s="190"/>
      <c r="BB290" s="190"/>
      <c r="BC290" s="190"/>
      <c r="BD290" s="190"/>
      <c r="BE290" s="190"/>
      <c r="BF290" s="190"/>
      <c r="BG290" s="190"/>
      <c r="BH290" s="190"/>
      <c r="BI290" s="190"/>
      <c r="BJ290" s="190"/>
      <c r="BK290" s="190"/>
      <c r="BL290" s="190"/>
      <c r="BM290" s="190"/>
      <c r="BN290" s="190"/>
      <c r="BO290" s="190"/>
      <c r="TU290" s="178"/>
      <c r="TV290" s="178"/>
    </row>
    <row r="291" spans="1:542" x14ac:dyDescent="0.25">
      <c r="A291" s="147" t="s">
        <v>331</v>
      </c>
      <c r="B291" s="119"/>
      <c r="C291" s="120"/>
      <c r="D291" s="155"/>
      <c r="E291" s="190"/>
      <c r="F291" s="190"/>
      <c r="G291" s="190"/>
      <c r="H291" s="190"/>
      <c r="I291" s="190"/>
      <c r="J291" s="190"/>
      <c r="K291" s="190"/>
      <c r="L291" s="190"/>
      <c r="M291" s="190"/>
      <c r="N291" s="190"/>
      <c r="O291" s="190"/>
      <c r="P291" s="190"/>
      <c r="Q291" s="190"/>
      <c r="R291" s="190"/>
      <c r="S291" s="190"/>
      <c r="T291" s="190"/>
      <c r="U291" s="190"/>
      <c r="V291" s="190"/>
      <c r="W291" s="190"/>
      <c r="X291" s="190"/>
      <c r="Y291" s="190"/>
      <c r="Z291" s="190"/>
      <c r="AA291" s="190"/>
      <c r="AB291" s="190"/>
      <c r="AC291" s="190"/>
      <c r="AD291" s="190"/>
      <c r="AE291" s="190"/>
      <c r="AF291" s="190"/>
      <c r="AG291" s="190"/>
      <c r="AH291" s="190"/>
      <c r="AI291" s="190"/>
      <c r="AJ291" s="190"/>
      <c r="AK291" s="190"/>
      <c r="AL291" s="190"/>
      <c r="AM291" s="190"/>
      <c r="AN291" s="190"/>
      <c r="AO291" s="190"/>
      <c r="AP291" s="190"/>
      <c r="AQ291" s="190"/>
      <c r="AR291" s="190"/>
      <c r="AS291" s="190"/>
      <c r="AT291" s="190"/>
      <c r="AU291" s="190"/>
      <c r="AV291" s="190"/>
      <c r="AW291" s="190"/>
      <c r="AX291" s="190"/>
      <c r="AY291" s="190"/>
      <c r="AZ291" s="190"/>
      <c r="BA291" s="190"/>
      <c r="BB291" s="190"/>
      <c r="BC291" s="190"/>
      <c r="BD291" s="190"/>
      <c r="BE291" s="190"/>
      <c r="BF291" s="190"/>
      <c r="BG291" s="190"/>
      <c r="BH291" s="190"/>
      <c r="BI291" s="190"/>
      <c r="BJ291" s="190"/>
      <c r="BK291" s="190"/>
      <c r="BL291" s="190"/>
      <c r="BM291" s="190"/>
      <c r="BN291" s="190"/>
      <c r="BO291" s="190"/>
      <c r="TU291" s="178"/>
      <c r="TV291" s="178"/>
    </row>
    <row r="292" spans="1:542" x14ac:dyDescent="0.25">
      <c r="A292" s="96" t="s">
        <v>332</v>
      </c>
      <c r="B292" s="158" t="str">
        <f t="shared" ref="B292:B294" si="16">"bar.g"</f>
        <v>bar.g</v>
      </c>
      <c r="C292" s="159"/>
      <c r="D292" s="155"/>
      <c r="E292" s="190"/>
      <c r="F292" s="190"/>
      <c r="G292" s="190"/>
      <c r="H292" s="190"/>
      <c r="I292" s="190"/>
      <c r="J292" s="190"/>
      <c r="K292" s="190"/>
      <c r="L292" s="190"/>
      <c r="M292" s="190"/>
      <c r="N292" s="190"/>
      <c r="O292" s="190"/>
      <c r="P292" s="190"/>
      <c r="Q292" s="190"/>
      <c r="R292" s="190"/>
      <c r="S292" s="190"/>
      <c r="T292" s="190"/>
      <c r="U292" s="190"/>
      <c r="V292" s="190"/>
      <c r="W292" s="190"/>
      <c r="X292" s="190"/>
      <c r="Y292" s="190"/>
      <c r="Z292" s="190"/>
      <c r="AA292" s="190"/>
      <c r="AB292" s="190"/>
      <c r="AC292" s="190"/>
      <c r="AD292" s="190"/>
      <c r="AE292" s="190"/>
      <c r="AF292" s="190"/>
      <c r="AG292" s="190"/>
      <c r="AH292" s="190"/>
      <c r="AI292" s="190"/>
      <c r="AJ292" s="190"/>
      <c r="AK292" s="190"/>
      <c r="AL292" s="190"/>
      <c r="AM292" s="190"/>
      <c r="AN292" s="190"/>
      <c r="AO292" s="190"/>
      <c r="AP292" s="190"/>
      <c r="AQ292" s="190"/>
      <c r="AR292" s="190"/>
      <c r="AS292" s="190"/>
      <c r="AT292" s="190"/>
      <c r="AU292" s="190"/>
      <c r="AV292" s="190"/>
      <c r="AW292" s="190"/>
      <c r="AX292" s="190"/>
      <c r="AY292" s="190"/>
      <c r="AZ292" s="190"/>
      <c r="BA292" s="190"/>
      <c r="BB292" s="190"/>
      <c r="BC292" s="190"/>
      <c r="BD292" s="190"/>
      <c r="BE292" s="190"/>
      <c r="BF292" s="190"/>
      <c r="BG292" s="190"/>
      <c r="BH292" s="190"/>
      <c r="BI292" s="190"/>
      <c r="BJ292" s="190"/>
      <c r="BK292" s="190"/>
      <c r="BL292" s="190"/>
      <c r="BM292" s="190"/>
      <c r="BN292" s="190"/>
      <c r="BO292" s="190"/>
      <c r="TU292" s="178"/>
      <c r="TV292" s="178"/>
    </row>
    <row r="293" spans="1:542" x14ac:dyDescent="0.25">
      <c r="A293" s="96" t="s">
        <v>333</v>
      </c>
      <c r="B293" s="158" t="str">
        <f t="shared" si="16"/>
        <v>bar.g</v>
      </c>
      <c r="C293" s="159"/>
      <c r="D293" s="155"/>
      <c r="E293" s="190"/>
      <c r="F293" s="190"/>
      <c r="G293" s="190"/>
      <c r="H293" s="190"/>
      <c r="I293" s="190"/>
      <c r="J293" s="190"/>
      <c r="K293" s="190"/>
      <c r="L293" s="190"/>
      <c r="M293" s="190"/>
      <c r="N293" s="190"/>
      <c r="O293" s="190"/>
      <c r="P293" s="190"/>
      <c r="Q293" s="190"/>
      <c r="R293" s="190"/>
      <c r="S293" s="190"/>
      <c r="T293" s="190"/>
      <c r="U293" s="190"/>
      <c r="V293" s="190"/>
      <c r="W293" s="190"/>
      <c r="X293" s="190"/>
      <c r="Y293" s="190"/>
      <c r="Z293" s="190"/>
      <c r="AA293" s="190"/>
      <c r="AB293" s="190"/>
      <c r="AC293" s="190"/>
      <c r="AD293" s="190"/>
      <c r="AE293" s="190"/>
      <c r="AF293" s="190"/>
      <c r="AG293" s="190"/>
      <c r="AH293" s="190"/>
      <c r="AI293" s="190"/>
      <c r="AJ293" s="190"/>
      <c r="AK293" s="190"/>
      <c r="AL293" s="190"/>
      <c r="AM293" s="190"/>
      <c r="AN293" s="190"/>
      <c r="AO293" s="190"/>
      <c r="AP293" s="190"/>
      <c r="AQ293" s="190"/>
      <c r="AR293" s="190"/>
      <c r="AS293" s="190"/>
      <c r="AT293" s="190"/>
      <c r="AU293" s="190"/>
      <c r="AV293" s="190"/>
      <c r="AW293" s="190"/>
      <c r="AX293" s="190"/>
      <c r="AY293" s="190"/>
      <c r="AZ293" s="190"/>
      <c r="BA293" s="190"/>
      <c r="BB293" s="190"/>
      <c r="BC293" s="190"/>
      <c r="BD293" s="190"/>
      <c r="BE293" s="190"/>
      <c r="BF293" s="190"/>
      <c r="BG293" s="190"/>
      <c r="BH293" s="190"/>
      <c r="BI293" s="190"/>
      <c r="BJ293" s="190"/>
      <c r="BK293" s="190"/>
      <c r="BL293" s="190"/>
      <c r="BM293" s="190"/>
      <c r="BN293" s="190"/>
      <c r="BO293" s="190"/>
      <c r="TU293" s="178"/>
      <c r="TV293" s="178"/>
    </row>
    <row r="294" spans="1:542" x14ac:dyDescent="0.25">
      <c r="A294" s="96" t="s">
        <v>334</v>
      </c>
      <c r="B294" s="158" t="str">
        <f t="shared" si="16"/>
        <v>bar.g</v>
      </c>
      <c r="C294" s="159"/>
      <c r="D294" s="155"/>
      <c r="E294" s="190"/>
      <c r="F294" s="190"/>
      <c r="G294" s="190"/>
      <c r="H294" s="190"/>
      <c r="I294" s="190"/>
      <c r="J294" s="190"/>
      <c r="K294" s="190"/>
      <c r="L294" s="190"/>
      <c r="M294" s="190"/>
      <c r="N294" s="190"/>
      <c r="O294" s="190"/>
      <c r="P294" s="190"/>
      <c r="Q294" s="190"/>
      <c r="R294" s="190"/>
      <c r="S294" s="190"/>
      <c r="T294" s="190"/>
      <c r="U294" s="190"/>
      <c r="V294" s="190"/>
      <c r="W294" s="190"/>
      <c r="X294" s="190"/>
      <c r="Y294" s="190"/>
      <c r="Z294" s="190"/>
      <c r="AA294" s="190"/>
      <c r="AB294" s="190"/>
      <c r="AC294" s="190"/>
      <c r="AD294" s="190"/>
      <c r="AE294" s="190"/>
      <c r="AF294" s="190"/>
      <c r="AG294" s="190"/>
      <c r="AH294" s="190"/>
      <c r="AI294" s="190"/>
      <c r="AJ294" s="190"/>
      <c r="AK294" s="190"/>
      <c r="AL294" s="190"/>
      <c r="AM294" s="190"/>
      <c r="AN294" s="190"/>
      <c r="AO294" s="190"/>
      <c r="AP294" s="190"/>
      <c r="AQ294" s="190"/>
      <c r="AR294" s="190"/>
      <c r="AS294" s="190"/>
      <c r="AT294" s="190"/>
      <c r="AU294" s="190"/>
      <c r="AV294" s="190"/>
      <c r="AW294" s="190"/>
      <c r="AX294" s="190"/>
      <c r="AY294" s="190"/>
      <c r="AZ294" s="190"/>
      <c r="BA294" s="190"/>
      <c r="BB294" s="190"/>
      <c r="BC294" s="190"/>
      <c r="BD294" s="190"/>
      <c r="BE294" s="190"/>
      <c r="BF294" s="190"/>
      <c r="BG294" s="190"/>
      <c r="BH294" s="190"/>
      <c r="BI294" s="190"/>
      <c r="BJ294" s="190"/>
      <c r="BK294" s="190"/>
      <c r="BL294" s="190"/>
      <c r="BM294" s="190"/>
      <c r="BN294" s="190"/>
      <c r="BO294" s="190"/>
      <c r="TU294" s="178"/>
      <c r="TV294" s="178"/>
    </row>
    <row r="295" spans="1:542" x14ac:dyDescent="0.25">
      <c r="A295" s="96" t="s">
        <v>335</v>
      </c>
      <c r="B295" s="158" t="str">
        <f t="shared" ref="B295:B297" si="17">"bar.g"</f>
        <v>bar.g</v>
      </c>
      <c r="C295" s="159"/>
      <c r="D295" s="155"/>
      <c r="E295" s="190"/>
      <c r="F295" s="190"/>
      <c r="G295" s="190"/>
      <c r="H295" s="190"/>
      <c r="I295" s="190"/>
      <c r="J295" s="190"/>
      <c r="K295" s="190"/>
      <c r="L295" s="190"/>
      <c r="M295" s="190"/>
      <c r="N295" s="190"/>
      <c r="O295" s="190"/>
      <c r="P295" s="190"/>
      <c r="Q295" s="190"/>
      <c r="R295" s="190"/>
      <c r="S295" s="190"/>
      <c r="T295" s="190"/>
      <c r="U295" s="190"/>
      <c r="V295" s="190"/>
      <c r="W295" s="190"/>
      <c r="X295" s="190"/>
      <c r="Y295" s="190"/>
      <c r="Z295" s="190"/>
      <c r="AA295" s="190"/>
      <c r="AB295" s="190"/>
      <c r="AC295" s="190"/>
      <c r="AD295" s="190"/>
      <c r="AE295" s="190"/>
      <c r="AF295" s="190"/>
      <c r="AG295" s="190"/>
      <c r="AH295" s="190"/>
      <c r="AI295" s="190"/>
      <c r="AJ295" s="190"/>
      <c r="AK295" s="190"/>
      <c r="AL295" s="190"/>
      <c r="AM295" s="190"/>
      <c r="AN295" s="190"/>
      <c r="AO295" s="190"/>
      <c r="AP295" s="190"/>
      <c r="AQ295" s="190"/>
      <c r="AR295" s="190"/>
      <c r="AS295" s="190"/>
      <c r="AT295" s="190"/>
      <c r="AU295" s="190"/>
      <c r="AV295" s="190"/>
      <c r="AW295" s="190"/>
      <c r="AX295" s="190"/>
      <c r="AY295" s="190"/>
      <c r="AZ295" s="190"/>
      <c r="BA295" s="190"/>
      <c r="BB295" s="190"/>
      <c r="BC295" s="190"/>
      <c r="BD295" s="190"/>
      <c r="BE295" s="190"/>
      <c r="BF295" s="190"/>
      <c r="BG295" s="190"/>
      <c r="BH295" s="190"/>
      <c r="BI295" s="190"/>
      <c r="BJ295" s="190"/>
      <c r="BK295" s="190"/>
      <c r="BL295" s="190"/>
      <c r="BM295" s="190"/>
      <c r="BN295" s="190"/>
      <c r="BO295" s="190"/>
      <c r="TU295" s="178"/>
      <c r="TV295" s="178"/>
    </row>
    <row r="296" spans="1:542" x14ac:dyDescent="0.25">
      <c r="A296" s="96" t="s">
        <v>336</v>
      </c>
      <c r="B296" s="158" t="str">
        <f t="shared" si="17"/>
        <v>bar.g</v>
      </c>
      <c r="C296" s="159"/>
      <c r="D296" s="155"/>
      <c r="E296" s="190"/>
      <c r="F296" s="190"/>
      <c r="G296" s="190"/>
      <c r="H296" s="190"/>
      <c r="I296" s="190"/>
      <c r="J296" s="190"/>
      <c r="K296" s="190"/>
      <c r="L296" s="190"/>
      <c r="M296" s="190"/>
      <c r="N296" s="190"/>
      <c r="O296" s="190"/>
      <c r="P296" s="190"/>
      <c r="Q296" s="190"/>
      <c r="R296" s="190"/>
      <c r="S296" s="190"/>
      <c r="T296" s="190"/>
      <c r="U296" s="190"/>
      <c r="V296" s="190"/>
      <c r="W296" s="190"/>
      <c r="X296" s="190"/>
      <c r="Y296" s="190"/>
      <c r="Z296" s="190"/>
      <c r="AA296" s="190"/>
      <c r="AB296" s="190"/>
      <c r="AC296" s="190"/>
      <c r="AD296" s="190"/>
      <c r="AE296" s="190"/>
      <c r="AF296" s="190"/>
      <c r="AG296" s="190"/>
      <c r="AH296" s="190"/>
      <c r="AI296" s="190"/>
      <c r="AJ296" s="190"/>
      <c r="AK296" s="190"/>
      <c r="AL296" s="190"/>
      <c r="AM296" s="190"/>
      <c r="AN296" s="190"/>
      <c r="AO296" s="190"/>
      <c r="AP296" s="190"/>
      <c r="AQ296" s="190"/>
      <c r="AR296" s="190"/>
      <c r="AS296" s="190"/>
      <c r="AT296" s="190"/>
      <c r="AU296" s="190"/>
      <c r="AV296" s="190"/>
      <c r="AW296" s="190"/>
      <c r="AX296" s="190"/>
      <c r="AY296" s="190"/>
      <c r="AZ296" s="190"/>
      <c r="BA296" s="190"/>
      <c r="BB296" s="190"/>
      <c r="BC296" s="190"/>
      <c r="BD296" s="190"/>
      <c r="BE296" s="190"/>
      <c r="BF296" s="190"/>
      <c r="BG296" s="190"/>
      <c r="BH296" s="190"/>
      <c r="BI296" s="190"/>
      <c r="BJ296" s="190"/>
      <c r="BK296" s="190"/>
      <c r="BL296" s="190"/>
      <c r="BM296" s="190"/>
      <c r="BN296" s="190"/>
      <c r="BO296" s="190"/>
      <c r="TU296" s="178"/>
      <c r="TV296" s="178"/>
    </row>
    <row r="297" spans="1:542" x14ac:dyDescent="0.25">
      <c r="A297" s="96" t="s">
        <v>337</v>
      </c>
      <c r="B297" s="158" t="str">
        <f t="shared" si="17"/>
        <v>bar.g</v>
      </c>
      <c r="C297" s="159"/>
      <c r="D297" s="155"/>
      <c r="E297" s="190"/>
      <c r="F297" s="190"/>
      <c r="G297" s="190"/>
      <c r="H297" s="190"/>
      <c r="I297" s="190"/>
      <c r="J297" s="190"/>
      <c r="K297" s="190"/>
      <c r="L297" s="190"/>
      <c r="M297" s="190"/>
      <c r="N297" s="190"/>
      <c r="O297" s="190"/>
      <c r="P297" s="190"/>
      <c r="Q297" s="190"/>
      <c r="R297" s="190"/>
      <c r="S297" s="190"/>
      <c r="T297" s="190"/>
      <c r="U297" s="190"/>
      <c r="V297" s="190"/>
      <c r="W297" s="190"/>
      <c r="X297" s="190"/>
      <c r="Y297" s="190"/>
      <c r="Z297" s="190"/>
      <c r="AA297" s="190"/>
      <c r="AB297" s="190"/>
      <c r="AC297" s="190"/>
      <c r="AD297" s="190"/>
      <c r="AE297" s="190"/>
      <c r="AF297" s="190"/>
      <c r="AG297" s="190"/>
      <c r="AH297" s="190"/>
      <c r="AI297" s="190"/>
      <c r="AJ297" s="190"/>
      <c r="AK297" s="190"/>
      <c r="AL297" s="190"/>
      <c r="AM297" s="190"/>
      <c r="AN297" s="190"/>
      <c r="AO297" s="190"/>
      <c r="AP297" s="190"/>
      <c r="AQ297" s="190"/>
      <c r="AR297" s="190"/>
      <c r="AS297" s="190"/>
      <c r="AT297" s="190"/>
      <c r="AU297" s="190"/>
      <c r="AV297" s="190"/>
      <c r="AW297" s="190"/>
      <c r="AX297" s="190"/>
      <c r="AY297" s="190"/>
      <c r="AZ297" s="190"/>
      <c r="BA297" s="190"/>
      <c r="BB297" s="190"/>
      <c r="BC297" s="190"/>
      <c r="BD297" s="190"/>
      <c r="BE297" s="190"/>
      <c r="BF297" s="190"/>
      <c r="BG297" s="190"/>
      <c r="BH297" s="190"/>
      <c r="BI297" s="190"/>
      <c r="BJ297" s="190"/>
      <c r="BK297" s="190"/>
      <c r="BL297" s="190"/>
      <c r="BM297" s="190"/>
      <c r="BN297" s="190"/>
      <c r="BO297" s="190"/>
      <c r="TU297" s="178"/>
      <c r="TV297" s="178"/>
    </row>
    <row r="298" spans="1:542" x14ac:dyDescent="0.25">
      <c r="A298" s="147" t="s">
        <v>210</v>
      </c>
      <c r="B298" s="119"/>
      <c r="C298" s="120"/>
      <c r="D298" s="155"/>
      <c r="E298" s="190"/>
      <c r="F298" s="190"/>
      <c r="G298" s="190"/>
      <c r="H298" s="190"/>
      <c r="I298" s="190"/>
      <c r="J298" s="190"/>
      <c r="K298" s="190"/>
      <c r="L298" s="190"/>
      <c r="M298" s="190"/>
      <c r="N298" s="190"/>
      <c r="O298" s="190"/>
      <c r="P298" s="190"/>
      <c r="Q298" s="190"/>
      <c r="R298" s="190"/>
      <c r="S298" s="190"/>
      <c r="T298" s="190"/>
      <c r="U298" s="190"/>
      <c r="V298" s="190"/>
      <c r="W298" s="190"/>
      <c r="X298" s="190"/>
      <c r="Y298" s="190"/>
      <c r="Z298" s="190"/>
      <c r="AA298" s="190"/>
      <c r="AB298" s="190"/>
      <c r="AC298" s="190"/>
      <c r="AD298" s="190"/>
      <c r="AE298" s="190"/>
      <c r="AF298" s="190"/>
      <c r="AG298" s="190"/>
      <c r="AH298" s="190"/>
      <c r="AI298" s="190"/>
      <c r="AJ298" s="190"/>
      <c r="AK298" s="190"/>
      <c r="AL298" s="190"/>
      <c r="AM298" s="190"/>
      <c r="AN298" s="190"/>
      <c r="AO298" s="190"/>
      <c r="AP298" s="190"/>
      <c r="AQ298" s="190"/>
      <c r="AR298" s="190"/>
      <c r="AS298" s="190"/>
      <c r="AT298" s="190"/>
      <c r="AU298" s="190"/>
      <c r="AV298" s="190"/>
      <c r="AW298" s="190"/>
      <c r="AX298" s="190"/>
      <c r="AY298" s="190"/>
      <c r="AZ298" s="190"/>
      <c r="BA298" s="190"/>
      <c r="BB298" s="190"/>
      <c r="BC298" s="190"/>
      <c r="BD298" s="190"/>
      <c r="BE298" s="190"/>
      <c r="BF298" s="190"/>
      <c r="BG298" s="190"/>
      <c r="BH298" s="190"/>
      <c r="BI298" s="190"/>
      <c r="BJ298" s="190"/>
      <c r="BK298" s="190"/>
      <c r="BL298" s="190"/>
      <c r="BM298" s="190"/>
      <c r="BN298" s="190"/>
      <c r="BO298" s="190"/>
      <c r="TU298" s="178"/>
      <c r="TV298" s="178"/>
    </row>
    <row r="299" spans="1:542" x14ac:dyDescent="0.25">
      <c r="A299" s="96" t="s">
        <v>213</v>
      </c>
      <c r="B299" s="158" t="str">
        <f>"rpm*kW*10^6"</f>
        <v>rpm*kW*10^6</v>
      </c>
      <c r="C299" s="159" t="str">
        <f>IF($B$178="kW",IF(C178*C176/1000000&lt;&gt;0,C178*C176/1000000,"missing input data"),IF($B$178="hp",IF(C178/1.34*C176/1000000&lt;&gt;0,C178/1.34*C176/1000000,"missing input data"),"check power units"))</f>
        <v>missing input data</v>
      </c>
      <c r="D299" s="155"/>
      <c r="E299" s="190"/>
      <c r="F299" s="190"/>
      <c r="G299" s="190"/>
      <c r="H299" s="190"/>
      <c r="I299" s="190"/>
      <c r="J299" s="190"/>
      <c r="K299" s="190"/>
      <c r="L299" s="190"/>
      <c r="M299" s="190"/>
      <c r="N299" s="190"/>
      <c r="O299" s="190"/>
      <c r="P299" s="190"/>
      <c r="Q299" s="190"/>
      <c r="R299" s="190"/>
      <c r="S299" s="190"/>
      <c r="T299" s="190"/>
      <c r="U299" s="190"/>
      <c r="V299" s="190"/>
      <c r="W299" s="190"/>
      <c r="X299" s="190"/>
      <c r="Y299" s="190"/>
      <c r="Z299" s="190"/>
      <c r="AA299" s="190"/>
      <c r="AB299" s="190"/>
      <c r="AC299" s="190"/>
      <c r="AD299" s="190"/>
      <c r="AE299" s="190"/>
      <c r="AF299" s="190"/>
      <c r="AG299" s="190"/>
      <c r="AH299" s="190"/>
      <c r="AI299" s="190"/>
      <c r="AJ299" s="190"/>
      <c r="AK299" s="190"/>
      <c r="AL299" s="190"/>
      <c r="AM299" s="190"/>
      <c r="AN299" s="190"/>
      <c r="AO299" s="190"/>
      <c r="AP299" s="190"/>
      <c r="AQ299" s="190"/>
      <c r="AR299" s="190"/>
      <c r="AS299" s="190"/>
      <c r="AT299" s="190"/>
      <c r="AU299" s="190"/>
      <c r="AV299" s="190"/>
      <c r="AW299" s="190"/>
      <c r="AX299" s="190"/>
      <c r="AY299" s="190"/>
      <c r="AZ299" s="190"/>
      <c r="BA299" s="190"/>
      <c r="BB299" s="190"/>
      <c r="BC299" s="190"/>
      <c r="BD299" s="190"/>
      <c r="BE299" s="190"/>
      <c r="BF299" s="190"/>
      <c r="BG299" s="190"/>
      <c r="BH299" s="190"/>
      <c r="BI299" s="190"/>
      <c r="BJ299" s="190"/>
      <c r="BK299" s="190"/>
      <c r="BL299" s="190"/>
      <c r="BM299" s="190"/>
      <c r="BN299" s="190"/>
      <c r="BO299" s="190"/>
      <c r="TU299" s="178"/>
      <c r="TV299" s="178"/>
    </row>
    <row r="300" spans="1:542" x14ac:dyDescent="0.25">
      <c r="A300" s="96" t="s">
        <v>214</v>
      </c>
      <c r="B300" s="158" t="str">
        <f t="shared" ref="B300:B313" si="18">"[yes/no]"</f>
        <v>[yes/no]</v>
      </c>
      <c r="C300" s="159"/>
      <c r="D300" s="155"/>
      <c r="E300" s="190"/>
      <c r="F300" s="190"/>
      <c r="G300" s="190"/>
      <c r="H300" s="190"/>
      <c r="I300" s="190"/>
      <c r="J300" s="190"/>
      <c r="K300" s="190"/>
      <c r="L300" s="190"/>
      <c r="M300" s="190"/>
      <c r="N300" s="190"/>
      <c r="O300" s="190"/>
      <c r="P300" s="190"/>
      <c r="Q300" s="190"/>
      <c r="R300" s="190"/>
      <c r="S300" s="190"/>
      <c r="T300" s="190"/>
      <c r="U300" s="190"/>
      <c r="V300" s="190"/>
      <c r="W300" s="190"/>
      <c r="X300" s="190"/>
      <c r="Y300" s="190"/>
      <c r="Z300" s="190"/>
      <c r="AA300" s="190"/>
      <c r="AB300" s="190"/>
      <c r="AC300" s="190"/>
      <c r="AD300" s="190"/>
      <c r="AE300" s="190"/>
      <c r="AF300" s="190"/>
      <c r="AG300" s="190"/>
      <c r="AH300" s="190"/>
      <c r="AI300" s="190"/>
      <c r="AJ300" s="190"/>
      <c r="AK300" s="190"/>
      <c r="AL300" s="190"/>
      <c r="AM300" s="190"/>
      <c r="AN300" s="190"/>
      <c r="AO300" s="190"/>
      <c r="AP300" s="190"/>
      <c r="AQ300" s="190"/>
      <c r="AR300" s="190"/>
      <c r="AS300" s="190"/>
      <c r="AT300" s="190"/>
      <c r="AU300" s="190"/>
      <c r="AV300" s="190"/>
      <c r="AW300" s="190"/>
      <c r="AX300" s="190"/>
      <c r="AY300" s="190"/>
      <c r="AZ300" s="190"/>
      <c r="BA300" s="190"/>
      <c r="BB300" s="190"/>
      <c r="BC300" s="190"/>
      <c r="BD300" s="190"/>
      <c r="BE300" s="190"/>
      <c r="BF300" s="190"/>
      <c r="BG300" s="190"/>
      <c r="BH300" s="190"/>
      <c r="BI300" s="190"/>
      <c r="BJ300" s="190"/>
      <c r="BK300" s="190"/>
      <c r="BL300" s="190"/>
      <c r="BM300" s="190"/>
      <c r="BN300" s="190"/>
      <c r="BO300" s="190"/>
      <c r="TU300" s="178"/>
      <c r="TV300" s="178"/>
    </row>
    <row r="301" spans="1:542" x14ac:dyDescent="0.25">
      <c r="A301" s="96" t="s">
        <v>516</v>
      </c>
      <c r="B301" s="158" t="str">
        <f t="shared" si="18"/>
        <v>[yes/no]</v>
      </c>
      <c r="C301" s="159"/>
      <c r="D301" s="155"/>
      <c r="E301" s="190"/>
      <c r="F301" s="190"/>
      <c r="G301" s="190"/>
      <c r="H301" s="190"/>
      <c r="I301" s="190"/>
      <c r="J301" s="190"/>
      <c r="K301" s="190"/>
      <c r="L301" s="190"/>
      <c r="M301" s="190"/>
      <c r="N301" s="190"/>
      <c r="O301" s="190"/>
      <c r="P301" s="190"/>
      <c r="Q301" s="190"/>
      <c r="R301" s="190"/>
      <c r="S301" s="190"/>
      <c r="T301" s="190"/>
      <c r="U301" s="190"/>
      <c r="V301" s="190"/>
      <c r="W301" s="190"/>
      <c r="X301" s="190"/>
      <c r="Y301" s="190"/>
      <c r="Z301" s="190"/>
      <c r="AA301" s="190"/>
      <c r="AB301" s="190"/>
      <c r="AC301" s="190"/>
      <c r="AD301" s="190"/>
      <c r="AE301" s="190"/>
      <c r="AF301" s="190"/>
      <c r="AG301" s="190"/>
      <c r="AH301" s="190"/>
      <c r="AI301" s="190"/>
      <c r="AJ301" s="190"/>
      <c r="AK301" s="190"/>
      <c r="AL301" s="190"/>
      <c r="AM301" s="190"/>
      <c r="AN301" s="190"/>
      <c r="AO301" s="190"/>
      <c r="AP301" s="190"/>
      <c r="AQ301" s="190"/>
      <c r="AR301" s="190"/>
      <c r="AS301" s="190"/>
      <c r="AT301" s="190"/>
      <c r="AU301" s="190"/>
      <c r="AV301" s="190"/>
      <c r="AW301" s="190"/>
      <c r="AX301" s="190"/>
      <c r="AY301" s="190"/>
      <c r="AZ301" s="190"/>
      <c r="BA301" s="190"/>
      <c r="BB301" s="190"/>
      <c r="BC301" s="190"/>
      <c r="BD301" s="190"/>
      <c r="BE301" s="190"/>
      <c r="BF301" s="190"/>
      <c r="BG301" s="190"/>
      <c r="BH301" s="190"/>
      <c r="BI301" s="190"/>
      <c r="BJ301" s="190"/>
      <c r="BK301" s="190"/>
      <c r="BL301" s="190"/>
      <c r="BM301" s="190"/>
      <c r="BN301" s="190"/>
      <c r="BO301" s="190"/>
      <c r="TU301" s="178"/>
      <c r="TV301" s="178"/>
    </row>
    <row r="302" spans="1:542" x14ac:dyDescent="0.25">
      <c r="A302" s="96" t="s">
        <v>215</v>
      </c>
      <c r="B302" s="158" t="str">
        <f t="shared" si="18"/>
        <v>[yes/no]</v>
      </c>
      <c r="C302" s="159"/>
      <c r="D302" s="155"/>
      <c r="E302" s="190"/>
      <c r="F302" s="190"/>
      <c r="G302" s="190"/>
      <c r="H302" s="190"/>
      <c r="I302" s="190"/>
      <c r="J302" s="190"/>
      <c r="K302" s="190"/>
      <c r="L302" s="190"/>
      <c r="M302" s="190"/>
      <c r="N302" s="190"/>
      <c r="O302" s="190"/>
      <c r="P302" s="190"/>
      <c r="Q302" s="190"/>
      <c r="R302" s="190"/>
      <c r="S302" s="190"/>
      <c r="T302" s="190"/>
      <c r="U302" s="190"/>
      <c r="V302" s="190"/>
      <c r="W302" s="190"/>
      <c r="X302" s="190"/>
      <c r="Y302" s="190"/>
      <c r="Z302" s="190"/>
      <c r="AA302" s="190"/>
      <c r="AB302" s="190"/>
      <c r="AC302" s="190"/>
      <c r="AD302" s="190"/>
      <c r="AE302" s="190"/>
      <c r="AF302" s="190"/>
      <c r="AG302" s="190"/>
      <c r="AH302" s="190"/>
      <c r="AI302" s="190"/>
      <c r="AJ302" s="190"/>
      <c r="AK302" s="190"/>
      <c r="AL302" s="190"/>
      <c r="AM302" s="190"/>
      <c r="AN302" s="190"/>
      <c r="AO302" s="190"/>
      <c r="AP302" s="190"/>
      <c r="AQ302" s="190"/>
      <c r="AR302" s="190"/>
      <c r="AS302" s="190"/>
      <c r="AT302" s="190"/>
      <c r="AU302" s="190"/>
      <c r="AV302" s="190"/>
      <c r="AW302" s="190"/>
      <c r="AX302" s="190"/>
      <c r="AY302" s="190"/>
      <c r="AZ302" s="190"/>
      <c r="BA302" s="190"/>
      <c r="BB302" s="190"/>
      <c r="BC302" s="190"/>
      <c r="BD302" s="190"/>
      <c r="BE302" s="190"/>
      <c r="BF302" s="190"/>
      <c r="BG302" s="190"/>
      <c r="BH302" s="190"/>
      <c r="BI302" s="190"/>
      <c r="BJ302" s="190"/>
      <c r="BK302" s="190"/>
      <c r="BL302" s="190"/>
      <c r="BM302" s="190"/>
      <c r="BN302" s="190"/>
      <c r="BO302" s="190"/>
      <c r="TU302" s="178"/>
      <c r="TV302" s="178"/>
    </row>
    <row r="303" spans="1:542" x14ac:dyDescent="0.25">
      <c r="A303" s="96" t="s">
        <v>211</v>
      </c>
      <c r="B303" s="158" t="str">
        <f t="shared" si="18"/>
        <v>[yes/no]</v>
      </c>
      <c r="C303" s="159"/>
      <c r="D303" s="155"/>
      <c r="E303" s="190"/>
      <c r="F303" s="190"/>
      <c r="G303" s="190"/>
      <c r="H303" s="190"/>
      <c r="I303" s="190"/>
      <c r="J303" s="190"/>
      <c r="K303" s="190"/>
      <c r="L303" s="190"/>
      <c r="M303" s="190"/>
      <c r="N303" s="190"/>
      <c r="O303" s="190"/>
      <c r="P303" s="190"/>
      <c r="Q303" s="190"/>
      <c r="R303" s="190"/>
      <c r="S303" s="190"/>
      <c r="T303" s="190"/>
      <c r="U303" s="190"/>
      <c r="V303" s="190"/>
      <c r="W303" s="190"/>
      <c r="X303" s="190"/>
      <c r="Y303" s="190"/>
      <c r="Z303" s="190"/>
      <c r="AA303" s="190"/>
      <c r="AB303" s="190"/>
      <c r="AC303" s="190"/>
      <c r="AD303" s="190"/>
      <c r="AE303" s="190"/>
      <c r="AF303" s="190"/>
      <c r="AG303" s="190"/>
      <c r="AH303" s="190"/>
      <c r="AI303" s="190"/>
      <c r="AJ303" s="190"/>
      <c r="AK303" s="190"/>
      <c r="AL303" s="190"/>
      <c r="AM303" s="190"/>
      <c r="AN303" s="190"/>
      <c r="AO303" s="190"/>
      <c r="AP303" s="190"/>
      <c r="AQ303" s="190"/>
      <c r="AR303" s="190"/>
      <c r="AS303" s="190"/>
      <c r="AT303" s="190"/>
      <c r="AU303" s="190"/>
      <c r="AV303" s="190"/>
      <c r="AW303" s="190"/>
      <c r="AX303" s="190"/>
      <c r="AY303" s="190"/>
      <c r="AZ303" s="190"/>
      <c r="BA303" s="190"/>
      <c r="BB303" s="190"/>
      <c r="BC303" s="190"/>
      <c r="BD303" s="190"/>
      <c r="BE303" s="190"/>
      <c r="BF303" s="190"/>
      <c r="BG303" s="190"/>
      <c r="BH303" s="190"/>
      <c r="BI303" s="190"/>
      <c r="BJ303" s="190"/>
      <c r="BK303" s="190"/>
      <c r="BL303" s="190"/>
      <c r="BM303" s="190"/>
      <c r="BN303" s="190"/>
      <c r="BO303" s="190"/>
      <c r="TU303" s="178"/>
      <c r="TV303" s="178"/>
    </row>
    <row r="304" spans="1:542" x14ac:dyDescent="0.25">
      <c r="A304" s="96" t="s">
        <v>212</v>
      </c>
      <c r="B304" s="158" t="str">
        <f t="shared" si="18"/>
        <v>[yes/no]</v>
      </c>
      <c r="C304" s="159"/>
      <c r="D304" s="155"/>
      <c r="E304" s="190"/>
      <c r="F304" s="190"/>
      <c r="G304" s="190"/>
      <c r="H304" s="190"/>
      <c r="I304" s="190"/>
      <c r="J304" s="190"/>
      <c r="K304" s="190"/>
      <c r="L304" s="190"/>
      <c r="M304" s="190"/>
      <c r="N304" s="190"/>
      <c r="O304" s="190"/>
      <c r="P304" s="190"/>
      <c r="Q304" s="190"/>
      <c r="R304" s="190"/>
      <c r="S304" s="190"/>
      <c r="T304" s="190"/>
      <c r="U304" s="190"/>
      <c r="V304" s="190"/>
      <c r="W304" s="190"/>
      <c r="X304" s="190"/>
      <c r="Y304" s="190"/>
      <c r="Z304" s="190"/>
      <c r="AA304" s="190"/>
      <c r="AB304" s="190"/>
      <c r="AC304" s="190"/>
      <c r="AD304" s="190"/>
      <c r="AE304" s="190"/>
      <c r="AF304" s="190"/>
      <c r="AG304" s="190"/>
      <c r="AH304" s="190"/>
      <c r="AI304" s="190"/>
      <c r="AJ304" s="190"/>
      <c r="AK304" s="190"/>
      <c r="AL304" s="190"/>
      <c r="AM304" s="190"/>
      <c r="AN304" s="190"/>
      <c r="AO304" s="190"/>
      <c r="AP304" s="190"/>
      <c r="AQ304" s="190"/>
      <c r="AR304" s="190"/>
      <c r="AS304" s="190"/>
      <c r="AT304" s="190"/>
      <c r="AU304" s="190"/>
      <c r="AV304" s="190"/>
      <c r="AW304" s="190"/>
      <c r="AX304" s="190"/>
      <c r="AY304" s="190"/>
      <c r="AZ304" s="190"/>
      <c r="BA304" s="190"/>
      <c r="BB304" s="190"/>
      <c r="BC304" s="190"/>
      <c r="BD304" s="190"/>
      <c r="BE304" s="190"/>
      <c r="BF304" s="190"/>
      <c r="BG304" s="190"/>
      <c r="BH304" s="190"/>
      <c r="BI304" s="190"/>
      <c r="BJ304" s="190"/>
      <c r="BK304" s="190"/>
      <c r="BL304" s="190"/>
      <c r="BM304" s="190"/>
      <c r="BN304" s="190"/>
      <c r="BO304" s="190"/>
      <c r="TU304" s="178"/>
      <c r="TV304" s="178"/>
    </row>
    <row r="305" spans="1:542" x14ac:dyDescent="0.25">
      <c r="A305" s="96" t="s">
        <v>349</v>
      </c>
      <c r="B305" s="158" t="str">
        <f t="shared" si="18"/>
        <v>[yes/no]</v>
      </c>
      <c r="C305" s="159"/>
      <c r="D305" s="155"/>
      <c r="E305" s="190"/>
      <c r="F305" s="190"/>
      <c r="G305" s="190"/>
      <c r="H305" s="190"/>
      <c r="I305" s="190"/>
      <c r="J305" s="190"/>
      <c r="K305" s="190"/>
      <c r="L305" s="190"/>
      <c r="M305" s="190"/>
      <c r="N305" s="190"/>
      <c r="O305" s="190"/>
      <c r="P305" s="190"/>
      <c r="Q305" s="190"/>
      <c r="R305" s="190"/>
      <c r="S305" s="190"/>
      <c r="T305" s="190"/>
      <c r="U305" s="190"/>
      <c r="V305" s="190"/>
      <c r="W305" s="190"/>
      <c r="X305" s="190"/>
      <c r="Y305" s="190"/>
      <c r="Z305" s="190"/>
      <c r="AA305" s="190"/>
      <c r="AB305" s="190"/>
      <c r="AC305" s="190"/>
      <c r="AD305" s="190"/>
      <c r="AE305" s="190"/>
      <c r="AF305" s="190"/>
      <c r="AG305" s="190"/>
      <c r="AH305" s="190"/>
      <c r="AI305" s="190"/>
      <c r="AJ305" s="190"/>
      <c r="AK305" s="190"/>
      <c r="AL305" s="190"/>
      <c r="AM305" s="190"/>
      <c r="AN305" s="190"/>
      <c r="AO305" s="190"/>
      <c r="AP305" s="190"/>
      <c r="AQ305" s="190"/>
      <c r="AR305" s="190"/>
      <c r="AS305" s="190"/>
      <c r="AT305" s="190"/>
      <c r="AU305" s="190"/>
      <c r="AV305" s="190"/>
      <c r="AW305" s="190"/>
      <c r="AX305" s="190"/>
      <c r="AY305" s="190"/>
      <c r="AZ305" s="190"/>
      <c r="BA305" s="190"/>
      <c r="BB305" s="190"/>
      <c r="BC305" s="190"/>
      <c r="BD305" s="190"/>
      <c r="BE305" s="190"/>
      <c r="BF305" s="190"/>
      <c r="BG305" s="190"/>
      <c r="BH305" s="190"/>
      <c r="BI305" s="190"/>
      <c r="BJ305" s="190"/>
      <c r="BK305" s="190"/>
      <c r="BL305" s="190"/>
      <c r="BM305" s="190"/>
      <c r="BN305" s="190"/>
      <c r="BO305" s="190"/>
      <c r="TU305" s="178"/>
      <c r="TV305" s="178"/>
    </row>
    <row r="306" spans="1:542" x14ac:dyDescent="0.25">
      <c r="A306" s="96" t="s">
        <v>216</v>
      </c>
      <c r="B306" s="158" t="str">
        <f t="shared" si="18"/>
        <v>[yes/no]</v>
      </c>
      <c r="C306" s="159"/>
      <c r="D306" s="155"/>
      <c r="E306" s="190"/>
      <c r="F306" s="190"/>
      <c r="G306" s="190"/>
      <c r="H306" s="190"/>
      <c r="I306" s="190"/>
      <c r="J306" s="190"/>
      <c r="K306" s="190"/>
      <c r="L306" s="190"/>
      <c r="M306" s="190"/>
      <c r="N306" s="190"/>
      <c r="O306" s="190"/>
      <c r="P306" s="190"/>
      <c r="Q306" s="190"/>
      <c r="R306" s="190"/>
      <c r="S306" s="190"/>
      <c r="T306" s="190"/>
      <c r="U306" s="190"/>
      <c r="V306" s="190"/>
      <c r="W306" s="190"/>
      <c r="X306" s="190"/>
      <c r="Y306" s="190"/>
      <c r="Z306" s="190"/>
      <c r="AA306" s="190"/>
      <c r="AB306" s="190"/>
      <c r="AC306" s="190"/>
      <c r="AD306" s="190"/>
      <c r="AE306" s="190"/>
      <c r="AF306" s="190"/>
      <c r="AG306" s="190"/>
      <c r="AH306" s="190"/>
      <c r="AI306" s="190"/>
      <c r="AJ306" s="190"/>
      <c r="AK306" s="190"/>
      <c r="AL306" s="190"/>
      <c r="AM306" s="190"/>
      <c r="AN306" s="190"/>
      <c r="AO306" s="190"/>
      <c r="AP306" s="190"/>
      <c r="AQ306" s="190"/>
      <c r="AR306" s="190"/>
      <c r="AS306" s="190"/>
      <c r="AT306" s="190"/>
      <c r="AU306" s="190"/>
      <c r="AV306" s="190"/>
      <c r="AW306" s="190"/>
      <c r="AX306" s="190"/>
      <c r="AY306" s="190"/>
      <c r="AZ306" s="190"/>
      <c r="BA306" s="190"/>
      <c r="BB306" s="190"/>
      <c r="BC306" s="190"/>
      <c r="BD306" s="190"/>
      <c r="BE306" s="190"/>
      <c r="BF306" s="190"/>
      <c r="BG306" s="190"/>
      <c r="BH306" s="190"/>
      <c r="BI306" s="190"/>
      <c r="BJ306" s="190"/>
      <c r="BK306" s="190"/>
      <c r="BL306" s="190"/>
      <c r="BM306" s="190"/>
      <c r="BN306" s="190"/>
      <c r="BO306" s="190"/>
      <c r="TU306" s="178"/>
      <c r="TV306" s="178"/>
    </row>
    <row r="307" spans="1:542" x14ac:dyDescent="0.25">
      <c r="A307" s="96" t="s">
        <v>217</v>
      </c>
      <c r="B307" s="158" t="str">
        <f t="shared" si="18"/>
        <v>[yes/no]</v>
      </c>
      <c r="C307" s="159"/>
      <c r="D307" s="155"/>
      <c r="E307" s="190"/>
      <c r="F307" s="190"/>
      <c r="G307" s="190"/>
      <c r="H307" s="190"/>
      <c r="I307" s="190"/>
      <c r="J307" s="190"/>
      <c r="K307" s="190"/>
      <c r="L307" s="190"/>
      <c r="M307" s="190"/>
      <c r="N307" s="190"/>
      <c r="O307" s="190"/>
      <c r="P307" s="190"/>
      <c r="Q307" s="190"/>
      <c r="R307" s="190"/>
      <c r="S307" s="190"/>
      <c r="T307" s="190"/>
      <c r="U307" s="190"/>
      <c r="V307" s="190"/>
      <c r="W307" s="190"/>
      <c r="X307" s="190"/>
      <c r="Y307" s="190"/>
      <c r="Z307" s="190"/>
      <c r="AA307" s="190"/>
      <c r="AB307" s="190"/>
      <c r="AC307" s="190"/>
      <c r="AD307" s="190"/>
      <c r="AE307" s="190"/>
      <c r="AF307" s="190"/>
      <c r="AG307" s="190"/>
      <c r="AH307" s="190"/>
      <c r="AI307" s="190"/>
      <c r="AJ307" s="190"/>
      <c r="AK307" s="190"/>
      <c r="AL307" s="190"/>
      <c r="AM307" s="190"/>
      <c r="AN307" s="190"/>
      <c r="AO307" s="190"/>
      <c r="AP307" s="190"/>
      <c r="AQ307" s="190"/>
      <c r="AR307" s="190"/>
      <c r="AS307" s="190"/>
      <c r="AT307" s="190"/>
      <c r="AU307" s="190"/>
      <c r="AV307" s="190"/>
      <c r="AW307" s="190"/>
      <c r="AX307" s="190"/>
      <c r="AY307" s="190"/>
      <c r="AZ307" s="190"/>
      <c r="BA307" s="190"/>
      <c r="BB307" s="190"/>
      <c r="BC307" s="190"/>
      <c r="BD307" s="190"/>
      <c r="BE307" s="190"/>
      <c r="BF307" s="190"/>
      <c r="BG307" s="190"/>
      <c r="BH307" s="190"/>
      <c r="BI307" s="190"/>
      <c r="BJ307" s="190"/>
      <c r="BK307" s="190"/>
      <c r="BL307" s="190"/>
      <c r="BM307" s="190"/>
      <c r="BN307" s="190"/>
      <c r="BO307" s="190"/>
      <c r="TU307" s="178"/>
      <c r="TV307" s="178"/>
    </row>
    <row r="308" spans="1:542" x14ac:dyDescent="0.25">
      <c r="A308" s="96" t="s">
        <v>380</v>
      </c>
      <c r="B308" s="158" t="str">
        <f t="shared" si="18"/>
        <v>[yes/no]</v>
      </c>
      <c r="C308" s="159"/>
      <c r="D308" s="155"/>
      <c r="E308" s="190"/>
      <c r="F308" s="190"/>
      <c r="G308" s="190"/>
      <c r="H308" s="190"/>
      <c r="I308" s="190"/>
      <c r="J308" s="190"/>
      <c r="K308" s="190"/>
      <c r="L308" s="190"/>
      <c r="M308" s="190"/>
      <c r="N308" s="190"/>
      <c r="O308" s="190"/>
      <c r="P308" s="190"/>
      <c r="Q308" s="190"/>
      <c r="R308" s="190"/>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TU308" s="178"/>
      <c r="TV308" s="178"/>
    </row>
    <row r="309" spans="1:542" ht="30" x14ac:dyDescent="0.25">
      <c r="A309" s="96" t="s">
        <v>381</v>
      </c>
      <c r="B309" s="158" t="str">
        <f t="shared" si="18"/>
        <v>[yes/no]</v>
      </c>
      <c r="C309" s="159"/>
      <c r="D309" s="155"/>
      <c r="E309" s="190"/>
      <c r="F309" s="190"/>
      <c r="G309" s="190"/>
      <c r="H309" s="190"/>
      <c r="I309" s="190"/>
      <c r="J309" s="190"/>
      <c r="K309" s="190"/>
      <c r="L309" s="190"/>
      <c r="M309" s="190"/>
      <c r="N309" s="190"/>
      <c r="O309" s="190"/>
      <c r="P309" s="190"/>
      <c r="Q309" s="190"/>
      <c r="R309" s="190"/>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TU309" s="178"/>
      <c r="TV309" s="178"/>
    </row>
    <row r="310" spans="1:542" x14ac:dyDescent="0.25">
      <c r="A310" s="96" t="s">
        <v>218</v>
      </c>
      <c r="B310" s="158" t="str">
        <f t="shared" si="18"/>
        <v>[yes/no]</v>
      </c>
      <c r="C310" s="159"/>
      <c r="D310" s="155"/>
      <c r="E310" s="190"/>
      <c r="F310" s="190"/>
      <c r="G310" s="190"/>
      <c r="H310" s="190"/>
      <c r="I310" s="190"/>
      <c r="J310" s="190"/>
      <c r="K310" s="190"/>
      <c r="L310" s="190"/>
      <c r="M310" s="190"/>
      <c r="N310" s="190"/>
      <c r="O310" s="190"/>
      <c r="P310" s="190"/>
      <c r="Q310" s="190"/>
      <c r="R310" s="190"/>
      <c r="S310" s="190"/>
      <c r="T310" s="190"/>
      <c r="U310" s="190"/>
      <c r="V310" s="190"/>
      <c r="W310" s="190"/>
      <c r="X310" s="190"/>
      <c r="Y310" s="190"/>
      <c r="Z310" s="190"/>
      <c r="AA310" s="190"/>
      <c r="AB310" s="190"/>
      <c r="AC310" s="190"/>
      <c r="AD310" s="190"/>
      <c r="AE310" s="190"/>
      <c r="AF310" s="190"/>
      <c r="AG310" s="190"/>
      <c r="AH310" s="190"/>
      <c r="AI310" s="190"/>
      <c r="AJ310" s="190"/>
      <c r="AK310" s="190"/>
      <c r="AL310" s="190"/>
      <c r="AM310" s="190"/>
      <c r="AN310" s="190"/>
      <c r="AO310" s="190"/>
      <c r="AP310" s="190"/>
      <c r="AQ310" s="190"/>
      <c r="AR310" s="190"/>
      <c r="AS310" s="190"/>
      <c r="AT310" s="190"/>
      <c r="AU310" s="190"/>
      <c r="AV310" s="190"/>
      <c r="AW310" s="190"/>
      <c r="AX310" s="190"/>
      <c r="AY310" s="190"/>
      <c r="AZ310" s="190"/>
      <c r="BA310" s="190"/>
      <c r="BB310" s="190"/>
      <c r="BC310" s="190"/>
      <c r="BD310" s="190"/>
      <c r="BE310" s="190"/>
      <c r="BF310" s="190"/>
      <c r="BG310" s="190"/>
      <c r="BH310" s="190"/>
      <c r="BI310" s="190"/>
      <c r="BJ310" s="190"/>
      <c r="BK310" s="190"/>
      <c r="BL310" s="190"/>
      <c r="BM310" s="190"/>
      <c r="BN310" s="190"/>
      <c r="BO310" s="190"/>
      <c r="TU310" s="178"/>
      <c r="TV310" s="178"/>
    </row>
    <row r="311" spans="1:542" x14ac:dyDescent="0.25">
      <c r="A311" s="96" t="s">
        <v>219</v>
      </c>
      <c r="B311" s="158" t="str">
        <f t="shared" si="18"/>
        <v>[yes/no]</v>
      </c>
      <c r="C311" s="159"/>
      <c r="D311" s="155"/>
      <c r="E311" s="190"/>
      <c r="F311" s="190"/>
      <c r="G311" s="190"/>
      <c r="H311" s="190"/>
      <c r="I311" s="190"/>
      <c r="J311" s="190"/>
      <c r="K311" s="190"/>
      <c r="L311" s="190"/>
      <c r="M311" s="190"/>
      <c r="N311" s="190"/>
      <c r="O311" s="190"/>
      <c r="P311" s="190"/>
      <c r="Q311" s="190"/>
      <c r="R311" s="190"/>
      <c r="S311" s="190"/>
      <c r="T311" s="190"/>
      <c r="U311" s="190"/>
      <c r="V311" s="190"/>
      <c r="W311" s="190"/>
      <c r="X311" s="190"/>
      <c r="Y311" s="190"/>
      <c r="Z311" s="190"/>
      <c r="AA311" s="190"/>
      <c r="AB311" s="190"/>
      <c r="AC311" s="190"/>
      <c r="AD311" s="190"/>
      <c r="AE311" s="190"/>
      <c r="AF311" s="190"/>
      <c r="AG311" s="190"/>
      <c r="AH311" s="190"/>
      <c r="AI311" s="190"/>
      <c r="AJ311" s="190"/>
      <c r="AK311" s="190"/>
      <c r="AL311" s="190"/>
      <c r="AM311" s="190"/>
      <c r="AN311" s="190"/>
      <c r="AO311" s="190"/>
      <c r="AP311" s="190"/>
      <c r="AQ311" s="190"/>
      <c r="AR311" s="190"/>
      <c r="AS311" s="190"/>
      <c r="AT311" s="190"/>
      <c r="AU311" s="190"/>
      <c r="AV311" s="190"/>
      <c r="AW311" s="190"/>
      <c r="AX311" s="190"/>
      <c r="AY311" s="190"/>
      <c r="AZ311" s="190"/>
      <c r="BA311" s="190"/>
      <c r="BB311" s="190"/>
      <c r="BC311" s="190"/>
      <c r="BD311" s="190"/>
      <c r="BE311" s="190"/>
      <c r="BF311" s="190"/>
      <c r="BG311" s="190"/>
      <c r="BH311" s="190"/>
      <c r="BI311" s="190"/>
      <c r="BJ311" s="190"/>
      <c r="BK311" s="190"/>
      <c r="BL311" s="190"/>
      <c r="BM311" s="190"/>
      <c r="BN311" s="190"/>
      <c r="BO311" s="190"/>
      <c r="TU311" s="178"/>
      <c r="TV311" s="178"/>
    </row>
    <row r="312" spans="1:542" ht="30" x14ac:dyDescent="0.25">
      <c r="A312" s="96" t="s">
        <v>517</v>
      </c>
      <c r="B312" s="158" t="str">
        <f>"[yes/no check necessary]"</f>
        <v>[yes/no check necessary]</v>
      </c>
      <c r="C312" s="159"/>
      <c r="D312" s="155"/>
      <c r="E312" s="190"/>
      <c r="F312" s="190"/>
      <c r="G312" s="190"/>
      <c r="H312" s="190"/>
      <c r="I312" s="190"/>
      <c r="J312" s="190"/>
      <c r="K312" s="190"/>
      <c r="L312" s="190"/>
      <c r="M312" s="190"/>
      <c r="N312" s="190"/>
      <c r="O312" s="190"/>
      <c r="P312" s="190"/>
      <c r="Q312" s="190"/>
      <c r="R312" s="190"/>
      <c r="S312" s="190"/>
      <c r="T312" s="190"/>
      <c r="U312" s="190"/>
      <c r="V312" s="190"/>
      <c r="W312" s="190"/>
      <c r="X312" s="190"/>
      <c r="Y312" s="190"/>
      <c r="Z312" s="190"/>
      <c r="AA312" s="190"/>
      <c r="AB312" s="190"/>
      <c r="AC312" s="190"/>
      <c r="AD312" s="190"/>
      <c r="AE312" s="190"/>
      <c r="AF312" s="190"/>
      <c r="AG312" s="190"/>
      <c r="AH312" s="190"/>
      <c r="AI312" s="190"/>
      <c r="AJ312" s="190"/>
      <c r="AK312" s="190"/>
      <c r="AL312" s="190"/>
      <c r="AM312" s="190"/>
      <c r="AN312" s="190"/>
      <c r="AO312" s="190"/>
      <c r="AP312" s="190"/>
      <c r="AQ312" s="190"/>
      <c r="AR312" s="190"/>
      <c r="AS312" s="190"/>
      <c r="AT312" s="190"/>
      <c r="AU312" s="190"/>
      <c r="AV312" s="190"/>
      <c r="AW312" s="190"/>
      <c r="AX312" s="190"/>
      <c r="AY312" s="190"/>
      <c r="AZ312" s="190"/>
      <c r="BA312" s="190"/>
      <c r="BB312" s="190"/>
      <c r="BC312" s="190"/>
      <c r="BD312" s="190"/>
      <c r="BE312" s="190"/>
      <c r="BF312" s="190"/>
      <c r="BG312" s="190"/>
      <c r="BH312" s="190"/>
      <c r="BI312" s="190"/>
      <c r="BJ312" s="190"/>
      <c r="BK312" s="190"/>
      <c r="BL312" s="190"/>
      <c r="BM312" s="190"/>
      <c r="BN312" s="190"/>
      <c r="BO312" s="190"/>
      <c r="TU312" s="178"/>
      <c r="TV312" s="178"/>
    </row>
    <row r="313" spans="1:542" x14ac:dyDescent="0.25">
      <c r="A313" s="96" t="s">
        <v>265</v>
      </c>
      <c r="B313" s="158" t="str">
        <f t="shared" si="18"/>
        <v>[yes/no]</v>
      </c>
      <c r="C313" s="159"/>
      <c r="D313" s="155"/>
      <c r="E313" s="190"/>
      <c r="F313" s="190"/>
      <c r="G313" s="190"/>
      <c r="H313" s="190"/>
      <c r="I313" s="190"/>
      <c r="J313" s="190"/>
      <c r="K313" s="190"/>
      <c r="L313" s="190"/>
      <c r="M313" s="190"/>
      <c r="N313" s="190"/>
      <c r="O313" s="190"/>
      <c r="P313" s="190"/>
      <c r="Q313" s="190"/>
      <c r="R313" s="190"/>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TU313" s="178"/>
      <c r="TV313" s="178"/>
    </row>
    <row r="314" spans="1:542" x14ac:dyDescent="0.25">
      <c r="A314" s="96" t="s">
        <v>514</v>
      </c>
      <c r="B314" s="158" t="str">
        <f>"[API / 0,8xAPI / OTHER]"</f>
        <v>[API / 0,8xAPI / OTHER]</v>
      </c>
      <c r="C314" s="159"/>
      <c r="D314" s="155"/>
      <c r="E314" s="190"/>
      <c r="F314" s="190"/>
      <c r="G314" s="190"/>
      <c r="H314" s="190"/>
      <c r="I314" s="190"/>
      <c r="J314" s="190"/>
      <c r="K314" s="190"/>
      <c r="L314" s="190"/>
      <c r="M314" s="190"/>
      <c r="N314" s="190"/>
      <c r="O314" s="190"/>
      <c r="P314" s="190"/>
      <c r="Q314" s="190"/>
      <c r="R314" s="190"/>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TU314" s="178"/>
      <c r="TV314" s="178"/>
    </row>
    <row r="315" spans="1:542" ht="30" x14ac:dyDescent="0.25">
      <c r="A315" s="96" t="s">
        <v>515</v>
      </c>
      <c r="B315" s="158" t="str">
        <f>"[clearence fit / interference fit]"</f>
        <v>[clearence fit / interference fit]</v>
      </c>
      <c r="C315" s="159"/>
      <c r="D315" s="155"/>
      <c r="E315" s="190"/>
      <c r="F315" s="190"/>
      <c r="G315" s="190"/>
      <c r="H315" s="190"/>
      <c r="I315" s="190"/>
      <c r="J315" s="190"/>
      <c r="K315" s="190"/>
      <c r="L315" s="190"/>
      <c r="M315" s="190"/>
      <c r="N315" s="190"/>
      <c r="O315" s="190"/>
      <c r="P315" s="190"/>
      <c r="Q315" s="190"/>
      <c r="R315" s="190"/>
      <c r="S315" s="190"/>
      <c r="T315" s="190"/>
      <c r="U315" s="190"/>
      <c r="V315" s="190"/>
      <c r="W315" s="190"/>
      <c r="X315" s="190"/>
      <c r="Y315" s="190"/>
      <c r="Z315" s="190"/>
      <c r="AA315" s="190"/>
      <c r="AB315" s="190"/>
      <c r="AC315" s="190"/>
      <c r="AD315" s="190"/>
      <c r="AE315" s="190"/>
      <c r="AF315" s="190"/>
      <c r="AG315" s="190"/>
      <c r="AH315" s="190"/>
      <c r="AI315" s="190"/>
      <c r="AJ315" s="190"/>
      <c r="AK315" s="190"/>
      <c r="AL315" s="190"/>
      <c r="AM315" s="190"/>
      <c r="AN315" s="190"/>
      <c r="AO315" s="190"/>
      <c r="AP315" s="190"/>
      <c r="AQ315" s="190"/>
      <c r="AR315" s="190"/>
      <c r="AS315" s="190"/>
      <c r="AT315" s="190"/>
      <c r="AU315" s="190"/>
      <c r="AV315" s="190"/>
      <c r="AW315" s="190"/>
      <c r="AX315" s="190"/>
      <c r="AY315" s="190"/>
      <c r="AZ315" s="190"/>
      <c r="BA315" s="190"/>
      <c r="BB315" s="190"/>
      <c r="BC315" s="190"/>
      <c r="BD315" s="190"/>
      <c r="BE315" s="190"/>
      <c r="BF315" s="190"/>
      <c r="BG315" s="190"/>
      <c r="BH315" s="190"/>
      <c r="BI315" s="190"/>
      <c r="BJ315" s="190"/>
      <c r="BK315" s="190"/>
      <c r="BL315" s="190"/>
      <c r="BM315" s="190"/>
      <c r="BN315" s="190"/>
      <c r="BO315" s="190"/>
      <c r="TU315" s="178"/>
      <c r="TV315" s="178"/>
    </row>
    <row r="316" spans="1:542" ht="30" x14ac:dyDescent="0.25">
      <c r="A316" s="96" t="s">
        <v>518</v>
      </c>
      <c r="B316" s="158" t="str">
        <f>"[yes/no check necessary]"</f>
        <v>[yes/no check necessary]</v>
      </c>
      <c r="C316" s="159"/>
      <c r="D316" s="155"/>
      <c r="E316" s="190"/>
      <c r="F316" s="190"/>
      <c r="G316" s="190"/>
      <c r="H316" s="190"/>
      <c r="I316" s="190"/>
      <c r="J316" s="190"/>
      <c r="K316" s="190"/>
      <c r="L316" s="190"/>
      <c r="M316" s="190"/>
      <c r="N316" s="190"/>
      <c r="O316" s="190"/>
      <c r="P316" s="190"/>
      <c r="Q316" s="190"/>
      <c r="R316" s="190"/>
      <c r="S316" s="190"/>
      <c r="T316" s="190"/>
      <c r="U316" s="190"/>
      <c r="V316" s="190"/>
      <c r="W316" s="190"/>
      <c r="X316" s="190"/>
      <c r="Y316" s="190"/>
      <c r="Z316" s="190"/>
      <c r="AA316" s="190"/>
      <c r="AB316" s="190"/>
      <c r="AC316" s="190"/>
      <c r="AD316" s="190"/>
      <c r="AE316" s="190"/>
      <c r="AF316" s="190"/>
      <c r="AG316" s="190"/>
      <c r="AH316" s="190"/>
      <c r="AI316" s="190"/>
      <c r="AJ316" s="190"/>
      <c r="AK316" s="190"/>
      <c r="AL316" s="190"/>
      <c r="AM316" s="190"/>
      <c r="AN316" s="190"/>
      <c r="AO316" s="190"/>
      <c r="AP316" s="190"/>
      <c r="AQ316" s="190"/>
      <c r="AR316" s="190"/>
      <c r="AS316" s="190"/>
      <c r="AT316" s="190"/>
      <c r="AU316" s="190"/>
      <c r="AV316" s="190"/>
      <c r="AW316" s="190"/>
      <c r="AX316" s="190"/>
      <c r="AY316" s="190"/>
      <c r="AZ316" s="190"/>
      <c r="BA316" s="190"/>
      <c r="BB316" s="190"/>
      <c r="BC316" s="190"/>
      <c r="BD316" s="190"/>
      <c r="BE316" s="190"/>
      <c r="BF316" s="190"/>
      <c r="BG316" s="190"/>
      <c r="BH316" s="190"/>
      <c r="BI316" s="190"/>
      <c r="BJ316" s="190"/>
      <c r="BK316" s="190"/>
      <c r="BL316" s="190"/>
      <c r="BM316" s="190"/>
      <c r="BN316" s="190"/>
      <c r="BO316" s="190"/>
      <c r="TU316" s="178"/>
      <c r="TV316" s="178"/>
    </row>
    <row r="317" spans="1:542" x14ac:dyDescent="0.25">
      <c r="A317" s="96" t="s">
        <v>519</v>
      </c>
      <c r="B317" s="158" t="str">
        <f>"[yes/no check necessary]"</f>
        <v>[yes/no check necessary]</v>
      </c>
      <c r="C317" s="159"/>
      <c r="D317" s="155"/>
      <c r="E317" s="190"/>
      <c r="F317" s="190"/>
      <c r="G317" s="190"/>
      <c r="H317" s="190"/>
      <c r="I317" s="190"/>
      <c r="J317" s="190"/>
      <c r="K317" s="190"/>
      <c r="L317" s="190"/>
      <c r="M317" s="190"/>
      <c r="N317" s="190"/>
      <c r="O317" s="190"/>
      <c r="P317" s="190"/>
      <c r="Q317" s="190"/>
      <c r="R317" s="190"/>
      <c r="S317" s="190"/>
      <c r="T317" s="190"/>
      <c r="U317" s="190"/>
      <c r="V317" s="190"/>
      <c r="W317" s="190"/>
      <c r="X317" s="190"/>
      <c r="Y317" s="190"/>
      <c r="Z317" s="190"/>
      <c r="AA317" s="190"/>
      <c r="AB317" s="190"/>
      <c r="AC317" s="190"/>
      <c r="AD317" s="190"/>
      <c r="AE317" s="190"/>
      <c r="AF317" s="190"/>
      <c r="AG317" s="190"/>
      <c r="AH317" s="190"/>
      <c r="AI317" s="190"/>
      <c r="AJ317" s="190"/>
      <c r="AK317" s="190"/>
      <c r="AL317" s="190"/>
      <c r="AM317" s="190"/>
      <c r="AN317" s="190"/>
      <c r="AO317" s="190"/>
      <c r="AP317" s="190"/>
      <c r="AQ317" s="190"/>
      <c r="AR317" s="190"/>
      <c r="AS317" s="190"/>
      <c r="AT317" s="190"/>
      <c r="AU317" s="190"/>
      <c r="AV317" s="190"/>
      <c r="AW317" s="190"/>
      <c r="AX317" s="190"/>
      <c r="AY317" s="190"/>
      <c r="AZ317" s="190"/>
      <c r="BA317" s="190"/>
      <c r="BB317" s="190"/>
      <c r="BC317" s="190"/>
      <c r="BD317" s="190"/>
      <c r="BE317" s="190"/>
      <c r="BF317" s="190"/>
      <c r="BG317" s="190"/>
      <c r="BH317" s="190"/>
      <c r="BI317" s="190"/>
      <c r="BJ317" s="190"/>
      <c r="BK317" s="190"/>
      <c r="BL317" s="190"/>
      <c r="BM317" s="190"/>
      <c r="BN317" s="190"/>
      <c r="BO317" s="190"/>
      <c r="TU317" s="178"/>
      <c r="TV317" s="178"/>
    </row>
    <row r="318" spans="1:542" x14ac:dyDescent="0.25">
      <c r="A318" s="96" t="s">
        <v>220</v>
      </c>
      <c r="B318" s="158" t="str">
        <f t="shared" ref="B318" si="19">"[yes/no]"</f>
        <v>[yes/no]</v>
      </c>
      <c r="C318" s="159"/>
      <c r="D318" s="155"/>
      <c r="E318" s="190"/>
      <c r="F318" s="190"/>
      <c r="G318" s="190"/>
      <c r="H318" s="190"/>
      <c r="I318" s="190"/>
      <c r="J318" s="190"/>
      <c r="K318" s="190"/>
      <c r="L318" s="190"/>
      <c r="M318" s="190"/>
      <c r="N318" s="190"/>
      <c r="O318" s="190"/>
      <c r="P318" s="190"/>
      <c r="Q318" s="190"/>
      <c r="R318" s="190"/>
      <c r="S318" s="190"/>
      <c r="T318" s="190"/>
      <c r="U318" s="190"/>
      <c r="V318" s="190"/>
      <c r="W318" s="190"/>
      <c r="X318" s="190"/>
      <c r="Y318" s="190"/>
      <c r="Z318" s="190"/>
      <c r="AA318" s="190"/>
      <c r="AB318" s="190"/>
      <c r="AC318" s="190"/>
      <c r="AD318" s="190"/>
      <c r="AE318" s="190"/>
      <c r="AF318" s="190"/>
      <c r="AG318" s="190"/>
      <c r="AH318" s="190"/>
      <c r="AI318" s="190"/>
      <c r="AJ318" s="190"/>
      <c r="AK318" s="190"/>
      <c r="AL318" s="190"/>
      <c r="AM318" s="190"/>
      <c r="AN318" s="190"/>
      <c r="AO318" s="190"/>
      <c r="AP318" s="190"/>
      <c r="AQ318" s="190"/>
      <c r="AR318" s="190"/>
      <c r="AS318" s="190"/>
      <c r="AT318" s="190"/>
      <c r="AU318" s="190"/>
      <c r="AV318" s="190"/>
      <c r="AW318" s="190"/>
      <c r="AX318" s="190"/>
      <c r="AY318" s="190"/>
      <c r="AZ318" s="190"/>
      <c r="BA318" s="190"/>
      <c r="BB318" s="190"/>
      <c r="BC318" s="190"/>
      <c r="BD318" s="190"/>
      <c r="BE318" s="190"/>
      <c r="BF318" s="190"/>
      <c r="BG318" s="190"/>
      <c r="BH318" s="190"/>
      <c r="BI318" s="190"/>
      <c r="BJ318" s="190"/>
      <c r="BK318" s="190"/>
      <c r="BL318" s="190"/>
      <c r="BM318" s="190"/>
      <c r="BN318" s="190"/>
      <c r="BO318" s="190"/>
      <c r="TU318" s="178"/>
      <c r="TV318" s="178"/>
    </row>
    <row r="319" spans="1:542" x14ac:dyDescent="0.25">
      <c r="A319" s="96" t="s">
        <v>221</v>
      </c>
      <c r="B319" s="158"/>
      <c r="C319" s="159"/>
      <c r="D319" s="155"/>
      <c r="E319" s="190"/>
      <c r="F319" s="190"/>
      <c r="G319" s="190"/>
      <c r="H319" s="190"/>
      <c r="I319" s="190"/>
      <c r="J319" s="190"/>
      <c r="K319" s="190"/>
      <c r="L319" s="190"/>
      <c r="M319" s="190"/>
      <c r="N319" s="190"/>
      <c r="O319" s="190"/>
      <c r="P319" s="190"/>
      <c r="Q319" s="190"/>
      <c r="R319" s="190"/>
      <c r="S319" s="190"/>
      <c r="T319" s="190"/>
      <c r="U319" s="190"/>
      <c r="V319" s="190"/>
      <c r="W319" s="190"/>
      <c r="X319" s="190"/>
      <c r="Y319" s="190"/>
      <c r="Z319" s="190"/>
      <c r="AA319" s="190"/>
      <c r="AB319" s="190"/>
      <c r="AC319" s="190"/>
      <c r="AD319" s="190"/>
      <c r="AE319" s="190"/>
      <c r="AF319" s="190"/>
      <c r="AG319" s="190"/>
      <c r="AH319" s="190"/>
      <c r="AI319" s="190"/>
      <c r="AJ319" s="190"/>
      <c r="AK319" s="190"/>
      <c r="AL319" s="190"/>
      <c r="AM319" s="190"/>
      <c r="AN319" s="190"/>
      <c r="AO319" s="190"/>
      <c r="AP319" s="190"/>
      <c r="AQ319" s="190"/>
      <c r="AR319" s="190"/>
      <c r="AS319" s="190"/>
      <c r="AT319" s="190"/>
      <c r="AU319" s="190"/>
      <c r="AV319" s="190"/>
      <c r="AW319" s="190"/>
      <c r="AX319" s="190"/>
      <c r="AY319" s="190"/>
      <c r="AZ319" s="190"/>
      <c r="BA319" s="190"/>
      <c r="BB319" s="190"/>
      <c r="BC319" s="190"/>
      <c r="BD319" s="190"/>
      <c r="BE319" s="190"/>
      <c r="BF319" s="190"/>
      <c r="BG319" s="190"/>
      <c r="BH319" s="190"/>
      <c r="BI319" s="190"/>
      <c r="BJ319" s="190"/>
      <c r="BK319" s="190"/>
      <c r="BL319" s="190"/>
      <c r="BM319" s="190"/>
      <c r="BN319" s="190"/>
      <c r="BO319" s="190"/>
      <c r="TU319" s="178"/>
      <c r="TV319" s="178"/>
    </row>
    <row r="320" spans="1:542" x14ac:dyDescent="0.25">
      <c r="A320" s="96" t="s">
        <v>222</v>
      </c>
      <c r="B320" s="158"/>
      <c r="C320" s="159"/>
      <c r="D320" s="155"/>
      <c r="E320" s="190"/>
      <c r="F320" s="190"/>
      <c r="G320" s="190"/>
      <c r="H320" s="190"/>
      <c r="I320" s="190"/>
      <c r="J320" s="190"/>
      <c r="K320" s="190"/>
      <c r="L320" s="190"/>
      <c r="M320" s="190"/>
      <c r="N320" s="190"/>
      <c r="O320" s="190"/>
      <c r="P320" s="190"/>
      <c r="Q320" s="190"/>
      <c r="R320" s="190"/>
      <c r="S320" s="190"/>
      <c r="T320" s="190"/>
      <c r="U320" s="190"/>
      <c r="V320" s="190"/>
      <c r="W320" s="190"/>
      <c r="X320" s="190"/>
      <c r="Y320" s="190"/>
      <c r="Z320" s="190"/>
      <c r="AA320" s="190"/>
      <c r="AB320" s="190"/>
      <c r="AC320" s="190"/>
      <c r="AD320" s="190"/>
      <c r="AE320" s="190"/>
      <c r="AF320" s="190"/>
      <c r="AG320" s="190"/>
      <c r="AH320" s="190"/>
      <c r="AI320" s="190"/>
      <c r="AJ320" s="190"/>
      <c r="AK320" s="190"/>
      <c r="AL320" s="190"/>
      <c r="AM320" s="190"/>
      <c r="AN320" s="190"/>
      <c r="AO320" s="190"/>
      <c r="AP320" s="190"/>
      <c r="AQ320" s="190"/>
      <c r="AR320" s="190"/>
      <c r="AS320" s="190"/>
      <c r="AT320" s="190"/>
      <c r="AU320" s="190"/>
      <c r="AV320" s="190"/>
      <c r="AW320" s="190"/>
      <c r="AX320" s="190"/>
      <c r="AY320" s="190"/>
      <c r="AZ320" s="190"/>
      <c r="BA320" s="190"/>
      <c r="BB320" s="190"/>
      <c r="BC320" s="190"/>
      <c r="BD320" s="190"/>
      <c r="BE320" s="190"/>
      <c r="BF320" s="190"/>
      <c r="BG320" s="190"/>
      <c r="BH320" s="190"/>
      <c r="BI320" s="190"/>
      <c r="BJ320" s="190"/>
      <c r="BK320" s="190"/>
      <c r="BL320" s="190"/>
      <c r="BM320" s="190"/>
      <c r="BN320" s="190"/>
      <c r="BO320" s="190"/>
      <c r="TU320" s="178"/>
      <c r="TV320" s="178"/>
    </row>
    <row r="321" spans="1:542" x14ac:dyDescent="0.25">
      <c r="A321" s="96" t="s">
        <v>223</v>
      </c>
      <c r="B321" s="158"/>
      <c r="C321" s="159"/>
      <c r="D321" s="155"/>
      <c r="E321" s="190"/>
      <c r="F321" s="190"/>
      <c r="G321" s="190"/>
      <c r="H321" s="190"/>
      <c r="I321" s="190"/>
      <c r="J321" s="190"/>
      <c r="K321" s="190"/>
      <c r="L321" s="190"/>
      <c r="M321" s="190"/>
      <c r="N321" s="190"/>
      <c r="O321" s="190"/>
      <c r="P321" s="190"/>
      <c r="Q321" s="190"/>
      <c r="R321" s="190"/>
      <c r="S321" s="190"/>
      <c r="T321" s="190"/>
      <c r="U321" s="190"/>
      <c r="V321" s="190"/>
      <c r="W321" s="190"/>
      <c r="X321" s="190"/>
      <c r="Y321" s="190"/>
      <c r="Z321" s="190"/>
      <c r="AA321" s="190"/>
      <c r="AB321" s="190"/>
      <c r="AC321" s="190"/>
      <c r="AD321" s="190"/>
      <c r="AE321" s="190"/>
      <c r="AF321" s="190"/>
      <c r="AG321" s="190"/>
      <c r="AH321" s="190"/>
      <c r="AI321" s="190"/>
      <c r="AJ321" s="190"/>
      <c r="AK321" s="190"/>
      <c r="AL321" s="190"/>
      <c r="AM321" s="190"/>
      <c r="AN321" s="190"/>
      <c r="AO321" s="190"/>
      <c r="AP321" s="190"/>
      <c r="AQ321" s="190"/>
      <c r="AR321" s="190"/>
      <c r="AS321" s="190"/>
      <c r="AT321" s="190"/>
      <c r="AU321" s="190"/>
      <c r="AV321" s="190"/>
      <c r="AW321" s="190"/>
      <c r="AX321" s="190"/>
      <c r="AY321" s="190"/>
      <c r="AZ321" s="190"/>
      <c r="BA321" s="190"/>
      <c r="BB321" s="190"/>
      <c r="BC321" s="190"/>
      <c r="BD321" s="190"/>
      <c r="BE321" s="190"/>
      <c r="BF321" s="190"/>
      <c r="BG321" s="190"/>
      <c r="BH321" s="190"/>
      <c r="BI321" s="190"/>
      <c r="BJ321" s="190"/>
      <c r="BK321" s="190"/>
      <c r="BL321" s="190"/>
      <c r="BM321" s="190"/>
      <c r="BN321" s="190"/>
      <c r="BO321" s="190"/>
      <c r="TU321" s="178"/>
      <c r="TV321" s="178"/>
    </row>
    <row r="322" spans="1:542" x14ac:dyDescent="0.25">
      <c r="A322" s="96" t="s">
        <v>224</v>
      </c>
      <c r="B322" s="158"/>
      <c r="C322" s="159"/>
      <c r="D322" s="155"/>
      <c r="E322" s="190"/>
      <c r="F322" s="190"/>
      <c r="G322" s="190"/>
      <c r="H322" s="190"/>
      <c r="I322" s="190"/>
      <c r="J322" s="190"/>
      <c r="K322" s="190"/>
      <c r="L322" s="190"/>
      <c r="M322" s="190"/>
      <c r="N322" s="190"/>
      <c r="O322" s="190"/>
      <c r="P322" s="190"/>
      <c r="Q322" s="190"/>
      <c r="R322" s="190"/>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TU322" s="178"/>
      <c r="TV322" s="178"/>
    </row>
    <row r="323" spans="1:542" x14ac:dyDescent="0.25">
      <c r="A323" s="96" t="s">
        <v>225</v>
      </c>
      <c r="B323" s="158"/>
      <c r="C323" s="159"/>
      <c r="D323" s="155"/>
      <c r="E323" s="190"/>
      <c r="F323" s="190"/>
      <c r="G323" s="190"/>
      <c r="H323" s="190"/>
      <c r="I323" s="190"/>
      <c r="J323" s="190"/>
      <c r="K323" s="190"/>
      <c r="L323" s="190"/>
      <c r="M323" s="190"/>
      <c r="N323" s="190"/>
      <c r="O323" s="190"/>
      <c r="P323" s="190"/>
      <c r="Q323" s="190"/>
      <c r="R323" s="190"/>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TU323" s="178"/>
      <c r="TV323" s="178"/>
    </row>
    <row r="324" spans="1:542" ht="30" x14ac:dyDescent="0.25">
      <c r="A324" s="189" t="s">
        <v>315</v>
      </c>
      <c r="B324" s="117"/>
      <c r="C324" s="114" t="s">
        <v>556</v>
      </c>
      <c r="D324" s="121" t="s">
        <v>557</v>
      </c>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194"/>
      <c r="AK324" s="194"/>
      <c r="AL324" s="194"/>
      <c r="AM324" s="194"/>
      <c r="AN324" s="194"/>
      <c r="AO324" s="194"/>
      <c r="AP324" s="194"/>
      <c r="AQ324" s="194"/>
      <c r="AR324" s="194"/>
      <c r="AS324" s="194"/>
      <c r="AT324" s="194"/>
      <c r="AU324" s="194"/>
      <c r="AV324" s="194"/>
      <c r="AW324" s="194"/>
      <c r="AX324" s="194"/>
      <c r="AY324" s="194"/>
      <c r="AZ324" s="194"/>
      <c r="BA324" s="194"/>
      <c r="BB324" s="194"/>
      <c r="BC324" s="194"/>
      <c r="BD324" s="194"/>
      <c r="BE324" s="194"/>
      <c r="BF324" s="194"/>
      <c r="BG324" s="194"/>
      <c r="BH324" s="194"/>
      <c r="BI324" s="194"/>
      <c r="BJ324" s="194"/>
      <c r="BK324" s="194"/>
      <c r="BL324" s="194"/>
      <c r="BM324" s="194"/>
      <c r="BN324" s="194"/>
      <c r="BO324" s="194"/>
      <c r="TU324" s="178"/>
      <c r="TV324" s="178"/>
    </row>
    <row r="325" spans="1:542" x14ac:dyDescent="0.25">
      <c r="A325" s="202" t="s">
        <v>316</v>
      </c>
      <c r="B325" s="163"/>
      <c r="C325" s="164"/>
      <c r="D325" s="165"/>
      <c r="E325" s="190"/>
      <c r="F325" s="190"/>
      <c r="G325" s="190"/>
      <c r="H325" s="190"/>
      <c r="I325" s="190"/>
      <c r="J325" s="190"/>
      <c r="K325" s="190"/>
      <c r="L325" s="190"/>
      <c r="M325" s="190"/>
      <c r="N325" s="190"/>
      <c r="O325" s="190"/>
      <c r="P325" s="190"/>
      <c r="Q325" s="190"/>
      <c r="R325" s="190"/>
      <c r="S325" s="190"/>
      <c r="T325" s="190"/>
      <c r="U325" s="190"/>
      <c r="V325" s="190"/>
      <c r="W325" s="190"/>
      <c r="X325" s="190"/>
      <c r="Y325" s="190"/>
      <c r="Z325" s="190"/>
      <c r="AA325" s="190"/>
      <c r="AB325" s="190"/>
      <c r="AC325" s="190"/>
      <c r="AD325" s="190"/>
      <c r="AE325" s="190"/>
      <c r="AF325" s="190"/>
      <c r="AG325" s="190"/>
      <c r="AH325" s="190"/>
      <c r="AI325" s="190"/>
      <c r="AJ325" s="190"/>
      <c r="AK325" s="190"/>
      <c r="AL325" s="190"/>
      <c r="AM325" s="190"/>
      <c r="AN325" s="190"/>
      <c r="AO325" s="190"/>
      <c r="AP325" s="190"/>
      <c r="AQ325" s="190"/>
      <c r="AR325" s="190"/>
      <c r="AS325" s="190"/>
      <c r="AT325" s="190"/>
      <c r="AU325" s="190"/>
      <c r="AV325" s="190"/>
      <c r="AW325" s="190"/>
      <c r="AX325" s="190"/>
      <c r="AY325" s="190"/>
      <c r="AZ325" s="190"/>
      <c r="BA325" s="190"/>
      <c r="BB325" s="190"/>
      <c r="BC325" s="190"/>
      <c r="BD325" s="190"/>
      <c r="BE325" s="190"/>
      <c r="BF325" s="190"/>
      <c r="BG325" s="190"/>
      <c r="BH325" s="190"/>
      <c r="BI325" s="190"/>
      <c r="BJ325" s="190"/>
      <c r="BK325" s="190"/>
      <c r="BL325" s="190"/>
      <c r="BM325" s="190"/>
      <c r="BN325" s="190"/>
      <c r="BO325" s="190"/>
      <c r="TU325" s="178"/>
      <c r="TV325" s="178"/>
    </row>
    <row r="326" spans="1:542" ht="15.75" thickBot="1" x14ac:dyDescent="0.3">
      <c r="A326" s="203" t="s">
        <v>369</v>
      </c>
      <c r="B326" s="166"/>
      <c r="C326" s="167"/>
      <c r="D326" s="168"/>
      <c r="E326" s="190"/>
      <c r="F326" s="190"/>
      <c r="G326" s="190"/>
      <c r="H326" s="190"/>
      <c r="I326" s="190"/>
      <c r="J326" s="190"/>
      <c r="K326" s="190"/>
      <c r="L326" s="190"/>
      <c r="M326" s="190"/>
      <c r="N326" s="190"/>
      <c r="O326" s="190"/>
      <c r="P326" s="190"/>
      <c r="Q326" s="190"/>
      <c r="R326" s="190"/>
      <c r="S326" s="190"/>
      <c r="T326" s="190"/>
      <c r="U326" s="190"/>
      <c r="V326" s="190"/>
      <c r="W326" s="190"/>
      <c r="X326" s="190"/>
      <c r="Y326" s="190"/>
      <c r="Z326" s="190"/>
      <c r="AA326" s="190"/>
      <c r="AB326" s="190"/>
      <c r="AC326" s="190"/>
      <c r="AD326" s="190"/>
      <c r="AE326" s="190"/>
      <c r="AF326" s="190"/>
      <c r="AG326" s="190"/>
      <c r="AH326" s="190"/>
      <c r="AI326" s="190"/>
      <c r="AJ326" s="190"/>
      <c r="AK326" s="190"/>
      <c r="AL326" s="190"/>
      <c r="AM326" s="190"/>
      <c r="AN326" s="190"/>
      <c r="AO326" s="190"/>
      <c r="AP326" s="190"/>
      <c r="AQ326" s="190"/>
      <c r="AR326" s="190"/>
      <c r="AS326" s="190"/>
      <c r="AT326" s="190"/>
      <c r="AU326" s="190"/>
      <c r="AV326" s="190"/>
      <c r="AW326" s="190"/>
      <c r="AX326" s="190"/>
      <c r="AY326" s="190"/>
      <c r="AZ326" s="190"/>
      <c r="BA326" s="190"/>
      <c r="BB326" s="190"/>
      <c r="BC326" s="190"/>
      <c r="BD326" s="190"/>
      <c r="BE326" s="190"/>
      <c r="BF326" s="190"/>
      <c r="BG326" s="190"/>
      <c r="BH326" s="190"/>
      <c r="BI326" s="190"/>
      <c r="BJ326" s="190"/>
      <c r="BK326" s="190"/>
      <c r="BL326" s="190"/>
      <c r="BM326" s="190"/>
      <c r="BN326" s="190"/>
      <c r="BO326" s="190"/>
      <c r="TU326" s="178"/>
      <c r="TV326" s="178"/>
    </row>
    <row r="327" spans="1:542" x14ac:dyDescent="0.25">
      <c r="A327" s="204" t="s">
        <v>317</v>
      </c>
      <c r="B327" s="169"/>
      <c r="C327" s="170"/>
      <c r="D327" s="171"/>
      <c r="E327" s="190"/>
      <c r="F327" s="190"/>
      <c r="G327" s="190"/>
      <c r="H327" s="190"/>
      <c r="I327" s="190"/>
      <c r="J327" s="190"/>
      <c r="K327" s="190"/>
      <c r="L327" s="190"/>
      <c r="M327" s="190"/>
      <c r="N327" s="190"/>
      <c r="O327" s="190"/>
      <c r="P327" s="190"/>
      <c r="Q327" s="190"/>
      <c r="R327" s="190"/>
      <c r="S327" s="190"/>
      <c r="T327" s="190"/>
      <c r="U327" s="190"/>
      <c r="V327" s="190"/>
      <c r="W327" s="190"/>
      <c r="X327" s="190"/>
      <c r="Y327" s="190"/>
      <c r="Z327" s="190"/>
      <c r="AA327" s="190"/>
      <c r="AB327" s="190"/>
      <c r="AC327" s="190"/>
      <c r="AD327" s="190"/>
      <c r="AE327" s="190"/>
      <c r="AF327" s="190"/>
      <c r="AG327" s="190"/>
      <c r="AH327" s="190"/>
      <c r="AI327" s="190"/>
      <c r="AJ327" s="190"/>
      <c r="AK327" s="190"/>
      <c r="AL327" s="190"/>
      <c r="AM327" s="190"/>
      <c r="AN327" s="190"/>
      <c r="AO327" s="190"/>
      <c r="AP327" s="190"/>
      <c r="AQ327" s="190"/>
      <c r="AR327" s="190"/>
      <c r="AS327" s="190"/>
      <c r="AT327" s="190"/>
      <c r="AU327" s="190"/>
      <c r="AV327" s="190"/>
      <c r="AW327" s="190"/>
      <c r="AX327" s="190"/>
      <c r="AY327" s="190"/>
      <c r="AZ327" s="190"/>
      <c r="BA327" s="190"/>
      <c r="BB327" s="190"/>
      <c r="BC327" s="190"/>
      <c r="BD327" s="190"/>
      <c r="BE327" s="190"/>
      <c r="BF327" s="190"/>
      <c r="BG327" s="190"/>
      <c r="BH327" s="190"/>
      <c r="BI327" s="190"/>
      <c r="BJ327" s="190"/>
      <c r="BK327" s="190"/>
      <c r="BL327" s="190"/>
      <c r="BM327" s="190"/>
      <c r="BN327" s="190"/>
      <c r="BO327" s="190"/>
      <c r="TU327" s="178"/>
      <c r="TV327" s="178"/>
    </row>
    <row r="328" spans="1:542" ht="15.75" thickBot="1" x14ac:dyDescent="0.3">
      <c r="A328" s="203" t="s">
        <v>370</v>
      </c>
      <c r="B328" s="166"/>
      <c r="C328" s="167"/>
      <c r="D328" s="168"/>
      <c r="E328" s="190"/>
      <c r="F328" s="190"/>
      <c r="G328" s="190"/>
      <c r="H328" s="190"/>
      <c r="I328" s="190"/>
      <c r="J328" s="190"/>
      <c r="K328" s="190"/>
      <c r="L328" s="190"/>
      <c r="M328" s="190"/>
      <c r="N328" s="190"/>
      <c r="O328" s="190"/>
      <c r="P328" s="190"/>
      <c r="Q328" s="190"/>
      <c r="R328" s="190"/>
      <c r="S328" s="190"/>
      <c r="T328" s="190"/>
      <c r="U328" s="190"/>
      <c r="V328" s="190"/>
      <c r="W328" s="190"/>
      <c r="X328" s="190"/>
      <c r="Y328" s="190"/>
      <c r="Z328" s="190"/>
      <c r="AA328" s="190"/>
      <c r="AB328" s="190"/>
      <c r="AC328" s="190"/>
      <c r="AD328" s="190"/>
      <c r="AE328" s="190"/>
      <c r="AF328" s="190"/>
      <c r="AG328" s="190"/>
      <c r="AH328" s="190"/>
      <c r="AI328" s="190"/>
      <c r="AJ328" s="190"/>
      <c r="AK328" s="190"/>
      <c r="AL328" s="190"/>
      <c r="AM328" s="190"/>
      <c r="AN328" s="190"/>
      <c r="AO328" s="190"/>
      <c r="AP328" s="190"/>
      <c r="AQ328" s="190"/>
      <c r="AR328" s="190"/>
      <c r="AS328" s="190"/>
      <c r="AT328" s="190"/>
      <c r="AU328" s="190"/>
      <c r="AV328" s="190"/>
      <c r="AW328" s="190"/>
      <c r="AX328" s="190"/>
      <c r="AY328" s="190"/>
      <c r="AZ328" s="190"/>
      <c r="BA328" s="190"/>
      <c r="BB328" s="190"/>
      <c r="BC328" s="190"/>
      <c r="BD328" s="190"/>
      <c r="BE328" s="190"/>
      <c r="BF328" s="190"/>
      <c r="BG328" s="190"/>
      <c r="BH328" s="190"/>
      <c r="BI328" s="190"/>
      <c r="BJ328" s="190"/>
      <c r="BK328" s="190"/>
      <c r="BL328" s="190"/>
      <c r="BM328" s="190"/>
      <c r="BN328" s="190"/>
      <c r="BO328" s="190"/>
      <c r="TU328" s="178"/>
      <c r="TV328" s="178"/>
    </row>
    <row r="329" spans="1:542" x14ac:dyDescent="0.25">
      <c r="A329" s="204" t="s">
        <v>318</v>
      </c>
      <c r="B329" s="169"/>
      <c r="C329" s="170"/>
      <c r="D329" s="171"/>
      <c r="E329" s="190"/>
      <c r="F329" s="190"/>
      <c r="G329" s="190"/>
      <c r="H329" s="190"/>
      <c r="I329" s="190"/>
      <c r="J329" s="190"/>
      <c r="K329" s="190"/>
      <c r="L329" s="190"/>
      <c r="M329" s="190"/>
      <c r="N329" s="190"/>
      <c r="O329" s="190"/>
      <c r="P329" s="190"/>
      <c r="Q329" s="190"/>
      <c r="R329" s="190"/>
      <c r="S329" s="190"/>
      <c r="T329" s="190"/>
      <c r="U329" s="190"/>
      <c r="V329" s="190"/>
      <c r="W329" s="190"/>
      <c r="X329" s="190"/>
      <c r="Y329" s="190"/>
      <c r="Z329" s="190"/>
      <c r="AA329" s="190"/>
      <c r="AB329" s="190"/>
      <c r="AC329" s="190"/>
      <c r="AD329" s="190"/>
      <c r="AE329" s="190"/>
      <c r="AF329" s="190"/>
      <c r="AG329" s="190"/>
      <c r="AH329" s="190"/>
      <c r="AI329" s="190"/>
      <c r="AJ329" s="190"/>
      <c r="AK329" s="190"/>
      <c r="AL329" s="190"/>
      <c r="AM329" s="190"/>
      <c r="AN329" s="190"/>
      <c r="AO329" s="190"/>
      <c r="AP329" s="190"/>
      <c r="AQ329" s="190"/>
      <c r="AR329" s="190"/>
      <c r="AS329" s="190"/>
      <c r="AT329" s="190"/>
      <c r="AU329" s="190"/>
      <c r="AV329" s="190"/>
      <c r="AW329" s="190"/>
      <c r="AX329" s="190"/>
      <c r="AY329" s="190"/>
      <c r="AZ329" s="190"/>
      <c r="BA329" s="190"/>
      <c r="BB329" s="190"/>
      <c r="BC329" s="190"/>
      <c r="BD329" s="190"/>
      <c r="BE329" s="190"/>
      <c r="BF329" s="190"/>
      <c r="BG329" s="190"/>
      <c r="BH329" s="190"/>
      <c r="BI329" s="190"/>
      <c r="BJ329" s="190"/>
      <c r="BK329" s="190"/>
      <c r="BL329" s="190"/>
      <c r="BM329" s="190"/>
      <c r="BN329" s="190"/>
      <c r="BO329" s="190"/>
      <c r="TU329" s="178"/>
      <c r="TV329" s="178"/>
    </row>
    <row r="330" spans="1:542" ht="15.75" thickBot="1" x14ac:dyDescent="0.3">
      <c r="A330" s="203" t="s">
        <v>371</v>
      </c>
      <c r="B330" s="166"/>
      <c r="C330" s="167"/>
      <c r="D330" s="168"/>
      <c r="E330" s="190"/>
      <c r="F330" s="190"/>
      <c r="G330" s="190"/>
      <c r="H330" s="190"/>
      <c r="I330" s="190"/>
      <c r="J330" s="190"/>
      <c r="K330" s="190"/>
      <c r="L330" s="190"/>
      <c r="M330" s="190"/>
      <c r="N330" s="190"/>
      <c r="O330" s="190"/>
      <c r="P330" s="190"/>
      <c r="Q330" s="190"/>
      <c r="R330" s="190"/>
      <c r="S330" s="190"/>
      <c r="T330" s="190"/>
      <c r="U330" s="190"/>
      <c r="V330" s="190"/>
      <c r="W330" s="190"/>
      <c r="X330" s="190"/>
      <c r="Y330" s="190"/>
      <c r="Z330" s="190"/>
      <c r="AA330" s="190"/>
      <c r="AB330" s="190"/>
      <c r="AC330" s="190"/>
      <c r="AD330" s="190"/>
      <c r="AE330" s="190"/>
      <c r="AF330" s="190"/>
      <c r="AG330" s="190"/>
      <c r="AH330" s="190"/>
      <c r="AI330" s="190"/>
      <c r="AJ330" s="190"/>
      <c r="AK330" s="190"/>
      <c r="AL330" s="190"/>
      <c r="AM330" s="190"/>
      <c r="AN330" s="190"/>
      <c r="AO330" s="190"/>
      <c r="AP330" s="190"/>
      <c r="AQ330" s="190"/>
      <c r="AR330" s="190"/>
      <c r="AS330" s="190"/>
      <c r="AT330" s="190"/>
      <c r="AU330" s="190"/>
      <c r="AV330" s="190"/>
      <c r="AW330" s="190"/>
      <c r="AX330" s="190"/>
      <c r="AY330" s="190"/>
      <c r="AZ330" s="190"/>
      <c r="BA330" s="190"/>
      <c r="BB330" s="190"/>
      <c r="BC330" s="190"/>
      <c r="BD330" s="190"/>
      <c r="BE330" s="190"/>
      <c r="BF330" s="190"/>
      <c r="BG330" s="190"/>
      <c r="BH330" s="190"/>
      <c r="BI330" s="190"/>
      <c r="BJ330" s="190"/>
      <c r="BK330" s="190"/>
      <c r="BL330" s="190"/>
      <c r="BM330" s="190"/>
      <c r="BN330" s="190"/>
      <c r="BO330" s="190"/>
      <c r="TU330" s="178"/>
      <c r="TV330" s="178"/>
    </row>
    <row r="331" spans="1:542" x14ac:dyDescent="0.25">
      <c r="A331" s="204" t="s">
        <v>319</v>
      </c>
      <c r="B331" s="169"/>
      <c r="C331" s="170"/>
      <c r="D331" s="171"/>
      <c r="E331" s="190"/>
      <c r="F331" s="190"/>
      <c r="G331" s="190"/>
      <c r="H331" s="190"/>
      <c r="I331" s="190"/>
      <c r="J331" s="190"/>
      <c r="K331" s="190"/>
      <c r="L331" s="190"/>
      <c r="M331" s="190"/>
      <c r="N331" s="190"/>
      <c r="O331" s="190"/>
      <c r="P331" s="190"/>
      <c r="Q331" s="190"/>
      <c r="R331" s="190"/>
      <c r="S331" s="190"/>
      <c r="T331" s="190"/>
      <c r="U331" s="190"/>
      <c r="V331" s="190"/>
      <c r="W331" s="190"/>
      <c r="X331" s="190"/>
      <c r="Y331" s="190"/>
      <c r="Z331" s="190"/>
      <c r="AA331" s="190"/>
      <c r="AB331" s="190"/>
      <c r="AC331" s="190"/>
      <c r="AD331" s="190"/>
      <c r="AE331" s="190"/>
      <c r="AF331" s="190"/>
      <c r="AG331" s="190"/>
      <c r="AH331" s="190"/>
      <c r="AI331" s="190"/>
      <c r="AJ331" s="190"/>
      <c r="AK331" s="190"/>
      <c r="AL331" s="190"/>
      <c r="AM331" s="190"/>
      <c r="AN331" s="190"/>
      <c r="AO331" s="190"/>
      <c r="AP331" s="190"/>
      <c r="AQ331" s="190"/>
      <c r="AR331" s="190"/>
      <c r="AS331" s="190"/>
      <c r="AT331" s="190"/>
      <c r="AU331" s="190"/>
      <c r="AV331" s="190"/>
      <c r="AW331" s="190"/>
      <c r="AX331" s="190"/>
      <c r="AY331" s="190"/>
      <c r="AZ331" s="190"/>
      <c r="BA331" s="190"/>
      <c r="BB331" s="190"/>
      <c r="BC331" s="190"/>
      <c r="BD331" s="190"/>
      <c r="BE331" s="190"/>
      <c r="BF331" s="190"/>
      <c r="BG331" s="190"/>
      <c r="BH331" s="190"/>
      <c r="BI331" s="190"/>
      <c r="BJ331" s="190"/>
      <c r="BK331" s="190"/>
      <c r="BL331" s="190"/>
      <c r="BM331" s="190"/>
      <c r="BN331" s="190"/>
      <c r="BO331" s="190"/>
      <c r="TU331" s="178"/>
      <c r="TV331" s="178"/>
    </row>
    <row r="332" spans="1:542" ht="15.75" thickBot="1" x14ac:dyDescent="0.3">
      <c r="A332" s="203" t="s">
        <v>372</v>
      </c>
      <c r="B332" s="166"/>
      <c r="C332" s="167"/>
      <c r="D332" s="168"/>
      <c r="E332" s="190"/>
      <c r="F332" s="190"/>
      <c r="G332" s="190"/>
      <c r="H332" s="190"/>
      <c r="I332" s="190"/>
      <c r="J332" s="190"/>
      <c r="K332" s="190"/>
      <c r="L332" s="190"/>
      <c r="M332" s="190"/>
      <c r="N332" s="190"/>
      <c r="O332" s="190"/>
      <c r="P332" s="190"/>
      <c r="Q332" s="190"/>
      <c r="R332" s="190"/>
      <c r="S332" s="190"/>
      <c r="T332" s="190"/>
      <c r="U332" s="190"/>
      <c r="V332" s="190"/>
      <c r="W332" s="190"/>
      <c r="X332" s="190"/>
      <c r="Y332" s="190"/>
      <c r="Z332" s="190"/>
      <c r="AA332" s="190"/>
      <c r="AB332" s="190"/>
      <c r="AC332" s="190"/>
      <c r="AD332" s="190"/>
      <c r="AE332" s="190"/>
      <c r="AF332" s="190"/>
      <c r="AG332" s="190"/>
      <c r="AH332" s="190"/>
      <c r="AI332" s="190"/>
      <c r="AJ332" s="190"/>
      <c r="AK332" s="190"/>
      <c r="AL332" s="190"/>
      <c r="AM332" s="190"/>
      <c r="AN332" s="190"/>
      <c r="AO332" s="190"/>
      <c r="AP332" s="190"/>
      <c r="AQ332" s="190"/>
      <c r="AR332" s="190"/>
      <c r="AS332" s="190"/>
      <c r="AT332" s="190"/>
      <c r="AU332" s="190"/>
      <c r="AV332" s="190"/>
      <c r="AW332" s="190"/>
      <c r="AX332" s="190"/>
      <c r="AY332" s="190"/>
      <c r="AZ332" s="190"/>
      <c r="BA332" s="190"/>
      <c r="BB332" s="190"/>
      <c r="BC332" s="190"/>
      <c r="BD332" s="190"/>
      <c r="BE332" s="190"/>
      <c r="BF332" s="190"/>
      <c r="BG332" s="190"/>
      <c r="BH332" s="190"/>
      <c r="BI332" s="190"/>
      <c r="BJ332" s="190"/>
      <c r="BK332" s="190"/>
      <c r="BL332" s="190"/>
      <c r="BM332" s="190"/>
      <c r="BN332" s="190"/>
      <c r="BO332" s="190"/>
      <c r="TU332" s="178"/>
      <c r="TV332" s="178"/>
    </row>
    <row r="333" spans="1:542" x14ac:dyDescent="0.25">
      <c r="A333" s="204" t="s">
        <v>320</v>
      </c>
      <c r="B333" s="169"/>
      <c r="C333" s="170"/>
      <c r="D333" s="171"/>
      <c r="E333" s="190"/>
      <c r="F333" s="190"/>
      <c r="G333" s="190"/>
      <c r="H333" s="190"/>
      <c r="I333" s="190"/>
      <c r="J333" s="190"/>
      <c r="K333" s="190"/>
      <c r="L333" s="190"/>
      <c r="M333" s="190"/>
      <c r="N333" s="190"/>
      <c r="O333" s="190"/>
      <c r="P333" s="190"/>
      <c r="Q333" s="190"/>
      <c r="R333" s="190"/>
      <c r="S333" s="190"/>
      <c r="T333" s="190"/>
      <c r="U333" s="190"/>
      <c r="V333" s="190"/>
      <c r="W333" s="190"/>
      <c r="X333" s="190"/>
      <c r="Y333" s="190"/>
      <c r="Z333" s="190"/>
      <c r="AA333" s="190"/>
      <c r="AB333" s="190"/>
      <c r="AC333" s="190"/>
      <c r="AD333" s="190"/>
      <c r="AE333" s="190"/>
      <c r="AF333" s="190"/>
      <c r="AG333" s="190"/>
      <c r="AH333" s="190"/>
      <c r="AI333" s="190"/>
      <c r="AJ333" s="190"/>
      <c r="AK333" s="190"/>
      <c r="AL333" s="190"/>
      <c r="AM333" s="190"/>
      <c r="AN333" s="190"/>
      <c r="AO333" s="190"/>
      <c r="AP333" s="190"/>
      <c r="AQ333" s="190"/>
      <c r="AR333" s="190"/>
      <c r="AS333" s="190"/>
      <c r="AT333" s="190"/>
      <c r="AU333" s="190"/>
      <c r="AV333" s="190"/>
      <c r="AW333" s="190"/>
      <c r="AX333" s="190"/>
      <c r="AY333" s="190"/>
      <c r="AZ333" s="190"/>
      <c r="BA333" s="190"/>
      <c r="BB333" s="190"/>
      <c r="BC333" s="190"/>
      <c r="BD333" s="190"/>
      <c r="BE333" s="190"/>
      <c r="BF333" s="190"/>
      <c r="BG333" s="190"/>
      <c r="BH333" s="190"/>
      <c r="BI333" s="190"/>
      <c r="BJ333" s="190"/>
      <c r="BK333" s="190"/>
      <c r="BL333" s="190"/>
      <c r="BM333" s="190"/>
      <c r="BN333" s="190"/>
      <c r="BO333" s="190"/>
      <c r="TU333" s="178"/>
      <c r="TV333" s="178"/>
    </row>
    <row r="334" spans="1:542" ht="15.75" thickBot="1" x14ac:dyDescent="0.3">
      <c r="A334" s="203" t="s">
        <v>373</v>
      </c>
      <c r="B334" s="166"/>
      <c r="C334" s="167"/>
      <c r="D334" s="168"/>
      <c r="E334" s="190"/>
      <c r="F334" s="190"/>
      <c r="G334" s="190"/>
      <c r="H334" s="190"/>
      <c r="I334" s="190"/>
      <c r="J334" s="190"/>
      <c r="K334" s="190"/>
      <c r="L334" s="190"/>
      <c r="M334" s="190"/>
      <c r="N334" s="190"/>
      <c r="O334" s="190"/>
      <c r="P334" s="190"/>
      <c r="Q334" s="190"/>
      <c r="R334" s="190"/>
      <c r="S334" s="190"/>
      <c r="T334" s="190"/>
      <c r="U334" s="190"/>
      <c r="V334" s="190"/>
      <c r="W334" s="190"/>
      <c r="X334" s="190"/>
      <c r="Y334" s="190"/>
      <c r="Z334" s="190"/>
      <c r="AA334" s="190"/>
      <c r="AB334" s="190"/>
      <c r="AC334" s="190"/>
      <c r="AD334" s="190"/>
      <c r="AE334" s="190"/>
      <c r="AF334" s="190"/>
      <c r="AG334" s="190"/>
      <c r="AH334" s="190"/>
      <c r="AI334" s="190"/>
      <c r="AJ334" s="190"/>
      <c r="AK334" s="190"/>
      <c r="AL334" s="190"/>
      <c r="AM334" s="190"/>
      <c r="AN334" s="190"/>
      <c r="AO334" s="190"/>
      <c r="AP334" s="190"/>
      <c r="AQ334" s="190"/>
      <c r="AR334" s="190"/>
      <c r="AS334" s="190"/>
      <c r="AT334" s="190"/>
      <c r="AU334" s="190"/>
      <c r="AV334" s="190"/>
      <c r="AW334" s="190"/>
      <c r="AX334" s="190"/>
      <c r="AY334" s="190"/>
      <c r="AZ334" s="190"/>
      <c r="BA334" s="190"/>
      <c r="BB334" s="190"/>
      <c r="BC334" s="190"/>
      <c r="BD334" s="190"/>
      <c r="BE334" s="190"/>
      <c r="BF334" s="190"/>
      <c r="BG334" s="190"/>
      <c r="BH334" s="190"/>
      <c r="BI334" s="190"/>
      <c r="BJ334" s="190"/>
      <c r="BK334" s="190"/>
      <c r="BL334" s="190"/>
      <c r="BM334" s="190"/>
      <c r="BN334" s="190"/>
      <c r="BO334" s="190"/>
      <c r="TU334" s="178"/>
      <c r="TV334" s="178"/>
    </row>
    <row r="335" spans="1:542" x14ac:dyDescent="0.25">
      <c r="A335" s="204" t="s">
        <v>321</v>
      </c>
      <c r="B335" s="169"/>
      <c r="C335" s="170"/>
      <c r="D335" s="171"/>
      <c r="E335" s="190"/>
      <c r="F335" s="190"/>
      <c r="G335" s="190"/>
      <c r="H335" s="190"/>
      <c r="I335" s="190"/>
      <c r="J335" s="190"/>
      <c r="K335" s="190"/>
      <c r="L335" s="190"/>
      <c r="M335" s="190"/>
      <c r="N335" s="190"/>
      <c r="O335" s="190"/>
      <c r="P335" s="190"/>
      <c r="Q335" s="190"/>
      <c r="R335" s="190"/>
      <c r="S335" s="190"/>
      <c r="T335" s="190"/>
      <c r="U335" s="190"/>
      <c r="V335" s="190"/>
      <c r="W335" s="190"/>
      <c r="X335" s="190"/>
      <c r="Y335" s="190"/>
      <c r="Z335" s="190"/>
      <c r="AA335" s="190"/>
      <c r="AB335" s="190"/>
      <c r="AC335" s="190"/>
      <c r="AD335" s="190"/>
      <c r="AE335" s="190"/>
      <c r="AF335" s="190"/>
      <c r="AG335" s="190"/>
      <c r="AH335" s="190"/>
      <c r="AI335" s="190"/>
      <c r="AJ335" s="190"/>
      <c r="AK335" s="190"/>
      <c r="AL335" s="190"/>
      <c r="AM335" s="190"/>
      <c r="AN335" s="190"/>
      <c r="AO335" s="190"/>
      <c r="AP335" s="190"/>
      <c r="AQ335" s="190"/>
      <c r="AR335" s="190"/>
      <c r="AS335" s="190"/>
      <c r="AT335" s="190"/>
      <c r="AU335" s="190"/>
      <c r="AV335" s="190"/>
      <c r="AW335" s="190"/>
      <c r="AX335" s="190"/>
      <c r="AY335" s="190"/>
      <c r="AZ335" s="190"/>
      <c r="BA335" s="190"/>
      <c r="BB335" s="190"/>
      <c r="BC335" s="190"/>
      <c r="BD335" s="190"/>
      <c r="BE335" s="190"/>
      <c r="BF335" s="190"/>
      <c r="BG335" s="190"/>
      <c r="BH335" s="190"/>
      <c r="BI335" s="190"/>
      <c r="BJ335" s="190"/>
      <c r="BK335" s="190"/>
      <c r="BL335" s="190"/>
      <c r="BM335" s="190"/>
      <c r="BN335" s="190"/>
      <c r="BO335" s="190"/>
      <c r="TU335" s="178"/>
      <c r="TV335" s="178"/>
    </row>
    <row r="336" spans="1:542" ht="15.75" thickBot="1" x14ac:dyDescent="0.3">
      <c r="A336" s="203" t="s">
        <v>374</v>
      </c>
      <c r="B336" s="166"/>
      <c r="C336" s="167"/>
      <c r="D336" s="168"/>
      <c r="E336" s="190"/>
      <c r="F336" s="190"/>
      <c r="G336" s="190"/>
      <c r="H336" s="190"/>
      <c r="I336" s="190"/>
      <c r="J336" s="190"/>
      <c r="K336" s="190"/>
      <c r="L336" s="190"/>
      <c r="M336" s="190"/>
      <c r="N336" s="190"/>
      <c r="O336" s="190"/>
      <c r="P336" s="190"/>
      <c r="Q336" s="190"/>
      <c r="R336" s="190"/>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TU336" s="178"/>
      <c r="TV336" s="178"/>
    </row>
    <row r="337" spans="1:542" x14ac:dyDescent="0.25">
      <c r="A337" s="204" t="s">
        <v>322</v>
      </c>
      <c r="B337" s="169"/>
      <c r="C337" s="170"/>
      <c r="D337" s="171"/>
      <c r="E337" s="190"/>
      <c r="F337" s="190"/>
      <c r="G337" s="190"/>
      <c r="H337" s="190"/>
      <c r="I337" s="190"/>
      <c r="J337" s="190"/>
      <c r="K337" s="190"/>
      <c r="L337" s="190"/>
      <c r="M337" s="190"/>
      <c r="N337" s="190"/>
      <c r="O337" s="190"/>
      <c r="P337" s="190"/>
      <c r="Q337" s="190"/>
      <c r="R337" s="190"/>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TU337" s="178"/>
      <c r="TV337" s="178"/>
    </row>
    <row r="338" spans="1:542" ht="15.75" thickBot="1" x14ac:dyDescent="0.3">
      <c r="A338" s="203" t="s">
        <v>375</v>
      </c>
      <c r="B338" s="166"/>
      <c r="C338" s="167"/>
      <c r="D338" s="168"/>
      <c r="E338" s="190"/>
      <c r="F338" s="190"/>
      <c r="G338" s="190"/>
      <c r="H338" s="190"/>
      <c r="I338" s="190"/>
      <c r="J338" s="190"/>
      <c r="K338" s="190"/>
      <c r="L338" s="190"/>
      <c r="M338" s="190"/>
      <c r="N338" s="190"/>
      <c r="O338" s="190"/>
      <c r="P338" s="190"/>
      <c r="Q338" s="190"/>
      <c r="R338" s="190"/>
      <c r="S338" s="190"/>
      <c r="T338" s="190"/>
      <c r="U338" s="190"/>
      <c r="V338" s="190"/>
      <c r="W338" s="190"/>
      <c r="X338" s="190"/>
      <c r="Y338" s="190"/>
      <c r="Z338" s="190"/>
      <c r="AA338" s="190"/>
      <c r="AB338" s="190"/>
      <c r="AC338" s="190"/>
      <c r="AD338" s="190"/>
      <c r="AE338" s="190"/>
      <c r="AF338" s="190"/>
      <c r="AG338" s="190"/>
      <c r="AH338" s="190"/>
      <c r="AI338" s="190"/>
      <c r="AJ338" s="190"/>
      <c r="AK338" s="190"/>
      <c r="AL338" s="190"/>
      <c r="AM338" s="190"/>
      <c r="AN338" s="190"/>
      <c r="AO338" s="190"/>
      <c r="AP338" s="190"/>
      <c r="AQ338" s="190"/>
      <c r="AR338" s="190"/>
      <c r="AS338" s="190"/>
      <c r="AT338" s="190"/>
      <c r="AU338" s="190"/>
      <c r="AV338" s="190"/>
      <c r="AW338" s="190"/>
      <c r="AX338" s="190"/>
      <c r="AY338" s="190"/>
      <c r="AZ338" s="190"/>
      <c r="BA338" s="190"/>
      <c r="BB338" s="190"/>
      <c r="BC338" s="190"/>
      <c r="BD338" s="190"/>
      <c r="BE338" s="190"/>
      <c r="BF338" s="190"/>
      <c r="BG338" s="190"/>
      <c r="BH338" s="190"/>
      <c r="BI338" s="190"/>
      <c r="BJ338" s="190"/>
      <c r="BK338" s="190"/>
      <c r="BL338" s="190"/>
      <c r="BM338" s="190"/>
      <c r="BN338" s="190"/>
      <c r="BO338" s="190"/>
      <c r="TU338" s="178"/>
      <c r="TV338" s="178"/>
    </row>
    <row r="339" spans="1:542" x14ac:dyDescent="0.25">
      <c r="A339" s="204" t="s">
        <v>323</v>
      </c>
      <c r="B339" s="169"/>
      <c r="C339" s="170"/>
      <c r="D339" s="171"/>
      <c r="E339" s="190"/>
      <c r="F339" s="190"/>
      <c r="G339" s="190"/>
      <c r="H339" s="190"/>
      <c r="I339" s="190"/>
      <c r="J339" s="190"/>
      <c r="K339" s="190"/>
      <c r="L339" s="190"/>
      <c r="M339" s="190"/>
      <c r="N339" s="190"/>
      <c r="O339" s="190"/>
      <c r="P339" s="190"/>
      <c r="Q339" s="190"/>
      <c r="R339" s="190"/>
      <c r="S339" s="190"/>
      <c r="T339" s="190"/>
      <c r="U339" s="190"/>
      <c r="V339" s="190"/>
      <c r="W339" s="190"/>
      <c r="X339" s="190"/>
      <c r="Y339" s="190"/>
      <c r="Z339" s="190"/>
      <c r="AA339" s="190"/>
      <c r="AB339" s="190"/>
      <c r="AC339" s="190"/>
      <c r="AD339" s="190"/>
      <c r="AE339" s="190"/>
      <c r="AF339" s="190"/>
      <c r="AG339" s="190"/>
      <c r="AH339" s="190"/>
      <c r="AI339" s="190"/>
      <c r="AJ339" s="190"/>
      <c r="AK339" s="190"/>
      <c r="AL339" s="190"/>
      <c r="AM339" s="190"/>
      <c r="AN339" s="190"/>
      <c r="AO339" s="190"/>
      <c r="AP339" s="190"/>
      <c r="AQ339" s="190"/>
      <c r="AR339" s="190"/>
      <c r="AS339" s="190"/>
      <c r="AT339" s="190"/>
      <c r="AU339" s="190"/>
      <c r="AV339" s="190"/>
      <c r="AW339" s="190"/>
      <c r="AX339" s="190"/>
      <c r="AY339" s="190"/>
      <c r="AZ339" s="190"/>
      <c r="BA339" s="190"/>
      <c r="BB339" s="190"/>
      <c r="BC339" s="190"/>
      <c r="BD339" s="190"/>
      <c r="BE339" s="190"/>
      <c r="BF339" s="190"/>
      <c r="BG339" s="190"/>
      <c r="BH339" s="190"/>
      <c r="BI339" s="190"/>
      <c r="BJ339" s="190"/>
      <c r="BK339" s="190"/>
      <c r="BL339" s="190"/>
      <c r="BM339" s="190"/>
      <c r="BN339" s="190"/>
      <c r="BO339" s="190"/>
      <c r="TU339" s="178"/>
      <c r="TV339" s="178"/>
    </row>
    <row r="340" spans="1:542" ht="15.75" thickBot="1" x14ac:dyDescent="0.3">
      <c r="A340" s="203" t="s">
        <v>376</v>
      </c>
      <c r="B340" s="166"/>
      <c r="C340" s="167"/>
      <c r="D340" s="168"/>
      <c r="E340" s="190"/>
      <c r="F340" s="190"/>
      <c r="G340" s="190"/>
      <c r="H340" s="190"/>
      <c r="I340" s="190"/>
      <c r="J340" s="190"/>
      <c r="K340" s="190"/>
      <c r="L340" s="190"/>
      <c r="M340" s="190"/>
      <c r="N340" s="190"/>
      <c r="O340" s="190"/>
      <c r="P340" s="190"/>
      <c r="Q340" s="190"/>
      <c r="R340" s="190"/>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TU340" s="178"/>
      <c r="TV340" s="178"/>
    </row>
    <row r="341" spans="1:542" x14ac:dyDescent="0.25">
      <c r="A341" s="204" t="s">
        <v>324</v>
      </c>
      <c r="B341" s="169"/>
      <c r="C341" s="170"/>
      <c r="D341" s="171"/>
      <c r="E341" s="190"/>
      <c r="F341" s="190"/>
      <c r="G341" s="190"/>
      <c r="H341" s="190"/>
      <c r="I341" s="190"/>
      <c r="J341" s="190"/>
      <c r="K341" s="190"/>
      <c r="L341" s="190"/>
      <c r="M341" s="190"/>
      <c r="N341" s="190"/>
      <c r="O341" s="190"/>
      <c r="P341" s="190"/>
      <c r="Q341" s="190"/>
      <c r="R341" s="190"/>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TU341" s="178"/>
      <c r="TV341" s="178"/>
    </row>
    <row r="342" spans="1:542" ht="15.75" thickBot="1" x14ac:dyDescent="0.3">
      <c r="A342" s="203" t="s">
        <v>377</v>
      </c>
      <c r="B342" s="166"/>
      <c r="C342" s="167"/>
      <c r="D342" s="168"/>
      <c r="E342" s="190"/>
      <c r="F342" s="190"/>
      <c r="G342" s="190"/>
      <c r="H342" s="190"/>
      <c r="I342" s="190"/>
      <c r="J342" s="190"/>
      <c r="K342" s="190"/>
      <c r="L342" s="190"/>
      <c r="M342" s="190"/>
      <c r="N342" s="190"/>
      <c r="O342" s="190"/>
      <c r="P342" s="190"/>
      <c r="Q342" s="190"/>
      <c r="R342" s="190"/>
      <c r="S342" s="190"/>
      <c r="T342" s="190"/>
      <c r="U342" s="190"/>
      <c r="V342" s="190"/>
      <c r="W342" s="190"/>
      <c r="X342" s="190"/>
      <c r="Y342" s="190"/>
      <c r="Z342" s="190"/>
      <c r="AA342" s="190"/>
      <c r="AB342" s="190"/>
      <c r="AC342" s="190"/>
      <c r="AD342" s="190"/>
      <c r="AE342" s="190"/>
      <c r="AF342" s="190"/>
      <c r="AG342" s="190"/>
      <c r="AH342" s="190"/>
      <c r="AI342" s="190"/>
      <c r="AJ342" s="190"/>
      <c r="AK342" s="190"/>
      <c r="AL342" s="190"/>
      <c r="AM342" s="190"/>
      <c r="AN342" s="190"/>
      <c r="AO342" s="190"/>
      <c r="AP342" s="190"/>
      <c r="AQ342" s="190"/>
      <c r="AR342" s="190"/>
      <c r="AS342" s="190"/>
      <c r="AT342" s="190"/>
      <c r="AU342" s="190"/>
      <c r="AV342" s="190"/>
      <c r="AW342" s="190"/>
      <c r="AX342" s="190"/>
      <c r="AY342" s="190"/>
      <c r="AZ342" s="190"/>
      <c r="BA342" s="190"/>
      <c r="BB342" s="190"/>
      <c r="BC342" s="190"/>
      <c r="BD342" s="190"/>
      <c r="BE342" s="190"/>
      <c r="BF342" s="190"/>
      <c r="BG342" s="190"/>
      <c r="BH342" s="190"/>
      <c r="BI342" s="190"/>
      <c r="BJ342" s="190"/>
      <c r="BK342" s="190"/>
      <c r="BL342" s="190"/>
      <c r="BM342" s="190"/>
      <c r="BN342" s="190"/>
      <c r="BO342" s="190"/>
      <c r="TU342" s="178"/>
      <c r="TV342" s="178"/>
    </row>
    <row r="343" spans="1:542" x14ac:dyDescent="0.25">
      <c r="A343" s="204" t="s">
        <v>325</v>
      </c>
      <c r="B343" s="169"/>
      <c r="C343" s="170"/>
      <c r="D343" s="171"/>
      <c r="E343" s="190"/>
      <c r="F343" s="190"/>
      <c r="G343" s="190"/>
      <c r="H343" s="190"/>
      <c r="I343" s="190"/>
      <c r="J343" s="190"/>
      <c r="K343" s="190"/>
      <c r="L343" s="190"/>
      <c r="M343" s="190"/>
      <c r="N343" s="190"/>
      <c r="O343" s="190"/>
      <c r="P343" s="190"/>
      <c r="Q343" s="190"/>
      <c r="R343" s="190"/>
      <c r="S343" s="190"/>
      <c r="T343" s="190"/>
      <c r="U343" s="190"/>
      <c r="V343" s="190"/>
      <c r="W343" s="190"/>
      <c r="X343" s="190"/>
      <c r="Y343" s="190"/>
      <c r="Z343" s="190"/>
      <c r="AA343" s="190"/>
      <c r="AB343" s="190"/>
      <c r="AC343" s="190"/>
      <c r="AD343" s="190"/>
      <c r="AE343" s="190"/>
      <c r="AF343" s="190"/>
      <c r="AG343" s="190"/>
      <c r="AH343" s="190"/>
      <c r="AI343" s="190"/>
      <c r="AJ343" s="190"/>
      <c r="AK343" s="190"/>
      <c r="AL343" s="190"/>
      <c r="AM343" s="190"/>
      <c r="AN343" s="190"/>
      <c r="AO343" s="190"/>
      <c r="AP343" s="190"/>
      <c r="AQ343" s="190"/>
      <c r="AR343" s="190"/>
      <c r="AS343" s="190"/>
      <c r="AT343" s="190"/>
      <c r="AU343" s="190"/>
      <c r="AV343" s="190"/>
      <c r="AW343" s="190"/>
      <c r="AX343" s="190"/>
      <c r="AY343" s="190"/>
      <c r="AZ343" s="190"/>
      <c r="BA343" s="190"/>
      <c r="BB343" s="190"/>
      <c r="BC343" s="190"/>
      <c r="BD343" s="190"/>
      <c r="BE343" s="190"/>
      <c r="BF343" s="190"/>
      <c r="BG343" s="190"/>
      <c r="BH343" s="190"/>
      <c r="BI343" s="190"/>
      <c r="BJ343" s="190"/>
      <c r="BK343" s="190"/>
      <c r="BL343" s="190"/>
      <c r="BM343" s="190"/>
      <c r="BN343" s="190"/>
      <c r="BO343" s="190"/>
      <c r="TU343" s="178"/>
      <c r="TV343" s="178"/>
    </row>
    <row r="344" spans="1:542" ht="15.75" thickBot="1" x14ac:dyDescent="0.3">
      <c r="A344" s="203" t="s">
        <v>378</v>
      </c>
      <c r="B344" s="166"/>
      <c r="C344" s="167"/>
      <c r="D344" s="168"/>
      <c r="E344" s="190"/>
      <c r="F344" s="190"/>
      <c r="G344" s="190"/>
      <c r="H344" s="190"/>
      <c r="I344" s="190"/>
      <c r="J344" s="190"/>
      <c r="K344" s="190"/>
      <c r="L344" s="190"/>
      <c r="M344" s="190"/>
      <c r="N344" s="190"/>
      <c r="O344" s="190"/>
      <c r="P344" s="190"/>
      <c r="Q344" s="190"/>
      <c r="R344" s="190"/>
      <c r="S344" s="190"/>
      <c r="T344" s="190"/>
      <c r="U344" s="190"/>
      <c r="V344" s="190"/>
      <c r="W344" s="190"/>
      <c r="X344" s="190"/>
      <c r="Y344" s="190"/>
      <c r="Z344" s="190"/>
      <c r="AA344" s="190"/>
      <c r="AB344" s="190"/>
      <c r="AC344" s="190"/>
      <c r="AD344" s="190"/>
      <c r="AE344" s="190"/>
      <c r="AF344" s="190"/>
      <c r="AG344" s="190"/>
      <c r="AH344" s="190"/>
      <c r="AI344" s="190"/>
      <c r="AJ344" s="190"/>
      <c r="AK344" s="190"/>
      <c r="AL344" s="190"/>
      <c r="AM344" s="190"/>
      <c r="AN344" s="190"/>
      <c r="AO344" s="190"/>
      <c r="AP344" s="190"/>
      <c r="AQ344" s="190"/>
      <c r="AR344" s="190"/>
      <c r="AS344" s="190"/>
      <c r="AT344" s="190"/>
      <c r="AU344" s="190"/>
      <c r="AV344" s="190"/>
      <c r="AW344" s="190"/>
      <c r="AX344" s="190"/>
      <c r="AY344" s="190"/>
      <c r="AZ344" s="190"/>
      <c r="BA344" s="190"/>
      <c r="BB344" s="190"/>
      <c r="BC344" s="190"/>
      <c r="BD344" s="190"/>
      <c r="BE344" s="190"/>
      <c r="BF344" s="190"/>
      <c r="BG344" s="190"/>
      <c r="BH344" s="190"/>
      <c r="BI344" s="190"/>
      <c r="BJ344" s="190"/>
      <c r="BK344" s="190"/>
      <c r="BL344" s="190"/>
      <c r="BM344" s="190"/>
      <c r="BN344" s="190"/>
      <c r="BO344" s="190"/>
      <c r="TU344" s="178"/>
      <c r="TV344" s="178"/>
    </row>
    <row r="345" spans="1:542" x14ac:dyDescent="0.25">
      <c r="A345" s="204" t="s">
        <v>341</v>
      </c>
      <c r="B345" s="169"/>
      <c r="C345" s="170"/>
      <c r="D345" s="171"/>
      <c r="E345" s="190"/>
      <c r="F345" s="190"/>
      <c r="G345" s="190"/>
      <c r="H345" s="190"/>
      <c r="I345" s="190"/>
      <c r="J345" s="190"/>
      <c r="K345" s="190"/>
      <c r="L345" s="190"/>
      <c r="M345" s="190"/>
      <c r="N345" s="190"/>
      <c r="O345" s="190"/>
      <c r="P345" s="190"/>
      <c r="Q345" s="190"/>
      <c r="R345" s="190"/>
      <c r="S345" s="190"/>
      <c r="T345" s="190"/>
      <c r="U345" s="190"/>
      <c r="V345" s="190"/>
      <c r="W345" s="190"/>
      <c r="X345" s="190"/>
      <c r="Y345" s="190"/>
      <c r="Z345" s="190"/>
      <c r="AA345" s="190"/>
      <c r="AB345" s="190"/>
      <c r="AC345" s="190"/>
      <c r="AD345" s="190"/>
      <c r="AE345" s="190"/>
      <c r="AF345" s="190"/>
      <c r="AG345" s="190"/>
      <c r="AH345" s="190"/>
      <c r="AI345" s="190"/>
      <c r="AJ345" s="190"/>
      <c r="AK345" s="190"/>
      <c r="AL345" s="190"/>
      <c r="AM345" s="190"/>
      <c r="AN345" s="190"/>
      <c r="AO345" s="190"/>
      <c r="AP345" s="190"/>
      <c r="AQ345" s="190"/>
      <c r="AR345" s="190"/>
      <c r="AS345" s="190"/>
      <c r="AT345" s="190"/>
      <c r="AU345" s="190"/>
      <c r="AV345" s="190"/>
      <c r="AW345" s="190"/>
      <c r="AX345" s="190"/>
      <c r="AY345" s="190"/>
      <c r="AZ345" s="190"/>
      <c r="BA345" s="190"/>
      <c r="BB345" s="190"/>
      <c r="BC345" s="190"/>
      <c r="BD345" s="190"/>
      <c r="BE345" s="190"/>
      <c r="BF345" s="190"/>
      <c r="BG345" s="190"/>
      <c r="BH345" s="190"/>
      <c r="BI345" s="190"/>
      <c r="BJ345" s="190"/>
      <c r="BK345" s="190"/>
      <c r="BL345" s="190"/>
      <c r="BM345" s="190"/>
      <c r="BN345" s="190"/>
      <c r="BO345" s="190"/>
      <c r="TU345" s="178"/>
      <c r="TV345" s="178"/>
    </row>
    <row r="346" spans="1:542" ht="15.75" thickBot="1" x14ac:dyDescent="0.3">
      <c r="A346" s="203" t="s">
        <v>379</v>
      </c>
      <c r="B346" s="166"/>
      <c r="C346" s="167"/>
      <c r="D346" s="168"/>
      <c r="E346" s="190"/>
      <c r="F346" s="190"/>
      <c r="G346" s="190"/>
      <c r="H346" s="190"/>
      <c r="I346" s="190"/>
      <c r="J346" s="190"/>
      <c r="K346" s="190"/>
      <c r="L346" s="190"/>
      <c r="M346" s="190"/>
      <c r="N346" s="190"/>
      <c r="O346" s="190"/>
      <c r="P346" s="190"/>
      <c r="Q346" s="190"/>
      <c r="R346" s="190"/>
      <c r="S346" s="190"/>
      <c r="T346" s="190"/>
      <c r="U346" s="190"/>
      <c r="V346" s="190"/>
      <c r="W346" s="190"/>
      <c r="X346" s="190"/>
      <c r="Y346" s="190"/>
      <c r="Z346" s="190"/>
      <c r="AA346" s="190"/>
      <c r="AB346" s="190"/>
      <c r="AC346" s="190"/>
      <c r="AD346" s="190"/>
      <c r="AE346" s="190"/>
      <c r="AF346" s="190"/>
      <c r="AG346" s="190"/>
      <c r="AH346" s="190"/>
      <c r="AI346" s="190"/>
      <c r="AJ346" s="190"/>
      <c r="AK346" s="190"/>
      <c r="AL346" s="190"/>
      <c r="AM346" s="190"/>
      <c r="AN346" s="190"/>
      <c r="AO346" s="190"/>
      <c r="AP346" s="190"/>
      <c r="AQ346" s="190"/>
      <c r="AR346" s="190"/>
      <c r="AS346" s="190"/>
      <c r="AT346" s="190"/>
      <c r="AU346" s="190"/>
      <c r="AV346" s="190"/>
      <c r="AW346" s="190"/>
      <c r="AX346" s="190"/>
      <c r="AY346" s="190"/>
      <c r="AZ346" s="190"/>
      <c r="BA346" s="190"/>
      <c r="BB346" s="190"/>
      <c r="BC346" s="190"/>
      <c r="BD346" s="190"/>
      <c r="BE346" s="190"/>
      <c r="BF346" s="190"/>
      <c r="BG346" s="190"/>
      <c r="BH346" s="190"/>
      <c r="BI346" s="190"/>
      <c r="BJ346" s="190"/>
      <c r="BK346" s="190"/>
      <c r="BL346" s="190"/>
      <c r="BM346" s="190"/>
      <c r="BN346" s="190"/>
      <c r="BO346" s="190"/>
      <c r="TU346" s="178"/>
      <c r="TV346" s="178"/>
    </row>
    <row r="347" spans="1:542" x14ac:dyDescent="0.25">
      <c r="A347" s="204" t="s">
        <v>503</v>
      </c>
      <c r="B347" s="169"/>
      <c r="C347" s="170"/>
      <c r="D347" s="171"/>
      <c r="E347" s="190"/>
      <c r="F347" s="190"/>
      <c r="G347" s="190"/>
      <c r="H347" s="190"/>
      <c r="I347" s="190"/>
      <c r="J347" s="190"/>
      <c r="K347" s="190"/>
      <c r="L347" s="190"/>
      <c r="M347" s="190"/>
      <c r="N347" s="190"/>
      <c r="O347" s="190"/>
      <c r="P347" s="190"/>
      <c r="Q347" s="190"/>
      <c r="R347" s="190"/>
      <c r="S347" s="190"/>
      <c r="T347" s="190"/>
      <c r="U347" s="190"/>
      <c r="V347" s="190"/>
      <c r="W347" s="190"/>
      <c r="X347" s="190"/>
      <c r="Y347" s="190"/>
      <c r="Z347" s="190"/>
      <c r="AA347" s="190"/>
      <c r="AB347" s="190"/>
      <c r="AC347" s="190"/>
      <c r="AD347" s="190"/>
      <c r="AE347" s="190"/>
      <c r="AF347" s="190"/>
      <c r="AG347" s="190"/>
      <c r="AH347" s="190"/>
      <c r="AI347" s="190"/>
      <c r="AJ347" s="190"/>
      <c r="AK347" s="190"/>
      <c r="AL347" s="190"/>
      <c r="AM347" s="190"/>
      <c r="AN347" s="190"/>
      <c r="AO347" s="190"/>
      <c r="AP347" s="190"/>
      <c r="AQ347" s="190"/>
      <c r="AR347" s="190"/>
      <c r="AS347" s="190"/>
      <c r="AT347" s="190"/>
      <c r="AU347" s="190"/>
      <c r="AV347" s="190"/>
      <c r="AW347" s="190"/>
      <c r="AX347" s="190"/>
      <c r="AY347" s="190"/>
      <c r="AZ347" s="190"/>
      <c r="BA347" s="190"/>
      <c r="BB347" s="190"/>
      <c r="BC347" s="190"/>
      <c r="BD347" s="190"/>
      <c r="BE347" s="190"/>
      <c r="BF347" s="190"/>
      <c r="BG347" s="190"/>
      <c r="BH347" s="190"/>
      <c r="BI347" s="190"/>
      <c r="BJ347" s="190"/>
      <c r="BK347" s="190"/>
      <c r="BL347" s="190"/>
      <c r="BM347" s="190"/>
      <c r="BN347" s="190"/>
      <c r="BO347" s="190"/>
      <c r="TU347" s="178"/>
      <c r="TV347" s="178"/>
    </row>
    <row r="348" spans="1:542" ht="15.75" thickBot="1" x14ac:dyDescent="0.3">
      <c r="A348" s="203" t="s">
        <v>508</v>
      </c>
      <c r="B348" s="166"/>
      <c r="C348" s="167"/>
      <c r="D348" s="168"/>
      <c r="E348" s="190"/>
      <c r="F348" s="190"/>
      <c r="G348" s="190"/>
      <c r="H348" s="190"/>
      <c r="I348" s="190"/>
      <c r="J348" s="190"/>
      <c r="K348" s="190"/>
      <c r="L348" s="190"/>
      <c r="M348" s="190"/>
      <c r="N348" s="190"/>
      <c r="O348" s="190"/>
      <c r="P348" s="190"/>
      <c r="Q348" s="190"/>
      <c r="R348" s="190"/>
      <c r="S348" s="190"/>
      <c r="T348" s="190"/>
      <c r="U348" s="190"/>
      <c r="V348" s="190"/>
      <c r="W348" s="190"/>
      <c r="X348" s="190"/>
      <c r="Y348" s="190"/>
      <c r="Z348" s="190"/>
      <c r="AA348" s="190"/>
      <c r="AB348" s="190"/>
      <c r="AC348" s="190"/>
      <c r="AD348" s="190"/>
      <c r="AE348" s="190"/>
      <c r="AF348" s="190"/>
      <c r="AG348" s="190"/>
      <c r="AH348" s="190"/>
      <c r="AI348" s="190"/>
      <c r="AJ348" s="190"/>
      <c r="AK348" s="190"/>
      <c r="AL348" s="190"/>
      <c r="AM348" s="190"/>
      <c r="AN348" s="190"/>
      <c r="AO348" s="190"/>
      <c r="AP348" s="190"/>
      <c r="AQ348" s="190"/>
      <c r="AR348" s="190"/>
      <c r="AS348" s="190"/>
      <c r="AT348" s="190"/>
      <c r="AU348" s="190"/>
      <c r="AV348" s="190"/>
      <c r="AW348" s="190"/>
      <c r="AX348" s="190"/>
      <c r="AY348" s="190"/>
      <c r="AZ348" s="190"/>
      <c r="BA348" s="190"/>
      <c r="BB348" s="190"/>
      <c r="BC348" s="190"/>
      <c r="BD348" s="190"/>
      <c r="BE348" s="190"/>
      <c r="BF348" s="190"/>
      <c r="BG348" s="190"/>
      <c r="BH348" s="190"/>
      <c r="BI348" s="190"/>
      <c r="BJ348" s="190"/>
      <c r="BK348" s="190"/>
      <c r="BL348" s="190"/>
      <c r="BM348" s="190"/>
      <c r="BN348" s="190"/>
      <c r="BO348" s="190"/>
      <c r="TU348" s="178"/>
      <c r="TV348" s="178"/>
    </row>
    <row r="349" spans="1:542" x14ac:dyDescent="0.25">
      <c r="A349" s="204" t="s">
        <v>504</v>
      </c>
      <c r="B349" s="169"/>
      <c r="C349" s="170"/>
      <c r="D349" s="171"/>
      <c r="E349" s="190"/>
      <c r="F349" s="190"/>
      <c r="G349" s="190"/>
      <c r="H349" s="190"/>
      <c r="I349" s="190"/>
      <c r="J349" s="190"/>
      <c r="K349" s="190"/>
      <c r="L349" s="190"/>
      <c r="M349" s="190"/>
      <c r="N349" s="190"/>
      <c r="O349" s="190"/>
      <c r="P349" s="190"/>
      <c r="Q349" s="190"/>
      <c r="R349" s="190"/>
      <c r="S349" s="190"/>
      <c r="T349" s="190"/>
      <c r="U349" s="190"/>
      <c r="V349" s="190"/>
      <c r="W349" s="190"/>
      <c r="X349" s="190"/>
      <c r="Y349" s="190"/>
      <c r="Z349" s="190"/>
      <c r="AA349" s="190"/>
      <c r="AB349" s="190"/>
      <c r="AC349" s="190"/>
      <c r="AD349" s="190"/>
      <c r="AE349" s="190"/>
      <c r="AF349" s="190"/>
      <c r="AG349" s="190"/>
      <c r="AH349" s="190"/>
      <c r="AI349" s="190"/>
      <c r="AJ349" s="190"/>
      <c r="AK349" s="190"/>
      <c r="AL349" s="190"/>
      <c r="AM349" s="190"/>
      <c r="AN349" s="190"/>
      <c r="AO349" s="190"/>
      <c r="AP349" s="190"/>
      <c r="AQ349" s="190"/>
      <c r="AR349" s="190"/>
      <c r="AS349" s="190"/>
      <c r="AT349" s="190"/>
      <c r="AU349" s="190"/>
      <c r="AV349" s="190"/>
      <c r="AW349" s="190"/>
      <c r="AX349" s="190"/>
      <c r="AY349" s="190"/>
      <c r="AZ349" s="190"/>
      <c r="BA349" s="190"/>
      <c r="BB349" s="190"/>
      <c r="BC349" s="190"/>
      <c r="BD349" s="190"/>
      <c r="BE349" s="190"/>
      <c r="BF349" s="190"/>
      <c r="BG349" s="190"/>
      <c r="BH349" s="190"/>
      <c r="BI349" s="190"/>
      <c r="BJ349" s="190"/>
      <c r="BK349" s="190"/>
      <c r="BL349" s="190"/>
      <c r="BM349" s="190"/>
      <c r="BN349" s="190"/>
      <c r="BO349" s="190"/>
      <c r="TU349" s="178"/>
      <c r="TV349" s="178"/>
    </row>
    <row r="350" spans="1:542" ht="15.75" thickBot="1" x14ac:dyDescent="0.3">
      <c r="A350" s="203" t="s">
        <v>509</v>
      </c>
      <c r="B350" s="166"/>
      <c r="C350" s="167"/>
      <c r="D350" s="168"/>
      <c r="E350" s="190"/>
      <c r="F350" s="190"/>
      <c r="G350" s="190"/>
      <c r="H350" s="190"/>
      <c r="I350" s="190"/>
      <c r="J350" s="190"/>
      <c r="K350" s="190"/>
      <c r="L350" s="190"/>
      <c r="M350" s="190"/>
      <c r="N350" s="190"/>
      <c r="O350" s="190"/>
      <c r="P350" s="190"/>
      <c r="Q350" s="190"/>
      <c r="R350" s="190"/>
      <c r="S350" s="190"/>
      <c r="T350" s="190"/>
      <c r="U350" s="190"/>
      <c r="V350" s="190"/>
      <c r="W350" s="190"/>
      <c r="X350" s="190"/>
      <c r="Y350" s="190"/>
      <c r="Z350" s="190"/>
      <c r="AA350" s="190"/>
      <c r="AB350" s="190"/>
      <c r="AC350" s="190"/>
      <c r="AD350" s="190"/>
      <c r="AE350" s="190"/>
      <c r="AF350" s="190"/>
      <c r="AG350" s="190"/>
      <c r="AH350" s="190"/>
      <c r="AI350" s="190"/>
      <c r="AJ350" s="190"/>
      <c r="AK350" s="190"/>
      <c r="AL350" s="190"/>
      <c r="AM350" s="190"/>
      <c r="AN350" s="190"/>
      <c r="AO350" s="190"/>
      <c r="AP350" s="190"/>
      <c r="AQ350" s="190"/>
      <c r="AR350" s="190"/>
      <c r="AS350" s="190"/>
      <c r="AT350" s="190"/>
      <c r="AU350" s="190"/>
      <c r="AV350" s="190"/>
      <c r="AW350" s="190"/>
      <c r="AX350" s="190"/>
      <c r="AY350" s="190"/>
      <c r="AZ350" s="190"/>
      <c r="BA350" s="190"/>
      <c r="BB350" s="190"/>
      <c r="BC350" s="190"/>
      <c r="BD350" s="190"/>
      <c r="BE350" s="190"/>
      <c r="BF350" s="190"/>
      <c r="BG350" s="190"/>
      <c r="BH350" s="190"/>
      <c r="BI350" s="190"/>
      <c r="BJ350" s="190"/>
      <c r="BK350" s="190"/>
      <c r="BL350" s="190"/>
      <c r="BM350" s="190"/>
      <c r="BN350" s="190"/>
      <c r="BO350" s="190"/>
      <c r="TU350" s="178"/>
      <c r="TV350" s="178"/>
    </row>
    <row r="351" spans="1:542" x14ac:dyDescent="0.25">
      <c r="A351" s="204" t="s">
        <v>505</v>
      </c>
      <c r="B351" s="169"/>
      <c r="C351" s="170"/>
      <c r="D351" s="171"/>
      <c r="E351" s="190"/>
      <c r="F351" s="190"/>
      <c r="G351" s="190"/>
      <c r="H351" s="190"/>
      <c r="I351" s="190"/>
      <c r="J351" s="190"/>
      <c r="K351" s="190"/>
      <c r="L351" s="190"/>
      <c r="M351" s="190"/>
      <c r="N351" s="190"/>
      <c r="O351" s="190"/>
      <c r="P351" s="190"/>
      <c r="Q351" s="190"/>
      <c r="R351" s="190"/>
      <c r="S351" s="190"/>
      <c r="T351" s="190"/>
      <c r="U351" s="190"/>
      <c r="V351" s="190"/>
      <c r="W351" s="190"/>
      <c r="X351" s="190"/>
      <c r="Y351" s="190"/>
      <c r="Z351" s="190"/>
      <c r="AA351" s="190"/>
      <c r="AB351" s="190"/>
      <c r="AC351" s="190"/>
      <c r="AD351" s="190"/>
      <c r="AE351" s="190"/>
      <c r="AF351" s="190"/>
      <c r="AG351" s="190"/>
      <c r="AH351" s="190"/>
      <c r="AI351" s="190"/>
      <c r="AJ351" s="190"/>
      <c r="AK351" s="190"/>
      <c r="AL351" s="190"/>
      <c r="AM351" s="190"/>
      <c r="AN351" s="190"/>
      <c r="AO351" s="190"/>
      <c r="AP351" s="190"/>
      <c r="AQ351" s="190"/>
      <c r="AR351" s="190"/>
      <c r="AS351" s="190"/>
      <c r="AT351" s="190"/>
      <c r="AU351" s="190"/>
      <c r="AV351" s="190"/>
      <c r="AW351" s="190"/>
      <c r="AX351" s="190"/>
      <c r="AY351" s="190"/>
      <c r="AZ351" s="190"/>
      <c r="BA351" s="190"/>
      <c r="BB351" s="190"/>
      <c r="BC351" s="190"/>
      <c r="BD351" s="190"/>
      <c r="BE351" s="190"/>
      <c r="BF351" s="190"/>
      <c r="BG351" s="190"/>
      <c r="BH351" s="190"/>
      <c r="BI351" s="190"/>
      <c r="BJ351" s="190"/>
      <c r="BK351" s="190"/>
      <c r="BL351" s="190"/>
      <c r="BM351" s="190"/>
      <c r="BN351" s="190"/>
      <c r="BO351" s="190"/>
      <c r="TU351" s="178"/>
      <c r="TV351" s="178"/>
    </row>
    <row r="352" spans="1:542" ht="15.75" thickBot="1" x14ac:dyDescent="0.3">
      <c r="A352" s="203" t="s">
        <v>510</v>
      </c>
      <c r="B352" s="166"/>
      <c r="C352" s="167"/>
      <c r="D352" s="168"/>
      <c r="E352" s="190"/>
      <c r="F352" s="190"/>
      <c r="G352" s="190"/>
      <c r="H352" s="190"/>
      <c r="I352" s="190"/>
      <c r="J352" s="190"/>
      <c r="K352" s="190"/>
      <c r="L352" s="190"/>
      <c r="M352" s="190"/>
      <c r="N352" s="190"/>
      <c r="O352" s="190"/>
      <c r="P352" s="190"/>
      <c r="Q352" s="190"/>
      <c r="R352" s="190"/>
      <c r="S352" s="190"/>
      <c r="T352" s="190"/>
      <c r="U352" s="190"/>
      <c r="V352" s="190"/>
      <c r="W352" s="190"/>
      <c r="X352" s="190"/>
      <c r="Y352" s="190"/>
      <c r="Z352" s="190"/>
      <c r="AA352" s="190"/>
      <c r="AB352" s="190"/>
      <c r="AC352" s="190"/>
      <c r="AD352" s="190"/>
      <c r="AE352" s="190"/>
      <c r="AF352" s="190"/>
      <c r="AG352" s="190"/>
      <c r="AH352" s="190"/>
      <c r="AI352" s="190"/>
      <c r="AJ352" s="190"/>
      <c r="AK352" s="190"/>
      <c r="AL352" s="190"/>
      <c r="AM352" s="190"/>
      <c r="AN352" s="190"/>
      <c r="AO352" s="190"/>
      <c r="AP352" s="190"/>
      <c r="AQ352" s="190"/>
      <c r="AR352" s="190"/>
      <c r="AS352" s="190"/>
      <c r="AT352" s="190"/>
      <c r="AU352" s="190"/>
      <c r="AV352" s="190"/>
      <c r="AW352" s="190"/>
      <c r="AX352" s="190"/>
      <c r="AY352" s="190"/>
      <c r="AZ352" s="190"/>
      <c r="BA352" s="190"/>
      <c r="BB352" s="190"/>
      <c r="BC352" s="190"/>
      <c r="BD352" s="190"/>
      <c r="BE352" s="190"/>
      <c r="BF352" s="190"/>
      <c r="BG352" s="190"/>
      <c r="BH352" s="190"/>
      <c r="BI352" s="190"/>
      <c r="BJ352" s="190"/>
      <c r="BK352" s="190"/>
      <c r="BL352" s="190"/>
      <c r="BM352" s="190"/>
      <c r="BN352" s="190"/>
      <c r="BO352" s="190"/>
      <c r="TU352" s="178"/>
      <c r="TV352" s="178"/>
    </row>
    <row r="353" spans="1:542" x14ac:dyDescent="0.25">
      <c r="A353" s="204" t="s">
        <v>506</v>
      </c>
      <c r="B353" s="169"/>
      <c r="C353" s="170"/>
      <c r="D353" s="171"/>
      <c r="E353" s="190"/>
      <c r="F353" s="190"/>
      <c r="G353" s="190"/>
      <c r="H353" s="190"/>
      <c r="I353" s="190"/>
      <c r="J353" s="190"/>
      <c r="K353" s="190"/>
      <c r="L353" s="190"/>
      <c r="M353" s="190"/>
      <c r="N353" s="190"/>
      <c r="O353" s="190"/>
      <c r="P353" s="190"/>
      <c r="Q353" s="190"/>
      <c r="R353" s="190"/>
      <c r="S353" s="190"/>
      <c r="T353" s="190"/>
      <c r="U353" s="190"/>
      <c r="V353" s="190"/>
      <c r="W353" s="190"/>
      <c r="X353" s="190"/>
      <c r="Y353" s="190"/>
      <c r="Z353" s="190"/>
      <c r="AA353" s="190"/>
      <c r="AB353" s="190"/>
      <c r="AC353" s="190"/>
      <c r="AD353" s="190"/>
      <c r="AE353" s="190"/>
      <c r="AF353" s="190"/>
      <c r="AG353" s="190"/>
      <c r="AH353" s="190"/>
      <c r="AI353" s="190"/>
      <c r="AJ353" s="190"/>
      <c r="AK353" s="190"/>
      <c r="AL353" s="190"/>
      <c r="AM353" s="190"/>
      <c r="AN353" s="190"/>
      <c r="AO353" s="190"/>
      <c r="AP353" s="190"/>
      <c r="AQ353" s="190"/>
      <c r="AR353" s="190"/>
      <c r="AS353" s="190"/>
      <c r="AT353" s="190"/>
      <c r="AU353" s="190"/>
      <c r="AV353" s="190"/>
      <c r="AW353" s="190"/>
      <c r="AX353" s="190"/>
      <c r="AY353" s="190"/>
      <c r="AZ353" s="190"/>
      <c r="BA353" s="190"/>
      <c r="BB353" s="190"/>
      <c r="BC353" s="190"/>
      <c r="BD353" s="190"/>
      <c r="BE353" s="190"/>
      <c r="BF353" s="190"/>
      <c r="BG353" s="190"/>
      <c r="BH353" s="190"/>
      <c r="BI353" s="190"/>
      <c r="BJ353" s="190"/>
      <c r="BK353" s="190"/>
      <c r="BL353" s="190"/>
      <c r="BM353" s="190"/>
      <c r="BN353" s="190"/>
      <c r="BO353" s="190"/>
      <c r="TU353" s="178"/>
      <c r="TV353" s="178"/>
    </row>
    <row r="354" spans="1:542" ht="15.75" thickBot="1" x14ac:dyDescent="0.3">
      <c r="A354" s="203" t="s">
        <v>511</v>
      </c>
      <c r="B354" s="166"/>
      <c r="C354" s="167"/>
      <c r="D354" s="168"/>
      <c r="E354" s="190"/>
      <c r="F354" s="190"/>
      <c r="G354" s="190"/>
      <c r="H354" s="190"/>
      <c r="I354" s="190"/>
      <c r="J354" s="190"/>
      <c r="K354" s="190"/>
      <c r="L354" s="190"/>
      <c r="M354" s="190"/>
      <c r="N354" s="190"/>
      <c r="O354" s="190"/>
      <c r="P354" s="190"/>
      <c r="Q354" s="190"/>
      <c r="R354" s="190"/>
      <c r="S354" s="190"/>
      <c r="T354" s="190"/>
      <c r="U354" s="190"/>
      <c r="V354" s="190"/>
      <c r="W354" s="190"/>
      <c r="X354" s="190"/>
      <c r="Y354" s="190"/>
      <c r="Z354" s="190"/>
      <c r="AA354" s="190"/>
      <c r="AB354" s="190"/>
      <c r="AC354" s="190"/>
      <c r="AD354" s="190"/>
      <c r="AE354" s="190"/>
      <c r="AF354" s="190"/>
      <c r="AG354" s="190"/>
      <c r="AH354" s="190"/>
      <c r="AI354" s="190"/>
      <c r="AJ354" s="190"/>
      <c r="AK354" s="190"/>
      <c r="AL354" s="190"/>
      <c r="AM354" s="190"/>
      <c r="AN354" s="190"/>
      <c r="AO354" s="190"/>
      <c r="AP354" s="190"/>
      <c r="AQ354" s="190"/>
      <c r="AR354" s="190"/>
      <c r="AS354" s="190"/>
      <c r="AT354" s="190"/>
      <c r="AU354" s="190"/>
      <c r="AV354" s="190"/>
      <c r="AW354" s="190"/>
      <c r="AX354" s="190"/>
      <c r="AY354" s="190"/>
      <c r="AZ354" s="190"/>
      <c r="BA354" s="190"/>
      <c r="BB354" s="190"/>
      <c r="BC354" s="190"/>
      <c r="BD354" s="190"/>
      <c r="BE354" s="190"/>
      <c r="BF354" s="190"/>
      <c r="BG354" s="190"/>
      <c r="BH354" s="190"/>
      <c r="BI354" s="190"/>
      <c r="BJ354" s="190"/>
      <c r="BK354" s="190"/>
      <c r="BL354" s="190"/>
      <c r="BM354" s="190"/>
      <c r="BN354" s="190"/>
      <c r="BO354" s="190"/>
      <c r="TU354" s="178"/>
      <c r="TV354" s="178"/>
    </row>
    <row r="355" spans="1:542" x14ac:dyDescent="0.25">
      <c r="A355" s="204" t="s">
        <v>507</v>
      </c>
      <c r="B355" s="169"/>
      <c r="C355" s="170"/>
      <c r="D355" s="171"/>
      <c r="E355" s="190"/>
      <c r="F355" s="190"/>
      <c r="G355" s="190"/>
      <c r="H355" s="190"/>
      <c r="I355" s="190"/>
      <c r="J355" s="190"/>
      <c r="K355" s="190"/>
      <c r="L355" s="190"/>
      <c r="M355" s="190"/>
      <c r="N355" s="190"/>
      <c r="O355" s="190"/>
      <c r="P355" s="190"/>
      <c r="Q355" s="190"/>
      <c r="R355" s="190"/>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TU355" s="178"/>
      <c r="TV355" s="178"/>
    </row>
    <row r="356" spans="1:542" ht="15.75" thickBot="1" x14ac:dyDescent="0.3">
      <c r="A356" s="203" t="s">
        <v>512</v>
      </c>
      <c r="B356" s="166"/>
      <c r="C356" s="167"/>
      <c r="D356" s="168"/>
      <c r="E356" s="190"/>
      <c r="F356" s="190"/>
      <c r="G356" s="190"/>
      <c r="H356" s="190"/>
      <c r="I356" s="190"/>
      <c r="J356" s="190"/>
      <c r="K356" s="190"/>
      <c r="L356" s="190"/>
      <c r="M356" s="190"/>
      <c r="N356" s="190"/>
      <c r="O356" s="190"/>
      <c r="P356" s="190"/>
      <c r="Q356" s="190"/>
      <c r="R356" s="190"/>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TU356" s="178"/>
      <c r="TV356" s="178"/>
    </row>
    <row r="357" spans="1:542" x14ac:dyDescent="0.25">
      <c r="A357" s="204"/>
      <c r="B357" s="169"/>
      <c r="C357" s="170"/>
      <c r="D357" s="171"/>
      <c r="E357" s="190"/>
      <c r="F357" s="190"/>
      <c r="G357" s="190"/>
      <c r="H357" s="190"/>
      <c r="I357" s="190"/>
      <c r="J357" s="190"/>
      <c r="K357" s="190"/>
      <c r="L357" s="190"/>
      <c r="M357" s="190"/>
      <c r="N357" s="190"/>
      <c r="O357" s="190"/>
      <c r="P357" s="190"/>
      <c r="Q357" s="190"/>
      <c r="R357" s="190"/>
      <c r="S357" s="190"/>
      <c r="T357" s="190"/>
      <c r="U357" s="190"/>
      <c r="V357" s="190"/>
      <c r="W357" s="190"/>
      <c r="X357" s="190"/>
      <c r="Y357" s="190"/>
      <c r="Z357" s="190"/>
      <c r="AA357" s="190"/>
      <c r="AB357" s="190"/>
      <c r="AC357" s="190"/>
      <c r="AD357" s="190"/>
      <c r="AE357" s="190"/>
      <c r="AF357" s="190"/>
      <c r="AG357" s="190"/>
      <c r="AH357" s="190"/>
      <c r="AI357" s="190"/>
      <c r="AJ357" s="190"/>
      <c r="AK357" s="190"/>
      <c r="AL357" s="190"/>
      <c r="AM357" s="190"/>
      <c r="AN357" s="190"/>
      <c r="AO357" s="190"/>
      <c r="AP357" s="190"/>
      <c r="AQ357" s="190"/>
      <c r="AR357" s="190"/>
      <c r="AS357" s="190"/>
      <c r="AT357" s="190"/>
      <c r="AU357" s="190"/>
      <c r="AV357" s="190"/>
      <c r="AW357" s="190"/>
      <c r="AX357" s="190"/>
      <c r="AY357" s="190"/>
      <c r="AZ357" s="190"/>
      <c r="BA357" s="190"/>
      <c r="BB357" s="190"/>
      <c r="BC357" s="190"/>
      <c r="BD357" s="190"/>
      <c r="BE357" s="190"/>
      <c r="BF357" s="190"/>
      <c r="BG357" s="190"/>
      <c r="BH357" s="190"/>
      <c r="BI357" s="190"/>
      <c r="BJ357" s="190"/>
      <c r="BK357" s="190"/>
      <c r="BL357" s="190"/>
      <c r="BM357" s="190"/>
      <c r="BN357" s="190"/>
      <c r="BO357" s="190"/>
      <c r="TU357" s="178"/>
      <c r="TV357" s="178"/>
    </row>
    <row r="358" spans="1:542" ht="15.75" thickBot="1" x14ac:dyDescent="0.3">
      <c r="A358" s="205" t="s">
        <v>226</v>
      </c>
      <c r="B358" s="123"/>
      <c r="C358" s="124"/>
      <c r="D358" s="125"/>
      <c r="E358" s="190"/>
      <c r="F358" s="190"/>
      <c r="G358" s="190"/>
      <c r="H358" s="190"/>
      <c r="I358" s="190"/>
      <c r="J358" s="190"/>
      <c r="K358" s="190"/>
      <c r="L358" s="190"/>
      <c r="M358" s="190"/>
      <c r="N358" s="190"/>
      <c r="O358" s="190"/>
      <c r="P358" s="190"/>
      <c r="Q358" s="190"/>
      <c r="R358" s="190"/>
      <c r="S358" s="190"/>
      <c r="T358" s="190"/>
      <c r="U358" s="190"/>
      <c r="V358" s="190"/>
      <c r="W358" s="190"/>
      <c r="X358" s="190"/>
      <c r="Y358" s="190"/>
      <c r="Z358" s="190"/>
      <c r="AA358" s="190"/>
      <c r="AB358" s="190"/>
      <c r="AC358" s="190"/>
      <c r="AD358" s="190"/>
      <c r="AE358" s="190"/>
      <c r="AF358" s="190"/>
      <c r="AG358" s="190"/>
      <c r="AH358" s="190"/>
      <c r="AI358" s="190"/>
      <c r="AJ358" s="190"/>
      <c r="AK358" s="190"/>
      <c r="AL358" s="190"/>
      <c r="AM358" s="190"/>
      <c r="AN358" s="190"/>
      <c r="AO358" s="190"/>
      <c r="AP358" s="190"/>
      <c r="AQ358" s="190"/>
      <c r="AR358" s="190"/>
      <c r="AS358" s="190"/>
      <c r="AT358" s="190"/>
      <c r="AU358" s="190"/>
      <c r="AV358" s="190"/>
      <c r="AW358" s="190"/>
      <c r="AX358" s="190"/>
      <c r="AY358" s="190"/>
      <c r="AZ358" s="190"/>
      <c r="BA358" s="190"/>
      <c r="BB358" s="190"/>
      <c r="BC358" s="190"/>
      <c r="BD358" s="190"/>
      <c r="BE358" s="190"/>
      <c r="BF358" s="190"/>
      <c r="BG358" s="190"/>
      <c r="BH358" s="190"/>
      <c r="BI358" s="190"/>
      <c r="BJ358" s="190"/>
      <c r="BK358" s="190"/>
      <c r="BL358" s="190"/>
      <c r="BM358" s="190"/>
      <c r="BN358" s="190"/>
      <c r="BO358" s="190"/>
      <c r="TU358" s="178"/>
      <c r="TV358" s="178"/>
    </row>
    <row r="359" spans="1:542" x14ac:dyDescent="0.25">
      <c r="A359" s="206" t="s">
        <v>89</v>
      </c>
      <c r="B359" s="172"/>
      <c r="C359" s="173"/>
      <c r="D359" s="174"/>
      <c r="E359" s="190"/>
      <c r="F359" s="190"/>
      <c r="G359" s="190"/>
      <c r="H359" s="190"/>
      <c r="I359" s="190"/>
      <c r="J359" s="190"/>
      <c r="K359" s="190"/>
      <c r="L359" s="190"/>
      <c r="M359" s="190"/>
      <c r="N359" s="190"/>
      <c r="O359" s="190"/>
      <c r="P359" s="190"/>
      <c r="Q359" s="190"/>
      <c r="R359" s="190"/>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TU359" s="178"/>
      <c r="TV359" s="178"/>
    </row>
    <row r="360" spans="1:542" x14ac:dyDescent="0.25">
      <c r="A360" s="96" t="s">
        <v>90</v>
      </c>
      <c r="B360" s="158"/>
      <c r="C360" s="159"/>
      <c r="D360" s="155"/>
      <c r="E360" s="190"/>
      <c r="F360" s="190"/>
      <c r="G360" s="190"/>
      <c r="H360" s="190"/>
      <c r="I360" s="190"/>
      <c r="J360" s="190"/>
      <c r="K360" s="190"/>
      <c r="L360" s="190"/>
      <c r="M360" s="190"/>
      <c r="N360" s="190"/>
      <c r="O360" s="190"/>
      <c r="P360" s="190"/>
      <c r="Q360" s="190"/>
      <c r="R360" s="190"/>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TU360" s="178"/>
      <c r="TV360" s="178"/>
    </row>
    <row r="361" spans="1:542" x14ac:dyDescent="0.25">
      <c r="A361" s="189" t="s">
        <v>520</v>
      </c>
      <c r="B361" s="116"/>
      <c r="C361" s="113"/>
      <c r="D361" s="105"/>
      <c r="E361" s="190"/>
      <c r="F361" s="190"/>
      <c r="G361" s="190"/>
      <c r="H361" s="190"/>
      <c r="I361" s="190"/>
      <c r="J361" s="190"/>
      <c r="K361" s="190"/>
      <c r="L361" s="190"/>
      <c r="M361" s="190"/>
      <c r="N361" s="190"/>
      <c r="O361" s="190"/>
      <c r="P361" s="190"/>
      <c r="Q361" s="190"/>
      <c r="R361" s="190"/>
      <c r="S361" s="190"/>
      <c r="T361" s="190"/>
      <c r="U361" s="190"/>
      <c r="V361" s="190"/>
      <c r="W361" s="190"/>
      <c r="X361" s="190"/>
      <c r="Y361" s="190"/>
      <c r="Z361" s="190"/>
      <c r="AA361" s="190"/>
      <c r="AB361" s="190"/>
      <c r="AC361" s="190"/>
      <c r="AD361" s="190"/>
      <c r="AE361" s="190"/>
      <c r="AF361" s="190"/>
      <c r="AG361" s="190"/>
      <c r="AH361" s="190"/>
      <c r="AI361" s="190"/>
      <c r="AJ361" s="190"/>
      <c r="AK361" s="190"/>
      <c r="AL361" s="190"/>
      <c r="AM361" s="190"/>
      <c r="AN361" s="190"/>
      <c r="AO361" s="190"/>
      <c r="AP361" s="190"/>
      <c r="AQ361" s="190"/>
      <c r="AR361" s="190"/>
      <c r="AS361" s="190"/>
      <c r="AT361" s="190"/>
      <c r="AU361" s="190"/>
      <c r="AV361" s="190"/>
      <c r="AW361" s="190"/>
      <c r="AX361" s="190"/>
      <c r="AY361" s="190"/>
      <c r="AZ361" s="190"/>
      <c r="BA361" s="190"/>
      <c r="BB361" s="190"/>
      <c r="BC361" s="190"/>
      <c r="BD361" s="190"/>
      <c r="BE361" s="190"/>
      <c r="BF361" s="190"/>
      <c r="BG361" s="190"/>
      <c r="BH361" s="190"/>
      <c r="BI361" s="190"/>
      <c r="BJ361" s="190"/>
      <c r="BK361" s="190"/>
      <c r="BL361" s="190"/>
      <c r="BM361" s="190"/>
      <c r="BN361" s="190"/>
      <c r="BO361" s="190"/>
      <c r="TU361" s="178"/>
      <c r="TV361" s="178"/>
    </row>
    <row r="362" spans="1:542" x14ac:dyDescent="0.25">
      <c r="A362" s="147" t="s">
        <v>229</v>
      </c>
      <c r="B362" s="119"/>
      <c r="C362" s="120"/>
      <c r="D362" s="155"/>
      <c r="E362" s="190"/>
      <c r="F362" s="190"/>
      <c r="G362" s="190"/>
      <c r="H362" s="190"/>
      <c r="I362" s="190"/>
      <c r="J362" s="190"/>
      <c r="K362" s="190"/>
      <c r="L362" s="190"/>
      <c r="M362" s="190"/>
      <c r="N362" s="190"/>
      <c r="O362" s="190"/>
      <c r="P362" s="190"/>
      <c r="Q362" s="190"/>
      <c r="R362" s="190"/>
      <c r="S362" s="190"/>
      <c r="T362" s="190"/>
      <c r="U362" s="190"/>
      <c r="V362" s="190"/>
      <c r="W362" s="190"/>
      <c r="X362" s="190"/>
      <c r="Y362" s="190"/>
      <c r="Z362" s="190"/>
      <c r="AA362" s="190"/>
      <c r="AB362" s="190"/>
      <c r="AC362" s="190"/>
      <c r="AD362" s="190"/>
      <c r="AE362" s="190"/>
      <c r="AF362" s="190"/>
      <c r="AG362" s="190"/>
      <c r="AH362" s="190"/>
      <c r="AI362" s="190"/>
      <c r="AJ362" s="190"/>
      <c r="AK362" s="190"/>
      <c r="AL362" s="190"/>
      <c r="AM362" s="190"/>
      <c r="AN362" s="190"/>
      <c r="AO362" s="190"/>
      <c r="AP362" s="190"/>
      <c r="AQ362" s="190"/>
      <c r="AR362" s="190"/>
      <c r="AS362" s="190"/>
      <c r="AT362" s="190"/>
      <c r="AU362" s="190"/>
      <c r="AV362" s="190"/>
      <c r="AW362" s="190"/>
      <c r="AX362" s="190"/>
      <c r="AY362" s="190"/>
      <c r="AZ362" s="190"/>
      <c r="BA362" s="190"/>
      <c r="BB362" s="190"/>
      <c r="BC362" s="190"/>
      <c r="BD362" s="190"/>
      <c r="BE362" s="190"/>
      <c r="BF362" s="190"/>
      <c r="BG362" s="190"/>
      <c r="BH362" s="190"/>
      <c r="BI362" s="190"/>
      <c r="BJ362" s="190"/>
      <c r="BK362" s="190"/>
      <c r="BL362" s="190"/>
      <c r="BM362" s="190"/>
      <c r="BN362" s="190"/>
      <c r="BO362" s="190"/>
      <c r="TU362" s="178"/>
      <c r="TV362" s="178"/>
    </row>
    <row r="363" spans="1:542" x14ac:dyDescent="0.25">
      <c r="A363" s="96" t="s">
        <v>281</v>
      </c>
      <c r="B363" s="158"/>
      <c r="C363" s="159"/>
      <c r="D363" s="155"/>
      <c r="E363" s="190"/>
      <c r="F363" s="190"/>
      <c r="G363" s="190"/>
      <c r="H363" s="190"/>
      <c r="I363" s="190"/>
      <c r="J363" s="190"/>
      <c r="K363" s="190"/>
      <c r="L363" s="190"/>
      <c r="M363" s="190"/>
      <c r="N363" s="190"/>
      <c r="O363" s="190"/>
      <c r="P363" s="190"/>
      <c r="Q363" s="190"/>
      <c r="R363" s="190"/>
      <c r="S363" s="190"/>
      <c r="T363" s="190"/>
      <c r="U363" s="190"/>
      <c r="V363" s="190"/>
      <c r="W363" s="190"/>
      <c r="X363" s="190"/>
      <c r="Y363" s="190"/>
      <c r="Z363" s="190"/>
      <c r="AA363" s="190"/>
      <c r="AB363" s="190"/>
      <c r="AC363" s="190"/>
      <c r="AD363" s="190"/>
      <c r="AE363" s="190"/>
      <c r="AF363" s="190"/>
      <c r="AG363" s="190"/>
      <c r="AH363" s="190"/>
      <c r="AI363" s="190"/>
      <c r="AJ363" s="190"/>
      <c r="AK363" s="190"/>
      <c r="AL363" s="190"/>
      <c r="AM363" s="190"/>
      <c r="AN363" s="190"/>
      <c r="AO363" s="190"/>
      <c r="AP363" s="190"/>
      <c r="AQ363" s="190"/>
      <c r="AR363" s="190"/>
      <c r="AS363" s="190"/>
      <c r="AT363" s="190"/>
      <c r="AU363" s="190"/>
      <c r="AV363" s="190"/>
      <c r="AW363" s="190"/>
      <c r="AX363" s="190"/>
      <c r="AY363" s="190"/>
      <c r="AZ363" s="190"/>
      <c r="BA363" s="190"/>
      <c r="BB363" s="190"/>
      <c r="BC363" s="190"/>
      <c r="BD363" s="190"/>
      <c r="BE363" s="190"/>
      <c r="BF363" s="190"/>
      <c r="BG363" s="190"/>
      <c r="BH363" s="190"/>
      <c r="BI363" s="190"/>
      <c r="BJ363" s="190"/>
      <c r="BK363" s="190"/>
      <c r="BL363" s="190"/>
      <c r="BM363" s="190"/>
      <c r="BN363" s="190"/>
      <c r="BO363" s="190"/>
      <c r="TU363" s="178"/>
      <c r="TV363" s="178"/>
    </row>
    <row r="364" spans="1:542" x14ac:dyDescent="0.25">
      <c r="A364" s="147" t="s">
        <v>230</v>
      </c>
      <c r="B364" s="119"/>
      <c r="C364" s="120"/>
      <c r="D364" s="155"/>
      <c r="E364" s="190"/>
      <c r="F364" s="190"/>
      <c r="G364" s="190"/>
      <c r="H364" s="190"/>
      <c r="I364" s="190"/>
      <c r="J364" s="190"/>
      <c r="K364" s="190"/>
      <c r="L364" s="190"/>
      <c r="M364" s="190"/>
      <c r="N364" s="190"/>
      <c r="O364" s="190"/>
      <c r="P364" s="190"/>
      <c r="Q364" s="190"/>
      <c r="R364" s="190"/>
      <c r="S364" s="190"/>
      <c r="T364" s="190"/>
      <c r="U364" s="190"/>
      <c r="V364" s="190"/>
      <c r="W364" s="190"/>
      <c r="X364" s="190"/>
      <c r="Y364" s="190"/>
      <c r="Z364" s="190"/>
      <c r="AA364" s="190"/>
      <c r="AB364" s="190"/>
      <c r="AC364" s="190"/>
      <c r="AD364" s="190"/>
      <c r="AE364" s="190"/>
      <c r="AF364" s="190"/>
      <c r="AG364" s="190"/>
      <c r="AH364" s="190"/>
      <c r="AI364" s="190"/>
      <c r="AJ364" s="190"/>
      <c r="AK364" s="190"/>
      <c r="AL364" s="190"/>
      <c r="AM364" s="190"/>
      <c r="AN364" s="190"/>
      <c r="AO364" s="190"/>
      <c r="AP364" s="190"/>
      <c r="AQ364" s="190"/>
      <c r="AR364" s="190"/>
      <c r="AS364" s="190"/>
      <c r="AT364" s="190"/>
      <c r="AU364" s="190"/>
      <c r="AV364" s="190"/>
      <c r="AW364" s="190"/>
      <c r="AX364" s="190"/>
      <c r="AY364" s="190"/>
      <c r="AZ364" s="190"/>
      <c r="BA364" s="190"/>
      <c r="BB364" s="190"/>
      <c r="BC364" s="190"/>
      <c r="BD364" s="190"/>
      <c r="BE364" s="190"/>
      <c r="BF364" s="190"/>
      <c r="BG364" s="190"/>
      <c r="BH364" s="190"/>
      <c r="BI364" s="190"/>
      <c r="BJ364" s="190"/>
      <c r="BK364" s="190"/>
      <c r="BL364" s="190"/>
      <c r="BM364" s="190"/>
      <c r="BN364" s="190"/>
      <c r="BO364" s="190"/>
      <c r="TU364" s="178"/>
      <c r="TV364" s="178"/>
    </row>
    <row r="365" spans="1:542" x14ac:dyDescent="0.25">
      <c r="A365" s="147" t="s">
        <v>233</v>
      </c>
      <c r="B365" s="119"/>
      <c r="C365" s="120"/>
      <c r="D365" s="155"/>
      <c r="E365" s="190"/>
      <c r="F365" s="190"/>
      <c r="G365" s="190"/>
      <c r="H365" s="190"/>
      <c r="I365" s="190"/>
      <c r="J365" s="190"/>
      <c r="K365" s="190"/>
      <c r="L365" s="190"/>
      <c r="M365" s="190"/>
      <c r="N365" s="190"/>
      <c r="O365" s="190"/>
      <c r="P365" s="190"/>
      <c r="Q365" s="190"/>
      <c r="R365" s="190"/>
      <c r="S365" s="190"/>
      <c r="T365" s="190"/>
      <c r="U365" s="190"/>
      <c r="V365" s="190"/>
      <c r="W365" s="190"/>
      <c r="X365" s="190"/>
      <c r="Y365" s="190"/>
      <c r="Z365" s="190"/>
      <c r="AA365" s="190"/>
      <c r="AB365" s="190"/>
      <c r="AC365" s="190"/>
      <c r="AD365" s="190"/>
      <c r="AE365" s="190"/>
      <c r="AF365" s="190"/>
      <c r="AG365" s="190"/>
      <c r="AH365" s="190"/>
      <c r="AI365" s="190"/>
      <c r="AJ365" s="190"/>
      <c r="AK365" s="190"/>
      <c r="AL365" s="190"/>
      <c r="AM365" s="190"/>
      <c r="AN365" s="190"/>
      <c r="AO365" s="190"/>
      <c r="AP365" s="190"/>
      <c r="AQ365" s="190"/>
      <c r="AR365" s="190"/>
      <c r="AS365" s="190"/>
      <c r="AT365" s="190"/>
      <c r="AU365" s="190"/>
      <c r="AV365" s="190"/>
      <c r="AW365" s="190"/>
      <c r="AX365" s="190"/>
      <c r="AY365" s="190"/>
      <c r="AZ365" s="190"/>
      <c r="BA365" s="190"/>
      <c r="BB365" s="190"/>
      <c r="BC365" s="190"/>
      <c r="BD365" s="190"/>
      <c r="BE365" s="190"/>
      <c r="BF365" s="190"/>
      <c r="BG365" s="190"/>
      <c r="BH365" s="190"/>
      <c r="BI365" s="190"/>
      <c r="BJ365" s="190"/>
      <c r="BK365" s="190"/>
      <c r="BL365" s="190"/>
      <c r="BM365" s="190"/>
      <c r="BN365" s="190"/>
      <c r="BO365" s="190"/>
      <c r="TU365" s="178"/>
      <c r="TV365" s="178"/>
    </row>
    <row r="366" spans="1:542" x14ac:dyDescent="0.25">
      <c r="A366" s="96" t="s">
        <v>282</v>
      </c>
      <c r="B366" s="158"/>
      <c r="C366" s="159"/>
      <c r="D366" s="155"/>
      <c r="E366" s="190"/>
      <c r="F366" s="190"/>
      <c r="G366" s="190"/>
      <c r="H366" s="190"/>
      <c r="I366" s="190"/>
      <c r="J366" s="190"/>
      <c r="K366" s="190"/>
      <c r="L366" s="190"/>
      <c r="M366" s="190"/>
      <c r="N366" s="190"/>
      <c r="O366" s="190"/>
      <c r="P366" s="190"/>
      <c r="Q366" s="190"/>
      <c r="R366" s="190"/>
      <c r="S366" s="190"/>
      <c r="T366" s="190"/>
      <c r="U366" s="190"/>
      <c r="V366" s="190"/>
      <c r="W366" s="190"/>
      <c r="X366" s="190"/>
      <c r="Y366" s="190"/>
      <c r="Z366" s="190"/>
      <c r="AA366" s="190"/>
      <c r="AB366" s="190"/>
      <c r="AC366" s="190"/>
      <c r="AD366" s="190"/>
      <c r="AE366" s="190"/>
      <c r="AF366" s="190"/>
      <c r="AG366" s="190"/>
      <c r="AH366" s="190"/>
      <c r="AI366" s="190"/>
      <c r="AJ366" s="190"/>
      <c r="AK366" s="190"/>
      <c r="AL366" s="190"/>
      <c r="AM366" s="190"/>
      <c r="AN366" s="190"/>
      <c r="AO366" s="190"/>
      <c r="AP366" s="190"/>
      <c r="AQ366" s="190"/>
      <c r="AR366" s="190"/>
      <c r="AS366" s="190"/>
      <c r="AT366" s="190"/>
      <c r="AU366" s="190"/>
      <c r="AV366" s="190"/>
      <c r="AW366" s="190"/>
      <c r="AX366" s="190"/>
      <c r="AY366" s="190"/>
      <c r="AZ366" s="190"/>
      <c r="BA366" s="190"/>
      <c r="BB366" s="190"/>
      <c r="BC366" s="190"/>
      <c r="BD366" s="190"/>
      <c r="BE366" s="190"/>
      <c r="BF366" s="190"/>
      <c r="BG366" s="190"/>
      <c r="BH366" s="190"/>
      <c r="BI366" s="190"/>
      <c r="BJ366" s="190"/>
      <c r="BK366" s="190"/>
      <c r="BL366" s="190"/>
      <c r="BM366" s="190"/>
      <c r="BN366" s="190"/>
      <c r="BO366" s="190"/>
      <c r="TU366" s="178"/>
      <c r="TV366" s="178"/>
    </row>
    <row r="367" spans="1:542" x14ac:dyDescent="0.25">
      <c r="A367" s="147" t="s">
        <v>234</v>
      </c>
      <c r="B367" s="119"/>
      <c r="C367" s="120"/>
      <c r="D367" s="155"/>
      <c r="E367" s="190"/>
      <c r="F367" s="190"/>
      <c r="G367" s="190"/>
      <c r="H367" s="190"/>
      <c r="I367" s="190"/>
      <c r="J367" s="190"/>
      <c r="K367" s="190"/>
      <c r="L367" s="190"/>
      <c r="M367" s="190"/>
      <c r="N367" s="190"/>
      <c r="O367" s="190"/>
      <c r="P367" s="190"/>
      <c r="Q367" s="190"/>
      <c r="R367" s="190"/>
      <c r="S367" s="190"/>
      <c r="T367" s="190"/>
      <c r="U367" s="190"/>
      <c r="V367" s="190"/>
      <c r="W367" s="190"/>
      <c r="X367" s="190"/>
      <c r="Y367" s="190"/>
      <c r="Z367" s="190"/>
      <c r="AA367" s="190"/>
      <c r="AB367" s="190"/>
      <c r="AC367" s="190"/>
      <c r="AD367" s="190"/>
      <c r="AE367" s="190"/>
      <c r="AF367" s="190"/>
      <c r="AG367" s="190"/>
      <c r="AH367" s="190"/>
      <c r="AI367" s="190"/>
      <c r="AJ367" s="190"/>
      <c r="AK367" s="190"/>
      <c r="AL367" s="190"/>
      <c r="AM367" s="190"/>
      <c r="AN367" s="190"/>
      <c r="AO367" s="190"/>
      <c r="AP367" s="190"/>
      <c r="AQ367" s="190"/>
      <c r="AR367" s="190"/>
      <c r="AS367" s="190"/>
      <c r="AT367" s="190"/>
      <c r="AU367" s="190"/>
      <c r="AV367" s="190"/>
      <c r="AW367" s="190"/>
      <c r="AX367" s="190"/>
      <c r="AY367" s="190"/>
      <c r="AZ367" s="190"/>
      <c r="BA367" s="190"/>
      <c r="BB367" s="190"/>
      <c r="BC367" s="190"/>
      <c r="BD367" s="190"/>
      <c r="BE367" s="190"/>
      <c r="BF367" s="190"/>
      <c r="BG367" s="190"/>
      <c r="BH367" s="190"/>
      <c r="BI367" s="190"/>
      <c r="BJ367" s="190"/>
      <c r="BK367" s="190"/>
      <c r="BL367" s="190"/>
      <c r="BM367" s="190"/>
      <c r="BN367" s="190"/>
      <c r="BO367" s="190"/>
      <c r="TU367" s="178"/>
      <c r="TV367" s="178"/>
    </row>
    <row r="368" spans="1:542" x14ac:dyDescent="0.25">
      <c r="A368" s="96" t="s">
        <v>235</v>
      </c>
      <c r="B368" s="158"/>
      <c r="C368" s="159"/>
      <c r="D368" s="155"/>
      <c r="E368" s="190"/>
      <c r="F368" s="190"/>
      <c r="G368" s="190"/>
      <c r="H368" s="190"/>
      <c r="I368" s="190"/>
      <c r="J368" s="190"/>
      <c r="K368" s="190"/>
      <c r="L368" s="190"/>
      <c r="M368" s="190"/>
      <c r="N368" s="190"/>
      <c r="O368" s="190"/>
      <c r="P368" s="190"/>
      <c r="Q368" s="190"/>
      <c r="R368" s="190"/>
      <c r="S368" s="190"/>
      <c r="T368" s="190"/>
      <c r="U368" s="190"/>
      <c r="V368" s="190"/>
      <c r="W368" s="190"/>
      <c r="X368" s="190"/>
      <c r="Y368" s="190"/>
      <c r="Z368" s="190"/>
      <c r="AA368" s="190"/>
      <c r="AB368" s="190"/>
      <c r="AC368" s="190"/>
      <c r="AD368" s="190"/>
      <c r="AE368" s="190"/>
      <c r="AF368" s="190"/>
      <c r="AG368" s="190"/>
      <c r="AH368" s="190"/>
      <c r="AI368" s="190"/>
      <c r="AJ368" s="190"/>
      <c r="AK368" s="190"/>
      <c r="AL368" s="190"/>
      <c r="AM368" s="190"/>
      <c r="AN368" s="190"/>
      <c r="AO368" s="190"/>
      <c r="AP368" s="190"/>
      <c r="AQ368" s="190"/>
      <c r="AR368" s="190"/>
      <c r="AS368" s="190"/>
      <c r="AT368" s="190"/>
      <c r="AU368" s="190"/>
      <c r="AV368" s="190"/>
      <c r="AW368" s="190"/>
      <c r="AX368" s="190"/>
      <c r="AY368" s="190"/>
      <c r="AZ368" s="190"/>
      <c r="BA368" s="190"/>
      <c r="BB368" s="190"/>
      <c r="BC368" s="190"/>
      <c r="BD368" s="190"/>
      <c r="BE368" s="190"/>
      <c r="BF368" s="190"/>
      <c r="BG368" s="190"/>
      <c r="BH368" s="190"/>
      <c r="BI368" s="190"/>
      <c r="BJ368" s="190"/>
      <c r="BK368" s="190"/>
      <c r="BL368" s="190"/>
      <c r="BM368" s="190"/>
      <c r="BN368" s="190"/>
      <c r="BO368" s="190"/>
      <c r="TU368" s="178"/>
      <c r="TV368" s="178"/>
    </row>
    <row r="369" spans="1:542" x14ac:dyDescent="0.25">
      <c r="A369" s="96" t="s">
        <v>236</v>
      </c>
      <c r="B369" s="158"/>
      <c r="C369" s="159"/>
      <c r="D369" s="155"/>
      <c r="E369" s="190"/>
      <c r="F369" s="190"/>
      <c r="G369" s="190"/>
      <c r="H369" s="190"/>
      <c r="I369" s="190"/>
      <c r="J369" s="190"/>
      <c r="K369" s="190"/>
      <c r="L369" s="190"/>
      <c r="M369" s="190"/>
      <c r="N369" s="190"/>
      <c r="O369" s="190"/>
      <c r="P369" s="190"/>
      <c r="Q369" s="190"/>
      <c r="R369" s="190"/>
      <c r="S369" s="190"/>
      <c r="T369" s="190"/>
      <c r="U369" s="190"/>
      <c r="V369" s="190"/>
      <c r="W369" s="190"/>
      <c r="X369" s="190"/>
      <c r="Y369" s="190"/>
      <c r="Z369" s="190"/>
      <c r="AA369" s="190"/>
      <c r="AB369" s="190"/>
      <c r="AC369" s="190"/>
      <c r="AD369" s="190"/>
      <c r="AE369" s="190"/>
      <c r="AF369" s="190"/>
      <c r="AG369" s="190"/>
      <c r="AH369" s="190"/>
      <c r="AI369" s="190"/>
      <c r="AJ369" s="190"/>
      <c r="AK369" s="190"/>
      <c r="AL369" s="190"/>
      <c r="AM369" s="190"/>
      <c r="AN369" s="190"/>
      <c r="AO369" s="190"/>
      <c r="AP369" s="190"/>
      <c r="AQ369" s="190"/>
      <c r="AR369" s="190"/>
      <c r="AS369" s="190"/>
      <c r="AT369" s="190"/>
      <c r="AU369" s="190"/>
      <c r="AV369" s="190"/>
      <c r="AW369" s="190"/>
      <c r="AX369" s="190"/>
      <c r="AY369" s="190"/>
      <c r="AZ369" s="190"/>
      <c r="BA369" s="190"/>
      <c r="BB369" s="190"/>
      <c r="BC369" s="190"/>
      <c r="BD369" s="190"/>
      <c r="BE369" s="190"/>
      <c r="BF369" s="190"/>
      <c r="BG369" s="190"/>
      <c r="BH369" s="190"/>
      <c r="BI369" s="190"/>
      <c r="BJ369" s="190"/>
      <c r="BK369" s="190"/>
      <c r="BL369" s="190"/>
      <c r="TU369" s="178"/>
      <c r="TV369" s="178"/>
    </row>
    <row r="370" spans="1:542" x14ac:dyDescent="0.25">
      <c r="A370" s="96" t="s">
        <v>237</v>
      </c>
      <c r="B370" s="158"/>
      <c r="C370" s="159"/>
      <c r="D370" s="155"/>
      <c r="E370" s="190"/>
      <c r="F370" s="190"/>
      <c r="G370" s="190"/>
      <c r="H370" s="190"/>
      <c r="I370" s="190"/>
      <c r="J370" s="190"/>
      <c r="K370" s="190"/>
      <c r="L370" s="190"/>
      <c r="M370" s="190"/>
      <c r="N370" s="190"/>
      <c r="O370" s="190"/>
      <c r="P370" s="190"/>
      <c r="Q370" s="190"/>
      <c r="R370" s="190"/>
      <c r="S370" s="190"/>
      <c r="T370" s="190"/>
      <c r="U370" s="190"/>
      <c r="V370" s="190"/>
      <c r="W370" s="190"/>
      <c r="X370" s="190"/>
      <c r="Y370" s="190"/>
      <c r="Z370" s="190"/>
      <c r="AA370" s="190"/>
      <c r="AB370" s="190"/>
      <c r="AC370" s="190"/>
      <c r="AD370" s="190"/>
      <c r="AE370" s="190"/>
      <c r="AF370" s="190"/>
      <c r="AG370" s="190"/>
      <c r="AH370" s="190"/>
      <c r="AI370" s="190"/>
      <c r="AJ370" s="190"/>
      <c r="AK370" s="190"/>
      <c r="AL370" s="190"/>
      <c r="AM370" s="190"/>
      <c r="AN370" s="190"/>
      <c r="AO370" s="190"/>
      <c r="AP370" s="190"/>
      <c r="AQ370" s="190"/>
      <c r="AR370" s="190"/>
      <c r="AS370" s="190"/>
      <c r="AT370" s="190"/>
      <c r="AU370" s="190"/>
      <c r="AV370" s="190"/>
      <c r="AW370" s="190"/>
      <c r="AX370" s="190"/>
      <c r="AY370" s="190"/>
      <c r="AZ370" s="190"/>
      <c r="BA370" s="190"/>
      <c r="BB370" s="190"/>
      <c r="BC370" s="190"/>
      <c r="BD370" s="190"/>
      <c r="BE370" s="190"/>
      <c r="BF370" s="190"/>
      <c r="BG370" s="190"/>
      <c r="BH370" s="190"/>
      <c r="BI370" s="190"/>
      <c r="BJ370" s="190"/>
      <c r="BK370" s="190"/>
      <c r="BL370" s="190"/>
      <c r="TU370" s="178"/>
      <c r="TV370" s="178"/>
    </row>
    <row r="371" spans="1:542" x14ac:dyDescent="0.25">
      <c r="A371" s="147" t="s">
        <v>238</v>
      </c>
      <c r="B371" s="119"/>
      <c r="C371" s="120"/>
      <c r="D371" s="155"/>
      <c r="E371" s="190"/>
      <c r="F371" s="190"/>
      <c r="G371" s="190"/>
      <c r="H371" s="190"/>
      <c r="I371" s="190"/>
      <c r="J371" s="190"/>
      <c r="K371" s="190"/>
      <c r="L371" s="190"/>
      <c r="M371" s="190"/>
      <c r="N371" s="190"/>
      <c r="O371" s="190"/>
      <c r="P371" s="190"/>
      <c r="Q371" s="190"/>
      <c r="R371" s="190"/>
      <c r="S371" s="190"/>
      <c r="T371" s="190"/>
      <c r="U371" s="190"/>
      <c r="V371" s="190"/>
      <c r="W371" s="190"/>
      <c r="X371" s="190"/>
      <c r="Y371" s="190"/>
      <c r="Z371" s="190"/>
      <c r="AA371" s="190"/>
      <c r="AB371" s="190"/>
      <c r="AC371" s="190"/>
      <c r="AD371" s="190"/>
      <c r="AE371" s="190"/>
      <c r="AF371" s="190"/>
      <c r="AG371" s="190"/>
      <c r="AH371" s="190"/>
      <c r="AI371" s="190"/>
      <c r="AJ371" s="190"/>
      <c r="AK371" s="190"/>
      <c r="AL371" s="190"/>
      <c r="AM371" s="190"/>
      <c r="AN371" s="190"/>
      <c r="AO371" s="190"/>
      <c r="AP371" s="190"/>
      <c r="AQ371" s="190"/>
      <c r="AR371" s="190"/>
      <c r="AS371" s="190"/>
      <c r="AT371" s="190"/>
      <c r="AU371" s="190"/>
      <c r="AV371" s="190"/>
      <c r="AW371" s="190"/>
      <c r="AX371" s="190"/>
      <c r="AY371" s="190"/>
      <c r="AZ371" s="190"/>
      <c r="BA371" s="190"/>
      <c r="BB371" s="190"/>
      <c r="BC371" s="190"/>
      <c r="BD371" s="190"/>
      <c r="BE371" s="190"/>
      <c r="BF371" s="190"/>
      <c r="BG371" s="190"/>
      <c r="BH371" s="190"/>
      <c r="BI371" s="190"/>
      <c r="BJ371" s="190"/>
      <c r="BK371" s="190"/>
      <c r="BL371" s="190"/>
      <c r="TU371" s="178"/>
      <c r="TV371" s="178"/>
    </row>
    <row r="372" spans="1:542" x14ac:dyDescent="0.25">
      <c r="A372" s="147" t="s">
        <v>239</v>
      </c>
      <c r="B372" s="119"/>
      <c r="C372" s="120"/>
      <c r="D372" s="209"/>
      <c r="E372" s="207"/>
      <c r="F372" s="207"/>
      <c r="G372" s="207"/>
      <c r="H372" s="207"/>
      <c r="I372" s="207"/>
      <c r="J372" s="207"/>
      <c r="K372" s="207"/>
      <c r="L372" s="207"/>
      <c r="M372" s="207"/>
      <c r="N372" s="207"/>
      <c r="O372" s="207"/>
      <c r="P372" s="207"/>
      <c r="Q372" s="207"/>
      <c r="R372" s="207"/>
      <c r="S372" s="207"/>
      <c r="T372" s="207"/>
      <c r="U372" s="207"/>
      <c r="V372" s="207"/>
      <c r="W372" s="207"/>
      <c r="X372" s="207"/>
      <c r="Y372" s="207"/>
      <c r="Z372" s="207"/>
      <c r="AA372" s="207"/>
      <c r="AB372" s="207"/>
      <c r="AC372" s="207"/>
      <c r="AD372" s="207"/>
      <c r="AE372" s="207"/>
      <c r="AF372" s="207"/>
      <c r="AG372" s="207"/>
      <c r="AH372" s="207"/>
      <c r="AI372" s="207"/>
      <c r="AJ372" s="207"/>
      <c r="AK372" s="207"/>
      <c r="AL372" s="207"/>
      <c r="AM372" s="207"/>
      <c r="AN372" s="207"/>
      <c r="AO372" s="207"/>
      <c r="AP372" s="207"/>
      <c r="AQ372" s="207"/>
      <c r="AR372" s="207"/>
      <c r="AS372" s="207"/>
      <c r="AT372" s="207"/>
      <c r="AU372" s="207"/>
      <c r="AV372" s="207"/>
      <c r="AW372" s="207"/>
      <c r="AX372" s="207"/>
      <c r="AY372" s="207"/>
      <c r="AZ372" s="207"/>
      <c r="BA372" s="207"/>
      <c r="BB372" s="207"/>
      <c r="BC372" s="207"/>
      <c r="BD372" s="207"/>
      <c r="BE372" s="207"/>
      <c r="BF372" s="207"/>
      <c r="BG372" s="207"/>
      <c r="BH372" s="207"/>
      <c r="BI372" s="207"/>
      <c r="BJ372" s="207"/>
      <c r="BK372" s="207"/>
      <c r="BL372" s="207"/>
      <c r="TU372" s="178"/>
      <c r="TV372" s="178"/>
    </row>
    <row r="373" spans="1:542" x14ac:dyDescent="0.25">
      <c r="A373" s="147" t="s">
        <v>240</v>
      </c>
      <c r="B373" s="119"/>
      <c r="C373" s="120"/>
      <c r="D373" s="155"/>
      <c r="E373" s="190"/>
      <c r="F373" s="190"/>
      <c r="G373" s="190"/>
      <c r="H373" s="190"/>
      <c r="I373" s="190"/>
      <c r="J373" s="190"/>
      <c r="K373" s="190"/>
      <c r="L373" s="190"/>
      <c r="M373" s="190"/>
      <c r="N373" s="190"/>
      <c r="O373" s="190"/>
      <c r="P373" s="190"/>
      <c r="Q373" s="190"/>
      <c r="R373" s="190"/>
      <c r="S373" s="190"/>
      <c r="T373" s="190"/>
      <c r="U373" s="190"/>
      <c r="V373" s="190"/>
      <c r="W373" s="190"/>
      <c r="X373" s="190"/>
      <c r="Y373" s="190"/>
      <c r="Z373" s="190"/>
      <c r="AA373" s="190"/>
      <c r="AB373" s="190"/>
      <c r="AC373" s="190"/>
      <c r="AD373" s="190"/>
      <c r="AE373" s="190"/>
      <c r="AF373" s="190"/>
      <c r="AG373" s="190"/>
      <c r="AH373" s="190"/>
      <c r="AI373" s="190"/>
      <c r="AJ373" s="190"/>
      <c r="AK373" s="190"/>
      <c r="AL373" s="190"/>
      <c r="AM373" s="190"/>
      <c r="AN373" s="190"/>
      <c r="AO373" s="190"/>
      <c r="AP373" s="190"/>
      <c r="AQ373" s="190"/>
      <c r="AR373" s="190"/>
      <c r="AS373" s="190"/>
      <c r="AT373" s="190"/>
      <c r="AU373" s="190"/>
      <c r="AV373" s="190"/>
      <c r="AW373" s="190"/>
      <c r="AX373" s="190"/>
      <c r="AY373" s="190"/>
      <c r="AZ373" s="190"/>
      <c r="BA373" s="190"/>
      <c r="BB373" s="190"/>
      <c r="BC373" s="190"/>
      <c r="BD373" s="190"/>
      <c r="BE373" s="190"/>
      <c r="BF373" s="190"/>
      <c r="BG373" s="190"/>
      <c r="BH373" s="190"/>
      <c r="BI373" s="190"/>
      <c r="BJ373" s="190"/>
      <c r="BK373" s="190"/>
      <c r="BL373" s="190"/>
      <c r="TU373" s="178"/>
      <c r="TV373" s="178"/>
    </row>
    <row r="374" spans="1:542" x14ac:dyDescent="0.25">
      <c r="A374" s="96" t="s">
        <v>241</v>
      </c>
      <c r="B374" s="158"/>
      <c r="C374" s="159"/>
      <c r="D374" s="155"/>
      <c r="E374" s="190"/>
      <c r="F374" s="190"/>
      <c r="G374" s="190"/>
      <c r="H374" s="190"/>
      <c r="I374" s="190"/>
      <c r="J374" s="190"/>
      <c r="K374" s="190"/>
      <c r="L374" s="190"/>
      <c r="M374" s="190"/>
      <c r="N374" s="190"/>
      <c r="O374" s="190"/>
      <c r="P374" s="190"/>
      <c r="Q374" s="190"/>
      <c r="R374" s="190"/>
      <c r="S374" s="190"/>
      <c r="T374" s="190"/>
      <c r="U374" s="190"/>
      <c r="V374" s="190"/>
      <c r="W374" s="190"/>
      <c r="X374" s="190"/>
      <c r="Y374" s="190"/>
      <c r="Z374" s="190"/>
      <c r="AA374" s="190"/>
      <c r="AB374" s="190"/>
      <c r="AC374" s="190"/>
      <c r="AD374" s="190"/>
      <c r="AE374" s="190"/>
      <c r="AF374" s="190"/>
      <c r="AG374" s="190"/>
      <c r="AH374" s="190"/>
      <c r="AI374" s="190"/>
      <c r="AJ374" s="190"/>
      <c r="AK374" s="190"/>
      <c r="AL374" s="190"/>
      <c r="AM374" s="190"/>
      <c r="AN374" s="190"/>
      <c r="AO374" s="190"/>
      <c r="AP374" s="190"/>
      <c r="AQ374" s="190"/>
      <c r="AR374" s="190"/>
      <c r="AS374" s="190"/>
      <c r="AT374" s="190"/>
      <c r="AU374" s="190"/>
      <c r="AV374" s="190"/>
      <c r="AW374" s="190"/>
      <c r="AX374" s="190"/>
      <c r="AY374" s="190"/>
      <c r="AZ374" s="190"/>
      <c r="BA374" s="190"/>
      <c r="BB374" s="190"/>
      <c r="BC374" s="190"/>
      <c r="BD374" s="190"/>
      <c r="BE374" s="190"/>
      <c r="BF374" s="190"/>
      <c r="BG374" s="190"/>
      <c r="BH374" s="190"/>
      <c r="BI374" s="190"/>
      <c r="BJ374" s="190"/>
      <c r="BK374" s="190"/>
      <c r="BL374" s="190"/>
      <c r="TU374" s="178"/>
      <c r="TV374" s="178"/>
    </row>
    <row r="375" spans="1:542" x14ac:dyDescent="0.25">
      <c r="A375" s="147" t="s">
        <v>242</v>
      </c>
      <c r="B375" s="119"/>
      <c r="C375" s="120"/>
      <c r="D375" s="155"/>
      <c r="E375" s="190"/>
      <c r="F375" s="190"/>
      <c r="G375" s="190"/>
      <c r="H375" s="190"/>
      <c r="I375" s="190"/>
      <c r="J375" s="190"/>
      <c r="K375" s="190"/>
      <c r="L375" s="190"/>
      <c r="M375" s="190"/>
      <c r="N375" s="190"/>
      <c r="O375" s="190"/>
      <c r="P375" s="190"/>
      <c r="Q375" s="190"/>
      <c r="R375" s="190"/>
      <c r="S375" s="190"/>
      <c r="T375" s="190"/>
      <c r="U375" s="190"/>
      <c r="V375" s="190"/>
      <c r="W375" s="190"/>
      <c r="X375" s="190"/>
      <c r="Y375" s="190"/>
      <c r="Z375" s="190"/>
      <c r="AA375" s="190"/>
      <c r="AB375" s="190"/>
      <c r="AC375" s="190"/>
      <c r="AD375" s="190"/>
      <c r="AE375" s="190"/>
      <c r="AF375" s="190"/>
      <c r="AG375" s="190"/>
      <c r="AH375" s="190"/>
      <c r="AI375" s="190"/>
      <c r="AJ375" s="190"/>
      <c r="AK375" s="190"/>
      <c r="AL375" s="190"/>
      <c r="AM375" s="190"/>
      <c r="AN375" s="190"/>
      <c r="AO375" s="190"/>
      <c r="AP375" s="190"/>
      <c r="AQ375" s="190"/>
      <c r="AR375" s="190"/>
      <c r="AS375" s="190"/>
      <c r="AT375" s="190"/>
      <c r="AU375" s="190"/>
      <c r="AV375" s="190"/>
      <c r="AW375" s="190"/>
      <c r="AX375" s="190"/>
      <c r="AY375" s="190"/>
      <c r="AZ375" s="190"/>
      <c r="BA375" s="190"/>
      <c r="BB375" s="190"/>
      <c r="BC375" s="190"/>
      <c r="BD375" s="190"/>
      <c r="BE375" s="190"/>
      <c r="BF375" s="190"/>
      <c r="BG375" s="190"/>
      <c r="BH375" s="190"/>
      <c r="BI375" s="190"/>
      <c r="BJ375" s="190"/>
      <c r="BK375" s="190"/>
      <c r="BL375" s="190"/>
      <c r="TU375" s="178"/>
      <c r="TV375" s="178"/>
    </row>
    <row r="376" spans="1:542" x14ac:dyDescent="0.25">
      <c r="A376" s="147" t="s">
        <v>243</v>
      </c>
      <c r="B376" s="119"/>
      <c r="C376" s="120"/>
      <c r="D376" s="209"/>
      <c r="E376" s="207"/>
      <c r="F376" s="207"/>
      <c r="G376" s="207"/>
      <c r="H376" s="207"/>
      <c r="I376" s="207"/>
      <c r="J376" s="207"/>
      <c r="K376" s="207"/>
      <c r="L376" s="207"/>
      <c r="M376" s="207"/>
      <c r="N376" s="207"/>
      <c r="O376" s="207"/>
      <c r="P376" s="207"/>
      <c r="Q376" s="207"/>
      <c r="R376" s="207"/>
      <c r="S376" s="207"/>
      <c r="T376" s="207"/>
      <c r="U376" s="207"/>
      <c r="V376" s="207"/>
      <c r="W376" s="207"/>
      <c r="X376" s="207"/>
      <c r="Y376" s="207"/>
      <c r="Z376" s="207"/>
      <c r="AA376" s="207"/>
      <c r="AB376" s="207"/>
      <c r="AC376" s="207"/>
      <c r="AD376" s="207"/>
      <c r="AE376" s="207"/>
      <c r="AF376" s="207"/>
      <c r="AG376" s="207"/>
      <c r="AH376" s="207"/>
      <c r="AI376" s="207"/>
      <c r="AJ376" s="207"/>
      <c r="AK376" s="207"/>
      <c r="AL376" s="207"/>
      <c r="AM376" s="207"/>
      <c r="AN376" s="207"/>
      <c r="AO376" s="207"/>
      <c r="AP376" s="207"/>
      <c r="AQ376" s="207"/>
      <c r="AR376" s="207"/>
      <c r="AS376" s="207"/>
      <c r="AT376" s="207"/>
      <c r="AU376" s="207"/>
      <c r="AV376" s="207"/>
      <c r="AW376" s="207"/>
      <c r="AX376" s="207"/>
      <c r="AY376" s="207"/>
      <c r="AZ376" s="207"/>
      <c r="BA376" s="207"/>
      <c r="BB376" s="207"/>
      <c r="BC376" s="207"/>
      <c r="BD376" s="207"/>
      <c r="BE376" s="207"/>
      <c r="BF376" s="207"/>
      <c r="BG376" s="207"/>
      <c r="BH376" s="207"/>
      <c r="BI376" s="207"/>
      <c r="BJ376" s="207"/>
      <c r="BK376" s="207"/>
      <c r="BL376" s="207"/>
      <c r="TU376" s="178"/>
      <c r="TV376" s="178"/>
    </row>
    <row r="377" spans="1:542" x14ac:dyDescent="0.25">
      <c r="A377" s="147" t="s">
        <v>244</v>
      </c>
      <c r="B377" s="119"/>
      <c r="C377" s="120"/>
      <c r="D377" s="155"/>
      <c r="E377" s="190"/>
      <c r="F377" s="190"/>
      <c r="G377" s="190"/>
      <c r="H377" s="190"/>
      <c r="I377" s="190"/>
      <c r="J377" s="190"/>
      <c r="K377" s="190"/>
      <c r="L377" s="190"/>
      <c r="M377" s="190"/>
      <c r="N377" s="190"/>
      <c r="O377" s="190"/>
      <c r="P377" s="190"/>
      <c r="Q377" s="190"/>
      <c r="R377" s="190"/>
      <c r="S377" s="190"/>
      <c r="T377" s="190"/>
      <c r="U377" s="190"/>
      <c r="V377" s="190"/>
      <c r="W377" s="190"/>
      <c r="X377" s="190"/>
      <c r="Y377" s="190"/>
      <c r="Z377" s="190"/>
      <c r="AA377" s="190"/>
      <c r="AB377" s="190"/>
      <c r="AC377" s="190"/>
      <c r="AD377" s="190"/>
      <c r="AE377" s="190"/>
      <c r="AF377" s="190"/>
      <c r="AG377" s="190"/>
      <c r="AH377" s="190"/>
      <c r="AI377" s="190"/>
      <c r="AJ377" s="190"/>
      <c r="AK377" s="190"/>
      <c r="AL377" s="190"/>
      <c r="AM377" s="190"/>
      <c r="AN377" s="190"/>
      <c r="AO377" s="190"/>
      <c r="AP377" s="190"/>
      <c r="AQ377" s="190"/>
      <c r="AR377" s="190"/>
      <c r="AS377" s="190"/>
      <c r="AT377" s="190"/>
      <c r="AU377" s="190"/>
      <c r="AV377" s="190"/>
      <c r="AW377" s="190"/>
      <c r="AX377" s="190"/>
      <c r="AY377" s="190"/>
      <c r="AZ377" s="190"/>
      <c r="BA377" s="190"/>
      <c r="BB377" s="190"/>
      <c r="BC377" s="190"/>
      <c r="BD377" s="190"/>
      <c r="BE377" s="190"/>
      <c r="BF377" s="190"/>
      <c r="BG377" s="190"/>
      <c r="BH377" s="190"/>
      <c r="BI377" s="190"/>
      <c r="BJ377" s="190"/>
      <c r="BK377" s="190"/>
      <c r="BL377" s="190"/>
      <c r="TU377" s="178"/>
      <c r="TV377" s="178"/>
    </row>
    <row r="378" spans="1:542" x14ac:dyDescent="0.25">
      <c r="A378" s="96" t="s">
        <v>245</v>
      </c>
      <c r="B378" s="158"/>
      <c r="C378" s="159"/>
      <c r="D378" s="155"/>
      <c r="E378" s="190"/>
      <c r="F378" s="190"/>
      <c r="G378" s="190"/>
      <c r="H378" s="190"/>
      <c r="I378" s="190"/>
      <c r="J378" s="190"/>
      <c r="K378" s="190"/>
      <c r="L378" s="190"/>
      <c r="M378" s="190"/>
      <c r="N378" s="190"/>
      <c r="O378" s="190"/>
      <c r="P378" s="190"/>
      <c r="Q378" s="190"/>
      <c r="R378" s="190"/>
      <c r="S378" s="190"/>
      <c r="T378" s="190"/>
      <c r="U378" s="190"/>
      <c r="V378" s="190"/>
      <c r="W378" s="190"/>
      <c r="X378" s="190"/>
      <c r="Y378" s="190"/>
      <c r="Z378" s="190"/>
      <c r="AA378" s="190"/>
      <c r="AB378" s="190"/>
      <c r="AC378" s="190"/>
      <c r="AD378" s="190"/>
      <c r="AE378" s="190"/>
      <c r="AF378" s="190"/>
      <c r="AG378" s="190"/>
      <c r="AH378" s="190"/>
      <c r="AI378" s="190"/>
      <c r="AJ378" s="190"/>
      <c r="AK378" s="190"/>
      <c r="AL378" s="190"/>
      <c r="AM378" s="190"/>
      <c r="AN378" s="190"/>
      <c r="AO378" s="190"/>
      <c r="AP378" s="190"/>
      <c r="AQ378" s="190"/>
      <c r="AR378" s="190"/>
      <c r="AS378" s="190"/>
      <c r="AT378" s="190"/>
      <c r="AU378" s="190"/>
      <c r="AV378" s="190"/>
      <c r="AW378" s="190"/>
      <c r="AX378" s="190"/>
      <c r="AY378" s="190"/>
      <c r="AZ378" s="190"/>
      <c r="BA378" s="190"/>
      <c r="BB378" s="190"/>
      <c r="BC378" s="190"/>
      <c r="BD378" s="190"/>
      <c r="BE378" s="190"/>
      <c r="BF378" s="190"/>
      <c r="BG378" s="190"/>
      <c r="BH378" s="190"/>
      <c r="BI378" s="190"/>
      <c r="BJ378" s="190"/>
      <c r="BK378" s="190"/>
      <c r="BL378" s="190"/>
      <c r="TU378" s="178"/>
      <c r="TV378" s="178"/>
    </row>
    <row r="379" spans="1:542" x14ac:dyDescent="0.25">
      <c r="A379" s="147" t="s">
        <v>246</v>
      </c>
      <c r="B379" s="119"/>
      <c r="C379" s="120"/>
      <c r="D379" s="155"/>
      <c r="E379" s="190"/>
      <c r="F379" s="190"/>
      <c r="G379" s="190"/>
      <c r="H379" s="190"/>
      <c r="I379" s="190"/>
      <c r="J379" s="190"/>
      <c r="K379" s="190"/>
      <c r="L379" s="190"/>
      <c r="M379" s="190"/>
      <c r="N379" s="190"/>
      <c r="O379" s="190"/>
      <c r="P379" s="190"/>
      <c r="Q379" s="190"/>
      <c r="R379" s="190"/>
      <c r="S379" s="190"/>
      <c r="T379" s="190"/>
      <c r="U379" s="190"/>
      <c r="V379" s="190"/>
      <c r="W379" s="190"/>
      <c r="X379" s="190"/>
      <c r="Y379" s="190"/>
      <c r="Z379" s="190"/>
      <c r="AA379" s="190"/>
      <c r="AB379" s="190"/>
      <c r="AC379" s="190"/>
      <c r="AD379" s="190"/>
      <c r="AE379" s="190"/>
      <c r="AF379" s="190"/>
      <c r="AG379" s="190"/>
      <c r="AH379" s="190"/>
      <c r="AI379" s="190"/>
      <c r="AJ379" s="190"/>
      <c r="AK379" s="190"/>
      <c r="AL379" s="190"/>
      <c r="AM379" s="190"/>
      <c r="AN379" s="190"/>
      <c r="AO379" s="190"/>
      <c r="AP379" s="190"/>
      <c r="AQ379" s="190"/>
      <c r="AR379" s="190"/>
      <c r="AS379" s="190"/>
      <c r="AT379" s="190"/>
      <c r="AU379" s="190"/>
      <c r="AV379" s="190"/>
      <c r="AW379" s="190"/>
      <c r="AX379" s="190"/>
      <c r="AY379" s="190"/>
      <c r="AZ379" s="190"/>
      <c r="BA379" s="190"/>
      <c r="BB379" s="190"/>
      <c r="BC379" s="190"/>
      <c r="BD379" s="190"/>
      <c r="BE379" s="190"/>
      <c r="BF379" s="190"/>
      <c r="BG379" s="190"/>
      <c r="BH379" s="190"/>
      <c r="BI379" s="190"/>
      <c r="BJ379" s="190"/>
      <c r="BK379" s="190"/>
      <c r="BL379" s="190"/>
      <c r="TU379" s="178"/>
      <c r="TV379" s="178"/>
    </row>
    <row r="380" spans="1:542" ht="45" x14ac:dyDescent="0.25">
      <c r="A380" s="96" t="s">
        <v>350</v>
      </c>
      <c r="B380" s="158"/>
      <c r="C380" s="159"/>
      <c r="D380" s="155"/>
      <c r="E380" s="190"/>
      <c r="F380" s="190"/>
      <c r="G380" s="190"/>
      <c r="H380" s="190"/>
      <c r="I380" s="190"/>
      <c r="J380" s="190"/>
      <c r="K380" s="190"/>
      <c r="L380" s="190"/>
      <c r="M380" s="190"/>
      <c r="N380" s="190"/>
      <c r="O380" s="190"/>
      <c r="P380" s="190"/>
      <c r="Q380" s="190"/>
      <c r="R380" s="190"/>
      <c r="S380" s="190"/>
      <c r="T380" s="190"/>
      <c r="U380" s="190"/>
      <c r="V380" s="190"/>
      <c r="W380" s="190"/>
      <c r="X380" s="190"/>
      <c r="Y380" s="190"/>
      <c r="Z380" s="190"/>
      <c r="AA380" s="190"/>
      <c r="AB380" s="190"/>
      <c r="AC380" s="190"/>
      <c r="AD380" s="190"/>
      <c r="AE380" s="190"/>
      <c r="AF380" s="190"/>
      <c r="AG380" s="190"/>
      <c r="AH380" s="190"/>
      <c r="AI380" s="190"/>
      <c r="AJ380" s="190"/>
      <c r="AK380" s="190"/>
      <c r="AL380" s="190"/>
      <c r="AM380" s="190"/>
      <c r="AN380" s="190"/>
      <c r="AO380" s="190"/>
      <c r="AP380" s="190"/>
      <c r="AQ380" s="190"/>
      <c r="AR380" s="190"/>
      <c r="AS380" s="190"/>
      <c r="AT380" s="190"/>
      <c r="AU380" s="190"/>
      <c r="AV380" s="190"/>
      <c r="AW380" s="190"/>
      <c r="AX380" s="190"/>
      <c r="AY380" s="190"/>
      <c r="AZ380" s="190"/>
      <c r="BA380" s="190"/>
      <c r="BB380" s="190"/>
      <c r="BC380" s="190"/>
      <c r="BD380" s="190"/>
      <c r="BE380" s="190"/>
      <c r="BF380" s="190"/>
      <c r="BG380" s="190"/>
      <c r="BH380" s="190"/>
      <c r="BI380" s="190"/>
      <c r="BJ380" s="190"/>
      <c r="BK380" s="190"/>
      <c r="BL380" s="190"/>
      <c r="TU380" s="178"/>
      <c r="TV380" s="178"/>
    </row>
    <row r="381" spans="1:542" ht="45" x14ac:dyDescent="0.25">
      <c r="A381" s="96" t="s">
        <v>351</v>
      </c>
      <c r="B381" s="158"/>
      <c r="C381" s="159"/>
      <c r="D381" s="155"/>
      <c r="E381" s="190"/>
      <c r="F381" s="190"/>
      <c r="G381" s="190"/>
      <c r="H381" s="190"/>
      <c r="I381" s="190"/>
      <c r="J381" s="190"/>
      <c r="K381" s="190"/>
      <c r="L381" s="190"/>
      <c r="M381" s="190"/>
      <c r="N381" s="190"/>
      <c r="O381" s="190"/>
      <c r="P381" s="190"/>
      <c r="Q381" s="190"/>
      <c r="R381" s="190"/>
      <c r="S381" s="190"/>
      <c r="T381" s="190"/>
      <c r="U381" s="190"/>
      <c r="V381" s="190"/>
      <c r="W381" s="190"/>
      <c r="X381" s="190"/>
      <c r="Y381" s="190"/>
      <c r="Z381" s="190"/>
      <c r="AA381" s="190"/>
      <c r="AB381" s="190"/>
      <c r="AC381" s="190"/>
      <c r="AD381" s="190"/>
      <c r="AE381" s="190"/>
      <c r="AF381" s="190"/>
      <c r="AG381" s="190"/>
      <c r="AH381" s="190"/>
      <c r="AI381" s="190"/>
      <c r="AJ381" s="190"/>
      <c r="AK381" s="190"/>
      <c r="AL381" s="190"/>
      <c r="AM381" s="190"/>
      <c r="AN381" s="190"/>
      <c r="AO381" s="190"/>
      <c r="AP381" s="190"/>
      <c r="AQ381" s="190"/>
      <c r="AR381" s="190"/>
      <c r="AS381" s="190"/>
      <c r="AT381" s="190"/>
      <c r="AU381" s="190"/>
      <c r="AV381" s="190"/>
      <c r="AW381" s="190"/>
      <c r="AX381" s="190"/>
      <c r="AY381" s="190"/>
      <c r="AZ381" s="190"/>
      <c r="BA381" s="190"/>
      <c r="BB381" s="190"/>
      <c r="BC381" s="190"/>
      <c r="BD381" s="190"/>
      <c r="BE381" s="190"/>
      <c r="BF381" s="190"/>
      <c r="BG381" s="190"/>
      <c r="BH381" s="190"/>
      <c r="BI381" s="190"/>
      <c r="BJ381" s="190"/>
      <c r="BK381" s="190"/>
      <c r="BL381" s="190"/>
      <c r="TU381" s="178"/>
      <c r="TV381" s="178"/>
    </row>
    <row r="382" spans="1:542" x14ac:dyDescent="0.25">
      <c r="A382" s="96" t="s">
        <v>352</v>
      </c>
      <c r="B382" s="158"/>
      <c r="C382" s="159"/>
      <c r="D382" s="155"/>
      <c r="E382" s="190"/>
      <c r="F382" s="190"/>
      <c r="G382" s="190"/>
      <c r="H382" s="190"/>
      <c r="I382" s="190"/>
      <c r="J382" s="190"/>
      <c r="K382" s="190"/>
      <c r="L382" s="190"/>
      <c r="M382" s="190"/>
      <c r="N382" s="190"/>
      <c r="O382" s="190"/>
      <c r="P382" s="190"/>
      <c r="Q382" s="190"/>
      <c r="R382" s="190"/>
      <c r="S382" s="190"/>
      <c r="T382" s="190"/>
      <c r="U382" s="190"/>
      <c r="V382" s="190"/>
      <c r="W382" s="190"/>
      <c r="X382" s="190"/>
      <c r="Y382" s="190"/>
      <c r="Z382" s="190"/>
      <c r="AA382" s="190"/>
      <c r="AB382" s="190"/>
      <c r="AC382" s="190"/>
      <c r="AD382" s="190"/>
      <c r="AE382" s="190"/>
      <c r="AF382" s="190"/>
      <c r="AG382" s="190"/>
      <c r="AH382" s="190"/>
      <c r="AI382" s="190"/>
      <c r="AJ382" s="190"/>
      <c r="AK382" s="190"/>
      <c r="AL382" s="190"/>
      <c r="AM382" s="190"/>
      <c r="AN382" s="190"/>
      <c r="AO382" s="190"/>
      <c r="AP382" s="190"/>
      <c r="AQ382" s="190"/>
      <c r="AR382" s="190"/>
      <c r="AS382" s="190"/>
      <c r="AT382" s="190"/>
      <c r="AU382" s="190"/>
      <c r="AV382" s="190"/>
      <c r="AW382" s="190"/>
      <c r="AX382" s="190"/>
      <c r="AY382" s="190"/>
      <c r="AZ382" s="190"/>
      <c r="BA382" s="190"/>
      <c r="BB382" s="190"/>
      <c r="BC382" s="190"/>
      <c r="BD382" s="190"/>
      <c r="BE382" s="190"/>
      <c r="BF382" s="190"/>
      <c r="BG382" s="190"/>
      <c r="BH382" s="190"/>
      <c r="BI382" s="190"/>
      <c r="BJ382" s="190"/>
      <c r="BK382" s="190"/>
      <c r="BL382" s="190"/>
      <c r="TU382" s="178"/>
      <c r="TV382" s="178"/>
    </row>
    <row r="383" spans="1:542" ht="30" x14ac:dyDescent="0.25">
      <c r="A383" s="96" t="s">
        <v>353</v>
      </c>
      <c r="B383" s="158"/>
      <c r="C383" s="159"/>
      <c r="D383" s="155"/>
      <c r="E383" s="190"/>
      <c r="F383" s="190"/>
      <c r="G383" s="190"/>
      <c r="H383" s="190"/>
      <c r="I383" s="190"/>
      <c r="J383" s="190"/>
      <c r="K383" s="190"/>
      <c r="L383" s="190"/>
      <c r="M383" s="190"/>
      <c r="N383" s="190"/>
      <c r="O383" s="190"/>
      <c r="P383" s="190"/>
      <c r="Q383" s="190"/>
      <c r="R383" s="190"/>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TU383" s="178"/>
      <c r="TV383" s="178"/>
    </row>
    <row r="384" spans="1:542" x14ac:dyDescent="0.25">
      <c r="A384" s="96" t="s">
        <v>354</v>
      </c>
      <c r="B384" s="158"/>
      <c r="C384" s="159"/>
      <c r="D384" s="155"/>
      <c r="E384" s="190"/>
      <c r="F384" s="190"/>
      <c r="G384" s="190"/>
      <c r="H384" s="190"/>
      <c r="I384" s="190"/>
      <c r="J384" s="190"/>
      <c r="K384" s="190"/>
      <c r="L384" s="190"/>
      <c r="M384" s="190"/>
      <c r="N384" s="190"/>
      <c r="O384" s="190"/>
      <c r="P384" s="190"/>
      <c r="Q384" s="190"/>
      <c r="R384" s="190"/>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TU384" s="178"/>
      <c r="TV384" s="178"/>
    </row>
    <row r="385" spans="1:542" x14ac:dyDescent="0.25">
      <c r="A385" s="96" t="s">
        <v>359</v>
      </c>
      <c r="B385" s="158"/>
      <c r="C385" s="159"/>
      <c r="D385" s="155"/>
      <c r="E385" s="190"/>
      <c r="F385" s="190"/>
      <c r="G385" s="190"/>
      <c r="H385" s="190"/>
      <c r="I385" s="190"/>
      <c r="J385" s="190"/>
      <c r="K385" s="190"/>
      <c r="L385" s="190"/>
      <c r="M385" s="190"/>
      <c r="N385" s="190"/>
      <c r="O385" s="190"/>
      <c r="P385" s="190"/>
      <c r="Q385" s="190"/>
      <c r="R385" s="190"/>
      <c r="S385" s="190"/>
      <c r="T385" s="190"/>
      <c r="U385" s="190"/>
      <c r="V385" s="190"/>
      <c r="W385" s="190"/>
      <c r="X385" s="190"/>
      <c r="Y385" s="190"/>
      <c r="Z385" s="190"/>
      <c r="AA385" s="190"/>
      <c r="AB385" s="190"/>
      <c r="AC385" s="190"/>
      <c r="AD385" s="190"/>
      <c r="AE385" s="190"/>
      <c r="AF385" s="190"/>
      <c r="AG385" s="190"/>
      <c r="AH385" s="190"/>
      <c r="AI385" s="190"/>
      <c r="AJ385" s="190"/>
      <c r="AK385" s="190"/>
      <c r="AL385" s="190"/>
      <c r="AM385" s="190"/>
      <c r="AN385" s="190"/>
      <c r="AO385" s="190"/>
      <c r="AP385" s="190"/>
      <c r="AQ385" s="190"/>
      <c r="AR385" s="190"/>
      <c r="AS385" s="190"/>
      <c r="AT385" s="190"/>
      <c r="AU385" s="190"/>
      <c r="AV385" s="190"/>
      <c r="AW385" s="190"/>
      <c r="AX385" s="190"/>
      <c r="AY385" s="190"/>
      <c r="AZ385" s="190"/>
      <c r="BA385" s="190"/>
      <c r="BB385" s="190"/>
      <c r="BC385" s="190"/>
      <c r="BD385" s="190"/>
      <c r="BE385" s="190"/>
      <c r="BF385" s="190"/>
      <c r="BG385" s="190"/>
      <c r="BH385" s="190"/>
      <c r="BI385" s="190"/>
      <c r="BJ385" s="190"/>
      <c r="BK385" s="190"/>
      <c r="BL385" s="190"/>
      <c r="TU385" s="178"/>
      <c r="TV385" s="178"/>
    </row>
    <row r="386" spans="1:542" x14ac:dyDescent="0.25">
      <c r="A386" s="96" t="s">
        <v>360</v>
      </c>
      <c r="B386" s="158"/>
      <c r="C386" s="159"/>
      <c r="D386" s="155"/>
      <c r="E386" s="190"/>
      <c r="F386" s="190"/>
      <c r="G386" s="190"/>
      <c r="H386" s="190"/>
      <c r="I386" s="190"/>
      <c r="J386" s="190"/>
      <c r="K386" s="190"/>
      <c r="L386" s="190"/>
      <c r="M386" s="190"/>
      <c r="N386" s="190"/>
      <c r="O386" s="190"/>
      <c r="P386" s="190"/>
      <c r="Q386" s="190"/>
      <c r="R386" s="190"/>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TU386" s="178"/>
      <c r="TV386" s="178"/>
    </row>
    <row r="387" spans="1:542" x14ac:dyDescent="0.25">
      <c r="A387" s="96" t="s">
        <v>361</v>
      </c>
      <c r="B387" s="158"/>
      <c r="C387" s="159"/>
      <c r="D387" s="155"/>
      <c r="E387" s="190"/>
      <c r="F387" s="190"/>
      <c r="G387" s="190"/>
      <c r="H387" s="190"/>
      <c r="I387" s="190"/>
      <c r="J387" s="190"/>
      <c r="K387" s="190"/>
      <c r="L387" s="190"/>
      <c r="M387" s="190"/>
      <c r="N387" s="190"/>
      <c r="O387" s="190"/>
      <c r="P387" s="190"/>
      <c r="Q387" s="190"/>
      <c r="R387" s="190"/>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TU387" s="178"/>
      <c r="TV387" s="178"/>
    </row>
    <row r="388" spans="1:542" x14ac:dyDescent="0.25">
      <c r="A388" s="96" t="s">
        <v>365</v>
      </c>
      <c r="B388" s="158"/>
      <c r="C388" s="159"/>
      <c r="D388" s="155"/>
      <c r="E388" s="190"/>
      <c r="F388" s="190"/>
      <c r="G388" s="190"/>
      <c r="H388" s="190"/>
      <c r="I388" s="190"/>
      <c r="J388" s="190"/>
      <c r="K388" s="190"/>
      <c r="L388" s="190"/>
      <c r="M388" s="190"/>
      <c r="N388" s="190"/>
      <c r="O388" s="190"/>
      <c r="P388" s="190"/>
      <c r="Q388" s="190"/>
      <c r="R388" s="190"/>
      <c r="S388" s="190"/>
      <c r="T388" s="190"/>
      <c r="U388" s="190"/>
      <c r="V388" s="190"/>
      <c r="W388" s="190"/>
      <c r="X388" s="190"/>
      <c r="Y388" s="190"/>
      <c r="Z388" s="190"/>
      <c r="AA388" s="190"/>
      <c r="AB388" s="190"/>
      <c r="AC388" s="190"/>
      <c r="AD388" s="190"/>
      <c r="AE388" s="190"/>
      <c r="AF388" s="190"/>
      <c r="AG388" s="190"/>
      <c r="AH388" s="190"/>
      <c r="AI388" s="190"/>
      <c r="AJ388" s="190"/>
      <c r="AK388" s="190"/>
      <c r="AL388" s="190"/>
      <c r="AM388" s="190"/>
      <c r="AN388" s="190"/>
      <c r="AO388" s="190"/>
      <c r="AP388" s="190"/>
      <c r="AQ388" s="190"/>
      <c r="AR388" s="190"/>
      <c r="AS388" s="190"/>
      <c r="AT388" s="190"/>
      <c r="AU388" s="190"/>
      <c r="AV388" s="190"/>
      <c r="AW388" s="190"/>
      <c r="AX388" s="190"/>
      <c r="AY388" s="190"/>
      <c r="AZ388" s="190"/>
      <c r="BA388" s="190"/>
      <c r="BB388" s="190"/>
      <c r="BC388" s="190"/>
      <c r="BD388" s="190"/>
      <c r="BE388" s="190"/>
      <c r="BF388" s="190"/>
      <c r="BG388" s="190"/>
      <c r="BH388" s="190"/>
      <c r="BI388" s="190"/>
      <c r="BJ388" s="190"/>
      <c r="BK388" s="190"/>
      <c r="BL388" s="190"/>
      <c r="TU388" s="178"/>
      <c r="TV388" s="178"/>
    </row>
    <row r="389" spans="1:542" x14ac:dyDescent="0.25">
      <c r="A389" s="96" t="s">
        <v>362</v>
      </c>
      <c r="B389" s="158"/>
      <c r="C389" s="159"/>
      <c r="D389" s="155"/>
      <c r="E389" s="190"/>
      <c r="F389" s="190"/>
      <c r="G389" s="190"/>
      <c r="H389" s="190"/>
      <c r="I389" s="190"/>
      <c r="J389" s="190"/>
      <c r="K389" s="190"/>
      <c r="L389" s="190"/>
      <c r="M389" s="190"/>
      <c r="N389" s="190"/>
      <c r="O389" s="190"/>
      <c r="P389" s="190"/>
      <c r="Q389" s="190"/>
      <c r="R389" s="190"/>
      <c r="S389" s="190"/>
      <c r="T389" s="190"/>
      <c r="U389" s="190"/>
      <c r="V389" s="190"/>
      <c r="W389" s="190"/>
      <c r="X389" s="190"/>
      <c r="Y389" s="190"/>
      <c r="Z389" s="190"/>
      <c r="AA389" s="190"/>
      <c r="AB389" s="190"/>
      <c r="AC389" s="190"/>
      <c r="AD389" s="190"/>
      <c r="AE389" s="190"/>
      <c r="AF389" s="190"/>
      <c r="AG389" s="190"/>
      <c r="AH389" s="190"/>
      <c r="AI389" s="190"/>
      <c r="AJ389" s="190"/>
      <c r="AK389" s="190"/>
      <c r="AL389" s="190"/>
      <c r="AM389" s="190"/>
      <c r="AN389" s="190"/>
      <c r="AO389" s="190"/>
      <c r="AP389" s="190"/>
      <c r="AQ389" s="190"/>
      <c r="AR389" s="190"/>
      <c r="AS389" s="190"/>
      <c r="AT389" s="190"/>
      <c r="AU389" s="190"/>
      <c r="AV389" s="190"/>
      <c r="AW389" s="190"/>
      <c r="AX389" s="190"/>
      <c r="AY389" s="190"/>
      <c r="AZ389" s="190"/>
      <c r="BA389" s="190"/>
      <c r="BB389" s="190"/>
      <c r="BC389" s="190"/>
      <c r="BD389" s="190"/>
      <c r="BE389" s="190"/>
      <c r="BF389" s="190"/>
      <c r="BG389" s="190"/>
      <c r="BH389" s="190"/>
      <c r="BI389" s="190"/>
      <c r="BJ389" s="190"/>
      <c r="BK389" s="190"/>
      <c r="BL389" s="190"/>
      <c r="TU389" s="178"/>
      <c r="TV389" s="178"/>
    </row>
    <row r="390" spans="1:542" x14ac:dyDescent="0.25">
      <c r="A390" s="96" t="s">
        <v>363</v>
      </c>
      <c r="B390" s="158"/>
      <c r="C390" s="159"/>
      <c r="D390" s="155"/>
      <c r="E390" s="190"/>
      <c r="F390" s="190"/>
      <c r="G390" s="190"/>
      <c r="H390" s="190"/>
      <c r="I390" s="190"/>
      <c r="J390" s="190"/>
      <c r="K390" s="190"/>
      <c r="L390" s="190"/>
      <c r="M390" s="190"/>
      <c r="N390" s="190"/>
      <c r="O390" s="190"/>
      <c r="P390" s="190"/>
      <c r="Q390" s="190"/>
      <c r="R390" s="190"/>
      <c r="S390" s="190"/>
      <c r="T390" s="190"/>
      <c r="U390" s="190"/>
      <c r="V390" s="190"/>
      <c r="W390" s="190"/>
      <c r="X390" s="190"/>
      <c r="Y390" s="190"/>
      <c r="Z390" s="190"/>
      <c r="AA390" s="190"/>
      <c r="AB390" s="190"/>
      <c r="AC390" s="190"/>
      <c r="AD390" s="190"/>
      <c r="AE390" s="190"/>
      <c r="AF390" s="190"/>
      <c r="AG390" s="190"/>
      <c r="AH390" s="190"/>
      <c r="AI390" s="190"/>
      <c r="AJ390" s="190"/>
      <c r="AK390" s="190"/>
      <c r="AL390" s="190"/>
      <c r="AM390" s="190"/>
      <c r="AN390" s="190"/>
      <c r="AO390" s="190"/>
      <c r="AP390" s="190"/>
      <c r="AQ390" s="190"/>
      <c r="AR390" s="190"/>
      <c r="AS390" s="190"/>
      <c r="AT390" s="190"/>
      <c r="AU390" s="190"/>
      <c r="AV390" s="190"/>
      <c r="AW390" s="190"/>
      <c r="AX390" s="190"/>
      <c r="AY390" s="190"/>
      <c r="AZ390" s="190"/>
      <c r="BA390" s="190"/>
      <c r="BB390" s="190"/>
      <c r="BC390" s="190"/>
      <c r="BD390" s="190"/>
      <c r="BE390" s="190"/>
      <c r="BF390" s="190"/>
      <c r="BG390" s="190"/>
      <c r="BH390" s="190"/>
      <c r="BI390" s="190"/>
      <c r="BJ390" s="190"/>
      <c r="BK390" s="190"/>
      <c r="BL390" s="190"/>
      <c r="TU390" s="178"/>
      <c r="TV390" s="178"/>
    </row>
    <row r="391" spans="1:542" x14ac:dyDescent="0.25">
      <c r="A391" s="96" t="s">
        <v>364</v>
      </c>
      <c r="B391" s="158"/>
      <c r="C391" s="159"/>
      <c r="D391" s="155"/>
      <c r="E391" s="190"/>
      <c r="F391" s="190"/>
      <c r="G391" s="190"/>
      <c r="H391" s="190"/>
      <c r="I391" s="190"/>
      <c r="J391" s="190"/>
      <c r="K391" s="190"/>
      <c r="L391" s="190"/>
      <c r="M391" s="190"/>
      <c r="N391" s="190"/>
      <c r="O391" s="190"/>
      <c r="P391" s="190"/>
      <c r="Q391" s="190"/>
      <c r="R391" s="190"/>
      <c r="S391" s="190"/>
      <c r="T391" s="190"/>
      <c r="U391" s="190"/>
      <c r="V391" s="190"/>
      <c r="W391" s="190"/>
      <c r="X391" s="190"/>
      <c r="Y391" s="190"/>
      <c r="Z391" s="190"/>
      <c r="AA391" s="190"/>
      <c r="AB391" s="190"/>
      <c r="AC391" s="190"/>
      <c r="AD391" s="190"/>
      <c r="AE391" s="190"/>
      <c r="AF391" s="190"/>
      <c r="AG391" s="190"/>
      <c r="AH391" s="190"/>
      <c r="AI391" s="190"/>
      <c r="AJ391" s="190"/>
      <c r="AK391" s="190"/>
      <c r="AL391" s="190"/>
      <c r="AM391" s="190"/>
      <c r="AN391" s="190"/>
      <c r="AO391" s="190"/>
      <c r="AP391" s="190"/>
      <c r="AQ391" s="190"/>
      <c r="AR391" s="190"/>
      <c r="AS391" s="190"/>
      <c r="AT391" s="190"/>
      <c r="AU391" s="190"/>
      <c r="AV391" s="190"/>
      <c r="AW391" s="190"/>
      <c r="AX391" s="190"/>
      <c r="AY391" s="190"/>
      <c r="AZ391" s="190"/>
      <c r="BA391" s="190"/>
      <c r="BB391" s="190"/>
      <c r="BC391" s="190"/>
      <c r="BD391" s="190"/>
      <c r="BE391" s="190"/>
      <c r="BF391" s="190"/>
      <c r="BG391" s="190"/>
      <c r="BH391" s="190"/>
      <c r="BI391" s="190"/>
      <c r="BJ391" s="190"/>
      <c r="BK391" s="190"/>
      <c r="BL391" s="190"/>
      <c r="TU391" s="178"/>
      <c r="TV391" s="178"/>
    </row>
    <row r="392" spans="1:542" x14ac:dyDescent="0.25">
      <c r="A392" s="147" t="s">
        <v>247</v>
      </c>
      <c r="B392" s="119"/>
      <c r="C392" s="120"/>
      <c r="D392" s="155"/>
      <c r="E392" s="190"/>
      <c r="F392" s="190"/>
      <c r="G392" s="190"/>
      <c r="H392" s="190"/>
      <c r="I392" s="190"/>
      <c r="J392" s="190"/>
      <c r="K392" s="190"/>
      <c r="L392" s="190"/>
      <c r="M392" s="190"/>
      <c r="N392" s="190"/>
      <c r="O392" s="190"/>
      <c r="P392" s="190"/>
      <c r="Q392" s="190"/>
      <c r="R392" s="190"/>
      <c r="S392" s="190"/>
      <c r="T392" s="190"/>
      <c r="U392" s="190"/>
      <c r="V392" s="190"/>
      <c r="W392" s="190"/>
      <c r="X392" s="190"/>
      <c r="Y392" s="190"/>
      <c r="Z392" s="190"/>
      <c r="AA392" s="190"/>
      <c r="AB392" s="190"/>
      <c r="AC392" s="190"/>
      <c r="AD392" s="190"/>
      <c r="AE392" s="190"/>
      <c r="AF392" s="190"/>
      <c r="AG392" s="190"/>
      <c r="AH392" s="190"/>
      <c r="AI392" s="190"/>
      <c r="AJ392" s="190"/>
      <c r="AK392" s="190"/>
      <c r="AL392" s="190"/>
      <c r="AM392" s="190"/>
      <c r="AN392" s="190"/>
      <c r="AO392" s="190"/>
      <c r="AP392" s="190"/>
      <c r="AQ392" s="190"/>
      <c r="AR392" s="190"/>
      <c r="AS392" s="190"/>
      <c r="AT392" s="190"/>
      <c r="AU392" s="190"/>
      <c r="AV392" s="190"/>
      <c r="AW392" s="190"/>
      <c r="AX392" s="190"/>
      <c r="AY392" s="190"/>
      <c r="AZ392" s="190"/>
      <c r="BA392" s="190"/>
      <c r="BB392" s="190"/>
      <c r="BC392" s="190"/>
      <c r="BD392" s="190"/>
      <c r="BE392" s="190"/>
      <c r="BF392" s="190"/>
      <c r="BG392" s="190"/>
      <c r="BH392" s="190"/>
      <c r="BI392" s="190"/>
      <c r="BJ392" s="190"/>
      <c r="BK392" s="190"/>
      <c r="BL392" s="190"/>
      <c r="TU392" s="178"/>
      <c r="TV392" s="178"/>
    </row>
    <row r="393" spans="1:542" x14ac:dyDescent="0.25">
      <c r="A393" s="147" t="s">
        <v>248</v>
      </c>
      <c r="B393" s="119"/>
      <c r="C393" s="120"/>
      <c r="D393" s="155"/>
      <c r="E393" s="190"/>
      <c r="F393" s="190"/>
      <c r="G393" s="190"/>
      <c r="H393" s="190"/>
      <c r="I393" s="190"/>
      <c r="J393" s="190"/>
      <c r="K393" s="190"/>
      <c r="L393" s="190"/>
      <c r="M393" s="190"/>
      <c r="N393" s="190"/>
      <c r="O393" s="190"/>
      <c r="P393" s="190"/>
      <c r="Q393" s="190"/>
      <c r="R393" s="190"/>
      <c r="S393" s="190"/>
      <c r="T393" s="190"/>
      <c r="U393" s="190"/>
      <c r="V393" s="190"/>
      <c r="W393" s="190"/>
      <c r="X393" s="190"/>
      <c r="Y393" s="190"/>
      <c r="Z393" s="190"/>
      <c r="AA393" s="190"/>
      <c r="AB393" s="190"/>
      <c r="AC393" s="190"/>
      <c r="AD393" s="190"/>
      <c r="AE393" s="190"/>
      <c r="AF393" s="190"/>
      <c r="AG393" s="190"/>
      <c r="AH393" s="190"/>
      <c r="AI393" s="190"/>
      <c r="AJ393" s="190"/>
      <c r="AK393" s="190"/>
      <c r="AL393" s="190"/>
      <c r="AM393" s="190"/>
      <c r="AN393" s="190"/>
      <c r="AO393" s="190"/>
      <c r="AP393" s="190"/>
      <c r="AQ393" s="190"/>
      <c r="AR393" s="190"/>
      <c r="AS393" s="190"/>
      <c r="AT393" s="190"/>
      <c r="AU393" s="190"/>
      <c r="AV393" s="190"/>
      <c r="AW393" s="190"/>
      <c r="AX393" s="190"/>
      <c r="AY393" s="190"/>
      <c r="AZ393" s="190"/>
      <c r="BA393" s="190"/>
      <c r="BB393" s="190"/>
      <c r="BC393" s="190"/>
      <c r="BD393" s="190"/>
      <c r="BE393" s="190"/>
      <c r="BF393" s="190"/>
      <c r="BG393" s="190"/>
      <c r="BH393" s="190"/>
      <c r="BI393" s="190"/>
      <c r="BJ393" s="190"/>
      <c r="BK393" s="190"/>
      <c r="BL393" s="190"/>
      <c r="TU393" s="178"/>
      <c r="TV393" s="178"/>
    </row>
    <row r="394" spans="1:542" x14ac:dyDescent="0.25">
      <c r="A394" s="147" t="s">
        <v>249</v>
      </c>
      <c r="B394" s="119"/>
      <c r="C394" s="120"/>
      <c r="D394" s="155"/>
      <c r="E394" s="190"/>
      <c r="F394" s="190"/>
      <c r="G394" s="190"/>
      <c r="H394" s="190"/>
      <c r="I394" s="190"/>
      <c r="J394" s="190"/>
      <c r="K394" s="190"/>
      <c r="L394" s="190"/>
      <c r="M394" s="190"/>
      <c r="N394" s="190"/>
      <c r="O394" s="190"/>
      <c r="P394" s="190"/>
      <c r="Q394" s="190"/>
      <c r="R394" s="190"/>
      <c r="S394" s="190"/>
      <c r="T394" s="190"/>
      <c r="U394" s="190"/>
      <c r="V394" s="190"/>
      <c r="W394" s="190"/>
      <c r="X394" s="190"/>
      <c r="Y394" s="190"/>
      <c r="Z394" s="190"/>
      <c r="AA394" s="190"/>
      <c r="AB394" s="190"/>
      <c r="AC394" s="190"/>
      <c r="AD394" s="190"/>
      <c r="AE394" s="190"/>
      <c r="AF394" s="190"/>
      <c r="AG394" s="190"/>
      <c r="AH394" s="190"/>
      <c r="AI394" s="190"/>
      <c r="AJ394" s="190"/>
      <c r="AK394" s="190"/>
      <c r="AL394" s="190"/>
      <c r="AM394" s="190"/>
      <c r="AN394" s="190"/>
      <c r="AO394" s="190"/>
      <c r="AP394" s="190"/>
      <c r="AQ394" s="190"/>
      <c r="AR394" s="190"/>
      <c r="AS394" s="190"/>
      <c r="AT394" s="190"/>
      <c r="AU394" s="190"/>
      <c r="AV394" s="190"/>
      <c r="AW394" s="190"/>
      <c r="AX394" s="190"/>
      <c r="AY394" s="190"/>
      <c r="AZ394" s="190"/>
      <c r="BA394" s="190"/>
      <c r="BB394" s="190"/>
      <c r="BC394" s="190"/>
      <c r="BD394" s="190"/>
      <c r="BE394" s="190"/>
      <c r="BF394" s="190"/>
      <c r="BG394" s="190"/>
      <c r="BH394" s="190"/>
      <c r="BI394" s="190"/>
      <c r="BJ394" s="190"/>
      <c r="BK394" s="190"/>
      <c r="BL394" s="190"/>
      <c r="TU394" s="178"/>
      <c r="TV394" s="178"/>
    </row>
    <row r="395" spans="1:542" x14ac:dyDescent="0.25">
      <c r="A395" s="147" t="s">
        <v>250</v>
      </c>
      <c r="B395" s="119"/>
      <c r="C395" s="120"/>
      <c r="D395" s="155"/>
      <c r="E395" s="190"/>
      <c r="F395" s="190"/>
      <c r="G395" s="190"/>
      <c r="H395" s="190"/>
      <c r="I395" s="190"/>
      <c r="J395" s="190"/>
      <c r="K395" s="190"/>
      <c r="L395" s="190"/>
      <c r="M395" s="190"/>
      <c r="N395" s="190"/>
      <c r="O395" s="190"/>
      <c r="P395" s="190"/>
      <c r="Q395" s="190"/>
      <c r="R395" s="190"/>
      <c r="S395" s="190"/>
      <c r="T395" s="190"/>
      <c r="U395" s="190"/>
      <c r="V395" s="190"/>
      <c r="W395" s="190"/>
      <c r="X395" s="190"/>
      <c r="Y395" s="190"/>
      <c r="Z395" s="190"/>
      <c r="AA395" s="190"/>
      <c r="AB395" s="190"/>
      <c r="AC395" s="190"/>
      <c r="AD395" s="190"/>
      <c r="AE395" s="190"/>
      <c r="AF395" s="190"/>
      <c r="AG395" s="190"/>
      <c r="AH395" s="190"/>
      <c r="AI395" s="190"/>
      <c r="AJ395" s="190"/>
      <c r="AK395" s="190"/>
      <c r="AL395" s="190"/>
      <c r="AM395" s="190"/>
      <c r="AN395" s="190"/>
      <c r="AO395" s="190"/>
      <c r="AP395" s="190"/>
      <c r="AQ395" s="190"/>
      <c r="AR395" s="190"/>
      <c r="AS395" s="190"/>
      <c r="AT395" s="190"/>
      <c r="AU395" s="190"/>
      <c r="AV395" s="190"/>
      <c r="AW395" s="190"/>
      <c r="AX395" s="190"/>
      <c r="AY395" s="190"/>
      <c r="AZ395" s="190"/>
      <c r="BA395" s="190"/>
      <c r="BB395" s="190"/>
      <c r="BC395" s="190"/>
      <c r="BD395" s="190"/>
      <c r="BE395" s="190"/>
      <c r="BF395" s="190"/>
      <c r="BG395" s="190"/>
      <c r="BH395" s="190"/>
      <c r="BI395" s="190"/>
      <c r="BJ395" s="190"/>
      <c r="BK395" s="190"/>
      <c r="BL395" s="190"/>
      <c r="TU395" s="178"/>
      <c r="TV395" s="178"/>
    </row>
    <row r="396" spans="1:542" x14ac:dyDescent="0.25">
      <c r="A396" s="96" t="s">
        <v>355</v>
      </c>
      <c r="B396" s="158" t="str">
        <f>"[NA/radial/axial]"</f>
        <v>[NA/radial/axial]</v>
      </c>
      <c r="C396" s="159"/>
      <c r="D396" s="155"/>
      <c r="E396" s="190"/>
      <c r="F396" s="190"/>
      <c r="G396" s="190"/>
      <c r="H396" s="190"/>
      <c r="I396" s="190"/>
      <c r="J396" s="190"/>
      <c r="K396" s="190"/>
      <c r="L396" s="190"/>
      <c r="M396" s="190"/>
      <c r="N396" s="190"/>
      <c r="O396" s="190"/>
      <c r="P396" s="190"/>
      <c r="Q396" s="190"/>
      <c r="R396" s="190"/>
      <c r="S396" s="190"/>
      <c r="T396" s="190"/>
      <c r="U396" s="190"/>
      <c r="V396" s="190"/>
      <c r="W396" s="190"/>
      <c r="X396" s="190"/>
      <c r="Y396" s="190"/>
      <c r="Z396" s="190"/>
      <c r="AA396" s="190"/>
      <c r="AB396" s="190"/>
      <c r="AC396" s="190"/>
      <c r="AD396" s="190"/>
      <c r="AE396" s="190"/>
      <c r="AF396" s="190"/>
      <c r="AG396" s="190"/>
      <c r="AH396" s="190"/>
      <c r="AI396" s="190"/>
      <c r="AJ396" s="190"/>
      <c r="AK396" s="190"/>
      <c r="AL396" s="190"/>
      <c r="AM396" s="190"/>
      <c r="AN396" s="190"/>
      <c r="AO396" s="190"/>
      <c r="AP396" s="190"/>
      <c r="AQ396" s="190"/>
      <c r="AR396" s="190"/>
      <c r="AS396" s="190"/>
      <c r="AT396" s="190"/>
      <c r="AU396" s="190"/>
      <c r="AV396" s="190"/>
      <c r="AW396" s="190"/>
      <c r="AX396" s="190"/>
      <c r="AY396" s="190"/>
      <c r="AZ396" s="190"/>
      <c r="BA396" s="190"/>
      <c r="BB396" s="190"/>
      <c r="BC396" s="190"/>
      <c r="BD396" s="190"/>
      <c r="BE396" s="190"/>
      <c r="BF396" s="190"/>
      <c r="BG396" s="190"/>
      <c r="BH396" s="190"/>
      <c r="BI396" s="190"/>
      <c r="BJ396" s="190"/>
      <c r="BK396" s="190"/>
      <c r="BL396" s="190"/>
      <c r="TU396" s="178"/>
      <c r="TV396" s="178"/>
    </row>
    <row r="397" spans="1:542" x14ac:dyDescent="0.25">
      <c r="A397" s="96" t="s">
        <v>251</v>
      </c>
      <c r="B397" s="119"/>
      <c r="C397" s="120"/>
      <c r="D397" s="155"/>
      <c r="E397" s="190"/>
      <c r="F397" s="190"/>
      <c r="G397" s="190"/>
      <c r="H397" s="190"/>
      <c r="I397" s="190"/>
      <c r="J397" s="190"/>
      <c r="K397" s="190"/>
      <c r="L397" s="190"/>
      <c r="M397" s="190"/>
      <c r="N397" s="190"/>
      <c r="O397" s="190"/>
      <c r="P397" s="190"/>
      <c r="Q397" s="190"/>
      <c r="R397" s="190"/>
      <c r="S397" s="190"/>
      <c r="T397" s="190"/>
      <c r="U397" s="190"/>
      <c r="V397" s="190"/>
      <c r="W397" s="190"/>
      <c r="X397" s="190"/>
      <c r="Y397" s="190"/>
      <c r="Z397" s="190"/>
      <c r="AA397" s="190"/>
      <c r="AB397" s="190"/>
      <c r="AC397" s="190"/>
      <c r="AD397" s="190"/>
      <c r="AE397" s="190"/>
      <c r="AF397" s="190"/>
      <c r="AG397" s="190"/>
      <c r="AH397" s="190"/>
      <c r="AI397" s="190"/>
      <c r="AJ397" s="190"/>
      <c r="AK397" s="190"/>
      <c r="AL397" s="190"/>
      <c r="AM397" s="190"/>
      <c r="AN397" s="190"/>
      <c r="AO397" s="190"/>
      <c r="AP397" s="190"/>
      <c r="AQ397" s="190"/>
      <c r="AR397" s="190"/>
      <c r="AS397" s="190"/>
      <c r="AT397" s="190"/>
      <c r="AU397" s="190"/>
      <c r="AV397" s="190"/>
      <c r="AW397" s="190"/>
      <c r="AX397" s="190"/>
      <c r="AY397" s="190"/>
      <c r="AZ397" s="190"/>
      <c r="BA397" s="190"/>
      <c r="BB397" s="190"/>
      <c r="BC397" s="190"/>
      <c r="BD397" s="190"/>
      <c r="BE397" s="190"/>
      <c r="BF397" s="190"/>
      <c r="BG397" s="190"/>
      <c r="BH397" s="190"/>
      <c r="BI397" s="190"/>
      <c r="BJ397" s="190"/>
      <c r="BK397" s="190"/>
      <c r="BL397" s="190"/>
      <c r="TU397" s="178"/>
      <c r="TV397" s="178"/>
    </row>
    <row r="398" spans="1:542" x14ac:dyDescent="0.25">
      <c r="A398" s="96" t="s">
        <v>280</v>
      </c>
      <c r="B398" s="158" t="str">
        <f>"[right/left]"</f>
        <v>[right/left]</v>
      </c>
      <c r="C398" s="159"/>
      <c r="D398" s="155"/>
      <c r="E398" s="190"/>
      <c r="F398" s="190"/>
      <c r="G398" s="190"/>
      <c r="H398" s="190"/>
      <c r="I398" s="190"/>
      <c r="J398" s="190"/>
      <c r="K398" s="190"/>
      <c r="L398" s="190"/>
      <c r="M398" s="190"/>
      <c r="N398" s="190"/>
      <c r="O398" s="190"/>
      <c r="P398" s="190"/>
      <c r="Q398" s="190"/>
      <c r="R398" s="190"/>
      <c r="S398" s="190"/>
      <c r="T398" s="190"/>
      <c r="U398" s="190"/>
      <c r="V398" s="190"/>
      <c r="W398" s="190"/>
      <c r="X398" s="190"/>
      <c r="Y398" s="190"/>
      <c r="Z398" s="190"/>
      <c r="AA398" s="190"/>
      <c r="AB398" s="190"/>
      <c r="AC398" s="190"/>
      <c r="AD398" s="190"/>
      <c r="AE398" s="190"/>
      <c r="AF398" s="190"/>
      <c r="AG398" s="190"/>
      <c r="AH398" s="190"/>
      <c r="AI398" s="190"/>
      <c r="AJ398" s="190"/>
      <c r="AK398" s="190"/>
      <c r="AL398" s="190"/>
      <c r="AM398" s="190"/>
      <c r="AN398" s="190"/>
      <c r="AO398" s="190"/>
      <c r="AP398" s="190"/>
      <c r="AQ398" s="190"/>
      <c r="AR398" s="190"/>
      <c r="AS398" s="190"/>
      <c r="AT398" s="190"/>
      <c r="AU398" s="190"/>
      <c r="AV398" s="190"/>
      <c r="AW398" s="190"/>
      <c r="AX398" s="190"/>
      <c r="AY398" s="190"/>
      <c r="AZ398" s="190"/>
      <c r="BA398" s="190"/>
      <c r="BB398" s="190"/>
      <c r="BC398" s="190"/>
      <c r="BD398" s="190"/>
      <c r="BE398" s="190"/>
      <c r="BF398" s="190"/>
      <c r="BG398" s="190"/>
      <c r="BH398" s="190"/>
      <c r="BI398" s="190"/>
      <c r="BJ398" s="190"/>
      <c r="BK398" s="190"/>
      <c r="BL398" s="190"/>
      <c r="TU398" s="178"/>
      <c r="TV398" s="178"/>
    </row>
    <row r="399" spans="1:542" x14ac:dyDescent="0.25">
      <c r="A399" s="96" t="s">
        <v>252</v>
      </c>
      <c r="B399" s="158" t="str">
        <f>"[none/list]"</f>
        <v>[none/list]</v>
      </c>
      <c r="C399" s="159"/>
      <c r="D399" s="155"/>
      <c r="E399" s="190"/>
      <c r="F399" s="190"/>
      <c r="G399" s="190"/>
      <c r="H399" s="190"/>
      <c r="I399" s="190"/>
      <c r="J399" s="190"/>
      <c r="K399" s="190"/>
      <c r="L399" s="190"/>
      <c r="M399" s="190"/>
      <c r="N399" s="190"/>
      <c r="O399" s="190"/>
      <c r="P399" s="190"/>
      <c r="Q399" s="190"/>
      <c r="R399" s="190"/>
      <c r="S399" s="190"/>
      <c r="T399" s="190"/>
      <c r="U399" s="190"/>
      <c r="V399" s="190"/>
      <c r="W399" s="190"/>
      <c r="X399" s="190"/>
      <c r="Y399" s="190"/>
      <c r="Z399" s="190"/>
      <c r="AA399" s="190"/>
      <c r="AB399" s="190"/>
      <c r="AC399" s="190"/>
      <c r="AD399" s="190"/>
      <c r="AE399" s="190"/>
      <c r="AF399" s="190"/>
      <c r="AG399" s="190"/>
      <c r="AH399" s="190"/>
      <c r="AI399" s="190"/>
      <c r="AJ399" s="190"/>
      <c r="AK399" s="190"/>
      <c r="AL399" s="190"/>
      <c r="AM399" s="190"/>
      <c r="AN399" s="190"/>
      <c r="AO399" s="190"/>
      <c r="AP399" s="190"/>
      <c r="AQ399" s="190"/>
      <c r="AR399" s="190"/>
      <c r="AS399" s="190"/>
      <c r="AT399" s="190"/>
      <c r="AU399" s="190"/>
      <c r="AV399" s="190"/>
      <c r="AW399" s="190"/>
      <c r="AX399" s="190"/>
      <c r="AY399" s="190"/>
      <c r="AZ399" s="190"/>
      <c r="BA399" s="190"/>
      <c r="BB399" s="190"/>
      <c r="BC399" s="190"/>
      <c r="BD399" s="190"/>
      <c r="BE399" s="190"/>
      <c r="BF399" s="190"/>
      <c r="BG399" s="190"/>
      <c r="BH399" s="190"/>
      <c r="BI399" s="190"/>
      <c r="BJ399" s="190"/>
      <c r="BK399" s="190"/>
      <c r="BL399" s="190"/>
      <c r="TU399" s="178"/>
      <c r="TV399" s="178"/>
    </row>
    <row r="400" spans="1:542" x14ac:dyDescent="0.25">
      <c r="A400" s="189" t="s">
        <v>526</v>
      </c>
      <c r="B400" s="116"/>
      <c r="C400" s="113"/>
      <c r="D400" s="105"/>
      <c r="E400" s="190"/>
      <c r="F400" s="190"/>
      <c r="G400" s="190"/>
      <c r="H400" s="190"/>
      <c r="I400" s="190"/>
      <c r="J400" s="190"/>
      <c r="K400" s="190"/>
      <c r="L400" s="190"/>
      <c r="M400" s="190"/>
      <c r="N400" s="190"/>
      <c r="O400" s="190"/>
      <c r="P400" s="190"/>
      <c r="Q400" s="190"/>
      <c r="R400" s="190"/>
      <c r="S400" s="190"/>
      <c r="T400" s="190"/>
      <c r="U400" s="190"/>
      <c r="V400" s="190"/>
      <c r="W400" s="190"/>
      <c r="X400" s="190"/>
      <c r="Y400" s="190"/>
      <c r="Z400" s="190"/>
      <c r="AA400" s="190"/>
      <c r="AB400" s="190"/>
      <c r="AC400" s="190"/>
      <c r="AD400" s="190"/>
      <c r="AE400" s="190"/>
      <c r="AF400" s="190"/>
      <c r="AG400" s="190"/>
      <c r="AH400" s="190"/>
      <c r="AI400" s="190"/>
      <c r="AJ400" s="190"/>
      <c r="AK400" s="190"/>
      <c r="AL400" s="190"/>
      <c r="AM400" s="190"/>
      <c r="AN400" s="190"/>
      <c r="AO400" s="190"/>
      <c r="AP400" s="190"/>
      <c r="AQ400" s="190"/>
      <c r="AR400" s="190"/>
      <c r="AS400" s="190"/>
      <c r="AT400" s="190"/>
      <c r="AU400" s="190"/>
      <c r="AV400" s="190"/>
      <c r="AW400" s="190"/>
      <c r="AX400" s="190"/>
      <c r="AY400" s="190"/>
      <c r="AZ400" s="190"/>
      <c r="BA400" s="190"/>
      <c r="BB400" s="190"/>
      <c r="BC400" s="190"/>
      <c r="BD400" s="190"/>
      <c r="BE400" s="190"/>
      <c r="BF400" s="190"/>
      <c r="BG400" s="190"/>
      <c r="BH400" s="190"/>
      <c r="BI400" s="190"/>
      <c r="BJ400" s="190"/>
      <c r="BK400" s="190"/>
      <c r="BL400" s="190"/>
      <c r="TU400" s="178"/>
      <c r="TV400" s="178"/>
    </row>
    <row r="401" spans="1:542" x14ac:dyDescent="0.25">
      <c r="A401" s="96" t="s">
        <v>356</v>
      </c>
      <c r="B401" s="158" t="str">
        <f>"[yes/no]"</f>
        <v>[yes/no]</v>
      </c>
      <c r="C401" s="159"/>
      <c r="D401" s="155"/>
      <c r="E401" s="190"/>
      <c r="F401" s="190"/>
      <c r="G401" s="190"/>
      <c r="H401" s="190"/>
      <c r="I401" s="190"/>
      <c r="J401" s="190"/>
      <c r="K401" s="190"/>
      <c r="L401" s="190"/>
      <c r="M401" s="190"/>
      <c r="N401" s="190"/>
      <c r="O401" s="190"/>
      <c r="P401" s="190"/>
      <c r="Q401" s="190"/>
      <c r="R401" s="190"/>
      <c r="S401" s="190"/>
      <c r="T401" s="190"/>
      <c r="U401" s="190"/>
      <c r="V401" s="190"/>
      <c r="W401" s="190"/>
      <c r="X401" s="190"/>
      <c r="Y401" s="190"/>
      <c r="Z401" s="190"/>
      <c r="AA401" s="190"/>
      <c r="AB401" s="190"/>
      <c r="AC401" s="190"/>
      <c r="AD401" s="190"/>
      <c r="AE401" s="190"/>
      <c r="AF401" s="190"/>
      <c r="AG401" s="190"/>
      <c r="AH401" s="190"/>
      <c r="AI401" s="190"/>
      <c r="AJ401" s="190"/>
      <c r="AK401" s="190"/>
      <c r="AL401" s="190"/>
      <c r="AM401" s="190"/>
      <c r="AN401" s="190"/>
      <c r="AO401" s="190"/>
      <c r="AP401" s="190"/>
      <c r="AQ401" s="190"/>
      <c r="AR401" s="190"/>
      <c r="AS401" s="190"/>
      <c r="AT401" s="190"/>
      <c r="AU401" s="190"/>
      <c r="AV401" s="190"/>
      <c r="AW401" s="190"/>
      <c r="AX401" s="190"/>
      <c r="AY401" s="190"/>
      <c r="AZ401" s="190"/>
      <c r="BA401" s="190"/>
      <c r="BB401" s="190"/>
      <c r="BC401" s="190"/>
      <c r="BD401" s="190"/>
      <c r="BE401" s="190"/>
      <c r="BF401" s="190"/>
      <c r="BG401" s="190"/>
      <c r="BH401" s="190"/>
      <c r="BI401" s="190"/>
      <c r="BJ401" s="190"/>
      <c r="BK401" s="190"/>
      <c r="BL401" s="190"/>
      <c r="TU401" s="178"/>
      <c r="TV401" s="178"/>
    </row>
    <row r="402" spans="1:542" x14ac:dyDescent="0.25">
      <c r="A402" s="96" t="s">
        <v>528</v>
      </c>
      <c r="B402" s="158" t="str">
        <f>"[tack weld/screw]"</f>
        <v>[tack weld/screw]</v>
      </c>
      <c r="C402" s="159"/>
      <c r="D402" s="155"/>
      <c r="E402" s="190"/>
      <c r="F402" s="190"/>
      <c r="G402" s="190"/>
      <c r="H402" s="190"/>
      <c r="I402" s="190"/>
      <c r="J402" s="190"/>
      <c r="K402" s="190"/>
      <c r="L402" s="190"/>
      <c r="M402" s="190"/>
      <c r="N402" s="190"/>
      <c r="O402" s="190"/>
      <c r="P402" s="190"/>
      <c r="Q402" s="190"/>
      <c r="R402" s="190"/>
      <c r="S402" s="190"/>
      <c r="T402" s="190"/>
      <c r="U402" s="190"/>
      <c r="V402" s="190"/>
      <c r="W402" s="190"/>
      <c r="X402" s="190"/>
      <c r="Y402" s="190"/>
      <c r="Z402" s="190"/>
      <c r="AA402" s="190"/>
      <c r="AB402" s="190"/>
      <c r="AC402" s="190"/>
      <c r="AD402" s="190"/>
      <c r="AE402" s="190"/>
      <c r="AF402" s="190"/>
      <c r="AG402" s="190"/>
      <c r="AH402" s="190"/>
      <c r="AI402" s="190"/>
      <c r="AJ402" s="190"/>
      <c r="AK402" s="190"/>
      <c r="AL402" s="190"/>
      <c r="AM402" s="190"/>
      <c r="AN402" s="190"/>
      <c r="AO402" s="190"/>
      <c r="AP402" s="190"/>
      <c r="AQ402" s="190"/>
      <c r="AR402" s="190"/>
      <c r="AS402" s="190"/>
      <c r="AT402" s="190"/>
      <c r="AU402" s="190"/>
      <c r="AV402" s="190"/>
      <c r="AW402" s="190"/>
      <c r="AX402" s="190"/>
      <c r="AY402" s="190"/>
      <c r="AZ402" s="190"/>
      <c r="BA402" s="190"/>
      <c r="BB402" s="190"/>
      <c r="BC402" s="190"/>
      <c r="BD402" s="190"/>
      <c r="BE402" s="190"/>
      <c r="BF402" s="190"/>
      <c r="BG402" s="190"/>
      <c r="BH402" s="190"/>
      <c r="BI402" s="190"/>
      <c r="BJ402" s="190"/>
      <c r="BK402" s="190"/>
      <c r="BL402" s="190"/>
      <c r="TU402" s="178"/>
      <c r="TV402" s="178"/>
    </row>
    <row r="403" spans="1:542" x14ac:dyDescent="0.25">
      <c r="A403" s="96" t="s">
        <v>262</v>
      </c>
      <c r="B403" s="158" t="str">
        <f>"[yes/no]"</f>
        <v>[yes/no]</v>
      </c>
      <c r="C403" s="159"/>
      <c r="D403" s="155"/>
      <c r="E403" s="190"/>
      <c r="F403" s="190"/>
      <c r="G403" s="190"/>
      <c r="H403" s="190"/>
      <c r="I403" s="190"/>
      <c r="J403" s="190"/>
      <c r="K403" s="190"/>
      <c r="L403" s="190"/>
      <c r="M403" s="190"/>
      <c r="N403" s="190"/>
      <c r="O403" s="190"/>
      <c r="P403" s="190"/>
      <c r="Q403" s="190"/>
      <c r="R403" s="190"/>
      <c r="S403" s="190"/>
      <c r="T403" s="190"/>
      <c r="U403" s="190"/>
      <c r="V403" s="190"/>
      <c r="W403" s="190"/>
      <c r="X403" s="190"/>
      <c r="Y403" s="190"/>
      <c r="Z403" s="190"/>
      <c r="AA403" s="190"/>
      <c r="AB403" s="190"/>
      <c r="AC403" s="190"/>
      <c r="AD403" s="190"/>
      <c r="AE403" s="190"/>
      <c r="AF403" s="190"/>
      <c r="AG403" s="190"/>
      <c r="AH403" s="190"/>
      <c r="AI403" s="190"/>
      <c r="AJ403" s="190"/>
      <c r="AK403" s="190"/>
      <c r="AL403" s="190"/>
      <c r="AM403" s="190"/>
      <c r="AN403" s="190"/>
      <c r="AO403" s="190"/>
      <c r="AP403" s="190"/>
      <c r="AQ403" s="190"/>
      <c r="AR403" s="190"/>
      <c r="AS403" s="190"/>
      <c r="AT403" s="190"/>
      <c r="AU403" s="190"/>
      <c r="AV403" s="190"/>
      <c r="AW403" s="190"/>
      <c r="AX403" s="190"/>
      <c r="AY403" s="190"/>
      <c r="AZ403" s="190"/>
      <c r="BA403" s="190"/>
      <c r="BB403" s="190"/>
      <c r="BC403" s="190"/>
      <c r="BD403" s="190"/>
      <c r="BE403" s="190"/>
      <c r="BF403" s="190"/>
      <c r="BG403" s="190"/>
      <c r="BH403" s="190"/>
      <c r="BI403" s="190"/>
      <c r="BJ403" s="190"/>
      <c r="BK403" s="190"/>
      <c r="BL403" s="190"/>
      <c r="TU403" s="178"/>
      <c r="TV403" s="178"/>
    </row>
    <row r="404" spans="1:542" x14ac:dyDescent="0.25">
      <c r="A404" s="96" t="s">
        <v>263</v>
      </c>
      <c r="B404" s="158" t="str">
        <f>"[yes/no]"</f>
        <v>[yes/no]</v>
      </c>
      <c r="C404" s="159"/>
      <c r="D404" s="155"/>
      <c r="E404" s="190"/>
      <c r="F404" s="190"/>
      <c r="G404" s="190"/>
      <c r="H404" s="190"/>
      <c r="I404" s="190"/>
      <c r="J404" s="190"/>
      <c r="K404" s="190"/>
      <c r="L404" s="190"/>
      <c r="M404" s="190"/>
      <c r="N404" s="190"/>
      <c r="O404" s="190"/>
      <c r="P404" s="190"/>
      <c r="Q404" s="190"/>
      <c r="R404" s="190"/>
      <c r="S404" s="190"/>
      <c r="T404" s="190"/>
      <c r="U404" s="190"/>
      <c r="V404" s="190"/>
      <c r="W404" s="190"/>
      <c r="X404" s="190"/>
      <c r="Y404" s="190"/>
      <c r="Z404" s="190"/>
      <c r="AA404" s="190"/>
      <c r="AB404" s="190"/>
      <c r="AC404" s="190"/>
      <c r="AD404" s="190"/>
      <c r="AE404" s="190"/>
      <c r="AF404" s="190"/>
      <c r="AG404" s="190"/>
      <c r="AH404" s="190"/>
      <c r="AI404" s="190"/>
      <c r="AJ404" s="190"/>
      <c r="AK404" s="190"/>
      <c r="AL404" s="190"/>
      <c r="AM404" s="190"/>
      <c r="AN404" s="190"/>
      <c r="AO404" s="190"/>
      <c r="AP404" s="190"/>
      <c r="AQ404" s="190"/>
      <c r="AR404" s="190"/>
      <c r="AS404" s="190"/>
      <c r="AT404" s="190"/>
      <c r="AU404" s="190"/>
      <c r="AV404" s="190"/>
      <c r="AW404" s="190"/>
      <c r="AX404" s="190"/>
      <c r="AY404" s="190"/>
      <c r="AZ404" s="190"/>
      <c r="BA404" s="190"/>
      <c r="BB404" s="190"/>
      <c r="BC404" s="190"/>
      <c r="BD404" s="190"/>
      <c r="BE404" s="190"/>
      <c r="BF404" s="190"/>
      <c r="BG404" s="190"/>
      <c r="BH404" s="190"/>
      <c r="BI404" s="190"/>
      <c r="BJ404" s="190"/>
      <c r="BK404" s="190"/>
      <c r="BL404" s="190"/>
      <c r="TU404" s="178"/>
      <c r="TV404" s="178"/>
    </row>
    <row r="405" spans="1:542" x14ac:dyDescent="0.25">
      <c r="A405" s="96" t="s">
        <v>558</v>
      </c>
      <c r="B405" s="158" t="str">
        <f>"[yes/no]"</f>
        <v>[yes/no]</v>
      </c>
      <c r="C405" s="159"/>
      <c r="D405" s="155"/>
      <c r="E405" s="190"/>
      <c r="F405" s="190"/>
      <c r="G405" s="190"/>
      <c r="H405" s="190"/>
      <c r="I405" s="190"/>
      <c r="J405" s="190"/>
      <c r="K405" s="190"/>
      <c r="L405" s="190"/>
      <c r="M405" s="190"/>
      <c r="N405" s="190"/>
      <c r="O405" s="190"/>
      <c r="P405" s="190"/>
      <c r="Q405" s="190"/>
      <c r="R405" s="190"/>
      <c r="S405" s="190"/>
      <c r="T405" s="190"/>
      <c r="U405" s="190"/>
      <c r="V405" s="190"/>
      <c r="W405" s="190"/>
      <c r="X405" s="190"/>
      <c r="Y405" s="190"/>
      <c r="Z405" s="190"/>
      <c r="AA405" s="190"/>
      <c r="AB405" s="190"/>
      <c r="AC405" s="190"/>
      <c r="AD405" s="190"/>
      <c r="AE405" s="190"/>
      <c r="AF405" s="190"/>
      <c r="AG405" s="190"/>
      <c r="AH405" s="190"/>
      <c r="AI405" s="190"/>
      <c r="AJ405" s="190"/>
      <c r="AK405" s="190"/>
      <c r="AL405" s="190"/>
      <c r="AM405" s="190"/>
      <c r="AN405" s="190"/>
      <c r="AO405" s="190"/>
      <c r="AP405" s="190"/>
      <c r="AQ405" s="190"/>
      <c r="AR405" s="190"/>
      <c r="AS405" s="190"/>
      <c r="AT405" s="190"/>
      <c r="AU405" s="190"/>
      <c r="AV405" s="190"/>
      <c r="AW405" s="190"/>
      <c r="AX405" s="190"/>
      <c r="AY405" s="190"/>
      <c r="AZ405" s="190"/>
      <c r="BA405" s="190"/>
      <c r="BB405" s="190"/>
      <c r="BC405" s="190"/>
      <c r="BD405" s="190"/>
      <c r="BE405" s="190"/>
      <c r="BF405" s="190"/>
      <c r="BG405" s="190"/>
      <c r="BH405" s="190"/>
      <c r="BI405" s="190"/>
      <c r="BJ405" s="190"/>
      <c r="BK405" s="190"/>
      <c r="BL405" s="190"/>
      <c r="TU405" s="178"/>
      <c r="TV405" s="178"/>
    </row>
    <row r="406" spans="1:542" x14ac:dyDescent="0.25">
      <c r="A406" s="96" t="s">
        <v>559</v>
      </c>
      <c r="B406" s="158" t="str">
        <f>"[yes/no]"</f>
        <v>[yes/no]</v>
      </c>
      <c r="C406" s="159"/>
      <c r="D406" s="155"/>
      <c r="E406" s="190"/>
      <c r="F406" s="190"/>
      <c r="G406" s="190"/>
      <c r="H406" s="190"/>
      <c r="I406" s="190"/>
      <c r="J406" s="190"/>
      <c r="K406" s="190"/>
      <c r="L406" s="190"/>
      <c r="M406" s="190"/>
      <c r="N406" s="190"/>
      <c r="O406" s="190"/>
      <c r="P406" s="190"/>
      <c r="Q406" s="190"/>
      <c r="R406" s="190"/>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TU406" s="178"/>
      <c r="TV406" s="178"/>
    </row>
    <row r="407" spans="1:542" ht="45" x14ac:dyDescent="0.25">
      <c r="A407" s="96" t="s">
        <v>529</v>
      </c>
      <c r="B407" s="158" t="str">
        <f>"[cylindric, tapered with key, tapered hydraulic fit]"</f>
        <v>[cylindric, tapered with key, tapered hydraulic fit]</v>
      </c>
      <c r="C407" s="159"/>
      <c r="D407" s="155"/>
      <c r="E407" s="190"/>
      <c r="F407" s="190"/>
      <c r="G407" s="190"/>
      <c r="H407" s="190"/>
      <c r="I407" s="190"/>
      <c r="J407" s="190"/>
      <c r="K407" s="190"/>
      <c r="L407" s="190"/>
      <c r="M407" s="190"/>
      <c r="N407" s="190"/>
      <c r="O407" s="190"/>
      <c r="P407" s="190"/>
      <c r="Q407" s="190"/>
      <c r="R407" s="190"/>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TU407" s="178"/>
      <c r="TV407" s="178"/>
    </row>
    <row r="408" spans="1:542" x14ac:dyDescent="0.25">
      <c r="A408" s="96" t="s">
        <v>357</v>
      </c>
      <c r="B408" s="158" t="str">
        <f>"[none/1:10/1:16/other]"</f>
        <v>[none/1:10/1:16/other]</v>
      </c>
      <c r="C408" s="159"/>
      <c r="D408" s="155"/>
      <c r="E408" s="190"/>
      <c r="F408" s="190"/>
      <c r="G408" s="190"/>
      <c r="H408" s="190"/>
      <c r="I408" s="190"/>
      <c r="J408" s="190"/>
      <c r="K408" s="190"/>
      <c r="L408" s="190"/>
      <c r="M408" s="190"/>
      <c r="N408" s="190"/>
      <c r="O408" s="190"/>
      <c r="P408" s="190"/>
      <c r="Q408" s="190"/>
      <c r="R408" s="190"/>
      <c r="S408" s="190"/>
      <c r="T408" s="190"/>
      <c r="U408" s="190"/>
      <c r="V408" s="190"/>
      <c r="W408" s="190"/>
      <c r="X408" s="190"/>
      <c r="Y408" s="190"/>
      <c r="Z408" s="190"/>
      <c r="AA408" s="190"/>
      <c r="AB408" s="190"/>
      <c r="AC408" s="190"/>
      <c r="AD408" s="190"/>
      <c r="AE408" s="190"/>
      <c r="AF408" s="190"/>
      <c r="AG408" s="190"/>
      <c r="AH408" s="190"/>
      <c r="AI408" s="190"/>
      <c r="AJ408" s="190"/>
      <c r="AK408" s="190"/>
      <c r="AL408" s="190"/>
      <c r="AM408" s="190"/>
      <c r="AN408" s="190"/>
      <c r="AO408" s="190"/>
      <c r="AP408" s="190"/>
      <c r="AQ408" s="190"/>
      <c r="AR408" s="190"/>
      <c r="AS408" s="190"/>
      <c r="AT408" s="190"/>
      <c r="AU408" s="190"/>
      <c r="AV408" s="190"/>
      <c r="AW408" s="190"/>
      <c r="AX408" s="190"/>
      <c r="AY408" s="190"/>
      <c r="AZ408" s="190"/>
      <c r="BA408" s="190"/>
      <c r="BB408" s="190"/>
      <c r="BC408" s="190"/>
      <c r="BD408" s="190"/>
      <c r="BE408" s="190"/>
      <c r="BF408" s="190"/>
      <c r="BG408" s="190"/>
      <c r="BH408" s="190"/>
      <c r="BI408" s="190"/>
      <c r="BJ408" s="190"/>
      <c r="BK408" s="190"/>
      <c r="BL408" s="190"/>
      <c r="TU408" s="178"/>
      <c r="TV408" s="178"/>
    </row>
    <row r="409" spans="1:542" ht="30" x14ac:dyDescent="0.25">
      <c r="A409" s="96" t="s">
        <v>530</v>
      </c>
      <c r="B409" s="158" t="str">
        <f>"[target ring, hard facing, none]"</f>
        <v>[target ring, hard facing, none]</v>
      </c>
      <c r="C409" s="159"/>
      <c r="D409" s="155"/>
      <c r="E409" s="190"/>
      <c r="F409" s="190"/>
      <c r="G409" s="190"/>
      <c r="H409" s="190"/>
      <c r="I409" s="190"/>
      <c r="J409" s="190"/>
      <c r="K409" s="190"/>
      <c r="L409" s="190"/>
      <c r="M409" s="190"/>
      <c r="N409" s="190"/>
      <c r="O409" s="190"/>
      <c r="P409" s="190"/>
      <c r="Q409" s="190"/>
      <c r="R409" s="190"/>
      <c r="S409" s="190"/>
      <c r="T409" s="190"/>
      <c r="U409" s="190"/>
      <c r="V409" s="190"/>
      <c r="W409" s="190"/>
      <c r="X409" s="190"/>
      <c r="Y409" s="190"/>
      <c r="Z409" s="190"/>
      <c r="AA409" s="190"/>
      <c r="AB409" s="190"/>
      <c r="AC409" s="190"/>
      <c r="AD409" s="190"/>
      <c r="AE409" s="190"/>
      <c r="AF409" s="190"/>
      <c r="AG409" s="190"/>
      <c r="AH409" s="190"/>
      <c r="AI409" s="190"/>
      <c r="AJ409" s="190"/>
      <c r="AK409" s="190"/>
      <c r="AL409" s="190"/>
      <c r="AM409" s="190"/>
      <c r="AN409" s="190"/>
      <c r="AO409" s="190"/>
      <c r="AP409" s="190"/>
      <c r="AQ409" s="190"/>
      <c r="AR409" s="190"/>
      <c r="AS409" s="190"/>
      <c r="AT409" s="190"/>
      <c r="AU409" s="190"/>
      <c r="AV409" s="190"/>
      <c r="AW409" s="190"/>
      <c r="AX409" s="190"/>
      <c r="AY409" s="190"/>
      <c r="AZ409" s="190"/>
      <c r="BA409" s="190"/>
      <c r="BB409" s="190"/>
      <c r="BC409" s="190"/>
      <c r="BD409" s="190"/>
      <c r="BE409" s="190"/>
      <c r="BF409" s="190"/>
      <c r="BG409" s="190"/>
      <c r="BH409" s="190"/>
      <c r="BI409" s="190"/>
      <c r="BJ409" s="190"/>
      <c r="BK409" s="190"/>
      <c r="BL409" s="190"/>
      <c r="TU409" s="178"/>
      <c r="TV409" s="178"/>
    </row>
    <row r="410" spans="1:542" x14ac:dyDescent="0.25">
      <c r="A410" s="96" t="s">
        <v>431</v>
      </c>
      <c r="B410" s="158" t="str">
        <f>"[yes/no]"</f>
        <v>[yes/no]</v>
      </c>
      <c r="C410" s="159"/>
      <c r="D410" s="155"/>
      <c r="E410" s="190"/>
      <c r="F410" s="190"/>
      <c r="G410" s="190"/>
      <c r="H410" s="190"/>
      <c r="I410" s="190"/>
      <c r="J410" s="190"/>
      <c r="K410" s="190"/>
      <c r="L410" s="190"/>
      <c r="M410" s="190"/>
      <c r="N410" s="190"/>
      <c r="O410" s="190"/>
      <c r="P410" s="190"/>
      <c r="Q410" s="190"/>
      <c r="R410" s="190"/>
      <c r="S410" s="190"/>
      <c r="T410" s="190"/>
      <c r="U410" s="190"/>
      <c r="V410" s="190"/>
      <c r="W410" s="190"/>
      <c r="X410" s="190"/>
      <c r="Y410" s="190"/>
      <c r="Z410" s="190"/>
      <c r="AA410" s="190"/>
      <c r="AB410" s="190"/>
      <c r="AC410" s="190"/>
      <c r="AD410" s="190"/>
      <c r="AE410" s="190"/>
      <c r="AF410" s="190"/>
      <c r="AG410" s="190"/>
      <c r="AH410" s="190"/>
      <c r="AI410" s="190"/>
      <c r="AJ410" s="190"/>
      <c r="AK410" s="190"/>
      <c r="AL410" s="190"/>
      <c r="AM410" s="190"/>
      <c r="AN410" s="190"/>
      <c r="AO410" s="190"/>
      <c r="AP410" s="190"/>
      <c r="AQ410" s="190"/>
      <c r="AR410" s="190"/>
      <c r="AS410" s="190"/>
      <c r="AT410" s="190"/>
      <c r="AU410" s="190"/>
      <c r="AV410" s="190"/>
      <c r="AW410" s="190"/>
      <c r="AX410" s="190"/>
      <c r="AY410" s="190"/>
      <c r="AZ410" s="190"/>
      <c r="BA410" s="190"/>
      <c r="BB410" s="190"/>
      <c r="BC410" s="190"/>
      <c r="BD410" s="190"/>
      <c r="BE410" s="190"/>
      <c r="BF410" s="190"/>
      <c r="BG410" s="190"/>
      <c r="BH410" s="190"/>
      <c r="BI410" s="190"/>
      <c r="BJ410" s="190"/>
      <c r="BK410" s="190"/>
      <c r="BL410" s="190"/>
      <c r="TU410" s="178"/>
      <c r="TV410" s="178"/>
    </row>
    <row r="411" spans="1:542" s="71" customFormat="1" x14ac:dyDescent="0.25">
      <c r="A411" s="109" t="s">
        <v>532</v>
      </c>
      <c r="B411" s="158" t="str">
        <f>"[metric/imperial]"</f>
        <v>[metric/imperial]</v>
      </c>
      <c r="C411" s="126"/>
      <c r="D411" s="127"/>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70"/>
      <c r="BN411" s="70"/>
      <c r="BO411" s="70"/>
      <c r="BP411" s="70"/>
      <c r="BQ411" s="70"/>
      <c r="BR411" s="70"/>
      <c r="BS411" s="70"/>
      <c r="BT411" s="70"/>
      <c r="BU411" s="70"/>
      <c r="BV411" s="70"/>
      <c r="BW411" s="70"/>
      <c r="BX411" s="70"/>
      <c r="BY411" s="70"/>
      <c r="BZ411" s="70"/>
      <c r="CA411" s="70"/>
      <c r="CB411" s="70"/>
      <c r="CC411" s="70"/>
      <c r="CD411" s="70"/>
      <c r="CE411" s="70"/>
      <c r="CF411" s="70"/>
      <c r="CG411" s="70"/>
      <c r="CH411" s="70"/>
      <c r="CI411" s="70"/>
      <c r="CJ411" s="70"/>
      <c r="CK411" s="70"/>
      <c r="CL411" s="70"/>
      <c r="CM411" s="70"/>
      <c r="CN411" s="70"/>
      <c r="CO411" s="70"/>
      <c r="CP411" s="70"/>
      <c r="CQ411" s="70"/>
      <c r="CR411" s="70"/>
      <c r="CS411" s="70"/>
      <c r="CT411" s="70"/>
      <c r="CU411" s="70"/>
      <c r="CV411" s="70"/>
      <c r="CW411" s="70"/>
      <c r="CX411" s="70"/>
      <c r="CY411" s="70"/>
      <c r="CZ411" s="70"/>
      <c r="DA411" s="70"/>
      <c r="DB411" s="70"/>
      <c r="DC411" s="70"/>
      <c r="DD411" s="70"/>
      <c r="DE411" s="70"/>
      <c r="DF411" s="70"/>
      <c r="DG411" s="70"/>
      <c r="DH411" s="70"/>
      <c r="DI411" s="70"/>
      <c r="DJ411" s="70"/>
      <c r="DK411" s="70"/>
      <c r="DL411" s="70"/>
      <c r="DM411" s="70"/>
      <c r="DN411" s="70"/>
      <c r="DO411" s="70"/>
      <c r="DP411" s="70"/>
      <c r="DQ411" s="70"/>
      <c r="DR411" s="70"/>
      <c r="DS411" s="70"/>
      <c r="DT411" s="70"/>
      <c r="DU411" s="70"/>
      <c r="DV411" s="70"/>
      <c r="DW411" s="70"/>
      <c r="DX411" s="70"/>
      <c r="DY411" s="70"/>
      <c r="DZ411" s="70"/>
      <c r="EA411" s="70"/>
      <c r="EB411" s="70"/>
      <c r="EC411" s="70"/>
      <c r="ED411" s="70"/>
      <c r="EE411" s="70"/>
      <c r="EF411" s="70"/>
      <c r="EG411" s="70"/>
      <c r="EH411" s="70"/>
      <c r="EI411" s="70"/>
      <c r="EJ411" s="70"/>
      <c r="EK411" s="70"/>
      <c r="EL411" s="70"/>
      <c r="EM411" s="70"/>
      <c r="EN411" s="70"/>
      <c r="EO411" s="70"/>
      <c r="EP411" s="70"/>
      <c r="EQ411" s="70"/>
      <c r="ER411" s="70"/>
      <c r="ES411" s="70"/>
      <c r="ET411" s="70"/>
      <c r="EU411" s="70"/>
      <c r="EV411" s="70"/>
      <c r="EW411" s="70"/>
      <c r="EX411" s="70"/>
      <c r="EY411" s="70"/>
      <c r="EZ411" s="70"/>
      <c r="FA411" s="70"/>
      <c r="FB411" s="70"/>
      <c r="FC411" s="70"/>
      <c r="FD411" s="70"/>
      <c r="FE411" s="70"/>
      <c r="FF411" s="70"/>
      <c r="FG411" s="70"/>
      <c r="FH411" s="70"/>
      <c r="FI411" s="70"/>
      <c r="FJ411" s="70"/>
      <c r="FK411" s="70"/>
      <c r="FL411" s="70"/>
      <c r="FM411" s="70"/>
      <c r="FN411" s="70"/>
      <c r="FO411" s="70"/>
      <c r="FP411" s="70"/>
      <c r="FQ411" s="70"/>
      <c r="FR411" s="70"/>
      <c r="FS411" s="70"/>
      <c r="FT411" s="70"/>
      <c r="FU411" s="70"/>
      <c r="FV411" s="70"/>
      <c r="FW411" s="70"/>
      <c r="FX411" s="70"/>
      <c r="FY411" s="70"/>
      <c r="FZ411" s="70"/>
      <c r="GA411" s="70"/>
      <c r="GB411" s="70"/>
      <c r="GC411" s="70"/>
      <c r="GD411" s="70"/>
      <c r="GE411" s="70"/>
      <c r="GF411" s="70"/>
      <c r="GG411" s="70"/>
      <c r="GH411" s="70"/>
      <c r="GI411" s="70"/>
      <c r="GJ411" s="70"/>
      <c r="GK411" s="70"/>
      <c r="GL411" s="70"/>
      <c r="GM411" s="70"/>
      <c r="GN411" s="70"/>
      <c r="GO411" s="70"/>
      <c r="GP411" s="70"/>
      <c r="GQ411" s="70"/>
      <c r="GR411" s="70"/>
      <c r="GS411" s="70"/>
      <c r="GT411" s="70"/>
      <c r="GU411" s="70"/>
      <c r="GV411" s="70"/>
      <c r="GW411" s="70"/>
      <c r="GX411" s="70"/>
      <c r="GY411" s="70"/>
      <c r="GZ411" s="70"/>
      <c r="HA411" s="70"/>
      <c r="HB411" s="70"/>
      <c r="HC411" s="70"/>
      <c r="HD411" s="70"/>
      <c r="HE411" s="70"/>
      <c r="HF411" s="70"/>
      <c r="HG411" s="70"/>
      <c r="HH411" s="70"/>
      <c r="HI411" s="70"/>
      <c r="HJ411" s="70"/>
      <c r="HK411" s="70"/>
      <c r="HL411" s="70"/>
      <c r="HM411" s="70"/>
      <c r="HN411" s="70"/>
      <c r="HO411" s="70"/>
      <c r="HP411" s="70"/>
      <c r="HQ411" s="70"/>
      <c r="HR411" s="70"/>
      <c r="HS411" s="70"/>
      <c r="HT411" s="70"/>
      <c r="HU411" s="70"/>
      <c r="HV411" s="70"/>
      <c r="HW411" s="70"/>
      <c r="HX411" s="70"/>
      <c r="HY411" s="70"/>
      <c r="HZ411" s="70"/>
      <c r="IA411" s="70"/>
      <c r="IB411" s="70"/>
      <c r="IC411" s="70"/>
      <c r="ID411" s="70"/>
      <c r="IE411" s="70"/>
      <c r="IF411" s="70"/>
      <c r="IG411" s="70"/>
      <c r="IH411" s="70"/>
      <c r="II411" s="70"/>
      <c r="IJ411" s="70"/>
      <c r="IK411" s="70"/>
      <c r="IL411" s="70"/>
      <c r="IM411" s="70"/>
      <c r="IN411" s="70"/>
      <c r="IO411" s="70"/>
      <c r="IP411" s="70"/>
      <c r="IQ411" s="70"/>
      <c r="IR411" s="70"/>
      <c r="IS411" s="70"/>
      <c r="IT411" s="70"/>
      <c r="IU411" s="70"/>
      <c r="IV411" s="70"/>
      <c r="IW411" s="70"/>
      <c r="IX411" s="70"/>
      <c r="IY411" s="70"/>
      <c r="IZ411" s="70"/>
      <c r="JA411" s="70"/>
      <c r="JB411" s="70"/>
      <c r="JC411" s="70"/>
      <c r="JD411" s="70"/>
      <c r="JE411" s="70"/>
      <c r="JF411" s="70"/>
      <c r="JG411" s="70"/>
      <c r="JH411" s="70"/>
      <c r="JI411" s="70"/>
      <c r="JJ411" s="70"/>
      <c r="JK411" s="70"/>
      <c r="JL411" s="70"/>
      <c r="JM411" s="70"/>
      <c r="JN411" s="70"/>
      <c r="JO411" s="70"/>
      <c r="JP411" s="70"/>
      <c r="JQ411" s="70"/>
      <c r="JR411" s="70"/>
      <c r="JS411" s="70"/>
      <c r="JT411" s="70"/>
      <c r="JU411" s="70"/>
      <c r="JV411" s="70"/>
      <c r="JW411" s="70"/>
      <c r="JX411" s="70"/>
      <c r="JY411" s="70"/>
      <c r="JZ411" s="70"/>
      <c r="KA411" s="70"/>
      <c r="KB411" s="70"/>
      <c r="KC411" s="70"/>
      <c r="KD411" s="70"/>
      <c r="KE411" s="70"/>
      <c r="KF411" s="70"/>
      <c r="KG411" s="70"/>
      <c r="KH411" s="70"/>
      <c r="KI411" s="70"/>
      <c r="KJ411" s="70"/>
      <c r="KK411" s="70"/>
      <c r="KL411" s="70"/>
      <c r="KM411" s="70"/>
      <c r="KN411" s="70"/>
      <c r="KO411" s="70"/>
      <c r="KP411" s="70"/>
      <c r="KQ411" s="70"/>
      <c r="KR411" s="70"/>
      <c r="KS411" s="70"/>
      <c r="KT411" s="70"/>
      <c r="KU411" s="70"/>
      <c r="KV411" s="70"/>
      <c r="KW411" s="70"/>
      <c r="KX411" s="70"/>
      <c r="KY411" s="70"/>
      <c r="KZ411" s="70"/>
      <c r="LA411" s="70"/>
      <c r="LB411" s="70"/>
      <c r="LC411" s="70"/>
      <c r="LD411" s="70"/>
      <c r="LE411" s="70"/>
      <c r="LF411" s="70"/>
      <c r="LG411" s="70"/>
      <c r="LH411" s="70"/>
      <c r="LI411" s="70"/>
      <c r="LJ411" s="70"/>
      <c r="LK411" s="70"/>
      <c r="LL411" s="70"/>
      <c r="LM411" s="70"/>
      <c r="LN411" s="70"/>
      <c r="LO411" s="70"/>
      <c r="LP411" s="70"/>
      <c r="LQ411" s="70"/>
      <c r="LR411" s="70"/>
      <c r="LS411" s="70"/>
      <c r="LT411" s="70"/>
      <c r="LU411" s="70"/>
      <c r="LV411" s="70"/>
      <c r="LW411" s="70"/>
      <c r="LX411" s="70"/>
      <c r="LY411" s="70"/>
      <c r="LZ411" s="70"/>
      <c r="MA411" s="70"/>
      <c r="MB411" s="70"/>
      <c r="MC411" s="70"/>
      <c r="MD411" s="70"/>
      <c r="ME411" s="70"/>
      <c r="MF411" s="70"/>
      <c r="MG411" s="70"/>
      <c r="MH411" s="70"/>
      <c r="MI411" s="70"/>
      <c r="MJ411" s="70"/>
      <c r="MK411" s="70"/>
      <c r="ML411" s="70"/>
      <c r="MM411" s="70"/>
      <c r="MN411" s="70"/>
      <c r="MO411" s="70"/>
      <c r="MP411" s="70"/>
      <c r="MQ411" s="70"/>
      <c r="MR411" s="70"/>
      <c r="MS411" s="70"/>
      <c r="MT411" s="70"/>
      <c r="MU411" s="70"/>
      <c r="MV411" s="70"/>
      <c r="MW411" s="70"/>
      <c r="MX411" s="70"/>
      <c r="MY411" s="70"/>
      <c r="MZ411" s="70"/>
      <c r="NA411" s="70"/>
      <c r="NB411" s="70"/>
      <c r="NC411" s="70"/>
      <c r="ND411" s="70"/>
      <c r="NE411" s="70"/>
      <c r="NF411" s="70"/>
      <c r="NG411" s="70"/>
      <c r="NH411" s="70"/>
      <c r="NI411" s="70"/>
      <c r="NJ411" s="70"/>
      <c r="NK411" s="70"/>
      <c r="NL411" s="70"/>
      <c r="NM411" s="70"/>
      <c r="NN411" s="70"/>
      <c r="NO411" s="70"/>
      <c r="NP411" s="70"/>
      <c r="NQ411" s="70"/>
      <c r="NR411" s="70"/>
      <c r="NS411" s="70"/>
      <c r="NT411" s="70"/>
      <c r="NU411" s="70"/>
      <c r="NV411" s="70"/>
      <c r="NW411" s="70"/>
      <c r="NX411" s="70"/>
      <c r="NY411" s="70"/>
      <c r="NZ411" s="70"/>
      <c r="OA411" s="70"/>
      <c r="OB411" s="70"/>
      <c r="OC411" s="70"/>
      <c r="OD411" s="70"/>
      <c r="OE411" s="70"/>
      <c r="OF411" s="70"/>
      <c r="OG411" s="70"/>
      <c r="OH411" s="70"/>
      <c r="OI411" s="70"/>
      <c r="OJ411" s="70"/>
      <c r="OK411" s="70"/>
      <c r="OL411" s="70"/>
      <c r="OM411" s="70"/>
      <c r="ON411" s="70"/>
      <c r="OO411" s="70"/>
      <c r="OP411" s="70"/>
      <c r="OQ411" s="70"/>
      <c r="OR411" s="70"/>
      <c r="OS411" s="70"/>
      <c r="OT411" s="70"/>
      <c r="OU411" s="70"/>
      <c r="OV411" s="70"/>
      <c r="OW411" s="70"/>
      <c r="OX411" s="70"/>
      <c r="OY411" s="70"/>
      <c r="OZ411" s="70"/>
      <c r="PA411" s="70"/>
      <c r="PB411" s="70"/>
      <c r="PC411" s="70"/>
      <c r="PD411" s="70"/>
      <c r="PE411" s="70"/>
      <c r="PF411" s="70"/>
      <c r="PG411" s="70"/>
      <c r="PH411" s="70"/>
      <c r="PI411" s="70"/>
      <c r="PJ411" s="70"/>
      <c r="PK411" s="70"/>
      <c r="PL411" s="70"/>
      <c r="PM411" s="70"/>
      <c r="PN411" s="70"/>
      <c r="PO411" s="70"/>
      <c r="PP411" s="70"/>
      <c r="PQ411" s="70"/>
      <c r="PR411" s="70"/>
      <c r="PS411" s="70"/>
      <c r="PT411" s="70"/>
      <c r="PU411" s="70"/>
      <c r="PV411" s="70"/>
      <c r="PW411" s="70"/>
      <c r="PX411" s="70"/>
      <c r="PY411" s="70"/>
      <c r="PZ411" s="70"/>
      <c r="QA411" s="70"/>
      <c r="QB411" s="70"/>
      <c r="QC411" s="70"/>
      <c r="QD411" s="70"/>
      <c r="QE411" s="70"/>
      <c r="QF411" s="70"/>
      <c r="QG411" s="70"/>
      <c r="QH411" s="70"/>
      <c r="QI411" s="70"/>
      <c r="QJ411" s="70"/>
      <c r="QK411" s="70"/>
      <c r="QL411" s="70"/>
      <c r="QM411" s="70"/>
      <c r="QN411" s="70"/>
      <c r="QO411" s="70"/>
      <c r="QP411" s="70"/>
      <c r="QQ411" s="70"/>
      <c r="QR411" s="70"/>
      <c r="QS411" s="70"/>
      <c r="QT411" s="70"/>
      <c r="QU411" s="70"/>
      <c r="QV411" s="70"/>
      <c r="QW411" s="70"/>
      <c r="QX411" s="70"/>
      <c r="QY411" s="70"/>
      <c r="QZ411" s="70"/>
      <c r="RA411" s="70"/>
      <c r="RB411" s="70"/>
      <c r="RC411" s="70"/>
      <c r="RD411" s="70"/>
      <c r="RE411" s="70"/>
      <c r="RF411" s="70"/>
      <c r="RG411" s="70"/>
      <c r="RH411" s="70"/>
      <c r="RI411" s="70"/>
      <c r="RJ411" s="70"/>
      <c r="RK411" s="70"/>
      <c r="RL411" s="70"/>
      <c r="RM411" s="70"/>
      <c r="RN411" s="70"/>
      <c r="RO411" s="70"/>
      <c r="RP411" s="70"/>
      <c r="RQ411" s="70"/>
      <c r="RR411" s="70"/>
      <c r="RS411" s="70"/>
      <c r="RT411" s="70"/>
      <c r="RU411" s="70"/>
      <c r="RV411" s="70"/>
      <c r="RW411" s="70"/>
      <c r="RX411" s="70"/>
      <c r="RY411" s="70"/>
      <c r="RZ411" s="70"/>
      <c r="SA411" s="70"/>
      <c r="SB411" s="70"/>
      <c r="SC411" s="70"/>
      <c r="SD411" s="70"/>
      <c r="SE411" s="70"/>
      <c r="SF411" s="70"/>
      <c r="SG411" s="70"/>
      <c r="SH411" s="70"/>
      <c r="SI411" s="70"/>
      <c r="SJ411" s="70"/>
      <c r="SK411" s="70"/>
      <c r="SL411" s="70"/>
      <c r="SM411" s="70"/>
      <c r="SN411" s="70"/>
      <c r="SO411" s="70"/>
      <c r="SP411" s="70"/>
      <c r="SQ411" s="70"/>
      <c r="SR411" s="70"/>
      <c r="SS411" s="70"/>
      <c r="ST411" s="70"/>
      <c r="SU411" s="70"/>
      <c r="SV411" s="70"/>
      <c r="SW411" s="70"/>
      <c r="SX411" s="70"/>
      <c r="SY411" s="70"/>
      <c r="SZ411" s="70"/>
      <c r="TA411" s="70"/>
      <c r="TB411" s="70"/>
      <c r="TC411" s="70"/>
      <c r="TD411" s="70"/>
      <c r="TE411" s="70"/>
      <c r="TF411" s="70"/>
      <c r="TG411" s="70"/>
      <c r="TH411" s="70"/>
      <c r="TI411" s="70"/>
      <c r="TJ411" s="70"/>
      <c r="TK411" s="70"/>
      <c r="TL411" s="70"/>
      <c r="TM411" s="70"/>
      <c r="TN411" s="70"/>
      <c r="TO411" s="70"/>
      <c r="TP411" s="70"/>
      <c r="TQ411" s="70"/>
      <c r="TR411" s="70"/>
      <c r="TS411" s="70"/>
      <c r="TT411" s="70"/>
      <c r="TU411" s="70"/>
      <c r="TV411" s="70"/>
    </row>
    <row r="412" spans="1:542" x14ac:dyDescent="0.25">
      <c r="A412" s="96" t="s">
        <v>264</v>
      </c>
      <c r="B412" s="158" t="str">
        <f>"[none/list]"</f>
        <v>[none/list]</v>
      </c>
      <c r="C412" s="159"/>
      <c r="D412" s="155"/>
      <c r="E412" s="190"/>
      <c r="F412" s="190"/>
      <c r="G412" s="190"/>
      <c r="H412" s="190"/>
      <c r="I412" s="190"/>
      <c r="J412" s="190"/>
      <c r="K412" s="190"/>
      <c r="L412" s="190"/>
      <c r="M412" s="190"/>
      <c r="N412" s="190"/>
      <c r="O412" s="190"/>
      <c r="P412" s="190"/>
      <c r="Q412" s="190"/>
      <c r="R412" s="190"/>
      <c r="S412" s="190"/>
      <c r="T412" s="190"/>
      <c r="U412" s="190"/>
      <c r="V412" s="190"/>
      <c r="W412" s="190"/>
      <c r="X412" s="190"/>
      <c r="Y412" s="190"/>
      <c r="Z412" s="190"/>
      <c r="AA412" s="190"/>
      <c r="AB412" s="190"/>
      <c r="AC412" s="190"/>
      <c r="AD412" s="190"/>
      <c r="AE412" s="190"/>
      <c r="AF412" s="190"/>
      <c r="AG412" s="190"/>
      <c r="AH412" s="190"/>
      <c r="AI412" s="190"/>
      <c r="AJ412" s="190"/>
      <c r="AK412" s="190"/>
      <c r="AL412" s="190"/>
      <c r="AM412" s="190"/>
      <c r="AN412" s="190"/>
      <c r="AO412" s="190"/>
      <c r="AP412" s="190"/>
      <c r="AQ412" s="190"/>
      <c r="AR412" s="190"/>
      <c r="AS412" s="190"/>
      <c r="AT412" s="190"/>
      <c r="AU412" s="190"/>
      <c r="AV412" s="190"/>
      <c r="AW412" s="190"/>
      <c r="AX412" s="190"/>
      <c r="AY412" s="190"/>
      <c r="AZ412" s="190"/>
      <c r="BA412" s="190"/>
      <c r="BB412" s="190"/>
      <c r="BC412" s="190"/>
      <c r="BD412" s="190"/>
      <c r="BE412" s="190"/>
      <c r="BF412" s="190"/>
      <c r="BG412" s="190"/>
      <c r="BH412" s="190"/>
      <c r="BI412" s="190"/>
      <c r="BJ412" s="190"/>
      <c r="BK412" s="190"/>
      <c r="BL412" s="190"/>
      <c r="TU412" s="178"/>
      <c r="TV412" s="178"/>
    </row>
    <row r="413" spans="1:542" x14ac:dyDescent="0.25">
      <c r="A413" s="189" t="s">
        <v>527</v>
      </c>
      <c r="B413" s="116"/>
      <c r="C413" s="113"/>
      <c r="D413" s="105"/>
      <c r="E413" s="190"/>
      <c r="F413" s="190"/>
      <c r="G413" s="190"/>
      <c r="H413" s="190"/>
      <c r="I413" s="190"/>
      <c r="J413" s="190"/>
      <c r="K413" s="190"/>
      <c r="L413" s="190"/>
      <c r="M413" s="190"/>
      <c r="N413" s="190"/>
      <c r="O413" s="190"/>
      <c r="P413" s="190"/>
      <c r="Q413" s="190"/>
      <c r="R413" s="190"/>
      <c r="S413" s="190"/>
      <c r="T413" s="190"/>
      <c r="U413" s="190"/>
      <c r="V413" s="190"/>
      <c r="W413" s="190"/>
      <c r="X413" s="190"/>
      <c r="Y413" s="190"/>
      <c r="Z413" s="190"/>
      <c r="AA413" s="190"/>
      <c r="AB413" s="190"/>
      <c r="AC413" s="190"/>
      <c r="AD413" s="190"/>
      <c r="AE413" s="190"/>
      <c r="AF413" s="190"/>
      <c r="AG413" s="190"/>
      <c r="AH413" s="190"/>
      <c r="AI413" s="190"/>
      <c r="AJ413" s="190"/>
      <c r="AK413" s="190"/>
      <c r="AL413" s="190"/>
      <c r="AM413" s="190"/>
      <c r="AN413" s="190"/>
      <c r="AO413" s="190"/>
      <c r="AP413" s="190"/>
      <c r="AQ413" s="190"/>
      <c r="AR413" s="190"/>
      <c r="AS413" s="190"/>
      <c r="AT413" s="190"/>
      <c r="AU413" s="190"/>
      <c r="AV413" s="190"/>
      <c r="AW413" s="190"/>
      <c r="AX413" s="190"/>
      <c r="AY413" s="190"/>
      <c r="AZ413" s="190"/>
      <c r="BA413" s="190"/>
      <c r="BB413" s="190"/>
      <c r="BC413" s="190"/>
      <c r="BD413" s="190"/>
      <c r="BE413" s="190"/>
      <c r="BF413" s="190"/>
      <c r="BG413" s="190"/>
      <c r="BH413" s="190"/>
      <c r="BI413" s="190"/>
      <c r="BJ413" s="190"/>
      <c r="BK413" s="190"/>
      <c r="BL413" s="190"/>
      <c r="TU413" s="178"/>
      <c r="TV413" s="178"/>
    </row>
    <row r="414" spans="1:542" ht="30" x14ac:dyDescent="0.25">
      <c r="A414" s="96" t="s">
        <v>254</v>
      </c>
      <c r="B414" s="158" t="str">
        <f>"[oil ring/oil bath/flinger/forced lube]"</f>
        <v>[oil ring/oil bath/flinger/forced lube]</v>
      </c>
      <c r="C414" s="159"/>
      <c r="D414" s="155"/>
      <c r="E414" s="190"/>
      <c r="F414" s="190"/>
      <c r="G414" s="190"/>
      <c r="H414" s="190"/>
      <c r="I414" s="190"/>
      <c r="J414" s="190"/>
      <c r="K414" s="190"/>
      <c r="L414" s="190"/>
      <c r="M414" s="190"/>
      <c r="N414" s="190"/>
      <c r="O414" s="190"/>
      <c r="P414" s="190"/>
      <c r="Q414" s="190"/>
      <c r="R414" s="190"/>
      <c r="S414" s="190"/>
      <c r="T414" s="190"/>
      <c r="U414" s="190"/>
      <c r="V414" s="190"/>
      <c r="W414" s="190"/>
      <c r="X414" s="190"/>
      <c r="Y414" s="190"/>
      <c r="Z414" s="190"/>
      <c r="AA414" s="190"/>
      <c r="AB414" s="190"/>
      <c r="AC414" s="190"/>
      <c r="AD414" s="190"/>
      <c r="AE414" s="190"/>
      <c r="AF414" s="190"/>
      <c r="AG414" s="190"/>
      <c r="AH414" s="190"/>
      <c r="AI414" s="190"/>
      <c r="AJ414" s="190"/>
      <c r="AK414" s="190"/>
      <c r="AL414" s="190"/>
      <c r="AM414" s="190"/>
      <c r="AN414" s="190"/>
      <c r="AO414" s="190"/>
      <c r="AP414" s="190"/>
      <c r="AQ414" s="190"/>
      <c r="AR414" s="190"/>
      <c r="AS414" s="190"/>
      <c r="AT414" s="190"/>
      <c r="AU414" s="190"/>
      <c r="AV414" s="190"/>
      <c r="AW414" s="190"/>
      <c r="AX414" s="190"/>
      <c r="AY414" s="190"/>
      <c r="AZ414" s="190"/>
      <c r="BA414" s="190"/>
      <c r="BB414" s="190"/>
      <c r="BC414" s="190"/>
      <c r="BD414" s="190"/>
      <c r="BE414" s="190"/>
      <c r="BF414" s="190"/>
      <c r="BG414" s="190"/>
      <c r="BH414" s="190"/>
      <c r="BI414" s="190"/>
      <c r="BJ414" s="190"/>
      <c r="BK414" s="190"/>
      <c r="BL414" s="190"/>
      <c r="TU414" s="178"/>
      <c r="TV414" s="178"/>
    </row>
    <row r="415" spans="1:542" x14ac:dyDescent="0.25">
      <c r="A415" s="147" t="s">
        <v>255</v>
      </c>
      <c r="B415" s="119"/>
      <c r="C415" s="120"/>
      <c r="D415" s="155"/>
      <c r="E415" s="190"/>
      <c r="F415" s="190"/>
      <c r="G415" s="190"/>
      <c r="H415" s="190"/>
      <c r="I415" s="190"/>
      <c r="J415" s="190"/>
      <c r="K415" s="190"/>
      <c r="L415" s="190"/>
      <c r="M415" s="190"/>
      <c r="N415" s="190"/>
      <c r="O415" s="190"/>
      <c r="P415" s="190"/>
      <c r="Q415" s="190"/>
      <c r="R415" s="190"/>
      <c r="S415" s="190"/>
      <c r="T415" s="190"/>
      <c r="U415" s="190"/>
      <c r="V415" s="190"/>
      <c r="W415" s="190"/>
      <c r="X415" s="190"/>
      <c r="Y415" s="190"/>
      <c r="Z415" s="190"/>
      <c r="AA415" s="190"/>
      <c r="AB415" s="190"/>
      <c r="AC415" s="190"/>
      <c r="AD415" s="190"/>
      <c r="AE415" s="190"/>
      <c r="AF415" s="190"/>
      <c r="AG415" s="190"/>
      <c r="AH415" s="190"/>
      <c r="AI415" s="190"/>
      <c r="AJ415" s="190"/>
      <c r="AK415" s="190"/>
      <c r="AL415" s="190"/>
      <c r="AM415" s="190"/>
      <c r="AN415" s="190"/>
      <c r="AO415" s="190"/>
      <c r="AP415" s="190"/>
      <c r="AQ415" s="190"/>
      <c r="AR415" s="190"/>
      <c r="AS415" s="190"/>
      <c r="AT415" s="190"/>
      <c r="AU415" s="190"/>
      <c r="AV415" s="190"/>
      <c r="AW415" s="190"/>
      <c r="AX415" s="190"/>
      <c r="AY415" s="190"/>
      <c r="AZ415" s="190"/>
      <c r="BA415" s="190"/>
      <c r="BB415" s="190"/>
      <c r="BC415" s="190"/>
      <c r="BD415" s="190"/>
      <c r="BE415" s="190"/>
      <c r="BF415" s="190"/>
      <c r="BG415" s="190"/>
      <c r="BH415" s="190"/>
      <c r="BI415" s="190"/>
      <c r="BJ415" s="190"/>
      <c r="BK415" s="190"/>
      <c r="BL415" s="190"/>
      <c r="TU415" s="178"/>
      <c r="TV415" s="178"/>
    </row>
    <row r="416" spans="1:542" ht="30" x14ac:dyDescent="0.25">
      <c r="A416" s="96" t="s">
        <v>430</v>
      </c>
      <c r="B416" s="158" t="str">
        <f>"[TPI standard labirynth/type&amp;brand]"</f>
        <v>[TPI standard labirynth/type&amp;brand]</v>
      </c>
      <c r="C416" s="159"/>
      <c r="D416" s="155"/>
      <c r="E416" s="190"/>
      <c r="F416" s="190"/>
      <c r="G416" s="190"/>
      <c r="H416" s="190"/>
      <c r="I416" s="190"/>
      <c r="J416" s="190"/>
      <c r="K416" s="190"/>
      <c r="L416" s="190"/>
      <c r="M416" s="190"/>
      <c r="N416" s="190"/>
      <c r="O416" s="190"/>
      <c r="P416" s="190"/>
      <c r="Q416" s="190"/>
      <c r="R416" s="190"/>
      <c r="S416" s="190"/>
      <c r="T416" s="190"/>
      <c r="U416" s="190"/>
      <c r="V416" s="190"/>
      <c r="W416" s="190"/>
      <c r="X416" s="190"/>
      <c r="Y416" s="190"/>
      <c r="Z416" s="190"/>
      <c r="AA416" s="190"/>
      <c r="AB416" s="190"/>
      <c r="AC416" s="190"/>
      <c r="AD416" s="190"/>
      <c r="AE416" s="190"/>
      <c r="AF416" s="190"/>
      <c r="AG416" s="190"/>
      <c r="AH416" s="190"/>
      <c r="AI416" s="190"/>
      <c r="AJ416" s="190"/>
      <c r="AK416" s="190"/>
      <c r="AL416" s="190"/>
      <c r="AM416" s="190"/>
      <c r="AN416" s="190"/>
      <c r="AO416" s="190"/>
      <c r="AP416" s="190"/>
      <c r="AQ416" s="190"/>
      <c r="AR416" s="190"/>
      <c r="AS416" s="190"/>
      <c r="AT416" s="190"/>
      <c r="AU416" s="190"/>
      <c r="AV416" s="190"/>
      <c r="AW416" s="190"/>
      <c r="AX416" s="190"/>
      <c r="AY416" s="190"/>
      <c r="AZ416" s="190"/>
      <c r="BA416" s="190"/>
      <c r="BB416" s="190"/>
      <c r="BC416" s="190"/>
      <c r="BD416" s="190"/>
      <c r="BE416" s="190"/>
      <c r="BF416" s="190"/>
      <c r="BG416" s="190"/>
      <c r="BH416" s="190"/>
      <c r="BI416" s="190"/>
      <c r="BJ416" s="190"/>
      <c r="BK416" s="190"/>
      <c r="BL416" s="190"/>
      <c r="TU416" s="178"/>
      <c r="TV416" s="178"/>
    </row>
    <row r="417" spans="1:542" ht="30" x14ac:dyDescent="0.25">
      <c r="A417" s="96" t="s">
        <v>256</v>
      </c>
      <c r="B417" s="158" t="str">
        <f>"[none/standard/type&amp;brand]"</f>
        <v>[none/standard/type&amp;brand]</v>
      </c>
      <c r="C417" s="159"/>
      <c r="D417" s="155"/>
      <c r="E417" s="190"/>
      <c r="F417" s="190"/>
      <c r="G417" s="190"/>
      <c r="H417" s="190"/>
      <c r="I417" s="190"/>
      <c r="J417" s="190"/>
      <c r="K417" s="190"/>
      <c r="L417" s="190"/>
      <c r="M417" s="190"/>
      <c r="N417" s="190"/>
      <c r="O417" s="190"/>
      <c r="P417" s="190"/>
      <c r="Q417" s="190"/>
      <c r="R417" s="190"/>
      <c r="S417" s="190"/>
      <c r="T417" s="190"/>
      <c r="U417" s="190"/>
      <c r="V417" s="190"/>
      <c r="W417" s="190"/>
      <c r="X417" s="190"/>
      <c r="Y417" s="190"/>
      <c r="Z417" s="190"/>
      <c r="AA417" s="190"/>
      <c r="AB417" s="190"/>
      <c r="AC417" s="190"/>
      <c r="AD417" s="190"/>
      <c r="AE417" s="190"/>
      <c r="AF417" s="190"/>
      <c r="AG417" s="190"/>
      <c r="AH417" s="190"/>
      <c r="AI417" s="190"/>
      <c r="AJ417" s="190"/>
      <c r="AK417" s="190"/>
      <c r="AL417" s="190"/>
      <c r="AM417" s="190"/>
      <c r="AN417" s="190"/>
      <c r="TU417" s="178"/>
      <c r="TV417" s="178"/>
    </row>
    <row r="418" spans="1:542" x14ac:dyDescent="0.25">
      <c r="A418" s="96" t="s">
        <v>531</v>
      </c>
      <c r="B418" s="158" t="str">
        <f>"[none/flat/dome]"</f>
        <v>[none/flat/dome]</v>
      </c>
      <c r="C418" s="159"/>
      <c r="D418" s="155"/>
      <c r="E418" s="190"/>
      <c r="F418" s="190"/>
      <c r="G418" s="190"/>
      <c r="H418" s="190"/>
      <c r="I418" s="190"/>
      <c r="J418" s="190"/>
      <c r="K418" s="190"/>
      <c r="L418" s="190"/>
      <c r="M418" s="190"/>
      <c r="N418" s="190"/>
      <c r="O418" s="190"/>
      <c r="P418" s="190"/>
      <c r="Q418" s="190"/>
      <c r="R418" s="190"/>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TU418" s="178"/>
      <c r="TV418" s="178"/>
    </row>
    <row r="419" spans="1:542" x14ac:dyDescent="0.25">
      <c r="A419" s="96" t="s">
        <v>257</v>
      </c>
      <c r="B419" s="158" t="str">
        <f>"[list]"</f>
        <v>[list]</v>
      </c>
      <c r="C419" s="159"/>
      <c r="D419" s="155"/>
      <c r="E419" s="190"/>
      <c r="F419" s="190"/>
      <c r="G419" s="190"/>
      <c r="H419" s="190"/>
      <c r="I419" s="190"/>
      <c r="J419" s="190"/>
      <c r="K419" s="190"/>
      <c r="L419" s="190"/>
      <c r="M419" s="190"/>
      <c r="N419" s="190"/>
      <c r="O419" s="190"/>
      <c r="P419" s="190"/>
      <c r="Q419" s="190"/>
      <c r="R419" s="190"/>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TU419" s="178"/>
      <c r="TV419" s="178"/>
    </row>
    <row r="420" spans="1:542" x14ac:dyDescent="0.25">
      <c r="A420" s="96" t="s">
        <v>261</v>
      </c>
      <c r="B420" s="158" t="str">
        <f>"[yes/no]"</f>
        <v>[yes/no]</v>
      </c>
      <c r="C420" s="159"/>
      <c r="D420" s="155"/>
      <c r="E420" s="190"/>
      <c r="F420" s="190"/>
      <c r="G420" s="190"/>
      <c r="H420" s="190"/>
      <c r="I420" s="190"/>
      <c r="J420" s="190"/>
      <c r="K420" s="190"/>
      <c r="L420" s="190"/>
      <c r="M420" s="190"/>
      <c r="N420" s="190"/>
      <c r="O420" s="190"/>
      <c r="P420" s="190"/>
      <c r="Q420" s="190"/>
      <c r="R420" s="190"/>
      <c r="S420" s="190"/>
      <c r="T420" s="190"/>
      <c r="U420" s="190"/>
      <c r="V420" s="190"/>
      <c r="W420" s="190"/>
      <c r="X420" s="190"/>
      <c r="Y420" s="190"/>
      <c r="Z420" s="190"/>
      <c r="AA420" s="190"/>
      <c r="AB420" s="190"/>
      <c r="AC420" s="190"/>
      <c r="AD420" s="190"/>
      <c r="AE420" s="190"/>
      <c r="AF420" s="190"/>
      <c r="AG420" s="190"/>
      <c r="AH420" s="190"/>
      <c r="AI420" s="190"/>
      <c r="AJ420" s="190"/>
      <c r="AK420" s="190"/>
      <c r="AL420" s="190"/>
      <c r="AM420" s="190"/>
      <c r="AN420" s="190"/>
      <c r="TU420" s="178"/>
      <c r="TV420" s="178"/>
    </row>
    <row r="421" spans="1:542" x14ac:dyDescent="0.25">
      <c r="A421" s="96" t="s">
        <v>533</v>
      </c>
      <c r="B421" s="158" t="str">
        <f>"[Exagonal / Rounded]"</f>
        <v>[Exagonal / Rounded]</v>
      </c>
      <c r="C421" s="159"/>
      <c r="D421" s="155"/>
      <c r="E421" s="190"/>
      <c r="F421" s="190"/>
      <c r="G421" s="190"/>
      <c r="H421" s="190"/>
      <c r="I421" s="190"/>
      <c r="J421" s="190"/>
      <c r="K421" s="190"/>
      <c r="L421" s="190"/>
      <c r="M421" s="190"/>
      <c r="N421" s="190"/>
      <c r="O421" s="190"/>
      <c r="P421" s="190"/>
      <c r="Q421" s="190"/>
      <c r="R421" s="190"/>
      <c r="S421" s="190"/>
      <c r="T421" s="190"/>
      <c r="U421" s="190"/>
      <c r="V421" s="190"/>
      <c r="W421" s="190"/>
      <c r="X421" s="190"/>
      <c r="Y421" s="190"/>
      <c r="Z421" s="190"/>
      <c r="AA421" s="190"/>
      <c r="AB421" s="190"/>
      <c r="AC421" s="190"/>
      <c r="AD421" s="190"/>
      <c r="AE421" s="190"/>
      <c r="AF421" s="190"/>
      <c r="AG421" s="190"/>
      <c r="AH421" s="190"/>
      <c r="AI421" s="190"/>
      <c r="AJ421" s="190"/>
      <c r="AK421" s="190"/>
      <c r="AL421" s="190"/>
      <c r="AM421" s="190"/>
      <c r="AN421" s="190"/>
      <c r="TU421" s="178"/>
      <c r="TV421" s="178"/>
    </row>
    <row r="422" spans="1:542" x14ac:dyDescent="0.25">
      <c r="A422" s="189" t="s">
        <v>358</v>
      </c>
      <c r="B422" s="116"/>
      <c r="C422" s="113"/>
      <c r="D422" s="105"/>
      <c r="E422" s="190"/>
      <c r="F422" s="190"/>
      <c r="G422" s="190"/>
      <c r="H422" s="190"/>
      <c r="I422" s="190"/>
      <c r="J422" s="190"/>
      <c r="K422" s="190"/>
      <c r="L422" s="190"/>
      <c r="M422" s="190"/>
      <c r="N422" s="190"/>
      <c r="O422" s="190"/>
      <c r="P422" s="190"/>
      <c r="Q422" s="190"/>
      <c r="R422" s="190"/>
      <c r="S422" s="190"/>
      <c r="T422" s="190"/>
      <c r="U422" s="190"/>
      <c r="V422" s="190"/>
      <c r="W422" s="190"/>
      <c r="X422" s="190"/>
      <c r="Y422" s="190"/>
      <c r="Z422" s="190"/>
      <c r="AA422" s="190"/>
      <c r="AB422" s="190"/>
      <c r="AC422" s="190"/>
      <c r="AD422" s="190"/>
      <c r="AE422" s="190"/>
      <c r="AF422" s="190"/>
      <c r="AG422" s="190"/>
      <c r="AH422" s="190"/>
      <c r="AI422" s="190"/>
      <c r="AJ422" s="190"/>
      <c r="AK422" s="190"/>
      <c r="AL422" s="190"/>
      <c r="AM422" s="190"/>
      <c r="AN422" s="190"/>
      <c r="TU422" s="178"/>
      <c r="TV422" s="178"/>
    </row>
    <row r="423" spans="1:542" x14ac:dyDescent="0.25">
      <c r="A423" s="96" t="s">
        <v>258</v>
      </c>
      <c r="B423" s="158" t="str">
        <f>"[none/size]"</f>
        <v>[none/size]</v>
      </c>
      <c r="C423" s="159"/>
      <c r="D423" s="155"/>
      <c r="E423" s="190"/>
      <c r="F423" s="190"/>
      <c r="G423" s="190"/>
      <c r="H423" s="190"/>
      <c r="I423" s="190"/>
      <c r="J423" s="190"/>
      <c r="K423" s="190"/>
      <c r="L423" s="190"/>
      <c r="M423" s="190"/>
      <c r="N423" s="190"/>
      <c r="O423" s="190"/>
      <c r="P423" s="190"/>
      <c r="Q423" s="190"/>
      <c r="R423" s="190"/>
      <c r="S423" s="190"/>
      <c r="T423" s="190"/>
      <c r="U423" s="190"/>
      <c r="V423" s="190"/>
      <c r="W423" s="190"/>
      <c r="X423" s="190"/>
      <c r="Y423" s="190"/>
      <c r="Z423" s="190"/>
      <c r="AA423" s="190"/>
      <c r="AB423" s="190"/>
      <c r="AC423" s="190"/>
      <c r="AD423" s="190"/>
      <c r="AE423" s="190"/>
      <c r="AF423" s="190"/>
      <c r="AG423" s="190"/>
      <c r="AH423" s="190"/>
      <c r="AI423" s="190"/>
      <c r="AJ423" s="190"/>
      <c r="AK423" s="190"/>
      <c r="AL423" s="190"/>
      <c r="AM423" s="190"/>
      <c r="AN423" s="190"/>
      <c r="TU423" s="178"/>
      <c r="TV423" s="178"/>
    </row>
    <row r="424" spans="1:542" x14ac:dyDescent="0.25">
      <c r="A424" s="96" t="s">
        <v>259</v>
      </c>
      <c r="B424" s="158" t="str">
        <f t="shared" ref="B424:B425" si="20">"[none/size]"</f>
        <v>[none/size]</v>
      </c>
      <c r="C424" s="159"/>
      <c r="D424" s="155"/>
      <c r="E424" s="190"/>
      <c r="F424" s="190"/>
      <c r="G424" s="190"/>
      <c r="H424" s="190"/>
      <c r="I424" s="190"/>
      <c r="J424" s="190"/>
      <c r="K424" s="190"/>
      <c r="L424" s="190"/>
      <c r="M424" s="190"/>
      <c r="N424" s="190"/>
      <c r="O424" s="190"/>
      <c r="P424" s="190"/>
      <c r="Q424" s="190"/>
      <c r="R424" s="190"/>
      <c r="S424" s="190"/>
      <c r="T424" s="190"/>
      <c r="U424" s="190"/>
      <c r="V424" s="190"/>
      <c r="W424" s="190"/>
      <c r="X424" s="190"/>
      <c r="Y424" s="190"/>
      <c r="Z424" s="190"/>
      <c r="AA424" s="190"/>
      <c r="AB424" s="190"/>
      <c r="AC424" s="190"/>
      <c r="AD424" s="190"/>
      <c r="AE424" s="190"/>
      <c r="AF424" s="190"/>
      <c r="AG424" s="190"/>
      <c r="AH424" s="190"/>
      <c r="AI424" s="190"/>
      <c r="AJ424" s="190"/>
      <c r="AK424" s="190"/>
      <c r="AL424" s="190"/>
      <c r="AM424" s="190"/>
      <c r="AN424" s="190"/>
      <c r="TU424" s="178"/>
      <c r="TV424" s="178"/>
    </row>
    <row r="425" spans="1:542" x14ac:dyDescent="0.25">
      <c r="A425" s="96" t="s">
        <v>260</v>
      </c>
      <c r="B425" s="158" t="str">
        <f t="shared" si="20"/>
        <v>[none/size]</v>
      </c>
      <c r="C425" s="159"/>
      <c r="D425" s="155"/>
      <c r="E425" s="190"/>
      <c r="F425" s="190"/>
      <c r="G425" s="190"/>
      <c r="H425" s="190"/>
      <c r="I425" s="190"/>
      <c r="J425" s="190"/>
      <c r="K425" s="190"/>
      <c r="L425" s="190"/>
      <c r="M425" s="190"/>
      <c r="N425" s="190"/>
      <c r="O425" s="190"/>
      <c r="P425" s="190"/>
      <c r="Q425" s="190"/>
      <c r="R425" s="190"/>
      <c r="S425" s="190"/>
      <c r="T425" s="190"/>
      <c r="U425" s="190"/>
      <c r="V425" s="190"/>
      <c r="W425" s="190"/>
      <c r="X425" s="190"/>
      <c r="Y425" s="190"/>
      <c r="Z425" s="190"/>
      <c r="AA425" s="190"/>
      <c r="AB425" s="190"/>
      <c r="AC425" s="190"/>
      <c r="AD425" s="190"/>
      <c r="AE425" s="190"/>
      <c r="AF425" s="190"/>
      <c r="AG425" s="190"/>
      <c r="AH425" s="190"/>
      <c r="AI425" s="190"/>
      <c r="AJ425" s="190"/>
      <c r="AK425" s="190"/>
      <c r="AL425" s="190"/>
      <c r="AM425" s="190"/>
      <c r="AN425" s="190"/>
      <c r="TU425" s="178"/>
      <c r="TV425" s="178"/>
    </row>
    <row r="426" spans="1:542" x14ac:dyDescent="0.25">
      <c r="A426" s="96" t="s">
        <v>366</v>
      </c>
      <c r="B426" s="158" t="str">
        <f>"[NA/thread type]"</f>
        <v>[NA/thread type]</v>
      </c>
      <c r="C426" s="159"/>
      <c r="D426" s="155"/>
      <c r="E426" s="190"/>
      <c r="F426" s="190"/>
      <c r="G426" s="190"/>
      <c r="H426" s="190"/>
      <c r="I426" s="190"/>
      <c r="J426" s="190"/>
      <c r="K426" s="190"/>
      <c r="L426" s="190"/>
      <c r="M426" s="190"/>
      <c r="N426" s="190"/>
      <c r="O426" s="190"/>
      <c r="P426" s="190"/>
      <c r="Q426" s="190"/>
      <c r="R426" s="190"/>
      <c r="S426" s="190"/>
      <c r="T426" s="190"/>
      <c r="U426" s="190"/>
      <c r="V426" s="190"/>
      <c r="W426" s="190"/>
      <c r="X426" s="190"/>
      <c r="Y426" s="190"/>
      <c r="Z426" s="190"/>
      <c r="AA426" s="190"/>
      <c r="AB426" s="190"/>
      <c r="AC426" s="190"/>
      <c r="AD426" s="190"/>
      <c r="AE426" s="190"/>
      <c r="AF426" s="190"/>
      <c r="AG426" s="190"/>
      <c r="AH426" s="190"/>
      <c r="AI426" s="190"/>
      <c r="AJ426" s="190"/>
      <c r="AK426" s="190"/>
      <c r="AL426" s="190"/>
      <c r="AM426" s="190"/>
      <c r="AN426" s="190"/>
      <c r="TU426" s="178"/>
      <c r="TV426" s="178"/>
    </row>
    <row r="427" spans="1:542" x14ac:dyDescent="0.25">
      <c r="A427" s="96"/>
      <c r="B427" s="158"/>
      <c r="C427" s="159"/>
      <c r="D427" s="155"/>
      <c r="E427" s="190"/>
      <c r="F427" s="190"/>
      <c r="G427" s="190"/>
      <c r="H427" s="190"/>
      <c r="I427" s="190"/>
      <c r="J427" s="190"/>
      <c r="K427" s="190"/>
      <c r="L427" s="190"/>
      <c r="M427" s="190"/>
      <c r="N427" s="190"/>
      <c r="O427" s="190"/>
      <c r="P427" s="190"/>
      <c r="Q427" s="190"/>
      <c r="R427" s="190"/>
      <c r="S427" s="190"/>
      <c r="T427" s="190"/>
      <c r="U427" s="190"/>
      <c r="V427" s="190"/>
      <c r="W427" s="190"/>
      <c r="X427" s="190"/>
      <c r="Y427" s="190"/>
      <c r="Z427" s="190"/>
      <c r="AA427" s="190"/>
      <c r="AB427" s="190"/>
      <c r="AC427" s="190"/>
      <c r="AD427" s="190"/>
      <c r="AE427" s="190"/>
      <c r="AF427" s="190"/>
      <c r="AG427" s="190"/>
      <c r="AH427" s="190"/>
      <c r="AI427" s="190"/>
      <c r="AJ427" s="190"/>
      <c r="AK427" s="190"/>
      <c r="AL427" s="190"/>
      <c r="AM427" s="190"/>
      <c r="AN427" s="190"/>
      <c r="TU427" s="178"/>
      <c r="TV427" s="178"/>
    </row>
    <row r="428" spans="1:542" x14ac:dyDescent="0.25">
      <c r="A428" s="208"/>
      <c r="B428" s="158"/>
      <c r="C428" s="159"/>
      <c r="D428" s="155"/>
      <c r="E428" s="190"/>
      <c r="F428" s="190"/>
      <c r="G428" s="190"/>
      <c r="H428" s="190"/>
      <c r="I428" s="190"/>
      <c r="J428" s="190"/>
      <c r="K428" s="190"/>
      <c r="L428" s="190"/>
      <c r="M428" s="190"/>
      <c r="N428" s="190"/>
      <c r="O428" s="190"/>
      <c r="P428" s="190"/>
      <c r="Q428" s="190"/>
      <c r="R428" s="190"/>
      <c r="S428" s="190"/>
      <c r="T428" s="190"/>
      <c r="U428" s="190"/>
      <c r="V428" s="190"/>
      <c r="W428" s="190"/>
      <c r="X428" s="190"/>
      <c r="Y428" s="190"/>
      <c r="Z428" s="190"/>
      <c r="AA428" s="190"/>
      <c r="AB428" s="190"/>
      <c r="AC428" s="190"/>
      <c r="AD428" s="190"/>
      <c r="AE428" s="190"/>
      <c r="AF428" s="190"/>
      <c r="AG428" s="190"/>
      <c r="AH428" s="190"/>
      <c r="AI428" s="190"/>
      <c r="AJ428" s="190"/>
      <c r="AK428" s="190"/>
      <c r="AL428" s="190"/>
      <c r="AM428" s="190"/>
      <c r="AN428" s="190"/>
      <c r="TU428" s="178"/>
      <c r="TV428" s="178"/>
    </row>
    <row r="429" spans="1:542" x14ac:dyDescent="0.25">
      <c r="A429" s="196" t="s">
        <v>445</v>
      </c>
      <c r="B429" s="115"/>
      <c r="C429" s="112"/>
      <c r="D429" s="118"/>
      <c r="E429" s="190"/>
      <c r="F429" s="190"/>
      <c r="G429" s="190"/>
      <c r="H429" s="190"/>
      <c r="I429" s="190"/>
      <c r="J429" s="190"/>
      <c r="K429" s="190"/>
      <c r="L429" s="190"/>
      <c r="M429" s="190"/>
      <c r="N429" s="190"/>
      <c r="O429" s="190"/>
      <c r="P429" s="190"/>
      <c r="Q429" s="190"/>
      <c r="R429" s="190"/>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TU429" s="178"/>
      <c r="TV429" s="178"/>
    </row>
    <row r="430" spans="1:542" x14ac:dyDescent="0.25">
      <c r="A430" s="96" t="s">
        <v>89</v>
      </c>
      <c r="B430" s="158"/>
      <c r="C430" s="159"/>
      <c r="D430" s="155"/>
      <c r="E430" s="190"/>
      <c r="F430" s="190"/>
      <c r="G430" s="190"/>
      <c r="H430" s="190"/>
      <c r="I430" s="190"/>
      <c r="J430" s="190"/>
      <c r="K430" s="190"/>
      <c r="L430" s="190"/>
      <c r="M430" s="190"/>
      <c r="N430" s="190"/>
      <c r="O430" s="190"/>
      <c r="P430" s="190"/>
      <c r="Q430" s="190"/>
      <c r="R430" s="190"/>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TU430" s="178"/>
      <c r="TV430" s="178"/>
    </row>
    <row r="431" spans="1:542" x14ac:dyDescent="0.25">
      <c r="A431" s="96" t="s">
        <v>90</v>
      </c>
      <c r="B431" s="158"/>
      <c r="C431" s="159"/>
      <c r="D431" s="155"/>
      <c r="E431" s="190"/>
      <c r="F431" s="190"/>
      <c r="G431" s="190"/>
      <c r="H431" s="190"/>
      <c r="I431" s="190"/>
      <c r="J431" s="190"/>
      <c r="K431" s="190"/>
      <c r="L431" s="190"/>
      <c r="M431" s="190"/>
      <c r="N431" s="190"/>
      <c r="O431" s="190"/>
      <c r="P431" s="190"/>
      <c r="Q431" s="190"/>
      <c r="R431" s="190"/>
      <c r="S431" s="190"/>
      <c r="T431" s="190"/>
      <c r="U431" s="190"/>
      <c r="V431" s="190"/>
      <c r="W431" s="190"/>
      <c r="X431" s="190"/>
      <c r="Y431" s="190"/>
      <c r="Z431" s="190"/>
      <c r="AA431" s="190"/>
      <c r="AB431" s="190"/>
      <c r="AC431" s="190"/>
      <c r="AD431" s="190"/>
      <c r="AE431" s="190"/>
      <c r="AF431" s="190"/>
      <c r="AG431" s="190"/>
      <c r="AH431" s="190"/>
      <c r="AI431" s="190"/>
      <c r="AJ431" s="190"/>
      <c r="AK431" s="190"/>
      <c r="AL431" s="190"/>
      <c r="AM431" s="190"/>
      <c r="AN431" s="190"/>
      <c r="TU431" s="178"/>
      <c r="TV431" s="178"/>
    </row>
    <row r="432" spans="1:542" x14ac:dyDescent="0.25">
      <c r="A432" s="189" t="s">
        <v>499</v>
      </c>
      <c r="B432" s="116"/>
      <c r="C432" s="113"/>
      <c r="D432" s="105"/>
      <c r="E432" s="190"/>
      <c r="F432" s="190"/>
      <c r="G432" s="190"/>
      <c r="H432" s="190"/>
      <c r="I432" s="190"/>
      <c r="J432" s="190"/>
      <c r="K432" s="190"/>
      <c r="L432" s="190"/>
      <c r="M432" s="190"/>
      <c r="N432" s="190"/>
      <c r="O432" s="190"/>
      <c r="P432" s="190"/>
      <c r="Q432" s="190"/>
      <c r="R432" s="190"/>
      <c r="S432" s="190"/>
      <c r="T432" s="190"/>
      <c r="U432" s="190"/>
      <c r="V432" s="190"/>
      <c r="W432" s="190"/>
      <c r="X432" s="190"/>
      <c r="Y432" s="190"/>
      <c r="Z432" s="190"/>
      <c r="AA432" s="190"/>
      <c r="AB432" s="190"/>
      <c r="AC432" s="190"/>
      <c r="AD432" s="190"/>
      <c r="AE432" s="190"/>
      <c r="AF432" s="190"/>
      <c r="AG432" s="190"/>
      <c r="AH432" s="190"/>
      <c r="AI432" s="190"/>
      <c r="AJ432" s="190"/>
      <c r="AK432" s="190"/>
      <c r="AL432" s="190"/>
      <c r="AM432" s="190"/>
      <c r="AN432" s="190"/>
      <c r="TU432" s="178"/>
      <c r="TV432" s="178"/>
    </row>
    <row r="433" spans="1:542" ht="30" x14ac:dyDescent="0.25">
      <c r="A433" s="96" t="str">
        <f>IF(A285="","",A285)</f>
        <v>Are there special procedure/tools for HT to prevent damages on casings required by ENG?</v>
      </c>
      <c r="B433" s="158" t="str">
        <f>IF(B285="","",B285)</f>
        <v>[none/list]</v>
      </c>
      <c r="C433" s="159" t="str">
        <f>IF(C285="","missing input data",C285)</f>
        <v>missing input data</v>
      </c>
      <c r="D433" s="155"/>
      <c r="E433" s="190"/>
      <c r="F433" s="190"/>
      <c r="G433" s="190"/>
      <c r="H433" s="190"/>
      <c r="I433" s="190"/>
      <c r="J433" s="190"/>
      <c r="K433" s="190"/>
      <c r="L433" s="190"/>
      <c r="M433" s="190"/>
      <c r="N433" s="190"/>
      <c r="O433" s="190"/>
      <c r="P433" s="190"/>
      <c r="Q433" s="190"/>
      <c r="R433" s="190"/>
      <c r="S433" s="190"/>
      <c r="T433" s="190"/>
      <c r="U433" s="190"/>
      <c r="V433" s="190"/>
      <c r="W433" s="190"/>
      <c r="X433" s="190"/>
      <c r="Y433" s="190"/>
      <c r="Z433" s="190"/>
      <c r="AA433" s="190"/>
      <c r="AB433" s="190"/>
      <c r="AC433" s="190"/>
      <c r="AD433" s="190"/>
      <c r="AE433" s="190"/>
      <c r="AF433" s="190"/>
      <c r="AG433" s="190"/>
      <c r="AH433" s="190"/>
      <c r="AI433" s="190"/>
      <c r="AJ433" s="190"/>
      <c r="AK433" s="190"/>
      <c r="AL433" s="190"/>
      <c r="AM433" s="190"/>
      <c r="AN433" s="190"/>
      <c r="TU433" s="178"/>
      <c r="TV433" s="178"/>
    </row>
    <row r="434" spans="1:542" x14ac:dyDescent="0.25">
      <c r="A434" s="96" t="s">
        <v>501</v>
      </c>
      <c r="B434" s="158" t="str">
        <f>"[yes/no]"</f>
        <v>[yes/no]</v>
      </c>
      <c r="C434" s="159"/>
      <c r="D434" s="155"/>
      <c r="E434" s="190"/>
      <c r="F434" s="190"/>
      <c r="G434" s="190"/>
      <c r="H434" s="190"/>
      <c r="I434" s="190"/>
      <c r="J434" s="190"/>
      <c r="K434" s="190"/>
      <c r="L434" s="190"/>
      <c r="M434" s="190"/>
      <c r="N434" s="190"/>
      <c r="O434" s="190"/>
      <c r="P434" s="190"/>
      <c r="Q434" s="190"/>
      <c r="R434" s="190"/>
      <c r="S434" s="190"/>
      <c r="T434" s="190"/>
      <c r="U434" s="190"/>
      <c r="V434" s="190"/>
      <c r="W434" s="190"/>
      <c r="X434" s="190"/>
      <c r="Y434" s="190"/>
      <c r="Z434" s="190"/>
      <c r="AA434" s="190"/>
      <c r="AB434" s="190"/>
      <c r="AC434" s="190"/>
      <c r="AD434" s="190"/>
      <c r="AE434" s="190"/>
      <c r="AF434" s="190"/>
      <c r="AG434" s="190"/>
      <c r="AH434" s="190"/>
      <c r="AI434" s="190"/>
      <c r="AJ434" s="190"/>
      <c r="AK434" s="190"/>
      <c r="AL434" s="190"/>
      <c r="AM434" s="190"/>
      <c r="AN434" s="190"/>
      <c r="TU434" s="178"/>
      <c r="TV434" s="178"/>
    </row>
    <row r="435" spans="1:542" x14ac:dyDescent="0.25">
      <c r="A435" s="189" t="s">
        <v>500</v>
      </c>
      <c r="B435" s="116"/>
      <c r="C435" s="113"/>
      <c r="D435" s="105"/>
      <c r="E435" s="190"/>
      <c r="F435" s="190"/>
      <c r="G435" s="190"/>
      <c r="H435" s="190"/>
      <c r="I435" s="190"/>
      <c r="J435" s="190"/>
      <c r="K435" s="190"/>
      <c r="L435" s="190"/>
      <c r="M435" s="190"/>
      <c r="N435" s="190"/>
      <c r="O435" s="190"/>
      <c r="P435" s="190"/>
      <c r="Q435" s="190"/>
      <c r="R435" s="190"/>
      <c r="S435" s="190"/>
      <c r="T435" s="190"/>
      <c r="U435" s="190"/>
      <c r="V435" s="190"/>
      <c r="W435" s="190"/>
      <c r="X435" s="190"/>
      <c r="Y435" s="190"/>
      <c r="Z435" s="190"/>
      <c r="AA435" s="190"/>
      <c r="AB435" s="190"/>
      <c r="AC435" s="190"/>
      <c r="AD435" s="190"/>
      <c r="AE435" s="190"/>
      <c r="AF435" s="190"/>
      <c r="AG435" s="190"/>
      <c r="AH435" s="190"/>
      <c r="AI435" s="190"/>
      <c r="AJ435" s="190"/>
      <c r="AK435" s="190"/>
      <c r="AL435" s="190"/>
      <c r="AM435" s="190"/>
      <c r="AN435" s="190"/>
      <c r="TU435" s="178"/>
      <c r="TV435" s="178"/>
    </row>
    <row r="436" spans="1:542" x14ac:dyDescent="0.25">
      <c r="A436" s="96" t="s">
        <v>444</v>
      </c>
      <c r="B436" s="158" t="str">
        <f>"[yes/no]"</f>
        <v>[yes/no]</v>
      </c>
      <c r="C436" s="159"/>
      <c r="D436" s="155"/>
      <c r="E436" s="190"/>
      <c r="F436" s="190"/>
      <c r="G436" s="190"/>
      <c r="H436" s="190"/>
      <c r="I436" s="190"/>
      <c r="J436" s="190"/>
      <c r="K436" s="190"/>
      <c r="L436" s="190"/>
      <c r="M436" s="190"/>
      <c r="N436" s="190"/>
      <c r="O436" s="190"/>
      <c r="P436" s="190"/>
      <c r="Q436" s="190"/>
      <c r="R436" s="190"/>
      <c r="S436" s="190"/>
      <c r="T436" s="190"/>
      <c r="U436" s="190"/>
      <c r="V436" s="190"/>
      <c r="W436" s="190"/>
      <c r="X436" s="190"/>
      <c r="Y436" s="190"/>
      <c r="Z436" s="190"/>
      <c r="AA436" s="190"/>
      <c r="AB436" s="190"/>
      <c r="AC436" s="190"/>
      <c r="AD436" s="190"/>
      <c r="AE436" s="190"/>
      <c r="AF436" s="190"/>
      <c r="AG436" s="190"/>
      <c r="AH436" s="190"/>
      <c r="AI436" s="190"/>
      <c r="AJ436" s="190"/>
      <c r="AK436" s="190"/>
      <c r="AL436" s="190"/>
      <c r="AM436" s="190"/>
      <c r="AN436" s="190"/>
      <c r="TU436" s="178"/>
      <c r="TV436" s="178"/>
    </row>
    <row r="437" spans="1:542" x14ac:dyDescent="0.25">
      <c r="A437" s="96" t="s">
        <v>447</v>
      </c>
      <c r="B437" s="158" t="str">
        <f>"[yes/no]"</f>
        <v>[yes/no]</v>
      </c>
      <c r="C437" s="159"/>
      <c r="D437" s="155"/>
      <c r="E437" s="190"/>
      <c r="F437" s="190"/>
      <c r="G437" s="190"/>
      <c r="H437" s="190"/>
      <c r="I437" s="190"/>
      <c r="J437" s="190"/>
      <c r="K437" s="190"/>
      <c r="L437" s="190"/>
      <c r="M437" s="190"/>
      <c r="N437" s="190"/>
      <c r="O437" s="190"/>
      <c r="P437" s="190"/>
      <c r="Q437" s="190"/>
      <c r="R437" s="190"/>
      <c r="S437" s="190"/>
      <c r="T437" s="190"/>
      <c r="U437" s="190"/>
      <c r="V437" s="190"/>
      <c r="W437" s="190"/>
      <c r="X437" s="190"/>
      <c r="Y437" s="190"/>
      <c r="Z437" s="190"/>
      <c r="AA437" s="190"/>
      <c r="AB437" s="190"/>
      <c r="AC437" s="190"/>
      <c r="AD437" s="190"/>
      <c r="AE437" s="190"/>
      <c r="AF437" s="190"/>
      <c r="AG437" s="190"/>
      <c r="AH437" s="190"/>
      <c r="AI437" s="190"/>
      <c r="AJ437" s="190"/>
      <c r="AK437" s="190"/>
      <c r="AL437" s="190"/>
      <c r="AM437" s="190"/>
      <c r="AN437" s="190"/>
      <c r="TU437" s="178"/>
      <c r="TV437" s="178"/>
    </row>
    <row r="438" spans="1:542" x14ac:dyDescent="0.25">
      <c r="A438" s="96" t="s">
        <v>448</v>
      </c>
      <c r="B438" s="158" t="str">
        <f>"[yes/no]"</f>
        <v>[yes/no]</v>
      </c>
      <c r="C438" s="159"/>
      <c r="D438" s="155"/>
      <c r="E438" s="190"/>
      <c r="F438" s="190"/>
      <c r="G438" s="190"/>
      <c r="H438" s="190"/>
      <c r="I438" s="190"/>
      <c r="J438" s="190"/>
      <c r="K438" s="190"/>
      <c r="L438" s="190"/>
      <c r="M438" s="190"/>
      <c r="N438" s="190"/>
      <c r="O438" s="190"/>
      <c r="P438" s="190"/>
      <c r="Q438" s="190"/>
      <c r="R438" s="190"/>
      <c r="S438" s="190"/>
      <c r="T438" s="190"/>
      <c r="U438" s="190"/>
      <c r="V438" s="190"/>
      <c r="W438" s="190"/>
      <c r="X438" s="190"/>
      <c r="Y438" s="190"/>
      <c r="Z438" s="190"/>
      <c r="AA438" s="190"/>
      <c r="AB438" s="190"/>
      <c r="AC438" s="190"/>
      <c r="AD438" s="190"/>
      <c r="AE438" s="190"/>
      <c r="AF438" s="190"/>
      <c r="AG438" s="190"/>
      <c r="AH438" s="190"/>
      <c r="AI438" s="190"/>
      <c r="AJ438" s="190"/>
      <c r="AK438" s="190"/>
      <c r="AL438" s="190"/>
      <c r="AM438" s="190"/>
      <c r="AN438" s="190"/>
      <c r="TU438" s="178"/>
      <c r="TV438" s="178"/>
    </row>
    <row r="439" spans="1:542" x14ac:dyDescent="0.25">
      <c r="A439" s="96" t="s">
        <v>450</v>
      </c>
      <c r="B439" s="158" t="str">
        <f>"[none/list]"</f>
        <v>[none/list]</v>
      </c>
      <c r="C439" s="159"/>
      <c r="D439" s="155"/>
      <c r="E439" s="190"/>
      <c r="F439" s="190"/>
      <c r="G439" s="190"/>
      <c r="H439" s="190"/>
      <c r="I439" s="190"/>
      <c r="J439" s="190"/>
      <c r="K439" s="190"/>
      <c r="L439" s="190"/>
      <c r="M439" s="190"/>
      <c r="N439" s="190"/>
      <c r="O439" s="190"/>
      <c r="P439" s="190"/>
      <c r="Q439" s="190"/>
      <c r="R439" s="190"/>
      <c r="S439" s="190"/>
      <c r="T439" s="190"/>
      <c r="U439" s="190"/>
      <c r="V439" s="190"/>
      <c r="W439" s="190"/>
      <c r="X439" s="190"/>
      <c r="Y439" s="190"/>
      <c r="Z439" s="190"/>
      <c r="AA439" s="190"/>
      <c r="AB439" s="190"/>
      <c r="AC439" s="190"/>
      <c r="AD439" s="190"/>
      <c r="AE439" s="190"/>
      <c r="AF439" s="190"/>
      <c r="AG439" s="190"/>
      <c r="AH439" s="190"/>
      <c r="AI439" s="190"/>
      <c r="AJ439" s="190"/>
      <c r="AK439" s="190"/>
      <c r="AL439" s="190"/>
      <c r="AM439" s="190"/>
      <c r="AN439" s="190"/>
      <c r="TU439" s="178"/>
      <c r="TV439" s="178"/>
    </row>
    <row r="440" spans="1:542" x14ac:dyDescent="0.25">
      <c r="A440" s="96" t="s">
        <v>449</v>
      </c>
      <c r="B440" s="158" t="str">
        <f t="shared" ref="B440:B445" si="21">"[yes/no]"</f>
        <v>[yes/no]</v>
      </c>
      <c r="C440" s="159"/>
      <c r="D440" s="155"/>
      <c r="E440" s="190"/>
      <c r="F440" s="190"/>
      <c r="G440" s="190"/>
      <c r="H440" s="190"/>
      <c r="I440" s="190"/>
      <c r="J440" s="190"/>
      <c r="K440" s="190"/>
      <c r="L440" s="190"/>
      <c r="M440" s="190"/>
      <c r="N440" s="190"/>
      <c r="O440" s="190"/>
      <c r="P440" s="190"/>
      <c r="Q440" s="190"/>
      <c r="R440" s="190"/>
      <c r="S440" s="190"/>
      <c r="T440" s="190"/>
      <c r="U440" s="190"/>
      <c r="V440" s="190"/>
      <c r="W440" s="190"/>
      <c r="X440" s="190"/>
      <c r="Y440" s="190"/>
      <c r="Z440" s="190"/>
      <c r="AA440" s="190"/>
      <c r="AB440" s="190"/>
      <c r="AC440" s="190"/>
      <c r="AD440" s="190"/>
      <c r="AE440" s="190"/>
      <c r="AF440" s="190"/>
      <c r="AG440" s="190"/>
      <c r="AH440" s="190"/>
      <c r="AI440" s="190"/>
      <c r="AJ440" s="190"/>
      <c r="AK440" s="190"/>
      <c r="AL440" s="190"/>
      <c r="AM440" s="190"/>
      <c r="AN440" s="190"/>
      <c r="TU440" s="178"/>
      <c r="TV440" s="178"/>
    </row>
    <row r="441" spans="1:542" x14ac:dyDescent="0.25">
      <c r="A441" s="96" t="s">
        <v>451</v>
      </c>
      <c r="B441" s="158" t="str">
        <f t="shared" si="21"/>
        <v>[yes/no]</v>
      </c>
      <c r="C441" s="159"/>
      <c r="D441" s="155"/>
      <c r="E441" s="190"/>
      <c r="F441" s="190"/>
      <c r="G441" s="190"/>
      <c r="H441" s="190"/>
      <c r="I441" s="190"/>
      <c r="J441" s="190"/>
      <c r="K441" s="190"/>
      <c r="L441" s="190"/>
      <c r="M441" s="190"/>
      <c r="N441" s="190"/>
      <c r="O441" s="190"/>
      <c r="P441" s="190"/>
      <c r="Q441" s="190"/>
      <c r="R441" s="190"/>
      <c r="S441" s="190"/>
      <c r="T441" s="190"/>
      <c r="U441" s="190"/>
      <c r="V441" s="190"/>
      <c r="W441" s="190"/>
      <c r="X441" s="190"/>
      <c r="Y441" s="190"/>
      <c r="Z441" s="190"/>
      <c r="AA441" s="190"/>
      <c r="AB441" s="190"/>
      <c r="AC441" s="190"/>
      <c r="AD441" s="190"/>
      <c r="AE441" s="190"/>
      <c r="AF441" s="190"/>
      <c r="AG441" s="190"/>
      <c r="AH441" s="190"/>
      <c r="AI441" s="190"/>
      <c r="AJ441" s="190"/>
      <c r="AK441" s="190"/>
      <c r="AL441" s="190"/>
      <c r="AM441" s="190"/>
      <c r="AN441" s="190"/>
      <c r="TU441" s="178"/>
      <c r="TV441" s="178"/>
    </row>
    <row r="442" spans="1:542" x14ac:dyDescent="0.25">
      <c r="A442" s="96" t="s">
        <v>452</v>
      </c>
      <c r="B442" s="158" t="str">
        <f t="shared" si="21"/>
        <v>[yes/no]</v>
      </c>
      <c r="C442" s="159"/>
      <c r="D442" s="155"/>
      <c r="E442" s="190"/>
      <c r="F442" s="190"/>
      <c r="G442" s="190"/>
      <c r="H442" s="190"/>
      <c r="I442" s="190"/>
      <c r="J442" s="190"/>
      <c r="K442" s="190"/>
      <c r="L442" s="190"/>
      <c r="M442" s="190"/>
      <c r="N442" s="190"/>
      <c r="O442" s="190"/>
      <c r="P442" s="190"/>
      <c r="Q442" s="190"/>
      <c r="R442" s="190"/>
      <c r="S442" s="190"/>
      <c r="T442" s="190"/>
      <c r="U442" s="190"/>
      <c r="V442" s="190"/>
      <c r="W442" s="190"/>
      <c r="X442" s="190"/>
      <c r="Y442" s="190"/>
      <c r="Z442" s="190"/>
      <c r="AA442" s="190"/>
      <c r="AB442" s="190"/>
      <c r="AC442" s="190"/>
      <c r="AD442" s="190"/>
      <c r="AE442" s="190"/>
      <c r="AF442" s="190"/>
      <c r="AG442" s="190"/>
      <c r="AH442" s="190"/>
      <c r="AI442" s="190"/>
      <c r="AJ442" s="190"/>
      <c r="AK442" s="190"/>
      <c r="AL442" s="190"/>
      <c r="AM442" s="190"/>
      <c r="AN442" s="190"/>
      <c r="TU442" s="178"/>
      <c r="TV442" s="178"/>
    </row>
    <row r="443" spans="1:542" x14ac:dyDescent="0.25">
      <c r="A443" s="96" t="s">
        <v>453</v>
      </c>
      <c r="B443" s="158" t="str">
        <f t="shared" si="21"/>
        <v>[yes/no]</v>
      </c>
      <c r="C443" s="159"/>
      <c r="D443" s="155"/>
      <c r="E443" s="190"/>
      <c r="F443" s="190"/>
      <c r="G443" s="190"/>
      <c r="H443" s="190"/>
      <c r="I443" s="190"/>
      <c r="J443" s="190"/>
      <c r="K443" s="190"/>
      <c r="L443" s="190"/>
      <c r="M443" s="190"/>
      <c r="N443" s="190"/>
      <c r="O443" s="190"/>
      <c r="P443" s="190"/>
      <c r="Q443" s="190"/>
      <c r="R443" s="190"/>
      <c r="S443" s="190"/>
      <c r="T443" s="190"/>
      <c r="U443" s="190"/>
      <c r="V443" s="190"/>
      <c r="W443" s="190"/>
      <c r="X443" s="190"/>
      <c r="Y443" s="190"/>
      <c r="Z443" s="190"/>
      <c r="AA443" s="190"/>
      <c r="AB443" s="190"/>
      <c r="AC443" s="190"/>
      <c r="AD443" s="190"/>
      <c r="AE443" s="190"/>
      <c r="AF443" s="190"/>
      <c r="AG443" s="190"/>
      <c r="AH443" s="190"/>
      <c r="AI443" s="190"/>
      <c r="AJ443" s="190"/>
      <c r="AK443" s="190"/>
      <c r="AL443" s="190"/>
      <c r="AM443" s="190"/>
      <c r="AN443" s="190"/>
      <c r="TU443" s="178"/>
      <c r="TV443" s="178"/>
    </row>
    <row r="444" spans="1:542" x14ac:dyDescent="0.25">
      <c r="A444" s="96" t="s">
        <v>454</v>
      </c>
      <c r="B444" s="158" t="str">
        <f t="shared" si="21"/>
        <v>[yes/no]</v>
      </c>
      <c r="C444" s="159"/>
      <c r="D444" s="155"/>
      <c r="E444" s="190"/>
      <c r="F444" s="190"/>
      <c r="G444" s="190"/>
      <c r="H444" s="190"/>
      <c r="I444" s="190"/>
      <c r="J444" s="190"/>
      <c r="K444" s="190"/>
      <c r="L444" s="190"/>
      <c r="M444" s="190"/>
      <c r="N444" s="190"/>
      <c r="O444" s="190"/>
      <c r="P444" s="190"/>
      <c r="Q444" s="190"/>
      <c r="R444" s="190"/>
      <c r="S444" s="190"/>
      <c r="T444" s="190"/>
      <c r="U444" s="190"/>
      <c r="V444" s="190"/>
      <c r="W444" s="190"/>
      <c r="X444" s="190"/>
      <c r="Y444" s="190"/>
      <c r="Z444" s="190"/>
      <c r="AA444" s="190"/>
      <c r="AB444" s="190"/>
      <c r="AC444" s="190"/>
      <c r="AD444" s="190"/>
      <c r="AE444" s="190"/>
      <c r="AF444" s="190"/>
      <c r="AG444" s="190"/>
      <c r="AH444" s="190"/>
      <c r="AI444" s="190"/>
      <c r="AJ444" s="190"/>
      <c r="AK444" s="190"/>
      <c r="AL444" s="190"/>
      <c r="AM444" s="190"/>
      <c r="AN444" s="190"/>
      <c r="TU444" s="178"/>
      <c r="TV444" s="178"/>
    </row>
    <row r="445" spans="1:542" x14ac:dyDescent="0.25">
      <c r="A445" s="96" t="s">
        <v>455</v>
      </c>
      <c r="B445" s="158" t="str">
        <f t="shared" si="21"/>
        <v>[yes/no]</v>
      </c>
      <c r="C445" s="159"/>
      <c r="D445" s="155"/>
      <c r="E445" s="190"/>
      <c r="F445" s="190"/>
      <c r="G445" s="190"/>
      <c r="H445" s="190"/>
      <c r="I445" s="190"/>
      <c r="J445" s="190"/>
      <c r="K445" s="190"/>
      <c r="L445" s="190"/>
      <c r="M445" s="190"/>
      <c r="N445" s="190"/>
      <c r="O445" s="190"/>
      <c r="P445" s="190"/>
      <c r="Q445" s="190"/>
      <c r="R445" s="190"/>
      <c r="S445" s="190"/>
      <c r="T445" s="190"/>
      <c r="U445" s="190"/>
      <c r="V445" s="190"/>
      <c r="W445" s="190"/>
      <c r="X445" s="190"/>
      <c r="Y445" s="190"/>
      <c r="Z445" s="190"/>
      <c r="AA445" s="190"/>
      <c r="AB445" s="190"/>
      <c r="AC445" s="190"/>
      <c r="AD445" s="190"/>
      <c r="AE445" s="190"/>
      <c r="AF445" s="190"/>
      <c r="AG445" s="190"/>
      <c r="AH445" s="190"/>
      <c r="AI445" s="190"/>
      <c r="AJ445" s="190"/>
      <c r="AK445" s="190"/>
      <c r="AL445" s="190"/>
      <c r="AM445" s="190"/>
      <c r="AN445" s="190"/>
      <c r="TU445" s="178"/>
      <c r="TV445" s="178"/>
    </row>
    <row r="446" spans="1:542" x14ac:dyDescent="0.25">
      <c r="A446" s="96"/>
      <c r="B446" s="158"/>
      <c r="C446" s="159"/>
      <c r="D446" s="155"/>
      <c r="E446" s="190"/>
      <c r="F446" s="190"/>
      <c r="G446" s="190"/>
      <c r="H446" s="190"/>
      <c r="I446" s="190"/>
      <c r="J446" s="190"/>
      <c r="K446" s="190"/>
      <c r="L446" s="190"/>
      <c r="M446" s="190"/>
      <c r="N446" s="190"/>
      <c r="O446" s="190"/>
      <c r="P446" s="190"/>
      <c r="Q446" s="190"/>
      <c r="R446" s="190"/>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TU446" s="178"/>
      <c r="TV446" s="178"/>
    </row>
    <row r="447" spans="1:542" x14ac:dyDescent="0.25">
      <c r="A447" s="196" t="s">
        <v>446</v>
      </c>
      <c r="B447" s="197"/>
      <c r="C447" s="198"/>
      <c r="D447" s="199"/>
      <c r="E447" s="190"/>
      <c r="F447" s="190"/>
      <c r="G447" s="190"/>
      <c r="H447" s="190"/>
      <c r="I447" s="190"/>
      <c r="J447" s="190"/>
      <c r="K447" s="190"/>
      <c r="L447" s="190"/>
      <c r="M447" s="190"/>
      <c r="N447" s="190"/>
      <c r="O447" s="190"/>
      <c r="P447" s="190"/>
      <c r="Q447" s="190"/>
      <c r="R447" s="190"/>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TU447" s="178"/>
      <c r="TV447" s="178"/>
    </row>
    <row r="448" spans="1:542" x14ac:dyDescent="0.25">
      <c r="A448" s="110" t="s">
        <v>89</v>
      </c>
      <c r="B448" s="158"/>
      <c r="C448" s="159"/>
      <c r="D448" s="155"/>
      <c r="E448" s="190"/>
      <c r="F448" s="190"/>
      <c r="G448" s="190"/>
      <c r="H448" s="190"/>
      <c r="I448" s="190"/>
      <c r="J448" s="190"/>
      <c r="K448" s="190"/>
      <c r="L448" s="190"/>
      <c r="M448" s="190"/>
      <c r="N448" s="190"/>
      <c r="O448" s="190"/>
      <c r="P448" s="190"/>
      <c r="Q448" s="190"/>
      <c r="R448" s="190"/>
      <c r="S448" s="190"/>
      <c r="T448" s="190"/>
      <c r="U448" s="190"/>
      <c r="V448" s="190"/>
      <c r="W448" s="190"/>
      <c r="X448" s="190"/>
      <c r="Y448" s="190"/>
      <c r="Z448" s="190"/>
      <c r="AA448" s="190"/>
      <c r="AB448" s="190"/>
      <c r="AC448" s="190"/>
      <c r="AD448" s="190"/>
      <c r="AE448" s="190"/>
      <c r="AF448" s="190"/>
      <c r="AG448" s="190"/>
      <c r="AH448" s="190"/>
      <c r="AI448" s="190"/>
      <c r="AJ448" s="190"/>
      <c r="AK448" s="190"/>
      <c r="AL448" s="190"/>
      <c r="AM448" s="190"/>
      <c r="AN448" s="190"/>
      <c r="TU448" s="178"/>
      <c r="TV448" s="178"/>
    </row>
    <row r="449" spans="1:542" x14ac:dyDescent="0.25">
      <c r="A449" s="110" t="s">
        <v>90</v>
      </c>
      <c r="B449" s="158"/>
      <c r="C449" s="159"/>
      <c r="D449" s="155"/>
      <c r="E449" s="190"/>
      <c r="F449" s="190"/>
      <c r="G449" s="190"/>
      <c r="H449" s="190"/>
      <c r="I449" s="190"/>
      <c r="J449" s="190"/>
      <c r="K449" s="190"/>
      <c r="L449" s="190"/>
      <c r="M449" s="190"/>
      <c r="N449" s="190"/>
      <c r="O449" s="190"/>
      <c r="P449" s="190"/>
      <c r="Q449" s="190"/>
      <c r="R449" s="190"/>
      <c r="S449" s="190"/>
      <c r="T449" s="190"/>
      <c r="U449" s="190"/>
      <c r="V449" s="190"/>
      <c r="W449" s="190"/>
      <c r="X449" s="190"/>
      <c r="Y449" s="190"/>
      <c r="Z449" s="190"/>
      <c r="AA449" s="190"/>
      <c r="AB449" s="190"/>
      <c r="AC449" s="190"/>
      <c r="AD449" s="190"/>
      <c r="AE449" s="190"/>
      <c r="AF449" s="190"/>
      <c r="AG449" s="190"/>
      <c r="AH449" s="190"/>
      <c r="AI449" s="190"/>
      <c r="AJ449" s="190"/>
      <c r="AK449" s="190"/>
      <c r="AL449" s="190"/>
      <c r="AM449" s="190"/>
      <c r="AN449" s="190"/>
      <c r="TU449" s="178"/>
      <c r="TV449" s="178"/>
    </row>
    <row r="450" spans="1:542" x14ac:dyDescent="0.25">
      <c r="A450" s="111" t="s">
        <v>502</v>
      </c>
      <c r="B450" s="116"/>
      <c r="C450" s="113"/>
      <c r="D450" s="105"/>
      <c r="E450" s="190"/>
      <c r="F450" s="190"/>
      <c r="G450" s="190"/>
      <c r="H450" s="190"/>
      <c r="I450" s="190"/>
      <c r="J450" s="190"/>
      <c r="K450" s="190"/>
      <c r="L450" s="190"/>
      <c r="M450" s="190"/>
      <c r="N450" s="190"/>
      <c r="O450" s="190"/>
      <c r="P450" s="190"/>
      <c r="Q450" s="190"/>
      <c r="R450" s="190"/>
      <c r="S450" s="190"/>
      <c r="T450" s="190"/>
      <c r="U450" s="190"/>
      <c r="V450" s="190"/>
      <c r="W450" s="190"/>
      <c r="X450" s="190"/>
      <c r="Y450" s="190"/>
      <c r="Z450" s="190"/>
      <c r="AA450" s="190"/>
      <c r="AB450" s="190"/>
      <c r="AC450" s="190"/>
      <c r="AD450" s="190"/>
      <c r="AE450" s="190"/>
      <c r="AF450" s="190"/>
      <c r="AG450" s="190"/>
      <c r="AH450" s="190"/>
      <c r="AI450" s="190"/>
      <c r="AJ450" s="190"/>
      <c r="AK450" s="190"/>
      <c r="AL450" s="190"/>
      <c r="AM450" s="190"/>
      <c r="AN450" s="190"/>
      <c r="TU450" s="178"/>
      <c r="TV450" s="178"/>
    </row>
    <row r="451" spans="1:542" x14ac:dyDescent="0.25">
      <c r="A451" s="110" t="s">
        <v>404</v>
      </c>
      <c r="B451" s="158"/>
      <c r="C451" s="159"/>
      <c r="D451" s="155"/>
      <c r="E451" s="190"/>
      <c r="F451" s="190"/>
      <c r="G451" s="190"/>
      <c r="H451" s="190"/>
      <c r="I451" s="190"/>
      <c r="J451" s="190"/>
      <c r="K451" s="190"/>
      <c r="L451" s="190"/>
      <c r="M451" s="190"/>
      <c r="N451" s="190"/>
      <c r="O451" s="190"/>
      <c r="P451" s="190"/>
      <c r="Q451" s="190"/>
      <c r="R451" s="190"/>
      <c r="S451" s="190"/>
      <c r="T451" s="190"/>
      <c r="U451" s="190"/>
      <c r="V451" s="190"/>
      <c r="W451" s="190"/>
      <c r="X451" s="190"/>
      <c r="Y451" s="190"/>
      <c r="Z451" s="190"/>
      <c r="AA451" s="190"/>
      <c r="AB451" s="190"/>
      <c r="AC451" s="190"/>
      <c r="AD451" s="190"/>
      <c r="AE451" s="190"/>
      <c r="AF451" s="190"/>
      <c r="AG451" s="190"/>
      <c r="AH451" s="190"/>
      <c r="AI451" s="190"/>
      <c r="AJ451" s="190"/>
      <c r="AK451" s="190"/>
      <c r="AL451" s="190"/>
      <c r="AM451" s="190"/>
      <c r="AN451" s="190"/>
      <c r="TU451" s="178"/>
      <c r="TV451" s="178"/>
    </row>
    <row r="452" spans="1:542" x14ac:dyDescent="0.25">
      <c r="A452" s="110" t="s">
        <v>483</v>
      </c>
      <c r="B452" s="158"/>
      <c r="C452" s="159"/>
      <c r="D452" s="155"/>
      <c r="E452" s="190"/>
      <c r="F452" s="190"/>
      <c r="G452" s="190"/>
      <c r="H452" s="190"/>
      <c r="I452" s="190"/>
      <c r="J452" s="190"/>
      <c r="K452" s="190"/>
      <c r="L452" s="190"/>
      <c r="M452" s="190"/>
      <c r="N452" s="190"/>
      <c r="O452" s="190"/>
      <c r="P452" s="190"/>
      <c r="Q452" s="190"/>
      <c r="R452" s="190"/>
      <c r="S452" s="190"/>
      <c r="T452" s="190"/>
      <c r="U452" s="190"/>
      <c r="V452" s="190"/>
      <c r="W452" s="190"/>
      <c r="X452" s="190"/>
      <c r="Y452" s="190"/>
      <c r="Z452" s="190"/>
      <c r="AA452" s="190"/>
      <c r="AB452" s="190"/>
      <c r="AC452" s="190"/>
      <c r="AD452" s="190"/>
      <c r="AE452" s="190"/>
      <c r="AF452" s="190"/>
      <c r="AG452" s="190"/>
      <c r="AH452" s="190"/>
      <c r="AI452" s="190"/>
      <c r="AJ452" s="190"/>
      <c r="AK452" s="190"/>
      <c r="AL452" s="190"/>
      <c r="AM452" s="190"/>
      <c r="AN452" s="190"/>
      <c r="TU452" s="178"/>
      <c r="TV452" s="178"/>
    </row>
    <row r="453" spans="1:542" x14ac:dyDescent="0.25">
      <c r="A453" s="110" t="s">
        <v>484</v>
      </c>
      <c r="B453" s="158"/>
      <c r="C453" s="159"/>
      <c r="D453" s="155"/>
      <c r="E453" s="190"/>
      <c r="F453" s="190"/>
      <c r="G453" s="190"/>
      <c r="H453" s="190"/>
      <c r="I453" s="190"/>
      <c r="J453" s="190"/>
      <c r="K453" s="190"/>
      <c r="L453" s="190"/>
      <c r="M453" s="190"/>
      <c r="N453" s="190"/>
      <c r="O453" s="190"/>
      <c r="P453" s="190"/>
      <c r="Q453" s="190"/>
      <c r="R453" s="190"/>
      <c r="S453" s="190"/>
      <c r="T453" s="190"/>
      <c r="U453" s="190"/>
      <c r="V453" s="190"/>
      <c r="W453" s="190"/>
      <c r="X453" s="190"/>
      <c r="Y453" s="190"/>
      <c r="Z453" s="190"/>
      <c r="AA453" s="190"/>
      <c r="AB453" s="190"/>
      <c r="AC453" s="190"/>
      <c r="AD453" s="190"/>
      <c r="AE453" s="190"/>
      <c r="AF453" s="190"/>
      <c r="AG453" s="190"/>
      <c r="AH453" s="190"/>
      <c r="AI453" s="190"/>
      <c r="AJ453" s="190"/>
      <c r="AK453" s="190"/>
      <c r="AL453" s="190"/>
      <c r="AM453" s="190"/>
      <c r="AN453" s="190"/>
      <c r="TU453" s="178"/>
      <c r="TV453" s="178"/>
    </row>
    <row r="454" spans="1:542" x14ac:dyDescent="0.25">
      <c r="A454" s="110" t="s">
        <v>485</v>
      </c>
      <c r="B454" s="158"/>
      <c r="C454" s="159"/>
      <c r="D454" s="155"/>
      <c r="E454" s="190"/>
      <c r="F454" s="190"/>
      <c r="G454" s="190"/>
      <c r="H454" s="190"/>
      <c r="I454" s="190"/>
      <c r="J454" s="190"/>
      <c r="K454" s="190"/>
      <c r="L454" s="190"/>
      <c r="M454" s="190"/>
      <c r="N454" s="190"/>
      <c r="O454" s="190"/>
      <c r="P454" s="190"/>
      <c r="Q454" s="190"/>
      <c r="R454" s="190"/>
      <c r="S454" s="190"/>
      <c r="T454" s="190"/>
      <c r="U454" s="190"/>
      <c r="V454" s="190"/>
      <c r="W454" s="190"/>
      <c r="X454" s="190"/>
      <c r="Y454" s="190"/>
      <c r="Z454" s="190"/>
      <c r="AA454" s="190"/>
      <c r="AB454" s="190"/>
      <c r="AC454" s="190"/>
      <c r="AD454" s="190"/>
      <c r="AE454" s="190"/>
      <c r="AF454" s="190"/>
      <c r="AG454" s="190"/>
      <c r="AH454" s="190"/>
      <c r="AI454" s="190"/>
      <c r="AJ454" s="190"/>
      <c r="AK454" s="190"/>
      <c r="AL454" s="190"/>
      <c r="AM454" s="190"/>
      <c r="AN454" s="190"/>
      <c r="TU454" s="178"/>
      <c r="TV454" s="178"/>
    </row>
    <row r="455" spans="1:542" x14ac:dyDescent="0.25">
      <c r="A455" s="110" t="s">
        <v>486</v>
      </c>
      <c r="B455" s="158"/>
      <c r="C455" s="159"/>
      <c r="D455" s="155"/>
      <c r="E455" s="190"/>
      <c r="F455" s="190"/>
      <c r="G455" s="190"/>
      <c r="H455" s="190"/>
      <c r="I455" s="190"/>
      <c r="J455" s="190"/>
      <c r="K455" s="190"/>
      <c r="L455" s="190"/>
      <c r="M455" s="190"/>
      <c r="N455" s="190"/>
      <c r="O455" s="190"/>
      <c r="P455" s="190"/>
      <c r="Q455" s="190"/>
      <c r="R455" s="190"/>
      <c r="S455" s="190"/>
      <c r="T455" s="190"/>
      <c r="U455" s="190"/>
      <c r="V455" s="190"/>
      <c r="W455" s="190"/>
      <c r="X455" s="190"/>
      <c r="Y455" s="190"/>
      <c r="Z455" s="190"/>
      <c r="AA455" s="190"/>
      <c r="AB455" s="190"/>
      <c r="AC455" s="190"/>
      <c r="AD455" s="190"/>
      <c r="AE455" s="190"/>
      <c r="AF455" s="190"/>
      <c r="AG455" s="190"/>
      <c r="AH455" s="190"/>
      <c r="AI455" s="190"/>
      <c r="AJ455" s="190"/>
      <c r="AK455" s="190"/>
      <c r="AL455" s="190"/>
      <c r="AM455" s="190"/>
      <c r="AN455" s="190"/>
      <c r="TU455" s="178"/>
      <c r="TV455" s="178"/>
    </row>
    <row r="456" spans="1:542" x14ac:dyDescent="0.25">
      <c r="A456" s="110" t="s">
        <v>487</v>
      </c>
      <c r="B456" s="158"/>
      <c r="C456" s="159"/>
      <c r="D456" s="155"/>
      <c r="E456" s="190"/>
      <c r="F456" s="190"/>
      <c r="G456" s="190"/>
      <c r="H456" s="190"/>
      <c r="I456" s="190"/>
      <c r="J456" s="190"/>
      <c r="K456" s="190"/>
      <c r="L456" s="190"/>
      <c r="M456" s="190"/>
      <c r="N456" s="190"/>
      <c r="O456" s="190"/>
      <c r="P456" s="190"/>
      <c r="Q456" s="190"/>
      <c r="R456" s="190"/>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TU456" s="178"/>
      <c r="TV456" s="178"/>
    </row>
    <row r="457" spans="1:542" x14ac:dyDescent="0.25">
      <c r="A457" s="110" t="s">
        <v>488</v>
      </c>
      <c r="B457" s="158"/>
      <c r="C457" s="159"/>
      <c r="D457" s="155"/>
      <c r="E457" s="190"/>
      <c r="F457" s="190"/>
      <c r="G457" s="190"/>
      <c r="H457" s="190"/>
      <c r="I457" s="190"/>
      <c r="J457" s="190"/>
      <c r="K457" s="190"/>
      <c r="L457" s="190"/>
      <c r="M457" s="190"/>
      <c r="N457" s="190"/>
      <c r="O457" s="190"/>
      <c r="P457" s="190"/>
      <c r="Q457" s="190"/>
      <c r="R457" s="190"/>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TU457" s="178"/>
      <c r="TV457" s="178"/>
    </row>
    <row r="458" spans="1:542" x14ac:dyDescent="0.25">
      <c r="A458" s="110" t="s">
        <v>489</v>
      </c>
      <c r="B458" s="158"/>
      <c r="C458" s="159"/>
      <c r="D458" s="155"/>
      <c r="E458" s="190"/>
      <c r="F458" s="190"/>
      <c r="G458" s="190"/>
      <c r="H458" s="190"/>
      <c r="I458" s="190"/>
      <c r="J458" s="190"/>
      <c r="K458" s="190"/>
      <c r="L458" s="190"/>
      <c r="M458" s="190"/>
      <c r="N458" s="190"/>
      <c r="O458" s="190"/>
      <c r="P458" s="190"/>
      <c r="Q458" s="190"/>
      <c r="R458" s="190"/>
      <c r="S458" s="190"/>
      <c r="T458" s="190"/>
      <c r="U458" s="190"/>
      <c r="V458" s="190"/>
      <c r="W458" s="190"/>
      <c r="X458" s="190"/>
      <c r="Y458" s="190"/>
      <c r="Z458" s="190"/>
      <c r="AA458" s="190"/>
      <c r="AB458" s="190"/>
      <c r="AC458" s="190"/>
      <c r="AD458" s="190"/>
      <c r="AE458" s="190"/>
      <c r="AF458" s="190"/>
      <c r="AG458" s="190"/>
      <c r="AH458" s="190"/>
      <c r="AI458" s="190"/>
      <c r="AJ458" s="190"/>
      <c r="AK458" s="190"/>
      <c r="AL458" s="190"/>
      <c r="AM458" s="190"/>
      <c r="AN458" s="190"/>
      <c r="TU458" s="178"/>
      <c r="TV458" s="178"/>
    </row>
    <row r="459" spans="1:542" x14ac:dyDescent="0.25">
      <c r="A459" s="110" t="s">
        <v>490</v>
      </c>
      <c r="B459" s="158"/>
      <c r="C459" s="159"/>
      <c r="D459" s="155"/>
      <c r="E459" s="190"/>
      <c r="F459" s="190"/>
      <c r="G459" s="190"/>
      <c r="H459" s="190"/>
      <c r="I459" s="190"/>
      <c r="J459" s="190"/>
      <c r="K459" s="190"/>
      <c r="L459" s="190"/>
      <c r="M459" s="190"/>
      <c r="N459" s="190"/>
      <c r="O459" s="190"/>
      <c r="P459" s="190"/>
      <c r="Q459" s="190"/>
      <c r="R459" s="190"/>
      <c r="S459" s="190"/>
      <c r="T459" s="190"/>
      <c r="U459" s="190"/>
      <c r="V459" s="190"/>
      <c r="W459" s="190"/>
      <c r="X459" s="190"/>
      <c r="Y459" s="190"/>
      <c r="Z459" s="190"/>
      <c r="AA459" s="190"/>
      <c r="AB459" s="190"/>
      <c r="AC459" s="190"/>
      <c r="AD459" s="190"/>
      <c r="AE459" s="190"/>
      <c r="AF459" s="190"/>
      <c r="AG459" s="190"/>
      <c r="AH459" s="190"/>
      <c r="AI459" s="190"/>
      <c r="AJ459" s="190"/>
      <c r="AK459" s="190"/>
      <c r="AL459" s="190"/>
      <c r="AM459" s="190"/>
      <c r="AN459" s="190"/>
      <c r="TU459" s="178"/>
      <c r="TV459" s="178"/>
    </row>
    <row r="460" spans="1:542" x14ac:dyDescent="0.25">
      <c r="A460" s="110" t="s">
        <v>491</v>
      </c>
      <c r="B460" s="158"/>
      <c r="C460" s="159"/>
      <c r="D460" s="155"/>
      <c r="E460" s="190"/>
      <c r="F460" s="190"/>
      <c r="G460" s="190"/>
      <c r="H460" s="190"/>
      <c r="I460" s="190"/>
      <c r="J460" s="190"/>
      <c r="K460" s="190"/>
      <c r="L460" s="190"/>
      <c r="M460" s="190"/>
      <c r="N460" s="190"/>
      <c r="O460" s="190"/>
      <c r="P460" s="190"/>
      <c r="Q460" s="190"/>
      <c r="R460" s="190"/>
      <c r="S460" s="190"/>
      <c r="T460" s="190"/>
      <c r="U460" s="190"/>
      <c r="V460" s="190"/>
      <c r="W460" s="190"/>
      <c r="X460" s="190"/>
      <c r="Y460" s="190"/>
      <c r="Z460" s="190"/>
      <c r="AA460" s="190"/>
      <c r="AB460" s="190"/>
      <c r="AC460" s="190"/>
      <c r="AD460" s="190"/>
      <c r="AE460" s="190"/>
      <c r="AF460" s="190"/>
      <c r="AG460" s="190"/>
      <c r="AH460" s="190"/>
      <c r="AI460" s="190"/>
      <c r="AJ460" s="190"/>
      <c r="AK460" s="190"/>
      <c r="AL460" s="190"/>
      <c r="AM460" s="190"/>
      <c r="AN460" s="190"/>
      <c r="TU460" s="178"/>
      <c r="TV460" s="178"/>
    </row>
    <row r="461" spans="1:542" x14ac:dyDescent="0.25">
      <c r="A461" s="110" t="s">
        <v>492</v>
      </c>
      <c r="B461" s="158"/>
      <c r="C461" s="159"/>
      <c r="D461" s="155"/>
      <c r="E461" s="190"/>
      <c r="F461" s="190"/>
      <c r="G461" s="190"/>
      <c r="H461" s="190"/>
      <c r="I461" s="190"/>
      <c r="J461" s="190"/>
      <c r="K461" s="190"/>
      <c r="L461" s="190"/>
      <c r="M461" s="190"/>
      <c r="N461" s="190"/>
      <c r="O461" s="190"/>
      <c r="P461" s="190"/>
      <c r="Q461" s="190"/>
      <c r="R461" s="190"/>
      <c r="S461" s="190"/>
      <c r="T461" s="190"/>
      <c r="U461" s="190"/>
      <c r="V461" s="190"/>
      <c r="W461" s="190"/>
      <c r="X461" s="190"/>
      <c r="Y461" s="190"/>
      <c r="Z461" s="190"/>
      <c r="AA461" s="190"/>
      <c r="AB461" s="190"/>
      <c r="AC461" s="190"/>
      <c r="AD461" s="190"/>
      <c r="AE461" s="190"/>
      <c r="AF461" s="190"/>
      <c r="AG461" s="190"/>
      <c r="AH461" s="190"/>
      <c r="AI461" s="190"/>
      <c r="AJ461" s="190"/>
      <c r="AK461" s="190"/>
      <c r="AL461" s="190"/>
      <c r="AM461" s="190"/>
      <c r="AN461" s="190"/>
      <c r="TU461" s="178"/>
      <c r="TV461" s="178"/>
    </row>
    <row r="462" spans="1:542" x14ac:dyDescent="0.25">
      <c r="A462" s="110" t="s">
        <v>560</v>
      </c>
      <c r="B462" s="158"/>
      <c r="C462" s="159"/>
      <c r="D462" s="155"/>
      <c r="E462" s="190"/>
      <c r="F462" s="190"/>
      <c r="G462" s="190"/>
      <c r="H462" s="190"/>
      <c r="I462" s="190"/>
      <c r="J462" s="190"/>
      <c r="K462" s="190"/>
      <c r="L462" s="190"/>
      <c r="M462" s="190"/>
      <c r="N462" s="190"/>
      <c r="O462" s="190"/>
      <c r="P462" s="190"/>
      <c r="Q462" s="190"/>
      <c r="R462" s="190"/>
      <c r="S462" s="190"/>
      <c r="T462" s="190"/>
      <c r="U462" s="190"/>
      <c r="V462" s="190"/>
      <c r="W462" s="190"/>
      <c r="X462" s="190"/>
      <c r="Y462" s="190"/>
      <c r="Z462" s="190"/>
      <c r="AA462" s="190"/>
      <c r="AB462" s="190"/>
      <c r="AC462" s="190"/>
      <c r="AD462" s="190"/>
      <c r="AE462" s="190"/>
      <c r="AF462" s="190"/>
      <c r="AG462" s="190"/>
      <c r="AH462" s="190"/>
      <c r="AI462" s="190"/>
      <c r="AJ462" s="190"/>
      <c r="AK462" s="190"/>
      <c r="AL462" s="190"/>
      <c r="AM462" s="190"/>
      <c r="AN462" s="190"/>
      <c r="TU462" s="178"/>
      <c r="TV462" s="178"/>
    </row>
    <row r="463" spans="1:542" x14ac:dyDescent="0.25">
      <c r="A463" s="110" t="s">
        <v>561</v>
      </c>
      <c r="B463" s="158"/>
      <c r="C463" s="159"/>
      <c r="D463" s="155"/>
      <c r="E463" s="190"/>
      <c r="F463" s="190"/>
      <c r="G463" s="190"/>
      <c r="H463" s="190"/>
      <c r="I463" s="190"/>
      <c r="J463" s="190"/>
      <c r="K463" s="190"/>
      <c r="L463" s="190"/>
      <c r="M463" s="190"/>
      <c r="N463" s="190"/>
      <c r="O463" s="190"/>
      <c r="P463" s="190"/>
      <c r="Q463" s="190"/>
      <c r="R463" s="190"/>
      <c r="S463" s="190"/>
      <c r="T463" s="190"/>
      <c r="U463" s="190"/>
      <c r="V463" s="190"/>
      <c r="W463" s="190"/>
      <c r="X463" s="190"/>
      <c r="Y463" s="190"/>
      <c r="Z463" s="190"/>
      <c r="AA463" s="190"/>
      <c r="AB463" s="190"/>
      <c r="AC463" s="190"/>
      <c r="AD463" s="190"/>
      <c r="AE463" s="190"/>
      <c r="AF463" s="190"/>
      <c r="AG463" s="190"/>
      <c r="AH463" s="190"/>
      <c r="AI463" s="190"/>
      <c r="AJ463" s="190"/>
      <c r="AK463" s="190"/>
      <c r="AL463" s="190"/>
      <c r="AM463" s="190"/>
      <c r="AN463" s="190"/>
      <c r="TU463" s="178"/>
      <c r="TV463" s="178"/>
    </row>
    <row r="464" spans="1:542" x14ac:dyDescent="0.25">
      <c r="A464" s="110" t="s">
        <v>562</v>
      </c>
      <c r="B464" s="158"/>
      <c r="C464" s="159"/>
      <c r="D464" s="155"/>
      <c r="E464" s="190"/>
      <c r="F464" s="190"/>
      <c r="G464" s="190"/>
      <c r="H464" s="190"/>
      <c r="I464" s="190"/>
      <c r="J464" s="190"/>
      <c r="K464" s="190"/>
      <c r="L464" s="190"/>
      <c r="M464" s="190"/>
      <c r="N464" s="190"/>
      <c r="O464" s="190"/>
      <c r="P464" s="190"/>
      <c r="Q464" s="190"/>
      <c r="R464" s="190"/>
      <c r="S464" s="190"/>
      <c r="T464" s="190"/>
      <c r="U464" s="190"/>
      <c r="V464" s="190"/>
      <c r="W464" s="190"/>
      <c r="X464" s="190"/>
      <c r="Y464" s="190"/>
      <c r="Z464" s="190"/>
      <c r="AA464" s="190"/>
      <c r="AB464" s="190"/>
      <c r="AC464" s="190"/>
      <c r="AD464" s="190"/>
      <c r="AE464" s="190"/>
      <c r="AF464" s="190"/>
      <c r="AG464" s="190"/>
      <c r="AH464" s="190"/>
      <c r="AI464" s="190"/>
      <c r="AJ464" s="190"/>
      <c r="AK464" s="190"/>
      <c r="AL464" s="190"/>
      <c r="AM464" s="190"/>
      <c r="AN464" s="190"/>
      <c r="TU464" s="178"/>
      <c r="TV464" s="178"/>
    </row>
    <row r="465" spans="1:542" x14ac:dyDescent="0.25">
      <c r="A465" s="110" t="s">
        <v>563</v>
      </c>
      <c r="B465" s="158"/>
      <c r="C465" s="159"/>
      <c r="D465" s="155"/>
      <c r="E465" s="190"/>
      <c r="F465" s="190"/>
      <c r="G465" s="190"/>
      <c r="H465" s="190"/>
      <c r="I465" s="190"/>
      <c r="J465" s="190"/>
      <c r="K465" s="190"/>
      <c r="L465" s="190"/>
      <c r="M465" s="190"/>
      <c r="N465" s="190"/>
      <c r="O465" s="190"/>
      <c r="P465" s="190"/>
      <c r="Q465" s="190"/>
      <c r="R465" s="190"/>
      <c r="S465" s="190"/>
      <c r="T465" s="190"/>
      <c r="U465" s="190"/>
      <c r="V465" s="190"/>
      <c r="W465" s="190"/>
      <c r="X465" s="190"/>
      <c r="Y465" s="190"/>
      <c r="Z465" s="190"/>
      <c r="AA465" s="190"/>
      <c r="AB465" s="190"/>
      <c r="AC465" s="190"/>
      <c r="AD465" s="190"/>
      <c r="AE465" s="190"/>
      <c r="AF465" s="190"/>
      <c r="AG465" s="190"/>
      <c r="AH465" s="190"/>
      <c r="AI465" s="190"/>
      <c r="AJ465" s="190"/>
      <c r="AK465" s="190"/>
      <c r="AL465" s="190"/>
      <c r="AM465" s="190"/>
      <c r="AN465" s="190"/>
      <c r="TU465" s="178"/>
      <c r="TV465" s="178"/>
    </row>
    <row r="466" spans="1:542" x14ac:dyDescent="0.25">
      <c r="A466" s="110" t="s">
        <v>564</v>
      </c>
      <c r="B466" s="158"/>
      <c r="C466" s="159"/>
      <c r="D466" s="155"/>
      <c r="E466" s="190"/>
      <c r="F466" s="190"/>
      <c r="G466" s="190"/>
      <c r="H466" s="190"/>
      <c r="I466" s="190"/>
      <c r="J466" s="190"/>
      <c r="K466" s="190"/>
      <c r="L466" s="190"/>
      <c r="M466" s="190"/>
      <c r="N466" s="190"/>
      <c r="O466" s="190"/>
      <c r="P466" s="190"/>
      <c r="Q466" s="190"/>
      <c r="R466" s="190"/>
      <c r="S466" s="190"/>
      <c r="T466" s="190"/>
      <c r="U466" s="190"/>
      <c r="V466" s="190"/>
      <c r="W466" s="190"/>
      <c r="X466" s="190"/>
      <c r="Y466" s="190"/>
      <c r="Z466" s="190"/>
      <c r="AA466" s="190"/>
      <c r="AB466" s="190"/>
      <c r="AC466" s="190"/>
      <c r="AD466" s="190"/>
      <c r="AE466" s="190"/>
      <c r="AF466" s="190"/>
      <c r="AG466" s="190"/>
      <c r="AH466" s="190"/>
      <c r="AI466" s="190"/>
      <c r="AJ466" s="190"/>
      <c r="AK466" s="190"/>
      <c r="AL466" s="190"/>
      <c r="AM466" s="190"/>
      <c r="AN466" s="190"/>
      <c r="TU466" s="178"/>
      <c r="TV466" s="178"/>
    </row>
    <row r="467" spans="1:542" x14ac:dyDescent="0.25">
      <c r="A467" s="110" t="s">
        <v>565</v>
      </c>
      <c r="B467" s="158"/>
      <c r="C467" s="159"/>
      <c r="D467" s="155"/>
      <c r="E467" s="190"/>
      <c r="F467" s="190"/>
      <c r="G467" s="190"/>
      <c r="H467" s="190"/>
      <c r="I467" s="190"/>
      <c r="J467" s="190"/>
      <c r="K467" s="190"/>
      <c r="L467" s="190"/>
      <c r="M467" s="190"/>
      <c r="N467" s="190"/>
      <c r="O467" s="190"/>
      <c r="P467" s="190"/>
      <c r="Q467" s="190"/>
      <c r="R467" s="190"/>
      <c r="S467" s="190"/>
      <c r="T467" s="190"/>
      <c r="U467" s="190"/>
      <c r="V467" s="190"/>
      <c r="W467" s="190"/>
      <c r="X467" s="190"/>
      <c r="Y467" s="190"/>
      <c r="Z467" s="190"/>
      <c r="AA467" s="190"/>
      <c r="AB467" s="190"/>
      <c r="AC467" s="190"/>
      <c r="AD467" s="190"/>
      <c r="AE467" s="190"/>
      <c r="AF467" s="190"/>
      <c r="AG467" s="190"/>
      <c r="AH467" s="190"/>
      <c r="AI467" s="190"/>
      <c r="AJ467" s="190"/>
      <c r="AK467" s="190"/>
      <c r="AL467" s="190"/>
      <c r="AM467" s="190"/>
      <c r="AN467" s="190"/>
      <c r="TU467" s="178"/>
      <c r="TV467" s="178"/>
    </row>
    <row r="468" spans="1:542" x14ac:dyDescent="0.25">
      <c r="A468" s="110" t="s">
        <v>566</v>
      </c>
      <c r="B468" s="158"/>
      <c r="C468" s="159"/>
      <c r="D468" s="155"/>
      <c r="E468" s="190"/>
      <c r="F468" s="190"/>
      <c r="G468" s="190"/>
      <c r="H468" s="190"/>
      <c r="I468" s="190"/>
      <c r="J468" s="190"/>
      <c r="K468" s="190"/>
      <c r="L468" s="190"/>
      <c r="M468" s="190"/>
      <c r="N468" s="190"/>
      <c r="O468" s="190"/>
      <c r="P468" s="190"/>
      <c r="Q468" s="190"/>
      <c r="R468" s="190"/>
      <c r="S468" s="190"/>
      <c r="T468" s="190"/>
      <c r="U468" s="190"/>
      <c r="V468" s="190"/>
      <c r="W468" s="190"/>
      <c r="X468" s="190"/>
      <c r="Y468" s="190"/>
      <c r="Z468" s="190"/>
      <c r="AA468" s="190"/>
      <c r="AB468" s="190"/>
      <c r="AC468" s="190"/>
      <c r="AD468" s="190"/>
      <c r="AE468" s="190"/>
      <c r="AF468" s="190"/>
      <c r="AG468" s="190"/>
      <c r="AH468" s="190"/>
      <c r="AI468" s="190"/>
      <c r="AJ468" s="190"/>
      <c r="AK468" s="190"/>
      <c r="AL468" s="190"/>
      <c r="AM468" s="190"/>
      <c r="AN468" s="190"/>
      <c r="TU468" s="178"/>
      <c r="TV468" s="178"/>
    </row>
    <row r="469" spans="1:542" x14ac:dyDescent="0.25">
      <c r="A469" s="110" t="s">
        <v>567</v>
      </c>
      <c r="B469" s="158"/>
      <c r="C469" s="159"/>
      <c r="D469" s="155"/>
      <c r="E469" s="190"/>
      <c r="F469" s="190"/>
      <c r="G469" s="190"/>
      <c r="H469" s="190"/>
      <c r="I469" s="190"/>
      <c r="J469" s="190"/>
      <c r="K469" s="190"/>
      <c r="L469" s="190"/>
      <c r="M469" s="190"/>
      <c r="N469" s="190"/>
      <c r="O469" s="190"/>
      <c r="P469" s="190"/>
      <c r="Q469" s="190"/>
      <c r="R469" s="190"/>
      <c r="S469" s="190"/>
      <c r="T469" s="190"/>
      <c r="U469" s="190"/>
      <c r="V469" s="190"/>
      <c r="W469" s="190"/>
      <c r="X469" s="190"/>
      <c r="Y469" s="190"/>
      <c r="Z469" s="190"/>
      <c r="AA469" s="190"/>
      <c r="AB469" s="190"/>
      <c r="AC469" s="190"/>
      <c r="AD469" s="190"/>
      <c r="AE469" s="190"/>
      <c r="AF469" s="190"/>
      <c r="AG469" s="190"/>
      <c r="AH469" s="190"/>
      <c r="AI469" s="190"/>
      <c r="AJ469" s="190"/>
      <c r="AK469" s="190"/>
      <c r="AL469" s="190"/>
      <c r="AM469" s="190"/>
      <c r="AN469" s="190"/>
      <c r="TU469" s="178"/>
      <c r="TV469" s="178"/>
    </row>
    <row r="470" spans="1:542" x14ac:dyDescent="0.25">
      <c r="A470" s="110" t="s">
        <v>568</v>
      </c>
      <c r="B470" s="158"/>
      <c r="C470" s="159"/>
      <c r="D470" s="155"/>
      <c r="E470" s="190"/>
      <c r="F470" s="190"/>
      <c r="G470" s="190"/>
      <c r="H470" s="190"/>
      <c r="I470" s="190"/>
      <c r="J470" s="190"/>
      <c r="K470" s="190"/>
      <c r="L470" s="190"/>
      <c r="M470" s="190"/>
      <c r="N470" s="190"/>
      <c r="O470" s="190"/>
      <c r="P470" s="190"/>
      <c r="Q470" s="190"/>
      <c r="R470" s="190"/>
      <c r="S470" s="190"/>
      <c r="T470" s="190"/>
      <c r="U470" s="190"/>
      <c r="V470" s="190"/>
      <c r="W470" s="190"/>
      <c r="X470" s="190"/>
      <c r="Y470" s="190"/>
      <c r="Z470" s="190"/>
      <c r="AA470" s="190"/>
      <c r="AB470" s="190"/>
      <c r="AC470" s="190"/>
      <c r="AD470" s="190"/>
      <c r="AE470" s="190"/>
      <c r="AF470" s="190"/>
      <c r="AG470" s="190"/>
      <c r="AH470" s="190"/>
      <c r="AI470" s="190"/>
      <c r="AJ470" s="190"/>
      <c r="AK470" s="190"/>
      <c r="AL470" s="190"/>
      <c r="AM470" s="190"/>
      <c r="AN470" s="190"/>
      <c r="TU470" s="178"/>
      <c r="TV470" s="178"/>
    </row>
    <row r="471" spans="1:542" x14ac:dyDescent="0.25">
      <c r="A471" s="110" t="s">
        <v>569</v>
      </c>
      <c r="B471" s="158"/>
      <c r="C471" s="159"/>
      <c r="D471" s="155"/>
      <c r="E471" s="190"/>
      <c r="F471" s="190"/>
      <c r="G471" s="190"/>
      <c r="H471" s="190"/>
      <c r="I471" s="190"/>
      <c r="J471" s="190"/>
      <c r="K471" s="190"/>
      <c r="L471" s="190"/>
      <c r="M471" s="190"/>
      <c r="N471" s="190"/>
      <c r="O471" s="190"/>
      <c r="P471" s="190"/>
      <c r="Q471" s="190"/>
      <c r="R471" s="190"/>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TU471" s="178"/>
      <c r="TV471" s="178"/>
    </row>
    <row r="472" spans="1:542" x14ac:dyDescent="0.25">
      <c r="A472" s="110" t="s">
        <v>570</v>
      </c>
      <c r="B472" s="158"/>
      <c r="C472" s="159"/>
      <c r="D472" s="155"/>
      <c r="E472" s="190"/>
      <c r="F472" s="190"/>
      <c r="G472" s="190"/>
      <c r="H472" s="190"/>
      <c r="I472" s="190"/>
      <c r="J472" s="190"/>
      <c r="K472" s="190"/>
      <c r="L472" s="190"/>
      <c r="M472" s="190"/>
      <c r="N472" s="190"/>
      <c r="O472" s="190"/>
      <c r="P472" s="190"/>
      <c r="Q472" s="190"/>
      <c r="R472" s="190"/>
      <c r="S472" s="190"/>
      <c r="T472" s="190"/>
      <c r="U472" s="190"/>
      <c r="V472" s="190"/>
      <c r="W472" s="190"/>
      <c r="X472" s="190"/>
      <c r="Y472" s="190"/>
      <c r="Z472" s="190"/>
      <c r="AA472" s="190"/>
      <c r="AB472" s="190"/>
      <c r="AC472" s="190"/>
      <c r="AD472" s="190"/>
      <c r="AE472" s="190"/>
      <c r="AF472" s="190"/>
      <c r="AG472" s="190"/>
      <c r="AH472" s="190"/>
      <c r="AI472" s="190"/>
      <c r="AJ472" s="190"/>
      <c r="AK472" s="190"/>
      <c r="AL472" s="190"/>
      <c r="AM472" s="190"/>
      <c r="AN472" s="190"/>
      <c r="TU472" s="178"/>
      <c r="TV472" s="178"/>
    </row>
    <row r="473" spans="1:542" x14ac:dyDescent="0.25">
      <c r="A473" s="110" t="s">
        <v>571</v>
      </c>
      <c r="B473" s="158"/>
      <c r="C473" s="159"/>
      <c r="D473" s="155"/>
      <c r="E473" s="190"/>
      <c r="F473" s="190"/>
      <c r="G473" s="190"/>
      <c r="H473" s="190"/>
      <c r="I473" s="190"/>
      <c r="J473" s="190"/>
      <c r="K473" s="190"/>
      <c r="L473" s="190"/>
      <c r="M473" s="190"/>
      <c r="N473" s="190"/>
      <c r="O473" s="190"/>
      <c r="P473" s="190"/>
      <c r="Q473" s="190"/>
      <c r="R473" s="190"/>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TU473" s="178"/>
      <c r="TV473" s="178"/>
    </row>
    <row r="474" spans="1:542" x14ac:dyDescent="0.25">
      <c r="A474" s="110" t="s">
        <v>572</v>
      </c>
      <c r="B474" s="158"/>
      <c r="C474" s="159"/>
      <c r="D474" s="155"/>
      <c r="E474" s="190"/>
      <c r="F474" s="190"/>
      <c r="G474" s="190"/>
      <c r="H474" s="190"/>
      <c r="I474" s="190"/>
      <c r="J474" s="190"/>
      <c r="K474" s="190"/>
      <c r="L474" s="190"/>
      <c r="M474" s="190"/>
      <c r="N474" s="190"/>
      <c r="O474" s="190"/>
      <c r="P474" s="190"/>
      <c r="Q474" s="190"/>
      <c r="R474" s="190"/>
      <c r="S474" s="190"/>
      <c r="T474" s="190"/>
      <c r="U474" s="190"/>
      <c r="V474" s="190"/>
      <c r="W474" s="190"/>
      <c r="X474" s="190"/>
      <c r="Y474" s="190"/>
      <c r="Z474" s="190"/>
      <c r="AA474" s="190"/>
      <c r="AB474" s="190"/>
      <c r="AC474" s="190"/>
      <c r="AD474" s="190"/>
      <c r="AE474" s="190"/>
      <c r="AF474" s="190"/>
      <c r="AG474" s="190"/>
      <c r="AH474" s="190"/>
      <c r="AI474" s="190"/>
      <c r="AJ474" s="190"/>
      <c r="AK474" s="190"/>
      <c r="AL474" s="190"/>
      <c r="AM474" s="190"/>
      <c r="AN474" s="190"/>
      <c r="TU474" s="178"/>
      <c r="TV474" s="178"/>
    </row>
    <row r="475" spans="1:542" x14ac:dyDescent="0.25">
      <c r="A475" s="110" t="s">
        <v>573</v>
      </c>
      <c r="B475" s="158"/>
      <c r="C475" s="159"/>
      <c r="D475" s="155"/>
      <c r="E475" s="190"/>
      <c r="F475" s="190"/>
      <c r="G475" s="190"/>
      <c r="H475" s="190"/>
      <c r="I475" s="190"/>
      <c r="J475" s="190"/>
      <c r="K475" s="190"/>
      <c r="L475" s="190"/>
      <c r="M475" s="190"/>
      <c r="N475" s="190"/>
      <c r="O475" s="190"/>
      <c r="P475" s="190"/>
      <c r="Q475" s="190"/>
      <c r="R475" s="190"/>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TU475" s="178"/>
      <c r="TV475" s="178"/>
    </row>
    <row r="476" spans="1:542" x14ac:dyDescent="0.25">
      <c r="A476" s="110" t="s">
        <v>574</v>
      </c>
      <c r="B476" s="158"/>
      <c r="C476" s="159"/>
      <c r="D476" s="155"/>
      <c r="E476" s="190"/>
      <c r="F476" s="190"/>
      <c r="G476" s="190"/>
      <c r="H476" s="190"/>
      <c r="I476" s="190"/>
      <c r="J476" s="190"/>
      <c r="K476" s="190"/>
      <c r="L476" s="190"/>
      <c r="M476" s="190"/>
      <c r="N476" s="190"/>
      <c r="O476" s="190"/>
      <c r="P476" s="190"/>
      <c r="Q476" s="190"/>
      <c r="R476" s="190"/>
      <c r="S476" s="190"/>
      <c r="T476" s="190"/>
      <c r="U476" s="190"/>
      <c r="V476" s="190"/>
      <c r="W476" s="190"/>
      <c r="X476" s="190"/>
      <c r="Y476" s="190"/>
      <c r="Z476" s="190"/>
      <c r="AA476" s="190"/>
      <c r="AB476" s="190"/>
      <c r="AC476" s="190"/>
      <c r="AD476" s="190"/>
      <c r="AE476" s="190"/>
      <c r="AF476" s="190"/>
      <c r="AG476" s="190"/>
      <c r="AH476" s="190"/>
      <c r="AI476" s="190"/>
      <c r="AJ476" s="190"/>
      <c r="AK476" s="190"/>
      <c r="AL476" s="190"/>
      <c r="AM476" s="190"/>
      <c r="AN476" s="190"/>
      <c r="TU476" s="178"/>
      <c r="TV476" s="178"/>
    </row>
    <row r="477" spans="1:542" x14ac:dyDescent="0.25">
      <c r="A477" s="110" t="s">
        <v>575</v>
      </c>
      <c r="B477" s="158"/>
      <c r="C477" s="159"/>
      <c r="D477" s="155"/>
      <c r="E477" s="190"/>
      <c r="F477" s="190"/>
      <c r="G477" s="190"/>
      <c r="H477" s="190"/>
      <c r="I477" s="190"/>
      <c r="J477" s="190"/>
      <c r="K477" s="190"/>
      <c r="L477" s="190"/>
      <c r="M477" s="190"/>
      <c r="N477" s="190"/>
      <c r="O477" s="190"/>
      <c r="P477" s="190"/>
      <c r="Q477" s="190"/>
      <c r="R477" s="190"/>
      <c r="S477" s="190"/>
      <c r="T477" s="190"/>
      <c r="U477" s="190"/>
      <c r="V477" s="190"/>
      <c r="W477" s="190"/>
      <c r="X477" s="190"/>
      <c r="Y477" s="190"/>
      <c r="Z477" s="190"/>
      <c r="AA477" s="190"/>
      <c r="AB477" s="190"/>
      <c r="AC477" s="190"/>
      <c r="AD477" s="190"/>
      <c r="AE477" s="190"/>
      <c r="AF477" s="190"/>
      <c r="AG477" s="190"/>
      <c r="AH477" s="190"/>
      <c r="AI477" s="190"/>
      <c r="AJ477" s="190"/>
      <c r="AK477" s="190"/>
      <c r="AL477" s="190"/>
      <c r="AM477" s="190"/>
      <c r="AN477" s="190"/>
      <c r="TU477" s="178"/>
      <c r="TV477" s="178"/>
    </row>
    <row r="478" spans="1:542" x14ac:dyDescent="0.25">
      <c r="A478" s="110" t="s">
        <v>576</v>
      </c>
      <c r="B478" s="158"/>
      <c r="C478" s="159"/>
      <c r="D478" s="155"/>
      <c r="E478" s="190"/>
      <c r="F478" s="190"/>
      <c r="G478" s="190"/>
      <c r="H478" s="190"/>
      <c r="I478" s="190"/>
      <c r="J478" s="190"/>
      <c r="K478" s="190"/>
      <c r="L478" s="190"/>
      <c r="M478" s="190"/>
      <c r="N478" s="190"/>
      <c r="O478" s="190"/>
      <c r="P478" s="190"/>
      <c r="Q478" s="190"/>
      <c r="R478" s="190"/>
      <c r="S478" s="190"/>
      <c r="T478" s="190"/>
      <c r="U478" s="190"/>
      <c r="V478" s="190"/>
      <c r="W478" s="190"/>
      <c r="X478" s="190"/>
      <c r="Y478" s="190"/>
      <c r="Z478" s="190"/>
      <c r="AA478" s="190"/>
      <c r="AB478" s="190"/>
      <c r="AC478" s="190"/>
      <c r="AD478" s="190"/>
      <c r="AE478" s="190"/>
      <c r="AF478" s="190"/>
      <c r="AG478" s="190"/>
      <c r="AH478" s="190"/>
      <c r="AI478" s="190"/>
      <c r="AJ478" s="190"/>
      <c r="AK478" s="190"/>
      <c r="AL478" s="190"/>
      <c r="AM478" s="190"/>
      <c r="AN478" s="190"/>
      <c r="TU478" s="178"/>
      <c r="TV478" s="178"/>
    </row>
    <row r="479" spans="1:542" x14ac:dyDescent="0.25">
      <c r="A479" s="110" t="s">
        <v>577</v>
      </c>
      <c r="B479" s="158"/>
      <c r="C479" s="159"/>
      <c r="D479" s="155"/>
      <c r="E479" s="190"/>
      <c r="F479" s="190"/>
      <c r="G479" s="190"/>
      <c r="H479" s="190"/>
      <c r="I479" s="190"/>
      <c r="J479" s="190"/>
      <c r="K479" s="190"/>
      <c r="L479" s="190"/>
      <c r="M479" s="190"/>
      <c r="N479" s="190"/>
      <c r="O479" s="190"/>
      <c r="P479" s="190"/>
      <c r="Q479" s="190"/>
      <c r="R479" s="190"/>
      <c r="S479" s="190"/>
      <c r="T479" s="190"/>
      <c r="U479" s="190"/>
      <c r="V479" s="190"/>
      <c r="W479" s="190"/>
      <c r="X479" s="190"/>
      <c r="Y479" s="190"/>
      <c r="Z479" s="190"/>
      <c r="AA479" s="190"/>
      <c r="AB479" s="190"/>
      <c r="AC479" s="190"/>
      <c r="AD479" s="190"/>
      <c r="AE479" s="190"/>
      <c r="AF479" s="190"/>
      <c r="AG479" s="190"/>
      <c r="AH479" s="190"/>
      <c r="AI479" s="190"/>
      <c r="AJ479" s="190"/>
      <c r="AK479" s="190"/>
      <c r="AL479" s="190"/>
      <c r="AM479" s="190"/>
      <c r="AN479" s="190"/>
      <c r="TU479" s="178"/>
      <c r="TV479" s="178"/>
    </row>
    <row r="480" spans="1:542" x14ac:dyDescent="0.25">
      <c r="A480" s="110" t="s">
        <v>578</v>
      </c>
      <c r="B480" s="158"/>
      <c r="C480" s="159"/>
      <c r="D480" s="155"/>
      <c r="E480" s="190"/>
      <c r="F480" s="190"/>
      <c r="G480" s="190"/>
      <c r="H480" s="190"/>
      <c r="I480" s="190"/>
      <c r="J480" s="190"/>
      <c r="K480" s="190"/>
      <c r="L480" s="190"/>
      <c r="M480" s="190"/>
      <c r="N480" s="190"/>
      <c r="O480" s="190"/>
      <c r="P480" s="190"/>
      <c r="Q480" s="190"/>
      <c r="R480" s="190"/>
      <c r="S480" s="190"/>
      <c r="T480" s="190"/>
      <c r="U480" s="190"/>
      <c r="V480" s="190"/>
      <c r="W480" s="190"/>
      <c r="X480" s="190"/>
      <c r="Y480" s="190"/>
      <c r="Z480" s="190"/>
      <c r="AA480" s="190"/>
      <c r="AB480" s="190"/>
      <c r="AC480" s="190"/>
      <c r="AD480" s="190"/>
      <c r="AE480" s="190"/>
      <c r="AF480" s="190"/>
      <c r="AG480" s="190"/>
      <c r="AH480" s="190"/>
      <c r="AI480" s="190"/>
      <c r="AJ480" s="190"/>
      <c r="AK480" s="190"/>
      <c r="AL480" s="190"/>
      <c r="AM480" s="190"/>
      <c r="AN480" s="190"/>
      <c r="TU480" s="178"/>
      <c r="TV480" s="178"/>
    </row>
    <row r="481" spans="1:542" x14ac:dyDescent="0.25">
      <c r="A481" s="110" t="s">
        <v>579</v>
      </c>
      <c r="B481" s="158"/>
      <c r="C481" s="159"/>
      <c r="D481" s="155"/>
      <c r="E481" s="190"/>
      <c r="F481" s="190"/>
      <c r="G481" s="190"/>
      <c r="H481" s="190"/>
      <c r="I481" s="190"/>
      <c r="J481" s="190"/>
      <c r="K481" s="190"/>
      <c r="L481" s="190"/>
      <c r="M481" s="190"/>
      <c r="N481" s="190"/>
      <c r="O481" s="190"/>
      <c r="P481" s="190"/>
      <c r="Q481" s="190"/>
      <c r="R481" s="190"/>
      <c r="S481" s="190"/>
      <c r="T481" s="190"/>
      <c r="U481" s="190"/>
      <c r="V481" s="190"/>
      <c r="W481" s="190"/>
      <c r="X481" s="190"/>
      <c r="Y481" s="190"/>
      <c r="Z481" s="190"/>
      <c r="AA481" s="190"/>
      <c r="AB481" s="190"/>
      <c r="AC481" s="190"/>
      <c r="AD481" s="190"/>
      <c r="AE481" s="190"/>
      <c r="AF481" s="190"/>
      <c r="AG481" s="190"/>
      <c r="AH481" s="190"/>
      <c r="AI481" s="190"/>
      <c r="AJ481" s="190"/>
      <c r="AK481" s="190"/>
      <c r="AL481" s="190"/>
      <c r="AM481" s="190"/>
      <c r="AN481" s="190"/>
      <c r="TU481" s="178"/>
      <c r="TV481" s="178"/>
    </row>
    <row r="482" spans="1:542" x14ac:dyDescent="0.25">
      <c r="A482" s="110" t="s">
        <v>580</v>
      </c>
      <c r="B482" s="158"/>
      <c r="C482" s="159"/>
      <c r="D482" s="155"/>
      <c r="E482" s="190"/>
      <c r="F482" s="190"/>
      <c r="G482" s="190"/>
      <c r="H482" s="190"/>
      <c r="I482" s="190"/>
      <c r="J482" s="190"/>
      <c r="K482" s="190"/>
      <c r="L482" s="190"/>
      <c r="M482" s="190"/>
      <c r="N482" s="190"/>
      <c r="O482" s="190"/>
      <c r="P482" s="190"/>
      <c r="Q482" s="190"/>
      <c r="R482" s="190"/>
      <c r="S482" s="190"/>
      <c r="T482" s="190"/>
      <c r="U482" s="190"/>
      <c r="V482" s="190"/>
      <c r="W482" s="190"/>
      <c r="X482" s="190"/>
      <c r="Y482" s="190"/>
      <c r="Z482" s="190"/>
      <c r="AA482" s="190"/>
      <c r="AB482" s="190"/>
      <c r="AC482" s="190"/>
      <c r="AD482" s="190"/>
      <c r="AE482" s="190"/>
      <c r="AF482" s="190"/>
      <c r="AG482" s="190"/>
      <c r="AH482" s="190"/>
      <c r="AI482" s="190"/>
      <c r="AJ482" s="190"/>
      <c r="AK482" s="190"/>
      <c r="AL482" s="190"/>
      <c r="AM482" s="190"/>
      <c r="AN482" s="190"/>
      <c r="TU482" s="178"/>
      <c r="TV482" s="178"/>
    </row>
    <row r="483" spans="1:542" x14ac:dyDescent="0.25">
      <c r="A483" s="110" t="s">
        <v>581</v>
      </c>
      <c r="B483" s="158"/>
      <c r="C483" s="159"/>
      <c r="D483" s="155"/>
      <c r="E483" s="190"/>
      <c r="F483" s="190"/>
      <c r="G483" s="190"/>
      <c r="H483" s="190"/>
      <c r="I483" s="190"/>
      <c r="J483" s="190"/>
      <c r="K483" s="190"/>
      <c r="L483" s="190"/>
      <c r="M483" s="190"/>
      <c r="N483" s="190"/>
      <c r="O483" s="190"/>
      <c r="P483" s="190"/>
      <c r="Q483" s="190"/>
      <c r="R483" s="190"/>
      <c r="S483" s="190"/>
      <c r="T483" s="190"/>
      <c r="U483" s="190"/>
      <c r="V483" s="190"/>
      <c r="W483" s="190"/>
      <c r="X483" s="190"/>
      <c r="Y483" s="190"/>
      <c r="Z483" s="190"/>
      <c r="AA483" s="190"/>
      <c r="AB483" s="190"/>
      <c r="AC483" s="190"/>
      <c r="AD483" s="190"/>
      <c r="AE483" s="190"/>
      <c r="AF483" s="190"/>
      <c r="AG483" s="190"/>
      <c r="AH483" s="190"/>
      <c r="AI483" s="190"/>
      <c r="AJ483" s="190"/>
      <c r="AK483" s="190"/>
      <c r="AL483" s="190"/>
      <c r="AM483" s="190"/>
      <c r="AN483" s="190"/>
      <c r="TU483" s="178"/>
      <c r="TV483" s="178"/>
    </row>
    <row r="484" spans="1:542" x14ac:dyDescent="0.25">
      <c r="A484" s="110" t="s">
        <v>582</v>
      </c>
      <c r="B484" s="158"/>
      <c r="C484" s="159"/>
      <c r="D484" s="155"/>
      <c r="E484" s="190"/>
      <c r="F484" s="190"/>
      <c r="G484" s="190"/>
      <c r="H484" s="190"/>
      <c r="I484" s="190"/>
      <c r="J484" s="190"/>
      <c r="K484" s="190"/>
      <c r="L484" s="190"/>
      <c r="M484" s="190"/>
      <c r="N484" s="190"/>
      <c r="O484" s="190"/>
      <c r="P484" s="190"/>
      <c r="Q484" s="190"/>
      <c r="R484" s="190"/>
      <c r="S484" s="190"/>
      <c r="T484" s="190"/>
      <c r="U484" s="190"/>
      <c r="V484" s="190"/>
      <c r="W484" s="190"/>
      <c r="X484" s="190"/>
      <c r="Y484" s="190"/>
      <c r="Z484" s="190"/>
      <c r="AA484" s="190"/>
      <c r="AB484" s="190"/>
      <c r="AC484" s="190"/>
      <c r="AD484" s="190"/>
      <c r="AE484" s="190"/>
      <c r="AF484" s="190"/>
      <c r="AG484" s="190"/>
      <c r="AH484" s="190"/>
      <c r="AI484" s="190"/>
      <c r="AJ484" s="190"/>
      <c r="AK484" s="190"/>
      <c r="AL484" s="190"/>
      <c r="AM484" s="190"/>
      <c r="AN484" s="190"/>
      <c r="TU484" s="178"/>
      <c r="TV484" s="178"/>
    </row>
    <row r="485" spans="1:542" x14ac:dyDescent="0.25">
      <c r="A485" s="110" t="s">
        <v>583</v>
      </c>
      <c r="B485" s="158"/>
      <c r="C485" s="159"/>
      <c r="D485" s="155"/>
      <c r="E485" s="190"/>
      <c r="F485" s="190"/>
      <c r="G485" s="190"/>
      <c r="H485" s="190"/>
      <c r="I485" s="190"/>
      <c r="J485" s="190"/>
      <c r="K485" s="190"/>
      <c r="L485" s="190"/>
      <c r="M485" s="190"/>
      <c r="N485" s="190"/>
      <c r="O485" s="190"/>
      <c r="P485" s="190"/>
      <c r="Q485" s="190"/>
      <c r="R485" s="190"/>
      <c r="S485" s="190"/>
      <c r="T485" s="190"/>
      <c r="U485" s="190"/>
      <c r="V485" s="190"/>
      <c r="W485" s="190"/>
      <c r="X485" s="190"/>
      <c r="Y485" s="190"/>
      <c r="Z485" s="190"/>
      <c r="AA485" s="190"/>
      <c r="AB485" s="190"/>
      <c r="AC485" s="190"/>
      <c r="AD485" s="190"/>
      <c r="AE485" s="190"/>
      <c r="AF485" s="190"/>
      <c r="AG485" s="190"/>
      <c r="AH485" s="190"/>
      <c r="AI485" s="190"/>
      <c r="AJ485" s="190"/>
      <c r="AK485" s="190"/>
      <c r="AL485" s="190"/>
      <c r="AM485" s="190"/>
      <c r="AN485" s="190"/>
      <c r="TU485" s="178"/>
      <c r="TV485" s="178"/>
    </row>
    <row r="486" spans="1:542" x14ac:dyDescent="0.25">
      <c r="A486" s="110" t="s">
        <v>584</v>
      </c>
      <c r="B486" s="158"/>
      <c r="C486" s="159"/>
      <c r="D486" s="155"/>
      <c r="E486" s="190"/>
      <c r="F486" s="190"/>
      <c r="G486" s="190"/>
      <c r="H486" s="190"/>
      <c r="I486" s="190"/>
      <c r="J486" s="190"/>
      <c r="K486" s="190"/>
      <c r="L486" s="190"/>
      <c r="M486" s="190"/>
      <c r="N486" s="190"/>
      <c r="O486" s="190"/>
      <c r="P486" s="190"/>
      <c r="Q486" s="190"/>
      <c r="R486" s="190"/>
      <c r="S486" s="190"/>
      <c r="T486" s="190"/>
      <c r="U486" s="190"/>
      <c r="V486" s="190"/>
      <c r="W486" s="190"/>
      <c r="X486" s="190"/>
      <c r="Y486" s="190"/>
      <c r="Z486" s="190"/>
      <c r="AA486" s="190"/>
      <c r="AB486" s="190"/>
      <c r="AC486" s="190"/>
      <c r="AD486" s="190"/>
      <c r="AE486" s="190"/>
      <c r="AF486" s="190"/>
      <c r="AG486" s="190"/>
      <c r="AH486" s="190"/>
      <c r="AI486" s="190"/>
      <c r="AJ486" s="190"/>
      <c r="AK486" s="190"/>
      <c r="AL486" s="190"/>
      <c r="AM486" s="190"/>
      <c r="AN486" s="190"/>
      <c r="TU486" s="178"/>
      <c r="TV486" s="178"/>
    </row>
    <row r="487" spans="1:542" x14ac:dyDescent="0.25">
      <c r="A487" s="110" t="s">
        <v>585</v>
      </c>
      <c r="B487" s="158"/>
      <c r="C487" s="159"/>
      <c r="D487" s="155"/>
      <c r="E487" s="190"/>
      <c r="F487" s="190"/>
      <c r="G487" s="190"/>
      <c r="H487" s="190"/>
      <c r="I487" s="190"/>
      <c r="J487" s="190"/>
      <c r="K487" s="190"/>
      <c r="L487" s="190"/>
      <c r="M487" s="190"/>
      <c r="N487" s="190"/>
      <c r="O487" s="190"/>
      <c r="P487" s="190"/>
      <c r="Q487" s="190"/>
      <c r="R487" s="190"/>
      <c r="S487" s="190"/>
      <c r="T487" s="190"/>
      <c r="U487" s="190"/>
      <c r="V487" s="190"/>
      <c r="W487" s="190"/>
      <c r="X487" s="190"/>
      <c r="Y487" s="190"/>
      <c r="Z487" s="190"/>
      <c r="AA487" s="190"/>
      <c r="AB487" s="190"/>
      <c r="AC487" s="190"/>
      <c r="AD487" s="190"/>
      <c r="AE487" s="190"/>
      <c r="AF487" s="190"/>
      <c r="AG487" s="190"/>
      <c r="AH487" s="190"/>
      <c r="AI487" s="190"/>
      <c r="AJ487" s="190"/>
      <c r="AK487" s="190"/>
      <c r="AL487" s="190"/>
      <c r="AM487" s="190"/>
      <c r="AN487" s="190"/>
      <c r="TU487" s="178"/>
      <c r="TV487" s="178"/>
    </row>
    <row r="488" spans="1:542" x14ac:dyDescent="0.25">
      <c r="A488" s="110" t="s">
        <v>586</v>
      </c>
      <c r="B488" s="158"/>
      <c r="C488" s="159"/>
      <c r="D488" s="155"/>
      <c r="E488" s="190"/>
      <c r="F488" s="190"/>
      <c r="G488" s="190"/>
      <c r="H488" s="190"/>
      <c r="I488" s="190"/>
      <c r="J488" s="190"/>
      <c r="K488" s="190"/>
      <c r="L488" s="190"/>
      <c r="M488" s="190"/>
      <c r="N488" s="190"/>
      <c r="O488" s="190"/>
      <c r="P488" s="190"/>
      <c r="Q488" s="190"/>
      <c r="R488" s="190"/>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TU488" s="178"/>
      <c r="TV488" s="178"/>
    </row>
    <row r="489" spans="1:542" x14ac:dyDescent="0.25">
      <c r="A489" s="110" t="s">
        <v>587</v>
      </c>
      <c r="B489" s="158"/>
      <c r="C489" s="159"/>
      <c r="D489" s="155"/>
      <c r="E489" s="190"/>
      <c r="F489" s="190"/>
      <c r="G489" s="190"/>
      <c r="H489" s="190"/>
      <c r="I489" s="190"/>
      <c r="J489" s="190"/>
      <c r="K489" s="190"/>
      <c r="L489" s="190"/>
      <c r="M489" s="190"/>
      <c r="N489" s="190"/>
      <c r="O489" s="190"/>
      <c r="P489" s="190"/>
      <c r="Q489" s="190"/>
      <c r="R489" s="190"/>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TU489" s="178"/>
      <c r="TV489" s="178"/>
    </row>
    <row r="490" spans="1:542" x14ac:dyDescent="0.25">
      <c r="A490" s="110" t="s">
        <v>588</v>
      </c>
      <c r="B490" s="158"/>
      <c r="C490" s="159"/>
      <c r="D490" s="155"/>
      <c r="E490" s="190"/>
      <c r="F490" s="190"/>
      <c r="G490" s="190"/>
      <c r="H490" s="190"/>
      <c r="I490" s="190"/>
      <c r="J490" s="190"/>
      <c r="K490" s="190"/>
      <c r="L490" s="190"/>
      <c r="M490" s="190"/>
      <c r="N490" s="190"/>
      <c r="O490" s="190"/>
      <c r="P490" s="190"/>
      <c r="Q490" s="190"/>
      <c r="R490" s="190"/>
      <c r="S490" s="190"/>
      <c r="T490" s="190"/>
      <c r="U490" s="190"/>
      <c r="V490" s="190"/>
      <c r="W490" s="190"/>
      <c r="X490" s="190"/>
      <c r="Y490" s="190"/>
      <c r="Z490" s="190"/>
      <c r="AA490" s="190"/>
      <c r="AB490" s="190"/>
      <c r="AC490" s="190"/>
      <c r="AD490" s="190"/>
      <c r="AE490" s="190"/>
      <c r="AF490" s="190"/>
      <c r="AG490" s="190"/>
      <c r="AH490" s="190"/>
      <c r="AI490" s="190"/>
      <c r="AJ490" s="190"/>
      <c r="AK490" s="190"/>
      <c r="AL490" s="190"/>
      <c r="AM490" s="190"/>
      <c r="AN490" s="190"/>
      <c r="TU490" s="178"/>
      <c r="TV490" s="178"/>
    </row>
    <row r="491" spans="1:542" x14ac:dyDescent="0.25">
      <c r="A491" s="110" t="s">
        <v>589</v>
      </c>
      <c r="B491" s="158"/>
      <c r="C491" s="159"/>
      <c r="D491" s="155"/>
      <c r="E491" s="190"/>
      <c r="F491" s="190"/>
      <c r="G491" s="190"/>
      <c r="H491" s="190"/>
      <c r="I491" s="190"/>
      <c r="J491" s="190"/>
      <c r="K491" s="190"/>
      <c r="L491" s="190"/>
      <c r="M491" s="190"/>
      <c r="N491" s="190"/>
      <c r="O491" s="190"/>
      <c r="P491" s="190"/>
      <c r="Q491" s="190"/>
      <c r="R491" s="190"/>
      <c r="S491" s="190"/>
      <c r="T491" s="190"/>
      <c r="U491" s="190"/>
      <c r="V491" s="190"/>
      <c r="W491" s="190"/>
      <c r="X491" s="190"/>
      <c r="Y491" s="190"/>
      <c r="Z491" s="190"/>
      <c r="AA491" s="190"/>
      <c r="AB491" s="190"/>
      <c r="AC491" s="190"/>
      <c r="AD491" s="190"/>
      <c r="AE491" s="190"/>
      <c r="AF491" s="190"/>
      <c r="AG491" s="190"/>
      <c r="AH491" s="190"/>
      <c r="AI491" s="190"/>
      <c r="AJ491" s="190"/>
      <c r="AK491" s="190"/>
      <c r="AL491" s="190"/>
      <c r="AM491" s="190"/>
      <c r="AN491" s="190"/>
      <c r="TU491" s="178"/>
      <c r="TV491" s="178"/>
    </row>
    <row r="492" spans="1:542" x14ac:dyDescent="0.25">
      <c r="A492" s="110" t="s">
        <v>590</v>
      </c>
      <c r="B492" s="158"/>
      <c r="C492" s="159"/>
      <c r="D492" s="155"/>
      <c r="E492" s="190"/>
      <c r="F492" s="190"/>
      <c r="G492" s="190"/>
      <c r="H492" s="190"/>
      <c r="I492" s="190"/>
      <c r="J492" s="190"/>
      <c r="K492" s="190"/>
      <c r="L492" s="190"/>
      <c r="M492" s="190"/>
      <c r="N492" s="190"/>
      <c r="O492" s="190"/>
      <c r="P492" s="190"/>
      <c r="Q492" s="190"/>
      <c r="R492" s="190"/>
      <c r="S492" s="190"/>
      <c r="T492" s="190"/>
      <c r="U492" s="190"/>
      <c r="V492" s="190"/>
      <c r="W492" s="190"/>
      <c r="X492" s="190"/>
      <c r="Y492" s="190"/>
      <c r="Z492" s="190"/>
      <c r="AA492" s="190"/>
      <c r="AB492" s="190"/>
      <c r="AC492" s="190"/>
      <c r="AD492" s="190"/>
      <c r="AE492" s="190"/>
      <c r="AF492" s="190"/>
      <c r="AG492" s="190"/>
      <c r="AH492" s="190"/>
      <c r="AI492" s="190"/>
      <c r="AJ492" s="190"/>
      <c r="AK492" s="190"/>
      <c r="AL492" s="190"/>
      <c r="AM492" s="190"/>
      <c r="AN492" s="190"/>
      <c r="TU492" s="178"/>
      <c r="TV492" s="178"/>
    </row>
    <row r="493" spans="1:542" x14ac:dyDescent="0.25">
      <c r="A493" s="110" t="s">
        <v>591</v>
      </c>
      <c r="B493" s="158"/>
      <c r="C493" s="159"/>
      <c r="D493" s="155"/>
      <c r="E493" s="190"/>
      <c r="F493" s="190"/>
      <c r="G493" s="190"/>
      <c r="H493" s="190"/>
      <c r="I493" s="190"/>
      <c r="J493" s="190"/>
      <c r="K493" s="190"/>
      <c r="L493" s="190"/>
      <c r="M493" s="190"/>
      <c r="N493" s="190"/>
      <c r="O493" s="190"/>
      <c r="P493" s="190"/>
      <c r="Q493" s="190"/>
      <c r="R493" s="190"/>
      <c r="S493" s="190"/>
      <c r="T493" s="190"/>
      <c r="U493" s="190"/>
      <c r="V493" s="190"/>
      <c r="W493" s="190"/>
      <c r="X493" s="190"/>
      <c r="Y493" s="190"/>
      <c r="Z493" s="190"/>
      <c r="AA493" s="190"/>
      <c r="AB493" s="190"/>
      <c r="AC493" s="190"/>
      <c r="AD493" s="190"/>
      <c r="AE493" s="190"/>
      <c r="AF493" s="190"/>
      <c r="AG493" s="190"/>
      <c r="AH493" s="190"/>
      <c r="AI493" s="190"/>
      <c r="AJ493" s="190"/>
      <c r="AK493" s="190"/>
      <c r="AL493" s="190"/>
      <c r="AM493" s="190"/>
      <c r="AN493" s="190"/>
      <c r="TU493" s="178"/>
      <c r="TV493" s="178"/>
    </row>
    <row r="494" spans="1:542" x14ac:dyDescent="0.25">
      <c r="A494" s="110" t="s">
        <v>592</v>
      </c>
      <c r="B494" s="158"/>
      <c r="C494" s="159"/>
      <c r="D494" s="155"/>
      <c r="E494" s="190"/>
      <c r="F494" s="190"/>
      <c r="G494" s="190"/>
      <c r="H494" s="190"/>
      <c r="I494" s="190"/>
      <c r="J494" s="190"/>
      <c r="K494" s="190"/>
      <c r="L494" s="190"/>
      <c r="M494" s="190"/>
      <c r="N494" s="190"/>
      <c r="O494" s="190"/>
      <c r="P494" s="190"/>
      <c r="Q494" s="190"/>
      <c r="R494" s="190"/>
      <c r="S494" s="190"/>
      <c r="T494" s="190"/>
      <c r="U494" s="190"/>
      <c r="V494" s="190"/>
      <c r="W494" s="190"/>
      <c r="X494" s="190"/>
      <c r="Y494" s="190"/>
      <c r="Z494" s="190"/>
      <c r="AA494" s="190"/>
      <c r="AB494" s="190"/>
      <c r="AC494" s="190"/>
      <c r="AD494" s="190"/>
      <c r="AE494" s="190"/>
      <c r="AF494" s="190"/>
      <c r="AG494" s="190"/>
      <c r="AH494" s="190"/>
      <c r="AI494" s="190"/>
      <c r="AJ494" s="190"/>
      <c r="AK494" s="190"/>
      <c r="AL494" s="190"/>
      <c r="AM494" s="190"/>
      <c r="AN494" s="190"/>
      <c r="TU494" s="178"/>
      <c r="TV494" s="178"/>
    </row>
    <row r="495" spans="1:542" x14ac:dyDescent="0.25">
      <c r="A495" s="110" t="s">
        <v>593</v>
      </c>
      <c r="B495" s="158"/>
      <c r="C495" s="159"/>
      <c r="D495" s="155"/>
      <c r="E495" s="190"/>
      <c r="F495" s="190"/>
      <c r="G495" s="190"/>
      <c r="H495" s="190"/>
      <c r="I495" s="190"/>
      <c r="J495" s="190"/>
      <c r="K495" s="190"/>
      <c r="L495" s="190"/>
      <c r="M495" s="190"/>
      <c r="N495" s="190"/>
      <c r="O495" s="190"/>
      <c r="P495" s="190"/>
      <c r="Q495" s="190"/>
      <c r="R495" s="190"/>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TU495" s="178"/>
      <c r="TV495" s="178"/>
    </row>
    <row r="496" spans="1:542" x14ac:dyDescent="0.25">
      <c r="A496" s="110" t="s">
        <v>594</v>
      </c>
      <c r="B496" s="158"/>
      <c r="C496" s="159"/>
      <c r="D496" s="155"/>
      <c r="E496" s="190"/>
      <c r="F496" s="190"/>
      <c r="G496" s="190"/>
      <c r="H496" s="190"/>
      <c r="I496" s="190"/>
      <c r="J496" s="190"/>
      <c r="K496" s="190"/>
      <c r="L496" s="190"/>
      <c r="M496" s="190"/>
      <c r="N496" s="190"/>
      <c r="O496" s="190"/>
      <c r="P496" s="190"/>
      <c r="Q496" s="190"/>
      <c r="R496" s="190"/>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TU496" s="178"/>
      <c r="TV496" s="178"/>
    </row>
    <row r="497" spans="1:542" x14ac:dyDescent="0.25">
      <c r="A497" s="110" t="s">
        <v>595</v>
      </c>
      <c r="B497" s="158"/>
      <c r="C497" s="159"/>
      <c r="D497" s="155"/>
      <c r="E497" s="190"/>
      <c r="F497" s="190"/>
      <c r="G497" s="190"/>
      <c r="H497" s="190"/>
      <c r="I497" s="190"/>
      <c r="J497" s="190"/>
      <c r="K497" s="190"/>
      <c r="L497" s="190"/>
      <c r="M497" s="190"/>
      <c r="N497" s="190"/>
      <c r="O497" s="190"/>
      <c r="P497" s="190"/>
      <c r="Q497" s="190"/>
      <c r="R497" s="190"/>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TU497" s="178"/>
      <c r="TV497" s="178"/>
    </row>
    <row r="498" spans="1:542" x14ac:dyDescent="0.25">
      <c r="A498" s="110" t="s">
        <v>596</v>
      </c>
      <c r="B498" s="158"/>
      <c r="C498" s="159"/>
      <c r="D498" s="155"/>
      <c r="E498" s="190"/>
      <c r="F498" s="190"/>
      <c r="G498" s="190"/>
      <c r="H498" s="190"/>
      <c r="I498" s="190"/>
      <c r="J498" s="190"/>
      <c r="K498" s="190"/>
      <c r="L498" s="190"/>
      <c r="M498" s="190"/>
      <c r="N498" s="190"/>
      <c r="O498" s="190"/>
      <c r="P498" s="190"/>
      <c r="Q498" s="190"/>
      <c r="R498" s="190"/>
      <c r="S498" s="190"/>
      <c r="T498" s="190"/>
      <c r="U498" s="190"/>
      <c r="V498" s="190"/>
      <c r="W498" s="190"/>
      <c r="X498" s="190"/>
      <c r="Y498" s="190"/>
      <c r="Z498" s="190"/>
      <c r="AA498" s="190"/>
      <c r="AB498" s="190"/>
      <c r="AC498" s="190"/>
      <c r="AD498" s="190"/>
      <c r="AE498" s="190"/>
      <c r="AF498" s="190"/>
      <c r="AG498" s="190"/>
      <c r="AH498" s="190"/>
      <c r="AI498" s="190"/>
      <c r="AJ498" s="190"/>
      <c r="AK498" s="190"/>
      <c r="AL498" s="190"/>
      <c r="AM498" s="190"/>
      <c r="AN498" s="190"/>
      <c r="TU498" s="178"/>
      <c r="TV498" s="178"/>
    </row>
    <row r="499" spans="1:542" x14ac:dyDescent="0.25">
      <c r="A499" s="110" t="s">
        <v>597</v>
      </c>
      <c r="B499" s="158"/>
      <c r="C499" s="159"/>
      <c r="D499" s="155"/>
      <c r="E499" s="190"/>
      <c r="F499" s="190"/>
      <c r="G499" s="190"/>
      <c r="H499" s="190"/>
      <c r="I499" s="190"/>
      <c r="J499" s="190"/>
      <c r="K499" s="190"/>
      <c r="L499" s="190"/>
      <c r="M499" s="190"/>
      <c r="N499" s="190"/>
      <c r="O499" s="190"/>
      <c r="P499" s="190"/>
      <c r="Q499" s="190"/>
      <c r="R499" s="190"/>
      <c r="S499" s="190"/>
      <c r="T499" s="190"/>
      <c r="U499" s="190"/>
      <c r="V499" s="190"/>
      <c r="W499" s="190"/>
      <c r="X499" s="190"/>
      <c r="Y499" s="190"/>
      <c r="Z499" s="190"/>
      <c r="AA499" s="190"/>
      <c r="AB499" s="190"/>
      <c r="AC499" s="190"/>
      <c r="AD499" s="190"/>
      <c r="AE499" s="190"/>
      <c r="AF499" s="190"/>
      <c r="AG499" s="190"/>
      <c r="AH499" s="190"/>
      <c r="AI499" s="190"/>
      <c r="AJ499" s="190"/>
      <c r="AK499" s="190"/>
      <c r="AL499" s="190"/>
      <c r="AM499" s="190"/>
      <c r="AN499" s="190"/>
      <c r="TU499" s="178"/>
      <c r="TV499" s="178"/>
    </row>
    <row r="500" spans="1:542" x14ac:dyDescent="0.25">
      <c r="A500" s="110" t="s">
        <v>598</v>
      </c>
      <c r="B500" s="158"/>
      <c r="C500" s="159"/>
      <c r="D500" s="155"/>
      <c r="E500" s="190"/>
      <c r="F500" s="190"/>
      <c r="G500" s="190"/>
      <c r="H500" s="190"/>
      <c r="I500" s="190"/>
      <c r="J500" s="190"/>
      <c r="K500" s="190"/>
      <c r="L500" s="190"/>
      <c r="M500" s="190"/>
      <c r="N500" s="190"/>
      <c r="O500" s="190"/>
      <c r="P500" s="190"/>
      <c r="Q500" s="190"/>
      <c r="R500" s="190"/>
      <c r="S500" s="190"/>
      <c r="T500" s="190"/>
      <c r="U500" s="190"/>
      <c r="V500" s="190"/>
      <c r="W500" s="190"/>
      <c r="X500" s="190"/>
      <c r="Y500" s="190"/>
      <c r="Z500" s="190"/>
      <c r="AA500" s="190"/>
      <c r="AB500" s="190"/>
      <c r="AC500" s="190"/>
      <c r="AD500" s="190"/>
      <c r="AE500" s="190"/>
      <c r="AF500" s="190"/>
      <c r="AG500" s="190"/>
      <c r="AH500" s="190"/>
      <c r="AI500" s="190"/>
      <c r="AJ500" s="190"/>
      <c r="AK500" s="190"/>
      <c r="AL500" s="190"/>
      <c r="AM500" s="190"/>
      <c r="AN500" s="190"/>
      <c r="TU500" s="178"/>
      <c r="TV500" s="178"/>
    </row>
    <row r="501" spans="1:542" ht="15.75" thickBot="1" x14ac:dyDescent="0.3">
      <c r="A501" s="110" t="s">
        <v>599</v>
      </c>
      <c r="B501" s="166"/>
      <c r="C501" s="167"/>
      <c r="D501" s="168"/>
      <c r="E501" s="190"/>
      <c r="F501" s="190"/>
      <c r="G501" s="190"/>
      <c r="H501" s="190"/>
      <c r="I501" s="190"/>
      <c r="J501" s="190"/>
      <c r="K501" s="190"/>
      <c r="L501" s="190"/>
      <c r="M501" s="190"/>
      <c r="N501" s="190"/>
      <c r="O501" s="190"/>
      <c r="P501" s="190"/>
      <c r="Q501" s="190"/>
      <c r="R501" s="190"/>
      <c r="S501" s="190"/>
      <c r="T501" s="190"/>
      <c r="U501" s="190"/>
      <c r="V501" s="190"/>
      <c r="W501" s="190"/>
      <c r="X501" s="190"/>
      <c r="Y501" s="190"/>
      <c r="Z501" s="190"/>
      <c r="AA501" s="190"/>
      <c r="AB501" s="190"/>
      <c r="AC501" s="190"/>
      <c r="AD501" s="190"/>
      <c r="AE501" s="190"/>
      <c r="AF501" s="190"/>
      <c r="AG501" s="190"/>
      <c r="AH501" s="190"/>
      <c r="AI501" s="190"/>
      <c r="AJ501" s="190"/>
      <c r="AK501" s="190"/>
      <c r="AL501" s="190"/>
      <c r="AM501" s="190"/>
      <c r="AN501" s="190"/>
      <c r="TU501" s="178"/>
      <c r="TV501" s="178"/>
    </row>
    <row r="502" spans="1:542" x14ac:dyDescent="0.25">
      <c r="A502" s="128"/>
      <c r="B502" s="129"/>
      <c r="C502" s="130"/>
      <c r="D502" s="130"/>
    </row>
    <row r="503" spans="1:542" x14ac:dyDescent="0.25">
      <c r="A503" s="128"/>
      <c r="B503" s="129"/>
      <c r="C503" s="130"/>
      <c r="D503" s="130"/>
    </row>
    <row r="504" spans="1:542" x14ac:dyDescent="0.25">
      <c r="A504" s="128"/>
      <c r="B504" s="129"/>
      <c r="C504" s="130"/>
      <c r="D504" s="130"/>
    </row>
    <row r="505" spans="1:542" x14ac:dyDescent="0.25">
      <c r="A505" s="128"/>
      <c r="B505" s="129"/>
      <c r="C505" s="130"/>
      <c r="D505" s="130"/>
    </row>
    <row r="506" spans="1:542" x14ac:dyDescent="0.25">
      <c r="A506" s="128"/>
      <c r="B506" s="129"/>
      <c r="C506" s="130"/>
      <c r="D506" s="130"/>
    </row>
    <row r="507" spans="1:542" x14ac:dyDescent="0.25">
      <c r="A507" s="128"/>
      <c r="B507" s="129"/>
      <c r="C507" s="130"/>
      <c r="D507" s="130"/>
    </row>
    <row r="508" spans="1:542" x14ac:dyDescent="0.25">
      <c r="A508" s="128"/>
      <c r="B508" s="129"/>
      <c r="C508" s="130"/>
      <c r="D508" s="130"/>
    </row>
    <row r="509" spans="1:542" x14ac:dyDescent="0.25">
      <c r="A509" s="128"/>
      <c r="B509" s="129"/>
      <c r="C509" s="130"/>
      <c r="D509" s="130"/>
    </row>
    <row r="510" spans="1:542" x14ac:dyDescent="0.25">
      <c r="A510" s="128"/>
      <c r="B510" s="129"/>
      <c r="C510" s="130"/>
      <c r="D510" s="130"/>
    </row>
    <row r="511" spans="1:542" x14ac:dyDescent="0.25">
      <c r="A511" s="128"/>
      <c r="B511" s="129"/>
      <c r="C511" s="130"/>
      <c r="D511" s="130"/>
    </row>
    <row r="512" spans="1:542" x14ac:dyDescent="0.25">
      <c r="A512" s="128"/>
      <c r="B512" s="129"/>
      <c r="C512" s="130"/>
      <c r="D512" s="130"/>
    </row>
    <row r="513" spans="1:4" x14ac:dyDescent="0.25">
      <c r="A513" s="128"/>
      <c r="B513" s="129"/>
      <c r="C513" s="130"/>
      <c r="D513" s="130"/>
    </row>
    <row r="514" spans="1:4" x14ac:dyDescent="0.25">
      <c r="A514" s="128"/>
      <c r="B514" s="129"/>
      <c r="C514" s="130"/>
      <c r="D514" s="130"/>
    </row>
    <row r="515" spans="1:4" x14ac:dyDescent="0.25">
      <c r="A515" s="128"/>
      <c r="B515" s="129"/>
      <c r="C515" s="130"/>
      <c r="D515" s="130"/>
    </row>
    <row r="516" spans="1:4" x14ac:dyDescent="0.25">
      <c r="A516" s="128"/>
      <c r="B516" s="129"/>
      <c r="C516" s="130"/>
      <c r="D516" s="130"/>
    </row>
    <row r="517" spans="1:4" x14ac:dyDescent="0.25">
      <c r="A517" s="128"/>
      <c r="B517" s="129"/>
      <c r="C517" s="130"/>
      <c r="D517" s="130"/>
    </row>
    <row r="518" spans="1:4" x14ac:dyDescent="0.25">
      <c r="A518" s="128"/>
      <c r="B518" s="129"/>
      <c r="C518" s="130"/>
      <c r="D518" s="130"/>
    </row>
    <row r="519" spans="1:4" x14ac:dyDescent="0.25">
      <c r="A519" s="128"/>
      <c r="B519" s="129"/>
      <c r="C519" s="130"/>
      <c r="D519" s="130"/>
    </row>
    <row r="520" spans="1:4" x14ac:dyDescent="0.25">
      <c r="A520" s="128"/>
      <c r="B520" s="129"/>
      <c r="C520" s="130"/>
      <c r="D520" s="130"/>
    </row>
    <row r="521" spans="1:4" x14ac:dyDescent="0.25">
      <c r="A521" s="128"/>
      <c r="B521" s="129"/>
      <c r="C521" s="130"/>
      <c r="D521" s="130"/>
    </row>
    <row r="522" spans="1:4" x14ac:dyDescent="0.25">
      <c r="A522" s="128"/>
      <c r="B522" s="129"/>
      <c r="C522" s="130"/>
      <c r="D522" s="130"/>
    </row>
    <row r="523" spans="1:4" x14ac:dyDescent="0.25">
      <c r="A523" s="128"/>
      <c r="B523" s="129"/>
      <c r="C523" s="130"/>
      <c r="D523" s="130"/>
    </row>
    <row r="524" spans="1:4" x14ac:dyDescent="0.25">
      <c r="A524" s="128"/>
      <c r="B524" s="129"/>
      <c r="C524" s="130"/>
      <c r="D524" s="130"/>
    </row>
    <row r="525" spans="1:4" x14ac:dyDescent="0.25">
      <c r="A525" s="128"/>
      <c r="B525" s="129"/>
      <c r="C525" s="130"/>
      <c r="D525" s="130"/>
    </row>
    <row r="526" spans="1:4" x14ac:dyDescent="0.25">
      <c r="A526" s="128"/>
      <c r="B526" s="129"/>
      <c r="C526" s="130"/>
      <c r="D526" s="130"/>
    </row>
    <row r="527" spans="1:4" x14ac:dyDescent="0.25">
      <c r="A527" s="128"/>
      <c r="B527" s="129"/>
      <c r="C527" s="130"/>
      <c r="D527" s="130"/>
    </row>
    <row r="528" spans="1:4" x14ac:dyDescent="0.25">
      <c r="A528" s="128"/>
      <c r="B528" s="129"/>
      <c r="C528" s="130"/>
      <c r="D528" s="130"/>
    </row>
    <row r="529" spans="1:4" x14ac:dyDescent="0.25">
      <c r="A529" s="128"/>
      <c r="B529" s="129"/>
      <c r="C529" s="130"/>
      <c r="D529" s="130"/>
    </row>
    <row r="530" spans="1:4" x14ac:dyDescent="0.25">
      <c r="A530" s="128"/>
      <c r="B530" s="129"/>
      <c r="C530" s="130"/>
      <c r="D530" s="130"/>
    </row>
    <row r="531" spans="1:4" x14ac:dyDescent="0.25">
      <c r="A531" s="128"/>
      <c r="B531" s="129"/>
      <c r="C531" s="130"/>
      <c r="D531" s="130"/>
    </row>
    <row r="532" spans="1:4" x14ac:dyDescent="0.25">
      <c r="A532" s="128"/>
      <c r="B532" s="129"/>
      <c r="C532" s="130"/>
      <c r="D532" s="130"/>
    </row>
    <row r="533" spans="1:4" x14ac:dyDescent="0.25">
      <c r="A533" s="128"/>
      <c r="B533" s="129"/>
      <c r="C533" s="130"/>
      <c r="D533" s="130"/>
    </row>
    <row r="534" spans="1:4" x14ac:dyDescent="0.25">
      <c r="A534" s="128"/>
      <c r="B534" s="129"/>
      <c r="C534" s="130"/>
      <c r="D534" s="130"/>
    </row>
    <row r="535" spans="1:4" x14ac:dyDescent="0.25">
      <c r="A535" s="128"/>
      <c r="B535" s="129"/>
      <c r="C535" s="130"/>
      <c r="D535" s="130"/>
    </row>
    <row r="536" spans="1:4" x14ac:dyDescent="0.25">
      <c r="A536" s="128"/>
      <c r="B536" s="129"/>
      <c r="C536" s="130"/>
      <c r="D536" s="130"/>
    </row>
    <row r="537" spans="1:4" x14ac:dyDescent="0.25">
      <c r="A537" s="128"/>
      <c r="B537" s="129"/>
      <c r="C537" s="130"/>
      <c r="D537" s="130"/>
    </row>
    <row r="538" spans="1:4" x14ac:dyDescent="0.25">
      <c r="A538" s="128"/>
      <c r="B538" s="129"/>
      <c r="C538" s="130"/>
      <c r="D538" s="130"/>
    </row>
    <row r="539" spans="1:4" x14ac:dyDescent="0.25">
      <c r="A539" s="128"/>
      <c r="B539" s="129"/>
      <c r="C539" s="130"/>
      <c r="D539" s="130"/>
    </row>
    <row r="540" spans="1:4" x14ac:dyDescent="0.25">
      <c r="A540" s="128"/>
      <c r="B540" s="129"/>
      <c r="C540" s="130"/>
      <c r="D540" s="130"/>
    </row>
    <row r="541" spans="1:4" x14ac:dyDescent="0.25">
      <c r="A541" s="128"/>
      <c r="B541" s="129"/>
      <c r="C541" s="130"/>
      <c r="D541" s="130"/>
    </row>
    <row r="542" spans="1:4" x14ac:dyDescent="0.25">
      <c r="A542" s="128"/>
      <c r="B542" s="129"/>
      <c r="C542" s="130"/>
      <c r="D542" s="130"/>
    </row>
    <row r="543" spans="1:4" x14ac:dyDescent="0.25">
      <c r="A543" s="128"/>
      <c r="B543" s="129"/>
      <c r="C543" s="130"/>
      <c r="D543" s="130"/>
    </row>
    <row r="544" spans="1:4" x14ac:dyDescent="0.25">
      <c r="A544" s="128"/>
      <c r="B544" s="129"/>
      <c r="C544" s="130"/>
      <c r="D544" s="130"/>
    </row>
    <row r="545" spans="1:4" x14ac:dyDescent="0.25">
      <c r="A545" s="128"/>
      <c r="B545" s="129"/>
      <c r="C545" s="130"/>
      <c r="D545" s="130"/>
    </row>
    <row r="546" spans="1:4" x14ac:dyDescent="0.25">
      <c r="A546" s="128"/>
      <c r="B546" s="129"/>
      <c r="C546" s="130"/>
      <c r="D546" s="130"/>
    </row>
    <row r="547" spans="1:4" x14ac:dyDescent="0.25">
      <c r="A547" s="128"/>
      <c r="B547" s="129"/>
      <c r="C547" s="130"/>
      <c r="D547" s="130"/>
    </row>
    <row r="548" spans="1:4" x14ac:dyDescent="0.25">
      <c r="A548" s="128"/>
      <c r="B548" s="129"/>
      <c r="C548" s="130"/>
      <c r="D548" s="130"/>
    </row>
    <row r="549" spans="1:4" x14ac:dyDescent="0.25">
      <c r="A549" s="128"/>
      <c r="B549" s="129"/>
      <c r="C549" s="130"/>
      <c r="D549" s="130"/>
    </row>
    <row r="550" spans="1:4" x14ac:dyDescent="0.25">
      <c r="A550" s="128"/>
      <c r="B550" s="129"/>
      <c r="C550" s="130"/>
      <c r="D550" s="130"/>
    </row>
    <row r="551" spans="1:4" x14ac:dyDescent="0.25">
      <c r="A551" s="128"/>
      <c r="B551" s="129"/>
      <c r="C551" s="130"/>
      <c r="D551" s="130"/>
    </row>
    <row r="552" spans="1:4" x14ac:dyDescent="0.25">
      <c r="A552" s="128"/>
      <c r="B552" s="129"/>
      <c r="C552" s="130"/>
      <c r="D552" s="130"/>
    </row>
    <row r="553" spans="1:4" x14ac:dyDescent="0.25">
      <c r="A553" s="128"/>
      <c r="B553" s="129"/>
      <c r="C553" s="130"/>
      <c r="D553" s="130"/>
    </row>
    <row r="554" spans="1:4" x14ac:dyDescent="0.25">
      <c r="A554" s="128"/>
      <c r="B554" s="129"/>
      <c r="C554" s="130"/>
      <c r="D554" s="130"/>
    </row>
    <row r="555" spans="1:4" x14ac:dyDescent="0.25">
      <c r="A555" s="128"/>
      <c r="B555" s="129"/>
      <c r="C555" s="130"/>
      <c r="D555" s="130"/>
    </row>
    <row r="556" spans="1:4" x14ac:dyDescent="0.25">
      <c r="A556" s="128"/>
      <c r="B556" s="129"/>
      <c r="C556" s="130"/>
      <c r="D556" s="130"/>
    </row>
    <row r="557" spans="1:4" x14ac:dyDescent="0.25">
      <c r="A557" s="128"/>
      <c r="B557" s="129"/>
      <c r="C557" s="130"/>
      <c r="D557" s="130"/>
    </row>
    <row r="558" spans="1:4" x14ac:dyDescent="0.25">
      <c r="A558" s="128"/>
      <c r="B558" s="129"/>
      <c r="C558" s="130"/>
      <c r="D558" s="130"/>
    </row>
    <row r="559" spans="1:4" x14ac:dyDescent="0.25">
      <c r="A559" s="128"/>
      <c r="B559" s="129"/>
      <c r="C559" s="130"/>
      <c r="D559" s="130"/>
    </row>
    <row r="560" spans="1:4" x14ac:dyDescent="0.25">
      <c r="A560" s="128"/>
      <c r="B560" s="129"/>
      <c r="C560" s="130"/>
      <c r="D560" s="130"/>
    </row>
    <row r="561" spans="1:4" x14ac:dyDescent="0.25">
      <c r="A561" s="128"/>
      <c r="B561" s="129"/>
      <c r="C561" s="130"/>
      <c r="D561" s="130"/>
    </row>
    <row r="562" spans="1:4" x14ac:dyDescent="0.25">
      <c r="A562" s="128"/>
      <c r="B562" s="129"/>
      <c r="C562" s="130"/>
      <c r="D562" s="130"/>
    </row>
    <row r="563" spans="1:4" x14ac:dyDescent="0.25">
      <c r="A563" s="128"/>
      <c r="B563" s="129"/>
      <c r="C563" s="130"/>
      <c r="D563" s="130"/>
    </row>
    <row r="564" spans="1:4" x14ac:dyDescent="0.25">
      <c r="A564" s="128"/>
      <c r="B564" s="129"/>
      <c r="C564" s="130"/>
      <c r="D564" s="130"/>
    </row>
    <row r="565" spans="1:4" x14ac:dyDescent="0.25">
      <c r="A565" s="128"/>
      <c r="B565" s="129"/>
      <c r="C565" s="130"/>
      <c r="D565" s="130"/>
    </row>
    <row r="566" spans="1:4" x14ac:dyDescent="0.25">
      <c r="A566" s="128"/>
      <c r="B566" s="129"/>
      <c r="C566" s="130"/>
      <c r="D566" s="130"/>
    </row>
    <row r="567" spans="1:4" x14ac:dyDescent="0.25">
      <c r="A567" s="128"/>
      <c r="B567" s="129"/>
      <c r="C567" s="130"/>
      <c r="D567" s="130"/>
    </row>
    <row r="568" spans="1:4" x14ac:dyDescent="0.25">
      <c r="A568" s="128"/>
      <c r="B568" s="129"/>
      <c r="C568" s="130"/>
      <c r="D568" s="130"/>
    </row>
    <row r="569" spans="1:4" x14ac:dyDescent="0.25">
      <c r="A569" s="128"/>
      <c r="B569" s="129"/>
      <c r="C569" s="130"/>
      <c r="D569" s="130"/>
    </row>
    <row r="570" spans="1:4" x14ac:dyDescent="0.25">
      <c r="A570" s="128"/>
      <c r="B570" s="129"/>
      <c r="C570" s="130"/>
      <c r="D570" s="130"/>
    </row>
    <row r="571" spans="1:4" x14ac:dyDescent="0.25">
      <c r="A571" s="128"/>
      <c r="B571" s="129"/>
      <c r="C571" s="130"/>
      <c r="D571" s="130"/>
    </row>
    <row r="572" spans="1:4" x14ac:dyDescent="0.25">
      <c r="A572" s="128"/>
      <c r="B572" s="129"/>
      <c r="C572" s="130"/>
      <c r="D572" s="130"/>
    </row>
    <row r="573" spans="1:4" x14ac:dyDescent="0.25">
      <c r="A573" s="128"/>
      <c r="B573" s="129"/>
      <c r="C573" s="130"/>
      <c r="D573" s="130"/>
    </row>
    <row r="574" spans="1:4" x14ac:dyDescent="0.25">
      <c r="A574" s="128"/>
      <c r="B574" s="129"/>
      <c r="C574" s="130"/>
      <c r="D574" s="130"/>
    </row>
    <row r="575" spans="1:4" x14ac:dyDescent="0.25">
      <c r="A575" s="128"/>
      <c r="B575" s="129"/>
      <c r="C575" s="130"/>
      <c r="D575" s="130"/>
    </row>
    <row r="576" spans="1:4" x14ac:dyDescent="0.25">
      <c r="A576" s="128"/>
      <c r="B576" s="129"/>
      <c r="C576" s="130"/>
      <c r="D576" s="130"/>
    </row>
    <row r="577" spans="1:4" x14ac:dyDescent="0.25">
      <c r="A577" s="128"/>
      <c r="B577" s="129"/>
      <c r="C577" s="130"/>
      <c r="D577" s="130"/>
    </row>
    <row r="578" spans="1:4" x14ac:dyDescent="0.25">
      <c r="A578" s="128"/>
      <c r="B578" s="129"/>
      <c r="C578" s="130"/>
      <c r="D578" s="130"/>
    </row>
    <row r="579" spans="1:4" x14ac:dyDescent="0.25">
      <c r="A579" s="128"/>
      <c r="B579" s="129"/>
      <c r="C579" s="130"/>
      <c r="D579" s="130"/>
    </row>
    <row r="580" spans="1:4" x14ac:dyDescent="0.25">
      <c r="A580" s="128"/>
      <c r="B580" s="129"/>
      <c r="C580" s="130"/>
      <c r="D580" s="130"/>
    </row>
    <row r="581" spans="1:4" x14ac:dyDescent="0.25">
      <c r="A581" s="128"/>
      <c r="B581" s="129"/>
      <c r="C581" s="130"/>
      <c r="D581" s="130"/>
    </row>
    <row r="582" spans="1:4" x14ac:dyDescent="0.25">
      <c r="A582" s="128"/>
      <c r="B582" s="129"/>
      <c r="C582" s="130"/>
      <c r="D582" s="130"/>
    </row>
    <row r="583" spans="1:4" x14ac:dyDescent="0.25">
      <c r="A583" s="128"/>
      <c r="B583" s="129"/>
      <c r="C583" s="130"/>
      <c r="D583" s="130"/>
    </row>
    <row r="584" spans="1:4" x14ac:dyDescent="0.25">
      <c r="A584" s="128"/>
      <c r="B584" s="129"/>
      <c r="C584" s="130"/>
      <c r="D584" s="130"/>
    </row>
    <row r="585" spans="1:4" x14ac:dyDescent="0.25">
      <c r="A585" s="128"/>
      <c r="B585" s="129"/>
      <c r="C585" s="130"/>
      <c r="D585" s="130"/>
    </row>
    <row r="586" spans="1:4" x14ac:dyDescent="0.25">
      <c r="A586" s="128"/>
      <c r="B586" s="129"/>
      <c r="C586" s="130"/>
      <c r="D586" s="130"/>
    </row>
    <row r="587" spans="1:4" x14ac:dyDescent="0.25">
      <c r="A587" s="128"/>
      <c r="B587" s="129"/>
      <c r="C587" s="130"/>
      <c r="D587" s="130"/>
    </row>
    <row r="588" spans="1:4" x14ac:dyDescent="0.25">
      <c r="A588" s="128"/>
      <c r="B588" s="129"/>
      <c r="C588" s="130"/>
      <c r="D588" s="130"/>
    </row>
    <row r="589" spans="1:4" x14ac:dyDescent="0.25">
      <c r="A589" s="128"/>
      <c r="B589" s="129"/>
      <c r="C589" s="130"/>
      <c r="D589" s="130"/>
    </row>
    <row r="590" spans="1:4" x14ac:dyDescent="0.25">
      <c r="A590" s="128"/>
      <c r="B590" s="129"/>
      <c r="C590" s="130"/>
      <c r="D590" s="130"/>
    </row>
    <row r="591" spans="1:4" x14ac:dyDescent="0.25">
      <c r="A591" s="128"/>
      <c r="B591" s="129"/>
      <c r="C591" s="130"/>
      <c r="D591" s="130"/>
    </row>
    <row r="592" spans="1:4" x14ac:dyDescent="0.25">
      <c r="A592" s="128"/>
      <c r="B592" s="129"/>
      <c r="C592" s="130"/>
      <c r="D592" s="130"/>
    </row>
    <row r="593" spans="1:4" x14ac:dyDescent="0.25">
      <c r="A593" s="128"/>
      <c r="B593" s="129"/>
      <c r="C593" s="130"/>
      <c r="D593" s="130"/>
    </row>
    <row r="594" spans="1:4" x14ac:dyDescent="0.25">
      <c r="A594" s="128"/>
      <c r="B594" s="129"/>
      <c r="C594" s="130"/>
      <c r="D594" s="130"/>
    </row>
    <row r="595" spans="1:4" x14ac:dyDescent="0.25">
      <c r="A595" s="128"/>
      <c r="B595" s="129"/>
      <c r="C595" s="130"/>
      <c r="D595" s="130"/>
    </row>
    <row r="596" spans="1:4" x14ac:dyDescent="0.25">
      <c r="A596" s="128"/>
      <c r="B596" s="129"/>
      <c r="C596" s="130"/>
      <c r="D596" s="130"/>
    </row>
    <row r="597" spans="1:4" x14ac:dyDescent="0.25">
      <c r="A597" s="128"/>
      <c r="B597" s="129"/>
      <c r="C597" s="130"/>
      <c r="D597" s="130"/>
    </row>
    <row r="598" spans="1:4" x14ac:dyDescent="0.25">
      <c r="A598" s="128"/>
      <c r="B598" s="129"/>
      <c r="C598" s="130"/>
      <c r="D598" s="130"/>
    </row>
    <row r="599" spans="1:4" x14ac:dyDescent="0.25">
      <c r="A599" s="128"/>
      <c r="B599" s="129"/>
      <c r="C599" s="130"/>
      <c r="D599" s="130"/>
    </row>
    <row r="600" spans="1:4" x14ac:dyDescent="0.25">
      <c r="A600" s="128"/>
      <c r="B600" s="129"/>
      <c r="C600" s="130"/>
      <c r="D600" s="130"/>
    </row>
    <row r="601" spans="1:4" x14ac:dyDescent="0.25">
      <c r="A601" s="128"/>
      <c r="B601" s="129"/>
      <c r="C601" s="130"/>
      <c r="D601" s="130"/>
    </row>
  </sheetData>
  <sheetProtection algorithmName="SHA-512" hashValue="gSXcZCx0VrjnIMLuwwmf2rY0EqVePfjKoivj9QKoMKlmKdBTi6AbwkrLhUmxIzPZLBx12v51ZwoxKpb43OD4Uw==" saltValue="6kMbMNkXiiVVi/dd5111DQ==" spinCount="100000" sheet="1" objects="1" scenarios="1" formatCells="0" formatColumns="0" formatRows="0" autoFilter="0"/>
  <autoFilter ref="A7:A501" xr:uid="{4A46FBB9-7B51-4989-9A6D-4D971CADD203}"/>
  <dataConsolidate/>
  <mergeCells count="10">
    <mergeCell ref="C4:D4"/>
    <mergeCell ref="C5:C6"/>
    <mergeCell ref="D5:D6"/>
    <mergeCell ref="A6:B6"/>
    <mergeCell ref="C1:D3"/>
    <mergeCell ref="A1:B1"/>
    <mergeCell ref="A2:B2"/>
    <mergeCell ref="A3:B3"/>
    <mergeCell ref="A4:B4"/>
    <mergeCell ref="A5:B5"/>
  </mergeCells>
  <phoneticPr fontId="7" type="noConversion"/>
  <dataValidations disablePrompts="1" count="1">
    <dataValidation type="list" allowBlank="1" showInputMessage="1" showErrorMessage="1" sqref="C414:VO414" xr:uid="{066D5F3E-03CB-4D1C-8D0C-B66FDCBF4921}">
      <formula1>"standard,purge oil mist,standard with pure oil mist provision,purge oil mist with pure oil mist provision,integral pure oil mist"</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03D31-457C-4E81-874B-FBFD603C4465}">
  <sheetPr codeName="Foglio8"/>
  <dimension ref="A1:D154"/>
  <sheetViews>
    <sheetView zoomScaleNormal="100" workbookViewId="0">
      <pane xSplit="2" ySplit="14" topLeftCell="C15" activePane="bottomRight" state="frozen"/>
      <selection sqref="A1:XFD1048576"/>
      <selection pane="topRight" sqref="A1:XFD1048576"/>
      <selection pane="bottomLeft" sqref="A1:XFD1048576"/>
      <selection pane="bottomRight" sqref="A1:B1"/>
    </sheetView>
  </sheetViews>
  <sheetFormatPr defaultColWidth="20.85546875" defaultRowHeight="15" x14ac:dyDescent="0.25"/>
  <cols>
    <col min="1" max="1" width="72.85546875" style="1" customWidth="1"/>
    <col min="2" max="2" width="23.85546875" style="54" customWidth="1"/>
    <col min="3" max="3" width="20.85546875" style="4" customWidth="1"/>
    <col min="4" max="4" width="20.85546875" style="5" customWidth="1"/>
    <col min="5" max="16384" width="20.85546875" style="2"/>
  </cols>
  <sheetData>
    <row r="1" spans="1:4" ht="23.25" x14ac:dyDescent="0.25">
      <c r="A1" s="341" t="s">
        <v>278</v>
      </c>
      <c r="B1" s="342"/>
      <c r="C1" s="304" t="e" vm="3">
        <v>#VALUE!</v>
      </c>
      <c r="D1" s="306"/>
    </row>
    <row r="2" spans="1:4" x14ac:dyDescent="0.25">
      <c r="A2" s="319" t="str">
        <f>'1-START'!C6&amp;":"&amp;'1-START'!P6</f>
        <v>JOB NUMBER:</v>
      </c>
      <c r="B2" s="321"/>
      <c r="C2" s="307"/>
      <c r="D2" s="309"/>
    </row>
    <row r="3" spans="1:4" ht="15.75" thickBot="1" x14ac:dyDescent="0.3">
      <c r="A3" s="319" t="str">
        <f>'1-START'!C7&amp;" : "&amp;'1-START'!P7</f>
        <v xml:space="preserve">End User Name : </v>
      </c>
      <c r="B3" s="321"/>
      <c r="C3" s="336"/>
      <c r="D3" s="337"/>
    </row>
    <row r="4" spans="1:4" ht="18.75" x14ac:dyDescent="0.25">
      <c r="A4" s="319" t="str">
        <f>'1-START'!C8&amp;" : "&amp;'1-START'!P8</f>
        <v xml:space="preserve">Engineering Contractor Name : </v>
      </c>
      <c r="B4" s="321"/>
      <c r="C4" s="331" t="s">
        <v>418</v>
      </c>
      <c r="D4" s="332"/>
    </row>
    <row r="5" spans="1:4" x14ac:dyDescent="0.25">
      <c r="A5" s="319" t="str">
        <f>'1-START'!C9&amp;" : "&amp;'1-START'!P9</f>
        <v xml:space="preserve">Project Name : </v>
      </c>
      <c r="B5" s="321"/>
      <c r="C5" s="333" t="str">
        <f>'1-START'!M43</f>
        <v>TS_</v>
      </c>
      <c r="D5" s="334" t="str">
        <f>"Rev." &amp; MAX('1-START'!B22:E40)</f>
        <v>Rev.0</v>
      </c>
    </row>
    <row r="6" spans="1:4" ht="15.75" thickBot="1" x14ac:dyDescent="0.3">
      <c r="A6" s="335" t="str">
        <f>'1-START'!C10&amp;" : "&amp;'1-START'!P10</f>
        <v xml:space="preserve">Country Of Installation : </v>
      </c>
      <c r="B6" s="340"/>
      <c r="C6" s="343"/>
      <c r="D6" s="344"/>
    </row>
    <row r="7" spans="1:4" ht="15.75" thickBot="1" x14ac:dyDescent="0.3">
      <c r="A7" s="2"/>
      <c r="B7" s="32"/>
      <c r="D7" s="4"/>
    </row>
    <row r="8" spans="1:4" s="3" customFormat="1" x14ac:dyDescent="0.25">
      <c r="A8" s="73" t="s">
        <v>267</v>
      </c>
      <c r="B8" s="104" t="s">
        <v>268</v>
      </c>
      <c r="C8" s="68" t="s">
        <v>269</v>
      </c>
      <c r="D8" s="69" t="s">
        <v>270</v>
      </c>
    </row>
    <row r="9" spans="1:4" s="3" customFormat="1" x14ac:dyDescent="0.25">
      <c r="A9" s="87" t="s">
        <v>11</v>
      </c>
      <c r="B9" s="50" t="str">
        <f>IFERROR(IF(_xlfn.XLOOKUP($A9,'3-TECHNICAL TABULATION'!$A:$A,'3-TECHNICAL TABULATION'!B:B)="","",_xlfn.XLOOKUP($A9,'3-TECHNICAL TABULATION'!$A:$A,'3-TECHNICAL TABULATION'!B:B)),"")</f>
        <v>[number]</v>
      </c>
      <c r="C9" s="38" t="str">
        <f>IFERROR(IF(_xlfn.XLOOKUP($A9,'3-TECHNICAL TABULATION'!$A:$A,'3-TECHNICAL TABULATION'!C:C)="","",_xlfn.XLOOKUP($A9,'3-TECHNICAL TABULATION'!$A:$A,'3-TECHNICAL TABULATION'!C:C)),"")</f>
        <v/>
      </c>
      <c r="D9" s="37" t="str">
        <f>IFERROR(IF(_xlfn.XLOOKUP($A9,'3-TECHNICAL TABULATION'!$A:$A,'3-TECHNICAL TABULATION'!D:D)="","",_xlfn.XLOOKUP($A9,'3-TECHNICAL TABULATION'!$A:$A,'3-TECHNICAL TABULATION'!D:D)),"")</f>
        <v/>
      </c>
    </row>
    <row r="10" spans="1:4" x14ac:dyDescent="0.25">
      <c r="A10" s="87" t="s">
        <v>12</v>
      </c>
      <c r="B10" s="50" t="str">
        <f>IFERROR(IF(_xlfn.XLOOKUP($A10,'3-TECHNICAL TABULATION'!$A:$A,'3-TECHNICAL TABULATION'!B:B)="","",_xlfn.XLOOKUP($A10,'3-TECHNICAL TABULATION'!$A:$A,'3-TECHNICAL TABULATION'!B:B)),"")</f>
        <v/>
      </c>
      <c r="C10" s="38" t="str">
        <f>IFERROR(IF(_xlfn.XLOOKUP($A10,'3-TECHNICAL TABULATION'!$A:$A,'3-TECHNICAL TABULATION'!C:C)="","",_xlfn.XLOOKUP($A10,'3-TECHNICAL TABULATION'!$A:$A,'3-TECHNICAL TABULATION'!C:C)),"")</f>
        <v/>
      </c>
      <c r="D10" s="37" t="str">
        <f>IFERROR(IF(_xlfn.XLOOKUP($A10,'3-TECHNICAL TABULATION'!$A:$A,'3-TECHNICAL TABULATION'!D:D)="","",_xlfn.XLOOKUP($A10,'3-TECHNICAL TABULATION'!$A:$A,'3-TECHNICAL TABULATION'!D:D)),"")</f>
        <v/>
      </c>
    </row>
    <row r="11" spans="1:4" x14ac:dyDescent="0.25">
      <c r="A11" s="87" t="s">
        <v>13</v>
      </c>
      <c r="B11" s="50" t="str">
        <f>IFERROR(IF(_xlfn.XLOOKUP($A11,'3-TECHNICAL TABULATION'!$A:$A,'3-TECHNICAL TABULATION'!B:B)="","",_xlfn.XLOOKUP($A11,'3-TECHNICAL TABULATION'!$A:$A,'3-TECHNICAL TABULATION'!B:B)),"")</f>
        <v/>
      </c>
      <c r="C11" s="38" t="str">
        <f>IFERROR(IF(_xlfn.XLOOKUP($A11,'3-TECHNICAL TABULATION'!$A:$A,'3-TECHNICAL TABULATION'!C:C)="","",_xlfn.XLOOKUP($A11,'3-TECHNICAL TABULATION'!$A:$A,'3-TECHNICAL TABULATION'!C:C)),"")</f>
        <v/>
      </c>
      <c r="D11" s="37" t="str">
        <f>IFERROR(IF(_xlfn.XLOOKUP($A11,'3-TECHNICAL TABULATION'!$A:$A,'3-TECHNICAL TABULATION'!D:D)="","",_xlfn.XLOOKUP($A11,'3-TECHNICAL TABULATION'!$A:$A,'3-TECHNICAL TABULATION'!D:D)),"")</f>
        <v/>
      </c>
    </row>
    <row r="12" spans="1:4" x14ac:dyDescent="0.25">
      <c r="A12" s="87" t="s">
        <v>14</v>
      </c>
      <c r="B12" s="50" t="str">
        <f>IFERROR(IF(_xlfn.XLOOKUP($A12,'3-TECHNICAL TABULATION'!$A:$A,'3-TECHNICAL TABULATION'!B:B)="","",_xlfn.XLOOKUP($A12,'3-TECHNICAL TABULATION'!$A:$A,'3-TECHNICAL TABULATION'!B:B)),"")</f>
        <v/>
      </c>
      <c r="C12" s="38" t="str">
        <f>IFERROR(IF(_xlfn.XLOOKUP($A12,'3-TECHNICAL TABULATION'!$A:$A,'3-TECHNICAL TABULATION'!C:C)="","",_xlfn.XLOOKUP($A12,'3-TECHNICAL TABULATION'!$A:$A,'3-TECHNICAL TABULATION'!C:C)),"")</f>
        <v/>
      </c>
      <c r="D12" s="37" t="str">
        <f>IFERROR(IF(_xlfn.XLOOKUP($A12,'3-TECHNICAL TABULATION'!$A:$A,'3-TECHNICAL TABULATION'!D:D)="","",_xlfn.XLOOKUP($A12,'3-TECHNICAL TABULATION'!$A:$A,'3-TECHNICAL TABULATION'!D:D)),"")</f>
        <v/>
      </c>
    </row>
    <row r="13" spans="1:4" x14ac:dyDescent="0.25">
      <c r="A13" s="87" t="s">
        <v>15</v>
      </c>
      <c r="B13" s="50" t="str">
        <f>IFERROR(IF(_xlfn.XLOOKUP($A13,'3-TECHNICAL TABULATION'!$A:$A,'3-TECHNICAL TABULATION'!B:B)="","",_xlfn.XLOOKUP($A13,'3-TECHNICAL TABULATION'!$A:$A,'3-TECHNICAL TABULATION'!B:B)),"")</f>
        <v/>
      </c>
      <c r="C13" s="38" t="str">
        <f>IFERROR(IF(_xlfn.XLOOKUP($A13,'3-TECHNICAL TABULATION'!$A:$A,'3-TECHNICAL TABULATION'!C:C)="","",_xlfn.XLOOKUP($A13,'3-TECHNICAL TABULATION'!$A:$A,'3-TECHNICAL TABULATION'!C:C)),"")</f>
        <v/>
      </c>
      <c r="D13" s="37" t="str">
        <f>IFERROR(IF(_xlfn.XLOOKUP($A13,'3-TECHNICAL TABULATION'!$A:$A,'3-TECHNICAL TABULATION'!D:D)="","",_xlfn.XLOOKUP($A13,'3-TECHNICAL TABULATION'!$A:$A,'3-TECHNICAL TABULATION'!D:D)),"")</f>
        <v/>
      </c>
    </row>
    <row r="14" spans="1:4" s="1" customFormat="1" x14ac:dyDescent="0.25">
      <c r="A14" s="87" t="s">
        <v>16</v>
      </c>
      <c r="B14" s="50" t="str">
        <f>IFERROR(IF(_xlfn.XLOOKUP($A14,'3-TECHNICAL TABULATION'!$A:$A,'3-TECHNICAL TABULATION'!B:B)="","",_xlfn.XLOOKUP($A14,'3-TECHNICAL TABULATION'!$A:$A,'3-TECHNICAL TABULATION'!B:B)),"")</f>
        <v/>
      </c>
      <c r="C14" s="38" t="str">
        <f>IFERROR(IF(_xlfn.XLOOKUP($A14,'3-TECHNICAL TABULATION'!$A:$A,'3-TECHNICAL TABULATION'!C:C)="","",_xlfn.XLOOKUP($A14,'3-TECHNICAL TABULATION'!$A:$A,'3-TECHNICAL TABULATION'!C:C)),"")</f>
        <v/>
      </c>
      <c r="D14" s="37" t="str">
        <f>IFERROR(IF(_xlfn.XLOOKUP($A14,'3-TECHNICAL TABULATION'!$A:$A,'3-TECHNICAL TABULATION'!D:D)="","",_xlfn.XLOOKUP($A14,'3-TECHNICAL TABULATION'!$A:$A,'3-TECHNICAL TABULATION'!D:D)),"")</f>
        <v/>
      </c>
    </row>
    <row r="15" spans="1:4" x14ac:dyDescent="0.25">
      <c r="A15" s="87" t="s">
        <v>91</v>
      </c>
      <c r="B15" s="50" t="str">
        <f>IFERROR(IF(_xlfn.XLOOKUP($A15,'3-TECHNICAL TABULATION'!$A:$A,'3-TECHNICAL TABULATION'!B:B)="","",_xlfn.XLOOKUP($A15,'3-TECHNICAL TABULATION'!$A:$A,'3-TECHNICAL TABULATION'!B:B)),"")</f>
        <v/>
      </c>
      <c r="C15" s="38" t="str">
        <f>IFERROR(IF(_xlfn.XLOOKUP($A15,'3-TECHNICAL TABULATION'!$A:$A,'3-TECHNICAL TABULATION'!C:C)="","",_xlfn.XLOOKUP($A15,'3-TECHNICAL TABULATION'!$A:$A,'3-TECHNICAL TABULATION'!C:C)),"")</f>
        <v/>
      </c>
      <c r="D15" s="37" t="str">
        <f>IFERROR(IF(_xlfn.XLOOKUP($A15,'3-TECHNICAL TABULATION'!$A:$A,'3-TECHNICAL TABULATION'!D:D)="","",_xlfn.XLOOKUP($A15,'3-TECHNICAL TABULATION'!$A:$A,'3-TECHNICAL TABULATION'!D:D)),"")</f>
        <v/>
      </c>
    </row>
    <row r="16" spans="1:4" x14ac:dyDescent="0.25">
      <c r="A16" s="87" t="s">
        <v>92</v>
      </c>
      <c r="B16" s="50" t="str">
        <f>IFERROR(IF(_xlfn.XLOOKUP($A16,'3-TECHNICAL TABULATION'!$A:$A,'3-TECHNICAL TABULATION'!B:B)="","",_xlfn.XLOOKUP($A16,'3-TECHNICAL TABULATION'!$A:$A,'3-TECHNICAL TABULATION'!B:B)),"")</f>
        <v/>
      </c>
      <c r="C16" s="38" t="str">
        <f>IFERROR(IF(_xlfn.XLOOKUP($A16,'3-TECHNICAL TABULATION'!$A:$A,'3-TECHNICAL TABULATION'!C:C)="","",_xlfn.XLOOKUP($A16,'3-TECHNICAL TABULATION'!$A:$A,'3-TECHNICAL TABULATION'!C:C)),"")</f>
        <v/>
      </c>
      <c r="D16" s="37" t="str">
        <f>IFERROR(IF(_xlfn.XLOOKUP($A16,'3-TECHNICAL TABULATION'!$A:$A,'3-TECHNICAL TABULATION'!D:D)="","",_xlfn.XLOOKUP($A16,'3-TECHNICAL TABULATION'!$A:$A,'3-TECHNICAL TABULATION'!D:D)),"")</f>
        <v/>
      </c>
    </row>
    <row r="17" spans="1:4" x14ac:dyDescent="0.25">
      <c r="A17" s="87" t="s">
        <v>17</v>
      </c>
      <c r="B17" s="50" t="str">
        <f>IFERROR(IF(_xlfn.XLOOKUP($A17,'3-TECHNICAL TABULATION'!$A:$A,'3-TECHNICAL TABULATION'!B:B)="","",_xlfn.XLOOKUP($A17,'3-TECHNICAL TABULATION'!$A:$A,'3-TECHNICAL TABULATION'!B:B)),"")</f>
        <v/>
      </c>
      <c r="C17" s="38" t="str">
        <f>IFERROR(IF(_xlfn.XLOOKUP($A17,'3-TECHNICAL TABULATION'!$A:$A,'3-TECHNICAL TABULATION'!C:C)="","",_xlfn.XLOOKUP($A17,'3-TECHNICAL TABULATION'!$A:$A,'3-TECHNICAL TABULATION'!C:C)),"")</f>
        <v/>
      </c>
      <c r="D17" s="37" t="str">
        <f>IFERROR(IF(_xlfn.XLOOKUP($A17,'3-TECHNICAL TABULATION'!$A:$A,'3-TECHNICAL TABULATION'!D:D)="","",_xlfn.XLOOKUP($A17,'3-TECHNICAL TABULATION'!$A:$A,'3-TECHNICAL TABULATION'!D:D)),"")</f>
        <v/>
      </c>
    </row>
    <row r="18" spans="1:4" ht="30" x14ac:dyDescent="0.25">
      <c r="A18" s="88" t="s">
        <v>497</v>
      </c>
      <c r="B18" s="50" t="str">
        <f>IFERROR(IF(_xlfn.XLOOKUP($A18,'3-TECHNICAL TABULATION'!$A:$A,'3-TECHNICAL TABULATION'!B:B)="","",_xlfn.XLOOKUP($A18,'3-TECHNICAL TABULATION'!$A:$A,'3-TECHNICAL TABULATION'!B:B)),"")</f>
        <v>[no/MR0175/MR0103]</v>
      </c>
      <c r="C18" s="38" t="str">
        <f>IFERROR(IF(_xlfn.XLOOKUP($A18,'3-TECHNICAL TABULATION'!$A:$A,'3-TECHNICAL TABULATION'!C:C)="","",_xlfn.XLOOKUP($A18,'3-TECHNICAL TABULATION'!$A:$A,'3-TECHNICAL TABULATION'!C:C)),"")</f>
        <v/>
      </c>
      <c r="D18" s="37" t="str">
        <f>IFERROR(IF(_xlfn.XLOOKUP($A18,'3-TECHNICAL TABULATION'!$A:$A,'3-TECHNICAL TABULATION'!D:D)="","",_xlfn.XLOOKUP($A18,'3-TECHNICAL TABULATION'!$A:$A,'3-TECHNICAL TABULATION'!D:D)),"")</f>
        <v/>
      </c>
    </row>
    <row r="19" spans="1:4" x14ac:dyDescent="0.25">
      <c r="A19" s="87" t="s">
        <v>32</v>
      </c>
      <c r="B19" s="50" t="str">
        <f>IFERROR(IF(_xlfn.XLOOKUP($A19,'3-TECHNICAL TABULATION'!$A:$A,'3-TECHNICAL TABULATION'!B:B)="","",_xlfn.XLOOKUP($A19,'3-TECHNICAL TABULATION'!$A:$A,'3-TECHNICAL TABULATION'!B:B)),"")</f>
        <v/>
      </c>
      <c r="C19" s="38" t="str">
        <f>IFERROR(IF(_xlfn.XLOOKUP($A19,'3-TECHNICAL TABULATION'!$A:$A,'3-TECHNICAL TABULATION'!C:C)="","",_xlfn.XLOOKUP($A19,'3-TECHNICAL TABULATION'!$A:$A,'3-TECHNICAL TABULATION'!C:C)),"")</f>
        <v/>
      </c>
      <c r="D19" s="37" t="str">
        <f>IFERROR(IF(_xlfn.XLOOKUP($A19,'3-TECHNICAL TABULATION'!$A:$A,'3-TECHNICAL TABULATION'!D:D)="","",_xlfn.XLOOKUP($A19,'3-TECHNICAL TABULATION'!$A:$A,'3-TECHNICAL TABULATION'!D:D)),"")</f>
        <v/>
      </c>
    </row>
    <row r="20" spans="1:4" x14ac:dyDescent="0.25">
      <c r="A20" s="87" t="s">
        <v>330</v>
      </c>
      <c r="B20" s="50" t="str">
        <f>IFERROR(IF(_xlfn.XLOOKUP($A20,'3-TECHNICAL TABULATION'!$A:$A,'3-TECHNICAL TABULATION'!B:B)="","",_xlfn.XLOOKUP($A20,'3-TECHNICAL TABULATION'!$A:$A,'3-TECHNICAL TABULATION'!B:B)),"")</f>
        <v/>
      </c>
      <c r="C20" s="38" t="str">
        <f>IFERROR(IF(_xlfn.XLOOKUP($A20,'3-TECHNICAL TABULATION'!$A:$A,'3-TECHNICAL TABULATION'!C:C)="","",_xlfn.XLOOKUP($A20,'3-TECHNICAL TABULATION'!$A:$A,'3-TECHNICAL TABULATION'!C:C)),"")</f>
        <v/>
      </c>
      <c r="D20" s="37" t="str">
        <f>IFERROR(IF(_xlfn.XLOOKUP($A20,'3-TECHNICAL TABULATION'!$A:$A,'3-TECHNICAL TABULATION'!D:D)="","",_xlfn.XLOOKUP($A20,'3-TECHNICAL TABULATION'!$A:$A,'3-TECHNICAL TABULATION'!D:D)),"")</f>
        <v/>
      </c>
    </row>
    <row r="21" spans="1:4" x14ac:dyDescent="0.25">
      <c r="A21" s="87" t="s">
        <v>38</v>
      </c>
      <c r="B21" s="50" t="str">
        <f>IFERROR(IF(_xlfn.XLOOKUP($A21,'3-TECHNICAL TABULATION'!$A:$A,'3-TECHNICAL TABULATION'!B:B)="","",_xlfn.XLOOKUP($A21,'3-TECHNICAL TABULATION'!$A:$A,'3-TECHNICAL TABULATION'!B:B)),"")</f>
        <v/>
      </c>
      <c r="C21" s="38" t="str">
        <f>IFERROR(IF(_xlfn.XLOOKUP($A21,'3-TECHNICAL TABULATION'!$A:$A,'3-TECHNICAL TABULATION'!C:C)="","",_xlfn.XLOOKUP($A21,'3-TECHNICAL TABULATION'!$A:$A,'3-TECHNICAL TABULATION'!C:C)),"")</f>
        <v/>
      </c>
      <c r="D21" s="37" t="str">
        <f>IFERROR(IF(_xlfn.XLOOKUP($A21,'3-TECHNICAL TABULATION'!$A:$A,'3-TECHNICAL TABULATION'!D:D)="","",_xlfn.XLOOKUP($A21,'3-TECHNICAL TABULATION'!$A:$A,'3-TECHNICAL TABULATION'!D:D)),"")</f>
        <v/>
      </c>
    </row>
    <row r="22" spans="1:4" ht="15.75" thickBot="1" x14ac:dyDescent="0.3">
      <c r="A22" s="89" t="s">
        <v>39</v>
      </c>
      <c r="B22" s="50" t="str">
        <f>IFERROR(IF(_xlfn.XLOOKUP($A22,'3-TECHNICAL TABULATION'!$A:$A,'3-TECHNICAL TABULATION'!B:B)="","",_xlfn.XLOOKUP($A22,'3-TECHNICAL TABULATION'!$A:$A,'3-TECHNICAL TABULATION'!B:B)),"")</f>
        <v>kW</v>
      </c>
      <c r="C22" s="38" t="str">
        <f>IFERROR(IF(_xlfn.XLOOKUP($A22,'3-TECHNICAL TABULATION'!$A:$A,'3-TECHNICAL TABULATION'!C:C)="","",_xlfn.XLOOKUP($A22,'3-TECHNICAL TABULATION'!$A:$A,'3-TECHNICAL TABULATION'!C:C)),"")</f>
        <v/>
      </c>
      <c r="D22" s="37" t="str">
        <f>IFERROR(IF(_xlfn.XLOOKUP($A22,'3-TECHNICAL TABULATION'!$A:$A,'3-TECHNICAL TABULATION'!D:D)="","",_xlfn.XLOOKUP($A22,'3-TECHNICAL TABULATION'!$A:$A,'3-TECHNICAL TABULATION'!D:D)),"")</f>
        <v/>
      </c>
    </row>
    <row r="23" spans="1:4" x14ac:dyDescent="0.25">
      <c r="A23" s="12" t="s">
        <v>405</v>
      </c>
      <c r="B23" s="51" t="str">
        <f>IFERROR(IF(_xlfn.XLOOKUP($A23,'3-TECHNICAL TABULATION'!$A:$A,'3-TECHNICAL TABULATION'!B:B)="","",_xlfn.XLOOKUP($A23,'3-TECHNICAL TABULATION'!$A:$A,'3-TECHNICAL TABULATION'!B:B)),"")</f>
        <v/>
      </c>
      <c r="C23" s="68" t="str">
        <f>IFERROR(IF(_xlfn.XLOOKUP($A23,'3-TECHNICAL TABULATION'!$A:$A,'3-TECHNICAL TABULATION'!C:C)="","",_xlfn.XLOOKUP($A23,'3-TECHNICAL TABULATION'!$A:$A,'3-TECHNICAL TABULATION'!C:C)),"")</f>
        <v/>
      </c>
      <c r="D23" s="218" t="str">
        <f>IFERROR(IF(_xlfn.XLOOKUP($A23,'3-TECHNICAL TABULATION'!$A:$A,'3-TECHNICAL TABULATION'!D:D)="","",_xlfn.XLOOKUP($A23,'3-TECHNICAL TABULATION'!$A:$A,'3-TECHNICAL TABULATION'!D:D)),"")</f>
        <v/>
      </c>
    </row>
    <row r="24" spans="1:4" x14ac:dyDescent="0.25">
      <c r="A24" s="87" t="s">
        <v>112</v>
      </c>
      <c r="B24" s="50" t="str">
        <f>IFERROR(IF(_xlfn.XLOOKUP($A24,'3-TECHNICAL TABULATION'!$A:$A,'3-TECHNICAL TABULATION'!B:B)="","",_xlfn.XLOOKUP($A24,'3-TECHNICAL TABULATION'!$A:$A,'3-TECHNICAL TABULATION'!B:B)),"")</f>
        <v/>
      </c>
      <c r="C24" s="38" t="str">
        <f>IFERROR(IF(_xlfn.XLOOKUP($A24,'3-TECHNICAL TABULATION'!$A:$A,'3-TECHNICAL TABULATION'!C:C)="","",_xlfn.XLOOKUP($A24,'3-TECHNICAL TABULATION'!$A:$A,'3-TECHNICAL TABULATION'!C:C)),"")</f>
        <v/>
      </c>
      <c r="D24" s="219" t="str">
        <f>IFERROR(IF(_xlfn.XLOOKUP($A24,'3-TECHNICAL TABULATION'!$A:$A,'3-TECHNICAL TABULATION'!D:D)="","",_xlfn.XLOOKUP($A24,'3-TECHNICAL TABULATION'!$A:$A,'3-TECHNICAL TABULATION'!D:D)),"")</f>
        <v/>
      </c>
    </row>
    <row r="25" spans="1:4" x14ac:dyDescent="0.25">
      <c r="A25" s="87" t="s">
        <v>113</v>
      </c>
      <c r="B25" s="50" t="str">
        <f>IFERROR(IF(_xlfn.XLOOKUP($A25,'3-TECHNICAL TABULATION'!$A:$A,'3-TECHNICAL TABULATION'!B:B)="","",_xlfn.XLOOKUP($A25,'3-TECHNICAL TABULATION'!$A:$A,'3-TECHNICAL TABULATION'!B:B)),"")</f>
        <v>m3/h</v>
      </c>
      <c r="C25" s="38" t="str">
        <f>IFERROR(IF(_xlfn.XLOOKUP($A25,'3-TECHNICAL TABULATION'!$A:$A,'3-TECHNICAL TABULATION'!C:C)="","",_xlfn.XLOOKUP($A25,'3-TECHNICAL TABULATION'!$A:$A,'3-TECHNICAL TABULATION'!C:C)),"")</f>
        <v/>
      </c>
      <c r="D25" s="219" t="str">
        <f>IFERROR(IF(_xlfn.XLOOKUP($A25,'3-TECHNICAL TABULATION'!$A:$A,'3-TECHNICAL TABULATION'!D:D)="","",_xlfn.XLOOKUP($A25,'3-TECHNICAL TABULATION'!$A:$A,'3-TECHNICAL TABULATION'!D:D)),"")</f>
        <v/>
      </c>
    </row>
    <row r="26" spans="1:4" x14ac:dyDescent="0.25">
      <c r="A26" s="87" t="s">
        <v>115</v>
      </c>
      <c r="B26" s="50" t="str">
        <f>IFERROR(IF(_xlfn.XLOOKUP($A26,'3-TECHNICAL TABULATION'!$A:$A,'3-TECHNICAL TABULATION'!B:B)="","",_xlfn.XLOOKUP($A26,'3-TECHNICAL TABULATION'!$A:$A,'3-TECHNICAL TABULATION'!B:B)),"")</f>
        <v>m</v>
      </c>
      <c r="C26" s="38" t="str">
        <f>IFERROR(IF(_xlfn.XLOOKUP($A26,'3-TECHNICAL TABULATION'!$A:$A,'3-TECHNICAL TABULATION'!C:C)="","",_xlfn.XLOOKUP($A26,'3-TECHNICAL TABULATION'!$A:$A,'3-TECHNICAL TABULATION'!C:C)),"")</f>
        <v/>
      </c>
      <c r="D26" s="219" t="str">
        <f>IFERROR(IF(_xlfn.XLOOKUP($A26,'3-TECHNICAL TABULATION'!$A:$A,'3-TECHNICAL TABULATION'!D:D)="","",_xlfn.XLOOKUP($A26,'3-TECHNICAL TABULATION'!$A:$A,'3-TECHNICAL TABULATION'!D:D)),"")</f>
        <v/>
      </c>
    </row>
    <row r="27" spans="1:4" x14ac:dyDescent="0.25">
      <c r="A27" s="87" t="s">
        <v>118</v>
      </c>
      <c r="B27" s="50" t="str">
        <f>IFERROR(IF(_xlfn.XLOOKUP($A27,'3-TECHNICAL TABULATION'!$A:$A,'3-TECHNICAL TABULATION'!B:B)="","",_xlfn.XLOOKUP($A27,'3-TECHNICAL TABULATION'!$A:$A,'3-TECHNICAL TABULATION'!B:B)),"")</f>
        <v>m</v>
      </c>
      <c r="C27" s="38" t="str">
        <f>IFERROR(IF(_xlfn.XLOOKUP($A27,'3-TECHNICAL TABULATION'!$A:$A,'3-TECHNICAL TABULATION'!C:C)="","",_xlfn.XLOOKUP($A27,'3-TECHNICAL TABULATION'!$A:$A,'3-TECHNICAL TABULATION'!C:C)),"")</f>
        <v/>
      </c>
      <c r="D27" s="219" t="str">
        <f>IFERROR(IF(_xlfn.XLOOKUP($A27,'3-TECHNICAL TABULATION'!$A:$A,'3-TECHNICAL TABULATION'!D:D)="","",_xlfn.XLOOKUP($A27,'3-TECHNICAL TABULATION'!$A:$A,'3-TECHNICAL TABULATION'!D:D)),"")</f>
        <v/>
      </c>
    </row>
    <row r="28" spans="1:4" x14ac:dyDescent="0.25">
      <c r="A28" s="87" t="s">
        <v>119</v>
      </c>
      <c r="B28" s="50" t="str">
        <f>IFERROR(IF(_xlfn.XLOOKUP($A28,'3-TECHNICAL TABULATION'!$A:$A,'3-TECHNICAL TABULATION'!B:B)="","",_xlfn.XLOOKUP($A28,'3-TECHNICAL TABULATION'!$A:$A,'3-TECHNICAL TABULATION'!B:B)),"")</f>
        <v>m</v>
      </c>
      <c r="C28" s="38" t="str">
        <f>IFERROR(IF(_xlfn.XLOOKUP($A28,'3-TECHNICAL TABULATION'!$A:$A,'3-TECHNICAL TABULATION'!C:C)="","",_xlfn.XLOOKUP($A28,'3-TECHNICAL TABULATION'!$A:$A,'3-TECHNICAL TABULATION'!C:C)),"")</f>
        <v/>
      </c>
      <c r="D28" s="219" t="str">
        <f>IFERROR(IF(_xlfn.XLOOKUP($A28,'3-TECHNICAL TABULATION'!$A:$A,'3-TECHNICAL TABULATION'!D:D)="","",_xlfn.XLOOKUP($A28,'3-TECHNICAL TABULATION'!$A:$A,'3-TECHNICAL TABULATION'!D:D)),"")</f>
        <v/>
      </c>
    </row>
    <row r="29" spans="1:4" x14ac:dyDescent="0.25">
      <c r="A29" s="87" t="s">
        <v>120</v>
      </c>
      <c r="B29" s="50" t="str">
        <f>IFERROR(IF(_xlfn.XLOOKUP($A29,'3-TECHNICAL TABULATION'!$A:$A,'3-TECHNICAL TABULATION'!B:B)="","",_xlfn.XLOOKUP($A29,'3-TECHNICAL TABULATION'!$A:$A,'3-TECHNICAL TABULATION'!B:B)),"")</f>
        <v>rpm</v>
      </c>
      <c r="C29" s="38" t="str">
        <f>IFERROR(IF(_xlfn.XLOOKUP($A29,'3-TECHNICAL TABULATION'!$A:$A,'3-TECHNICAL TABULATION'!C:C)="","",_xlfn.XLOOKUP($A29,'3-TECHNICAL TABULATION'!$A:$A,'3-TECHNICAL TABULATION'!C:C)),"")</f>
        <v/>
      </c>
      <c r="D29" s="219" t="str">
        <f>IFERROR(IF(_xlfn.XLOOKUP($A29,'3-TECHNICAL TABULATION'!$A:$A,'3-TECHNICAL TABULATION'!D:D)="","",_xlfn.XLOOKUP($A29,'3-TECHNICAL TABULATION'!$A:$A,'3-TECHNICAL TABULATION'!D:D)),"")</f>
        <v/>
      </c>
    </row>
    <row r="30" spans="1:4" x14ac:dyDescent="0.25">
      <c r="A30" s="87" t="s">
        <v>124</v>
      </c>
      <c r="B30" s="50" t="str">
        <f>IFERROR(IF(_xlfn.XLOOKUP($A30,'3-TECHNICAL TABULATION'!$A:$A,'3-TECHNICAL TABULATION'!B:B)="","",_xlfn.XLOOKUP($A30,'3-TECHNICAL TABULATION'!$A:$A,'3-TECHNICAL TABULATION'!B:B)),"")</f>
        <v>%</v>
      </c>
      <c r="C30" s="38" t="str">
        <f>IFERROR(IF(_xlfn.XLOOKUP($A30,'3-TECHNICAL TABULATION'!$A:$A,'3-TECHNICAL TABULATION'!C:C)="","",_xlfn.XLOOKUP($A30,'3-TECHNICAL TABULATION'!$A:$A,'3-TECHNICAL TABULATION'!C:C)),"")</f>
        <v/>
      </c>
      <c r="D30" s="219" t="str">
        <f>IFERROR(IF(_xlfn.XLOOKUP($A30,'3-TECHNICAL TABULATION'!$A:$A,'3-TECHNICAL TABULATION'!D:D)="","",_xlfn.XLOOKUP($A30,'3-TECHNICAL TABULATION'!$A:$A,'3-TECHNICAL TABULATION'!D:D)),"")</f>
        <v/>
      </c>
    </row>
    <row r="31" spans="1:4" x14ac:dyDescent="0.25">
      <c r="A31" s="87" t="s">
        <v>96</v>
      </c>
      <c r="B31" s="50" t="str">
        <f>IFERROR(IF(_xlfn.XLOOKUP($A31,'3-TECHNICAL TABULATION'!$A:$A,'3-TECHNICAL TABULATION'!B:B)="","",_xlfn.XLOOKUP($A31,'3-TECHNICAL TABULATION'!$A:$A,'3-TECHNICAL TABULATION'!B:B)),"")</f>
        <v>kg/dm3</v>
      </c>
      <c r="C31" s="38" t="str">
        <f>IFERROR(IF(_xlfn.XLOOKUP($A31,'3-TECHNICAL TABULATION'!$A:$A,'3-TECHNICAL TABULATION'!C:C)="","",_xlfn.XLOOKUP($A31,'3-TECHNICAL TABULATION'!$A:$A,'3-TECHNICAL TABULATION'!C:C)),"")</f>
        <v/>
      </c>
      <c r="D31" s="219" t="str">
        <f>IFERROR(IF(_xlfn.XLOOKUP($A31,'3-TECHNICAL TABULATION'!$A:$A,'3-TECHNICAL TABULATION'!D:D)="","",_xlfn.XLOOKUP($A31,'3-TECHNICAL TABULATION'!$A:$A,'3-TECHNICAL TABULATION'!D:D)),"")</f>
        <v/>
      </c>
    </row>
    <row r="32" spans="1:4" ht="15.75" thickBot="1" x14ac:dyDescent="0.3">
      <c r="A32" s="89" t="s">
        <v>99</v>
      </c>
      <c r="B32" s="50" t="str">
        <f>IFERROR(IF(_xlfn.XLOOKUP($A32,'3-TECHNICAL TABULATION'!$A:$A,'3-TECHNICAL TABULATION'!B:B)="","",_xlfn.XLOOKUP($A32,'3-TECHNICAL TABULATION'!$A:$A,'3-TECHNICAL TABULATION'!B:B)),"")</f>
        <v>kg/dm3</v>
      </c>
      <c r="C32" s="38" t="str">
        <f>IFERROR(IF(_xlfn.XLOOKUP($A32,'3-TECHNICAL TABULATION'!$A:$A,'3-TECHNICAL TABULATION'!C:C)="","",_xlfn.XLOOKUP($A32,'3-TECHNICAL TABULATION'!$A:$A,'3-TECHNICAL TABULATION'!C:C)),"")</f>
        <v/>
      </c>
      <c r="D32" s="219" t="str">
        <f>IFERROR(IF(_xlfn.XLOOKUP($A32,'3-TECHNICAL TABULATION'!$A:$A,'3-TECHNICAL TABULATION'!D:D)="","",_xlfn.XLOOKUP($A32,'3-TECHNICAL TABULATION'!$A:$A,'3-TECHNICAL TABULATION'!D:D)),"")</f>
        <v/>
      </c>
    </row>
    <row r="33" spans="1:4" x14ac:dyDescent="0.25">
      <c r="A33" s="12" t="s">
        <v>406</v>
      </c>
      <c r="B33" s="51" t="str">
        <f>IFERROR(IF(_xlfn.XLOOKUP($A33,'3-TECHNICAL TABULATION'!$A:$A,'3-TECHNICAL TABULATION'!B:B)="","",_xlfn.XLOOKUP($A33,'3-TECHNICAL TABULATION'!$A:$A,'3-TECHNICAL TABULATION'!B:B)),"")</f>
        <v/>
      </c>
      <c r="C33" s="68" t="str">
        <f>IFERROR(IF(_xlfn.XLOOKUP($A33,'3-TECHNICAL TABULATION'!$A:$A,'3-TECHNICAL TABULATION'!C:C)="","",_xlfn.XLOOKUP($A33,'3-TECHNICAL TABULATION'!$A:$A,'3-TECHNICAL TABULATION'!C:C)),"")</f>
        <v/>
      </c>
      <c r="D33" s="218" t="str">
        <f>IFERROR(IF(_xlfn.XLOOKUP($A33,'3-TECHNICAL TABULATION'!$A:$A,'3-TECHNICAL TABULATION'!D:D)="","",_xlfn.XLOOKUP($A33,'3-TECHNICAL TABULATION'!$A:$A,'3-TECHNICAL TABULATION'!D:D)),"")</f>
        <v/>
      </c>
    </row>
    <row r="34" spans="1:4" x14ac:dyDescent="0.25">
      <c r="A34" s="87" t="s">
        <v>132</v>
      </c>
      <c r="B34" s="50" t="str">
        <f>IFERROR(IF(_xlfn.XLOOKUP($A34,'3-TECHNICAL TABULATION'!$A:$A,'3-TECHNICAL TABULATION'!B:B)="","",_xlfn.XLOOKUP($A34,'3-TECHNICAL TABULATION'!$A:$A,'3-TECHNICAL TABULATION'!B:B)),"")</f>
        <v>mm</v>
      </c>
      <c r="C34" s="38" t="str">
        <f>IFERROR(IF(_xlfn.XLOOKUP($A34,'3-TECHNICAL TABULATION'!$A:$A,'3-TECHNICAL TABULATION'!C:C)="","",_xlfn.XLOOKUP($A34,'3-TECHNICAL TABULATION'!$A:$A,'3-TECHNICAL TABULATION'!C:C)),"")</f>
        <v/>
      </c>
      <c r="D34" s="219" t="str">
        <f>IFERROR(IF(_xlfn.XLOOKUP($A34,'3-TECHNICAL TABULATION'!$A:$A,'3-TECHNICAL TABULATION'!D:D)="","",_xlfn.XLOOKUP($A34,'3-TECHNICAL TABULATION'!$A:$A,'3-TECHNICAL TABULATION'!D:D)),"")</f>
        <v/>
      </c>
    </row>
    <row r="35" spans="1:4" x14ac:dyDescent="0.25">
      <c r="A35" s="87" t="s">
        <v>133</v>
      </c>
      <c r="B35" s="50" t="str">
        <f>IFERROR(IF(_xlfn.XLOOKUP($A35,'3-TECHNICAL TABULATION'!$A:$A,'3-TECHNICAL TABULATION'!B:B)="","",_xlfn.XLOOKUP($A35,'3-TECHNICAL TABULATION'!$A:$A,'3-TECHNICAL TABULATION'!B:B)),"")</f>
        <v>mm</v>
      </c>
      <c r="C35" s="38" t="str">
        <f>IFERROR(IF(_xlfn.XLOOKUP($A35,'3-TECHNICAL TABULATION'!$A:$A,'3-TECHNICAL TABULATION'!C:C)="","",_xlfn.XLOOKUP($A35,'3-TECHNICAL TABULATION'!$A:$A,'3-TECHNICAL TABULATION'!C:C)),"")</f>
        <v/>
      </c>
      <c r="D35" s="219" t="str">
        <f>IFERROR(IF(_xlfn.XLOOKUP($A35,'3-TECHNICAL TABULATION'!$A:$A,'3-TECHNICAL TABULATION'!D:D)="","",_xlfn.XLOOKUP($A35,'3-TECHNICAL TABULATION'!$A:$A,'3-TECHNICAL TABULATION'!D:D)),"")</f>
        <v/>
      </c>
    </row>
    <row r="36" spans="1:4" x14ac:dyDescent="0.25">
      <c r="A36" s="87" t="s">
        <v>134</v>
      </c>
      <c r="B36" s="50" t="str">
        <f>IFERROR(IF(_xlfn.XLOOKUP($A36,'3-TECHNICAL TABULATION'!$A:$A,'3-TECHNICAL TABULATION'!B:B)="","",_xlfn.XLOOKUP($A36,'3-TECHNICAL TABULATION'!$A:$A,'3-TECHNICAL TABULATION'!B:B)),"")</f>
        <v>mm</v>
      </c>
      <c r="C36" s="38" t="str">
        <f>IFERROR(IF(_xlfn.XLOOKUP($A36,'3-TECHNICAL TABULATION'!$A:$A,'3-TECHNICAL TABULATION'!C:C)="","",_xlfn.XLOOKUP($A36,'3-TECHNICAL TABULATION'!$A:$A,'3-TECHNICAL TABULATION'!C:C)),"")</f>
        <v/>
      </c>
      <c r="D36" s="219" t="str">
        <f>IFERROR(IF(_xlfn.XLOOKUP($A36,'3-TECHNICAL TABULATION'!$A:$A,'3-TECHNICAL TABULATION'!D:D)="","",_xlfn.XLOOKUP($A36,'3-TECHNICAL TABULATION'!$A:$A,'3-TECHNICAL TABULATION'!D:D)),"")</f>
        <v/>
      </c>
    </row>
    <row r="37" spans="1:4" x14ac:dyDescent="0.25">
      <c r="A37" s="87" t="s">
        <v>135</v>
      </c>
      <c r="B37" s="50" t="str">
        <f>IFERROR(IF(_xlfn.XLOOKUP($A37,'3-TECHNICAL TABULATION'!$A:$A,'3-TECHNICAL TABULATION'!B:B)="","",_xlfn.XLOOKUP($A37,'3-TECHNICAL TABULATION'!$A:$A,'3-TECHNICAL TABULATION'!B:B)),"")</f>
        <v/>
      </c>
      <c r="C37" s="38" t="str">
        <f>IFERROR(IF(_xlfn.XLOOKUP($A37,'3-TECHNICAL TABULATION'!$A:$A,'3-TECHNICAL TABULATION'!C:C)="","",_xlfn.XLOOKUP($A37,'3-TECHNICAL TABULATION'!$A:$A,'3-TECHNICAL TABULATION'!C:C)),"")</f>
        <v/>
      </c>
      <c r="D37" s="219" t="str">
        <f>IFERROR(IF(_xlfn.XLOOKUP($A37,'3-TECHNICAL TABULATION'!$A:$A,'3-TECHNICAL TABULATION'!D:D)="","",_xlfn.XLOOKUP($A37,'3-TECHNICAL TABULATION'!$A:$A,'3-TECHNICAL TABULATION'!D:D)),"")</f>
        <v/>
      </c>
    </row>
    <row r="38" spans="1:4" x14ac:dyDescent="0.25">
      <c r="A38" s="87" t="s">
        <v>136</v>
      </c>
      <c r="B38" s="50" t="str">
        <f>IFERROR(IF(_xlfn.XLOOKUP($A38,'3-TECHNICAL TABULATION'!$A:$A,'3-TECHNICAL TABULATION'!B:B)="","",_xlfn.XLOOKUP($A38,'3-TECHNICAL TABULATION'!$A:$A,'3-TECHNICAL TABULATION'!B:B)),"")</f>
        <v/>
      </c>
      <c r="C38" s="38" t="str">
        <f>IFERROR(IF(_xlfn.XLOOKUP($A38,'3-TECHNICAL TABULATION'!$A:$A,'3-TECHNICAL TABULATION'!C:C)="","",_xlfn.XLOOKUP($A38,'3-TECHNICAL TABULATION'!$A:$A,'3-TECHNICAL TABULATION'!C:C)),"")</f>
        <v/>
      </c>
      <c r="D38" s="219" t="str">
        <f>IFERROR(IF(_xlfn.XLOOKUP($A38,'3-TECHNICAL TABULATION'!$A:$A,'3-TECHNICAL TABULATION'!D:D)="","",_xlfn.XLOOKUP($A38,'3-TECHNICAL TABULATION'!$A:$A,'3-TECHNICAL TABULATION'!D:D)),"")</f>
        <v/>
      </c>
    </row>
    <row r="39" spans="1:4" x14ac:dyDescent="0.25">
      <c r="A39" s="87" t="s">
        <v>137</v>
      </c>
      <c r="B39" s="50" t="str">
        <f>IFERROR(IF(_xlfn.XLOOKUP($A39,'3-TECHNICAL TABULATION'!$A:$A,'3-TECHNICAL TABULATION'!B:B)="","",_xlfn.XLOOKUP($A39,'3-TECHNICAL TABULATION'!$A:$A,'3-TECHNICAL TABULATION'!B:B)),"")</f>
        <v/>
      </c>
      <c r="C39" s="38" t="str">
        <f>IFERROR(IF(_xlfn.XLOOKUP($A39,'3-TECHNICAL TABULATION'!$A:$A,'3-TECHNICAL TABULATION'!C:C)="","",_xlfn.XLOOKUP($A39,'3-TECHNICAL TABULATION'!$A:$A,'3-TECHNICAL TABULATION'!C:C)),"")</f>
        <v/>
      </c>
      <c r="D39" s="219" t="str">
        <f>IFERROR(IF(_xlfn.XLOOKUP($A39,'3-TECHNICAL TABULATION'!$A:$A,'3-TECHNICAL TABULATION'!D:D)="","",_xlfn.XLOOKUP($A39,'3-TECHNICAL TABULATION'!$A:$A,'3-TECHNICAL TABULATION'!D:D)),"")</f>
        <v/>
      </c>
    </row>
    <row r="40" spans="1:4" ht="30" x14ac:dyDescent="0.25">
      <c r="A40" s="87" t="s">
        <v>338</v>
      </c>
      <c r="B40" s="50" t="str">
        <f>IFERROR(IF(_xlfn.XLOOKUP($A40,'3-TECHNICAL TABULATION'!$A:$A,'3-TECHNICAL TABULATION'!B:B)="","",_xlfn.XLOOKUP($A40,'3-TECHNICAL TABULATION'!$A:$A,'3-TECHNICAL TABULATION'!B:B)),"")</f>
        <v>[yes/no/yes with modification]</v>
      </c>
      <c r="C40" s="38" t="str">
        <f>IFERROR(IF(_xlfn.XLOOKUP($A40,'3-TECHNICAL TABULATION'!$A:$A,'3-TECHNICAL TABULATION'!C:C)="","",_xlfn.XLOOKUP($A40,'3-TECHNICAL TABULATION'!$A:$A,'3-TECHNICAL TABULATION'!C:C)),"")</f>
        <v/>
      </c>
      <c r="D40" s="219" t="str">
        <f>IFERROR(IF(_xlfn.XLOOKUP($A40,'3-TECHNICAL TABULATION'!$A:$A,'3-TECHNICAL TABULATION'!D:D)="","",_xlfn.XLOOKUP($A40,'3-TECHNICAL TABULATION'!$A:$A,'3-TECHNICAL TABULATION'!D:D)),"")</f>
        <v/>
      </c>
    </row>
    <row r="41" spans="1:4" x14ac:dyDescent="0.25">
      <c r="A41" s="87" t="s">
        <v>138</v>
      </c>
      <c r="B41" s="50" t="str">
        <f>IFERROR(IF(_xlfn.XLOOKUP($A41,'3-TECHNICAL TABULATION'!$A:$A,'3-TECHNICAL TABULATION'!B:B)="","",_xlfn.XLOOKUP($A41,'3-TECHNICAL TABULATION'!$A:$A,'3-TECHNICAL TABULATION'!B:B)),"")</f>
        <v>[yes/no]</v>
      </c>
      <c r="C41" s="38" t="str">
        <f>IFERROR(IF(_xlfn.XLOOKUP($A41,'3-TECHNICAL TABULATION'!$A:$A,'3-TECHNICAL TABULATION'!C:C)="","",_xlfn.XLOOKUP($A41,'3-TECHNICAL TABULATION'!$A:$A,'3-TECHNICAL TABULATION'!C:C)),"")</f>
        <v/>
      </c>
      <c r="D41" s="219" t="str">
        <f>IFERROR(IF(_xlfn.XLOOKUP($A41,'3-TECHNICAL TABULATION'!$A:$A,'3-TECHNICAL TABULATION'!D:D)="","",_xlfn.XLOOKUP($A41,'3-TECHNICAL TABULATION'!$A:$A,'3-TECHNICAL TABULATION'!D:D)),"")</f>
        <v/>
      </c>
    </row>
    <row r="42" spans="1:4" x14ac:dyDescent="0.25">
      <c r="A42" s="87" t="s">
        <v>139</v>
      </c>
      <c r="B42" s="50" t="str">
        <f>IFERROR(IF(_xlfn.XLOOKUP($A42,'3-TECHNICAL TABULATION'!$A:$A,'3-TECHNICAL TABULATION'!B:B)="","",_xlfn.XLOOKUP($A42,'3-TECHNICAL TABULATION'!$A:$A,'3-TECHNICAL TABULATION'!B:B)),"")</f>
        <v>[yes/no]</v>
      </c>
      <c r="C42" s="38" t="str">
        <f>IFERROR(IF(_xlfn.XLOOKUP($A42,'3-TECHNICAL TABULATION'!$A:$A,'3-TECHNICAL TABULATION'!C:C)="","",_xlfn.XLOOKUP($A42,'3-TECHNICAL TABULATION'!$A:$A,'3-TECHNICAL TABULATION'!C:C)),"")</f>
        <v/>
      </c>
      <c r="D42" s="219" t="str">
        <f>IFERROR(IF(_xlfn.XLOOKUP($A42,'3-TECHNICAL TABULATION'!$A:$A,'3-TECHNICAL TABULATION'!D:D)="","",_xlfn.XLOOKUP($A42,'3-TECHNICAL TABULATION'!$A:$A,'3-TECHNICAL TABULATION'!D:D)),"")</f>
        <v/>
      </c>
    </row>
    <row r="43" spans="1:4" x14ac:dyDescent="0.25">
      <c r="A43" s="87" t="s">
        <v>140</v>
      </c>
      <c r="B43" s="50" t="str">
        <f>IFERROR(IF(_xlfn.XLOOKUP($A43,'3-TECHNICAL TABULATION'!$A:$A,'3-TECHNICAL TABULATION'!B:B)="","",_xlfn.XLOOKUP($A43,'3-TECHNICAL TABULATION'!$A:$A,'3-TECHNICAL TABULATION'!B:B)),"")</f>
        <v>[yes/no]</v>
      </c>
      <c r="C43" s="38" t="str">
        <f>IFERROR(IF(_xlfn.XLOOKUP($A43,'3-TECHNICAL TABULATION'!$A:$A,'3-TECHNICAL TABULATION'!C:C)="","",_xlfn.XLOOKUP($A43,'3-TECHNICAL TABULATION'!$A:$A,'3-TECHNICAL TABULATION'!C:C)),"")</f>
        <v/>
      </c>
      <c r="D43" s="219" t="str">
        <f>IFERROR(IF(_xlfn.XLOOKUP($A43,'3-TECHNICAL TABULATION'!$A:$A,'3-TECHNICAL TABULATION'!D:D)="","",_xlfn.XLOOKUP($A43,'3-TECHNICAL TABULATION'!$A:$A,'3-TECHNICAL TABULATION'!D:D)),"")</f>
        <v/>
      </c>
    </row>
    <row r="44" spans="1:4" x14ac:dyDescent="0.25">
      <c r="A44" s="87" t="s">
        <v>141</v>
      </c>
      <c r="B44" s="50" t="str">
        <f>IFERROR(IF(_xlfn.XLOOKUP($A44,'3-TECHNICAL TABULATION'!$A:$A,'3-TECHNICAL TABULATION'!B:B)="","",_xlfn.XLOOKUP($A44,'3-TECHNICAL TABULATION'!$A:$A,'3-TECHNICAL TABULATION'!B:B)),"")</f>
        <v>[yes/no]</v>
      </c>
      <c r="C44" s="38" t="str">
        <f>IFERROR(IF(_xlfn.XLOOKUP($A44,'3-TECHNICAL TABULATION'!$A:$A,'3-TECHNICAL TABULATION'!C:C)="","",_xlfn.XLOOKUP($A44,'3-TECHNICAL TABULATION'!$A:$A,'3-TECHNICAL TABULATION'!C:C)),"")</f>
        <v/>
      </c>
      <c r="D44" s="219" t="str">
        <f>IFERROR(IF(_xlfn.XLOOKUP($A44,'3-TECHNICAL TABULATION'!$A:$A,'3-TECHNICAL TABULATION'!D:D)="","",_xlfn.XLOOKUP($A44,'3-TECHNICAL TABULATION'!$A:$A,'3-TECHNICAL TABULATION'!D:D)),"")</f>
        <v/>
      </c>
    </row>
    <row r="45" spans="1:4" x14ac:dyDescent="0.25">
      <c r="A45" s="87" t="s">
        <v>142</v>
      </c>
      <c r="B45" s="50" t="str">
        <f>IFERROR(IF(_xlfn.XLOOKUP($A45,'3-TECHNICAL TABULATION'!$A:$A,'3-TECHNICAL TABULATION'!B:B)="","",_xlfn.XLOOKUP($A45,'3-TECHNICAL TABULATION'!$A:$A,'3-TECHNICAL TABULATION'!B:B)),"")</f>
        <v>[yes/no]</v>
      </c>
      <c r="C45" s="38" t="str">
        <f>IFERROR(IF(_xlfn.XLOOKUP($A45,'3-TECHNICAL TABULATION'!$A:$A,'3-TECHNICAL TABULATION'!C:C)="","",_xlfn.XLOOKUP($A45,'3-TECHNICAL TABULATION'!$A:$A,'3-TECHNICAL TABULATION'!C:C)),"")</f>
        <v/>
      </c>
      <c r="D45" s="219" t="str">
        <f>IFERROR(IF(_xlfn.XLOOKUP($A45,'3-TECHNICAL TABULATION'!$A:$A,'3-TECHNICAL TABULATION'!D:D)="","",_xlfn.XLOOKUP($A45,'3-TECHNICAL TABULATION'!$A:$A,'3-TECHNICAL TABULATION'!D:D)),"")</f>
        <v/>
      </c>
    </row>
    <row r="46" spans="1:4" x14ac:dyDescent="0.25">
      <c r="A46" s="87" t="s">
        <v>143</v>
      </c>
      <c r="B46" s="50" t="str">
        <f>IFERROR(IF(_xlfn.XLOOKUP($A46,'3-TECHNICAL TABULATION'!$A:$A,'3-TECHNICAL TABULATION'!B:B)="","",_xlfn.XLOOKUP($A46,'3-TECHNICAL TABULATION'!$A:$A,'3-TECHNICAL TABULATION'!B:B)),"")</f>
        <v>[yes/no]</v>
      </c>
      <c r="C46" s="38" t="str">
        <f>IFERROR(IF(_xlfn.XLOOKUP($A46,'3-TECHNICAL TABULATION'!$A:$A,'3-TECHNICAL TABULATION'!C:C)="","",_xlfn.XLOOKUP($A46,'3-TECHNICAL TABULATION'!$A:$A,'3-TECHNICAL TABULATION'!C:C)),"")</f>
        <v/>
      </c>
      <c r="D46" s="219" t="str">
        <f>IFERROR(IF(_xlfn.XLOOKUP($A46,'3-TECHNICAL TABULATION'!$A:$A,'3-TECHNICAL TABULATION'!D:D)="","",_xlfn.XLOOKUP($A46,'3-TECHNICAL TABULATION'!$A:$A,'3-TECHNICAL TABULATION'!D:D)),"")</f>
        <v/>
      </c>
    </row>
    <row r="47" spans="1:4" x14ac:dyDescent="0.25">
      <c r="A47" s="87" t="s">
        <v>144</v>
      </c>
      <c r="B47" s="50" t="str">
        <f>IFERROR(IF(_xlfn.XLOOKUP($A47,'3-TECHNICAL TABULATION'!$A:$A,'3-TECHNICAL TABULATION'!B:B)="","",_xlfn.XLOOKUP($A47,'3-TECHNICAL TABULATION'!$A:$A,'3-TECHNICAL TABULATION'!B:B)),"")</f>
        <v>[yes/no]</v>
      </c>
      <c r="C47" s="38" t="str">
        <f>IFERROR(IF(_xlfn.XLOOKUP($A47,'3-TECHNICAL TABULATION'!$A:$A,'3-TECHNICAL TABULATION'!C:C)="","",_xlfn.XLOOKUP($A47,'3-TECHNICAL TABULATION'!$A:$A,'3-TECHNICAL TABULATION'!C:C)),"")</f>
        <v/>
      </c>
      <c r="D47" s="219" t="str">
        <f>IFERROR(IF(_xlfn.XLOOKUP($A47,'3-TECHNICAL TABULATION'!$A:$A,'3-TECHNICAL TABULATION'!D:D)="","",_xlfn.XLOOKUP($A47,'3-TECHNICAL TABULATION'!$A:$A,'3-TECHNICAL TABULATION'!D:D)),"")</f>
        <v/>
      </c>
    </row>
    <row r="48" spans="1:4" x14ac:dyDescent="0.25">
      <c r="A48" s="87" t="s">
        <v>145</v>
      </c>
      <c r="B48" s="50" t="str">
        <f>IFERROR(IF(_xlfn.XLOOKUP($A48,'3-TECHNICAL TABULATION'!$A:$A,'3-TECHNICAL TABULATION'!B:B)="","",_xlfn.XLOOKUP($A48,'3-TECHNICAL TABULATION'!$A:$A,'3-TECHNICAL TABULATION'!B:B)),"")</f>
        <v>[yes/no]</v>
      </c>
      <c r="C48" s="38" t="str">
        <f>IFERROR(IF(_xlfn.XLOOKUP($A48,'3-TECHNICAL TABULATION'!$A:$A,'3-TECHNICAL TABULATION'!C:C)="","",_xlfn.XLOOKUP($A48,'3-TECHNICAL TABULATION'!$A:$A,'3-TECHNICAL TABULATION'!C:C)),"")</f>
        <v/>
      </c>
      <c r="D48" s="219" t="str">
        <f>IFERROR(IF(_xlfn.XLOOKUP($A48,'3-TECHNICAL TABULATION'!$A:$A,'3-TECHNICAL TABULATION'!D:D)="","",_xlfn.XLOOKUP($A48,'3-TECHNICAL TABULATION'!$A:$A,'3-TECHNICAL TABULATION'!D:D)),"")</f>
        <v/>
      </c>
    </row>
    <row r="49" spans="1:4" x14ac:dyDescent="0.25">
      <c r="A49" s="87" t="s">
        <v>146</v>
      </c>
      <c r="B49" s="50" t="str">
        <f>IFERROR(IF(_xlfn.XLOOKUP($A49,'3-TECHNICAL TABULATION'!$A:$A,'3-TECHNICAL TABULATION'!B:B)="","",_xlfn.XLOOKUP($A49,'3-TECHNICAL TABULATION'!$A:$A,'3-TECHNICAL TABULATION'!B:B)),"")</f>
        <v>[none/list]</v>
      </c>
      <c r="C49" s="38" t="str">
        <f>IFERROR(IF(_xlfn.XLOOKUP($A49,'3-TECHNICAL TABULATION'!$A:$A,'3-TECHNICAL TABULATION'!C:C)="","",_xlfn.XLOOKUP($A49,'3-TECHNICAL TABULATION'!$A:$A,'3-TECHNICAL TABULATION'!C:C)),"")</f>
        <v/>
      </c>
      <c r="D49" s="219" t="str">
        <f>IFERROR(IF(_xlfn.XLOOKUP($A49,'3-TECHNICAL TABULATION'!$A:$A,'3-TECHNICAL TABULATION'!D:D)="","",_xlfn.XLOOKUP($A49,'3-TECHNICAL TABULATION'!$A:$A,'3-TECHNICAL TABULATION'!D:D)),"")</f>
        <v/>
      </c>
    </row>
    <row r="50" spans="1:4" x14ac:dyDescent="0.25">
      <c r="A50" s="87" t="s">
        <v>147</v>
      </c>
      <c r="B50" s="50" t="str">
        <f>IFERROR(IF(_xlfn.XLOOKUP($A50,'3-TECHNICAL TABULATION'!$A:$A,'3-TECHNICAL TABULATION'!B:B)="","",_xlfn.XLOOKUP($A50,'3-TECHNICAL TABULATION'!$A:$A,'3-TECHNICAL TABULATION'!B:B)),"")</f>
        <v>[yes/no]</v>
      </c>
      <c r="C50" s="38" t="str">
        <f>IFERROR(IF(_xlfn.XLOOKUP($A50,'3-TECHNICAL TABULATION'!$A:$A,'3-TECHNICAL TABULATION'!C:C)="","",_xlfn.XLOOKUP($A50,'3-TECHNICAL TABULATION'!$A:$A,'3-TECHNICAL TABULATION'!C:C)),"")</f>
        <v/>
      </c>
      <c r="D50" s="219" t="str">
        <f>IFERROR(IF(_xlfn.XLOOKUP($A50,'3-TECHNICAL TABULATION'!$A:$A,'3-TECHNICAL TABULATION'!D:D)="","",_xlfn.XLOOKUP($A50,'3-TECHNICAL TABULATION'!$A:$A,'3-TECHNICAL TABULATION'!D:D)),"")</f>
        <v/>
      </c>
    </row>
    <row r="51" spans="1:4" x14ac:dyDescent="0.25">
      <c r="A51" s="87" t="s">
        <v>148</v>
      </c>
      <c r="B51" s="50" t="str">
        <f>IFERROR(IF(_xlfn.XLOOKUP($A51,'3-TECHNICAL TABULATION'!$A:$A,'3-TECHNICAL TABULATION'!B:B)="","",_xlfn.XLOOKUP($A51,'3-TECHNICAL TABULATION'!$A:$A,'3-TECHNICAL TABULATION'!B:B)),"")</f>
        <v>[none/list]</v>
      </c>
      <c r="C51" s="38" t="str">
        <f>IFERROR(IF(_xlfn.XLOOKUP($A51,'3-TECHNICAL TABULATION'!$A:$A,'3-TECHNICAL TABULATION'!C:C)="","",_xlfn.XLOOKUP($A51,'3-TECHNICAL TABULATION'!$A:$A,'3-TECHNICAL TABULATION'!C:C)),"")</f>
        <v/>
      </c>
      <c r="D51" s="219" t="str">
        <f>IFERROR(IF(_xlfn.XLOOKUP($A51,'3-TECHNICAL TABULATION'!$A:$A,'3-TECHNICAL TABULATION'!D:D)="","",_xlfn.XLOOKUP($A51,'3-TECHNICAL TABULATION'!$A:$A,'3-TECHNICAL TABULATION'!D:D)),"")</f>
        <v/>
      </c>
    </row>
    <row r="52" spans="1:4" x14ac:dyDescent="0.25">
      <c r="A52" s="87" t="s">
        <v>149</v>
      </c>
      <c r="B52" s="50" t="str">
        <f>IFERROR(IF(_xlfn.XLOOKUP($A52,'3-TECHNICAL TABULATION'!$A:$A,'3-TECHNICAL TABULATION'!B:B)="","",_xlfn.XLOOKUP($A52,'3-TECHNICAL TABULATION'!$A:$A,'3-TECHNICAL TABULATION'!B:B)),"")</f>
        <v>[none/list]</v>
      </c>
      <c r="C52" s="38" t="str">
        <f>IFERROR(IF(_xlfn.XLOOKUP($A52,'3-TECHNICAL TABULATION'!$A:$A,'3-TECHNICAL TABULATION'!C:C)="","",_xlfn.XLOOKUP($A52,'3-TECHNICAL TABULATION'!$A:$A,'3-TECHNICAL TABULATION'!C:C)),"")</f>
        <v/>
      </c>
      <c r="D52" s="219" t="str">
        <f>IFERROR(IF(_xlfn.XLOOKUP($A52,'3-TECHNICAL TABULATION'!$A:$A,'3-TECHNICAL TABULATION'!D:D)="","",_xlfn.XLOOKUP($A52,'3-TECHNICAL TABULATION'!$A:$A,'3-TECHNICAL TABULATION'!D:D)),"")</f>
        <v/>
      </c>
    </row>
    <row r="53" spans="1:4" x14ac:dyDescent="0.25">
      <c r="A53" s="87" t="s">
        <v>150</v>
      </c>
      <c r="B53" s="50" t="str">
        <f>IFERROR(IF(_xlfn.XLOOKUP($A53,'3-TECHNICAL TABULATION'!$A:$A,'3-TECHNICAL TABULATION'!B:B)="","",_xlfn.XLOOKUP($A53,'3-TECHNICAL TABULATION'!$A:$A,'3-TECHNICAL TABULATION'!B:B)),"")</f>
        <v>[none/list]</v>
      </c>
      <c r="C53" s="38" t="str">
        <f>IFERROR(IF(_xlfn.XLOOKUP($A53,'3-TECHNICAL TABULATION'!$A:$A,'3-TECHNICAL TABULATION'!C:C)="","",_xlfn.XLOOKUP($A53,'3-TECHNICAL TABULATION'!$A:$A,'3-TECHNICAL TABULATION'!C:C)),"")</f>
        <v/>
      </c>
      <c r="D53" s="219" t="str">
        <f>IFERROR(IF(_xlfn.XLOOKUP($A53,'3-TECHNICAL TABULATION'!$A:$A,'3-TECHNICAL TABULATION'!D:D)="","",_xlfn.XLOOKUP($A53,'3-TECHNICAL TABULATION'!$A:$A,'3-TECHNICAL TABULATION'!D:D)),"")</f>
        <v/>
      </c>
    </row>
    <row r="54" spans="1:4" x14ac:dyDescent="0.25">
      <c r="A54" s="87" t="s">
        <v>151</v>
      </c>
      <c r="B54" s="50" t="str">
        <f>IFERROR(IF(_xlfn.XLOOKUP($A54,'3-TECHNICAL TABULATION'!$A:$A,'3-TECHNICAL TABULATION'!B:B)="","",_xlfn.XLOOKUP($A54,'3-TECHNICAL TABULATION'!$A:$A,'3-TECHNICAL TABULATION'!B:B)),"")</f>
        <v>[yes/no]</v>
      </c>
      <c r="C54" s="38" t="str">
        <f>IFERROR(IF(_xlfn.XLOOKUP($A54,'3-TECHNICAL TABULATION'!$A:$A,'3-TECHNICAL TABULATION'!C:C)="","",_xlfn.XLOOKUP($A54,'3-TECHNICAL TABULATION'!$A:$A,'3-TECHNICAL TABULATION'!C:C)),"")</f>
        <v/>
      </c>
      <c r="D54" s="219" t="str">
        <f>IFERROR(IF(_xlfn.XLOOKUP($A54,'3-TECHNICAL TABULATION'!$A:$A,'3-TECHNICAL TABULATION'!D:D)="","",_xlfn.XLOOKUP($A54,'3-TECHNICAL TABULATION'!$A:$A,'3-TECHNICAL TABULATION'!D:D)),"")</f>
        <v/>
      </c>
    </row>
    <row r="55" spans="1:4" x14ac:dyDescent="0.25">
      <c r="A55" s="87" t="s">
        <v>440</v>
      </c>
      <c r="B55" s="50" t="str">
        <f>IFERROR(IF(_xlfn.XLOOKUP($A55,'3-TECHNICAL TABULATION'!$A:$A,'3-TECHNICAL TABULATION'!B:B)="","",_xlfn.XLOOKUP($A55,'3-TECHNICAL TABULATION'!$A:$A,'3-TECHNICAL TABULATION'!B:B)),"")</f>
        <v>[Yes/No]</v>
      </c>
      <c r="C55" s="38" t="str">
        <f>IFERROR(IF(_xlfn.XLOOKUP($A55,'3-TECHNICAL TABULATION'!$A:$A,'3-TECHNICAL TABULATION'!C:C)="","",_xlfn.XLOOKUP($A55,'3-TECHNICAL TABULATION'!$A:$A,'3-TECHNICAL TABULATION'!C:C)),"")</f>
        <v/>
      </c>
      <c r="D55" s="219" t="str">
        <f>IFERROR(IF(_xlfn.XLOOKUP($A55,'3-TECHNICAL TABULATION'!$A:$A,'3-TECHNICAL TABULATION'!D:D)="","",_xlfn.XLOOKUP($A55,'3-TECHNICAL TABULATION'!$A:$A,'3-TECHNICAL TABULATION'!D:D)),"")</f>
        <v/>
      </c>
    </row>
    <row r="56" spans="1:4" ht="30" x14ac:dyDescent="0.25">
      <c r="A56" s="87" t="s">
        <v>459</v>
      </c>
      <c r="B56" s="50" t="str">
        <f>IFERROR(IF(_xlfn.XLOOKUP($A56,'3-TECHNICAL TABULATION'!$A:$A,'3-TECHNICAL TABULATION'!B:B)="","",_xlfn.XLOOKUP($A56,'3-TECHNICAL TABULATION'!$A:$A,'3-TECHNICAL TABULATION'!B:B)),"")</f>
        <v>[none/list]</v>
      </c>
      <c r="C56" s="38" t="str">
        <f>IFERROR(IF(_xlfn.XLOOKUP($A56,'3-TECHNICAL TABULATION'!$A:$A,'3-TECHNICAL TABULATION'!C:C)="","",_xlfn.XLOOKUP($A56,'3-TECHNICAL TABULATION'!$A:$A,'3-TECHNICAL TABULATION'!C:C)),"")</f>
        <v/>
      </c>
      <c r="D56" s="219" t="str">
        <f>IFERROR(IF(_xlfn.XLOOKUP($A56,'3-TECHNICAL TABULATION'!$A:$A,'3-TECHNICAL TABULATION'!D:D)="","",_xlfn.XLOOKUP($A56,'3-TECHNICAL TABULATION'!$A:$A,'3-TECHNICAL TABULATION'!D:D)),"")</f>
        <v/>
      </c>
    </row>
    <row r="57" spans="1:4" x14ac:dyDescent="0.25">
      <c r="A57" s="87" t="s">
        <v>152</v>
      </c>
      <c r="B57" s="50" t="str">
        <f>IFERROR(IF(_xlfn.XLOOKUP($A57,'3-TECHNICAL TABULATION'!$A:$A,'3-TECHNICAL TABULATION'!B:B)="","",_xlfn.XLOOKUP($A57,'3-TECHNICAL TABULATION'!$A:$A,'3-TECHNICAL TABULATION'!B:B)),"")</f>
        <v>[yes/no]</v>
      </c>
      <c r="C57" s="38" t="str">
        <f>IFERROR(IF(_xlfn.XLOOKUP($A57,'3-TECHNICAL TABULATION'!$A:$A,'3-TECHNICAL TABULATION'!C:C)="","",_xlfn.XLOOKUP($A57,'3-TECHNICAL TABULATION'!$A:$A,'3-TECHNICAL TABULATION'!C:C)),"")</f>
        <v/>
      </c>
      <c r="D57" s="219" t="str">
        <f>IFERROR(IF(_xlfn.XLOOKUP($A57,'3-TECHNICAL TABULATION'!$A:$A,'3-TECHNICAL TABULATION'!D:D)="","",_xlfn.XLOOKUP($A57,'3-TECHNICAL TABULATION'!$A:$A,'3-TECHNICAL TABULATION'!D:D)),"")</f>
        <v/>
      </c>
    </row>
    <row r="58" spans="1:4" x14ac:dyDescent="0.25">
      <c r="A58" s="87" t="s">
        <v>153</v>
      </c>
      <c r="B58" s="50" t="str">
        <f>IFERROR(IF(_xlfn.XLOOKUP($A58,'3-TECHNICAL TABULATION'!$A:$A,'3-TECHNICAL TABULATION'!B:B)="","",_xlfn.XLOOKUP($A58,'3-TECHNICAL TABULATION'!$A:$A,'3-TECHNICAL TABULATION'!B:B)),"")</f>
        <v>mm</v>
      </c>
      <c r="C58" s="38" t="str">
        <f>IFERROR(IF(_xlfn.XLOOKUP($A58,'3-TECHNICAL TABULATION'!$A:$A,'3-TECHNICAL TABULATION'!C:C)="","",_xlfn.XLOOKUP($A58,'3-TECHNICAL TABULATION'!$A:$A,'3-TECHNICAL TABULATION'!C:C)),"")</f>
        <v/>
      </c>
      <c r="D58" s="219" t="str">
        <f>IFERROR(IF(_xlfn.XLOOKUP($A58,'3-TECHNICAL TABULATION'!$A:$A,'3-TECHNICAL TABULATION'!D:D)="","",_xlfn.XLOOKUP($A58,'3-TECHNICAL TABULATION'!$A:$A,'3-TECHNICAL TABULATION'!D:D)),"")</f>
        <v/>
      </c>
    </row>
    <row r="59" spans="1:4" x14ac:dyDescent="0.25">
      <c r="A59" s="87" t="s">
        <v>154</v>
      </c>
      <c r="B59" s="50" t="str">
        <f>IFERROR(IF(_xlfn.XLOOKUP($A59,'3-TECHNICAL TABULATION'!$A:$A,'3-TECHNICAL TABULATION'!B:B)="","",_xlfn.XLOOKUP($A59,'3-TECHNICAL TABULATION'!$A:$A,'3-TECHNICAL TABULATION'!B:B)),"")</f>
        <v>[yes/no]</v>
      </c>
      <c r="C59" s="38" t="str">
        <f>IFERROR(IF(_xlfn.XLOOKUP($A59,'3-TECHNICAL TABULATION'!$A:$A,'3-TECHNICAL TABULATION'!C:C)="","",_xlfn.XLOOKUP($A59,'3-TECHNICAL TABULATION'!$A:$A,'3-TECHNICAL TABULATION'!C:C)),"")</f>
        <v/>
      </c>
      <c r="D59" s="219" t="str">
        <f>IFERROR(IF(_xlfn.XLOOKUP($A59,'3-TECHNICAL TABULATION'!$A:$A,'3-TECHNICAL TABULATION'!D:D)="","",_xlfn.XLOOKUP($A59,'3-TECHNICAL TABULATION'!$A:$A,'3-TECHNICAL TABULATION'!D:D)),"")</f>
        <v/>
      </c>
    </row>
    <row r="60" spans="1:4" x14ac:dyDescent="0.25">
      <c r="A60" s="87" t="s">
        <v>155</v>
      </c>
      <c r="B60" s="50" t="str">
        <f>IFERROR(IF(_xlfn.XLOOKUP($A60,'3-TECHNICAL TABULATION'!$A:$A,'3-TECHNICAL TABULATION'!B:B)="","",_xlfn.XLOOKUP($A60,'3-TECHNICAL TABULATION'!$A:$A,'3-TECHNICAL TABULATION'!B:B)),"")</f>
        <v/>
      </c>
      <c r="C60" s="38" t="str">
        <f>IFERROR(IF(_xlfn.XLOOKUP($A60,'3-TECHNICAL TABULATION'!$A:$A,'3-TECHNICAL TABULATION'!C:C)="","",_xlfn.XLOOKUP($A60,'3-TECHNICAL TABULATION'!$A:$A,'3-TECHNICAL TABULATION'!C:C)),"")</f>
        <v/>
      </c>
      <c r="D60" s="219" t="str">
        <f>IFERROR(IF(_xlfn.XLOOKUP($A60,'3-TECHNICAL TABULATION'!$A:$A,'3-TECHNICAL TABULATION'!D:D)="","",_xlfn.XLOOKUP($A60,'3-TECHNICAL TABULATION'!$A:$A,'3-TECHNICAL TABULATION'!D:D)),"")</f>
        <v/>
      </c>
    </row>
    <row r="61" spans="1:4" x14ac:dyDescent="0.25">
      <c r="A61" s="87" t="s">
        <v>156</v>
      </c>
      <c r="B61" s="50" t="str">
        <f>IFERROR(IF(_xlfn.XLOOKUP($A61,'3-TECHNICAL TABULATION'!$A:$A,'3-TECHNICAL TABULATION'!B:B)="","",_xlfn.XLOOKUP($A61,'3-TECHNICAL TABULATION'!$A:$A,'3-TECHNICAL TABULATION'!B:B)),"")</f>
        <v>[mm/no orifice]</v>
      </c>
      <c r="C61" s="38" t="str">
        <f>IFERROR(IF(_xlfn.XLOOKUP($A61,'3-TECHNICAL TABULATION'!$A:$A,'3-TECHNICAL TABULATION'!C:C)="","",_xlfn.XLOOKUP($A61,'3-TECHNICAL TABULATION'!$A:$A,'3-TECHNICAL TABULATION'!C:C)),"")</f>
        <v/>
      </c>
      <c r="D61" s="219" t="str">
        <f>IFERROR(IF(_xlfn.XLOOKUP($A61,'3-TECHNICAL TABULATION'!$A:$A,'3-TECHNICAL TABULATION'!D:D)="","",_xlfn.XLOOKUP($A61,'3-TECHNICAL TABULATION'!$A:$A,'3-TECHNICAL TABULATION'!D:D)),"")</f>
        <v/>
      </c>
    </row>
    <row r="62" spans="1:4" x14ac:dyDescent="0.25">
      <c r="A62" s="87" t="s">
        <v>458</v>
      </c>
      <c r="B62" s="50" t="str">
        <f>IFERROR(IF(_xlfn.XLOOKUP($A62,'3-TECHNICAL TABULATION'!$A:$A,'3-TECHNICAL TABULATION'!B:B)="","",_xlfn.XLOOKUP($A62,'3-TECHNICAL TABULATION'!$A:$A,'3-TECHNICAL TABULATION'!B:B)),"")</f>
        <v>[yes/no]</v>
      </c>
      <c r="C62" s="38" t="str">
        <f>IFERROR(IF(_xlfn.XLOOKUP($A62,'3-TECHNICAL TABULATION'!$A:$A,'3-TECHNICAL TABULATION'!C:C)="","",_xlfn.XLOOKUP($A62,'3-TECHNICAL TABULATION'!$A:$A,'3-TECHNICAL TABULATION'!C:C)),"")</f>
        <v/>
      </c>
      <c r="D62" s="219" t="str">
        <f>IFERROR(IF(_xlfn.XLOOKUP($A62,'3-TECHNICAL TABULATION'!$A:$A,'3-TECHNICAL TABULATION'!D:D)="","",_xlfn.XLOOKUP($A62,'3-TECHNICAL TABULATION'!$A:$A,'3-TECHNICAL TABULATION'!D:D)),"")</f>
        <v/>
      </c>
    </row>
    <row r="63" spans="1:4" x14ac:dyDescent="0.25">
      <c r="A63" s="87" t="s">
        <v>157</v>
      </c>
      <c r="B63" s="50" t="str">
        <f>IFERROR(IF(_xlfn.XLOOKUP($A63,'3-TECHNICAL TABULATION'!$A:$A,'3-TECHNICAL TABULATION'!B:B)="","",_xlfn.XLOOKUP($A63,'3-TECHNICAL TABULATION'!$A:$A,'3-TECHNICAL TABULATION'!B:B)),"")</f>
        <v>[mm/no orifice]</v>
      </c>
      <c r="C63" s="38" t="str">
        <f>IFERROR(IF(_xlfn.XLOOKUP($A63,'3-TECHNICAL TABULATION'!$A:$A,'3-TECHNICAL TABULATION'!C:C)="","",_xlfn.XLOOKUP($A63,'3-TECHNICAL TABULATION'!$A:$A,'3-TECHNICAL TABULATION'!C:C)),"")</f>
        <v/>
      </c>
      <c r="D63" s="219" t="str">
        <f>IFERROR(IF(_xlfn.XLOOKUP($A63,'3-TECHNICAL TABULATION'!$A:$A,'3-TECHNICAL TABULATION'!D:D)="","",_xlfn.XLOOKUP($A63,'3-TECHNICAL TABULATION'!$A:$A,'3-TECHNICAL TABULATION'!D:D)),"")</f>
        <v/>
      </c>
    </row>
    <row r="64" spans="1:4" x14ac:dyDescent="0.25">
      <c r="A64" s="87" t="s">
        <v>456</v>
      </c>
      <c r="B64" s="50" t="str">
        <f>IFERROR(IF(_xlfn.XLOOKUP($A64,'3-TECHNICAL TABULATION'!$A:$A,'3-TECHNICAL TABULATION'!B:B)="","",_xlfn.XLOOKUP($A64,'3-TECHNICAL TABULATION'!$A:$A,'3-TECHNICAL TABULATION'!B:B)),"")</f>
        <v>kW</v>
      </c>
      <c r="C64" s="38" t="str">
        <f>IFERROR(IF(_xlfn.XLOOKUP($A64,'3-TECHNICAL TABULATION'!$A:$A,'3-TECHNICAL TABULATION'!C:C)="","",_xlfn.XLOOKUP($A64,'3-TECHNICAL TABULATION'!$A:$A,'3-TECHNICAL TABULATION'!C:C)),"")</f>
        <v>missing input data</v>
      </c>
      <c r="D64" s="219" t="str">
        <f>IFERROR(IF(_xlfn.XLOOKUP($A64,'3-TECHNICAL TABULATION'!$A:$A,'3-TECHNICAL TABULATION'!D:D)="","",_xlfn.XLOOKUP($A64,'3-TECHNICAL TABULATION'!$A:$A,'3-TECHNICAL TABULATION'!D:D)),"")</f>
        <v/>
      </c>
    </row>
    <row r="65" spans="1:4" x14ac:dyDescent="0.25">
      <c r="A65" s="87" t="s">
        <v>600</v>
      </c>
      <c r="B65" s="50" t="str">
        <f>IFERROR(IF(_xlfn.XLOOKUP($A65,'3-TECHNICAL TABULATION'!$A:$A,'3-TECHNICAL TABULATION'!B:B)="","",_xlfn.XLOOKUP($A65,'3-TECHNICAL TABULATION'!$A:$A,'3-TECHNICAL TABULATION'!B:B)),"")</f>
        <v>[number]</v>
      </c>
      <c r="C65" s="38" t="str">
        <f>IFERROR(IF(_xlfn.XLOOKUP($A65,'3-TECHNICAL TABULATION'!$A:$A,'3-TECHNICAL TABULATION'!C:C)="","",_xlfn.XLOOKUP($A65,'3-TECHNICAL TABULATION'!$A:$A,'3-TECHNICAL TABULATION'!C:C)),"")</f>
        <v/>
      </c>
      <c r="D65" s="219" t="str">
        <f>IFERROR(IF(_xlfn.XLOOKUP($A65,'3-TECHNICAL TABULATION'!$A:$A,'3-TECHNICAL TABULATION'!D:D)="","",_xlfn.XLOOKUP($A65,'3-TECHNICAL TABULATION'!$A:$A,'3-TECHNICAL TABULATION'!D:D)),"")</f>
        <v/>
      </c>
    </row>
    <row r="66" spans="1:4" x14ac:dyDescent="0.25">
      <c r="A66" s="96" t="s">
        <v>601</v>
      </c>
      <c r="B66" s="50" t="str">
        <f>IFERROR(IF(_xlfn.XLOOKUP($A66,'3-TECHNICAL TABULATION'!$A:$A,'3-TECHNICAL TABULATION'!B:B)="","",_xlfn.XLOOKUP($A66,'3-TECHNICAL TABULATION'!$A:$A,'3-TECHNICAL TABULATION'!B:B)),"")</f>
        <v>[number]</v>
      </c>
      <c r="C66" s="38" t="str">
        <f>IFERROR(IF(_xlfn.XLOOKUP($A66,'3-TECHNICAL TABULATION'!$A:$A,'3-TECHNICAL TABULATION'!C:C)="","",_xlfn.XLOOKUP($A66,'3-TECHNICAL TABULATION'!$A:$A,'3-TECHNICAL TABULATION'!C:C)),"")</f>
        <v/>
      </c>
      <c r="D66" s="219" t="str">
        <f>IFERROR(IF(_xlfn.XLOOKUP($A66,'3-TECHNICAL TABULATION'!$A:$A,'3-TECHNICAL TABULATION'!D:D)="","",_xlfn.XLOOKUP($A66,'3-TECHNICAL TABULATION'!$A:$A,'3-TECHNICAL TABULATION'!D:D)),"")</f>
        <v/>
      </c>
    </row>
    <row r="67" spans="1:4" x14ac:dyDescent="0.25">
      <c r="A67" s="87" t="s">
        <v>158</v>
      </c>
      <c r="B67" s="50" t="str">
        <f>IFERROR(IF(_xlfn.XLOOKUP($A67,'3-TECHNICAL TABULATION'!$A:$A,'3-TECHNICAL TABULATION'!B:B)="","",_xlfn.XLOOKUP($A67,'3-TECHNICAL TABULATION'!$A:$A,'3-TECHNICAL TABULATION'!B:B)),"")</f>
        <v>[none/list]</v>
      </c>
      <c r="C67" s="38" t="str">
        <f>IFERROR(IF(_xlfn.XLOOKUP($A67,'3-TECHNICAL TABULATION'!$A:$A,'3-TECHNICAL TABULATION'!C:C)="","",_xlfn.XLOOKUP($A67,'3-TECHNICAL TABULATION'!$A:$A,'3-TECHNICAL TABULATION'!C:C)),"")</f>
        <v/>
      </c>
      <c r="D67" s="219" t="str">
        <f>IFERROR(IF(_xlfn.XLOOKUP($A67,'3-TECHNICAL TABULATION'!$A:$A,'3-TECHNICAL TABULATION'!D:D)="","",_xlfn.XLOOKUP($A67,'3-TECHNICAL TABULATION'!$A:$A,'3-TECHNICAL TABULATION'!D:D)),"")</f>
        <v/>
      </c>
    </row>
    <row r="68" spans="1:4" x14ac:dyDescent="0.25">
      <c r="A68" s="87" t="s">
        <v>159</v>
      </c>
      <c r="B68" s="50" t="str">
        <f>IFERROR(IF(_xlfn.XLOOKUP($A68,'3-TECHNICAL TABULATION'!$A:$A,'3-TECHNICAL TABULATION'!B:B)="","",_xlfn.XLOOKUP($A68,'3-TECHNICAL TABULATION'!$A:$A,'3-TECHNICAL TABULATION'!B:B)),"")</f>
        <v/>
      </c>
      <c r="C68" s="38" t="str">
        <f>IFERROR(IF(_xlfn.XLOOKUP($A68,'3-TECHNICAL TABULATION'!$A:$A,'3-TECHNICAL TABULATION'!C:C)="","",_xlfn.XLOOKUP($A68,'3-TECHNICAL TABULATION'!$A:$A,'3-TECHNICAL TABULATION'!C:C)),"")</f>
        <v/>
      </c>
      <c r="D68" s="219" t="str">
        <f>IFERROR(IF(_xlfn.XLOOKUP($A68,'3-TECHNICAL TABULATION'!$A:$A,'3-TECHNICAL TABULATION'!D:D)="","",_xlfn.XLOOKUP($A68,'3-TECHNICAL TABULATION'!$A:$A,'3-TECHNICAL TABULATION'!D:D)),"")</f>
        <v/>
      </c>
    </row>
    <row r="69" spans="1:4" x14ac:dyDescent="0.25">
      <c r="A69" s="87" t="s">
        <v>160</v>
      </c>
      <c r="B69" s="50" t="str">
        <f>IFERROR(IF(_xlfn.XLOOKUP($A69,'3-TECHNICAL TABULATION'!$A:$A,'3-TECHNICAL TABULATION'!B:B)="","",_xlfn.XLOOKUP($A69,'3-TECHNICAL TABULATION'!$A:$A,'3-TECHNICAL TABULATION'!B:B)),"")</f>
        <v/>
      </c>
      <c r="C69" s="38" t="str">
        <f>IFERROR(IF(_xlfn.XLOOKUP($A69,'3-TECHNICAL TABULATION'!$A:$A,'3-TECHNICAL TABULATION'!C:C)="","",_xlfn.XLOOKUP($A69,'3-TECHNICAL TABULATION'!$A:$A,'3-TECHNICAL TABULATION'!C:C)),"")</f>
        <v/>
      </c>
      <c r="D69" s="219" t="str">
        <f>IFERROR(IF(_xlfn.XLOOKUP($A69,'3-TECHNICAL TABULATION'!$A:$A,'3-TECHNICAL TABULATION'!D:D)="","",_xlfn.XLOOKUP($A69,'3-TECHNICAL TABULATION'!$A:$A,'3-TECHNICAL TABULATION'!D:D)),"")</f>
        <v/>
      </c>
    </row>
    <row r="70" spans="1:4" x14ac:dyDescent="0.25">
      <c r="A70" s="87" t="s">
        <v>161</v>
      </c>
      <c r="B70" s="50" t="str">
        <f>IFERROR(IF(_xlfn.XLOOKUP($A70,'3-TECHNICAL TABULATION'!$A:$A,'3-TECHNICAL TABULATION'!B:B)="","",_xlfn.XLOOKUP($A70,'3-TECHNICAL TABULATION'!$A:$A,'3-TECHNICAL TABULATION'!B:B)),"")</f>
        <v/>
      </c>
      <c r="C70" s="38" t="str">
        <f>IFERROR(IF(_xlfn.XLOOKUP($A70,'3-TECHNICAL TABULATION'!$A:$A,'3-TECHNICAL TABULATION'!C:C)="","",_xlfn.XLOOKUP($A70,'3-TECHNICAL TABULATION'!$A:$A,'3-TECHNICAL TABULATION'!C:C)),"")</f>
        <v/>
      </c>
      <c r="D70" s="219" t="str">
        <f>IFERROR(IF(_xlfn.XLOOKUP($A70,'3-TECHNICAL TABULATION'!$A:$A,'3-TECHNICAL TABULATION'!D:D)="","",_xlfn.XLOOKUP($A70,'3-TECHNICAL TABULATION'!$A:$A,'3-TECHNICAL TABULATION'!D:D)),"")</f>
        <v/>
      </c>
    </row>
    <row r="71" spans="1:4" x14ac:dyDescent="0.25">
      <c r="A71" s="87" t="s">
        <v>162</v>
      </c>
      <c r="B71" s="50" t="str">
        <f>IFERROR(IF(_xlfn.XLOOKUP($A71,'3-TECHNICAL TABULATION'!$A:$A,'3-TECHNICAL TABULATION'!B:B)="","",_xlfn.XLOOKUP($A71,'3-TECHNICAL TABULATION'!$A:$A,'3-TECHNICAL TABULATION'!B:B)),"")</f>
        <v/>
      </c>
      <c r="C71" s="38" t="str">
        <f>IFERROR(IF(_xlfn.XLOOKUP($A71,'3-TECHNICAL TABULATION'!$A:$A,'3-TECHNICAL TABULATION'!C:C)="","",_xlfn.XLOOKUP($A71,'3-TECHNICAL TABULATION'!$A:$A,'3-TECHNICAL TABULATION'!C:C)),"")</f>
        <v/>
      </c>
      <c r="D71" s="219" t="str">
        <f>IFERROR(IF(_xlfn.XLOOKUP($A71,'3-TECHNICAL TABULATION'!$A:$A,'3-TECHNICAL TABULATION'!D:D)="","",_xlfn.XLOOKUP($A71,'3-TECHNICAL TABULATION'!$A:$A,'3-TECHNICAL TABULATION'!D:D)),"")</f>
        <v/>
      </c>
    </row>
    <row r="72" spans="1:4" x14ac:dyDescent="0.25">
      <c r="A72" s="87" t="s">
        <v>163</v>
      </c>
      <c r="B72" s="50" t="str">
        <f>IFERROR(IF(_xlfn.XLOOKUP($A72,'3-TECHNICAL TABULATION'!$A:$A,'3-TECHNICAL TABULATION'!B:B)="","",_xlfn.XLOOKUP($A72,'3-TECHNICAL TABULATION'!$A:$A,'3-TECHNICAL TABULATION'!B:B)),"")</f>
        <v/>
      </c>
      <c r="C72" s="38" t="str">
        <f>IFERROR(IF(_xlfn.XLOOKUP($A72,'3-TECHNICAL TABULATION'!$A:$A,'3-TECHNICAL TABULATION'!C:C)="","",_xlfn.XLOOKUP($A72,'3-TECHNICAL TABULATION'!$A:$A,'3-TECHNICAL TABULATION'!C:C)),"")</f>
        <v/>
      </c>
      <c r="D72" s="219" t="str">
        <f>IFERROR(IF(_xlfn.XLOOKUP($A72,'3-TECHNICAL TABULATION'!$A:$A,'3-TECHNICAL TABULATION'!D:D)="","",_xlfn.XLOOKUP($A72,'3-TECHNICAL TABULATION'!$A:$A,'3-TECHNICAL TABULATION'!D:D)),"")</f>
        <v/>
      </c>
    </row>
    <row r="73" spans="1:4" ht="15.75" thickBot="1" x14ac:dyDescent="0.3">
      <c r="A73" s="89" t="s">
        <v>164</v>
      </c>
      <c r="B73" s="50" t="str">
        <f>IFERROR(IF(_xlfn.XLOOKUP($A73,'3-TECHNICAL TABULATION'!$A:$A,'3-TECHNICAL TABULATION'!B:B)="","",_xlfn.XLOOKUP($A73,'3-TECHNICAL TABULATION'!$A:$A,'3-TECHNICAL TABULATION'!B:B)),"")</f>
        <v/>
      </c>
      <c r="C73" s="38" t="str">
        <f>IFERROR(IF(_xlfn.XLOOKUP($A73,'3-TECHNICAL TABULATION'!$A:$A,'3-TECHNICAL TABULATION'!C:C)="","",_xlfn.XLOOKUP($A73,'3-TECHNICAL TABULATION'!$A:$A,'3-TECHNICAL TABULATION'!C:C)),"")</f>
        <v/>
      </c>
      <c r="D73" s="219" t="str">
        <f>IFERROR(IF(_xlfn.XLOOKUP($A73,'3-TECHNICAL TABULATION'!$A:$A,'3-TECHNICAL TABULATION'!D:D)="","",_xlfn.XLOOKUP($A73,'3-TECHNICAL TABULATION'!$A:$A,'3-TECHNICAL TABULATION'!D:D)),"")</f>
        <v/>
      </c>
    </row>
    <row r="74" spans="1:4" x14ac:dyDescent="0.25">
      <c r="A74" s="12" t="s">
        <v>407</v>
      </c>
      <c r="B74" s="51" t="str">
        <f>IFERROR(IF(_xlfn.XLOOKUP($A74,'3-TECHNICAL TABULATION'!$A:$A,'3-TECHNICAL TABULATION'!B:B)="","",_xlfn.XLOOKUP($A74,'3-TECHNICAL TABULATION'!$A:$A,'3-TECHNICAL TABULATION'!B:B)),"")</f>
        <v/>
      </c>
      <c r="C74" s="68" t="str">
        <f>IFERROR(IF(_xlfn.XLOOKUP($A74,'3-TECHNICAL TABULATION'!$A:$A,'3-TECHNICAL TABULATION'!C:C)="","",_xlfn.XLOOKUP($A74,'3-TECHNICAL TABULATION'!$A:$A,'3-TECHNICAL TABULATION'!C:C)),"")</f>
        <v/>
      </c>
      <c r="D74" s="220" t="str">
        <f>IFERROR(IF(_xlfn.XLOOKUP($A74,'3-TECHNICAL TABULATION'!$A:$A,'3-TECHNICAL TABULATION'!D:D)="","",_xlfn.XLOOKUP($A74,'3-TECHNICAL TABULATION'!$A:$A,'3-TECHNICAL TABULATION'!D:D)),"")</f>
        <v/>
      </c>
    </row>
    <row r="75" spans="1:4" x14ac:dyDescent="0.25">
      <c r="A75" s="87" t="s">
        <v>166</v>
      </c>
      <c r="B75" s="52" t="str">
        <f>IFERROR(IF(_xlfn.XLOOKUP($A75,'3-TECHNICAL TABULATION'!$A:$A,'3-TECHNICAL TABULATION'!B:B)="","",_xlfn.XLOOKUP($A75,'3-TECHNICAL TABULATION'!$A:$A,'3-TECHNICAL TABULATION'!B:B)),"")</f>
        <v>°C</v>
      </c>
      <c r="C75" s="38" t="str">
        <f>IFERROR(IF(_xlfn.XLOOKUP($A75,'3-TECHNICAL TABULATION'!$A:$A,'3-TECHNICAL TABULATION'!C:C)="","",_xlfn.XLOOKUP($A75,'3-TECHNICAL TABULATION'!$A:$A,'3-TECHNICAL TABULATION'!C:C)),"")</f>
        <v/>
      </c>
      <c r="D75" s="39" t="str">
        <f>IFERROR(IF(_xlfn.XLOOKUP($A75,'3-TECHNICAL TABULATION'!$A:$A,'3-TECHNICAL TABULATION'!D:D)="","",_xlfn.XLOOKUP($A75,'3-TECHNICAL TABULATION'!$A:$A,'3-TECHNICAL TABULATION'!D:D)),"")</f>
        <v/>
      </c>
    </row>
    <row r="76" spans="1:4" x14ac:dyDescent="0.25">
      <c r="A76" s="87" t="s">
        <v>167</v>
      </c>
      <c r="B76" s="52" t="str">
        <f>IFERROR(IF(_xlfn.XLOOKUP($A76,'3-TECHNICAL TABULATION'!$A:$A,'3-TECHNICAL TABULATION'!B:B)="","",_xlfn.XLOOKUP($A76,'3-TECHNICAL TABULATION'!$A:$A,'3-TECHNICAL TABULATION'!B:B)),"")</f>
        <v>deg C</v>
      </c>
      <c r="C76" s="38" t="str">
        <f>IFERROR(IF(_xlfn.XLOOKUP($A76,'3-TECHNICAL TABULATION'!$A:$A,'3-TECHNICAL TABULATION'!C:C)="","",_xlfn.XLOOKUP($A76,'3-TECHNICAL TABULATION'!$A:$A,'3-TECHNICAL TABULATION'!C:C)),"")</f>
        <v/>
      </c>
      <c r="D76" s="39" t="str">
        <f>IFERROR(IF(_xlfn.XLOOKUP($A76,'3-TECHNICAL TABULATION'!$A:$A,'3-TECHNICAL TABULATION'!D:D)="","",_xlfn.XLOOKUP($A76,'3-TECHNICAL TABULATION'!$A:$A,'3-TECHNICAL TABULATION'!D:D)),"")</f>
        <v/>
      </c>
    </row>
    <row r="77" spans="1:4" x14ac:dyDescent="0.25">
      <c r="A77" s="87" t="s">
        <v>345</v>
      </c>
      <c r="B77" s="52" t="str">
        <f>IFERROR(IF(_xlfn.XLOOKUP($A77,'3-TECHNICAL TABULATION'!$A:$A,'3-TECHNICAL TABULATION'!B:B)="","",_xlfn.XLOOKUP($A77,'3-TECHNICAL TABULATION'!$A:$A,'3-TECHNICAL TABULATION'!B:B)),"")</f>
        <v>bar.g</v>
      </c>
      <c r="C77" s="38" t="str">
        <f>IFERROR(IF(_xlfn.XLOOKUP($A77,'3-TECHNICAL TABULATION'!$A:$A,'3-TECHNICAL TABULATION'!C:C)="","",_xlfn.XLOOKUP($A77,'3-TECHNICAL TABULATION'!$A:$A,'3-TECHNICAL TABULATION'!C:C)),"")</f>
        <v/>
      </c>
      <c r="D77" s="39" t="str">
        <f>IFERROR(IF(_xlfn.XLOOKUP($A77,'3-TECHNICAL TABULATION'!$A:$A,'3-TECHNICAL TABULATION'!D:D)="","",_xlfn.XLOOKUP($A77,'3-TECHNICAL TABULATION'!$A:$A,'3-TECHNICAL TABULATION'!D:D)),"")</f>
        <v/>
      </c>
    </row>
    <row r="78" spans="1:4" x14ac:dyDescent="0.25">
      <c r="A78" s="87" t="s">
        <v>168</v>
      </c>
      <c r="B78" s="52" t="str">
        <f>IFERROR(IF(_xlfn.XLOOKUP($A78,'3-TECHNICAL TABULATION'!$A:$A,'3-TECHNICAL TABULATION'!B:B)="","",_xlfn.XLOOKUP($A78,'3-TECHNICAL TABULATION'!$A:$A,'3-TECHNICAL TABULATION'!B:B)),"")</f>
        <v>bar.g</v>
      </c>
      <c r="C78" s="38" t="str">
        <f>IFERROR(IF(_xlfn.XLOOKUP($A78,'3-TECHNICAL TABULATION'!$A:$A,'3-TECHNICAL TABULATION'!C:C)="","",_xlfn.XLOOKUP($A78,'3-TECHNICAL TABULATION'!$A:$A,'3-TECHNICAL TABULATION'!C:C)),"")</f>
        <v/>
      </c>
      <c r="D78" s="39" t="str">
        <f>IFERROR(IF(_xlfn.XLOOKUP($A78,'3-TECHNICAL TABULATION'!$A:$A,'3-TECHNICAL TABULATION'!D:D)="","",_xlfn.XLOOKUP($A78,'3-TECHNICAL TABULATION'!$A:$A,'3-TECHNICAL TABULATION'!D:D)),"")</f>
        <v/>
      </c>
    </row>
    <row r="79" spans="1:4" x14ac:dyDescent="0.25">
      <c r="A79" s="87" t="s">
        <v>169</v>
      </c>
      <c r="B79" s="52" t="str">
        <f>IFERROR(IF(_xlfn.XLOOKUP($A79,'3-TECHNICAL TABULATION'!$A:$A,'3-TECHNICAL TABULATION'!B:B)="","",_xlfn.XLOOKUP($A79,'3-TECHNICAL TABULATION'!$A:$A,'3-TECHNICAL TABULATION'!B:B)),"")</f>
        <v>bar.g</v>
      </c>
      <c r="C79" s="38" t="str">
        <f>IFERROR(IF(_xlfn.XLOOKUP($A79,'3-TECHNICAL TABULATION'!$A:$A,'3-TECHNICAL TABULATION'!C:C)="","",_xlfn.XLOOKUP($A79,'3-TECHNICAL TABULATION'!$A:$A,'3-TECHNICAL TABULATION'!C:C)),"")</f>
        <v>missing input data</v>
      </c>
      <c r="D79" s="39" t="str">
        <f>IFERROR(IF(_xlfn.XLOOKUP($A79,'3-TECHNICAL TABULATION'!$A:$A,'3-TECHNICAL TABULATION'!D:D)="","",_xlfn.XLOOKUP($A79,'3-TECHNICAL TABULATION'!$A:$A,'3-TECHNICAL TABULATION'!D:D)),"")</f>
        <v/>
      </c>
    </row>
    <row r="80" spans="1:4" x14ac:dyDescent="0.25">
      <c r="A80" s="87" t="s">
        <v>170</v>
      </c>
      <c r="B80" s="52" t="str">
        <f>IFERROR(IF(_xlfn.XLOOKUP($A80,'3-TECHNICAL TABULATION'!$A:$A,'3-TECHNICAL TABULATION'!B:B)="","",_xlfn.XLOOKUP($A80,'3-TECHNICAL TABULATION'!$A:$A,'3-TECHNICAL TABULATION'!B:B)),"")</f>
        <v>bar.g</v>
      </c>
      <c r="C80" s="38" t="str">
        <f>IFERROR(IF(_xlfn.XLOOKUP($A80,'3-TECHNICAL TABULATION'!$A:$A,'3-TECHNICAL TABULATION'!C:C)="","",_xlfn.XLOOKUP($A80,'3-TECHNICAL TABULATION'!$A:$A,'3-TECHNICAL TABULATION'!C:C)),"")</f>
        <v/>
      </c>
      <c r="D80" s="39" t="str">
        <f>IFERROR(IF(_xlfn.XLOOKUP($A80,'3-TECHNICAL TABULATION'!$A:$A,'3-TECHNICAL TABULATION'!D:D)="","",_xlfn.XLOOKUP($A80,'3-TECHNICAL TABULATION'!$A:$A,'3-TECHNICAL TABULATION'!D:D)),"")</f>
        <v/>
      </c>
    </row>
    <row r="81" spans="1:4" x14ac:dyDescent="0.25">
      <c r="A81" s="87" t="s">
        <v>171</v>
      </c>
      <c r="B81" s="52" t="str">
        <f>IFERROR(IF(_xlfn.XLOOKUP($A81,'3-TECHNICAL TABULATION'!$A:$A,'3-TECHNICAL TABULATION'!B:B)="","",_xlfn.XLOOKUP($A81,'3-TECHNICAL TABULATION'!$A:$A,'3-TECHNICAL TABULATION'!B:B)),"")</f>
        <v>bar.g</v>
      </c>
      <c r="C81" s="38" t="str">
        <f>IFERROR(IF(_xlfn.XLOOKUP($A81,'3-TECHNICAL TABULATION'!$A:$A,'3-TECHNICAL TABULATION'!C:C)="","",_xlfn.XLOOKUP($A81,'3-TECHNICAL TABULATION'!$A:$A,'3-TECHNICAL TABULATION'!C:C)),"")</f>
        <v/>
      </c>
      <c r="D81" s="39" t="str">
        <f>IFERROR(IF(_xlfn.XLOOKUP($A81,'3-TECHNICAL TABULATION'!$A:$A,'3-TECHNICAL TABULATION'!D:D)="","",_xlfn.XLOOKUP($A81,'3-TECHNICAL TABULATION'!$A:$A,'3-TECHNICAL TABULATION'!D:D)),"")</f>
        <v/>
      </c>
    </row>
    <row r="82" spans="1:4" x14ac:dyDescent="0.25">
      <c r="A82" s="87" t="s">
        <v>172</v>
      </c>
      <c r="B82" s="52" t="str">
        <f>IFERROR(IF(_xlfn.XLOOKUP($A82,'3-TECHNICAL TABULATION'!$A:$A,'3-TECHNICAL TABULATION'!B:B)="","",_xlfn.XLOOKUP($A82,'3-TECHNICAL TABULATION'!$A:$A,'3-TECHNICAL TABULATION'!B:B)),"")</f>
        <v>bar.g</v>
      </c>
      <c r="C82" s="38" t="str">
        <f>IFERROR(IF(_xlfn.XLOOKUP($A82,'3-TECHNICAL TABULATION'!$A:$A,'3-TECHNICAL TABULATION'!C:C)="","",_xlfn.XLOOKUP($A82,'3-TECHNICAL TABULATION'!$A:$A,'3-TECHNICAL TABULATION'!C:C)),"")</f>
        <v/>
      </c>
      <c r="D82" s="39" t="str">
        <f>IFERROR(IF(_xlfn.XLOOKUP($A82,'3-TECHNICAL TABULATION'!$A:$A,'3-TECHNICAL TABULATION'!D:D)="","",_xlfn.XLOOKUP($A82,'3-TECHNICAL TABULATION'!$A:$A,'3-TECHNICAL TABULATION'!D:D)),"")</f>
        <v/>
      </c>
    </row>
    <row r="83" spans="1:4" x14ac:dyDescent="0.25">
      <c r="A83" s="87" t="s">
        <v>173</v>
      </c>
      <c r="B83" s="52" t="str">
        <f>IFERROR(IF(_xlfn.XLOOKUP($A83,'3-TECHNICAL TABULATION'!$A:$A,'3-TECHNICAL TABULATION'!B:B)="","",_xlfn.XLOOKUP($A83,'3-TECHNICAL TABULATION'!$A:$A,'3-TECHNICAL TABULATION'!B:B)),"")</f>
        <v>bar.g</v>
      </c>
      <c r="C83" s="38" t="str">
        <f>IFERROR(IF(_xlfn.XLOOKUP($A83,'3-TECHNICAL TABULATION'!$A:$A,'3-TECHNICAL TABULATION'!C:C)="","",_xlfn.XLOOKUP($A83,'3-TECHNICAL TABULATION'!$A:$A,'3-TECHNICAL TABULATION'!C:C)),"")</f>
        <v/>
      </c>
      <c r="D83" s="39" t="str">
        <f>IFERROR(IF(_xlfn.XLOOKUP($A83,'3-TECHNICAL TABULATION'!$A:$A,'3-TECHNICAL TABULATION'!D:D)="","",_xlfn.XLOOKUP($A83,'3-TECHNICAL TABULATION'!$A:$A,'3-TECHNICAL TABULATION'!D:D)),"")</f>
        <v/>
      </c>
    </row>
    <row r="84" spans="1:4" x14ac:dyDescent="0.25">
      <c r="A84" s="87" t="s">
        <v>174</v>
      </c>
      <c r="B84" s="52" t="str">
        <f>IFERROR(IF(_xlfn.XLOOKUP($A84,'3-TECHNICAL TABULATION'!$A:$A,'3-TECHNICAL TABULATION'!B:B)="","",_xlfn.XLOOKUP($A84,'3-TECHNICAL TABULATION'!$A:$A,'3-TECHNICAL TABULATION'!B:B)),"")</f>
        <v>bar.g</v>
      </c>
      <c r="C84" s="38" t="str">
        <f>IFERROR(IF(_xlfn.XLOOKUP($A84,'3-TECHNICAL TABULATION'!$A:$A,'3-TECHNICAL TABULATION'!C:C)="","",_xlfn.XLOOKUP($A84,'3-TECHNICAL TABULATION'!$A:$A,'3-TECHNICAL TABULATION'!C:C)),"")</f>
        <v/>
      </c>
      <c r="D84" s="39" t="str">
        <f>IFERROR(IF(_xlfn.XLOOKUP($A84,'3-TECHNICAL TABULATION'!$A:$A,'3-TECHNICAL TABULATION'!D:D)="","",_xlfn.XLOOKUP($A84,'3-TECHNICAL TABULATION'!$A:$A,'3-TECHNICAL TABULATION'!D:D)),"")</f>
        <v/>
      </c>
    </row>
    <row r="85" spans="1:4" x14ac:dyDescent="0.25">
      <c r="A85" s="87" t="s">
        <v>175</v>
      </c>
      <c r="B85" s="52" t="str">
        <f>IFERROR(IF(_xlfn.XLOOKUP($A85,'3-TECHNICAL TABULATION'!$A:$A,'3-TECHNICAL TABULATION'!B:B)="","",_xlfn.XLOOKUP($A85,'3-TECHNICAL TABULATION'!$A:$A,'3-TECHNICAL TABULATION'!B:B)),"")</f>
        <v>bar.g</v>
      </c>
      <c r="C85" s="38" t="str">
        <f>IFERROR(IF(_xlfn.XLOOKUP($A85,'3-TECHNICAL TABULATION'!$A:$A,'3-TECHNICAL TABULATION'!C:C)="","",_xlfn.XLOOKUP($A85,'3-TECHNICAL TABULATION'!$A:$A,'3-TECHNICAL TABULATION'!C:C)),"")</f>
        <v/>
      </c>
      <c r="D85" s="39" t="str">
        <f>IFERROR(IF(_xlfn.XLOOKUP($A85,'3-TECHNICAL TABULATION'!$A:$A,'3-TECHNICAL TABULATION'!D:D)="","",_xlfn.XLOOKUP($A85,'3-TECHNICAL TABULATION'!$A:$A,'3-TECHNICAL TABULATION'!D:D)),"")</f>
        <v/>
      </c>
    </row>
    <row r="86" spans="1:4" x14ac:dyDescent="0.25">
      <c r="A86" s="87" t="s">
        <v>176</v>
      </c>
      <c r="B86" s="52" t="str">
        <f>IFERROR(IF(_xlfn.XLOOKUP($A86,'3-TECHNICAL TABULATION'!$A:$A,'3-TECHNICAL TABULATION'!B:B)="","",_xlfn.XLOOKUP($A86,'3-TECHNICAL TABULATION'!$A:$A,'3-TECHNICAL TABULATION'!B:B)),"")</f>
        <v>bar.g</v>
      </c>
      <c r="C86" s="38" t="str">
        <f>IFERROR(IF(_xlfn.XLOOKUP($A86,'3-TECHNICAL TABULATION'!$A:$A,'3-TECHNICAL TABULATION'!C:C)="","",_xlfn.XLOOKUP($A86,'3-TECHNICAL TABULATION'!$A:$A,'3-TECHNICAL TABULATION'!C:C)),"")</f>
        <v/>
      </c>
      <c r="D86" s="39" t="str">
        <f>IFERROR(IF(_xlfn.XLOOKUP($A86,'3-TECHNICAL TABULATION'!$A:$A,'3-TECHNICAL TABULATION'!D:D)="","",_xlfn.XLOOKUP($A86,'3-TECHNICAL TABULATION'!$A:$A,'3-TECHNICAL TABULATION'!D:D)),"")</f>
        <v/>
      </c>
    </row>
    <row r="87" spans="1:4" x14ac:dyDescent="0.25">
      <c r="A87" s="87" t="s">
        <v>177</v>
      </c>
      <c r="B87" s="52" t="str">
        <f>IFERROR(IF(_xlfn.XLOOKUP($A87,'3-TECHNICAL TABULATION'!$A:$A,'3-TECHNICAL TABULATION'!B:B)="","",_xlfn.XLOOKUP($A87,'3-TECHNICAL TABULATION'!$A:$A,'3-TECHNICAL TABULATION'!B:B)),"")</f>
        <v>bar.g</v>
      </c>
      <c r="C87" s="38" t="str">
        <f>IFERROR(IF(_xlfn.XLOOKUP($A87,'3-TECHNICAL TABULATION'!$A:$A,'3-TECHNICAL TABULATION'!C:C)="","",_xlfn.XLOOKUP($A87,'3-TECHNICAL TABULATION'!$A:$A,'3-TECHNICAL TABULATION'!C:C)),"")</f>
        <v/>
      </c>
      <c r="D87" s="39" t="str">
        <f>IFERROR(IF(_xlfn.XLOOKUP($A87,'3-TECHNICAL TABULATION'!$A:$A,'3-TECHNICAL TABULATION'!D:D)="","",_xlfn.XLOOKUP($A87,'3-TECHNICAL TABULATION'!$A:$A,'3-TECHNICAL TABULATION'!D:D)),"")</f>
        <v/>
      </c>
    </row>
    <row r="88" spans="1:4" x14ac:dyDescent="0.25">
      <c r="A88" s="87" t="s">
        <v>178</v>
      </c>
      <c r="B88" s="52" t="str">
        <f>IFERROR(IF(_xlfn.XLOOKUP($A88,'3-TECHNICAL TABULATION'!$A:$A,'3-TECHNICAL TABULATION'!B:B)="","",_xlfn.XLOOKUP($A88,'3-TECHNICAL TABULATION'!$A:$A,'3-TECHNICAL TABULATION'!B:B)),"")</f>
        <v>bar.g</v>
      </c>
      <c r="C88" s="38" t="str">
        <f>IFERROR(IF(_xlfn.XLOOKUP($A88,'3-TECHNICAL TABULATION'!$A:$A,'3-TECHNICAL TABULATION'!C:C)="","",_xlfn.XLOOKUP($A88,'3-TECHNICAL TABULATION'!$A:$A,'3-TECHNICAL TABULATION'!C:C)),"")</f>
        <v/>
      </c>
      <c r="D88" s="39" t="str">
        <f>IFERROR(IF(_xlfn.XLOOKUP($A88,'3-TECHNICAL TABULATION'!$A:$A,'3-TECHNICAL TABULATION'!D:D)="","",_xlfn.XLOOKUP($A88,'3-TECHNICAL TABULATION'!$A:$A,'3-TECHNICAL TABULATION'!D:D)),"")</f>
        <v/>
      </c>
    </row>
    <row r="89" spans="1:4" ht="15.75" thickBot="1" x14ac:dyDescent="0.3">
      <c r="A89" s="89" t="s">
        <v>179</v>
      </c>
      <c r="B89" s="52" t="str">
        <f>IFERROR(IF(_xlfn.XLOOKUP($A89,'3-TECHNICAL TABULATION'!$A:$A,'3-TECHNICAL TABULATION'!B:B)="","",_xlfn.XLOOKUP($A89,'3-TECHNICAL TABULATION'!$A:$A,'3-TECHNICAL TABULATION'!B:B)),"")</f>
        <v>bar.g</v>
      </c>
      <c r="C89" s="38" t="str">
        <f>IFERROR(IF(_xlfn.XLOOKUP($A89,'3-TECHNICAL TABULATION'!$A:$A,'3-TECHNICAL TABULATION'!C:C)="","",_xlfn.XLOOKUP($A89,'3-TECHNICAL TABULATION'!$A:$A,'3-TECHNICAL TABULATION'!C:C)),"")</f>
        <v/>
      </c>
      <c r="D89" s="39" t="str">
        <f>IFERROR(IF(_xlfn.XLOOKUP($A89,'3-TECHNICAL TABULATION'!$A:$A,'3-TECHNICAL TABULATION'!D:D)="","",_xlfn.XLOOKUP($A89,'3-TECHNICAL TABULATION'!$A:$A,'3-TECHNICAL TABULATION'!D:D)),"")</f>
        <v/>
      </c>
    </row>
    <row r="90" spans="1:4" x14ac:dyDescent="0.25">
      <c r="A90" s="12" t="s">
        <v>408</v>
      </c>
      <c r="B90" s="51" t="str">
        <f>IFERROR(IF(_xlfn.XLOOKUP($A90,'3-TECHNICAL TABULATION'!$A:$A,'3-TECHNICAL TABULATION'!B:B)="","",_xlfn.XLOOKUP($A90,'3-TECHNICAL TABULATION'!$A:$A,'3-TECHNICAL TABULATION'!B:B)),"")</f>
        <v/>
      </c>
      <c r="C90" s="68" t="str">
        <f>IFERROR(IF(_xlfn.XLOOKUP($A90,'3-TECHNICAL TABULATION'!$A:$A,'3-TECHNICAL TABULATION'!C:C)="","",_xlfn.XLOOKUP($A90,'3-TECHNICAL TABULATION'!$A:$A,'3-TECHNICAL TABULATION'!C:C)),"")</f>
        <v/>
      </c>
      <c r="D90" s="220" t="str">
        <f>IFERROR(IF(_xlfn.XLOOKUP($A90,'3-TECHNICAL TABULATION'!$A:$A,'3-TECHNICAL TABULATION'!D:D)="","",_xlfn.XLOOKUP($A90,'3-TECHNICAL TABULATION'!$A:$A,'3-TECHNICAL TABULATION'!D:D)),"")</f>
        <v/>
      </c>
    </row>
    <row r="91" spans="1:4" x14ac:dyDescent="0.25">
      <c r="A91" s="87" t="s">
        <v>180</v>
      </c>
      <c r="B91" s="52" t="str">
        <f>IFERROR(IF(_xlfn.XLOOKUP($A91,'3-TECHNICAL TABULATION'!$A:$A,'3-TECHNICAL TABULATION'!B:B)="","",_xlfn.XLOOKUP($A91,'3-TECHNICAL TABULATION'!$A:$A,'3-TECHNICAL TABULATION'!B:B)),"")</f>
        <v/>
      </c>
      <c r="C91" s="38" t="str">
        <f>IFERROR(IF(_xlfn.XLOOKUP($A91,'3-TECHNICAL TABULATION'!$A:$A,'3-TECHNICAL TABULATION'!C:C)="","",_xlfn.XLOOKUP($A91,'3-TECHNICAL TABULATION'!$A:$A,'3-TECHNICAL TABULATION'!C:C)),"")</f>
        <v/>
      </c>
      <c r="D91" s="39" t="str">
        <f>IFERROR(IF(_xlfn.XLOOKUP($A91,'3-TECHNICAL TABULATION'!$A:$A,'3-TECHNICAL TABULATION'!D:D)="","",_xlfn.XLOOKUP($A91,'3-TECHNICAL TABULATION'!$A:$A,'3-TECHNICAL TABULATION'!D:D)),"")</f>
        <v/>
      </c>
    </row>
    <row r="92" spans="1:4" x14ac:dyDescent="0.25">
      <c r="A92" s="87" t="s">
        <v>181</v>
      </c>
      <c r="B92" s="52" t="str">
        <f>IFERROR(IF(_xlfn.XLOOKUP($A92,'3-TECHNICAL TABULATION'!$A:$A,'3-TECHNICAL TABULATION'!B:B)="","",_xlfn.XLOOKUP($A92,'3-TECHNICAL TABULATION'!$A:$A,'3-TECHNICAL TABULATION'!B:B)),"")</f>
        <v/>
      </c>
      <c r="C92" s="38" t="str">
        <f>IFERROR(IF(_xlfn.XLOOKUP($A92,'3-TECHNICAL TABULATION'!$A:$A,'3-TECHNICAL TABULATION'!C:C)="","",_xlfn.XLOOKUP($A92,'3-TECHNICAL TABULATION'!$A:$A,'3-TECHNICAL TABULATION'!C:C)),"")</f>
        <v/>
      </c>
      <c r="D92" s="39" t="str">
        <f>IFERROR(IF(_xlfn.XLOOKUP($A92,'3-TECHNICAL TABULATION'!$A:$A,'3-TECHNICAL TABULATION'!D:D)="","",_xlfn.XLOOKUP($A92,'3-TECHNICAL TABULATION'!$A:$A,'3-TECHNICAL TABULATION'!D:D)),"")</f>
        <v/>
      </c>
    </row>
    <row r="93" spans="1:4" x14ac:dyDescent="0.25">
      <c r="A93" s="87" t="s">
        <v>182</v>
      </c>
      <c r="B93" s="52" t="str">
        <f>IFERROR(IF(_xlfn.XLOOKUP($A93,'3-TECHNICAL TABULATION'!$A:$A,'3-TECHNICAL TABULATION'!B:B)="","",_xlfn.XLOOKUP($A93,'3-TECHNICAL TABULATION'!$A:$A,'3-TECHNICAL TABULATION'!B:B)),"")</f>
        <v/>
      </c>
      <c r="C93" s="38" t="str">
        <f>IFERROR(IF(_xlfn.XLOOKUP($A93,'3-TECHNICAL TABULATION'!$A:$A,'3-TECHNICAL TABULATION'!C:C)="","",_xlfn.XLOOKUP($A93,'3-TECHNICAL TABULATION'!$A:$A,'3-TECHNICAL TABULATION'!C:C)),"")</f>
        <v/>
      </c>
      <c r="D93" s="39" t="str">
        <f>IFERROR(IF(_xlfn.XLOOKUP($A93,'3-TECHNICAL TABULATION'!$A:$A,'3-TECHNICAL TABULATION'!D:D)="","",_xlfn.XLOOKUP($A93,'3-TECHNICAL TABULATION'!$A:$A,'3-TECHNICAL TABULATION'!D:D)),"")</f>
        <v/>
      </c>
    </row>
    <row r="94" spans="1:4" x14ac:dyDescent="0.25">
      <c r="A94" s="87" t="s">
        <v>183</v>
      </c>
      <c r="B94" s="52" t="str">
        <f>IFERROR(IF(_xlfn.XLOOKUP($A94,'3-TECHNICAL TABULATION'!$A:$A,'3-TECHNICAL TABULATION'!B:B)="","",_xlfn.XLOOKUP($A94,'3-TECHNICAL TABULATION'!$A:$A,'3-TECHNICAL TABULATION'!B:B)),"")</f>
        <v/>
      </c>
      <c r="C94" s="38" t="str">
        <f>IFERROR(IF(_xlfn.XLOOKUP($A94,'3-TECHNICAL TABULATION'!$A:$A,'3-TECHNICAL TABULATION'!C:C)="","",_xlfn.XLOOKUP($A94,'3-TECHNICAL TABULATION'!$A:$A,'3-TECHNICAL TABULATION'!C:C)),"")</f>
        <v/>
      </c>
      <c r="D94" s="39" t="str">
        <f>IFERROR(IF(_xlfn.XLOOKUP($A94,'3-TECHNICAL TABULATION'!$A:$A,'3-TECHNICAL TABULATION'!D:D)="","",_xlfn.XLOOKUP($A94,'3-TECHNICAL TABULATION'!$A:$A,'3-TECHNICAL TABULATION'!D:D)),"")</f>
        <v/>
      </c>
    </row>
    <row r="95" spans="1:4" x14ac:dyDescent="0.25">
      <c r="A95" s="87" t="s">
        <v>184</v>
      </c>
      <c r="B95" s="52" t="str">
        <f>IFERROR(IF(_xlfn.XLOOKUP($A95,'3-TECHNICAL TABULATION'!$A:$A,'3-TECHNICAL TABULATION'!B:B)="","",_xlfn.XLOOKUP($A95,'3-TECHNICAL TABULATION'!$A:$A,'3-TECHNICAL TABULATION'!B:B)),"")</f>
        <v/>
      </c>
      <c r="C95" s="38" t="str">
        <f>IFERROR(IF(_xlfn.XLOOKUP($A95,'3-TECHNICAL TABULATION'!$A:$A,'3-TECHNICAL TABULATION'!C:C)="","",_xlfn.XLOOKUP($A95,'3-TECHNICAL TABULATION'!$A:$A,'3-TECHNICAL TABULATION'!C:C)),"")</f>
        <v/>
      </c>
      <c r="D95" s="39" t="str">
        <f>IFERROR(IF(_xlfn.XLOOKUP($A95,'3-TECHNICAL TABULATION'!$A:$A,'3-TECHNICAL TABULATION'!D:D)="","",_xlfn.XLOOKUP($A95,'3-TECHNICAL TABULATION'!$A:$A,'3-TECHNICAL TABULATION'!D:D)),"")</f>
        <v/>
      </c>
    </row>
    <row r="96" spans="1:4" x14ac:dyDescent="0.25">
      <c r="A96" s="87" t="s">
        <v>185</v>
      </c>
      <c r="B96" s="52" t="str">
        <f>IFERROR(IF(_xlfn.XLOOKUP($A96,'3-TECHNICAL TABULATION'!$A:$A,'3-TECHNICAL TABULATION'!B:B)="","",_xlfn.XLOOKUP($A96,'3-TECHNICAL TABULATION'!$A:$A,'3-TECHNICAL TABULATION'!B:B)),"")</f>
        <v/>
      </c>
      <c r="C96" s="38" t="str">
        <f>IFERROR(IF(_xlfn.XLOOKUP($A96,'3-TECHNICAL TABULATION'!$A:$A,'3-TECHNICAL TABULATION'!C:C)="","",_xlfn.XLOOKUP($A96,'3-TECHNICAL TABULATION'!$A:$A,'3-TECHNICAL TABULATION'!C:C)),"")</f>
        <v/>
      </c>
      <c r="D96" s="39" t="str">
        <f>IFERROR(IF(_xlfn.XLOOKUP($A96,'3-TECHNICAL TABULATION'!$A:$A,'3-TECHNICAL TABULATION'!D:D)="","",_xlfn.XLOOKUP($A96,'3-TECHNICAL TABULATION'!$A:$A,'3-TECHNICAL TABULATION'!D:D)),"")</f>
        <v/>
      </c>
    </row>
    <row r="97" spans="1:4" x14ac:dyDescent="0.25">
      <c r="A97" s="87" t="s">
        <v>186</v>
      </c>
      <c r="B97" s="52" t="str">
        <f>IFERROR(IF(_xlfn.XLOOKUP($A97,'3-TECHNICAL TABULATION'!$A:$A,'3-TECHNICAL TABULATION'!B:B)="","",_xlfn.XLOOKUP($A97,'3-TECHNICAL TABULATION'!$A:$A,'3-TECHNICAL TABULATION'!B:B)),"")</f>
        <v/>
      </c>
      <c r="C97" s="38" t="str">
        <f>IFERROR(IF(_xlfn.XLOOKUP($A97,'3-TECHNICAL TABULATION'!$A:$A,'3-TECHNICAL TABULATION'!C:C)="","",_xlfn.XLOOKUP($A97,'3-TECHNICAL TABULATION'!$A:$A,'3-TECHNICAL TABULATION'!C:C)),"")</f>
        <v/>
      </c>
      <c r="D97" s="39" t="str">
        <f>IFERROR(IF(_xlfn.XLOOKUP($A97,'3-TECHNICAL TABULATION'!$A:$A,'3-TECHNICAL TABULATION'!D:D)="","",_xlfn.XLOOKUP($A97,'3-TECHNICAL TABULATION'!$A:$A,'3-TECHNICAL TABULATION'!D:D)),"")</f>
        <v/>
      </c>
    </row>
    <row r="98" spans="1:4" x14ac:dyDescent="0.25">
      <c r="A98" s="87" t="s">
        <v>187</v>
      </c>
      <c r="B98" s="52" t="str">
        <f>IFERROR(IF(_xlfn.XLOOKUP($A98,'3-TECHNICAL TABULATION'!$A:$A,'3-TECHNICAL TABULATION'!B:B)="","",_xlfn.XLOOKUP($A98,'3-TECHNICAL TABULATION'!$A:$A,'3-TECHNICAL TABULATION'!B:B)),"")</f>
        <v>rpm</v>
      </c>
      <c r="C98" s="38" t="str">
        <f>IFERROR(IF(_xlfn.XLOOKUP($A98,'3-TECHNICAL TABULATION'!$A:$A,'3-TECHNICAL TABULATION'!C:C)="","",_xlfn.XLOOKUP($A98,'3-TECHNICAL TABULATION'!$A:$A,'3-TECHNICAL TABULATION'!C:C)),"")</f>
        <v/>
      </c>
      <c r="D98" s="39" t="str">
        <f>IFERROR(IF(_xlfn.XLOOKUP($A98,'3-TECHNICAL TABULATION'!$A:$A,'3-TECHNICAL TABULATION'!D:D)="","",_xlfn.XLOOKUP($A98,'3-TECHNICAL TABULATION'!$A:$A,'3-TECHNICAL TABULATION'!D:D)),"")</f>
        <v/>
      </c>
    </row>
    <row r="99" spans="1:4" x14ac:dyDescent="0.25">
      <c r="A99" s="87" t="s">
        <v>188</v>
      </c>
      <c r="B99" s="52" t="str">
        <f>IFERROR(IF(_xlfn.XLOOKUP($A99,'3-TECHNICAL TABULATION'!$A:$A,'3-TECHNICAL TABULATION'!B:B)="","",_xlfn.XLOOKUP($A99,'3-TECHNICAL TABULATION'!$A:$A,'3-TECHNICAL TABULATION'!B:B)),"")</f>
        <v>[yes/no]</v>
      </c>
      <c r="C99" s="38" t="str">
        <f>IFERROR(IF(_xlfn.XLOOKUP($A99,'3-TECHNICAL TABULATION'!$A:$A,'3-TECHNICAL TABULATION'!C:C)="","",_xlfn.XLOOKUP($A99,'3-TECHNICAL TABULATION'!$A:$A,'3-TECHNICAL TABULATION'!C:C)),"")</f>
        <v/>
      </c>
      <c r="D99" s="39" t="str">
        <f>IFERROR(IF(_xlfn.XLOOKUP($A99,'3-TECHNICAL TABULATION'!$A:$A,'3-TECHNICAL TABULATION'!D:D)="","",_xlfn.XLOOKUP($A99,'3-TECHNICAL TABULATION'!$A:$A,'3-TECHNICAL TABULATION'!D:D)),"")</f>
        <v/>
      </c>
    </row>
    <row r="100" spans="1:4" x14ac:dyDescent="0.25">
      <c r="A100" s="87" t="s">
        <v>189</v>
      </c>
      <c r="B100" s="52" t="str">
        <f>IFERROR(IF(_xlfn.XLOOKUP($A100,'3-TECHNICAL TABULATION'!$A:$A,'3-TECHNICAL TABULATION'!B:B)="","",_xlfn.XLOOKUP($A100,'3-TECHNICAL TABULATION'!$A:$A,'3-TECHNICAL TABULATION'!B:B)),"")</f>
        <v>[yes/no]</v>
      </c>
      <c r="C100" s="38" t="str">
        <f>IFERROR(IF(_xlfn.XLOOKUP($A100,'3-TECHNICAL TABULATION'!$A:$A,'3-TECHNICAL TABULATION'!C:C)="","",_xlfn.XLOOKUP($A100,'3-TECHNICAL TABULATION'!$A:$A,'3-TECHNICAL TABULATION'!C:C)),"")</f>
        <v/>
      </c>
      <c r="D100" s="39" t="str">
        <f>IFERROR(IF(_xlfn.XLOOKUP($A100,'3-TECHNICAL TABULATION'!$A:$A,'3-TECHNICAL TABULATION'!D:D)="","",_xlfn.XLOOKUP($A100,'3-TECHNICAL TABULATION'!$A:$A,'3-TECHNICAL TABULATION'!D:D)),"")</f>
        <v/>
      </c>
    </row>
    <row r="101" spans="1:4" x14ac:dyDescent="0.25">
      <c r="A101" s="87" t="s">
        <v>190</v>
      </c>
      <c r="B101" s="52" t="str">
        <f>IFERROR(IF(_xlfn.XLOOKUP($A101,'3-TECHNICAL TABULATION'!$A:$A,'3-TECHNICAL TABULATION'!B:B)="","",_xlfn.XLOOKUP($A101,'3-TECHNICAL TABULATION'!$A:$A,'3-TECHNICAL TABULATION'!B:B)),"")</f>
        <v/>
      </c>
      <c r="C101" s="38" t="str">
        <f>IFERROR(IF(_xlfn.XLOOKUP($A101,'3-TECHNICAL TABULATION'!$A:$A,'3-TECHNICAL TABULATION'!C:C)="","",_xlfn.XLOOKUP($A101,'3-TECHNICAL TABULATION'!$A:$A,'3-TECHNICAL TABULATION'!C:C)),"")</f>
        <v/>
      </c>
      <c r="D101" s="39" t="str">
        <f>IFERROR(IF(_xlfn.XLOOKUP($A101,'3-TECHNICAL TABULATION'!$A:$A,'3-TECHNICAL TABULATION'!D:D)="","",_xlfn.XLOOKUP($A101,'3-TECHNICAL TABULATION'!$A:$A,'3-TECHNICAL TABULATION'!D:D)),"")</f>
        <v/>
      </c>
    </row>
    <row r="102" spans="1:4" x14ac:dyDescent="0.25">
      <c r="A102" s="87" t="s">
        <v>191</v>
      </c>
      <c r="B102" s="52" t="str">
        <f>IFERROR(IF(_xlfn.XLOOKUP($A102,'3-TECHNICAL TABULATION'!$A:$A,'3-TECHNICAL TABULATION'!B:B)="","",_xlfn.XLOOKUP($A102,'3-TECHNICAL TABULATION'!$A:$A,'3-TECHNICAL TABULATION'!B:B)),"")</f>
        <v/>
      </c>
      <c r="C102" s="38" t="str">
        <f>IFERROR(IF(_xlfn.XLOOKUP($A102,'3-TECHNICAL TABULATION'!$A:$A,'3-TECHNICAL TABULATION'!C:C)="","",_xlfn.XLOOKUP($A102,'3-TECHNICAL TABULATION'!$A:$A,'3-TECHNICAL TABULATION'!C:C)),"")</f>
        <v/>
      </c>
      <c r="D102" s="39" t="str">
        <f>IFERROR(IF(_xlfn.XLOOKUP($A102,'3-TECHNICAL TABULATION'!$A:$A,'3-TECHNICAL TABULATION'!D:D)="","",_xlfn.XLOOKUP($A102,'3-TECHNICAL TABULATION'!$A:$A,'3-TECHNICAL TABULATION'!D:D)),"")</f>
        <v/>
      </c>
    </row>
    <row r="103" spans="1:4" x14ac:dyDescent="0.25">
      <c r="A103" s="87" t="s">
        <v>192</v>
      </c>
      <c r="B103" s="52" t="str">
        <f>IFERROR(IF(_xlfn.XLOOKUP($A103,'3-TECHNICAL TABULATION'!$A:$A,'3-TECHNICAL TABULATION'!B:B)="","",_xlfn.XLOOKUP($A103,'3-TECHNICAL TABULATION'!$A:$A,'3-TECHNICAL TABULATION'!B:B)),"")</f>
        <v/>
      </c>
      <c r="C103" s="38" t="str">
        <f>IFERROR(IF(_xlfn.XLOOKUP($A103,'3-TECHNICAL TABULATION'!$A:$A,'3-TECHNICAL TABULATION'!C:C)="","",_xlfn.XLOOKUP($A103,'3-TECHNICAL TABULATION'!$A:$A,'3-TECHNICAL TABULATION'!C:C)),"")</f>
        <v/>
      </c>
      <c r="D103" s="39" t="str">
        <f>IFERROR(IF(_xlfn.XLOOKUP($A103,'3-TECHNICAL TABULATION'!$A:$A,'3-TECHNICAL TABULATION'!D:D)="","",_xlfn.XLOOKUP($A103,'3-TECHNICAL TABULATION'!$A:$A,'3-TECHNICAL TABULATION'!D:D)),"")</f>
        <v/>
      </c>
    </row>
    <row r="104" spans="1:4" x14ac:dyDescent="0.25">
      <c r="A104" s="87" t="s">
        <v>193</v>
      </c>
      <c r="B104" s="52" t="str">
        <f>IFERROR(IF(_xlfn.XLOOKUP($A104,'3-TECHNICAL TABULATION'!$A:$A,'3-TECHNICAL TABULATION'!B:B)="","",_xlfn.XLOOKUP($A104,'3-TECHNICAL TABULATION'!$A:$A,'3-TECHNICAL TABULATION'!B:B)),"")</f>
        <v/>
      </c>
      <c r="C104" s="38" t="str">
        <f>IFERROR(IF(_xlfn.XLOOKUP($A104,'3-TECHNICAL TABULATION'!$A:$A,'3-TECHNICAL TABULATION'!C:C)="","",_xlfn.XLOOKUP($A104,'3-TECHNICAL TABULATION'!$A:$A,'3-TECHNICAL TABULATION'!C:C)),"")</f>
        <v/>
      </c>
      <c r="D104" s="39" t="str">
        <f>IFERROR(IF(_xlfn.XLOOKUP($A104,'3-TECHNICAL TABULATION'!$A:$A,'3-TECHNICAL TABULATION'!D:D)="","",_xlfn.XLOOKUP($A104,'3-TECHNICAL TABULATION'!$A:$A,'3-TECHNICAL TABULATION'!D:D)),"")</f>
        <v/>
      </c>
    </row>
    <row r="105" spans="1:4" x14ac:dyDescent="0.25">
      <c r="A105" s="87" t="s">
        <v>194</v>
      </c>
      <c r="B105" s="52" t="str">
        <f>IFERROR(IF(_xlfn.XLOOKUP($A105,'3-TECHNICAL TABULATION'!$A:$A,'3-TECHNICAL TABULATION'!B:B)="","",_xlfn.XLOOKUP($A105,'3-TECHNICAL TABULATION'!$A:$A,'3-TECHNICAL TABULATION'!B:B)),"")</f>
        <v>[none/list]</v>
      </c>
      <c r="C105" s="38" t="str">
        <f>IFERROR(IF(_xlfn.XLOOKUP($A105,'3-TECHNICAL TABULATION'!$A:$A,'3-TECHNICAL TABULATION'!C:C)="","",_xlfn.XLOOKUP($A105,'3-TECHNICAL TABULATION'!$A:$A,'3-TECHNICAL TABULATION'!C:C)),"")</f>
        <v/>
      </c>
      <c r="D105" s="39" t="str">
        <f>IFERROR(IF(_xlfn.XLOOKUP($A105,'3-TECHNICAL TABULATION'!$A:$A,'3-TECHNICAL TABULATION'!D:D)="","",_xlfn.XLOOKUP($A105,'3-TECHNICAL TABULATION'!$A:$A,'3-TECHNICAL TABULATION'!D:D)),"")</f>
        <v/>
      </c>
    </row>
    <row r="106" spans="1:4" x14ac:dyDescent="0.25">
      <c r="A106" s="87" t="s">
        <v>195</v>
      </c>
      <c r="B106" s="52" t="str">
        <f>IFERROR(IF(_xlfn.XLOOKUP($A106,'3-TECHNICAL TABULATION'!$A:$A,'3-TECHNICAL TABULATION'!B:B)="","",_xlfn.XLOOKUP($A106,'3-TECHNICAL TABULATION'!$A:$A,'3-TECHNICAL TABULATION'!B:B)),"")</f>
        <v>[none/list]</v>
      </c>
      <c r="C106" s="38" t="str">
        <f>IFERROR(IF(_xlfn.XLOOKUP($A106,'3-TECHNICAL TABULATION'!$A:$A,'3-TECHNICAL TABULATION'!C:C)="","",_xlfn.XLOOKUP($A106,'3-TECHNICAL TABULATION'!$A:$A,'3-TECHNICAL TABULATION'!C:C)),"")</f>
        <v/>
      </c>
      <c r="D106" s="39" t="str">
        <f>IFERROR(IF(_xlfn.XLOOKUP($A106,'3-TECHNICAL TABULATION'!$A:$A,'3-TECHNICAL TABULATION'!D:D)="","",_xlfn.XLOOKUP($A106,'3-TECHNICAL TABULATION'!$A:$A,'3-TECHNICAL TABULATION'!D:D)),"")</f>
        <v/>
      </c>
    </row>
    <row r="107" spans="1:4" x14ac:dyDescent="0.25">
      <c r="A107" s="87" t="s">
        <v>196</v>
      </c>
      <c r="B107" s="52" t="str">
        <f>IFERROR(IF(_xlfn.XLOOKUP($A107,'3-TECHNICAL TABULATION'!$A:$A,'3-TECHNICAL TABULATION'!B:B)="","",_xlfn.XLOOKUP($A107,'3-TECHNICAL TABULATION'!$A:$A,'3-TECHNICAL TABULATION'!B:B)),"")</f>
        <v>[yes/no]</v>
      </c>
      <c r="C107" s="38" t="str">
        <f>IFERROR(IF(_xlfn.XLOOKUP($A107,'3-TECHNICAL TABULATION'!$A:$A,'3-TECHNICAL TABULATION'!C:C)="","",_xlfn.XLOOKUP($A107,'3-TECHNICAL TABULATION'!$A:$A,'3-TECHNICAL TABULATION'!C:C)),"")</f>
        <v/>
      </c>
      <c r="D107" s="39" t="str">
        <f>IFERROR(IF(_xlfn.XLOOKUP($A107,'3-TECHNICAL TABULATION'!$A:$A,'3-TECHNICAL TABULATION'!D:D)="","",_xlfn.XLOOKUP($A107,'3-TECHNICAL TABULATION'!$A:$A,'3-TECHNICAL TABULATION'!D:D)),"")</f>
        <v/>
      </c>
    </row>
    <row r="108" spans="1:4" x14ac:dyDescent="0.25">
      <c r="A108" s="87" t="s">
        <v>357</v>
      </c>
      <c r="B108" s="52" t="str">
        <f>IFERROR(IF(_xlfn.XLOOKUP($A108,'3-TECHNICAL TABULATION'!$A:$A,'3-TECHNICAL TABULATION'!B:B)="","",_xlfn.XLOOKUP($A108,'3-TECHNICAL TABULATION'!$A:$A,'3-TECHNICAL TABULATION'!B:B)),"")</f>
        <v>[none/1:10/1:16/other]</v>
      </c>
      <c r="C108" s="38" t="str">
        <f>IFERROR(IF(_xlfn.XLOOKUP($A108,'3-TECHNICAL TABULATION'!$A:$A,'3-TECHNICAL TABULATION'!C:C)="","",_xlfn.XLOOKUP($A108,'3-TECHNICAL TABULATION'!$A:$A,'3-TECHNICAL TABULATION'!C:C)),"")</f>
        <v/>
      </c>
      <c r="D108" s="39" t="str">
        <f>IFERROR(IF(_xlfn.XLOOKUP($A108,'3-TECHNICAL TABULATION'!$A:$A,'3-TECHNICAL TABULATION'!D:D)="","",_xlfn.XLOOKUP($A108,'3-TECHNICAL TABULATION'!$A:$A,'3-TECHNICAL TABULATION'!D:D)),"")</f>
        <v/>
      </c>
    </row>
    <row r="109" spans="1:4" x14ac:dyDescent="0.25">
      <c r="A109" s="87" t="s">
        <v>197</v>
      </c>
      <c r="B109" s="52" t="str">
        <f>IFERROR(IF(_xlfn.XLOOKUP($A109,'3-TECHNICAL TABULATION'!$A:$A,'3-TECHNICAL TABULATION'!B:B)="","",_xlfn.XLOOKUP($A109,'3-TECHNICAL TABULATION'!$A:$A,'3-TECHNICAL TABULATION'!B:B)),"")</f>
        <v>[yes/no]</v>
      </c>
      <c r="C109" s="38" t="str">
        <f>IFERROR(IF(_xlfn.XLOOKUP($A109,'3-TECHNICAL TABULATION'!$A:$A,'3-TECHNICAL TABULATION'!C:C)="","",_xlfn.XLOOKUP($A109,'3-TECHNICAL TABULATION'!$A:$A,'3-TECHNICAL TABULATION'!C:C)),"")</f>
        <v/>
      </c>
      <c r="D109" s="39" t="str">
        <f>IFERROR(IF(_xlfn.XLOOKUP($A109,'3-TECHNICAL TABULATION'!$A:$A,'3-TECHNICAL TABULATION'!D:D)="","",_xlfn.XLOOKUP($A109,'3-TECHNICAL TABULATION'!$A:$A,'3-TECHNICAL TABULATION'!D:D)),"")</f>
        <v/>
      </c>
    </row>
    <row r="110" spans="1:4" x14ac:dyDescent="0.25">
      <c r="A110" s="87" t="s">
        <v>198</v>
      </c>
      <c r="B110" s="52" t="str">
        <f>IFERROR(IF(_xlfn.XLOOKUP($A110,'3-TECHNICAL TABULATION'!$A:$A,'3-TECHNICAL TABULATION'!B:B)="","",_xlfn.XLOOKUP($A110,'3-TECHNICAL TABULATION'!$A:$A,'3-TECHNICAL TABULATION'!B:B)),"")</f>
        <v>[yes/no]</v>
      </c>
      <c r="C110" s="38" t="str">
        <f>IFERROR(IF(_xlfn.XLOOKUP($A110,'3-TECHNICAL TABULATION'!$A:$A,'3-TECHNICAL TABULATION'!C:C)="","",_xlfn.XLOOKUP($A110,'3-TECHNICAL TABULATION'!$A:$A,'3-TECHNICAL TABULATION'!C:C)),"")</f>
        <v/>
      </c>
      <c r="D110" s="39" t="str">
        <f>IFERROR(IF(_xlfn.XLOOKUP($A110,'3-TECHNICAL TABULATION'!$A:$A,'3-TECHNICAL TABULATION'!D:D)="","",_xlfn.XLOOKUP($A110,'3-TECHNICAL TABULATION'!$A:$A,'3-TECHNICAL TABULATION'!D:D)),"")</f>
        <v/>
      </c>
    </row>
    <row r="111" spans="1:4" x14ac:dyDescent="0.25">
      <c r="A111" s="87" t="s">
        <v>228</v>
      </c>
      <c r="B111" s="52" t="str">
        <f>IFERROR(IF(_xlfn.XLOOKUP($A111,'3-TECHNICAL TABULATION'!$A:$A,'3-TECHNICAL TABULATION'!B:B)="","",_xlfn.XLOOKUP($A111,'3-TECHNICAL TABULATION'!$A:$A,'3-TECHNICAL TABULATION'!B:B)),"")</f>
        <v/>
      </c>
      <c r="C111" s="38" t="str">
        <f>IFERROR(IF(_xlfn.XLOOKUP($A111,'3-TECHNICAL TABULATION'!$A:$A,'3-TECHNICAL TABULATION'!C:C)="","",_xlfn.XLOOKUP($A111,'3-TECHNICAL TABULATION'!$A:$A,'3-TECHNICAL TABULATION'!C:C)),"")</f>
        <v/>
      </c>
      <c r="D111" s="39" t="str">
        <f>IFERROR(IF(_xlfn.XLOOKUP($A111,'3-TECHNICAL TABULATION'!$A:$A,'3-TECHNICAL TABULATION'!D:D)="","",_xlfn.XLOOKUP($A111,'3-TECHNICAL TABULATION'!$A:$A,'3-TECHNICAL TABULATION'!D:D)),"")</f>
        <v/>
      </c>
    </row>
    <row r="112" spans="1:4" x14ac:dyDescent="0.25">
      <c r="A112" s="87" t="s">
        <v>232</v>
      </c>
      <c r="B112" s="52" t="str">
        <f>IFERROR(IF(_xlfn.XLOOKUP($A112,'3-TECHNICAL TABULATION'!$A:$A,'3-TECHNICAL TABULATION'!B:B)="","",_xlfn.XLOOKUP($A112,'3-TECHNICAL TABULATION'!$A:$A,'3-TECHNICAL TABULATION'!B:B)),"")</f>
        <v/>
      </c>
      <c r="C112" s="38" t="str">
        <f>IFERROR(IF(_xlfn.XLOOKUP($A112,'3-TECHNICAL TABULATION'!$A:$A,'3-TECHNICAL TABULATION'!C:C)="","",_xlfn.XLOOKUP($A112,'3-TECHNICAL TABULATION'!$A:$A,'3-TECHNICAL TABULATION'!C:C)),"")</f>
        <v/>
      </c>
      <c r="D112" s="39" t="str">
        <f>IFERROR(IF(_xlfn.XLOOKUP($A112,'3-TECHNICAL TABULATION'!$A:$A,'3-TECHNICAL TABULATION'!D:D)="","",_xlfn.XLOOKUP($A112,'3-TECHNICAL TABULATION'!$A:$A,'3-TECHNICAL TABULATION'!D:D)),"")</f>
        <v/>
      </c>
    </row>
    <row r="113" spans="1:4" ht="30" x14ac:dyDescent="0.25">
      <c r="A113" s="87" t="s">
        <v>199</v>
      </c>
      <c r="B113" s="52" t="str">
        <f>IFERROR(IF(_xlfn.XLOOKUP($A113,'3-TECHNICAL TABULATION'!$A:$A,'3-TECHNICAL TABULATION'!B:B)="","",_xlfn.XLOOKUP($A113,'3-TECHNICAL TABULATION'!$A:$A,'3-TECHNICAL TABULATION'!B:B)),"")</f>
        <v>bar.g</v>
      </c>
      <c r="C113" s="38" t="str">
        <f>IFERROR(IF(_xlfn.XLOOKUP($A113,'3-TECHNICAL TABULATION'!$A:$A,'3-TECHNICAL TABULATION'!C:C)="","",_xlfn.XLOOKUP($A113,'3-TECHNICAL TABULATION'!$A:$A,'3-TECHNICAL TABULATION'!C:C)),"")</f>
        <v/>
      </c>
      <c r="D113" s="39" t="str">
        <f>IFERROR(IF(_xlfn.XLOOKUP($A113,'3-TECHNICAL TABULATION'!$A:$A,'3-TECHNICAL TABULATION'!D:D)="","",_xlfn.XLOOKUP($A113,'3-TECHNICAL TABULATION'!$A:$A,'3-TECHNICAL TABULATION'!D:D)),"")</f>
        <v/>
      </c>
    </row>
    <row r="114" spans="1:4" x14ac:dyDescent="0.25">
      <c r="A114" s="87" t="s">
        <v>478</v>
      </c>
      <c r="B114" s="52" t="str">
        <f>IFERROR(IF(_xlfn.XLOOKUP($A114,'3-TECHNICAL TABULATION'!$A:$A,'3-TECHNICAL TABULATION'!B:B)="","",_xlfn.XLOOKUP($A114,'3-TECHNICAL TABULATION'!$A:$A,'3-TECHNICAL TABULATION'!B:B)),"")</f>
        <v>[N x API standard loads]</v>
      </c>
      <c r="C114" s="38" t="str">
        <f>IFERROR(IF(_xlfn.XLOOKUP($A114,'3-TECHNICAL TABULATION'!$A:$A,'3-TECHNICAL TABULATION'!C:C)="","",_xlfn.XLOOKUP($A114,'3-TECHNICAL TABULATION'!$A:$A,'3-TECHNICAL TABULATION'!C:C)),"")</f>
        <v/>
      </c>
      <c r="D114" s="39" t="str">
        <f>IFERROR(IF(_xlfn.XLOOKUP($A114,'3-TECHNICAL TABULATION'!$A:$A,'3-TECHNICAL TABULATION'!D:D)="","",_xlfn.XLOOKUP($A114,'3-TECHNICAL TABULATION'!$A:$A,'3-TECHNICAL TABULATION'!D:D)),"")</f>
        <v/>
      </c>
    </row>
    <row r="115" spans="1:4" x14ac:dyDescent="0.25">
      <c r="A115" s="87" t="s">
        <v>482</v>
      </c>
      <c r="B115" s="52" t="str">
        <f>IFERROR(IF(_xlfn.XLOOKUP($A115,'3-TECHNICAL TABULATION'!$A:$A,'3-TECHNICAL TABULATION'!B:B)="","",_xlfn.XLOOKUP($A115,'3-TECHNICAL TABULATION'!$A:$A,'3-TECHNICAL TABULATION'!B:B)),"")</f>
        <v>[yes/no]</v>
      </c>
      <c r="C115" s="38" t="str">
        <f>IFERROR(IF(_xlfn.XLOOKUP($A115,'3-TECHNICAL TABULATION'!$A:$A,'3-TECHNICAL TABULATION'!C:C)="","",_xlfn.XLOOKUP($A115,'3-TECHNICAL TABULATION'!$A:$A,'3-TECHNICAL TABULATION'!C:C)),"")</f>
        <v/>
      </c>
      <c r="D115" s="39" t="str">
        <f>IFERROR(IF(_xlfn.XLOOKUP($A115,'3-TECHNICAL TABULATION'!$A:$A,'3-TECHNICAL TABULATION'!D:D)="","",_xlfn.XLOOKUP($A115,'3-TECHNICAL TABULATION'!$A:$A,'3-TECHNICAL TABULATION'!D:D)),"")</f>
        <v/>
      </c>
    </row>
    <row r="116" spans="1:4" x14ac:dyDescent="0.25">
      <c r="A116" s="87" t="s">
        <v>200</v>
      </c>
      <c r="B116" s="52" t="str">
        <f>IFERROR(IF(_xlfn.XLOOKUP($A116,'3-TECHNICAL TABULATION'!$A:$A,'3-TECHNICAL TABULATION'!B:B)="","",_xlfn.XLOOKUP($A116,'3-TECHNICAL TABULATION'!$A:$A,'3-TECHNICAL TABULATION'!B:B)),"")</f>
        <v>[yes/no]</v>
      </c>
      <c r="C116" s="38" t="str">
        <f>IFERROR(IF(_xlfn.XLOOKUP($A116,'3-TECHNICAL TABULATION'!$A:$A,'3-TECHNICAL TABULATION'!C:C)="","",_xlfn.XLOOKUP($A116,'3-TECHNICAL TABULATION'!$A:$A,'3-TECHNICAL TABULATION'!C:C)),"")</f>
        <v/>
      </c>
      <c r="D116" s="39" t="str">
        <f>IFERROR(IF(_xlfn.XLOOKUP($A116,'3-TECHNICAL TABULATION'!$A:$A,'3-TECHNICAL TABULATION'!D:D)="","",_xlfn.XLOOKUP($A116,'3-TECHNICAL TABULATION'!$A:$A,'3-TECHNICAL TABULATION'!D:D)),"")</f>
        <v/>
      </c>
    </row>
    <row r="117" spans="1:4" ht="30" x14ac:dyDescent="0.25">
      <c r="A117" s="87" t="s">
        <v>201</v>
      </c>
      <c r="B117" s="52" t="str">
        <f>IFERROR(IF(_xlfn.XLOOKUP($A117,'3-TECHNICAL TABULATION'!$A:$A,'3-TECHNICAL TABULATION'!B:B)="","",_xlfn.XLOOKUP($A117,'3-TECHNICAL TABULATION'!$A:$A,'3-TECHNICAL TABULATION'!B:B)),"")</f>
        <v>[none/list]</v>
      </c>
      <c r="C117" s="38" t="str">
        <f>IFERROR(IF(_xlfn.XLOOKUP($A117,'3-TECHNICAL TABULATION'!$A:$A,'3-TECHNICAL TABULATION'!C:C)="","",_xlfn.XLOOKUP($A117,'3-TECHNICAL TABULATION'!$A:$A,'3-TECHNICAL TABULATION'!C:C)),"")</f>
        <v/>
      </c>
      <c r="D117" s="39" t="str">
        <f>IFERROR(IF(_xlfn.XLOOKUP($A117,'3-TECHNICAL TABULATION'!$A:$A,'3-TECHNICAL TABULATION'!D:D)="","",_xlfn.XLOOKUP($A117,'3-TECHNICAL TABULATION'!$A:$A,'3-TECHNICAL TABULATION'!D:D)),"")</f>
        <v/>
      </c>
    </row>
    <row r="118" spans="1:4" ht="30" x14ac:dyDescent="0.25">
      <c r="A118" s="87" t="s">
        <v>202</v>
      </c>
      <c r="B118" s="52" t="str">
        <f>IFERROR(IF(_xlfn.XLOOKUP($A118,'3-TECHNICAL TABULATION'!$A:$A,'3-TECHNICAL TABULATION'!B:B)="","",_xlfn.XLOOKUP($A118,'3-TECHNICAL TABULATION'!$A:$A,'3-TECHNICAL TABULATION'!B:B)),"")</f>
        <v>[none/list]</v>
      </c>
      <c r="C118" s="38" t="str">
        <f>IFERROR(IF(_xlfn.XLOOKUP($A118,'3-TECHNICAL TABULATION'!$A:$A,'3-TECHNICAL TABULATION'!C:C)="","",_xlfn.XLOOKUP($A118,'3-TECHNICAL TABULATION'!$A:$A,'3-TECHNICAL TABULATION'!C:C)),"")</f>
        <v/>
      </c>
      <c r="D118" s="39" t="str">
        <f>IFERROR(IF(_xlfn.XLOOKUP($A118,'3-TECHNICAL TABULATION'!$A:$A,'3-TECHNICAL TABULATION'!D:D)="","",_xlfn.XLOOKUP($A118,'3-TECHNICAL TABULATION'!$A:$A,'3-TECHNICAL TABULATION'!D:D)),"")</f>
        <v/>
      </c>
    </row>
    <row r="119" spans="1:4" ht="30" x14ac:dyDescent="0.25">
      <c r="A119" s="87" t="s">
        <v>203</v>
      </c>
      <c r="B119" s="52" t="str">
        <f>IFERROR(IF(_xlfn.XLOOKUP($A119,'3-TECHNICAL TABULATION'!$A:$A,'3-TECHNICAL TABULATION'!B:B)="","",_xlfn.XLOOKUP($A119,'3-TECHNICAL TABULATION'!$A:$A,'3-TECHNICAL TABULATION'!B:B)),"")</f>
        <v>[none/list]</v>
      </c>
      <c r="C119" s="38" t="str">
        <f>IFERROR(IF(_xlfn.XLOOKUP($A119,'3-TECHNICAL TABULATION'!$A:$A,'3-TECHNICAL TABULATION'!C:C)="","",_xlfn.XLOOKUP($A119,'3-TECHNICAL TABULATION'!$A:$A,'3-TECHNICAL TABULATION'!C:C)),"")</f>
        <v/>
      </c>
      <c r="D119" s="39" t="str">
        <f>IFERROR(IF(_xlfn.XLOOKUP($A119,'3-TECHNICAL TABULATION'!$A:$A,'3-TECHNICAL TABULATION'!D:D)="","",_xlfn.XLOOKUP($A119,'3-TECHNICAL TABULATION'!$A:$A,'3-TECHNICAL TABULATION'!D:D)),"")</f>
        <v/>
      </c>
    </row>
    <row r="120" spans="1:4" ht="30" x14ac:dyDescent="0.25">
      <c r="A120" s="87" t="s">
        <v>204</v>
      </c>
      <c r="B120" s="52" t="str">
        <f>IFERROR(IF(_xlfn.XLOOKUP($A120,'3-TECHNICAL TABULATION'!$A:$A,'3-TECHNICAL TABULATION'!B:B)="","",_xlfn.XLOOKUP($A120,'3-TECHNICAL TABULATION'!$A:$A,'3-TECHNICAL TABULATION'!B:B)),"")</f>
        <v>[none/list]</v>
      </c>
      <c r="C120" s="38" t="str">
        <f>IFERROR(IF(_xlfn.XLOOKUP($A120,'3-TECHNICAL TABULATION'!$A:$A,'3-TECHNICAL TABULATION'!C:C)="","",_xlfn.XLOOKUP($A120,'3-TECHNICAL TABULATION'!$A:$A,'3-TECHNICAL TABULATION'!C:C)),"")</f>
        <v/>
      </c>
      <c r="D120" s="39" t="str">
        <f>IFERROR(IF(_xlfn.XLOOKUP($A120,'3-TECHNICAL TABULATION'!$A:$A,'3-TECHNICAL TABULATION'!D:D)="","",_xlfn.XLOOKUP($A120,'3-TECHNICAL TABULATION'!$A:$A,'3-TECHNICAL TABULATION'!D:D)),"")</f>
        <v/>
      </c>
    </row>
    <row r="121" spans="1:4" x14ac:dyDescent="0.25">
      <c r="A121" s="87" t="s">
        <v>205</v>
      </c>
      <c r="B121" s="52" t="str">
        <f>IFERROR(IF(_xlfn.XLOOKUP($A121,'3-TECHNICAL TABULATION'!$A:$A,'3-TECHNICAL TABULATION'!B:B)="","",_xlfn.XLOOKUP($A121,'3-TECHNICAL TABULATION'!$A:$A,'3-TECHNICAL TABULATION'!B:B)),"")</f>
        <v>[yes/no]</v>
      </c>
      <c r="C121" s="38" t="str">
        <f>IFERROR(IF(_xlfn.XLOOKUP($A121,'3-TECHNICAL TABULATION'!$A:$A,'3-TECHNICAL TABULATION'!C:C)="","",_xlfn.XLOOKUP($A121,'3-TECHNICAL TABULATION'!$A:$A,'3-TECHNICAL TABULATION'!C:C)),"")</f>
        <v/>
      </c>
      <c r="D121" s="39" t="str">
        <f>IFERROR(IF(_xlfn.XLOOKUP($A121,'3-TECHNICAL TABULATION'!$A:$A,'3-TECHNICAL TABULATION'!D:D)="","",_xlfn.XLOOKUP($A121,'3-TECHNICAL TABULATION'!$A:$A,'3-TECHNICAL TABULATION'!D:D)),"")</f>
        <v/>
      </c>
    </row>
    <row r="122" spans="1:4" x14ac:dyDescent="0.25">
      <c r="A122" s="87" t="s">
        <v>206</v>
      </c>
      <c r="B122" s="52" t="str">
        <f>IFERROR(IF(_xlfn.XLOOKUP($A122,'3-TECHNICAL TABULATION'!$A:$A,'3-TECHNICAL TABULATION'!B:B)="","",_xlfn.XLOOKUP($A122,'3-TECHNICAL TABULATION'!$A:$A,'3-TECHNICAL TABULATION'!B:B)),"")</f>
        <v>[yes/no]</v>
      </c>
      <c r="C122" s="38" t="str">
        <f>IFERROR(IF(_xlfn.XLOOKUP($A122,'3-TECHNICAL TABULATION'!$A:$A,'3-TECHNICAL TABULATION'!C:C)="","",_xlfn.XLOOKUP($A122,'3-TECHNICAL TABULATION'!$A:$A,'3-TECHNICAL TABULATION'!C:C)),"")</f>
        <v/>
      </c>
      <c r="D122" s="39" t="str">
        <f>IFERROR(IF(_xlfn.XLOOKUP($A122,'3-TECHNICAL TABULATION'!$A:$A,'3-TECHNICAL TABULATION'!D:D)="","",_xlfn.XLOOKUP($A122,'3-TECHNICAL TABULATION'!$A:$A,'3-TECHNICAL TABULATION'!D:D)),"")</f>
        <v/>
      </c>
    </row>
    <row r="123" spans="1:4" x14ac:dyDescent="0.25">
      <c r="A123" s="87" t="s">
        <v>207</v>
      </c>
      <c r="B123" s="52" t="str">
        <f>IFERROR(IF(_xlfn.XLOOKUP($A123,'3-TECHNICAL TABULATION'!$A:$A,'3-TECHNICAL TABULATION'!B:B)="","",_xlfn.XLOOKUP($A123,'3-TECHNICAL TABULATION'!$A:$A,'3-TECHNICAL TABULATION'!B:B)),"")</f>
        <v>[yes/no]</v>
      </c>
      <c r="C123" s="38" t="str">
        <f>IFERROR(IF(_xlfn.XLOOKUP($A123,'3-TECHNICAL TABULATION'!$A:$A,'3-TECHNICAL TABULATION'!C:C)="","",_xlfn.XLOOKUP($A123,'3-TECHNICAL TABULATION'!$A:$A,'3-TECHNICAL TABULATION'!C:C)),"")</f>
        <v/>
      </c>
      <c r="D123" s="39" t="str">
        <f>IFERROR(IF(_xlfn.XLOOKUP($A123,'3-TECHNICAL TABULATION'!$A:$A,'3-TECHNICAL TABULATION'!D:D)="","",_xlfn.XLOOKUP($A123,'3-TECHNICAL TABULATION'!$A:$A,'3-TECHNICAL TABULATION'!D:D)),"")</f>
        <v/>
      </c>
    </row>
    <row r="124" spans="1:4" x14ac:dyDescent="0.25">
      <c r="A124" s="87" t="s">
        <v>208</v>
      </c>
      <c r="B124" s="52" t="str">
        <f>IFERROR(IF(_xlfn.XLOOKUP($A124,'3-TECHNICAL TABULATION'!$A:$A,'3-TECHNICAL TABULATION'!B:B)="","",_xlfn.XLOOKUP($A124,'3-TECHNICAL TABULATION'!$A:$A,'3-TECHNICAL TABULATION'!B:B)),"")</f>
        <v>[none/list]</v>
      </c>
      <c r="C124" s="38" t="str">
        <f>IFERROR(IF(_xlfn.XLOOKUP($A124,'3-TECHNICAL TABULATION'!$A:$A,'3-TECHNICAL TABULATION'!C:C)="","",_xlfn.XLOOKUP($A124,'3-TECHNICAL TABULATION'!$A:$A,'3-TECHNICAL TABULATION'!C:C)),"")</f>
        <v/>
      </c>
      <c r="D124" s="39" t="str">
        <f>IFERROR(IF(_xlfn.XLOOKUP($A124,'3-TECHNICAL TABULATION'!$A:$A,'3-TECHNICAL TABULATION'!D:D)="","",_xlfn.XLOOKUP($A124,'3-TECHNICAL TABULATION'!$A:$A,'3-TECHNICAL TABULATION'!D:D)),"")</f>
        <v/>
      </c>
    </row>
    <row r="125" spans="1:4" x14ac:dyDescent="0.25">
      <c r="A125" s="87" t="s">
        <v>209</v>
      </c>
      <c r="B125" s="52" t="str">
        <f>IFERROR(IF(_xlfn.XLOOKUP($A125,'3-TECHNICAL TABULATION'!$A:$A,'3-TECHNICAL TABULATION'!B:B)="","",_xlfn.XLOOKUP($A125,'3-TECHNICAL TABULATION'!$A:$A,'3-TECHNICAL TABULATION'!B:B)),"")</f>
        <v>[yes/no]</v>
      </c>
      <c r="C125" s="38" t="str">
        <f>IFERROR(IF(_xlfn.XLOOKUP($A125,'3-TECHNICAL TABULATION'!$A:$A,'3-TECHNICAL TABULATION'!C:C)="","",_xlfn.XLOOKUP($A125,'3-TECHNICAL TABULATION'!$A:$A,'3-TECHNICAL TABULATION'!C:C)),"")</f>
        <v/>
      </c>
      <c r="D125" s="39" t="str">
        <f>IFERROR(IF(_xlfn.XLOOKUP($A125,'3-TECHNICAL TABULATION'!$A:$A,'3-TECHNICAL TABULATION'!D:D)="","",_xlfn.XLOOKUP($A125,'3-TECHNICAL TABULATION'!$A:$A,'3-TECHNICAL TABULATION'!D:D)),"")</f>
        <v/>
      </c>
    </row>
    <row r="126" spans="1:4" x14ac:dyDescent="0.25">
      <c r="A126" s="87" t="s">
        <v>332</v>
      </c>
      <c r="B126" s="52" t="str">
        <f>IFERROR(IF(_xlfn.XLOOKUP($A126,'3-TECHNICAL TABULATION'!$A:$A,'3-TECHNICAL TABULATION'!B:B)="","",_xlfn.XLOOKUP($A126,'3-TECHNICAL TABULATION'!$A:$A,'3-TECHNICAL TABULATION'!B:B)),"")</f>
        <v>bar.g</v>
      </c>
      <c r="C126" s="38" t="str">
        <f>IFERROR(IF(_xlfn.XLOOKUP($A126,'3-TECHNICAL TABULATION'!$A:$A,'3-TECHNICAL TABULATION'!C:C)="","",_xlfn.XLOOKUP($A126,'3-TECHNICAL TABULATION'!$A:$A,'3-TECHNICAL TABULATION'!C:C)),"")</f>
        <v/>
      </c>
      <c r="D126" s="39" t="str">
        <f>IFERROR(IF(_xlfn.XLOOKUP($A126,'3-TECHNICAL TABULATION'!$A:$A,'3-TECHNICAL TABULATION'!D:D)="","",_xlfn.XLOOKUP($A126,'3-TECHNICAL TABULATION'!$A:$A,'3-TECHNICAL TABULATION'!D:D)),"")</f>
        <v/>
      </c>
    </row>
    <row r="127" spans="1:4" x14ac:dyDescent="0.25">
      <c r="A127" s="87" t="s">
        <v>333</v>
      </c>
      <c r="B127" s="52" t="str">
        <f>IFERROR(IF(_xlfn.XLOOKUP($A127,'3-TECHNICAL TABULATION'!$A:$A,'3-TECHNICAL TABULATION'!B:B)="","",_xlfn.XLOOKUP($A127,'3-TECHNICAL TABULATION'!$A:$A,'3-TECHNICAL TABULATION'!B:B)),"")</f>
        <v>bar.g</v>
      </c>
      <c r="C127" s="38" t="str">
        <f>IFERROR(IF(_xlfn.XLOOKUP($A127,'3-TECHNICAL TABULATION'!$A:$A,'3-TECHNICAL TABULATION'!C:C)="","",_xlfn.XLOOKUP($A127,'3-TECHNICAL TABULATION'!$A:$A,'3-TECHNICAL TABULATION'!C:C)),"")</f>
        <v/>
      </c>
      <c r="D127" s="39" t="str">
        <f>IFERROR(IF(_xlfn.XLOOKUP($A127,'3-TECHNICAL TABULATION'!$A:$A,'3-TECHNICAL TABULATION'!D:D)="","",_xlfn.XLOOKUP($A127,'3-TECHNICAL TABULATION'!$A:$A,'3-TECHNICAL TABULATION'!D:D)),"")</f>
        <v/>
      </c>
    </row>
    <row r="128" spans="1:4" x14ac:dyDescent="0.25">
      <c r="A128" s="87" t="s">
        <v>334</v>
      </c>
      <c r="B128" s="52" t="str">
        <f>IFERROR(IF(_xlfn.XLOOKUP($A128,'3-TECHNICAL TABULATION'!$A:$A,'3-TECHNICAL TABULATION'!B:B)="","",_xlfn.XLOOKUP($A128,'3-TECHNICAL TABULATION'!$A:$A,'3-TECHNICAL TABULATION'!B:B)),"")</f>
        <v>bar.g</v>
      </c>
      <c r="C128" s="38" t="str">
        <f>IFERROR(IF(_xlfn.XLOOKUP($A128,'3-TECHNICAL TABULATION'!$A:$A,'3-TECHNICAL TABULATION'!C:C)="","",_xlfn.XLOOKUP($A128,'3-TECHNICAL TABULATION'!$A:$A,'3-TECHNICAL TABULATION'!C:C)),"")</f>
        <v/>
      </c>
      <c r="D128" s="39" t="str">
        <f>IFERROR(IF(_xlfn.XLOOKUP($A128,'3-TECHNICAL TABULATION'!$A:$A,'3-TECHNICAL TABULATION'!D:D)="","",_xlfn.XLOOKUP($A128,'3-TECHNICAL TABULATION'!$A:$A,'3-TECHNICAL TABULATION'!D:D)),"")</f>
        <v/>
      </c>
    </row>
    <row r="129" spans="1:4" x14ac:dyDescent="0.25">
      <c r="A129" s="87" t="s">
        <v>335</v>
      </c>
      <c r="B129" s="52" t="str">
        <f>IFERROR(IF(_xlfn.XLOOKUP($A129,'3-TECHNICAL TABULATION'!$A:$A,'3-TECHNICAL TABULATION'!B:B)="","",_xlfn.XLOOKUP($A129,'3-TECHNICAL TABULATION'!$A:$A,'3-TECHNICAL TABULATION'!B:B)),"")</f>
        <v>bar.g</v>
      </c>
      <c r="C129" s="38" t="str">
        <f>IFERROR(IF(_xlfn.XLOOKUP($A129,'3-TECHNICAL TABULATION'!$A:$A,'3-TECHNICAL TABULATION'!C:C)="","",_xlfn.XLOOKUP($A129,'3-TECHNICAL TABULATION'!$A:$A,'3-TECHNICAL TABULATION'!C:C)),"")</f>
        <v/>
      </c>
      <c r="D129" s="39" t="str">
        <f>IFERROR(IF(_xlfn.XLOOKUP($A129,'3-TECHNICAL TABULATION'!$A:$A,'3-TECHNICAL TABULATION'!D:D)="","",_xlfn.XLOOKUP($A129,'3-TECHNICAL TABULATION'!$A:$A,'3-TECHNICAL TABULATION'!D:D)),"")</f>
        <v/>
      </c>
    </row>
    <row r="130" spans="1:4" x14ac:dyDescent="0.25">
      <c r="A130" s="87" t="s">
        <v>336</v>
      </c>
      <c r="B130" s="52" t="str">
        <f>IFERROR(IF(_xlfn.XLOOKUP($A130,'3-TECHNICAL TABULATION'!$A:$A,'3-TECHNICAL TABULATION'!B:B)="","",_xlfn.XLOOKUP($A130,'3-TECHNICAL TABULATION'!$A:$A,'3-TECHNICAL TABULATION'!B:B)),"")</f>
        <v>bar.g</v>
      </c>
      <c r="C130" s="38" t="str">
        <f>IFERROR(IF(_xlfn.XLOOKUP($A130,'3-TECHNICAL TABULATION'!$A:$A,'3-TECHNICAL TABULATION'!C:C)="","",_xlfn.XLOOKUP($A130,'3-TECHNICAL TABULATION'!$A:$A,'3-TECHNICAL TABULATION'!C:C)),"")</f>
        <v/>
      </c>
      <c r="D130" s="39" t="str">
        <f>IFERROR(IF(_xlfn.XLOOKUP($A130,'3-TECHNICAL TABULATION'!$A:$A,'3-TECHNICAL TABULATION'!D:D)="","",_xlfn.XLOOKUP($A130,'3-TECHNICAL TABULATION'!$A:$A,'3-TECHNICAL TABULATION'!D:D)),"")</f>
        <v/>
      </c>
    </row>
    <row r="131" spans="1:4" x14ac:dyDescent="0.25">
      <c r="A131" s="87" t="s">
        <v>337</v>
      </c>
      <c r="B131" s="52" t="str">
        <f>IFERROR(IF(_xlfn.XLOOKUP($A131,'3-TECHNICAL TABULATION'!$A:$A,'3-TECHNICAL TABULATION'!B:B)="","",_xlfn.XLOOKUP($A131,'3-TECHNICAL TABULATION'!$A:$A,'3-TECHNICAL TABULATION'!B:B)),"")</f>
        <v>bar.g</v>
      </c>
      <c r="C131" s="38" t="str">
        <f>IFERROR(IF(_xlfn.XLOOKUP($A131,'3-TECHNICAL TABULATION'!$A:$A,'3-TECHNICAL TABULATION'!C:C)="","",_xlfn.XLOOKUP($A131,'3-TECHNICAL TABULATION'!$A:$A,'3-TECHNICAL TABULATION'!C:C)),"")</f>
        <v/>
      </c>
      <c r="D131" s="39" t="str">
        <f>IFERROR(IF(_xlfn.XLOOKUP($A131,'3-TECHNICAL TABULATION'!$A:$A,'3-TECHNICAL TABULATION'!D:D)="","",_xlfn.XLOOKUP($A131,'3-TECHNICAL TABULATION'!$A:$A,'3-TECHNICAL TABULATION'!D:D)),"")</f>
        <v/>
      </c>
    </row>
    <row r="132" spans="1:4" x14ac:dyDescent="0.25">
      <c r="A132" s="87" t="s">
        <v>210</v>
      </c>
      <c r="B132" s="52" t="str">
        <f>IFERROR(IF(_xlfn.XLOOKUP($A132,'3-TECHNICAL TABULATION'!$A:$A,'3-TECHNICAL TABULATION'!B:B)="","",_xlfn.XLOOKUP($A132,'3-TECHNICAL TABULATION'!$A:$A,'3-TECHNICAL TABULATION'!B:B)),"")</f>
        <v/>
      </c>
      <c r="C132" s="38" t="str">
        <f>IFERROR(IF(_xlfn.XLOOKUP($A132,'3-TECHNICAL TABULATION'!$A:$A,'3-TECHNICAL TABULATION'!C:C)="","",_xlfn.XLOOKUP($A132,'3-TECHNICAL TABULATION'!$A:$A,'3-TECHNICAL TABULATION'!C:C)),"")</f>
        <v/>
      </c>
      <c r="D132" s="39" t="str">
        <f>IFERROR(IF(_xlfn.XLOOKUP($A132,'3-TECHNICAL TABULATION'!$A:$A,'3-TECHNICAL TABULATION'!D:D)="","",_xlfn.XLOOKUP($A132,'3-TECHNICAL TABULATION'!$A:$A,'3-TECHNICAL TABULATION'!D:D)),"")</f>
        <v/>
      </c>
    </row>
    <row r="133" spans="1:4" x14ac:dyDescent="0.25">
      <c r="A133" s="87" t="s">
        <v>211</v>
      </c>
      <c r="B133" s="52" t="str">
        <f>IFERROR(IF(_xlfn.XLOOKUP($A133,'3-TECHNICAL TABULATION'!$A:$A,'3-TECHNICAL TABULATION'!B:B)="","",_xlfn.XLOOKUP($A133,'3-TECHNICAL TABULATION'!$A:$A,'3-TECHNICAL TABULATION'!B:B)),"")</f>
        <v>[yes/no]</v>
      </c>
      <c r="C133" s="38" t="str">
        <f>IFERROR(IF(_xlfn.XLOOKUP($A133,'3-TECHNICAL TABULATION'!$A:$A,'3-TECHNICAL TABULATION'!C:C)="","",_xlfn.XLOOKUP($A133,'3-TECHNICAL TABULATION'!$A:$A,'3-TECHNICAL TABULATION'!C:C)),"")</f>
        <v/>
      </c>
      <c r="D133" s="39" t="str">
        <f>IFERROR(IF(_xlfn.XLOOKUP($A133,'3-TECHNICAL TABULATION'!$A:$A,'3-TECHNICAL TABULATION'!D:D)="","",_xlfn.XLOOKUP($A133,'3-TECHNICAL TABULATION'!$A:$A,'3-TECHNICAL TABULATION'!D:D)),"")</f>
        <v/>
      </c>
    </row>
    <row r="134" spans="1:4" x14ac:dyDescent="0.25">
      <c r="A134" s="87" t="s">
        <v>212</v>
      </c>
      <c r="B134" s="52" t="str">
        <f>IFERROR(IF(_xlfn.XLOOKUP($A134,'3-TECHNICAL TABULATION'!$A:$A,'3-TECHNICAL TABULATION'!B:B)="","",_xlfn.XLOOKUP($A134,'3-TECHNICAL TABULATION'!$A:$A,'3-TECHNICAL TABULATION'!B:B)),"")</f>
        <v>[yes/no]</v>
      </c>
      <c r="C134" s="38" t="str">
        <f>IFERROR(IF(_xlfn.XLOOKUP($A134,'3-TECHNICAL TABULATION'!$A:$A,'3-TECHNICAL TABULATION'!C:C)="","",_xlfn.XLOOKUP($A134,'3-TECHNICAL TABULATION'!$A:$A,'3-TECHNICAL TABULATION'!C:C)),"")</f>
        <v/>
      </c>
      <c r="D134" s="39" t="str">
        <f>IFERROR(IF(_xlfn.XLOOKUP($A134,'3-TECHNICAL TABULATION'!$A:$A,'3-TECHNICAL TABULATION'!D:D)="","",_xlfn.XLOOKUP($A134,'3-TECHNICAL TABULATION'!$A:$A,'3-TECHNICAL TABULATION'!D:D)),"")</f>
        <v/>
      </c>
    </row>
    <row r="135" spans="1:4" x14ac:dyDescent="0.25">
      <c r="A135" s="87" t="s">
        <v>213</v>
      </c>
      <c r="B135" s="52" t="str">
        <f>IFERROR(IF(_xlfn.XLOOKUP($A135,'3-TECHNICAL TABULATION'!$A:$A,'3-TECHNICAL TABULATION'!B:B)="","",_xlfn.XLOOKUP($A135,'3-TECHNICAL TABULATION'!$A:$A,'3-TECHNICAL TABULATION'!B:B)),"")</f>
        <v>rpm*kW*10^6</v>
      </c>
      <c r="C135" s="38" t="str">
        <f>IFERROR(IF(_xlfn.XLOOKUP($A135,'3-TECHNICAL TABULATION'!$A:$A,'3-TECHNICAL TABULATION'!C:C)="","",_xlfn.XLOOKUP($A135,'3-TECHNICAL TABULATION'!$A:$A,'3-TECHNICAL TABULATION'!C:C)),"")</f>
        <v>missing input data</v>
      </c>
      <c r="D135" s="39" t="str">
        <f>IFERROR(IF(_xlfn.XLOOKUP($A135,'3-TECHNICAL TABULATION'!$A:$A,'3-TECHNICAL TABULATION'!D:D)="","",_xlfn.XLOOKUP($A135,'3-TECHNICAL TABULATION'!$A:$A,'3-TECHNICAL TABULATION'!D:D)),"")</f>
        <v/>
      </c>
    </row>
    <row r="136" spans="1:4" ht="30" x14ac:dyDescent="0.25">
      <c r="A136" s="87" t="s">
        <v>254</v>
      </c>
      <c r="B136" s="52" t="str">
        <f>IFERROR(IF(_xlfn.XLOOKUP($A136,'3-TECHNICAL TABULATION'!$A:$A,'3-TECHNICAL TABULATION'!B:B)="","",_xlfn.XLOOKUP($A136,'3-TECHNICAL TABULATION'!$A:$A,'3-TECHNICAL TABULATION'!B:B)),"")</f>
        <v>[oil ring/oil bath/flinger/forced lube]</v>
      </c>
      <c r="C136" s="38" t="str">
        <f>IFERROR(IF(_xlfn.XLOOKUP($A136,'3-TECHNICAL TABULATION'!$A:$A,'3-TECHNICAL TABULATION'!C:C)="","",_xlfn.XLOOKUP($A136,'3-TECHNICAL TABULATION'!$A:$A,'3-TECHNICAL TABULATION'!C:C)),"")</f>
        <v/>
      </c>
      <c r="D136" s="39" t="str">
        <f>IFERROR(IF(_xlfn.XLOOKUP($A136,'3-TECHNICAL TABULATION'!$A:$A,'3-TECHNICAL TABULATION'!D:D)="","",_xlfn.XLOOKUP($A136,'3-TECHNICAL TABULATION'!$A:$A,'3-TECHNICAL TABULATION'!D:D)),"")</f>
        <v/>
      </c>
    </row>
    <row r="137" spans="1:4" x14ac:dyDescent="0.25">
      <c r="A137" s="87" t="s">
        <v>214</v>
      </c>
      <c r="B137" s="52" t="str">
        <f>IFERROR(IF(_xlfn.XLOOKUP($A137,'3-TECHNICAL TABULATION'!$A:$A,'3-TECHNICAL TABULATION'!B:B)="","",_xlfn.XLOOKUP($A137,'3-TECHNICAL TABULATION'!$A:$A,'3-TECHNICAL TABULATION'!B:B)),"")</f>
        <v>[yes/no]</v>
      </c>
      <c r="C137" s="38" t="str">
        <f>IFERROR(IF(_xlfn.XLOOKUP($A137,'3-TECHNICAL TABULATION'!$A:$A,'3-TECHNICAL TABULATION'!C:C)="","",_xlfn.XLOOKUP($A137,'3-TECHNICAL TABULATION'!$A:$A,'3-TECHNICAL TABULATION'!C:C)),"")</f>
        <v/>
      </c>
      <c r="D137" s="39" t="str">
        <f>IFERROR(IF(_xlfn.XLOOKUP($A137,'3-TECHNICAL TABULATION'!$A:$A,'3-TECHNICAL TABULATION'!D:D)="","",_xlfn.XLOOKUP($A137,'3-TECHNICAL TABULATION'!$A:$A,'3-TECHNICAL TABULATION'!D:D)),"")</f>
        <v/>
      </c>
    </row>
    <row r="138" spans="1:4" x14ac:dyDescent="0.25">
      <c r="A138" s="85" t="s">
        <v>516</v>
      </c>
      <c r="B138" s="52" t="str">
        <f>IFERROR(IF(_xlfn.XLOOKUP($A138,'3-TECHNICAL TABULATION'!$A:$A,'3-TECHNICAL TABULATION'!B:B)="","",_xlfn.XLOOKUP($A138,'3-TECHNICAL TABULATION'!$A:$A,'3-TECHNICAL TABULATION'!B:B)),"")</f>
        <v>[yes/no]</v>
      </c>
      <c r="C138" s="38" t="str">
        <f>IFERROR(IF(_xlfn.XLOOKUP($A138,'3-TECHNICAL TABULATION'!$A:$A,'3-TECHNICAL TABULATION'!C:C)="","",_xlfn.XLOOKUP($A138,'3-TECHNICAL TABULATION'!$A:$A,'3-TECHNICAL TABULATION'!C:C)),"")</f>
        <v/>
      </c>
      <c r="D138" s="39" t="str">
        <f>IFERROR(IF(_xlfn.XLOOKUP($A138,'3-TECHNICAL TABULATION'!$A:$A,'3-TECHNICAL TABULATION'!D:D)="","",_xlfn.XLOOKUP($A138,'3-TECHNICAL TABULATION'!$A:$A,'3-TECHNICAL TABULATION'!D:D)),"")</f>
        <v/>
      </c>
    </row>
    <row r="139" spans="1:4" x14ac:dyDescent="0.25">
      <c r="A139" s="87" t="s">
        <v>215</v>
      </c>
      <c r="B139" s="52" t="str">
        <f>IFERROR(IF(_xlfn.XLOOKUP($A139,'3-TECHNICAL TABULATION'!$A:$A,'3-TECHNICAL TABULATION'!B:B)="","",_xlfn.XLOOKUP($A139,'3-TECHNICAL TABULATION'!$A:$A,'3-TECHNICAL TABULATION'!B:B)),"")</f>
        <v>[yes/no]</v>
      </c>
      <c r="C139" s="38" t="str">
        <f>IFERROR(IF(_xlfn.XLOOKUP($A139,'3-TECHNICAL TABULATION'!$A:$A,'3-TECHNICAL TABULATION'!C:C)="","",_xlfn.XLOOKUP($A139,'3-TECHNICAL TABULATION'!$A:$A,'3-TECHNICAL TABULATION'!C:C)),"")</f>
        <v/>
      </c>
      <c r="D139" s="39" t="str">
        <f>IFERROR(IF(_xlfn.XLOOKUP($A139,'3-TECHNICAL TABULATION'!$A:$A,'3-TECHNICAL TABULATION'!D:D)="","",_xlfn.XLOOKUP($A139,'3-TECHNICAL TABULATION'!$A:$A,'3-TECHNICAL TABULATION'!D:D)),"")</f>
        <v/>
      </c>
    </row>
    <row r="140" spans="1:4" x14ac:dyDescent="0.25">
      <c r="A140" s="87" t="s">
        <v>216</v>
      </c>
      <c r="B140" s="52" t="str">
        <f>IFERROR(IF(_xlfn.XLOOKUP($A140,'3-TECHNICAL TABULATION'!$A:$A,'3-TECHNICAL TABULATION'!B:B)="","",_xlfn.XLOOKUP($A140,'3-TECHNICAL TABULATION'!$A:$A,'3-TECHNICAL TABULATION'!B:B)),"")</f>
        <v>[yes/no]</v>
      </c>
      <c r="C140" s="38" t="str">
        <f>IFERROR(IF(_xlfn.XLOOKUP($A140,'3-TECHNICAL TABULATION'!$A:$A,'3-TECHNICAL TABULATION'!C:C)="","",_xlfn.XLOOKUP($A140,'3-TECHNICAL TABULATION'!$A:$A,'3-TECHNICAL TABULATION'!C:C)),"")</f>
        <v/>
      </c>
      <c r="D140" s="39" t="str">
        <f>IFERROR(IF(_xlfn.XLOOKUP($A140,'3-TECHNICAL TABULATION'!$A:$A,'3-TECHNICAL TABULATION'!D:D)="","",_xlfn.XLOOKUP($A140,'3-TECHNICAL TABULATION'!$A:$A,'3-TECHNICAL TABULATION'!D:D)),"")</f>
        <v/>
      </c>
    </row>
    <row r="141" spans="1:4" x14ac:dyDescent="0.25">
      <c r="A141" s="87" t="s">
        <v>217</v>
      </c>
      <c r="B141" s="52" t="str">
        <f>IFERROR(IF(_xlfn.XLOOKUP($A141,'3-TECHNICAL TABULATION'!$A:$A,'3-TECHNICAL TABULATION'!B:B)="","",_xlfn.XLOOKUP($A141,'3-TECHNICAL TABULATION'!$A:$A,'3-TECHNICAL TABULATION'!B:B)),"")</f>
        <v>[yes/no]</v>
      </c>
      <c r="C141" s="38" t="str">
        <f>IFERROR(IF(_xlfn.XLOOKUP($A141,'3-TECHNICAL TABULATION'!$A:$A,'3-TECHNICAL TABULATION'!C:C)="","",_xlfn.XLOOKUP($A141,'3-TECHNICAL TABULATION'!$A:$A,'3-TECHNICAL TABULATION'!C:C)),"")</f>
        <v/>
      </c>
      <c r="D141" s="39" t="str">
        <f>IFERROR(IF(_xlfn.XLOOKUP($A141,'3-TECHNICAL TABULATION'!$A:$A,'3-TECHNICAL TABULATION'!D:D)="","",_xlfn.XLOOKUP($A141,'3-TECHNICAL TABULATION'!$A:$A,'3-TECHNICAL TABULATION'!D:D)),"")</f>
        <v/>
      </c>
    </row>
    <row r="142" spans="1:4" x14ac:dyDescent="0.25">
      <c r="A142" s="87" t="s">
        <v>380</v>
      </c>
      <c r="B142" s="52" t="str">
        <f>IFERROR(IF(_xlfn.XLOOKUP($A142,'3-TECHNICAL TABULATION'!$A:$A,'3-TECHNICAL TABULATION'!B:B)="","",_xlfn.XLOOKUP($A142,'3-TECHNICAL TABULATION'!$A:$A,'3-TECHNICAL TABULATION'!B:B)),"")</f>
        <v>[yes/no]</v>
      </c>
      <c r="C142" s="38" t="str">
        <f>IFERROR(IF(_xlfn.XLOOKUP($A142,'3-TECHNICAL TABULATION'!$A:$A,'3-TECHNICAL TABULATION'!C:C)="","",_xlfn.XLOOKUP($A142,'3-TECHNICAL TABULATION'!$A:$A,'3-TECHNICAL TABULATION'!C:C)),"")</f>
        <v/>
      </c>
      <c r="D142" s="39" t="str">
        <f>IFERROR(IF(_xlfn.XLOOKUP($A142,'3-TECHNICAL TABULATION'!$A:$A,'3-TECHNICAL TABULATION'!D:D)="","",_xlfn.XLOOKUP($A142,'3-TECHNICAL TABULATION'!$A:$A,'3-TECHNICAL TABULATION'!D:D)),"")</f>
        <v/>
      </c>
    </row>
    <row r="143" spans="1:4" ht="30" x14ac:dyDescent="0.25">
      <c r="A143" s="87" t="s">
        <v>381</v>
      </c>
      <c r="B143" s="52" t="str">
        <f>IFERROR(IF(_xlfn.XLOOKUP($A143,'3-TECHNICAL TABULATION'!$A:$A,'3-TECHNICAL TABULATION'!B:B)="","",_xlfn.XLOOKUP($A143,'3-TECHNICAL TABULATION'!$A:$A,'3-TECHNICAL TABULATION'!B:B)),"")</f>
        <v>[yes/no]</v>
      </c>
      <c r="C143" s="38" t="str">
        <f>IFERROR(IF(_xlfn.XLOOKUP($A143,'3-TECHNICAL TABULATION'!$A:$A,'3-TECHNICAL TABULATION'!C:C)="","",_xlfn.XLOOKUP($A143,'3-TECHNICAL TABULATION'!$A:$A,'3-TECHNICAL TABULATION'!C:C)),"")</f>
        <v/>
      </c>
      <c r="D143" s="39" t="str">
        <f>IFERROR(IF(_xlfn.XLOOKUP($A143,'3-TECHNICAL TABULATION'!$A:$A,'3-TECHNICAL TABULATION'!D:D)="","",_xlfn.XLOOKUP($A143,'3-TECHNICAL TABULATION'!$A:$A,'3-TECHNICAL TABULATION'!D:D)),"")</f>
        <v/>
      </c>
    </row>
    <row r="144" spans="1:4" x14ac:dyDescent="0.25">
      <c r="A144" s="87" t="s">
        <v>218</v>
      </c>
      <c r="B144" s="52" t="str">
        <f>IFERROR(IF(_xlfn.XLOOKUP($A144,'3-TECHNICAL TABULATION'!$A:$A,'3-TECHNICAL TABULATION'!B:B)="","",_xlfn.XLOOKUP($A144,'3-TECHNICAL TABULATION'!$A:$A,'3-TECHNICAL TABULATION'!B:B)),"")</f>
        <v>[yes/no]</v>
      </c>
      <c r="C144" s="38" t="str">
        <f>IFERROR(IF(_xlfn.XLOOKUP($A144,'3-TECHNICAL TABULATION'!$A:$A,'3-TECHNICAL TABULATION'!C:C)="","",_xlfn.XLOOKUP($A144,'3-TECHNICAL TABULATION'!$A:$A,'3-TECHNICAL TABULATION'!C:C)),"")</f>
        <v/>
      </c>
      <c r="D144" s="39" t="str">
        <f>IFERROR(IF(_xlfn.XLOOKUP($A144,'3-TECHNICAL TABULATION'!$A:$A,'3-TECHNICAL TABULATION'!D:D)="","",_xlfn.XLOOKUP($A144,'3-TECHNICAL TABULATION'!$A:$A,'3-TECHNICAL TABULATION'!D:D)),"")</f>
        <v/>
      </c>
    </row>
    <row r="145" spans="1:4" x14ac:dyDescent="0.25">
      <c r="A145" s="87" t="s">
        <v>219</v>
      </c>
      <c r="B145" s="52" t="str">
        <f>IFERROR(IF(_xlfn.XLOOKUP($A145,'3-TECHNICAL TABULATION'!$A:$A,'3-TECHNICAL TABULATION'!B:B)="","",_xlfn.XLOOKUP($A145,'3-TECHNICAL TABULATION'!$A:$A,'3-TECHNICAL TABULATION'!B:B)),"")</f>
        <v>[yes/no]</v>
      </c>
      <c r="C145" s="38" t="str">
        <f>IFERROR(IF(_xlfn.XLOOKUP($A145,'3-TECHNICAL TABULATION'!$A:$A,'3-TECHNICAL TABULATION'!C:C)="","",_xlfn.XLOOKUP($A145,'3-TECHNICAL TABULATION'!$A:$A,'3-TECHNICAL TABULATION'!C:C)),"")</f>
        <v/>
      </c>
      <c r="D145" s="39" t="str">
        <f>IFERROR(IF(_xlfn.XLOOKUP($A145,'3-TECHNICAL TABULATION'!$A:$A,'3-TECHNICAL TABULATION'!D:D)="","",_xlfn.XLOOKUP($A145,'3-TECHNICAL TABULATION'!$A:$A,'3-TECHNICAL TABULATION'!D:D)),"")</f>
        <v/>
      </c>
    </row>
    <row r="146" spans="1:4" ht="30" x14ac:dyDescent="0.25">
      <c r="A146" s="87" t="s">
        <v>517</v>
      </c>
      <c r="B146" s="52" t="str">
        <f>IFERROR(IF(_xlfn.XLOOKUP($A146,'3-TECHNICAL TABULATION'!$A:$A,'3-TECHNICAL TABULATION'!B:B)="","",_xlfn.XLOOKUP($A146,'3-TECHNICAL TABULATION'!$A:$A,'3-TECHNICAL TABULATION'!B:B)),"")</f>
        <v>[yes/no check necessary]</v>
      </c>
      <c r="C146" s="38" t="str">
        <f>IFERROR(IF(_xlfn.XLOOKUP($A146,'3-TECHNICAL TABULATION'!$A:$A,'3-TECHNICAL TABULATION'!C:C)="","",_xlfn.XLOOKUP($A146,'3-TECHNICAL TABULATION'!$A:$A,'3-TECHNICAL TABULATION'!C:C)),"")</f>
        <v/>
      </c>
      <c r="D146" s="39" t="str">
        <f>IFERROR(IF(_xlfn.XLOOKUP($A146,'3-TECHNICAL TABULATION'!$A:$A,'3-TECHNICAL TABULATION'!D:D)="","",_xlfn.XLOOKUP($A146,'3-TECHNICAL TABULATION'!$A:$A,'3-TECHNICAL TABULATION'!D:D)),"")</f>
        <v/>
      </c>
    </row>
    <row r="147" spans="1:4" ht="30" x14ac:dyDescent="0.25">
      <c r="A147" s="87" t="s">
        <v>518</v>
      </c>
      <c r="B147" s="52" t="str">
        <f>IFERROR(IF(_xlfn.XLOOKUP($A147,'3-TECHNICAL TABULATION'!$A:$A,'3-TECHNICAL TABULATION'!B:B)="","",_xlfn.XLOOKUP($A147,'3-TECHNICAL TABULATION'!$A:$A,'3-TECHNICAL TABULATION'!B:B)),"")</f>
        <v>[yes/no check necessary]</v>
      </c>
      <c r="C147" s="38" t="str">
        <f>IFERROR(IF(_xlfn.XLOOKUP($A147,'3-TECHNICAL TABULATION'!$A:$A,'3-TECHNICAL TABULATION'!C:C)="","",_xlfn.XLOOKUP($A147,'3-TECHNICAL TABULATION'!$A:$A,'3-TECHNICAL TABULATION'!C:C)),"")</f>
        <v/>
      </c>
      <c r="D147" s="39" t="str">
        <f>IFERROR(IF(_xlfn.XLOOKUP($A147,'3-TECHNICAL TABULATION'!$A:$A,'3-TECHNICAL TABULATION'!D:D)="","",_xlfn.XLOOKUP($A147,'3-TECHNICAL TABULATION'!$A:$A,'3-TECHNICAL TABULATION'!D:D)),"")</f>
        <v/>
      </c>
    </row>
    <row r="148" spans="1:4" x14ac:dyDescent="0.25">
      <c r="A148" s="87" t="s">
        <v>519</v>
      </c>
      <c r="B148" s="52" t="str">
        <f>IFERROR(IF(_xlfn.XLOOKUP($A148,'3-TECHNICAL TABULATION'!$A:$A,'3-TECHNICAL TABULATION'!B:B)="","",_xlfn.XLOOKUP($A148,'3-TECHNICAL TABULATION'!$A:$A,'3-TECHNICAL TABULATION'!B:B)),"")</f>
        <v>[yes/no check necessary]</v>
      </c>
      <c r="C148" s="38" t="str">
        <f>IFERROR(IF(_xlfn.XLOOKUP($A148,'3-TECHNICAL TABULATION'!$A:$A,'3-TECHNICAL TABULATION'!C:C)="","",_xlfn.XLOOKUP($A148,'3-TECHNICAL TABULATION'!$A:$A,'3-TECHNICAL TABULATION'!C:C)),"")</f>
        <v/>
      </c>
      <c r="D148" s="39" t="str">
        <f>IFERROR(IF(_xlfn.XLOOKUP($A148,'3-TECHNICAL TABULATION'!$A:$A,'3-TECHNICAL TABULATION'!D:D)="","",_xlfn.XLOOKUP($A148,'3-TECHNICAL TABULATION'!$A:$A,'3-TECHNICAL TABULATION'!D:D)),"")</f>
        <v/>
      </c>
    </row>
    <row r="149" spans="1:4" x14ac:dyDescent="0.25">
      <c r="A149" s="87" t="s">
        <v>220</v>
      </c>
      <c r="B149" s="52" t="str">
        <f>IFERROR(IF(_xlfn.XLOOKUP($A149,'3-TECHNICAL TABULATION'!$A:$A,'3-TECHNICAL TABULATION'!B:B)="","",_xlfn.XLOOKUP($A149,'3-TECHNICAL TABULATION'!$A:$A,'3-TECHNICAL TABULATION'!B:B)),"")</f>
        <v>[yes/no]</v>
      </c>
      <c r="C149" s="38" t="str">
        <f>IFERROR(IF(_xlfn.XLOOKUP($A149,'3-TECHNICAL TABULATION'!$A:$A,'3-TECHNICAL TABULATION'!C:C)="","",_xlfn.XLOOKUP($A149,'3-TECHNICAL TABULATION'!$A:$A,'3-TECHNICAL TABULATION'!C:C)),"")</f>
        <v/>
      </c>
      <c r="D149" s="39" t="str">
        <f>IFERROR(IF(_xlfn.XLOOKUP($A149,'3-TECHNICAL TABULATION'!$A:$A,'3-TECHNICAL TABULATION'!D:D)="","",_xlfn.XLOOKUP($A149,'3-TECHNICAL TABULATION'!$A:$A,'3-TECHNICAL TABULATION'!D:D)),"")</f>
        <v/>
      </c>
    </row>
    <row r="150" spans="1:4" x14ac:dyDescent="0.25">
      <c r="A150" s="87" t="s">
        <v>221</v>
      </c>
      <c r="B150" s="52" t="str">
        <f>IFERROR(IF(_xlfn.XLOOKUP($A150,'3-TECHNICAL TABULATION'!$A:$A,'3-TECHNICAL TABULATION'!B:B)="","",_xlfn.XLOOKUP($A150,'3-TECHNICAL TABULATION'!$A:$A,'3-TECHNICAL TABULATION'!B:B)),"")</f>
        <v/>
      </c>
      <c r="C150" s="38" t="str">
        <f>IFERROR(IF(_xlfn.XLOOKUP($A150,'3-TECHNICAL TABULATION'!$A:$A,'3-TECHNICAL TABULATION'!C:C)="","",_xlfn.XLOOKUP($A150,'3-TECHNICAL TABULATION'!$A:$A,'3-TECHNICAL TABULATION'!C:C)),"")</f>
        <v/>
      </c>
      <c r="D150" s="39" t="str">
        <f>IFERROR(IF(_xlfn.XLOOKUP($A150,'3-TECHNICAL TABULATION'!$A:$A,'3-TECHNICAL TABULATION'!D:D)="","",_xlfn.XLOOKUP($A150,'3-TECHNICAL TABULATION'!$A:$A,'3-TECHNICAL TABULATION'!D:D)),"")</f>
        <v/>
      </c>
    </row>
    <row r="151" spans="1:4" x14ac:dyDescent="0.25">
      <c r="A151" s="87" t="s">
        <v>222</v>
      </c>
      <c r="B151" s="52" t="str">
        <f>IFERROR(IF(_xlfn.XLOOKUP($A151,'3-TECHNICAL TABULATION'!$A:$A,'3-TECHNICAL TABULATION'!B:B)="","",_xlfn.XLOOKUP($A151,'3-TECHNICAL TABULATION'!$A:$A,'3-TECHNICAL TABULATION'!B:B)),"")</f>
        <v/>
      </c>
      <c r="C151" s="38" t="str">
        <f>IFERROR(IF(_xlfn.XLOOKUP($A151,'3-TECHNICAL TABULATION'!$A:$A,'3-TECHNICAL TABULATION'!C:C)="","",_xlfn.XLOOKUP($A151,'3-TECHNICAL TABULATION'!$A:$A,'3-TECHNICAL TABULATION'!C:C)),"")</f>
        <v/>
      </c>
      <c r="D151" s="39" t="str">
        <f>IFERROR(IF(_xlfn.XLOOKUP($A151,'3-TECHNICAL TABULATION'!$A:$A,'3-TECHNICAL TABULATION'!D:D)="","",_xlfn.XLOOKUP($A151,'3-TECHNICAL TABULATION'!$A:$A,'3-TECHNICAL TABULATION'!D:D)),"")</f>
        <v/>
      </c>
    </row>
    <row r="152" spans="1:4" x14ac:dyDescent="0.25">
      <c r="A152" s="87" t="s">
        <v>223</v>
      </c>
      <c r="B152" s="52" t="str">
        <f>IFERROR(IF(_xlfn.XLOOKUP($A152,'3-TECHNICAL TABULATION'!$A:$A,'3-TECHNICAL TABULATION'!B:B)="","",_xlfn.XLOOKUP($A152,'3-TECHNICAL TABULATION'!$A:$A,'3-TECHNICAL TABULATION'!B:B)),"")</f>
        <v/>
      </c>
      <c r="C152" s="38" t="str">
        <f>IFERROR(IF(_xlfn.XLOOKUP($A152,'3-TECHNICAL TABULATION'!$A:$A,'3-TECHNICAL TABULATION'!C:C)="","",_xlfn.XLOOKUP($A152,'3-TECHNICAL TABULATION'!$A:$A,'3-TECHNICAL TABULATION'!C:C)),"")</f>
        <v/>
      </c>
      <c r="D152" s="39" t="str">
        <f>IFERROR(IF(_xlfn.XLOOKUP($A152,'3-TECHNICAL TABULATION'!$A:$A,'3-TECHNICAL TABULATION'!D:D)="","",_xlfn.XLOOKUP($A152,'3-TECHNICAL TABULATION'!$A:$A,'3-TECHNICAL TABULATION'!D:D)),"")</f>
        <v/>
      </c>
    </row>
    <row r="153" spans="1:4" x14ac:dyDescent="0.25">
      <c r="A153" s="87" t="s">
        <v>224</v>
      </c>
      <c r="B153" s="52" t="str">
        <f>IFERROR(IF(_xlfn.XLOOKUP($A153,'3-TECHNICAL TABULATION'!$A:$A,'3-TECHNICAL TABULATION'!B:B)="","",_xlfn.XLOOKUP($A153,'3-TECHNICAL TABULATION'!$A:$A,'3-TECHNICAL TABULATION'!B:B)),"")</f>
        <v/>
      </c>
      <c r="C153" s="38" t="str">
        <f>IFERROR(IF(_xlfn.XLOOKUP($A153,'3-TECHNICAL TABULATION'!$A:$A,'3-TECHNICAL TABULATION'!C:C)="","",_xlfn.XLOOKUP($A153,'3-TECHNICAL TABULATION'!$A:$A,'3-TECHNICAL TABULATION'!C:C)),"")</f>
        <v/>
      </c>
      <c r="D153" s="39" t="str">
        <f>IFERROR(IF(_xlfn.XLOOKUP($A153,'3-TECHNICAL TABULATION'!$A:$A,'3-TECHNICAL TABULATION'!D:D)="","",_xlfn.XLOOKUP($A153,'3-TECHNICAL TABULATION'!$A:$A,'3-TECHNICAL TABULATION'!D:D)),"")</f>
        <v/>
      </c>
    </row>
    <row r="154" spans="1:4" ht="15.75" thickBot="1" x14ac:dyDescent="0.3">
      <c r="A154" s="89" t="s">
        <v>225</v>
      </c>
      <c r="B154" s="52" t="str">
        <f>IFERROR(IF(_xlfn.XLOOKUP($A154,'3-TECHNICAL TABULATION'!$A:$A,'3-TECHNICAL TABULATION'!B:B)="","",_xlfn.XLOOKUP($A154,'3-TECHNICAL TABULATION'!$A:$A,'3-TECHNICAL TABULATION'!B:B)),"")</f>
        <v/>
      </c>
      <c r="C154" s="38" t="str">
        <f>IFERROR(IF(_xlfn.XLOOKUP($A154,'3-TECHNICAL TABULATION'!$A:$A,'3-TECHNICAL TABULATION'!C:C)="","",_xlfn.XLOOKUP($A154,'3-TECHNICAL TABULATION'!$A:$A,'3-TECHNICAL TABULATION'!C:C)),"")</f>
        <v/>
      </c>
      <c r="D154" s="39" t="str">
        <f>IFERROR(IF(_xlfn.XLOOKUP($A154,'3-TECHNICAL TABULATION'!$A:$A,'3-TECHNICAL TABULATION'!D:D)="","",_xlfn.XLOOKUP($A154,'3-TECHNICAL TABULATION'!$A:$A,'3-TECHNICAL TABULATION'!D:D)),"")</f>
        <v/>
      </c>
    </row>
  </sheetData>
  <sheetProtection algorithmName="SHA-512" hashValue="jta5bZEopDSei3psvIyfCjvFvVSo5vf7pePwn5kCopqaTmI1zPz2QNLKExM+y1xAXbWUefO7kYdJPuAnRMI/Eg==" saltValue="JylW2F+v7/6a3l9fwLJDNQ==" spinCount="100000" sheet="1" objects="1" scenarios="1" formatCells="0" formatColumns="0" formatRows="0" autoFilter="0"/>
  <autoFilter ref="A8:A154" xr:uid="{5DA03D31-457C-4E81-874B-FBFD603C4465}"/>
  <mergeCells count="10">
    <mergeCell ref="C1:D3"/>
    <mergeCell ref="A6:B6"/>
    <mergeCell ref="A2:B2"/>
    <mergeCell ref="A3:B3"/>
    <mergeCell ref="A4:B4"/>
    <mergeCell ref="A5:B5"/>
    <mergeCell ref="A1:B1"/>
    <mergeCell ref="C4:D4"/>
    <mergeCell ref="C5:C6"/>
    <mergeCell ref="D5:D6"/>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32214-5E9E-4F53-8F60-D8955E7215FD}">
  <sheetPr codeName="Foglio7"/>
  <dimension ref="A1:D152"/>
  <sheetViews>
    <sheetView zoomScaleNormal="100" workbookViewId="0">
      <pane xSplit="2" ySplit="14" topLeftCell="C15" activePane="bottomRight" state="frozen"/>
      <selection sqref="A1:XFD1048576"/>
      <selection pane="topRight" sqref="A1:XFD1048576"/>
      <selection pane="bottomLeft" sqref="A1:XFD1048576"/>
      <selection pane="bottomRight" sqref="A1:B1"/>
    </sheetView>
  </sheetViews>
  <sheetFormatPr defaultColWidth="20.85546875" defaultRowHeight="15" x14ac:dyDescent="0.25"/>
  <cols>
    <col min="1" max="1" width="72.85546875" style="1" customWidth="1"/>
    <col min="2" max="2" width="23.85546875" style="32" customWidth="1"/>
    <col min="3" max="4" width="20.85546875" style="4" customWidth="1"/>
    <col min="5" max="16384" width="20.85546875" style="2"/>
  </cols>
  <sheetData>
    <row r="1" spans="1:4" ht="23.25" x14ac:dyDescent="0.25">
      <c r="A1" s="341" t="s">
        <v>266</v>
      </c>
      <c r="B1" s="342"/>
      <c r="C1" s="304" t="e" vm="2">
        <v>#VALUE!</v>
      </c>
      <c r="D1" s="306"/>
    </row>
    <row r="2" spans="1:4" x14ac:dyDescent="0.25">
      <c r="A2" s="319" t="str">
        <f>'1-START'!C6&amp;":"&amp;'1-START'!P6</f>
        <v>JOB NUMBER:</v>
      </c>
      <c r="B2" s="321"/>
      <c r="C2" s="307"/>
      <c r="D2" s="309"/>
    </row>
    <row r="3" spans="1:4" ht="15.75" thickBot="1" x14ac:dyDescent="0.3">
      <c r="A3" s="319" t="str">
        <f>'1-START'!C7&amp;" : "&amp;'1-START'!P7</f>
        <v xml:space="preserve">End User Name : </v>
      </c>
      <c r="B3" s="321"/>
      <c r="C3" s="336"/>
      <c r="D3" s="337"/>
    </row>
    <row r="4" spans="1:4" ht="18.75" x14ac:dyDescent="0.25">
      <c r="A4" s="319" t="str">
        <f>'1-START'!C8&amp;" : "&amp;'1-START'!P8</f>
        <v xml:space="preserve">Engineering Contractor Name : </v>
      </c>
      <c r="B4" s="321"/>
      <c r="C4" s="331" t="s">
        <v>417</v>
      </c>
      <c r="D4" s="332"/>
    </row>
    <row r="5" spans="1:4" x14ac:dyDescent="0.25">
      <c r="A5" s="319" t="str">
        <f>'1-START'!C9&amp;" : "&amp;'1-START'!P9</f>
        <v xml:space="preserve">Project Name : </v>
      </c>
      <c r="B5" s="321"/>
      <c r="C5" s="333" t="str">
        <f>'1-START'!M43</f>
        <v>TS_</v>
      </c>
      <c r="D5" s="334" t="str">
        <f>"Rev." &amp; MAX('1-START'!B22:E40)</f>
        <v>Rev.0</v>
      </c>
    </row>
    <row r="6" spans="1:4" ht="15.75" thickBot="1" x14ac:dyDescent="0.3">
      <c r="A6" s="335" t="str">
        <f>'1-START'!C10&amp;" : "&amp;'1-START'!P10</f>
        <v xml:space="preserve">Country Of Installation : </v>
      </c>
      <c r="B6" s="340"/>
      <c r="C6" s="343"/>
      <c r="D6" s="344"/>
    </row>
    <row r="7" spans="1:4" ht="15.75" thickBot="1" x14ac:dyDescent="0.3">
      <c r="A7" s="2"/>
    </row>
    <row r="8" spans="1:4" s="3" customFormat="1" x14ac:dyDescent="0.25">
      <c r="A8" s="73" t="s">
        <v>267</v>
      </c>
      <c r="B8" s="104" t="s">
        <v>268</v>
      </c>
      <c r="C8" s="104" t="s">
        <v>269</v>
      </c>
      <c r="D8" s="104" t="s">
        <v>270</v>
      </c>
    </row>
    <row r="9" spans="1:4" s="3" customFormat="1" x14ac:dyDescent="0.25">
      <c r="A9" s="90" t="s">
        <v>11</v>
      </c>
      <c r="B9" s="50" t="str">
        <f>IFERROR(IF(_xlfn.XLOOKUP($A9,'3-TECHNICAL TABULATION'!$A:$A,'3-TECHNICAL TABULATION'!B:B)="","",_xlfn.XLOOKUP($A9,'3-TECHNICAL TABULATION'!$A:$A,'3-TECHNICAL TABULATION'!B:B)),"")</f>
        <v>[number]</v>
      </c>
      <c r="C9" s="38" t="str">
        <f>IFERROR(IF(_xlfn.XLOOKUP($A9,'3-TECHNICAL TABULATION'!$A:$A,'3-TECHNICAL TABULATION'!C:C)="","",_xlfn.XLOOKUP($A9,'3-TECHNICAL TABULATION'!$A:$A,'3-TECHNICAL TABULATION'!C:C)),"")</f>
        <v/>
      </c>
      <c r="D9" s="79" t="str">
        <f>IFERROR(IF(_xlfn.XLOOKUP($A9,'3-TECHNICAL TABULATION'!$A:$A,'3-TECHNICAL TABULATION'!D:D)="","",_xlfn.XLOOKUP($A9,'3-TECHNICAL TABULATION'!$A:$A,'3-TECHNICAL TABULATION'!D:D)),"")</f>
        <v/>
      </c>
    </row>
    <row r="10" spans="1:4" x14ac:dyDescent="0.25">
      <c r="A10" s="90" t="s">
        <v>12</v>
      </c>
      <c r="B10" s="50" t="str">
        <f>IFERROR(IF(_xlfn.XLOOKUP($A10,'3-TECHNICAL TABULATION'!$A:$A,'3-TECHNICAL TABULATION'!B:B)="","",_xlfn.XLOOKUP($A10,'3-TECHNICAL TABULATION'!$A:$A,'3-TECHNICAL TABULATION'!B:B)),"")</f>
        <v/>
      </c>
      <c r="C10" s="38" t="str">
        <f>IFERROR(IF(_xlfn.XLOOKUP($A10,'3-TECHNICAL TABULATION'!$A:$A,'3-TECHNICAL TABULATION'!C:C)="","",_xlfn.XLOOKUP($A10,'3-TECHNICAL TABULATION'!$A:$A,'3-TECHNICAL TABULATION'!C:C)),"")</f>
        <v/>
      </c>
      <c r="D10" s="79" t="str">
        <f>IFERROR(IF(_xlfn.XLOOKUP($A10,'3-TECHNICAL TABULATION'!$A:$A,'3-TECHNICAL TABULATION'!D:D)="","",_xlfn.XLOOKUP($A10,'3-TECHNICAL TABULATION'!$A:$A,'3-TECHNICAL TABULATION'!D:D)),"")</f>
        <v/>
      </c>
    </row>
    <row r="11" spans="1:4" x14ac:dyDescent="0.25">
      <c r="A11" s="90" t="s">
        <v>13</v>
      </c>
      <c r="B11" s="50" t="str">
        <f>IFERROR(IF(_xlfn.XLOOKUP($A11,'3-TECHNICAL TABULATION'!$A:$A,'3-TECHNICAL TABULATION'!B:B)="","",_xlfn.XLOOKUP($A11,'3-TECHNICAL TABULATION'!$A:$A,'3-TECHNICAL TABULATION'!B:B)),"")</f>
        <v/>
      </c>
      <c r="C11" s="38" t="str">
        <f>IFERROR(IF(_xlfn.XLOOKUP($A11,'3-TECHNICAL TABULATION'!$A:$A,'3-TECHNICAL TABULATION'!C:C)="","",_xlfn.XLOOKUP($A11,'3-TECHNICAL TABULATION'!$A:$A,'3-TECHNICAL TABULATION'!C:C)),"")</f>
        <v/>
      </c>
      <c r="D11" s="79" t="str">
        <f>IFERROR(IF(_xlfn.XLOOKUP($A11,'3-TECHNICAL TABULATION'!$A:$A,'3-TECHNICAL TABULATION'!D:D)="","",_xlfn.XLOOKUP($A11,'3-TECHNICAL TABULATION'!$A:$A,'3-TECHNICAL TABULATION'!D:D)),"")</f>
        <v/>
      </c>
    </row>
    <row r="12" spans="1:4" x14ac:dyDescent="0.25">
      <c r="A12" s="90" t="s">
        <v>14</v>
      </c>
      <c r="B12" s="50" t="str">
        <f>IFERROR(IF(_xlfn.XLOOKUP($A12,'3-TECHNICAL TABULATION'!$A:$A,'3-TECHNICAL TABULATION'!B:B)="","",_xlfn.XLOOKUP($A12,'3-TECHNICAL TABULATION'!$A:$A,'3-TECHNICAL TABULATION'!B:B)),"")</f>
        <v/>
      </c>
      <c r="C12" s="38" t="str">
        <f>IFERROR(IF(_xlfn.XLOOKUP($A12,'3-TECHNICAL TABULATION'!$A:$A,'3-TECHNICAL TABULATION'!C:C)="","",_xlfn.XLOOKUP($A12,'3-TECHNICAL TABULATION'!$A:$A,'3-TECHNICAL TABULATION'!C:C)),"")</f>
        <v/>
      </c>
      <c r="D12" s="79" t="str">
        <f>IFERROR(IF(_xlfn.XLOOKUP($A12,'3-TECHNICAL TABULATION'!$A:$A,'3-TECHNICAL TABULATION'!D:D)="","",_xlfn.XLOOKUP($A12,'3-TECHNICAL TABULATION'!$A:$A,'3-TECHNICAL TABULATION'!D:D)),"")</f>
        <v/>
      </c>
    </row>
    <row r="13" spans="1:4" x14ac:dyDescent="0.25">
      <c r="A13" s="90" t="s">
        <v>15</v>
      </c>
      <c r="B13" s="50" t="str">
        <f>IFERROR(IF(_xlfn.XLOOKUP($A13,'3-TECHNICAL TABULATION'!$A:$A,'3-TECHNICAL TABULATION'!B:B)="","",_xlfn.XLOOKUP($A13,'3-TECHNICAL TABULATION'!$A:$A,'3-TECHNICAL TABULATION'!B:B)),"")</f>
        <v/>
      </c>
      <c r="C13" s="38" t="str">
        <f>IFERROR(IF(_xlfn.XLOOKUP($A13,'3-TECHNICAL TABULATION'!$A:$A,'3-TECHNICAL TABULATION'!C:C)="","",_xlfn.XLOOKUP($A13,'3-TECHNICAL TABULATION'!$A:$A,'3-TECHNICAL TABULATION'!C:C)),"")</f>
        <v/>
      </c>
      <c r="D13" s="79" t="str">
        <f>IFERROR(IF(_xlfn.XLOOKUP($A13,'3-TECHNICAL TABULATION'!$A:$A,'3-TECHNICAL TABULATION'!D:D)="","",_xlfn.XLOOKUP($A13,'3-TECHNICAL TABULATION'!$A:$A,'3-TECHNICAL TABULATION'!D:D)),"")</f>
        <v/>
      </c>
    </row>
    <row r="14" spans="1:4" s="1" customFormat="1" x14ac:dyDescent="0.25">
      <c r="A14" s="90" t="s">
        <v>16</v>
      </c>
      <c r="B14" s="50" t="str">
        <f>IFERROR(IF(_xlfn.XLOOKUP($A14,'3-TECHNICAL TABULATION'!$A:$A,'3-TECHNICAL TABULATION'!B:B)="","",_xlfn.XLOOKUP($A14,'3-TECHNICAL TABULATION'!$A:$A,'3-TECHNICAL TABULATION'!B:B)),"")</f>
        <v/>
      </c>
      <c r="C14" s="38" t="str">
        <f>IFERROR(IF(_xlfn.XLOOKUP($A14,'3-TECHNICAL TABULATION'!$A:$A,'3-TECHNICAL TABULATION'!C:C)="","",_xlfn.XLOOKUP($A14,'3-TECHNICAL TABULATION'!$A:$A,'3-TECHNICAL TABULATION'!C:C)),"")</f>
        <v/>
      </c>
      <c r="D14" s="79" t="str">
        <f>IFERROR(IF(_xlfn.XLOOKUP($A14,'3-TECHNICAL TABULATION'!$A:$A,'3-TECHNICAL TABULATION'!D:D)="","",_xlfn.XLOOKUP($A14,'3-TECHNICAL TABULATION'!$A:$A,'3-TECHNICAL TABULATION'!D:D)),"")</f>
        <v/>
      </c>
    </row>
    <row r="15" spans="1:4" x14ac:dyDescent="0.25">
      <c r="A15" s="90" t="s">
        <v>91</v>
      </c>
      <c r="B15" s="50" t="str">
        <f>IFERROR(IF(_xlfn.XLOOKUP($A15,'3-TECHNICAL TABULATION'!$A:$A,'3-TECHNICAL TABULATION'!B:B)="","",_xlfn.XLOOKUP($A15,'3-TECHNICAL TABULATION'!$A:$A,'3-TECHNICAL TABULATION'!B:B)),"")</f>
        <v/>
      </c>
      <c r="C15" s="38" t="str">
        <f>IFERROR(IF(_xlfn.XLOOKUP($A15,'3-TECHNICAL TABULATION'!$A:$A,'3-TECHNICAL TABULATION'!C:C)="","",_xlfn.XLOOKUP($A15,'3-TECHNICAL TABULATION'!$A:$A,'3-TECHNICAL TABULATION'!C:C)),"")</f>
        <v/>
      </c>
      <c r="D15" s="79" t="str">
        <f>IFERROR(IF(_xlfn.XLOOKUP($A15,'3-TECHNICAL TABULATION'!$A:$A,'3-TECHNICAL TABULATION'!D:D)="","",_xlfn.XLOOKUP($A15,'3-TECHNICAL TABULATION'!$A:$A,'3-TECHNICAL TABULATION'!D:D)),"")</f>
        <v/>
      </c>
    </row>
    <row r="16" spans="1:4" x14ac:dyDescent="0.25">
      <c r="A16" s="90" t="s">
        <v>92</v>
      </c>
      <c r="B16" s="50" t="str">
        <f>IFERROR(IF(_xlfn.XLOOKUP($A16,'3-TECHNICAL TABULATION'!$A:$A,'3-TECHNICAL TABULATION'!B:B)="","",_xlfn.XLOOKUP($A16,'3-TECHNICAL TABULATION'!$A:$A,'3-TECHNICAL TABULATION'!B:B)),"")</f>
        <v/>
      </c>
      <c r="C16" s="38" t="str">
        <f>IFERROR(IF(_xlfn.XLOOKUP($A16,'3-TECHNICAL TABULATION'!$A:$A,'3-TECHNICAL TABULATION'!C:C)="","",_xlfn.XLOOKUP($A16,'3-TECHNICAL TABULATION'!$A:$A,'3-TECHNICAL TABULATION'!C:C)),"")</f>
        <v/>
      </c>
      <c r="D16" s="79" t="str">
        <f>IFERROR(IF(_xlfn.XLOOKUP($A16,'3-TECHNICAL TABULATION'!$A:$A,'3-TECHNICAL TABULATION'!D:D)="","",_xlfn.XLOOKUP($A16,'3-TECHNICAL TABULATION'!$A:$A,'3-TECHNICAL TABULATION'!D:D)),"")</f>
        <v/>
      </c>
    </row>
    <row r="17" spans="1:4" x14ac:dyDescent="0.25">
      <c r="A17" s="90" t="s">
        <v>17</v>
      </c>
      <c r="B17" s="50" t="str">
        <f>IFERROR(IF(_xlfn.XLOOKUP($A17,'3-TECHNICAL TABULATION'!$A:$A,'3-TECHNICAL TABULATION'!B:B)="","",_xlfn.XLOOKUP($A17,'3-TECHNICAL TABULATION'!$A:$A,'3-TECHNICAL TABULATION'!B:B)),"")</f>
        <v/>
      </c>
      <c r="C17" s="38" t="str">
        <f>IFERROR(IF(_xlfn.XLOOKUP($A17,'3-TECHNICAL TABULATION'!$A:$A,'3-TECHNICAL TABULATION'!C:C)="","",_xlfn.XLOOKUP($A17,'3-TECHNICAL TABULATION'!$A:$A,'3-TECHNICAL TABULATION'!C:C)),"")</f>
        <v/>
      </c>
      <c r="D17" s="79" t="str">
        <f>IFERROR(IF(_xlfn.XLOOKUP($A17,'3-TECHNICAL TABULATION'!$A:$A,'3-TECHNICAL TABULATION'!D:D)="","",_xlfn.XLOOKUP($A17,'3-TECHNICAL TABULATION'!$A:$A,'3-TECHNICAL TABULATION'!D:D)),"")</f>
        <v/>
      </c>
    </row>
    <row r="18" spans="1:4" ht="30" x14ac:dyDescent="0.25">
      <c r="A18" s="90" t="s">
        <v>497</v>
      </c>
      <c r="B18" s="50" t="str">
        <f>IFERROR(IF(_xlfn.XLOOKUP($A18,'3-TECHNICAL TABULATION'!$A:$A,'3-TECHNICAL TABULATION'!B:B)="","",_xlfn.XLOOKUP($A18,'3-TECHNICAL TABULATION'!$A:$A,'3-TECHNICAL TABULATION'!B:B)),"")</f>
        <v>[no/MR0175/MR0103]</v>
      </c>
      <c r="C18" s="38" t="str">
        <f>IFERROR(IF(_xlfn.XLOOKUP($A18,'3-TECHNICAL TABULATION'!$A:$A,'3-TECHNICAL TABULATION'!C:C)="","",_xlfn.XLOOKUP($A18,'3-TECHNICAL TABULATION'!$A:$A,'3-TECHNICAL TABULATION'!C:C)),"")</f>
        <v/>
      </c>
      <c r="D18" s="79" t="str">
        <f>IFERROR(IF(_xlfn.XLOOKUP($A18,'3-TECHNICAL TABULATION'!$A:$A,'3-TECHNICAL TABULATION'!D:D)="","",_xlfn.XLOOKUP($A18,'3-TECHNICAL TABULATION'!$A:$A,'3-TECHNICAL TABULATION'!D:D)),"")</f>
        <v/>
      </c>
    </row>
    <row r="19" spans="1:4" x14ac:dyDescent="0.25">
      <c r="A19" s="90" t="s">
        <v>32</v>
      </c>
      <c r="B19" s="50" t="str">
        <f>IFERROR(IF(_xlfn.XLOOKUP($A19,'3-TECHNICAL TABULATION'!$A:$A,'3-TECHNICAL TABULATION'!B:B)="","",_xlfn.XLOOKUP($A19,'3-TECHNICAL TABULATION'!$A:$A,'3-TECHNICAL TABULATION'!B:B)),"")</f>
        <v/>
      </c>
      <c r="C19" s="38" t="str">
        <f>IFERROR(IF(_xlfn.XLOOKUP($A19,'3-TECHNICAL TABULATION'!$A:$A,'3-TECHNICAL TABULATION'!C:C)="","",_xlfn.XLOOKUP($A19,'3-TECHNICAL TABULATION'!$A:$A,'3-TECHNICAL TABULATION'!C:C)),"")</f>
        <v/>
      </c>
      <c r="D19" s="79" t="str">
        <f>IFERROR(IF(_xlfn.XLOOKUP($A19,'3-TECHNICAL TABULATION'!$A:$A,'3-TECHNICAL TABULATION'!D:D)="","",_xlfn.XLOOKUP($A19,'3-TECHNICAL TABULATION'!$A:$A,'3-TECHNICAL TABULATION'!D:D)),"")</f>
        <v/>
      </c>
    </row>
    <row r="20" spans="1:4" x14ac:dyDescent="0.25">
      <c r="A20" s="90" t="s">
        <v>332</v>
      </c>
      <c r="B20" s="50" t="str">
        <f>IFERROR(IF(_xlfn.XLOOKUP($A20,'3-TECHNICAL TABULATION'!$A:$A,'3-TECHNICAL TABULATION'!B:B)="","",_xlfn.XLOOKUP($A20,'3-TECHNICAL TABULATION'!$A:$A,'3-TECHNICAL TABULATION'!B:B)),"")</f>
        <v>bar.g</v>
      </c>
      <c r="C20" s="38" t="str">
        <f>IFERROR(IF(_xlfn.XLOOKUP($A20,'3-TECHNICAL TABULATION'!$A:$A,'3-TECHNICAL TABULATION'!C:C)="","",_xlfn.XLOOKUP($A20,'3-TECHNICAL TABULATION'!$A:$A,'3-TECHNICAL TABULATION'!C:C)),"")</f>
        <v/>
      </c>
      <c r="D20" s="79" t="str">
        <f>IFERROR(IF(_xlfn.XLOOKUP($A20,'3-TECHNICAL TABULATION'!$A:$A,'3-TECHNICAL TABULATION'!D:D)="","",_xlfn.XLOOKUP($A20,'3-TECHNICAL TABULATION'!$A:$A,'3-TECHNICAL TABULATION'!D:D)),"")</f>
        <v/>
      </c>
    </row>
    <row r="21" spans="1:4" x14ac:dyDescent="0.25">
      <c r="A21" s="90" t="s">
        <v>333</v>
      </c>
      <c r="B21" s="50" t="str">
        <f>IFERROR(IF(_xlfn.XLOOKUP($A21,'3-TECHNICAL TABULATION'!$A:$A,'3-TECHNICAL TABULATION'!B:B)="","",_xlfn.XLOOKUP($A21,'3-TECHNICAL TABULATION'!$A:$A,'3-TECHNICAL TABULATION'!B:B)),"")</f>
        <v>bar.g</v>
      </c>
      <c r="C21" s="38" t="str">
        <f>IFERROR(IF(_xlfn.XLOOKUP($A21,'3-TECHNICAL TABULATION'!$A:$A,'3-TECHNICAL TABULATION'!C:C)="","",_xlfn.XLOOKUP($A21,'3-TECHNICAL TABULATION'!$A:$A,'3-TECHNICAL TABULATION'!C:C)),"")</f>
        <v/>
      </c>
      <c r="D21" s="79" t="str">
        <f>IFERROR(IF(_xlfn.XLOOKUP($A21,'3-TECHNICAL TABULATION'!$A:$A,'3-TECHNICAL TABULATION'!D:D)="","",_xlfn.XLOOKUP($A21,'3-TECHNICAL TABULATION'!$A:$A,'3-TECHNICAL TABULATION'!D:D)),"")</f>
        <v/>
      </c>
    </row>
    <row r="22" spans="1:4" x14ac:dyDescent="0.25">
      <c r="A22" s="90" t="s">
        <v>334</v>
      </c>
      <c r="B22" s="50" t="str">
        <f>IFERROR(IF(_xlfn.XLOOKUP($A22,'3-TECHNICAL TABULATION'!$A:$A,'3-TECHNICAL TABULATION'!B:B)="","",_xlfn.XLOOKUP($A22,'3-TECHNICAL TABULATION'!$A:$A,'3-TECHNICAL TABULATION'!B:B)),"")</f>
        <v>bar.g</v>
      </c>
      <c r="C22" s="38" t="str">
        <f>IFERROR(IF(_xlfn.XLOOKUP($A22,'3-TECHNICAL TABULATION'!$A:$A,'3-TECHNICAL TABULATION'!C:C)="","",_xlfn.XLOOKUP($A22,'3-TECHNICAL TABULATION'!$A:$A,'3-TECHNICAL TABULATION'!C:C)),"")</f>
        <v/>
      </c>
      <c r="D22" s="79" t="str">
        <f>IFERROR(IF(_xlfn.XLOOKUP($A22,'3-TECHNICAL TABULATION'!$A:$A,'3-TECHNICAL TABULATION'!D:D)="","",_xlfn.XLOOKUP($A22,'3-TECHNICAL TABULATION'!$A:$A,'3-TECHNICAL TABULATION'!D:D)),"")</f>
        <v/>
      </c>
    </row>
    <row r="23" spans="1:4" x14ac:dyDescent="0.25">
      <c r="A23" s="90" t="s">
        <v>335</v>
      </c>
      <c r="B23" s="50" t="str">
        <f>IFERROR(IF(_xlfn.XLOOKUP($A23,'3-TECHNICAL TABULATION'!$A:$A,'3-TECHNICAL TABULATION'!B:B)="","",_xlfn.XLOOKUP($A23,'3-TECHNICAL TABULATION'!$A:$A,'3-TECHNICAL TABULATION'!B:B)),"")</f>
        <v>bar.g</v>
      </c>
      <c r="C23" s="38" t="str">
        <f>IFERROR(IF(_xlfn.XLOOKUP($A23,'3-TECHNICAL TABULATION'!$A:$A,'3-TECHNICAL TABULATION'!C:C)="","",_xlfn.XLOOKUP($A23,'3-TECHNICAL TABULATION'!$A:$A,'3-TECHNICAL TABULATION'!C:C)),"")</f>
        <v/>
      </c>
      <c r="D23" s="79" t="str">
        <f>IFERROR(IF(_xlfn.XLOOKUP($A23,'3-TECHNICAL TABULATION'!$A:$A,'3-TECHNICAL TABULATION'!D:D)="","",_xlfn.XLOOKUP($A23,'3-TECHNICAL TABULATION'!$A:$A,'3-TECHNICAL TABULATION'!D:D)),"")</f>
        <v/>
      </c>
    </row>
    <row r="24" spans="1:4" x14ac:dyDescent="0.25">
      <c r="A24" s="90" t="s">
        <v>336</v>
      </c>
      <c r="B24" s="50" t="str">
        <f>IFERROR(IF(_xlfn.XLOOKUP($A24,'3-TECHNICAL TABULATION'!$A:$A,'3-TECHNICAL TABULATION'!B:B)="","",_xlfn.XLOOKUP($A24,'3-TECHNICAL TABULATION'!$A:$A,'3-TECHNICAL TABULATION'!B:B)),"")</f>
        <v>bar.g</v>
      </c>
      <c r="C24" s="38" t="str">
        <f>IFERROR(IF(_xlfn.XLOOKUP($A24,'3-TECHNICAL TABULATION'!$A:$A,'3-TECHNICAL TABULATION'!C:C)="","",_xlfn.XLOOKUP($A24,'3-TECHNICAL TABULATION'!$A:$A,'3-TECHNICAL TABULATION'!C:C)),"")</f>
        <v/>
      </c>
      <c r="D24" s="79" t="str">
        <f>IFERROR(IF(_xlfn.XLOOKUP($A24,'3-TECHNICAL TABULATION'!$A:$A,'3-TECHNICAL TABULATION'!D:D)="","",_xlfn.XLOOKUP($A24,'3-TECHNICAL TABULATION'!$A:$A,'3-TECHNICAL TABULATION'!D:D)),"")</f>
        <v/>
      </c>
    </row>
    <row r="25" spans="1:4" x14ac:dyDescent="0.25">
      <c r="A25" s="90" t="s">
        <v>337</v>
      </c>
      <c r="B25" s="50" t="str">
        <f>IFERROR(IF(_xlfn.XLOOKUP($A25,'3-TECHNICAL TABULATION'!$A:$A,'3-TECHNICAL TABULATION'!B:B)="","",_xlfn.XLOOKUP($A25,'3-TECHNICAL TABULATION'!$A:$A,'3-TECHNICAL TABULATION'!B:B)),"")</f>
        <v>bar.g</v>
      </c>
      <c r="C25" s="38" t="str">
        <f>IFERROR(IF(_xlfn.XLOOKUP($A25,'3-TECHNICAL TABULATION'!$A:$A,'3-TECHNICAL TABULATION'!C:C)="","",_xlfn.XLOOKUP($A25,'3-TECHNICAL TABULATION'!$A:$A,'3-TECHNICAL TABULATION'!C:C)),"")</f>
        <v/>
      </c>
      <c r="D25" s="79" t="str">
        <f>IFERROR(IF(_xlfn.XLOOKUP($A25,'3-TECHNICAL TABULATION'!$A:$A,'3-TECHNICAL TABULATION'!D:D)="","",_xlfn.XLOOKUP($A25,'3-TECHNICAL TABULATION'!$A:$A,'3-TECHNICAL TABULATION'!D:D)),"")</f>
        <v/>
      </c>
    </row>
    <row r="26" spans="1:4" x14ac:dyDescent="0.25">
      <c r="A26" s="90" t="s">
        <v>330</v>
      </c>
      <c r="B26" s="50" t="str">
        <f>IFERROR(IF(_xlfn.XLOOKUP($A26,'3-TECHNICAL TABULATION'!$A:$A,'3-TECHNICAL TABULATION'!B:B)="","",_xlfn.XLOOKUP($A26,'3-TECHNICAL TABULATION'!$A:$A,'3-TECHNICAL TABULATION'!B:B)),"")</f>
        <v/>
      </c>
      <c r="C26" s="38" t="str">
        <f>IFERROR(IF(_xlfn.XLOOKUP($A26,'3-TECHNICAL TABULATION'!$A:$A,'3-TECHNICAL TABULATION'!C:C)="","",_xlfn.XLOOKUP($A26,'3-TECHNICAL TABULATION'!$A:$A,'3-TECHNICAL TABULATION'!C:C)),"")</f>
        <v/>
      </c>
      <c r="D26" s="79" t="str">
        <f>IFERROR(IF(_xlfn.XLOOKUP($A26,'3-TECHNICAL TABULATION'!$A:$A,'3-TECHNICAL TABULATION'!D:D)="","",_xlfn.XLOOKUP($A26,'3-TECHNICAL TABULATION'!$A:$A,'3-TECHNICAL TABULATION'!D:D)),"")</f>
        <v/>
      </c>
    </row>
    <row r="27" spans="1:4" x14ac:dyDescent="0.25">
      <c r="A27" s="90" t="s">
        <v>38</v>
      </c>
      <c r="B27" s="50" t="str">
        <f>IFERROR(IF(_xlfn.XLOOKUP($A27,'3-TECHNICAL TABULATION'!$A:$A,'3-TECHNICAL TABULATION'!B:B)="","",_xlfn.XLOOKUP($A27,'3-TECHNICAL TABULATION'!$A:$A,'3-TECHNICAL TABULATION'!B:B)),"")</f>
        <v/>
      </c>
      <c r="C27" s="38" t="str">
        <f>IFERROR(IF(_xlfn.XLOOKUP($A27,'3-TECHNICAL TABULATION'!$A:$A,'3-TECHNICAL TABULATION'!C:C)="","",_xlfn.XLOOKUP($A27,'3-TECHNICAL TABULATION'!$A:$A,'3-TECHNICAL TABULATION'!C:C)),"")</f>
        <v/>
      </c>
      <c r="D27" s="79" t="str">
        <f>IFERROR(IF(_xlfn.XLOOKUP($A27,'3-TECHNICAL TABULATION'!$A:$A,'3-TECHNICAL TABULATION'!D:D)="","",_xlfn.XLOOKUP($A27,'3-TECHNICAL TABULATION'!$A:$A,'3-TECHNICAL TABULATION'!D:D)),"")</f>
        <v/>
      </c>
    </row>
    <row r="28" spans="1:4" ht="15.75" thickBot="1" x14ac:dyDescent="0.3">
      <c r="A28" s="91" t="s">
        <v>39</v>
      </c>
      <c r="B28" s="50" t="str">
        <f>IFERROR(IF(_xlfn.XLOOKUP($A28,'3-TECHNICAL TABULATION'!$A:$A,'3-TECHNICAL TABULATION'!B:B)="","",_xlfn.XLOOKUP($A28,'3-TECHNICAL TABULATION'!$A:$A,'3-TECHNICAL TABULATION'!B:B)),"")</f>
        <v>kW</v>
      </c>
      <c r="C28" s="38" t="str">
        <f>IFERROR(IF(_xlfn.XLOOKUP($A28,'3-TECHNICAL TABULATION'!$A:$A,'3-TECHNICAL TABULATION'!C:C)="","",_xlfn.XLOOKUP($A28,'3-TECHNICAL TABULATION'!$A:$A,'3-TECHNICAL TABULATION'!C:C)),"")</f>
        <v/>
      </c>
      <c r="D28" s="79" t="str">
        <f>IFERROR(IF(_xlfn.XLOOKUP($A28,'3-TECHNICAL TABULATION'!$A:$A,'3-TECHNICAL TABULATION'!D:D)="","",_xlfn.XLOOKUP($A28,'3-TECHNICAL TABULATION'!$A:$A,'3-TECHNICAL TABULATION'!D:D)),"")</f>
        <v/>
      </c>
    </row>
    <row r="29" spans="1:4" s="3" customFormat="1" x14ac:dyDescent="0.25">
      <c r="A29" s="11" t="s">
        <v>405</v>
      </c>
      <c r="B29" s="210" t="str">
        <f>IFERROR(IF(_xlfn.XLOOKUP($A29,'3-TECHNICAL TABULATION'!$A:$A,'3-TECHNICAL TABULATION'!B:B)="","",_xlfn.XLOOKUP($A29,'3-TECHNICAL TABULATION'!$A:$A,'3-TECHNICAL TABULATION'!B:B)),"")</f>
        <v/>
      </c>
      <c r="C29" s="211" t="str">
        <f>IFERROR(IF(_xlfn.XLOOKUP($A29,'3-TECHNICAL TABULATION'!$A:$A,'3-TECHNICAL TABULATION'!C:C)="","",_xlfn.XLOOKUP($A29,'3-TECHNICAL TABULATION'!$A:$A,'3-TECHNICAL TABULATION'!C:C)),"")</f>
        <v/>
      </c>
      <c r="D29" s="69" t="str">
        <f>IFERROR(IF(_xlfn.XLOOKUP($A29,'3-TECHNICAL TABULATION'!$A:$A,'3-TECHNICAL TABULATION'!D:D)="","",_xlfn.XLOOKUP($A29,'3-TECHNICAL TABULATION'!$A:$A,'3-TECHNICAL TABULATION'!D:D)),"")</f>
        <v/>
      </c>
    </row>
    <row r="30" spans="1:4" x14ac:dyDescent="0.25">
      <c r="A30" s="90" t="s">
        <v>112</v>
      </c>
      <c r="B30" s="50" t="str">
        <f>IFERROR(IF(_xlfn.XLOOKUP($A30,'3-TECHNICAL TABULATION'!$A:$A,'3-TECHNICAL TABULATION'!B:B)="","",_xlfn.XLOOKUP($A30,'3-TECHNICAL TABULATION'!$A:$A,'3-TECHNICAL TABULATION'!B:B)),"")</f>
        <v/>
      </c>
      <c r="C30" s="38" t="str">
        <f>IFERROR(IF(_xlfn.XLOOKUP($A30,'3-TECHNICAL TABULATION'!$A:$A,'3-TECHNICAL TABULATION'!C:C)="","",_xlfn.XLOOKUP($A30,'3-TECHNICAL TABULATION'!$A:$A,'3-TECHNICAL TABULATION'!C:C)),"")</f>
        <v/>
      </c>
      <c r="D30" s="79" t="str">
        <f>IFERROR(IF(_xlfn.XLOOKUP($A30,'3-TECHNICAL TABULATION'!$A:$A,'3-TECHNICAL TABULATION'!D:D)="","",_xlfn.XLOOKUP($A30,'3-TECHNICAL TABULATION'!$A:$A,'3-TECHNICAL TABULATION'!D:D)),"")</f>
        <v/>
      </c>
    </row>
    <row r="31" spans="1:4" x14ac:dyDescent="0.25">
      <c r="A31" s="90" t="s">
        <v>113</v>
      </c>
      <c r="B31" s="50" t="str">
        <f>IFERROR(IF(_xlfn.XLOOKUP($A31,'3-TECHNICAL TABULATION'!$A:$A,'3-TECHNICAL TABULATION'!B:B)="","",_xlfn.XLOOKUP($A31,'3-TECHNICAL TABULATION'!$A:$A,'3-TECHNICAL TABULATION'!B:B)),"")</f>
        <v>m3/h</v>
      </c>
      <c r="C31" s="38" t="str">
        <f>IFERROR(IF(_xlfn.XLOOKUP($A31,'3-TECHNICAL TABULATION'!$A:$A,'3-TECHNICAL TABULATION'!C:C)="","",_xlfn.XLOOKUP($A31,'3-TECHNICAL TABULATION'!$A:$A,'3-TECHNICAL TABULATION'!C:C)),"")</f>
        <v/>
      </c>
      <c r="D31" s="79" t="str">
        <f>IFERROR(IF(_xlfn.XLOOKUP($A31,'3-TECHNICAL TABULATION'!$A:$A,'3-TECHNICAL TABULATION'!D:D)="","",_xlfn.XLOOKUP($A31,'3-TECHNICAL TABULATION'!$A:$A,'3-TECHNICAL TABULATION'!D:D)),"")</f>
        <v/>
      </c>
    </row>
    <row r="32" spans="1:4" x14ac:dyDescent="0.25">
      <c r="A32" s="90" t="s">
        <v>115</v>
      </c>
      <c r="B32" s="50" t="str">
        <f>IFERROR(IF(_xlfn.XLOOKUP($A32,'3-TECHNICAL TABULATION'!$A:$A,'3-TECHNICAL TABULATION'!B:B)="","",_xlfn.XLOOKUP($A32,'3-TECHNICAL TABULATION'!$A:$A,'3-TECHNICAL TABULATION'!B:B)),"")</f>
        <v>m</v>
      </c>
      <c r="C32" s="38" t="str">
        <f>IFERROR(IF(_xlfn.XLOOKUP($A32,'3-TECHNICAL TABULATION'!$A:$A,'3-TECHNICAL TABULATION'!C:C)="","",_xlfn.XLOOKUP($A32,'3-TECHNICAL TABULATION'!$A:$A,'3-TECHNICAL TABULATION'!C:C)),"")</f>
        <v/>
      </c>
      <c r="D32" s="79" t="str">
        <f>IFERROR(IF(_xlfn.XLOOKUP($A32,'3-TECHNICAL TABULATION'!$A:$A,'3-TECHNICAL TABULATION'!D:D)="","",_xlfn.XLOOKUP($A32,'3-TECHNICAL TABULATION'!$A:$A,'3-TECHNICAL TABULATION'!D:D)),"")</f>
        <v/>
      </c>
    </row>
    <row r="33" spans="1:4" x14ac:dyDescent="0.25">
      <c r="A33" s="90" t="s">
        <v>118</v>
      </c>
      <c r="B33" s="50" t="str">
        <f>IFERROR(IF(_xlfn.XLOOKUP($A33,'3-TECHNICAL TABULATION'!$A:$A,'3-TECHNICAL TABULATION'!B:B)="","",_xlfn.XLOOKUP($A33,'3-TECHNICAL TABULATION'!$A:$A,'3-TECHNICAL TABULATION'!B:B)),"")</f>
        <v>m</v>
      </c>
      <c r="C33" s="38" t="str">
        <f>IFERROR(IF(_xlfn.XLOOKUP($A33,'3-TECHNICAL TABULATION'!$A:$A,'3-TECHNICAL TABULATION'!C:C)="","",_xlfn.XLOOKUP($A33,'3-TECHNICAL TABULATION'!$A:$A,'3-TECHNICAL TABULATION'!C:C)),"")</f>
        <v/>
      </c>
      <c r="D33" s="79" t="str">
        <f>IFERROR(IF(_xlfn.XLOOKUP($A33,'3-TECHNICAL TABULATION'!$A:$A,'3-TECHNICAL TABULATION'!D:D)="","",_xlfn.XLOOKUP($A33,'3-TECHNICAL TABULATION'!$A:$A,'3-TECHNICAL TABULATION'!D:D)),"")</f>
        <v/>
      </c>
    </row>
    <row r="34" spans="1:4" x14ac:dyDescent="0.25">
      <c r="A34" s="90" t="s">
        <v>119</v>
      </c>
      <c r="B34" s="50" t="str">
        <f>IFERROR(IF(_xlfn.XLOOKUP($A34,'3-TECHNICAL TABULATION'!$A:$A,'3-TECHNICAL TABULATION'!B:B)="","",_xlfn.XLOOKUP($A34,'3-TECHNICAL TABULATION'!$A:$A,'3-TECHNICAL TABULATION'!B:B)),"")</f>
        <v>m</v>
      </c>
      <c r="C34" s="38" t="str">
        <f>IFERROR(IF(_xlfn.XLOOKUP($A34,'3-TECHNICAL TABULATION'!$A:$A,'3-TECHNICAL TABULATION'!C:C)="","",_xlfn.XLOOKUP($A34,'3-TECHNICAL TABULATION'!$A:$A,'3-TECHNICAL TABULATION'!C:C)),"")</f>
        <v/>
      </c>
      <c r="D34" s="79" t="str">
        <f>IFERROR(IF(_xlfn.XLOOKUP($A34,'3-TECHNICAL TABULATION'!$A:$A,'3-TECHNICAL TABULATION'!D:D)="","",_xlfn.XLOOKUP($A34,'3-TECHNICAL TABULATION'!$A:$A,'3-TECHNICAL TABULATION'!D:D)),"")</f>
        <v/>
      </c>
    </row>
    <row r="35" spans="1:4" x14ac:dyDescent="0.25">
      <c r="A35" s="90" t="s">
        <v>120</v>
      </c>
      <c r="B35" s="50" t="str">
        <f>IFERROR(IF(_xlfn.XLOOKUP($A35,'3-TECHNICAL TABULATION'!$A:$A,'3-TECHNICAL TABULATION'!B:B)="","",_xlfn.XLOOKUP($A35,'3-TECHNICAL TABULATION'!$A:$A,'3-TECHNICAL TABULATION'!B:B)),"")</f>
        <v>rpm</v>
      </c>
      <c r="C35" s="38" t="str">
        <f>IFERROR(IF(_xlfn.XLOOKUP($A35,'3-TECHNICAL TABULATION'!$A:$A,'3-TECHNICAL TABULATION'!C:C)="","",_xlfn.XLOOKUP($A35,'3-TECHNICAL TABULATION'!$A:$A,'3-TECHNICAL TABULATION'!C:C)),"")</f>
        <v/>
      </c>
      <c r="D35" s="79" t="str">
        <f>IFERROR(IF(_xlfn.XLOOKUP($A35,'3-TECHNICAL TABULATION'!$A:$A,'3-TECHNICAL TABULATION'!D:D)="","",_xlfn.XLOOKUP($A35,'3-TECHNICAL TABULATION'!$A:$A,'3-TECHNICAL TABULATION'!D:D)),"")</f>
        <v/>
      </c>
    </row>
    <row r="36" spans="1:4" x14ac:dyDescent="0.25">
      <c r="A36" s="90" t="s">
        <v>124</v>
      </c>
      <c r="B36" s="50" t="str">
        <f>IFERROR(IF(_xlfn.XLOOKUP($A36,'3-TECHNICAL TABULATION'!$A:$A,'3-TECHNICAL TABULATION'!B:B)="","",_xlfn.XLOOKUP($A36,'3-TECHNICAL TABULATION'!$A:$A,'3-TECHNICAL TABULATION'!B:B)),"")</f>
        <v>%</v>
      </c>
      <c r="C36" s="38" t="str">
        <f>IFERROR(IF(_xlfn.XLOOKUP($A36,'3-TECHNICAL TABULATION'!$A:$A,'3-TECHNICAL TABULATION'!C:C)="","",_xlfn.XLOOKUP($A36,'3-TECHNICAL TABULATION'!$A:$A,'3-TECHNICAL TABULATION'!C:C)),"")</f>
        <v/>
      </c>
      <c r="D36" s="79" t="str">
        <f>IFERROR(IF(_xlfn.XLOOKUP($A36,'3-TECHNICAL TABULATION'!$A:$A,'3-TECHNICAL TABULATION'!D:D)="","",_xlfn.XLOOKUP($A36,'3-TECHNICAL TABULATION'!$A:$A,'3-TECHNICAL TABULATION'!D:D)),"")</f>
        <v/>
      </c>
    </row>
    <row r="37" spans="1:4" x14ac:dyDescent="0.25">
      <c r="A37" s="90" t="s">
        <v>96</v>
      </c>
      <c r="B37" s="50" t="str">
        <f>IFERROR(IF(_xlfn.XLOOKUP($A37,'3-TECHNICAL TABULATION'!$A:$A,'3-TECHNICAL TABULATION'!B:B)="","",_xlfn.XLOOKUP($A37,'3-TECHNICAL TABULATION'!$A:$A,'3-TECHNICAL TABULATION'!B:B)),"")</f>
        <v>kg/dm3</v>
      </c>
      <c r="C37" s="38" t="str">
        <f>IFERROR(IF(_xlfn.XLOOKUP($A37,'3-TECHNICAL TABULATION'!$A:$A,'3-TECHNICAL TABULATION'!C:C)="","",_xlfn.XLOOKUP($A37,'3-TECHNICAL TABULATION'!$A:$A,'3-TECHNICAL TABULATION'!C:C)),"")</f>
        <v/>
      </c>
      <c r="D37" s="79" t="str">
        <f>IFERROR(IF(_xlfn.XLOOKUP($A37,'3-TECHNICAL TABULATION'!$A:$A,'3-TECHNICAL TABULATION'!D:D)="","",_xlfn.XLOOKUP($A37,'3-TECHNICAL TABULATION'!$A:$A,'3-TECHNICAL TABULATION'!D:D)),"")</f>
        <v/>
      </c>
    </row>
    <row r="38" spans="1:4" x14ac:dyDescent="0.25">
      <c r="A38" s="90" t="s">
        <v>99</v>
      </c>
      <c r="B38" s="50" t="str">
        <f>IFERROR(IF(_xlfn.XLOOKUP($A38,'3-TECHNICAL TABULATION'!$A:$A,'3-TECHNICAL TABULATION'!B:B)="","",_xlfn.XLOOKUP($A38,'3-TECHNICAL TABULATION'!$A:$A,'3-TECHNICAL TABULATION'!B:B)),"")</f>
        <v>kg/dm3</v>
      </c>
      <c r="C38" s="38" t="str">
        <f>IFERROR(IF(_xlfn.XLOOKUP($A38,'3-TECHNICAL TABULATION'!$A:$A,'3-TECHNICAL TABULATION'!C:C)="","",_xlfn.XLOOKUP($A38,'3-TECHNICAL TABULATION'!$A:$A,'3-TECHNICAL TABULATION'!C:C)),"")</f>
        <v/>
      </c>
      <c r="D38" s="79" t="str">
        <f>IFERROR(IF(_xlfn.XLOOKUP($A38,'3-TECHNICAL TABULATION'!$A:$A,'3-TECHNICAL TABULATION'!D:D)="","",_xlfn.XLOOKUP($A38,'3-TECHNICAL TABULATION'!$A:$A,'3-TECHNICAL TABULATION'!D:D)),"")</f>
        <v/>
      </c>
    </row>
    <row r="39" spans="1:4" ht="15.75" thickBot="1" x14ac:dyDescent="0.3">
      <c r="A39" s="91" t="s">
        <v>122</v>
      </c>
      <c r="B39" s="50" t="str">
        <f>IFERROR(IF(_xlfn.XLOOKUP($A39,'3-TECHNICAL TABULATION'!$A:$A,'3-TECHNICAL TABULATION'!B:B)="","",_xlfn.XLOOKUP($A39,'3-TECHNICAL TABULATION'!$A:$A,'3-TECHNICAL TABULATION'!B:B)),"")</f>
        <v>kW</v>
      </c>
      <c r="C39" s="38" t="str">
        <f>IFERROR(IF(_xlfn.XLOOKUP($A39,'3-TECHNICAL TABULATION'!$A:$A,'3-TECHNICAL TABULATION'!C:C)="","",_xlfn.XLOOKUP($A39,'3-TECHNICAL TABULATION'!$A:$A,'3-TECHNICAL TABULATION'!C:C)),"")</f>
        <v/>
      </c>
      <c r="D39" s="79" t="str">
        <f>IFERROR(IF(_xlfn.XLOOKUP($A39,'3-TECHNICAL TABULATION'!$A:$A,'3-TECHNICAL TABULATION'!D:D)="","",_xlfn.XLOOKUP($A39,'3-TECHNICAL TABULATION'!$A:$A,'3-TECHNICAL TABULATION'!D:D)),"")</f>
        <v/>
      </c>
    </row>
    <row r="40" spans="1:4" s="3" customFormat="1" x14ac:dyDescent="0.25">
      <c r="A40" s="11" t="s">
        <v>271</v>
      </c>
      <c r="B40" s="210" t="str">
        <f>IFERROR(IF(_xlfn.XLOOKUP($A40,'3-TECHNICAL TABULATION'!$A:$A,'3-TECHNICAL TABULATION'!B:B)="","",_xlfn.XLOOKUP($A40,'3-TECHNICAL TABULATION'!$A:$A,'3-TECHNICAL TABULATION'!B:B)),"")</f>
        <v/>
      </c>
      <c r="C40" s="211" t="str">
        <f>IFERROR(IF(_xlfn.XLOOKUP($A40,'3-TECHNICAL TABULATION'!$A:$A,'3-TECHNICAL TABULATION'!C:C)="","",_xlfn.XLOOKUP($A40,'3-TECHNICAL TABULATION'!$A:$A,'3-TECHNICAL TABULATION'!C:C)),"")</f>
        <v/>
      </c>
      <c r="D40" s="69" t="str">
        <f>IFERROR(IF(_xlfn.XLOOKUP($A40,'3-TECHNICAL TABULATION'!$A:$A,'3-TECHNICAL TABULATION'!D:D)="","",_xlfn.XLOOKUP($A40,'3-TECHNICAL TABULATION'!$A:$A,'3-TECHNICAL TABULATION'!D:D)),"")</f>
        <v/>
      </c>
    </row>
    <row r="41" spans="1:4" x14ac:dyDescent="0.25">
      <c r="A41" s="90" t="s">
        <v>272</v>
      </c>
      <c r="B41" s="50" t="str">
        <f>IFERROR(IF(_xlfn.XLOOKUP($A41,'3-TECHNICAL TABULATION'!$A:$A,'3-TECHNICAL TABULATION'!B:B)="","",_xlfn.XLOOKUP($A41,'3-TECHNICAL TABULATION'!$A:$A,'3-TECHNICAL TABULATION'!B:B)),"")</f>
        <v>mm</v>
      </c>
      <c r="C41" s="38" t="str">
        <f>IFERROR(IF(_xlfn.XLOOKUP($A41,'3-TECHNICAL TABULATION'!$A:$A,'3-TECHNICAL TABULATION'!C:C)="","",_xlfn.XLOOKUP($A41,'3-TECHNICAL TABULATION'!$A:$A,'3-TECHNICAL TABULATION'!C:C)),"")</f>
        <v/>
      </c>
      <c r="D41" s="79" t="str">
        <f>IFERROR(IF(_xlfn.XLOOKUP($A41,'3-TECHNICAL TABULATION'!$A:$A,'3-TECHNICAL TABULATION'!D:D)="","",_xlfn.XLOOKUP($A41,'3-TECHNICAL TABULATION'!$A:$A,'3-TECHNICAL TABULATION'!D:D)),"")</f>
        <v/>
      </c>
    </row>
    <row r="42" spans="1:4" x14ac:dyDescent="0.25">
      <c r="A42" s="90" t="s">
        <v>154</v>
      </c>
      <c r="B42" s="50" t="str">
        <f>IFERROR(IF(_xlfn.XLOOKUP($A42,'3-TECHNICAL TABULATION'!$A:$A,'3-TECHNICAL TABULATION'!B:B)="","",_xlfn.XLOOKUP($A42,'3-TECHNICAL TABULATION'!$A:$A,'3-TECHNICAL TABULATION'!B:B)),"")</f>
        <v>[yes/no]</v>
      </c>
      <c r="C42" s="38" t="str">
        <f>IFERROR(IF(_xlfn.XLOOKUP($A42,'3-TECHNICAL TABULATION'!$A:$A,'3-TECHNICAL TABULATION'!C:C)="","",_xlfn.XLOOKUP($A42,'3-TECHNICAL TABULATION'!$A:$A,'3-TECHNICAL TABULATION'!C:C)),"")</f>
        <v/>
      </c>
      <c r="D42" s="79" t="str">
        <f>IFERROR(IF(_xlfn.XLOOKUP($A42,'3-TECHNICAL TABULATION'!$A:$A,'3-TECHNICAL TABULATION'!D:D)="","",_xlfn.XLOOKUP($A42,'3-TECHNICAL TABULATION'!$A:$A,'3-TECHNICAL TABULATION'!D:D)),"")</f>
        <v/>
      </c>
    </row>
    <row r="43" spans="1:4" x14ac:dyDescent="0.25">
      <c r="A43" s="90" t="s">
        <v>155</v>
      </c>
      <c r="B43" s="50" t="str">
        <f>IFERROR(IF(_xlfn.XLOOKUP($A43,'3-TECHNICAL TABULATION'!$A:$A,'3-TECHNICAL TABULATION'!B:B)="","",_xlfn.XLOOKUP($A43,'3-TECHNICAL TABULATION'!$A:$A,'3-TECHNICAL TABULATION'!B:B)),"")</f>
        <v/>
      </c>
      <c r="C43" s="38" t="str">
        <f>IFERROR(IF(_xlfn.XLOOKUP($A43,'3-TECHNICAL TABULATION'!$A:$A,'3-TECHNICAL TABULATION'!C:C)="","",_xlfn.XLOOKUP($A43,'3-TECHNICAL TABULATION'!$A:$A,'3-TECHNICAL TABULATION'!C:C)),"")</f>
        <v/>
      </c>
      <c r="D43" s="79" t="str">
        <f>IFERROR(IF(_xlfn.XLOOKUP($A43,'3-TECHNICAL TABULATION'!$A:$A,'3-TECHNICAL TABULATION'!D:D)="","",_xlfn.XLOOKUP($A43,'3-TECHNICAL TABULATION'!$A:$A,'3-TECHNICAL TABULATION'!D:D)),"")</f>
        <v/>
      </c>
    </row>
    <row r="44" spans="1:4" x14ac:dyDescent="0.25">
      <c r="A44" s="90" t="s">
        <v>273</v>
      </c>
      <c r="B44" s="50" t="str">
        <f>IFERROR(IF(_xlfn.XLOOKUP($A44,'3-TECHNICAL TABULATION'!$A:$A,'3-TECHNICAL TABULATION'!B:B)="","",_xlfn.XLOOKUP($A44,'3-TECHNICAL TABULATION'!$A:$A,'3-TECHNICAL TABULATION'!B:B)),"")</f>
        <v>[yes/no]</v>
      </c>
      <c r="C44" s="38" t="str">
        <f>IFERROR(IF(_xlfn.XLOOKUP($A44,'3-TECHNICAL TABULATION'!$A:$A,'3-TECHNICAL TABULATION'!C:C)="","",_xlfn.XLOOKUP($A44,'3-TECHNICAL TABULATION'!$A:$A,'3-TECHNICAL TABULATION'!C:C)),"")</f>
        <v/>
      </c>
      <c r="D44" s="79" t="str">
        <f>IFERROR(IF(_xlfn.XLOOKUP($A44,'3-TECHNICAL TABULATION'!$A:$A,'3-TECHNICAL TABULATION'!D:D)="","",_xlfn.XLOOKUP($A44,'3-TECHNICAL TABULATION'!$A:$A,'3-TECHNICAL TABULATION'!D:D)),"")</f>
        <v/>
      </c>
    </row>
    <row r="45" spans="1:4" x14ac:dyDescent="0.25">
      <c r="A45" s="90" t="s">
        <v>156</v>
      </c>
      <c r="B45" s="50" t="str">
        <f>IFERROR(IF(_xlfn.XLOOKUP($A45,'3-TECHNICAL TABULATION'!$A:$A,'3-TECHNICAL TABULATION'!B:B)="","",_xlfn.XLOOKUP($A45,'3-TECHNICAL TABULATION'!$A:$A,'3-TECHNICAL TABULATION'!B:B)),"")</f>
        <v>[mm/no orifice]</v>
      </c>
      <c r="C45" s="38" t="str">
        <f>IFERROR(IF(_xlfn.XLOOKUP($A45,'3-TECHNICAL TABULATION'!$A:$A,'3-TECHNICAL TABULATION'!C:C)="","",_xlfn.XLOOKUP($A45,'3-TECHNICAL TABULATION'!$A:$A,'3-TECHNICAL TABULATION'!C:C)),"")</f>
        <v/>
      </c>
      <c r="D45" s="79" t="str">
        <f>IFERROR(IF(_xlfn.XLOOKUP($A45,'3-TECHNICAL TABULATION'!$A:$A,'3-TECHNICAL TABULATION'!D:D)="","",_xlfn.XLOOKUP($A45,'3-TECHNICAL TABULATION'!$A:$A,'3-TECHNICAL TABULATION'!D:D)),"")</f>
        <v/>
      </c>
    </row>
    <row r="46" spans="1:4" x14ac:dyDescent="0.25">
      <c r="A46" s="85" t="s">
        <v>458</v>
      </c>
      <c r="B46" s="50" t="str">
        <f>IFERROR(IF(_xlfn.XLOOKUP($A46,'3-TECHNICAL TABULATION'!$A:$A,'3-TECHNICAL TABULATION'!B:B)="","",_xlfn.XLOOKUP($A46,'3-TECHNICAL TABULATION'!$A:$A,'3-TECHNICAL TABULATION'!B:B)),"")</f>
        <v>[yes/no]</v>
      </c>
      <c r="C46" s="38" t="str">
        <f>IFERROR(IF(_xlfn.XLOOKUP($A46,'3-TECHNICAL TABULATION'!$A:$A,'3-TECHNICAL TABULATION'!C:C)="","",_xlfn.XLOOKUP($A46,'3-TECHNICAL TABULATION'!$A:$A,'3-TECHNICAL TABULATION'!C:C)),"")</f>
        <v/>
      </c>
      <c r="D46" s="79" t="str">
        <f>IFERROR(IF(_xlfn.XLOOKUP($A46,'3-TECHNICAL TABULATION'!$A:$A,'3-TECHNICAL TABULATION'!D:D)="","",_xlfn.XLOOKUP($A46,'3-TECHNICAL TABULATION'!$A:$A,'3-TECHNICAL TABULATION'!D:D)),"")</f>
        <v/>
      </c>
    </row>
    <row r="47" spans="1:4" x14ac:dyDescent="0.25">
      <c r="A47" s="90" t="s">
        <v>146</v>
      </c>
      <c r="B47" s="50" t="str">
        <f>IFERROR(IF(_xlfn.XLOOKUP($A47,'3-TECHNICAL TABULATION'!$A:$A,'3-TECHNICAL TABULATION'!B:B)="","",_xlfn.XLOOKUP($A47,'3-TECHNICAL TABULATION'!$A:$A,'3-TECHNICAL TABULATION'!B:B)),"")</f>
        <v>[none/list]</v>
      </c>
      <c r="C47" s="38" t="str">
        <f>IFERROR(IF(_xlfn.XLOOKUP($A47,'3-TECHNICAL TABULATION'!$A:$A,'3-TECHNICAL TABULATION'!C:C)="","",_xlfn.XLOOKUP($A47,'3-TECHNICAL TABULATION'!$A:$A,'3-TECHNICAL TABULATION'!C:C)),"")</f>
        <v/>
      </c>
      <c r="D47" s="79" t="str">
        <f>IFERROR(IF(_xlfn.XLOOKUP($A47,'3-TECHNICAL TABULATION'!$A:$A,'3-TECHNICAL TABULATION'!D:D)="","",_xlfn.XLOOKUP($A47,'3-TECHNICAL TABULATION'!$A:$A,'3-TECHNICAL TABULATION'!D:D)),"")</f>
        <v/>
      </c>
    </row>
    <row r="48" spans="1:4" x14ac:dyDescent="0.25">
      <c r="A48" s="90" t="s">
        <v>147</v>
      </c>
      <c r="B48" s="50" t="str">
        <f>IFERROR(IF(_xlfn.XLOOKUP($A48,'3-TECHNICAL TABULATION'!$A:$A,'3-TECHNICAL TABULATION'!B:B)="","",_xlfn.XLOOKUP($A48,'3-TECHNICAL TABULATION'!$A:$A,'3-TECHNICAL TABULATION'!B:B)),"")</f>
        <v>[yes/no]</v>
      </c>
      <c r="C48" s="38" t="str">
        <f>IFERROR(IF(_xlfn.XLOOKUP($A48,'3-TECHNICAL TABULATION'!$A:$A,'3-TECHNICAL TABULATION'!C:C)="","",_xlfn.XLOOKUP($A48,'3-TECHNICAL TABULATION'!$A:$A,'3-TECHNICAL TABULATION'!C:C)),"")</f>
        <v/>
      </c>
      <c r="D48" s="79" t="str">
        <f>IFERROR(IF(_xlfn.XLOOKUP($A48,'3-TECHNICAL TABULATION'!$A:$A,'3-TECHNICAL TABULATION'!D:D)="","",_xlfn.XLOOKUP($A48,'3-TECHNICAL TABULATION'!$A:$A,'3-TECHNICAL TABULATION'!D:D)),"")</f>
        <v/>
      </c>
    </row>
    <row r="49" spans="1:4" x14ac:dyDescent="0.25">
      <c r="A49" s="90" t="s">
        <v>148</v>
      </c>
      <c r="B49" s="50" t="str">
        <f>IFERROR(IF(_xlfn.XLOOKUP($A49,'3-TECHNICAL TABULATION'!$A:$A,'3-TECHNICAL TABULATION'!B:B)="","",_xlfn.XLOOKUP($A49,'3-TECHNICAL TABULATION'!$A:$A,'3-TECHNICAL TABULATION'!B:B)),"")</f>
        <v>[none/list]</v>
      </c>
      <c r="C49" s="38" t="str">
        <f>IFERROR(IF(_xlfn.XLOOKUP($A49,'3-TECHNICAL TABULATION'!$A:$A,'3-TECHNICAL TABULATION'!C:C)="","",_xlfn.XLOOKUP($A49,'3-TECHNICAL TABULATION'!$A:$A,'3-TECHNICAL TABULATION'!C:C)),"")</f>
        <v/>
      </c>
      <c r="D49" s="79" t="str">
        <f>IFERROR(IF(_xlfn.XLOOKUP($A49,'3-TECHNICAL TABULATION'!$A:$A,'3-TECHNICAL TABULATION'!D:D)="","",_xlfn.XLOOKUP($A49,'3-TECHNICAL TABULATION'!$A:$A,'3-TECHNICAL TABULATION'!D:D)),"")</f>
        <v/>
      </c>
    </row>
    <row r="50" spans="1:4" x14ac:dyDescent="0.25">
      <c r="A50" s="90" t="s">
        <v>149</v>
      </c>
      <c r="B50" s="50" t="str">
        <f>IFERROR(IF(_xlfn.XLOOKUP($A50,'3-TECHNICAL TABULATION'!$A:$A,'3-TECHNICAL TABULATION'!B:B)="","",_xlfn.XLOOKUP($A50,'3-TECHNICAL TABULATION'!$A:$A,'3-TECHNICAL TABULATION'!B:B)),"")</f>
        <v>[none/list]</v>
      </c>
      <c r="C50" s="38" t="str">
        <f>IFERROR(IF(_xlfn.XLOOKUP($A50,'3-TECHNICAL TABULATION'!$A:$A,'3-TECHNICAL TABULATION'!C:C)="","",_xlfn.XLOOKUP($A50,'3-TECHNICAL TABULATION'!$A:$A,'3-TECHNICAL TABULATION'!C:C)),"")</f>
        <v/>
      </c>
      <c r="D50" s="79" t="str">
        <f>IFERROR(IF(_xlfn.XLOOKUP($A50,'3-TECHNICAL TABULATION'!$A:$A,'3-TECHNICAL TABULATION'!D:D)="","",_xlfn.XLOOKUP($A50,'3-TECHNICAL TABULATION'!$A:$A,'3-TECHNICAL TABULATION'!D:D)),"")</f>
        <v/>
      </c>
    </row>
    <row r="51" spans="1:4" x14ac:dyDescent="0.25">
      <c r="A51" s="90" t="s">
        <v>326</v>
      </c>
      <c r="B51" s="50" t="str">
        <f>IFERROR(IF(_xlfn.XLOOKUP($A51,'3-TECHNICAL TABULATION'!$A:$A,'3-TECHNICAL TABULATION'!B:B)="","",_xlfn.XLOOKUP($A51,'3-TECHNICAL TABULATION'!$A:$A,'3-TECHNICAL TABULATION'!B:B)),"")</f>
        <v>[yes/no]</v>
      </c>
      <c r="C51" s="38" t="str">
        <f>IFERROR(IF(_xlfn.XLOOKUP($A51,'3-TECHNICAL TABULATION'!$A:$A,'3-TECHNICAL TABULATION'!C:C)="","",_xlfn.XLOOKUP($A51,'3-TECHNICAL TABULATION'!$A:$A,'3-TECHNICAL TABULATION'!C:C)),"")</f>
        <v/>
      </c>
      <c r="D51" s="79" t="str">
        <f>IFERROR(IF(_xlfn.XLOOKUP($A51,'3-TECHNICAL TABULATION'!$A:$A,'3-TECHNICAL TABULATION'!D:D)="","",_xlfn.XLOOKUP($A51,'3-TECHNICAL TABULATION'!$A:$A,'3-TECHNICAL TABULATION'!D:D)),"")</f>
        <v/>
      </c>
    </row>
    <row r="52" spans="1:4" ht="15.75" thickBot="1" x14ac:dyDescent="0.3">
      <c r="A52" s="92" t="s">
        <v>150</v>
      </c>
      <c r="B52" s="50" t="str">
        <f>IFERROR(IF(_xlfn.XLOOKUP($A52,'3-TECHNICAL TABULATION'!$A:$A,'3-TECHNICAL TABULATION'!B:B)="","",_xlfn.XLOOKUP($A52,'3-TECHNICAL TABULATION'!$A:$A,'3-TECHNICAL TABULATION'!B:B)),"")</f>
        <v>[none/list]</v>
      </c>
      <c r="C52" s="38" t="str">
        <f>IFERROR(IF(_xlfn.XLOOKUP($A52,'3-TECHNICAL TABULATION'!$A:$A,'3-TECHNICAL TABULATION'!C:C)="","",_xlfn.XLOOKUP($A52,'3-TECHNICAL TABULATION'!$A:$A,'3-TECHNICAL TABULATION'!C:C)),"")</f>
        <v/>
      </c>
      <c r="D52" s="79" t="str">
        <f>IFERROR(IF(_xlfn.XLOOKUP($A52,'3-TECHNICAL TABULATION'!$A:$A,'3-TECHNICAL TABULATION'!D:D)="","",_xlfn.XLOOKUP($A52,'3-TECHNICAL TABULATION'!$A:$A,'3-TECHNICAL TABULATION'!D:D)),"")</f>
        <v/>
      </c>
    </row>
    <row r="53" spans="1:4" s="3" customFormat="1" x14ac:dyDescent="0.25">
      <c r="A53" s="11" t="s">
        <v>439</v>
      </c>
      <c r="B53" s="210" t="str">
        <f>IFERROR(IF(_xlfn.XLOOKUP($A53,'3-TECHNICAL TABULATION'!$A:$A,'3-TECHNICAL TABULATION'!B:B)="","",_xlfn.XLOOKUP($A53,'3-TECHNICAL TABULATION'!$A:$A,'3-TECHNICAL TABULATION'!B:B)),"")</f>
        <v/>
      </c>
      <c r="C53" s="211" t="str">
        <f>IFERROR(IF(_xlfn.XLOOKUP($A53,'3-TECHNICAL TABULATION'!$A:$A,'3-TECHNICAL TABULATION'!C:C)="","",_xlfn.XLOOKUP($A53,'3-TECHNICAL TABULATION'!$A:$A,'3-TECHNICAL TABULATION'!C:C)),"")</f>
        <v/>
      </c>
      <c r="D53" s="69" t="str">
        <f>IFERROR(IF(_xlfn.XLOOKUP($A53,'3-TECHNICAL TABULATION'!$A:$A,'3-TECHNICAL TABULATION'!D:D)="","",_xlfn.XLOOKUP($A53,'3-TECHNICAL TABULATION'!$A:$A,'3-TECHNICAL TABULATION'!D:D)),"")</f>
        <v/>
      </c>
    </row>
    <row r="54" spans="1:4" x14ac:dyDescent="0.25">
      <c r="A54" s="90" t="s">
        <v>168</v>
      </c>
      <c r="B54" s="50" t="str">
        <f>IFERROR(IF(_xlfn.XLOOKUP($A54,'3-TECHNICAL TABULATION'!$A:$A,'3-TECHNICAL TABULATION'!B:B)="","",_xlfn.XLOOKUP($A54,'3-TECHNICAL TABULATION'!$A:$A,'3-TECHNICAL TABULATION'!B:B)),"")</f>
        <v>bar.g</v>
      </c>
      <c r="C54" s="38" t="str">
        <f>IFERROR(IF(_xlfn.XLOOKUP($A54,'3-TECHNICAL TABULATION'!$A:$A,'3-TECHNICAL TABULATION'!C:C)="","",_xlfn.XLOOKUP($A54,'3-TECHNICAL TABULATION'!$A:$A,'3-TECHNICAL TABULATION'!C:C)),"")</f>
        <v/>
      </c>
      <c r="D54" s="79" t="str">
        <f>IFERROR(IF(_xlfn.XLOOKUP($A54,'3-TECHNICAL TABULATION'!$A:$A,'3-TECHNICAL TABULATION'!D:D)="","",_xlfn.XLOOKUP($A54,'3-TECHNICAL TABULATION'!$A:$A,'3-TECHNICAL TABULATION'!D:D)),"")</f>
        <v/>
      </c>
    </row>
    <row r="55" spans="1:4" x14ac:dyDescent="0.25">
      <c r="A55" s="90" t="s">
        <v>174</v>
      </c>
      <c r="B55" s="50" t="str">
        <f>IFERROR(IF(_xlfn.XLOOKUP($A55,'3-TECHNICAL TABULATION'!$A:$A,'3-TECHNICAL TABULATION'!B:B)="","",_xlfn.XLOOKUP($A55,'3-TECHNICAL TABULATION'!$A:$A,'3-TECHNICAL TABULATION'!B:B)),"")</f>
        <v>bar.g</v>
      </c>
      <c r="C55" s="38" t="str">
        <f>IFERROR(IF(_xlfn.XLOOKUP($A55,'3-TECHNICAL TABULATION'!$A:$A,'3-TECHNICAL TABULATION'!C:C)="","",_xlfn.XLOOKUP($A55,'3-TECHNICAL TABULATION'!$A:$A,'3-TECHNICAL TABULATION'!C:C)),"")</f>
        <v/>
      </c>
      <c r="D55" s="79" t="str">
        <f>IFERROR(IF(_xlfn.XLOOKUP($A55,'3-TECHNICAL TABULATION'!$A:$A,'3-TECHNICAL TABULATION'!D:D)="","",_xlfn.XLOOKUP($A55,'3-TECHNICAL TABULATION'!$A:$A,'3-TECHNICAL TABULATION'!D:D)),"")</f>
        <v/>
      </c>
    </row>
    <row r="56" spans="1:4" x14ac:dyDescent="0.25">
      <c r="A56" s="90" t="s">
        <v>179</v>
      </c>
      <c r="B56" s="50" t="str">
        <f>IFERROR(IF(_xlfn.XLOOKUP($A56,'3-TECHNICAL TABULATION'!$A:$A,'3-TECHNICAL TABULATION'!B:B)="","",_xlfn.XLOOKUP($A56,'3-TECHNICAL TABULATION'!$A:$A,'3-TECHNICAL TABULATION'!B:B)),"")</f>
        <v>bar.g</v>
      </c>
      <c r="C56" s="38" t="str">
        <f>IFERROR(IF(_xlfn.XLOOKUP($A56,'3-TECHNICAL TABULATION'!$A:$A,'3-TECHNICAL TABULATION'!C:C)="","",_xlfn.XLOOKUP($A56,'3-TECHNICAL TABULATION'!$A:$A,'3-TECHNICAL TABULATION'!C:C)),"")</f>
        <v/>
      </c>
      <c r="D56" s="79" t="str">
        <f>IFERROR(IF(_xlfn.XLOOKUP($A56,'3-TECHNICAL TABULATION'!$A:$A,'3-TECHNICAL TABULATION'!D:D)="","",_xlfn.XLOOKUP($A56,'3-TECHNICAL TABULATION'!$A:$A,'3-TECHNICAL TABULATION'!D:D)),"")</f>
        <v/>
      </c>
    </row>
    <row r="57" spans="1:4" x14ac:dyDescent="0.25">
      <c r="A57" s="90" t="s">
        <v>175</v>
      </c>
      <c r="B57" s="50" t="str">
        <f>IFERROR(IF(_xlfn.XLOOKUP($A57,'3-TECHNICAL TABULATION'!$A:$A,'3-TECHNICAL TABULATION'!B:B)="","",_xlfn.XLOOKUP($A57,'3-TECHNICAL TABULATION'!$A:$A,'3-TECHNICAL TABULATION'!B:B)),"")</f>
        <v>bar.g</v>
      </c>
      <c r="C57" s="38" t="str">
        <f>IFERROR(IF(_xlfn.XLOOKUP($A57,'3-TECHNICAL TABULATION'!$A:$A,'3-TECHNICAL TABULATION'!C:C)="","",_xlfn.XLOOKUP($A57,'3-TECHNICAL TABULATION'!$A:$A,'3-TECHNICAL TABULATION'!C:C)),"")</f>
        <v/>
      </c>
      <c r="D57" s="79" t="str">
        <f>IFERROR(IF(_xlfn.XLOOKUP($A57,'3-TECHNICAL TABULATION'!$A:$A,'3-TECHNICAL TABULATION'!D:D)="","",_xlfn.XLOOKUP($A57,'3-TECHNICAL TABULATION'!$A:$A,'3-TECHNICAL TABULATION'!D:D)),"")</f>
        <v/>
      </c>
    </row>
    <row r="58" spans="1:4" ht="30" x14ac:dyDescent="0.25">
      <c r="A58" s="87" t="s">
        <v>274</v>
      </c>
      <c r="B58" s="50" t="str">
        <f>IFERROR(IF(_xlfn.XLOOKUP($A58,'3-TECHNICAL TABULATION'!$A:$A,'3-TECHNICAL TABULATION'!B:B)="","",_xlfn.XLOOKUP($A58,'3-TECHNICAL TABULATION'!$A:$A,'3-TECHNICAL TABULATION'!B:B)),"")</f>
        <v>[none/list]</v>
      </c>
      <c r="C58" s="38" t="str">
        <f>IFERROR(IF(_xlfn.XLOOKUP($A58,'3-TECHNICAL TABULATION'!$A:$A,'3-TECHNICAL TABULATION'!C:C)="","",_xlfn.XLOOKUP($A58,'3-TECHNICAL TABULATION'!$A:$A,'3-TECHNICAL TABULATION'!C:C)),"")</f>
        <v/>
      </c>
      <c r="D58" s="79" t="str">
        <f>IFERROR(IF(_xlfn.XLOOKUP($A58,'3-TECHNICAL TABULATION'!$A:$A,'3-TECHNICAL TABULATION'!D:D)="","",_xlfn.XLOOKUP($A58,'3-TECHNICAL TABULATION'!$A:$A,'3-TECHNICAL TABULATION'!D:D)),"")</f>
        <v/>
      </c>
    </row>
    <row r="59" spans="1:4" ht="30" x14ac:dyDescent="0.25">
      <c r="A59" s="88" t="s">
        <v>515</v>
      </c>
      <c r="B59" s="50" t="str">
        <f>IFERROR(IF(_xlfn.XLOOKUP($A59,'3-TECHNICAL TABULATION'!$A:$A,'3-TECHNICAL TABULATION'!B:B)="","",_xlfn.XLOOKUP($A59,'3-TECHNICAL TABULATION'!$A:$A,'3-TECHNICAL TABULATION'!B:B)),"")</f>
        <v>[clearence fit / interference fit]</v>
      </c>
      <c r="C59" s="38" t="str">
        <f>IFERROR(IF(_xlfn.XLOOKUP($A59,'3-TECHNICAL TABULATION'!$A:$A,'3-TECHNICAL TABULATION'!C:C)="","",_xlfn.XLOOKUP($A59,'3-TECHNICAL TABULATION'!$A:$A,'3-TECHNICAL TABULATION'!C:C)),"")</f>
        <v/>
      </c>
      <c r="D59" s="79" t="str">
        <f>IFERROR(IF(_xlfn.XLOOKUP($A59,'3-TECHNICAL TABULATION'!$A:$A,'3-TECHNICAL TABULATION'!D:D)="","",_xlfn.XLOOKUP($A59,'3-TECHNICAL TABULATION'!$A:$A,'3-TECHNICAL TABULATION'!D:D)),"")</f>
        <v/>
      </c>
    </row>
    <row r="60" spans="1:4" ht="30" x14ac:dyDescent="0.25">
      <c r="A60" s="87" t="s">
        <v>463</v>
      </c>
      <c r="B60" s="50" t="str">
        <f>IFERROR(IF(_xlfn.XLOOKUP($A60,'3-TECHNICAL TABULATION'!$A:$A,'3-TECHNICAL TABULATION'!B:B)="","",_xlfn.XLOOKUP($A60,'3-TECHNICAL TABULATION'!$A:$A,'3-TECHNICAL TABULATION'!B:B)),"")</f>
        <v>[La Spezia / Nova Milanese]</v>
      </c>
      <c r="C60" s="38" t="str">
        <f>IFERROR(IF(_xlfn.XLOOKUP($A60,'3-TECHNICAL TABULATION'!$A:$A,'3-TECHNICAL TABULATION'!C:C)="","",_xlfn.XLOOKUP($A60,'3-TECHNICAL TABULATION'!$A:$A,'3-TECHNICAL TABULATION'!C:C)),"")</f>
        <v/>
      </c>
      <c r="D60" s="79" t="str">
        <f>IFERROR(IF(_xlfn.XLOOKUP($A60,'3-TECHNICAL TABULATION'!$A:$A,'3-TECHNICAL TABULATION'!D:D)="","",_xlfn.XLOOKUP($A60,'3-TECHNICAL TABULATION'!$A:$A,'3-TECHNICAL TABULATION'!D:D)),"")</f>
        <v/>
      </c>
    </row>
    <row r="61" spans="1:4" ht="30.75" thickBot="1" x14ac:dyDescent="0.3">
      <c r="A61" s="87" t="s">
        <v>465</v>
      </c>
      <c r="B61" s="50" t="str">
        <f>IFERROR(IF(_xlfn.XLOOKUP($A61,'3-TECHNICAL TABULATION'!$A:$A,'3-TECHNICAL TABULATION'!B:B)="","",_xlfn.XLOOKUP($A61,'3-TECHNICAL TABULATION'!$A:$A,'3-TECHNICAL TABULATION'!B:B)),"")</f>
        <v>[La Spezia / Nova Milanese]</v>
      </c>
      <c r="C61" s="38" t="str">
        <f>IFERROR(IF(_xlfn.XLOOKUP($A61,'3-TECHNICAL TABULATION'!$A:$A,'3-TECHNICAL TABULATION'!C:C)="","",_xlfn.XLOOKUP($A61,'3-TECHNICAL TABULATION'!$A:$A,'3-TECHNICAL TABULATION'!C:C)),"")</f>
        <v/>
      </c>
      <c r="D61" s="79" t="str">
        <f>IFERROR(IF(_xlfn.XLOOKUP($A61,'3-TECHNICAL TABULATION'!$A:$A,'3-TECHNICAL TABULATION'!D:D)="","",_xlfn.XLOOKUP($A61,'3-TECHNICAL TABULATION'!$A:$A,'3-TECHNICAL TABULATION'!D:D)),"")</f>
        <v/>
      </c>
    </row>
    <row r="62" spans="1:4" s="3" customFormat="1" x14ac:dyDescent="0.25">
      <c r="A62" s="11" t="s">
        <v>275</v>
      </c>
      <c r="B62" s="210" t="str">
        <f>IFERROR(IF(_xlfn.XLOOKUP($A62,'3-TECHNICAL TABULATION'!$A:$A,'3-TECHNICAL TABULATION'!B:B)="","",_xlfn.XLOOKUP($A62,'3-TECHNICAL TABULATION'!$A:$A,'3-TECHNICAL TABULATION'!B:B)),"")</f>
        <v/>
      </c>
      <c r="C62" s="211" t="str">
        <f>IFERROR(IF(_xlfn.XLOOKUP($A62,'3-TECHNICAL TABULATION'!$A:$A,'3-TECHNICAL TABULATION'!C:C)="","",_xlfn.XLOOKUP($A62,'3-TECHNICAL TABULATION'!$A:$A,'3-TECHNICAL TABULATION'!C:C)),"")</f>
        <v/>
      </c>
      <c r="D62" s="69" t="str">
        <f>IFERROR(IF(_xlfn.XLOOKUP($A62,'3-TECHNICAL TABULATION'!$A:$A,'3-TECHNICAL TABULATION'!D:D)="","",_xlfn.XLOOKUP($A62,'3-TECHNICAL TABULATION'!$A:$A,'3-TECHNICAL TABULATION'!D:D)),"")</f>
        <v/>
      </c>
    </row>
    <row r="63" spans="1:4" x14ac:dyDescent="0.25">
      <c r="A63" s="90" t="s">
        <v>196</v>
      </c>
      <c r="B63" s="50" t="str">
        <f>IFERROR(IF(_xlfn.XLOOKUP($A63,'3-TECHNICAL TABULATION'!$A:$A,'3-TECHNICAL TABULATION'!B:B)="","",_xlfn.XLOOKUP($A63,'3-TECHNICAL TABULATION'!$A:$A,'3-TECHNICAL TABULATION'!B:B)),"")</f>
        <v>[yes/no]</v>
      </c>
      <c r="C63" s="38" t="str">
        <f>IFERROR(IF(_xlfn.XLOOKUP($A63,'3-TECHNICAL TABULATION'!$A:$A,'3-TECHNICAL TABULATION'!C:C)="","",_xlfn.XLOOKUP($A63,'3-TECHNICAL TABULATION'!$A:$A,'3-TECHNICAL TABULATION'!C:C)),"")</f>
        <v/>
      </c>
      <c r="D63" s="79" t="str">
        <f>IFERROR(IF(_xlfn.XLOOKUP($A63,'3-TECHNICAL TABULATION'!$A:$A,'3-TECHNICAL TABULATION'!D:D)="","",_xlfn.XLOOKUP($A63,'3-TECHNICAL TABULATION'!$A:$A,'3-TECHNICAL TABULATION'!D:D)),"")</f>
        <v/>
      </c>
    </row>
    <row r="64" spans="1:4" x14ac:dyDescent="0.25">
      <c r="A64" s="90" t="s">
        <v>357</v>
      </c>
      <c r="B64" s="50" t="str">
        <f>IFERROR(IF(_xlfn.XLOOKUP($A64,'3-TECHNICAL TABULATION'!$A:$A,'3-TECHNICAL TABULATION'!B:B)="","",_xlfn.XLOOKUP($A64,'3-TECHNICAL TABULATION'!$A:$A,'3-TECHNICAL TABULATION'!B:B)),"")</f>
        <v>[none/1:10/1:16/other]</v>
      </c>
      <c r="C64" s="38" t="str">
        <f>IFERROR(IF(_xlfn.XLOOKUP($A64,'3-TECHNICAL TABULATION'!$A:$A,'3-TECHNICAL TABULATION'!C:C)="","",_xlfn.XLOOKUP($A64,'3-TECHNICAL TABULATION'!$A:$A,'3-TECHNICAL TABULATION'!C:C)),"")</f>
        <v/>
      </c>
      <c r="D64" s="79" t="str">
        <f>IFERROR(IF(_xlfn.XLOOKUP($A64,'3-TECHNICAL TABULATION'!$A:$A,'3-TECHNICAL TABULATION'!D:D)="","",_xlfn.XLOOKUP($A64,'3-TECHNICAL TABULATION'!$A:$A,'3-TECHNICAL TABULATION'!D:D)),"")</f>
        <v/>
      </c>
    </row>
    <row r="65" spans="1:4" x14ac:dyDescent="0.25">
      <c r="A65" s="90" t="s">
        <v>138</v>
      </c>
      <c r="B65" s="50" t="str">
        <f>IFERROR(IF(_xlfn.XLOOKUP($A65,'3-TECHNICAL TABULATION'!$A:$A,'3-TECHNICAL TABULATION'!B:B)="","",_xlfn.XLOOKUP($A65,'3-TECHNICAL TABULATION'!$A:$A,'3-TECHNICAL TABULATION'!B:B)),"")</f>
        <v>[yes/no]</v>
      </c>
      <c r="C65" s="38" t="str">
        <f>IFERROR(IF(_xlfn.XLOOKUP($A65,'3-TECHNICAL TABULATION'!$A:$A,'3-TECHNICAL TABULATION'!C:C)="","",_xlfn.XLOOKUP($A65,'3-TECHNICAL TABULATION'!$A:$A,'3-TECHNICAL TABULATION'!C:C)),"")</f>
        <v/>
      </c>
      <c r="D65" s="79" t="str">
        <f>IFERROR(IF(_xlfn.XLOOKUP($A65,'3-TECHNICAL TABULATION'!$A:$A,'3-TECHNICAL TABULATION'!D:D)="","",_xlfn.XLOOKUP($A65,'3-TECHNICAL TABULATION'!$A:$A,'3-TECHNICAL TABULATION'!D:D)),"")</f>
        <v/>
      </c>
    </row>
    <row r="66" spans="1:4" x14ac:dyDescent="0.25">
      <c r="A66" s="90" t="s">
        <v>139</v>
      </c>
      <c r="B66" s="50" t="str">
        <f>IFERROR(IF(_xlfn.XLOOKUP($A66,'3-TECHNICAL TABULATION'!$A:$A,'3-TECHNICAL TABULATION'!B:B)="","",_xlfn.XLOOKUP($A66,'3-TECHNICAL TABULATION'!$A:$A,'3-TECHNICAL TABULATION'!B:B)),"")</f>
        <v>[yes/no]</v>
      </c>
      <c r="C66" s="38" t="str">
        <f>IFERROR(IF(_xlfn.XLOOKUP($A66,'3-TECHNICAL TABULATION'!$A:$A,'3-TECHNICAL TABULATION'!C:C)="","",_xlfn.XLOOKUP($A66,'3-TECHNICAL TABULATION'!$A:$A,'3-TECHNICAL TABULATION'!C:C)),"")</f>
        <v/>
      </c>
      <c r="D66" s="79" t="str">
        <f>IFERROR(IF(_xlfn.XLOOKUP($A66,'3-TECHNICAL TABULATION'!$A:$A,'3-TECHNICAL TABULATION'!D:D)="","",_xlfn.XLOOKUP($A66,'3-TECHNICAL TABULATION'!$A:$A,'3-TECHNICAL TABULATION'!D:D)),"")</f>
        <v/>
      </c>
    </row>
    <row r="67" spans="1:4" ht="15.75" thickBot="1" x14ac:dyDescent="0.3">
      <c r="A67" s="92" t="s">
        <v>140</v>
      </c>
      <c r="B67" s="50" t="str">
        <f>IFERROR(IF(_xlfn.XLOOKUP($A67,'3-TECHNICAL TABULATION'!$A:$A,'3-TECHNICAL TABULATION'!B:B)="","",_xlfn.XLOOKUP($A67,'3-TECHNICAL TABULATION'!$A:$A,'3-TECHNICAL TABULATION'!B:B)),"")</f>
        <v>[yes/no]</v>
      </c>
      <c r="C67" s="38" t="str">
        <f>IFERROR(IF(_xlfn.XLOOKUP($A67,'3-TECHNICAL TABULATION'!$A:$A,'3-TECHNICAL TABULATION'!C:C)="","",_xlfn.XLOOKUP($A67,'3-TECHNICAL TABULATION'!$A:$A,'3-TECHNICAL TABULATION'!C:C)),"")</f>
        <v/>
      </c>
      <c r="D67" s="79" t="str">
        <f>IFERROR(IF(_xlfn.XLOOKUP($A67,'3-TECHNICAL TABULATION'!$A:$A,'3-TECHNICAL TABULATION'!D:D)="","",_xlfn.XLOOKUP($A67,'3-TECHNICAL TABULATION'!$A:$A,'3-TECHNICAL TABULATION'!D:D)),"")</f>
        <v/>
      </c>
    </row>
    <row r="68" spans="1:4" s="3" customFormat="1" x14ac:dyDescent="0.25">
      <c r="A68" s="11" t="s">
        <v>276</v>
      </c>
      <c r="B68" s="210" t="str">
        <f>IFERROR(IF(_xlfn.XLOOKUP($A68,'3-TECHNICAL TABULATION'!$A:$A,'3-TECHNICAL TABULATION'!B:B)="","",_xlfn.XLOOKUP($A68,'3-TECHNICAL TABULATION'!$A:$A,'3-TECHNICAL TABULATION'!B:B)),"")</f>
        <v/>
      </c>
      <c r="C68" s="211" t="str">
        <f>IFERROR(IF(_xlfn.XLOOKUP($A68,'3-TECHNICAL TABULATION'!$A:$A,'3-TECHNICAL TABULATION'!C:C)="","",_xlfn.XLOOKUP($A68,'3-TECHNICAL TABULATION'!$A:$A,'3-TECHNICAL TABULATION'!C:C)),"")</f>
        <v/>
      </c>
      <c r="D68" s="69" t="str">
        <f>IFERROR(IF(_xlfn.XLOOKUP($A68,'3-TECHNICAL TABULATION'!$A:$A,'3-TECHNICAL TABULATION'!D:D)="","",_xlfn.XLOOKUP($A68,'3-TECHNICAL TABULATION'!$A:$A,'3-TECHNICAL TABULATION'!D:D)),"")</f>
        <v/>
      </c>
    </row>
    <row r="69" spans="1:4" ht="30" x14ac:dyDescent="0.25">
      <c r="A69" s="90" t="s">
        <v>314</v>
      </c>
      <c r="B69" s="50" t="str">
        <f>IFERROR(IF(_xlfn.XLOOKUP($A69,'3-TECHNICAL TABULATION'!$A:$A,'3-TECHNICAL TABULATION'!B:B)="","",_xlfn.XLOOKUP($A69,'3-TECHNICAL TABULATION'!$A:$A,'3-TECHNICAL TABULATION'!B:B)),"")</f>
        <v>[yes/no/yes with modification]</v>
      </c>
      <c r="C69" s="38" t="str">
        <f>IFERROR(IF(_xlfn.XLOOKUP($A69,'3-TECHNICAL TABULATION'!$A:$A,'3-TECHNICAL TABULATION'!C:C)="","",_xlfn.XLOOKUP($A69,'3-TECHNICAL TABULATION'!$A:$A,'3-TECHNICAL TABULATION'!C:C)),"")</f>
        <v/>
      </c>
      <c r="D69" s="79" t="str">
        <f>IFERROR(IF(_xlfn.XLOOKUP($A69,'3-TECHNICAL TABULATION'!$A:$A,'3-TECHNICAL TABULATION'!D:D)="","",_xlfn.XLOOKUP($A69,'3-TECHNICAL TABULATION'!$A:$A,'3-TECHNICAL TABULATION'!D:D)),"")</f>
        <v/>
      </c>
    </row>
    <row r="70" spans="1:4" ht="30" x14ac:dyDescent="0.25">
      <c r="A70" s="90" t="s">
        <v>338</v>
      </c>
      <c r="B70" s="50" t="str">
        <f>IFERROR(IF(_xlfn.XLOOKUP($A70,'3-TECHNICAL TABULATION'!$A:$A,'3-TECHNICAL TABULATION'!B:B)="","",_xlfn.XLOOKUP($A70,'3-TECHNICAL TABULATION'!$A:$A,'3-TECHNICAL TABULATION'!B:B)),"")</f>
        <v>[yes/no/yes with modification]</v>
      </c>
      <c r="C70" s="38" t="str">
        <f>IFERROR(IF(_xlfn.XLOOKUP($A70,'3-TECHNICAL TABULATION'!$A:$A,'3-TECHNICAL TABULATION'!C:C)="","",_xlfn.XLOOKUP($A70,'3-TECHNICAL TABULATION'!$A:$A,'3-TECHNICAL TABULATION'!C:C)),"")</f>
        <v/>
      </c>
      <c r="D70" s="79" t="str">
        <f>IFERROR(IF(_xlfn.XLOOKUP($A70,'3-TECHNICAL TABULATION'!$A:$A,'3-TECHNICAL TABULATION'!D:D)="","",_xlfn.XLOOKUP($A70,'3-TECHNICAL TABULATION'!$A:$A,'3-TECHNICAL TABULATION'!D:D)),"")</f>
        <v/>
      </c>
    </row>
    <row r="71" spans="1:4" x14ac:dyDescent="0.25">
      <c r="A71" s="90" t="s">
        <v>135</v>
      </c>
      <c r="B71" s="50" t="str">
        <f>IFERROR(IF(_xlfn.XLOOKUP($A71,'3-TECHNICAL TABULATION'!$A:$A,'3-TECHNICAL TABULATION'!B:B)="","",_xlfn.XLOOKUP($A71,'3-TECHNICAL TABULATION'!$A:$A,'3-TECHNICAL TABULATION'!B:B)),"")</f>
        <v/>
      </c>
      <c r="C71" s="38" t="str">
        <f>IFERROR(IF(_xlfn.XLOOKUP($A71,'3-TECHNICAL TABULATION'!$A:$A,'3-TECHNICAL TABULATION'!C:C)="","",_xlfn.XLOOKUP($A71,'3-TECHNICAL TABULATION'!$A:$A,'3-TECHNICAL TABULATION'!C:C)),"")</f>
        <v/>
      </c>
      <c r="D71" s="79" t="str">
        <f>IFERROR(IF(_xlfn.XLOOKUP($A71,'3-TECHNICAL TABULATION'!$A:$A,'3-TECHNICAL TABULATION'!D:D)="","",_xlfn.XLOOKUP($A71,'3-TECHNICAL TABULATION'!$A:$A,'3-TECHNICAL TABULATION'!D:D)),"")</f>
        <v/>
      </c>
    </row>
    <row r="72" spans="1:4" x14ac:dyDescent="0.25">
      <c r="A72" s="90" t="s">
        <v>136</v>
      </c>
      <c r="B72" s="50" t="str">
        <f>IFERROR(IF(_xlfn.XLOOKUP($A72,'3-TECHNICAL TABULATION'!$A:$A,'3-TECHNICAL TABULATION'!B:B)="","",_xlfn.XLOOKUP($A72,'3-TECHNICAL TABULATION'!$A:$A,'3-TECHNICAL TABULATION'!B:B)),"")</f>
        <v/>
      </c>
      <c r="C72" s="38" t="str">
        <f>IFERROR(IF(_xlfn.XLOOKUP($A72,'3-TECHNICAL TABULATION'!$A:$A,'3-TECHNICAL TABULATION'!C:C)="","",_xlfn.XLOOKUP($A72,'3-TECHNICAL TABULATION'!$A:$A,'3-TECHNICAL TABULATION'!C:C)),"")</f>
        <v/>
      </c>
      <c r="D72" s="79" t="str">
        <f>IFERROR(IF(_xlfn.XLOOKUP($A72,'3-TECHNICAL TABULATION'!$A:$A,'3-TECHNICAL TABULATION'!D:D)="","",_xlfn.XLOOKUP($A72,'3-TECHNICAL TABULATION'!$A:$A,'3-TECHNICAL TABULATION'!D:D)),"")</f>
        <v/>
      </c>
    </row>
    <row r="73" spans="1:4" x14ac:dyDescent="0.25">
      <c r="A73" s="90" t="s">
        <v>137</v>
      </c>
      <c r="B73" s="50" t="str">
        <f>IFERROR(IF(_xlfn.XLOOKUP($A73,'3-TECHNICAL TABULATION'!$A:$A,'3-TECHNICAL TABULATION'!B:B)="","",_xlfn.XLOOKUP($A73,'3-TECHNICAL TABULATION'!$A:$A,'3-TECHNICAL TABULATION'!B:B)),"")</f>
        <v/>
      </c>
      <c r="C73" s="38" t="str">
        <f>IFERROR(IF(_xlfn.XLOOKUP($A73,'3-TECHNICAL TABULATION'!$A:$A,'3-TECHNICAL TABULATION'!C:C)="","",_xlfn.XLOOKUP($A73,'3-TECHNICAL TABULATION'!$A:$A,'3-TECHNICAL TABULATION'!C:C)),"")</f>
        <v/>
      </c>
      <c r="D73" s="79" t="str">
        <f>IFERROR(IF(_xlfn.XLOOKUP($A73,'3-TECHNICAL TABULATION'!$A:$A,'3-TECHNICAL TABULATION'!D:D)="","",_xlfn.XLOOKUP($A73,'3-TECHNICAL TABULATION'!$A:$A,'3-TECHNICAL TABULATION'!D:D)),"")</f>
        <v/>
      </c>
    </row>
    <row r="74" spans="1:4" x14ac:dyDescent="0.25">
      <c r="A74" s="90" t="s">
        <v>498</v>
      </c>
      <c r="B74" s="50" t="str">
        <f>IFERROR(IF(_xlfn.XLOOKUP($A74,'3-TECHNICAL TABULATION'!$A:$A,'3-TECHNICAL TABULATION'!B:B)="","",_xlfn.XLOOKUP($A74,'3-TECHNICAL TABULATION'!$A:$A,'3-TECHNICAL TABULATION'!B:B)),"")</f>
        <v>[NONE/LIST]</v>
      </c>
      <c r="C74" s="38" t="str">
        <f>IFERROR(IF(_xlfn.XLOOKUP($A74,'3-TECHNICAL TABULATION'!$A:$A,'3-TECHNICAL TABULATION'!C:C)="","",_xlfn.XLOOKUP($A74,'3-TECHNICAL TABULATION'!$A:$A,'3-TECHNICAL TABULATION'!C:C)),"")</f>
        <v/>
      </c>
      <c r="D74" s="79" t="str">
        <f>IFERROR(IF(_xlfn.XLOOKUP($A74,'3-TECHNICAL TABULATION'!$A:$A,'3-TECHNICAL TABULATION'!D:D)="","",_xlfn.XLOOKUP($A74,'3-TECHNICAL TABULATION'!$A:$A,'3-TECHNICAL TABULATION'!D:D)),"")</f>
        <v/>
      </c>
    </row>
    <row r="75" spans="1:4" x14ac:dyDescent="0.25">
      <c r="A75" s="90" t="s">
        <v>145</v>
      </c>
      <c r="B75" s="50" t="str">
        <f>IFERROR(IF(_xlfn.XLOOKUP($A75,'3-TECHNICAL TABULATION'!$A:$A,'3-TECHNICAL TABULATION'!B:B)="","",_xlfn.XLOOKUP($A75,'3-TECHNICAL TABULATION'!$A:$A,'3-TECHNICAL TABULATION'!B:B)),"")</f>
        <v>[yes/no]</v>
      </c>
      <c r="C75" s="38" t="str">
        <f>IFERROR(IF(_xlfn.XLOOKUP($A75,'3-TECHNICAL TABULATION'!$A:$A,'3-TECHNICAL TABULATION'!C:C)="","",_xlfn.XLOOKUP($A75,'3-TECHNICAL TABULATION'!$A:$A,'3-TECHNICAL TABULATION'!C:C)),"")</f>
        <v/>
      </c>
      <c r="D75" s="79" t="str">
        <f>IFERROR(IF(_xlfn.XLOOKUP($A75,'3-TECHNICAL TABULATION'!$A:$A,'3-TECHNICAL TABULATION'!D:D)="","",_xlfn.XLOOKUP($A75,'3-TECHNICAL TABULATION'!$A:$A,'3-TECHNICAL TABULATION'!D:D)),"")</f>
        <v/>
      </c>
    </row>
    <row r="76" spans="1:4" x14ac:dyDescent="0.25">
      <c r="A76" s="90" t="s">
        <v>195</v>
      </c>
      <c r="B76" s="50" t="str">
        <f>IFERROR(IF(_xlfn.XLOOKUP($A76,'3-TECHNICAL TABULATION'!$A:$A,'3-TECHNICAL TABULATION'!B:B)="","",_xlfn.XLOOKUP($A76,'3-TECHNICAL TABULATION'!$A:$A,'3-TECHNICAL TABULATION'!B:B)),"")</f>
        <v>[none/list]</v>
      </c>
      <c r="C76" s="38" t="str">
        <f>IFERROR(IF(_xlfn.XLOOKUP($A76,'3-TECHNICAL TABULATION'!$A:$A,'3-TECHNICAL TABULATION'!C:C)="","",_xlfn.XLOOKUP($A76,'3-TECHNICAL TABULATION'!$A:$A,'3-TECHNICAL TABULATION'!C:C)),"")</f>
        <v/>
      </c>
      <c r="D76" s="79" t="str">
        <f>IFERROR(IF(_xlfn.XLOOKUP($A76,'3-TECHNICAL TABULATION'!$A:$A,'3-TECHNICAL TABULATION'!D:D)="","",_xlfn.XLOOKUP($A76,'3-TECHNICAL TABULATION'!$A:$A,'3-TECHNICAL TABULATION'!D:D)),"")</f>
        <v/>
      </c>
    </row>
    <row r="77" spans="1:4" ht="30" x14ac:dyDescent="0.25">
      <c r="A77" s="90" t="s">
        <v>201</v>
      </c>
      <c r="B77" s="50" t="str">
        <f>IFERROR(IF(_xlfn.XLOOKUP($A77,'3-TECHNICAL TABULATION'!$A:$A,'3-TECHNICAL TABULATION'!B:B)="","",_xlfn.XLOOKUP($A77,'3-TECHNICAL TABULATION'!$A:$A,'3-TECHNICAL TABULATION'!B:B)),"")</f>
        <v>[none/list]</v>
      </c>
      <c r="C77" s="38" t="str">
        <f>IFERROR(IF(_xlfn.XLOOKUP($A77,'3-TECHNICAL TABULATION'!$A:$A,'3-TECHNICAL TABULATION'!C:C)="","",_xlfn.XLOOKUP($A77,'3-TECHNICAL TABULATION'!$A:$A,'3-TECHNICAL TABULATION'!C:C)),"")</f>
        <v/>
      </c>
      <c r="D77" s="79" t="str">
        <f>IFERROR(IF(_xlfn.XLOOKUP($A77,'3-TECHNICAL TABULATION'!$A:$A,'3-TECHNICAL TABULATION'!D:D)="","",_xlfn.XLOOKUP($A77,'3-TECHNICAL TABULATION'!$A:$A,'3-TECHNICAL TABULATION'!D:D)),"")</f>
        <v/>
      </c>
    </row>
    <row r="78" spans="1:4" ht="30" x14ac:dyDescent="0.25">
      <c r="A78" s="90" t="s">
        <v>202</v>
      </c>
      <c r="B78" s="50" t="str">
        <f>IFERROR(IF(_xlfn.XLOOKUP($A78,'3-TECHNICAL TABULATION'!$A:$A,'3-TECHNICAL TABULATION'!B:B)="","",_xlfn.XLOOKUP($A78,'3-TECHNICAL TABULATION'!$A:$A,'3-TECHNICAL TABULATION'!B:B)),"")</f>
        <v>[none/list]</v>
      </c>
      <c r="C78" s="38" t="str">
        <f>IFERROR(IF(_xlfn.XLOOKUP($A78,'3-TECHNICAL TABULATION'!$A:$A,'3-TECHNICAL TABULATION'!C:C)="","",_xlfn.XLOOKUP($A78,'3-TECHNICAL TABULATION'!$A:$A,'3-TECHNICAL TABULATION'!C:C)),"")</f>
        <v/>
      </c>
      <c r="D78" s="79" t="str">
        <f>IFERROR(IF(_xlfn.XLOOKUP($A78,'3-TECHNICAL TABULATION'!$A:$A,'3-TECHNICAL TABULATION'!D:D)="","",_xlfn.XLOOKUP($A78,'3-TECHNICAL TABULATION'!$A:$A,'3-TECHNICAL TABULATION'!D:D)),"")</f>
        <v/>
      </c>
    </row>
    <row r="79" spans="1:4" x14ac:dyDescent="0.25">
      <c r="A79" s="90" t="s">
        <v>31</v>
      </c>
      <c r="B79" s="50" t="str">
        <f>IFERROR(IF(_xlfn.XLOOKUP($A79,'3-TECHNICAL TABULATION'!$A:$A,'3-TECHNICAL TABULATION'!B:B)="","",_xlfn.XLOOKUP($A79,'3-TECHNICAL TABULATION'!$A:$A,'3-TECHNICAL TABULATION'!B:B)),"")</f>
        <v>[yes/no]</v>
      </c>
      <c r="C79" s="38" t="str">
        <f>IFERROR(IF(_xlfn.XLOOKUP($A79,'3-TECHNICAL TABULATION'!$A:$A,'3-TECHNICAL TABULATION'!C:C)="","",_xlfn.XLOOKUP($A79,'3-TECHNICAL TABULATION'!$A:$A,'3-TECHNICAL TABULATION'!C:C)),"")</f>
        <v/>
      </c>
      <c r="D79" s="79" t="str">
        <f>IFERROR(IF(_xlfn.XLOOKUP($A79,'3-TECHNICAL TABULATION'!$A:$A,'3-TECHNICAL TABULATION'!D:D)="","",_xlfn.XLOOKUP($A79,'3-TECHNICAL TABULATION'!$A:$A,'3-TECHNICAL TABULATION'!D:D)),"")</f>
        <v/>
      </c>
    </row>
    <row r="80" spans="1:4" x14ac:dyDescent="0.25">
      <c r="A80" s="90" t="s">
        <v>284</v>
      </c>
      <c r="B80" s="50" t="str">
        <f>IFERROR(IF(_xlfn.XLOOKUP($A80,'3-TECHNICAL TABULATION'!$A:$A,'3-TECHNICAL TABULATION'!B:B)="","",_xlfn.XLOOKUP($A80,'3-TECHNICAL TABULATION'!$A:$A,'3-TECHNICAL TABULATION'!B:B)),"")</f>
        <v>[yes/no]</v>
      </c>
      <c r="C80" s="38" t="str">
        <f>IFERROR(IF(_xlfn.XLOOKUP($A80,'3-TECHNICAL TABULATION'!$A:$A,'3-TECHNICAL TABULATION'!C:C)="","",_xlfn.XLOOKUP($A80,'3-TECHNICAL TABULATION'!$A:$A,'3-TECHNICAL TABULATION'!C:C)),"")</f>
        <v/>
      </c>
      <c r="D80" s="79" t="str">
        <f>IFERROR(IF(_xlfn.XLOOKUP($A80,'3-TECHNICAL TABULATION'!$A:$A,'3-TECHNICAL TABULATION'!D:D)="","",_xlfn.XLOOKUP($A80,'3-TECHNICAL TABULATION'!$A:$A,'3-TECHNICAL TABULATION'!D:D)),"")</f>
        <v/>
      </c>
    </row>
    <row r="81" spans="1:4" x14ac:dyDescent="0.25">
      <c r="A81" s="90" t="s">
        <v>285</v>
      </c>
      <c r="B81" s="50" t="str">
        <f>IFERROR(IF(_xlfn.XLOOKUP($A81,'3-TECHNICAL TABULATION'!$A:$A,'3-TECHNICAL TABULATION'!B:B)="","",_xlfn.XLOOKUP($A81,'3-TECHNICAL TABULATION'!$A:$A,'3-TECHNICAL TABULATION'!B:B)),"")</f>
        <v>[yes/no]</v>
      </c>
      <c r="C81" s="38" t="str">
        <f>IFERROR(IF(_xlfn.XLOOKUP($A81,'3-TECHNICAL TABULATION'!$A:$A,'3-TECHNICAL TABULATION'!C:C)="","",_xlfn.XLOOKUP($A81,'3-TECHNICAL TABULATION'!$A:$A,'3-TECHNICAL TABULATION'!C:C)),"")</f>
        <v/>
      </c>
      <c r="D81" s="79" t="str">
        <f>IFERROR(IF(_xlfn.XLOOKUP($A81,'3-TECHNICAL TABULATION'!$A:$A,'3-TECHNICAL TABULATION'!D:D)="","",_xlfn.XLOOKUP($A81,'3-TECHNICAL TABULATION'!$A:$A,'3-TECHNICAL TABULATION'!D:D)),"")</f>
        <v/>
      </c>
    </row>
    <row r="82" spans="1:4" x14ac:dyDescent="0.25">
      <c r="A82" s="90" t="s">
        <v>286</v>
      </c>
      <c r="B82" s="50" t="str">
        <f>IFERROR(IF(_xlfn.XLOOKUP($A82,'3-TECHNICAL TABULATION'!$A:$A,'3-TECHNICAL TABULATION'!B:B)="","",_xlfn.XLOOKUP($A82,'3-TECHNICAL TABULATION'!$A:$A,'3-TECHNICAL TABULATION'!B:B)),"")</f>
        <v>[yes/no]</v>
      </c>
      <c r="C82" s="38" t="str">
        <f>IFERROR(IF(_xlfn.XLOOKUP($A82,'3-TECHNICAL TABULATION'!$A:$A,'3-TECHNICAL TABULATION'!C:C)="","",_xlfn.XLOOKUP($A82,'3-TECHNICAL TABULATION'!$A:$A,'3-TECHNICAL TABULATION'!C:C)),"")</f>
        <v/>
      </c>
      <c r="D82" s="79" t="str">
        <f>IFERROR(IF(_xlfn.XLOOKUP($A82,'3-TECHNICAL TABULATION'!$A:$A,'3-TECHNICAL TABULATION'!D:D)="","",_xlfn.XLOOKUP($A82,'3-TECHNICAL TABULATION'!$A:$A,'3-TECHNICAL TABULATION'!D:D)),"")</f>
        <v/>
      </c>
    </row>
    <row r="83" spans="1:4" x14ac:dyDescent="0.25">
      <c r="A83" s="90" t="s">
        <v>287</v>
      </c>
      <c r="B83" s="50" t="str">
        <f>IFERROR(IF(_xlfn.XLOOKUP($A83,'3-TECHNICAL TABULATION'!$A:$A,'3-TECHNICAL TABULATION'!B:B)="","",_xlfn.XLOOKUP($A83,'3-TECHNICAL TABULATION'!$A:$A,'3-TECHNICAL TABULATION'!B:B)),"")</f>
        <v>[yes/no]</v>
      </c>
      <c r="C83" s="38" t="str">
        <f>IFERROR(IF(_xlfn.XLOOKUP($A83,'3-TECHNICAL TABULATION'!$A:$A,'3-TECHNICAL TABULATION'!C:C)="","",_xlfn.XLOOKUP($A83,'3-TECHNICAL TABULATION'!$A:$A,'3-TECHNICAL TABULATION'!C:C)),"")</f>
        <v/>
      </c>
      <c r="D83" s="79" t="str">
        <f>IFERROR(IF(_xlfn.XLOOKUP($A83,'3-TECHNICAL TABULATION'!$A:$A,'3-TECHNICAL TABULATION'!D:D)="","",_xlfn.XLOOKUP($A83,'3-TECHNICAL TABULATION'!$A:$A,'3-TECHNICAL TABULATION'!D:D)),"")</f>
        <v/>
      </c>
    </row>
    <row r="84" spans="1:4" ht="15.75" thickBot="1" x14ac:dyDescent="0.3">
      <c r="A84" s="92" t="s">
        <v>288</v>
      </c>
      <c r="B84" s="50" t="str">
        <f>IFERROR(IF(_xlfn.XLOOKUP($A84,'3-TECHNICAL TABULATION'!$A:$A,'3-TECHNICAL TABULATION'!B:B)="","",_xlfn.XLOOKUP($A84,'3-TECHNICAL TABULATION'!$A:$A,'3-TECHNICAL TABULATION'!B:B)),"")</f>
        <v>[yes/no]</v>
      </c>
      <c r="C84" s="38" t="str">
        <f>IFERROR(IF(_xlfn.XLOOKUP($A84,'3-TECHNICAL TABULATION'!$A:$A,'3-TECHNICAL TABULATION'!C:C)="","",_xlfn.XLOOKUP($A84,'3-TECHNICAL TABULATION'!$A:$A,'3-TECHNICAL TABULATION'!C:C)),"")</f>
        <v/>
      </c>
      <c r="D84" s="79" t="str">
        <f>IFERROR(IF(_xlfn.XLOOKUP($A84,'3-TECHNICAL TABULATION'!$A:$A,'3-TECHNICAL TABULATION'!D:D)="","",_xlfn.XLOOKUP($A84,'3-TECHNICAL TABULATION'!$A:$A,'3-TECHNICAL TABULATION'!D:D)),"")</f>
        <v/>
      </c>
    </row>
    <row r="85" spans="1:4" s="3" customFormat="1" x14ac:dyDescent="0.25">
      <c r="A85" s="11" t="s">
        <v>277</v>
      </c>
      <c r="B85" s="210" t="str">
        <f>IFERROR(IF(_xlfn.XLOOKUP($A85,'3-TECHNICAL TABULATION'!$A:$A,'3-TECHNICAL TABULATION'!B:B)="","",_xlfn.XLOOKUP($A85,'3-TECHNICAL TABULATION'!$A:$A,'3-TECHNICAL TABULATION'!B:B)),"")</f>
        <v/>
      </c>
      <c r="C85" s="211" t="str">
        <f>IFERROR(IF(_xlfn.XLOOKUP($A85,'3-TECHNICAL TABULATION'!$A:$A,'3-TECHNICAL TABULATION'!C:C)="","",_xlfn.XLOOKUP($A85,'3-TECHNICAL TABULATION'!$A:$A,'3-TECHNICAL TABULATION'!C:C)),"")</f>
        <v/>
      </c>
      <c r="D85" s="69" t="str">
        <f>IFERROR(IF(_xlfn.XLOOKUP($A85,'3-TECHNICAL TABULATION'!$A:$A,'3-TECHNICAL TABULATION'!D:D)="","",_xlfn.XLOOKUP($A85,'3-TECHNICAL TABULATION'!$A:$A,'3-TECHNICAL TABULATION'!D:D)),"")</f>
        <v/>
      </c>
    </row>
    <row r="86" spans="1:4" ht="30" x14ac:dyDescent="0.25">
      <c r="A86" s="90" t="s">
        <v>460</v>
      </c>
      <c r="B86" s="50" t="str">
        <f>IFERROR(IF(_xlfn.XLOOKUP($A86,'3-TECHNICAL TABULATION'!$A:$A,'3-TECHNICAL TABULATION'!B:B)="","",_xlfn.XLOOKUP($A86,'3-TECHNICAL TABULATION'!$A:$A,'3-TECHNICAL TABULATION'!B:B)),"")</f>
        <v>[La Spezia / Nova Milanese]</v>
      </c>
      <c r="C86" s="38" t="str">
        <f>IFERROR(IF(_xlfn.XLOOKUP($A86,'3-TECHNICAL TABULATION'!$A:$A,'3-TECHNICAL TABULATION'!C:C)="","",_xlfn.XLOOKUP($A86,'3-TECHNICAL TABULATION'!$A:$A,'3-TECHNICAL TABULATION'!C:C)),"")</f>
        <v/>
      </c>
      <c r="D86" s="79" t="str">
        <f>IFERROR(IF(_xlfn.XLOOKUP($A86,'3-TECHNICAL TABULATION'!$A:$A,'3-TECHNICAL TABULATION'!D:D)="","",_xlfn.XLOOKUP($A86,'3-TECHNICAL TABULATION'!$A:$A,'3-TECHNICAL TABULATION'!D:D)),"")</f>
        <v/>
      </c>
    </row>
    <row r="87" spans="1:4" x14ac:dyDescent="0.25">
      <c r="A87" s="90" t="s">
        <v>600</v>
      </c>
      <c r="B87" s="50" t="str">
        <f>IFERROR(IF(_xlfn.XLOOKUP($A87,'3-TECHNICAL TABULATION'!$A:$A,'3-TECHNICAL TABULATION'!B:B)="","",_xlfn.XLOOKUP($A87,'3-TECHNICAL TABULATION'!$A:$A,'3-TECHNICAL TABULATION'!B:B)),"")</f>
        <v>[number]</v>
      </c>
      <c r="C87" s="38" t="str">
        <f>IFERROR(IF(_xlfn.XLOOKUP($A87,'3-TECHNICAL TABULATION'!$A:$A,'3-TECHNICAL TABULATION'!C:C)="","",_xlfn.XLOOKUP($A87,'3-TECHNICAL TABULATION'!$A:$A,'3-TECHNICAL TABULATION'!C:C)),"")</f>
        <v/>
      </c>
      <c r="D87" s="79" t="str">
        <f>IFERROR(IF(_xlfn.XLOOKUP($A87,'3-TECHNICAL TABULATION'!$A:$A,'3-TECHNICAL TABULATION'!D:D)="","",_xlfn.XLOOKUP($A87,'3-TECHNICAL TABULATION'!$A:$A,'3-TECHNICAL TABULATION'!D:D)),"")</f>
        <v/>
      </c>
    </row>
    <row r="88" spans="1:4" x14ac:dyDescent="0.25">
      <c r="A88" s="96" t="s">
        <v>601</v>
      </c>
      <c r="B88" s="50" t="str">
        <f>IFERROR(IF(_xlfn.XLOOKUP($A88,'3-TECHNICAL TABULATION'!$A:$A,'3-TECHNICAL TABULATION'!B:B)="","",_xlfn.XLOOKUP($A88,'3-TECHNICAL TABULATION'!$A:$A,'3-TECHNICAL TABULATION'!B:B)),"")</f>
        <v>[number]</v>
      </c>
      <c r="C88" s="38" t="str">
        <f>IFERROR(IF(_xlfn.XLOOKUP($A88,'3-TECHNICAL TABULATION'!$A:$A,'3-TECHNICAL TABULATION'!C:C)="","",_xlfn.XLOOKUP($A88,'3-TECHNICAL TABULATION'!$A:$A,'3-TECHNICAL TABULATION'!C:C)),"")</f>
        <v/>
      </c>
      <c r="D88" s="79" t="str">
        <f>IFERROR(IF(_xlfn.XLOOKUP($A88,'3-TECHNICAL TABULATION'!$A:$A,'3-TECHNICAL TABULATION'!D:D)="","",_xlfn.XLOOKUP($A88,'3-TECHNICAL TABULATION'!$A:$A,'3-TECHNICAL TABULATION'!D:D)),"")</f>
        <v/>
      </c>
    </row>
    <row r="89" spans="1:4" ht="30" x14ac:dyDescent="0.25">
      <c r="A89" s="94" t="s">
        <v>22</v>
      </c>
      <c r="B89" s="50" t="str">
        <f>IFERROR(IF(_xlfn.XLOOKUP($A89,'3-TECHNICAL TABULATION'!$A:$A,'3-TECHNICAL TABULATION'!B:B)="","",_xlfn.XLOOKUP($A89,'3-TECHNICAL TABULATION'!$A:$A,'3-TECHNICAL TABULATION'!B:B)),"")</f>
        <v>[API / HI grade / detailed tolerances]</v>
      </c>
      <c r="C89" s="38" t="str">
        <f>IFERROR(IF(_xlfn.XLOOKUP($A89,'3-TECHNICAL TABULATION'!$A:$A,'3-TECHNICAL TABULATION'!C:C)="","",_xlfn.XLOOKUP($A89,'3-TECHNICAL TABULATION'!$A:$A,'3-TECHNICAL TABULATION'!C:C)),"")</f>
        <v/>
      </c>
      <c r="D89" s="79" t="str">
        <f>IFERROR(IF(_xlfn.XLOOKUP($A89,'3-TECHNICAL TABULATION'!$A:$A,'3-TECHNICAL TABULATION'!D:D)="","",_xlfn.XLOOKUP($A89,'3-TECHNICAL TABULATION'!$A:$A,'3-TECHNICAL TABULATION'!D:D)),"")</f>
        <v/>
      </c>
    </row>
    <row r="90" spans="1:4" x14ac:dyDescent="0.25">
      <c r="A90" s="90" t="s">
        <v>551</v>
      </c>
      <c r="B90" s="50" t="str">
        <f>IFERROR(IF(_xlfn.XLOOKUP($A90,'3-TECHNICAL TABULATION'!$A:$A,'3-TECHNICAL TABULATION'!B:B)="","",_xlfn.XLOOKUP($A90,'3-TECHNICAL TABULATION'!$A:$A,'3-TECHNICAL TABULATION'!B:B)),"")</f>
        <v>[Yes/No]</v>
      </c>
      <c r="C90" s="38" t="str">
        <f>IFERROR(IF(_xlfn.XLOOKUP($A90,'3-TECHNICAL TABULATION'!$A:$A,'3-TECHNICAL TABULATION'!C:C)="","",_xlfn.XLOOKUP($A90,'3-TECHNICAL TABULATION'!$A:$A,'3-TECHNICAL TABULATION'!C:C)),"")</f>
        <v/>
      </c>
      <c r="D90" s="79" t="str">
        <f>IFERROR(IF(_xlfn.XLOOKUP($A90,'3-TECHNICAL TABULATION'!$A:$A,'3-TECHNICAL TABULATION'!D:D)="","",_xlfn.XLOOKUP($A90,'3-TECHNICAL TABULATION'!$A:$A,'3-TECHNICAL TABULATION'!D:D)),"")</f>
        <v/>
      </c>
    </row>
    <row r="91" spans="1:4" x14ac:dyDescent="0.25">
      <c r="A91" s="5" t="s">
        <v>440</v>
      </c>
      <c r="B91" s="50" t="str">
        <f>IFERROR(IF(_xlfn.XLOOKUP($A91,'3-TECHNICAL TABULATION'!$A:$A,'3-TECHNICAL TABULATION'!B:B)="","",_xlfn.XLOOKUP($A91,'3-TECHNICAL TABULATION'!$A:$A,'3-TECHNICAL TABULATION'!B:B)),"")</f>
        <v>[Yes/No]</v>
      </c>
      <c r="C91" s="38" t="str">
        <f>IFERROR(IF(_xlfn.XLOOKUP($A91,'3-TECHNICAL TABULATION'!$A:$A,'3-TECHNICAL TABULATION'!C:C)="","",_xlfn.XLOOKUP($A91,'3-TECHNICAL TABULATION'!$A:$A,'3-TECHNICAL TABULATION'!C:C)),"")</f>
        <v/>
      </c>
      <c r="D91" s="79" t="str">
        <f>IFERROR(IF(_xlfn.XLOOKUP($A91,'3-TECHNICAL TABULATION'!$A:$A,'3-TECHNICAL TABULATION'!D:D)="","",_xlfn.XLOOKUP($A91,'3-TECHNICAL TABULATION'!$A:$A,'3-TECHNICAL TABULATION'!D:D)),"")</f>
        <v/>
      </c>
    </row>
    <row r="92" spans="1:4" ht="30" x14ac:dyDescent="0.25">
      <c r="A92" s="95" t="s">
        <v>442</v>
      </c>
      <c r="B92" s="50" t="str">
        <f>IFERROR(IF(_xlfn.XLOOKUP($A92,'3-TECHNICAL TABULATION'!$A:$A,'3-TECHNICAL TABULATION'!B:B)="","",_xlfn.XLOOKUP($A92,'3-TECHNICAL TABULATION'!$A:$A,'3-TECHNICAL TABULATION'!B:B)),"")</f>
        <v>[Yes/No]</v>
      </c>
      <c r="C92" s="38" t="str">
        <f>IFERROR(IF(_xlfn.XLOOKUP($A92,'3-TECHNICAL TABULATION'!$A:$A,'3-TECHNICAL TABULATION'!C:C)="","",_xlfn.XLOOKUP($A92,'3-TECHNICAL TABULATION'!$A:$A,'3-TECHNICAL TABULATION'!C:C)),"")</f>
        <v/>
      </c>
      <c r="D92" s="79" t="str">
        <f>IFERROR(IF(_xlfn.XLOOKUP($A92,'3-TECHNICAL TABULATION'!$A:$A,'3-TECHNICAL TABULATION'!D:D)="","",_xlfn.XLOOKUP($A92,'3-TECHNICAL TABULATION'!$A:$A,'3-TECHNICAL TABULATION'!D:D)),"")</f>
        <v/>
      </c>
    </row>
    <row r="93" spans="1:4" x14ac:dyDescent="0.25">
      <c r="A93" s="93" t="s">
        <v>462</v>
      </c>
      <c r="B93" s="50" t="str">
        <f>IFERROR(IF(_xlfn.XLOOKUP($A93,'3-TECHNICAL TABULATION'!$A:$A,'3-TECHNICAL TABULATION'!B:B)="","",_xlfn.XLOOKUP($A93,'3-TECHNICAL TABULATION'!$A:$A,'3-TECHNICAL TABULATION'!B:B)),"")</f>
        <v>[yes/no]</v>
      </c>
      <c r="C93" s="38" t="str">
        <f>IFERROR(IF(_xlfn.XLOOKUP($A93,'3-TECHNICAL TABULATION'!$A:$A,'3-TECHNICAL TABULATION'!C:C)="","",_xlfn.XLOOKUP($A93,'3-TECHNICAL TABULATION'!$A:$A,'3-TECHNICAL TABULATION'!C:C)),"")</f>
        <v/>
      </c>
      <c r="D93" s="79" t="str">
        <f>IFERROR(IF(_xlfn.XLOOKUP($A93,'3-TECHNICAL TABULATION'!$A:$A,'3-TECHNICAL TABULATION'!D:D)="","",_xlfn.XLOOKUP($A93,'3-TECHNICAL TABULATION'!$A:$A,'3-TECHNICAL TABULATION'!D:D)),"")</f>
        <v/>
      </c>
    </row>
    <row r="94" spans="1:4" ht="30" x14ac:dyDescent="0.25">
      <c r="A94" s="95" t="s">
        <v>459</v>
      </c>
      <c r="B94" s="50" t="str">
        <f>IFERROR(IF(_xlfn.XLOOKUP($A94,'3-TECHNICAL TABULATION'!$A:$A,'3-TECHNICAL TABULATION'!B:B)="","",_xlfn.XLOOKUP($A94,'3-TECHNICAL TABULATION'!$A:$A,'3-TECHNICAL TABULATION'!B:B)),"")</f>
        <v>[none/list]</v>
      </c>
      <c r="C94" s="38" t="str">
        <f>IFERROR(IF(_xlfn.XLOOKUP($A94,'3-TECHNICAL TABULATION'!$A:$A,'3-TECHNICAL TABULATION'!C:C)="","",_xlfn.XLOOKUP($A94,'3-TECHNICAL TABULATION'!$A:$A,'3-TECHNICAL TABULATION'!C:C)),"")</f>
        <v/>
      </c>
      <c r="D94" s="79" t="str">
        <f>IFERROR(IF(_xlfn.XLOOKUP($A94,'3-TECHNICAL TABULATION'!$A:$A,'3-TECHNICAL TABULATION'!D:D)="","",_xlfn.XLOOKUP($A94,'3-TECHNICAL TABULATION'!$A:$A,'3-TECHNICAL TABULATION'!D:D)),"")</f>
        <v/>
      </c>
    </row>
    <row r="95" spans="1:4" x14ac:dyDescent="0.25">
      <c r="A95" s="90" t="s">
        <v>456</v>
      </c>
      <c r="B95" s="50" t="str">
        <f>IFERROR(IF(_xlfn.XLOOKUP($A95,'3-TECHNICAL TABULATION'!$A:$A,'3-TECHNICAL TABULATION'!B:B)="","",_xlfn.XLOOKUP($A95,'3-TECHNICAL TABULATION'!$A:$A,'3-TECHNICAL TABULATION'!B:B)),"")</f>
        <v>kW</v>
      </c>
      <c r="C95" s="38" t="str">
        <f>IFERROR(IF(_xlfn.XLOOKUP($A95,'3-TECHNICAL TABULATION'!$A:$A,'3-TECHNICAL TABULATION'!C:C)="","",_xlfn.XLOOKUP($A95,'3-TECHNICAL TABULATION'!$A:$A,'3-TECHNICAL TABULATION'!C:C)),"")</f>
        <v>missing input data</v>
      </c>
      <c r="D95" s="79" t="str">
        <f>IFERROR(IF(_xlfn.XLOOKUP($A95,'3-TECHNICAL TABULATION'!$A:$A,'3-TECHNICAL TABULATION'!D:D)="","",_xlfn.XLOOKUP($A95,'3-TECHNICAL TABULATION'!$A:$A,'3-TECHNICAL TABULATION'!D:D)),"")</f>
        <v/>
      </c>
    </row>
    <row r="96" spans="1:4" x14ac:dyDescent="0.25">
      <c r="A96" s="90" t="s">
        <v>169</v>
      </c>
      <c r="B96" s="50" t="str">
        <f>IFERROR(IF(_xlfn.XLOOKUP($A96,'3-TECHNICAL TABULATION'!$A:$A,'3-TECHNICAL TABULATION'!B:B)="","",_xlfn.XLOOKUP($A96,'3-TECHNICAL TABULATION'!$A:$A,'3-TECHNICAL TABULATION'!B:B)),"")</f>
        <v>bar.g</v>
      </c>
      <c r="C96" s="38" t="str">
        <f>IFERROR(IF(_xlfn.XLOOKUP($A96,'3-TECHNICAL TABULATION'!$A:$A,'3-TECHNICAL TABULATION'!C:C)="","",_xlfn.XLOOKUP($A96,'3-TECHNICAL TABULATION'!$A:$A,'3-TECHNICAL TABULATION'!C:C)),"")</f>
        <v>missing input data</v>
      </c>
      <c r="D96" s="79" t="str">
        <f>IFERROR(IF(_xlfn.XLOOKUP($A96,'3-TECHNICAL TABULATION'!$A:$A,'3-TECHNICAL TABULATION'!D:D)="","",_xlfn.XLOOKUP($A96,'3-TECHNICAL TABULATION'!$A:$A,'3-TECHNICAL TABULATION'!D:D)),"")</f>
        <v/>
      </c>
    </row>
    <row r="97" spans="1:4" x14ac:dyDescent="0.25">
      <c r="A97" s="90" t="s">
        <v>157</v>
      </c>
      <c r="B97" s="50" t="str">
        <f>IFERROR(IF(_xlfn.XLOOKUP($A97,'3-TECHNICAL TABULATION'!$A:$A,'3-TECHNICAL TABULATION'!B:B)="","",_xlfn.XLOOKUP($A97,'3-TECHNICAL TABULATION'!$A:$A,'3-TECHNICAL TABULATION'!B:B)),"")</f>
        <v>[mm/no orifice]</v>
      </c>
      <c r="C97" s="38" t="str">
        <f>IFERROR(IF(_xlfn.XLOOKUP($A97,'3-TECHNICAL TABULATION'!$A:$A,'3-TECHNICAL TABULATION'!C:C)="","",_xlfn.XLOOKUP($A97,'3-TECHNICAL TABULATION'!$A:$A,'3-TECHNICAL TABULATION'!C:C)),"")</f>
        <v/>
      </c>
      <c r="D97" s="79" t="str">
        <f>IFERROR(IF(_xlfn.XLOOKUP($A97,'3-TECHNICAL TABULATION'!$A:$A,'3-TECHNICAL TABULATION'!D:D)="","",_xlfn.XLOOKUP($A97,'3-TECHNICAL TABULATION'!$A:$A,'3-TECHNICAL TABULATION'!D:D)),"")</f>
        <v/>
      </c>
    </row>
    <row r="98" spans="1:4" x14ac:dyDescent="0.25">
      <c r="A98" s="90" t="s">
        <v>457</v>
      </c>
      <c r="B98" s="50" t="str">
        <f>IFERROR(IF(_xlfn.XLOOKUP($A98,'3-TECHNICAL TABULATION'!$A:$A,'3-TECHNICAL TABULATION'!B:B)="","",_xlfn.XLOOKUP($A98,'3-TECHNICAL TABULATION'!$A:$A,'3-TECHNICAL TABULATION'!B:B)),"")</f>
        <v>[yes/no]</v>
      </c>
      <c r="C98" s="38" t="str">
        <f>IFERROR(IF(_xlfn.XLOOKUP($A98,'3-TECHNICAL TABULATION'!$A:$A,'3-TECHNICAL TABULATION'!C:C)="","",_xlfn.XLOOKUP($A98,'3-TECHNICAL TABULATION'!$A:$A,'3-TECHNICAL TABULATION'!C:C)),"")</f>
        <v/>
      </c>
      <c r="D98" s="79" t="str">
        <f>IFERROR(IF(_xlfn.XLOOKUP($A98,'3-TECHNICAL TABULATION'!$A:$A,'3-TECHNICAL TABULATION'!D:D)="","",_xlfn.XLOOKUP($A98,'3-TECHNICAL TABULATION'!$A:$A,'3-TECHNICAL TABULATION'!D:D)),"")</f>
        <v/>
      </c>
    </row>
    <row r="99" spans="1:4" x14ac:dyDescent="0.25">
      <c r="A99" s="95" t="s">
        <v>158</v>
      </c>
      <c r="B99" s="50" t="str">
        <f>IFERROR(IF(_xlfn.XLOOKUP($A99,'3-TECHNICAL TABULATION'!$A:$A,'3-TECHNICAL TABULATION'!B:B)="","",_xlfn.XLOOKUP($A99,'3-TECHNICAL TABULATION'!$A:$A,'3-TECHNICAL TABULATION'!B:B)),"")</f>
        <v>[none/list]</v>
      </c>
      <c r="C99" s="38" t="str">
        <f>IFERROR(IF(_xlfn.XLOOKUP($A99,'3-TECHNICAL TABULATION'!$A:$A,'3-TECHNICAL TABULATION'!C:C)="","",_xlfn.XLOOKUP($A99,'3-TECHNICAL TABULATION'!$A:$A,'3-TECHNICAL TABULATION'!C:C)),"")</f>
        <v/>
      </c>
      <c r="D99" s="79" t="str">
        <f>IFERROR(IF(_xlfn.XLOOKUP($A99,'3-TECHNICAL TABULATION'!$A:$A,'3-TECHNICAL TABULATION'!D:D)="","",_xlfn.XLOOKUP($A99,'3-TECHNICAL TABULATION'!$A:$A,'3-TECHNICAL TABULATION'!D:D)),"")</f>
        <v/>
      </c>
    </row>
    <row r="100" spans="1:4" x14ac:dyDescent="0.25">
      <c r="A100" s="90" t="s">
        <v>151</v>
      </c>
      <c r="B100" s="50" t="str">
        <f>IFERROR(IF(_xlfn.XLOOKUP($A100,'3-TECHNICAL TABULATION'!$A:$A,'3-TECHNICAL TABULATION'!B:B)="","",_xlfn.XLOOKUP($A100,'3-TECHNICAL TABULATION'!$A:$A,'3-TECHNICAL TABULATION'!B:B)),"")</f>
        <v>[yes/no]</v>
      </c>
      <c r="C100" s="38" t="str">
        <f>IFERROR(IF(_xlfn.XLOOKUP($A100,'3-TECHNICAL TABULATION'!$A:$A,'3-TECHNICAL TABULATION'!C:C)="","",_xlfn.XLOOKUP($A100,'3-TECHNICAL TABULATION'!$A:$A,'3-TECHNICAL TABULATION'!C:C)),"")</f>
        <v/>
      </c>
      <c r="D100" s="79" t="str">
        <f>IFERROR(IF(_xlfn.XLOOKUP($A100,'3-TECHNICAL TABULATION'!$A:$A,'3-TECHNICAL TABULATION'!D:D)="","",_xlfn.XLOOKUP($A100,'3-TECHNICAL TABULATION'!$A:$A,'3-TECHNICAL TABULATION'!D:D)),"")</f>
        <v/>
      </c>
    </row>
    <row r="101" spans="1:4" x14ac:dyDescent="0.25">
      <c r="A101" s="91" t="s">
        <v>443</v>
      </c>
      <c r="B101" s="50" t="str">
        <f>IFERROR(IF(_xlfn.XLOOKUP($A101,'3-TECHNICAL TABULATION'!$A:$A,'3-TECHNICAL TABULATION'!B:B)="","",_xlfn.XLOOKUP($A101,'3-TECHNICAL TABULATION'!$A:$A,'3-TECHNICAL TABULATION'!B:B)),"")</f>
        <v/>
      </c>
      <c r="C101" s="38" t="str">
        <f>IFERROR(IF(_xlfn.XLOOKUP($A101,'3-TECHNICAL TABULATION'!$A:$A,'3-TECHNICAL TABULATION'!C:C)="","",_xlfn.XLOOKUP($A101,'3-TECHNICAL TABULATION'!$A:$A,'3-TECHNICAL TABULATION'!C:C)),"")</f>
        <v/>
      </c>
      <c r="D101" s="79" t="str">
        <f>IFERROR(IF(_xlfn.XLOOKUP($A101,'3-TECHNICAL TABULATION'!$A:$A,'3-TECHNICAL TABULATION'!D:D)="","",_xlfn.XLOOKUP($A101,'3-TECHNICAL TABULATION'!$A:$A,'3-TECHNICAL TABULATION'!D:D)),"")</f>
        <v/>
      </c>
    </row>
    <row r="102" spans="1:4" ht="30" x14ac:dyDescent="0.25">
      <c r="A102" s="91" t="s">
        <v>204</v>
      </c>
      <c r="B102" s="50" t="str">
        <f>IFERROR(IF(_xlfn.XLOOKUP($A102,'3-TECHNICAL TABULATION'!$A:$A,'3-TECHNICAL TABULATION'!B:B)="","",_xlfn.XLOOKUP($A102,'3-TECHNICAL TABULATION'!$A:$A,'3-TECHNICAL TABULATION'!B:B)),"")</f>
        <v>[none/list]</v>
      </c>
      <c r="C102" s="38" t="str">
        <f>IFERROR(IF(_xlfn.XLOOKUP($A102,'3-TECHNICAL TABULATION'!$A:$A,'3-TECHNICAL TABULATION'!C:C)="","",_xlfn.XLOOKUP($A102,'3-TECHNICAL TABULATION'!$A:$A,'3-TECHNICAL TABULATION'!C:C)),"")</f>
        <v/>
      </c>
      <c r="D102" s="79" t="str">
        <f>IFERROR(IF(_xlfn.XLOOKUP($A102,'3-TECHNICAL TABULATION'!$A:$A,'3-TECHNICAL TABULATION'!D:D)="","",_xlfn.XLOOKUP($A102,'3-TECHNICAL TABULATION'!$A:$A,'3-TECHNICAL TABULATION'!D:D)),"")</f>
        <v/>
      </c>
    </row>
    <row r="103" spans="1:4" x14ac:dyDescent="0.25">
      <c r="A103" s="91" t="s">
        <v>444</v>
      </c>
      <c r="B103" s="50" t="str">
        <f>IFERROR(IF(_xlfn.XLOOKUP($A103,'3-TECHNICAL TABULATION'!$A:$A,'3-TECHNICAL TABULATION'!B:B)="","",_xlfn.XLOOKUP($A103,'3-TECHNICAL TABULATION'!$A:$A,'3-TECHNICAL TABULATION'!B:B)),"")</f>
        <v>[yes/no]</v>
      </c>
      <c r="C103" s="38" t="str">
        <f>IFERROR(IF(_xlfn.XLOOKUP($A103,'3-TECHNICAL TABULATION'!$A:$A,'3-TECHNICAL TABULATION'!C:C)="","",_xlfn.XLOOKUP($A103,'3-TECHNICAL TABULATION'!$A:$A,'3-TECHNICAL TABULATION'!C:C)),"")</f>
        <v/>
      </c>
      <c r="D103" s="79" t="str">
        <f>IFERROR(IF(_xlfn.XLOOKUP($A103,'3-TECHNICAL TABULATION'!$A:$A,'3-TECHNICAL TABULATION'!D:D)="","",_xlfn.XLOOKUP($A103,'3-TECHNICAL TABULATION'!$A:$A,'3-TECHNICAL TABULATION'!D:D)),"")</f>
        <v/>
      </c>
    </row>
    <row r="104" spans="1:4" x14ac:dyDescent="0.25">
      <c r="A104" s="91" t="s">
        <v>447</v>
      </c>
      <c r="B104" s="50" t="str">
        <f>IFERROR(IF(_xlfn.XLOOKUP($A104,'3-TECHNICAL TABULATION'!$A:$A,'3-TECHNICAL TABULATION'!B:B)="","",_xlfn.XLOOKUP($A104,'3-TECHNICAL TABULATION'!$A:$A,'3-TECHNICAL TABULATION'!B:B)),"")</f>
        <v>[yes/no]</v>
      </c>
      <c r="C104" s="38" t="str">
        <f>IFERROR(IF(_xlfn.XLOOKUP($A104,'3-TECHNICAL TABULATION'!$A:$A,'3-TECHNICAL TABULATION'!C:C)="","",_xlfn.XLOOKUP($A104,'3-TECHNICAL TABULATION'!$A:$A,'3-TECHNICAL TABULATION'!C:C)),"")</f>
        <v/>
      </c>
      <c r="D104" s="79" t="str">
        <f>IFERROR(IF(_xlfn.XLOOKUP($A104,'3-TECHNICAL TABULATION'!$A:$A,'3-TECHNICAL TABULATION'!D:D)="","",_xlfn.XLOOKUP($A104,'3-TECHNICAL TABULATION'!$A:$A,'3-TECHNICAL TABULATION'!D:D)),"")</f>
        <v/>
      </c>
    </row>
    <row r="105" spans="1:4" x14ac:dyDescent="0.25">
      <c r="A105" s="91" t="s">
        <v>448</v>
      </c>
      <c r="B105" s="50" t="str">
        <f>IFERROR(IF(_xlfn.XLOOKUP($A105,'3-TECHNICAL TABULATION'!$A:$A,'3-TECHNICAL TABULATION'!B:B)="","",_xlfn.XLOOKUP($A105,'3-TECHNICAL TABULATION'!$A:$A,'3-TECHNICAL TABULATION'!B:B)),"")</f>
        <v>[yes/no]</v>
      </c>
      <c r="C105" s="38" t="str">
        <f>IFERROR(IF(_xlfn.XLOOKUP($A105,'3-TECHNICAL TABULATION'!$A:$A,'3-TECHNICAL TABULATION'!C:C)="","",_xlfn.XLOOKUP($A105,'3-TECHNICAL TABULATION'!$A:$A,'3-TECHNICAL TABULATION'!C:C)),"")</f>
        <v/>
      </c>
      <c r="D105" s="79" t="str">
        <f>IFERROR(IF(_xlfn.XLOOKUP($A105,'3-TECHNICAL TABULATION'!$A:$A,'3-TECHNICAL TABULATION'!D:D)="","",_xlfn.XLOOKUP($A105,'3-TECHNICAL TABULATION'!$A:$A,'3-TECHNICAL TABULATION'!D:D)),"")</f>
        <v/>
      </c>
    </row>
    <row r="106" spans="1:4" x14ac:dyDescent="0.25">
      <c r="A106" s="91" t="s">
        <v>450</v>
      </c>
      <c r="B106" s="50" t="str">
        <f>IFERROR(IF(_xlfn.XLOOKUP($A106,'3-TECHNICAL TABULATION'!$A:$A,'3-TECHNICAL TABULATION'!B:B)="","",_xlfn.XLOOKUP($A106,'3-TECHNICAL TABULATION'!$A:$A,'3-TECHNICAL TABULATION'!B:B)),"")</f>
        <v>[none/list]</v>
      </c>
      <c r="C106" s="38" t="str">
        <f>IFERROR(IF(_xlfn.XLOOKUP($A106,'3-TECHNICAL TABULATION'!$A:$A,'3-TECHNICAL TABULATION'!C:C)="","",_xlfn.XLOOKUP($A106,'3-TECHNICAL TABULATION'!$A:$A,'3-TECHNICAL TABULATION'!C:C)),"")</f>
        <v/>
      </c>
      <c r="D106" s="79" t="str">
        <f>IFERROR(IF(_xlfn.XLOOKUP($A106,'3-TECHNICAL TABULATION'!$A:$A,'3-TECHNICAL TABULATION'!D:D)="","",_xlfn.XLOOKUP($A106,'3-TECHNICAL TABULATION'!$A:$A,'3-TECHNICAL TABULATION'!D:D)),"")</f>
        <v/>
      </c>
    </row>
    <row r="107" spans="1:4" x14ac:dyDescent="0.25">
      <c r="A107" s="91" t="s">
        <v>449</v>
      </c>
      <c r="B107" s="50" t="str">
        <f>IFERROR(IF(_xlfn.XLOOKUP($A107,'3-TECHNICAL TABULATION'!$A:$A,'3-TECHNICAL TABULATION'!B:B)="","",_xlfn.XLOOKUP($A107,'3-TECHNICAL TABULATION'!$A:$A,'3-TECHNICAL TABULATION'!B:B)),"")</f>
        <v>[yes/no]</v>
      </c>
      <c r="C107" s="38" t="str">
        <f>IFERROR(IF(_xlfn.XLOOKUP($A107,'3-TECHNICAL TABULATION'!$A:$A,'3-TECHNICAL TABULATION'!C:C)="","",_xlfn.XLOOKUP($A107,'3-TECHNICAL TABULATION'!$A:$A,'3-TECHNICAL TABULATION'!C:C)),"")</f>
        <v/>
      </c>
      <c r="D107" s="79" t="str">
        <f>IFERROR(IF(_xlfn.XLOOKUP($A107,'3-TECHNICAL TABULATION'!$A:$A,'3-TECHNICAL TABULATION'!D:D)="","",_xlfn.XLOOKUP($A107,'3-TECHNICAL TABULATION'!$A:$A,'3-TECHNICAL TABULATION'!D:D)),"")</f>
        <v/>
      </c>
    </row>
    <row r="108" spans="1:4" x14ac:dyDescent="0.25">
      <c r="A108" s="91" t="s">
        <v>451</v>
      </c>
      <c r="B108" s="50" t="str">
        <f>IFERROR(IF(_xlfn.XLOOKUP($A108,'3-TECHNICAL TABULATION'!$A:$A,'3-TECHNICAL TABULATION'!B:B)="","",_xlfn.XLOOKUP($A108,'3-TECHNICAL TABULATION'!$A:$A,'3-TECHNICAL TABULATION'!B:B)),"")</f>
        <v>[yes/no]</v>
      </c>
      <c r="C108" s="38" t="str">
        <f>IFERROR(IF(_xlfn.XLOOKUP($A108,'3-TECHNICAL TABULATION'!$A:$A,'3-TECHNICAL TABULATION'!C:C)="","",_xlfn.XLOOKUP($A108,'3-TECHNICAL TABULATION'!$A:$A,'3-TECHNICAL TABULATION'!C:C)),"")</f>
        <v/>
      </c>
      <c r="D108" s="79" t="str">
        <f>IFERROR(IF(_xlfn.XLOOKUP($A108,'3-TECHNICAL TABULATION'!$A:$A,'3-TECHNICAL TABULATION'!D:D)="","",_xlfn.XLOOKUP($A108,'3-TECHNICAL TABULATION'!$A:$A,'3-TECHNICAL TABULATION'!D:D)),"")</f>
        <v/>
      </c>
    </row>
    <row r="109" spans="1:4" x14ac:dyDescent="0.25">
      <c r="A109" s="91" t="s">
        <v>452</v>
      </c>
      <c r="B109" s="50" t="str">
        <f>IFERROR(IF(_xlfn.XLOOKUP($A109,'3-TECHNICAL TABULATION'!$A:$A,'3-TECHNICAL TABULATION'!B:B)="","",_xlfn.XLOOKUP($A109,'3-TECHNICAL TABULATION'!$A:$A,'3-TECHNICAL TABULATION'!B:B)),"")</f>
        <v>[yes/no]</v>
      </c>
      <c r="C109" s="38" t="str">
        <f>IFERROR(IF(_xlfn.XLOOKUP($A109,'3-TECHNICAL TABULATION'!$A:$A,'3-TECHNICAL TABULATION'!C:C)="","",_xlfn.XLOOKUP($A109,'3-TECHNICAL TABULATION'!$A:$A,'3-TECHNICAL TABULATION'!C:C)),"")</f>
        <v/>
      </c>
      <c r="D109" s="79" t="str">
        <f>IFERROR(IF(_xlfn.XLOOKUP($A109,'3-TECHNICAL TABULATION'!$A:$A,'3-TECHNICAL TABULATION'!D:D)="","",_xlfn.XLOOKUP($A109,'3-TECHNICAL TABULATION'!$A:$A,'3-TECHNICAL TABULATION'!D:D)),"")</f>
        <v/>
      </c>
    </row>
    <row r="110" spans="1:4" x14ac:dyDescent="0.25">
      <c r="A110" s="91" t="s">
        <v>453</v>
      </c>
      <c r="B110" s="50" t="str">
        <f>IFERROR(IF(_xlfn.XLOOKUP($A110,'3-TECHNICAL TABULATION'!$A:$A,'3-TECHNICAL TABULATION'!B:B)="","",_xlfn.XLOOKUP($A110,'3-TECHNICAL TABULATION'!$A:$A,'3-TECHNICAL TABULATION'!B:B)),"")</f>
        <v>[yes/no]</v>
      </c>
      <c r="C110" s="38" t="str">
        <f>IFERROR(IF(_xlfn.XLOOKUP($A110,'3-TECHNICAL TABULATION'!$A:$A,'3-TECHNICAL TABULATION'!C:C)="","",_xlfn.XLOOKUP($A110,'3-TECHNICAL TABULATION'!$A:$A,'3-TECHNICAL TABULATION'!C:C)),"")</f>
        <v/>
      </c>
      <c r="D110" s="79" t="str">
        <f>IFERROR(IF(_xlfn.XLOOKUP($A110,'3-TECHNICAL TABULATION'!$A:$A,'3-TECHNICAL TABULATION'!D:D)="","",_xlfn.XLOOKUP($A110,'3-TECHNICAL TABULATION'!$A:$A,'3-TECHNICAL TABULATION'!D:D)),"")</f>
        <v/>
      </c>
    </row>
    <row r="111" spans="1:4" x14ac:dyDescent="0.25">
      <c r="A111" s="91" t="s">
        <v>454</v>
      </c>
      <c r="B111" s="50" t="str">
        <f>IFERROR(IF(_xlfn.XLOOKUP($A111,'3-TECHNICAL TABULATION'!$A:$A,'3-TECHNICAL TABULATION'!B:B)="","",_xlfn.XLOOKUP($A111,'3-TECHNICAL TABULATION'!$A:$A,'3-TECHNICAL TABULATION'!B:B)),"")</f>
        <v>[yes/no]</v>
      </c>
      <c r="C111" s="38" t="str">
        <f>IFERROR(IF(_xlfn.XLOOKUP($A111,'3-TECHNICAL TABULATION'!$A:$A,'3-TECHNICAL TABULATION'!C:C)="","",_xlfn.XLOOKUP($A111,'3-TECHNICAL TABULATION'!$A:$A,'3-TECHNICAL TABULATION'!C:C)),"")</f>
        <v/>
      </c>
      <c r="D111" s="79" t="str">
        <f>IFERROR(IF(_xlfn.XLOOKUP($A111,'3-TECHNICAL TABULATION'!$A:$A,'3-TECHNICAL TABULATION'!D:D)="","",_xlfn.XLOOKUP($A111,'3-TECHNICAL TABULATION'!$A:$A,'3-TECHNICAL TABULATION'!D:D)),"")</f>
        <v/>
      </c>
    </row>
    <row r="112" spans="1:4" ht="15.75" thickBot="1" x14ac:dyDescent="0.3">
      <c r="A112" s="91" t="s">
        <v>455</v>
      </c>
      <c r="B112" s="50" t="str">
        <f>IFERROR(IF(_xlfn.XLOOKUP($A112,'3-TECHNICAL TABULATION'!$A:$A,'3-TECHNICAL TABULATION'!B:B)="","",_xlfn.XLOOKUP($A112,'3-TECHNICAL TABULATION'!$A:$A,'3-TECHNICAL TABULATION'!B:B)),"")</f>
        <v>[yes/no]</v>
      </c>
      <c r="C112" s="38" t="str">
        <f>IFERROR(IF(_xlfn.XLOOKUP($A112,'3-TECHNICAL TABULATION'!$A:$A,'3-TECHNICAL TABULATION'!C:C)="","",_xlfn.XLOOKUP($A112,'3-TECHNICAL TABULATION'!$A:$A,'3-TECHNICAL TABULATION'!C:C)),"")</f>
        <v/>
      </c>
      <c r="D112" s="79" t="str">
        <f>IFERROR(IF(_xlfn.XLOOKUP($A112,'3-TECHNICAL TABULATION'!$A:$A,'3-TECHNICAL TABULATION'!D:D)="","",_xlfn.XLOOKUP($A112,'3-TECHNICAL TABULATION'!$A:$A,'3-TECHNICAL TABULATION'!D:D)),"")</f>
        <v/>
      </c>
    </row>
    <row r="113" spans="1:4" s="3" customFormat="1" ht="30.75" thickBot="1" x14ac:dyDescent="0.3">
      <c r="A113" s="106" t="s">
        <v>493</v>
      </c>
      <c r="B113" s="212"/>
      <c r="C113" s="212" t="str">
        <f>'3-TECHNICAL TABULATION'!C324</f>
        <v>Action description / Action result</v>
      </c>
      <c r="D113" s="213" t="str">
        <f>'3-TECHNICAL TABULATION'!D324</f>
        <v>Action owner /     Date of Action result</v>
      </c>
    </row>
    <row r="114" spans="1:4" x14ac:dyDescent="0.25">
      <c r="A114" s="107" t="s">
        <v>316</v>
      </c>
      <c r="B114" s="214" t="str">
        <f>IFERROR(IF(_xlfn.XLOOKUP($A114,'3-TECHNICAL TABULATION'!$A:$A,'3-TECHNICAL TABULATION'!B:B)="","",_xlfn.XLOOKUP($A114,'3-TECHNICAL TABULATION'!$A:$A,'3-TECHNICAL TABULATION'!B:B)),"")</f>
        <v/>
      </c>
      <c r="C114" s="215" t="str">
        <f>IFERROR(IF(_xlfn.XLOOKUP($A114,'3-TECHNICAL TABULATION'!$A:$A,'3-TECHNICAL TABULATION'!C:C)="","",_xlfn.XLOOKUP($A114,'3-TECHNICAL TABULATION'!$A:$A,'3-TECHNICAL TABULATION'!C:C)),"")</f>
        <v/>
      </c>
      <c r="D114" s="216" t="str">
        <f>IFERROR(IF(_xlfn.XLOOKUP($A114,'3-TECHNICAL TABULATION'!$A:$A,'3-TECHNICAL TABULATION'!D:D)="","",_xlfn.XLOOKUP($A114,'3-TECHNICAL TABULATION'!$A:$A,'3-TECHNICAL TABULATION'!D:D)),"")</f>
        <v/>
      </c>
    </row>
    <row r="115" spans="1:4" ht="15.75" thickBot="1" x14ac:dyDescent="0.3">
      <c r="A115" s="108" t="s">
        <v>369</v>
      </c>
      <c r="B115" s="217" t="str">
        <f>IFERROR(IF(_xlfn.XLOOKUP($A115,'3-TECHNICAL TABULATION'!$A:$A,'3-TECHNICAL TABULATION'!B:B)="","",_xlfn.XLOOKUP($A115,'3-TECHNICAL TABULATION'!$A:$A,'3-TECHNICAL TABULATION'!B:B)),"")</f>
        <v/>
      </c>
      <c r="C115" s="80" t="str">
        <f>IFERROR(IF(_xlfn.XLOOKUP($A115,'3-TECHNICAL TABULATION'!$A:$A,'3-TECHNICAL TABULATION'!C:C)="","",_xlfn.XLOOKUP($A115,'3-TECHNICAL TABULATION'!$A:$A,'3-TECHNICAL TABULATION'!C:C)),"")</f>
        <v/>
      </c>
      <c r="D115" s="81" t="str">
        <f>IFERROR(IF(_xlfn.XLOOKUP($A115,'3-TECHNICAL TABULATION'!$A:$A,'3-TECHNICAL TABULATION'!D:D)="","",_xlfn.XLOOKUP($A115,'3-TECHNICAL TABULATION'!$A:$A,'3-TECHNICAL TABULATION'!D:D)),"")</f>
        <v/>
      </c>
    </row>
    <row r="116" spans="1:4" x14ac:dyDescent="0.25">
      <c r="A116" s="107" t="s">
        <v>317</v>
      </c>
      <c r="B116" s="214" t="str">
        <f>IFERROR(IF(_xlfn.XLOOKUP($A116,'3-TECHNICAL TABULATION'!$A:$A,'3-TECHNICAL TABULATION'!B:B)="","",_xlfn.XLOOKUP($A116,'3-TECHNICAL TABULATION'!$A:$A,'3-TECHNICAL TABULATION'!B:B)),"")</f>
        <v/>
      </c>
      <c r="C116" s="215" t="str">
        <f>IFERROR(IF(_xlfn.XLOOKUP($A116,'3-TECHNICAL TABULATION'!$A:$A,'3-TECHNICAL TABULATION'!C:C)="","",_xlfn.XLOOKUP($A116,'3-TECHNICAL TABULATION'!$A:$A,'3-TECHNICAL TABULATION'!C:C)),"")</f>
        <v/>
      </c>
      <c r="D116" s="216" t="str">
        <f>IFERROR(IF(_xlfn.XLOOKUP($A116,'3-TECHNICAL TABULATION'!$A:$A,'3-TECHNICAL TABULATION'!D:D)="","",_xlfn.XLOOKUP($A116,'3-TECHNICAL TABULATION'!$A:$A,'3-TECHNICAL TABULATION'!D:D)),"")</f>
        <v/>
      </c>
    </row>
    <row r="117" spans="1:4" ht="15.75" thickBot="1" x14ac:dyDescent="0.3">
      <c r="A117" s="108" t="s">
        <v>370</v>
      </c>
      <c r="B117" s="217" t="str">
        <f>IFERROR(IF(_xlfn.XLOOKUP($A117,'3-TECHNICAL TABULATION'!$A:$A,'3-TECHNICAL TABULATION'!B:B)="","",_xlfn.XLOOKUP($A117,'3-TECHNICAL TABULATION'!$A:$A,'3-TECHNICAL TABULATION'!B:B)),"")</f>
        <v/>
      </c>
      <c r="C117" s="80" t="str">
        <f>IFERROR(IF(_xlfn.XLOOKUP($A117,'3-TECHNICAL TABULATION'!$A:$A,'3-TECHNICAL TABULATION'!C:C)="","",_xlfn.XLOOKUP($A117,'3-TECHNICAL TABULATION'!$A:$A,'3-TECHNICAL TABULATION'!C:C)),"")</f>
        <v/>
      </c>
      <c r="D117" s="81" t="str">
        <f>IFERROR(IF(_xlfn.XLOOKUP($A117,'3-TECHNICAL TABULATION'!$A:$A,'3-TECHNICAL TABULATION'!D:D)="","",_xlfn.XLOOKUP($A117,'3-TECHNICAL TABULATION'!$A:$A,'3-TECHNICAL TABULATION'!D:D)),"")</f>
        <v/>
      </c>
    </row>
    <row r="118" spans="1:4" x14ac:dyDescent="0.25">
      <c r="A118" s="107" t="s">
        <v>318</v>
      </c>
      <c r="B118" s="214" t="str">
        <f>IFERROR(IF(_xlfn.XLOOKUP($A118,'3-TECHNICAL TABULATION'!$A:$A,'3-TECHNICAL TABULATION'!B:B)="","",_xlfn.XLOOKUP($A118,'3-TECHNICAL TABULATION'!$A:$A,'3-TECHNICAL TABULATION'!B:B)),"")</f>
        <v/>
      </c>
      <c r="C118" s="215" t="str">
        <f>IFERROR(IF(_xlfn.XLOOKUP($A118,'3-TECHNICAL TABULATION'!$A:$A,'3-TECHNICAL TABULATION'!C:C)="","",_xlfn.XLOOKUP($A118,'3-TECHNICAL TABULATION'!$A:$A,'3-TECHNICAL TABULATION'!C:C)),"")</f>
        <v/>
      </c>
      <c r="D118" s="216" t="str">
        <f>IFERROR(IF(_xlfn.XLOOKUP($A118,'3-TECHNICAL TABULATION'!$A:$A,'3-TECHNICAL TABULATION'!D:D)="","",_xlfn.XLOOKUP($A118,'3-TECHNICAL TABULATION'!$A:$A,'3-TECHNICAL TABULATION'!D:D)),"")</f>
        <v/>
      </c>
    </row>
    <row r="119" spans="1:4" ht="15.75" thickBot="1" x14ac:dyDescent="0.3">
      <c r="A119" s="108" t="s">
        <v>371</v>
      </c>
      <c r="B119" s="217" t="str">
        <f>IFERROR(IF(_xlfn.XLOOKUP($A119,'3-TECHNICAL TABULATION'!$A:$A,'3-TECHNICAL TABULATION'!B:B)="","",_xlfn.XLOOKUP($A119,'3-TECHNICAL TABULATION'!$A:$A,'3-TECHNICAL TABULATION'!B:B)),"")</f>
        <v/>
      </c>
      <c r="C119" s="80" t="str">
        <f>IFERROR(IF(_xlfn.XLOOKUP($A119,'3-TECHNICAL TABULATION'!$A:$A,'3-TECHNICAL TABULATION'!C:C)="","",_xlfn.XLOOKUP($A119,'3-TECHNICAL TABULATION'!$A:$A,'3-TECHNICAL TABULATION'!C:C)),"")</f>
        <v/>
      </c>
      <c r="D119" s="81" t="str">
        <f>IFERROR(IF(_xlfn.XLOOKUP($A119,'3-TECHNICAL TABULATION'!$A:$A,'3-TECHNICAL TABULATION'!D:D)="","",_xlfn.XLOOKUP($A119,'3-TECHNICAL TABULATION'!$A:$A,'3-TECHNICAL TABULATION'!D:D)),"")</f>
        <v/>
      </c>
    </row>
    <row r="120" spans="1:4" x14ac:dyDescent="0.25">
      <c r="A120" s="107" t="s">
        <v>319</v>
      </c>
      <c r="B120" s="214" t="str">
        <f>IFERROR(IF(_xlfn.XLOOKUP($A120,'3-TECHNICAL TABULATION'!$A:$A,'3-TECHNICAL TABULATION'!B:B)="","",_xlfn.XLOOKUP($A120,'3-TECHNICAL TABULATION'!$A:$A,'3-TECHNICAL TABULATION'!B:B)),"")</f>
        <v/>
      </c>
      <c r="C120" s="215" t="str">
        <f>IFERROR(IF(_xlfn.XLOOKUP($A120,'3-TECHNICAL TABULATION'!$A:$A,'3-TECHNICAL TABULATION'!C:C)="","",_xlfn.XLOOKUP($A120,'3-TECHNICAL TABULATION'!$A:$A,'3-TECHNICAL TABULATION'!C:C)),"")</f>
        <v/>
      </c>
      <c r="D120" s="216" t="str">
        <f>IFERROR(IF(_xlfn.XLOOKUP($A120,'3-TECHNICAL TABULATION'!$A:$A,'3-TECHNICAL TABULATION'!D:D)="","",_xlfn.XLOOKUP($A120,'3-TECHNICAL TABULATION'!$A:$A,'3-TECHNICAL TABULATION'!D:D)),"")</f>
        <v/>
      </c>
    </row>
    <row r="121" spans="1:4" ht="15.75" thickBot="1" x14ac:dyDescent="0.3">
      <c r="A121" s="108" t="s">
        <v>372</v>
      </c>
      <c r="B121" s="217" t="str">
        <f>IFERROR(IF(_xlfn.XLOOKUP($A121,'3-TECHNICAL TABULATION'!$A:$A,'3-TECHNICAL TABULATION'!B:B)="","",_xlfn.XLOOKUP($A121,'3-TECHNICAL TABULATION'!$A:$A,'3-TECHNICAL TABULATION'!B:B)),"")</f>
        <v/>
      </c>
      <c r="C121" s="80" t="str">
        <f>IFERROR(IF(_xlfn.XLOOKUP($A121,'3-TECHNICAL TABULATION'!$A:$A,'3-TECHNICAL TABULATION'!C:C)="","",_xlfn.XLOOKUP($A121,'3-TECHNICAL TABULATION'!$A:$A,'3-TECHNICAL TABULATION'!C:C)),"")</f>
        <v/>
      </c>
      <c r="D121" s="81" t="str">
        <f>IFERROR(IF(_xlfn.XLOOKUP($A121,'3-TECHNICAL TABULATION'!$A:$A,'3-TECHNICAL TABULATION'!D:D)="","",_xlfn.XLOOKUP($A121,'3-TECHNICAL TABULATION'!$A:$A,'3-TECHNICAL TABULATION'!D:D)),"")</f>
        <v/>
      </c>
    </row>
    <row r="122" spans="1:4" x14ac:dyDescent="0.25">
      <c r="A122" s="107" t="s">
        <v>320</v>
      </c>
      <c r="B122" s="214" t="str">
        <f>IFERROR(IF(_xlfn.XLOOKUP($A122,'3-TECHNICAL TABULATION'!$A:$A,'3-TECHNICAL TABULATION'!B:B)="","",_xlfn.XLOOKUP($A122,'3-TECHNICAL TABULATION'!$A:$A,'3-TECHNICAL TABULATION'!B:B)),"")</f>
        <v/>
      </c>
      <c r="C122" s="215" t="str">
        <f>IFERROR(IF(_xlfn.XLOOKUP($A122,'3-TECHNICAL TABULATION'!$A:$A,'3-TECHNICAL TABULATION'!C:C)="","",_xlfn.XLOOKUP($A122,'3-TECHNICAL TABULATION'!$A:$A,'3-TECHNICAL TABULATION'!C:C)),"")</f>
        <v/>
      </c>
      <c r="D122" s="216" t="str">
        <f>IFERROR(IF(_xlfn.XLOOKUP($A122,'3-TECHNICAL TABULATION'!$A:$A,'3-TECHNICAL TABULATION'!D:D)="","",_xlfn.XLOOKUP($A122,'3-TECHNICAL TABULATION'!$A:$A,'3-TECHNICAL TABULATION'!D:D)),"")</f>
        <v/>
      </c>
    </row>
    <row r="123" spans="1:4" ht="15.75" thickBot="1" x14ac:dyDescent="0.3">
      <c r="A123" s="108" t="s">
        <v>373</v>
      </c>
      <c r="B123" s="217" t="str">
        <f>IFERROR(IF(_xlfn.XLOOKUP($A123,'3-TECHNICAL TABULATION'!$A:$A,'3-TECHNICAL TABULATION'!B:B)="","",_xlfn.XLOOKUP($A123,'3-TECHNICAL TABULATION'!$A:$A,'3-TECHNICAL TABULATION'!B:B)),"")</f>
        <v/>
      </c>
      <c r="C123" s="80" t="str">
        <f>IFERROR(IF(_xlfn.XLOOKUP($A123,'3-TECHNICAL TABULATION'!$A:$A,'3-TECHNICAL TABULATION'!C:C)="","",_xlfn.XLOOKUP($A123,'3-TECHNICAL TABULATION'!$A:$A,'3-TECHNICAL TABULATION'!C:C)),"")</f>
        <v/>
      </c>
      <c r="D123" s="81" t="str">
        <f>IFERROR(IF(_xlfn.XLOOKUP($A123,'3-TECHNICAL TABULATION'!$A:$A,'3-TECHNICAL TABULATION'!D:D)="","",_xlfn.XLOOKUP($A123,'3-TECHNICAL TABULATION'!$A:$A,'3-TECHNICAL TABULATION'!D:D)),"")</f>
        <v/>
      </c>
    </row>
    <row r="124" spans="1:4" x14ac:dyDescent="0.25">
      <c r="A124" s="107" t="s">
        <v>321</v>
      </c>
      <c r="B124" s="214" t="str">
        <f>IFERROR(IF(_xlfn.XLOOKUP($A124,'3-TECHNICAL TABULATION'!$A:$A,'3-TECHNICAL TABULATION'!B:B)="","",_xlfn.XLOOKUP($A124,'3-TECHNICAL TABULATION'!$A:$A,'3-TECHNICAL TABULATION'!B:B)),"")</f>
        <v/>
      </c>
      <c r="C124" s="215" t="str">
        <f>IFERROR(IF(_xlfn.XLOOKUP($A124,'3-TECHNICAL TABULATION'!$A:$A,'3-TECHNICAL TABULATION'!C:C)="","",_xlfn.XLOOKUP($A124,'3-TECHNICAL TABULATION'!$A:$A,'3-TECHNICAL TABULATION'!C:C)),"")</f>
        <v/>
      </c>
      <c r="D124" s="216" t="str">
        <f>IFERROR(IF(_xlfn.XLOOKUP($A124,'3-TECHNICAL TABULATION'!$A:$A,'3-TECHNICAL TABULATION'!D:D)="","",_xlfn.XLOOKUP($A124,'3-TECHNICAL TABULATION'!$A:$A,'3-TECHNICAL TABULATION'!D:D)),"")</f>
        <v/>
      </c>
    </row>
    <row r="125" spans="1:4" ht="15.75" thickBot="1" x14ac:dyDescent="0.3">
      <c r="A125" s="108" t="s">
        <v>374</v>
      </c>
      <c r="B125" s="217" t="str">
        <f>IFERROR(IF(_xlfn.XLOOKUP($A125,'3-TECHNICAL TABULATION'!$A:$A,'3-TECHNICAL TABULATION'!B:B)="","",_xlfn.XLOOKUP($A125,'3-TECHNICAL TABULATION'!$A:$A,'3-TECHNICAL TABULATION'!B:B)),"")</f>
        <v/>
      </c>
      <c r="C125" s="80" t="str">
        <f>IFERROR(IF(_xlfn.XLOOKUP($A125,'3-TECHNICAL TABULATION'!$A:$A,'3-TECHNICAL TABULATION'!C:C)="","",_xlfn.XLOOKUP($A125,'3-TECHNICAL TABULATION'!$A:$A,'3-TECHNICAL TABULATION'!C:C)),"")</f>
        <v/>
      </c>
      <c r="D125" s="81" t="str">
        <f>IFERROR(IF(_xlfn.XLOOKUP($A125,'3-TECHNICAL TABULATION'!$A:$A,'3-TECHNICAL TABULATION'!D:D)="","",_xlfn.XLOOKUP($A125,'3-TECHNICAL TABULATION'!$A:$A,'3-TECHNICAL TABULATION'!D:D)),"")</f>
        <v/>
      </c>
    </row>
    <row r="126" spans="1:4" x14ac:dyDescent="0.25">
      <c r="A126" s="107" t="s">
        <v>322</v>
      </c>
      <c r="B126" s="214" t="str">
        <f>IFERROR(IF(_xlfn.XLOOKUP($A126,'3-TECHNICAL TABULATION'!$A:$A,'3-TECHNICAL TABULATION'!B:B)="","",_xlfn.XLOOKUP($A126,'3-TECHNICAL TABULATION'!$A:$A,'3-TECHNICAL TABULATION'!B:B)),"")</f>
        <v/>
      </c>
      <c r="C126" s="215" t="str">
        <f>IFERROR(IF(_xlfn.XLOOKUP($A126,'3-TECHNICAL TABULATION'!$A:$A,'3-TECHNICAL TABULATION'!C:C)="","",_xlfn.XLOOKUP($A126,'3-TECHNICAL TABULATION'!$A:$A,'3-TECHNICAL TABULATION'!C:C)),"")</f>
        <v/>
      </c>
      <c r="D126" s="216" t="str">
        <f>IFERROR(IF(_xlfn.XLOOKUP($A126,'3-TECHNICAL TABULATION'!$A:$A,'3-TECHNICAL TABULATION'!D:D)="","",_xlfn.XLOOKUP($A126,'3-TECHNICAL TABULATION'!$A:$A,'3-TECHNICAL TABULATION'!D:D)),"")</f>
        <v/>
      </c>
    </row>
    <row r="127" spans="1:4" ht="15.75" thickBot="1" x14ac:dyDescent="0.3">
      <c r="A127" s="108" t="s">
        <v>375</v>
      </c>
      <c r="B127" s="217" t="str">
        <f>IFERROR(IF(_xlfn.XLOOKUP($A127,'3-TECHNICAL TABULATION'!$A:$A,'3-TECHNICAL TABULATION'!B:B)="","",_xlfn.XLOOKUP($A127,'3-TECHNICAL TABULATION'!$A:$A,'3-TECHNICAL TABULATION'!B:B)),"")</f>
        <v/>
      </c>
      <c r="C127" s="80" t="str">
        <f>IFERROR(IF(_xlfn.XLOOKUP($A127,'3-TECHNICAL TABULATION'!$A:$A,'3-TECHNICAL TABULATION'!C:C)="","",_xlfn.XLOOKUP($A127,'3-TECHNICAL TABULATION'!$A:$A,'3-TECHNICAL TABULATION'!C:C)),"")</f>
        <v/>
      </c>
      <c r="D127" s="81" t="str">
        <f>IFERROR(IF(_xlfn.XLOOKUP($A127,'3-TECHNICAL TABULATION'!$A:$A,'3-TECHNICAL TABULATION'!D:D)="","",_xlfn.XLOOKUP($A127,'3-TECHNICAL TABULATION'!$A:$A,'3-TECHNICAL TABULATION'!D:D)),"")</f>
        <v/>
      </c>
    </row>
    <row r="128" spans="1:4" x14ac:dyDescent="0.25">
      <c r="A128" s="107" t="s">
        <v>323</v>
      </c>
      <c r="B128" s="214" t="str">
        <f>IFERROR(IF(_xlfn.XLOOKUP($A128,'3-TECHNICAL TABULATION'!$A:$A,'3-TECHNICAL TABULATION'!B:B)="","",_xlfn.XLOOKUP($A128,'3-TECHNICAL TABULATION'!$A:$A,'3-TECHNICAL TABULATION'!B:B)),"")</f>
        <v/>
      </c>
      <c r="C128" s="215" t="str">
        <f>IFERROR(IF(_xlfn.XLOOKUP($A128,'3-TECHNICAL TABULATION'!$A:$A,'3-TECHNICAL TABULATION'!C:C)="","",_xlfn.XLOOKUP($A128,'3-TECHNICAL TABULATION'!$A:$A,'3-TECHNICAL TABULATION'!C:C)),"")</f>
        <v/>
      </c>
      <c r="D128" s="216" t="str">
        <f>IFERROR(IF(_xlfn.XLOOKUP($A128,'3-TECHNICAL TABULATION'!$A:$A,'3-TECHNICAL TABULATION'!D:D)="","",_xlfn.XLOOKUP($A128,'3-TECHNICAL TABULATION'!$A:$A,'3-TECHNICAL TABULATION'!D:D)),"")</f>
        <v/>
      </c>
    </row>
    <row r="129" spans="1:4" ht="15.75" thickBot="1" x14ac:dyDescent="0.3">
      <c r="A129" s="108" t="s">
        <v>376</v>
      </c>
      <c r="B129" s="217" t="str">
        <f>IFERROR(IF(_xlfn.XLOOKUP($A129,'3-TECHNICAL TABULATION'!$A:$A,'3-TECHNICAL TABULATION'!B:B)="","",_xlfn.XLOOKUP($A129,'3-TECHNICAL TABULATION'!$A:$A,'3-TECHNICAL TABULATION'!B:B)),"")</f>
        <v/>
      </c>
      <c r="C129" s="80" t="str">
        <f>IFERROR(IF(_xlfn.XLOOKUP($A129,'3-TECHNICAL TABULATION'!$A:$A,'3-TECHNICAL TABULATION'!C:C)="","",_xlfn.XLOOKUP($A129,'3-TECHNICAL TABULATION'!$A:$A,'3-TECHNICAL TABULATION'!C:C)),"")</f>
        <v/>
      </c>
      <c r="D129" s="81" t="str">
        <f>IFERROR(IF(_xlfn.XLOOKUP($A129,'3-TECHNICAL TABULATION'!$A:$A,'3-TECHNICAL TABULATION'!D:D)="","",_xlfn.XLOOKUP($A129,'3-TECHNICAL TABULATION'!$A:$A,'3-TECHNICAL TABULATION'!D:D)),"")</f>
        <v/>
      </c>
    </row>
    <row r="130" spans="1:4" x14ac:dyDescent="0.25">
      <c r="A130" s="107" t="s">
        <v>324</v>
      </c>
      <c r="B130" s="214" t="str">
        <f>IFERROR(IF(_xlfn.XLOOKUP($A130,'3-TECHNICAL TABULATION'!$A:$A,'3-TECHNICAL TABULATION'!B:B)="","",_xlfn.XLOOKUP($A130,'3-TECHNICAL TABULATION'!$A:$A,'3-TECHNICAL TABULATION'!B:B)),"")</f>
        <v/>
      </c>
      <c r="C130" s="215" t="str">
        <f>IFERROR(IF(_xlfn.XLOOKUP($A130,'3-TECHNICAL TABULATION'!$A:$A,'3-TECHNICAL TABULATION'!C:C)="","",_xlfn.XLOOKUP($A130,'3-TECHNICAL TABULATION'!$A:$A,'3-TECHNICAL TABULATION'!C:C)),"")</f>
        <v/>
      </c>
      <c r="D130" s="216" t="str">
        <f>IFERROR(IF(_xlfn.XLOOKUP($A130,'3-TECHNICAL TABULATION'!$A:$A,'3-TECHNICAL TABULATION'!D:D)="","",_xlfn.XLOOKUP($A130,'3-TECHNICAL TABULATION'!$A:$A,'3-TECHNICAL TABULATION'!D:D)),"")</f>
        <v/>
      </c>
    </row>
    <row r="131" spans="1:4" ht="15.75" thickBot="1" x14ac:dyDescent="0.3">
      <c r="A131" s="108" t="s">
        <v>377</v>
      </c>
      <c r="B131" s="217" t="str">
        <f>IFERROR(IF(_xlfn.XLOOKUP($A131,'3-TECHNICAL TABULATION'!$A:$A,'3-TECHNICAL TABULATION'!B:B)="","",_xlfn.XLOOKUP($A131,'3-TECHNICAL TABULATION'!$A:$A,'3-TECHNICAL TABULATION'!B:B)),"")</f>
        <v/>
      </c>
      <c r="C131" s="80" t="str">
        <f>IFERROR(IF(_xlfn.XLOOKUP($A131,'3-TECHNICAL TABULATION'!$A:$A,'3-TECHNICAL TABULATION'!C:C)="","",_xlfn.XLOOKUP($A131,'3-TECHNICAL TABULATION'!$A:$A,'3-TECHNICAL TABULATION'!C:C)),"")</f>
        <v/>
      </c>
      <c r="D131" s="81" t="str">
        <f>IFERROR(IF(_xlfn.XLOOKUP($A131,'3-TECHNICAL TABULATION'!$A:$A,'3-TECHNICAL TABULATION'!D:D)="","",_xlfn.XLOOKUP($A131,'3-TECHNICAL TABULATION'!$A:$A,'3-TECHNICAL TABULATION'!D:D)),"")</f>
        <v/>
      </c>
    </row>
    <row r="132" spans="1:4" x14ac:dyDescent="0.25">
      <c r="A132" s="107" t="s">
        <v>325</v>
      </c>
      <c r="B132" s="214" t="str">
        <f>IFERROR(IF(_xlfn.XLOOKUP($A132,'3-TECHNICAL TABULATION'!$A:$A,'3-TECHNICAL TABULATION'!B:B)="","",_xlfn.XLOOKUP($A132,'3-TECHNICAL TABULATION'!$A:$A,'3-TECHNICAL TABULATION'!B:B)),"")</f>
        <v/>
      </c>
      <c r="C132" s="215" t="str">
        <f>IFERROR(IF(_xlfn.XLOOKUP($A132,'3-TECHNICAL TABULATION'!$A:$A,'3-TECHNICAL TABULATION'!C:C)="","",_xlfn.XLOOKUP($A132,'3-TECHNICAL TABULATION'!$A:$A,'3-TECHNICAL TABULATION'!C:C)),"")</f>
        <v/>
      </c>
      <c r="D132" s="216" t="str">
        <f>IFERROR(IF(_xlfn.XLOOKUP($A132,'3-TECHNICAL TABULATION'!$A:$A,'3-TECHNICAL TABULATION'!D:D)="","",_xlfn.XLOOKUP($A132,'3-TECHNICAL TABULATION'!$A:$A,'3-TECHNICAL TABULATION'!D:D)),"")</f>
        <v/>
      </c>
    </row>
    <row r="133" spans="1:4" ht="15.75" thickBot="1" x14ac:dyDescent="0.3">
      <c r="A133" s="108" t="s">
        <v>378</v>
      </c>
      <c r="B133" s="217" t="str">
        <f>IFERROR(IF(_xlfn.XLOOKUP($A133,'3-TECHNICAL TABULATION'!$A:$A,'3-TECHNICAL TABULATION'!B:B)="","",_xlfn.XLOOKUP($A133,'3-TECHNICAL TABULATION'!$A:$A,'3-TECHNICAL TABULATION'!B:B)),"")</f>
        <v/>
      </c>
      <c r="C133" s="80" t="str">
        <f>IFERROR(IF(_xlfn.XLOOKUP($A133,'3-TECHNICAL TABULATION'!$A:$A,'3-TECHNICAL TABULATION'!C:C)="","",_xlfn.XLOOKUP($A133,'3-TECHNICAL TABULATION'!$A:$A,'3-TECHNICAL TABULATION'!C:C)),"")</f>
        <v/>
      </c>
      <c r="D133" s="81" t="str">
        <f>IFERROR(IF(_xlfn.XLOOKUP($A133,'3-TECHNICAL TABULATION'!$A:$A,'3-TECHNICAL TABULATION'!D:D)="","",_xlfn.XLOOKUP($A133,'3-TECHNICAL TABULATION'!$A:$A,'3-TECHNICAL TABULATION'!D:D)),"")</f>
        <v/>
      </c>
    </row>
    <row r="134" spans="1:4" x14ac:dyDescent="0.25">
      <c r="A134" s="107" t="s">
        <v>341</v>
      </c>
      <c r="B134" s="214" t="str">
        <f>IFERROR(IF(_xlfn.XLOOKUP($A134,'3-TECHNICAL TABULATION'!$A:$A,'3-TECHNICAL TABULATION'!B:B)="","",_xlfn.XLOOKUP($A134,'3-TECHNICAL TABULATION'!$A:$A,'3-TECHNICAL TABULATION'!B:B)),"")</f>
        <v/>
      </c>
      <c r="C134" s="215" t="str">
        <f>IFERROR(IF(_xlfn.XLOOKUP($A134,'3-TECHNICAL TABULATION'!$A:$A,'3-TECHNICAL TABULATION'!C:C)="","",_xlfn.XLOOKUP($A134,'3-TECHNICAL TABULATION'!$A:$A,'3-TECHNICAL TABULATION'!C:C)),"")</f>
        <v/>
      </c>
      <c r="D134" s="216" t="str">
        <f>IFERROR(IF(_xlfn.XLOOKUP($A134,'3-TECHNICAL TABULATION'!$A:$A,'3-TECHNICAL TABULATION'!D:D)="","",_xlfn.XLOOKUP($A134,'3-TECHNICAL TABULATION'!$A:$A,'3-TECHNICAL TABULATION'!D:D)),"")</f>
        <v/>
      </c>
    </row>
    <row r="135" spans="1:4" ht="15.75" thickBot="1" x14ac:dyDescent="0.3">
      <c r="A135" s="108" t="s">
        <v>379</v>
      </c>
      <c r="B135" s="217" t="str">
        <f>IFERROR(IF(_xlfn.XLOOKUP($A135,'3-TECHNICAL TABULATION'!$A:$A,'3-TECHNICAL TABULATION'!B:B)="","",_xlfn.XLOOKUP($A135,'3-TECHNICAL TABULATION'!$A:$A,'3-TECHNICAL TABULATION'!B:B)),"")</f>
        <v/>
      </c>
      <c r="C135" s="80" t="str">
        <f>IFERROR(IF(_xlfn.XLOOKUP($A135,'3-TECHNICAL TABULATION'!$A:$A,'3-TECHNICAL TABULATION'!C:C)="","",_xlfn.XLOOKUP($A135,'3-TECHNICAL TABULATION'!$A:$A,'3-TECHNICAL TABULATION'!C:C)),"")</f>
        <v/>
      </c>
      <c r="D135" s="81" t="str">
        <f>IFERROR(IF(_xlfn.XLOOKUP($A135,'3-TECHNICAL TABULATION'!$A:$A,'3-TECHNICAL TABULATION'!D:D)="","",_xlfn.XLOOKUP($A135,'3-TECHNICAL TABULATION'!$A:$A,'3-TECHNICAL TABULATION'!D:D)),"")</f>
        <v/>
      </c>
    </row>
    <row r="136" spans="1:4" x14ac:dyDescent="0.25">
      <c r="A136" s="107" t="s">
        <v>503</v>
      </c>
      <c r="B136" s="214" t="str">
        <f>IFERROR(IF(_xlfn.XLOOKUP($A136,'3-TECHNICAL TABULATION'!$A:$A,'3-TECHNICAL TABULATION'!B:B)="","",_xlfn.XLOOKUP($A136,'3-TECHNICAL TABULATION'!$A:$A,'3-TECHNICAL TABULATION'!B:B)),"")</f>
        <v/>
      </c>
      <c r="C136" s="215" t="str">
        <f>IFERROR(IF(_xlfn.XLOOKUP($A136,'3-TECHNICAL TABULATION'!$A:$A,'3-TECHNICAL TABULATION'!C:C)="","",_xlfn.XLOOKUP($A136,'3-TECHNICAL TABULATION'!$A:$A,'3-TECHNICAL TABULATION'!C:C)),"")</f>
        <v/>
      </c>
      <c r="D136" s="216" t="str">
        <f>IFERROR(IF(_xlfn.XLOOKUP($A136,'3-TECHNICAL TABULATION'!$A:$A,'3-TECHNICAL TABULATION'!D:D)="","",_xlfn.XLOOKUP($A136,'3-TECHNICAL TABULATION'!$A:$A,'3-TECHNICAL TABULATION'!D:D)),"")</f>
        <v/>
      </c>
    </row>
    <row r="137" spans="1:4" ht="15.75" thickBot="1" x14ac:dyDescent="0.3">
      <c r="A137" s="108" t="s">
        <v>508</v>
      </c>
      <c r="B137" s="217" t="str">
        <f>IFERROR(IF(_xlfn.XLOOKUP($A137,'3-TECHNICAL TABULATION'!$A:$A,'3-TECHNICAL TABULATION'!B:B)="","",_xlfn.XLOOKUP($A137,'3-TECHNICAL TABULATION'!$A:$A,'3-TECHNICAL TABULATION'!B:B)),"")</f>
        <v/>
      </c>
      <c r="C137" s="80" t="str">
        <f>IFERROR(IF(_xlfn.XLOOKUP($A137,'3-TECHNICAL TABULATION'!$A:$A,'3-TECHNICAL TABULATION'!C:C)="","",_xlfn.XLOOKUP($A137,'3-TECHNICAL TABULATION'!$A:$A,'3-TECHNICAL TABULATION'!C:C)),"")</f>
        <v/>
      </c>
      <c r="D137" s="81" t="str">
        <f>IFERROR(IF(_xlfn.XLOOKUP($A137,'3-TECHNICAL TABULATION'!$A:$A,'3-TECHNICAL TABULATION'!D:D)="","",_xlfn.XLOOKUP($A137,'3-TECHNICAL TABULATION'!$A:$A,'3-TECHNICAL TABULATION'!D:D)),"")</f>
        <v/>
      </c>
    </row>
    <row r="138" spans="1:4" x14ac:dyDescent="0.25">
      <c r="A138" s="107" t="s">
        <v>504</v>
      </c>
      <c r="B138" s="214" t="str">
        <f>IFERROR(IF(_xlfn.XLOOKUP($A138,'3-TECHNICAL TABULATION'!$A:$A,'3-TECHNICAL TABULATION'!B:B)="","",_xlfn.XLOOKUP($A138,'3-TECHNICAL TABULATION'!$A:$A,'3-TECHNICAL TABULATION'!B:B)),"")</f>
        <v/>
      </c>
      <c r="C138" s="215" t="str">
        <f>IFERROR(IF(_xlfn.XLOOKUP($A138,'3-TECHNICAL TABULATION'!$A:$A,'3-TECHNICAL TABULATION'!C:C)="","",_xlfn.XLOOKUP($A138,'3-TECHNICAL TABULATION'!$A:$A,'3-TECHNICAL TABULATION'!C:C)),"")</f>
        <v/>
      </c>
      <c r="D138" s="216" t="str">
        <f>IFERROR(IF(_xlfn.XLOOKUP($A138,'3-TECHNICAL TABULATION'!$A:$A,'3-TECHNICAL TABULATION'!D:D)="","",_xlfn.XLOOKUP($A138,'3-TECHNICAL TABULATION'!$A:$A,'3-TECHNICAL TABULATION'!D:D)),"")</f>
        <v/>
      </c>
    </row>
    <row r="139" spans="1:4" ht="15.75" thickBot="1" x14ac:dyDescent="0.3">
      <c r="A139" s="108" t="s">
        <v>509</v>
      </c>
      <c r="B139" s="217" t="str">
        <f>IFERROR(IF(_xlfn.XLOOKUP($A139,'3-TECHNICAL TABULATION'!$A:$A,'3-TECHNICAL TABULATION'!B:B)="","",_xlfn.XLOOKUP($A139,'3-TECHNICAL TABULATION'!$A:$A,'3-TECHNICAL TABULATION'!B:B)),"")</f>
        <v/>
      </c>
      <c r="C139" s="80" t="str">
        <f>IFERROR(IF(_xlfn.XLOOKUP($A139,'3-TECHNICAL TABULATION'!$A:$A,'3-TECHNICAL TABULATION'!C:C)="","",_xlfn.XLOOKUP($A139,'3-TECHNICAL TABULATION'!$A:$A,'3-TECHNICAL TABULATION'!C:C)),"")</f>
        <v/>
      </c>
      <c r="D139" s="81" t="str">
        <f>IFERROR(IF(_xlfn.XLOOKUP($A139,'3-TECHNICAL TABULATION'!$A:$A,'3-TECHNICAL TABULATION'!D:D)="","",_xlfn.XLOOKUP($A139,'3-TECHNICAL TABULATION'!$A:$A,'3-TECHNICAL TABULATION'!D:D)),"")</f>
        <v/>
      </c>
    </row>
    <row r="140" spans="1:4" x14ac:dyDescent="0.25">
      <c r="A140" s="107" t="s">
        <v>505</v>
      </c>
      <c r="B140" s="214" t="str">
        <f>IFERROR(IF(_xlfn.XLOOKUP($A140,'3-TECHNICAL TABULATION'!$A:$A,'3-TECHNICAL TABULATION'!B:B)="","",_xlfn.XLOOKUP($A140,'3-TECHNICAL TABULATION'!$A:$A,'3-TECHNICAL TABULATION'!B:B)),"")</f>
        <v/>
      </c>
      <c r="C140" s="215" t="str">
        <f>IFERROR(IF(_xlfn.XLOOKUP($A140,'3-TECHNICAL TABULATION'!$A:$A,'3-TECHNICAL TABULATION'!C:C)="","",_xlfn.XLOOKUP($A140,'3-TECHNICAL TABULATION'!$A:$A,'3-TECHNICAL TABULATION'!C:C)),"")</f>
        <v/>
      </c>
      <c r="D140" s="216" t="str">
        <f>IFERROR(IF(_xlfn.XLOOKUP($A140,'3-TECHNICAL TABULATION'!$A:$A,'3-TECHNICAL TABULATION'!D:D)="","",_xlfn.XLOOKUP($A140,'3-TECHNICAL TABULATION'!$A:$A,'3-TECHNICAL TABULATION'!D:D)),"")</f>
        <v/>
      </c>
    </row>
    <row r="141" spans="1:4" ht="15.75" thickBot="1" x14ac:dyDescent="0.3">
      <c r="A141" s="108" t="s">
        <v>510</v>
      </c>
      <c r="B141" s="217" t="str">
        <f>IFERROR(IF(_xlfn.XLOOKUP($A141,'3-TECHNICAL TABULATION'!$A:$A,'3-TECHNICAL TABULATION'!B:B)="","",_xlfn.XLOOKUP($A141,'3-TECHNICAL TABULATION'!$A:$A,'3-TECHNICAL TABULATION'!B:B)),"")</f>
        <v/>
      </c>
      <c r="C141" s="80" t="str">
        <f>IFERROR(IF(_xlfn.XLOOKUP($A141,'3-TECHNICAL TABULATION'!$A:$A,'3-TECHNICAL TABULATION'!C:C)="","",_xlfn.XLOOKUP($A141,'3-TECHNICAL TABULATION'!$A:$A,'3-TECHNICAL TABULATION'!C:C)),"")</f>
        <v/>
      </c>
      <c r="D141" s="81" t="str">
        <f>IFERROR(IF(_xlfn.XLOOKUP($A141,'3-TECHNICAL TABULATION'!$A:$A,'3-TECHNICAL TABULATION'!D:D)="","",_xlfn.XLOOKUP($A141,'3-TECHNICAL TABULATION'!$A:$A,'3-TECHNICAL TABULATION'!D:D)),"")</f>
        <v/>
      </c>
    </row>
    <row r="142" spans="1:4" x14ac:dyDescent="0.25">
      <c r="A142" s="107" t="s">
        <v>506</v>
      </c>
      <c r="B142" s="214" t="str">
        <f>IFERROR(IF(_xlfn.XLOOKUP($A142,'3-TECHNICAL TABULATION'!$A:$A,'3-TECHNICAL TABULATION'!B:B)="","",_xlfn.XLOOKUP($A142,'3-TECHNICAL TABULATION'!$A:$A,'3-TECHNICAL TABULATION'!B:B)),"")</f>
        <v/>
      </c>
      <c r="C142" s="215" t="str">
        <f>IFERROR(IF(_xlfn.XLOOKUP($A142,'3-TECHNICAL TABULATION'!$A:$A,'3-TECHNICAL TABULATION'!C:C)="","",_xlfn.XLOOKUP($A142,'3-TECHNICAL TABULATION'!$A:$A,'3-TECHNICAL TABULATION'!C:C)),"")</f>
        <v/>
      </c>
      <c r="D142" s="216" t="str">
        <f>IFERROR(IF(_xlfn.XLOOKUP($A142,'3-TECHNICAL TABULATION'!$A:$A,'3-TECHNICAL TABULATION'!D:D)="","",_xlfn.XLOOKUP($A142,'3-TECHNICAL TABULATION'!$A:$A,'3-TECHNICAL TABULATION'!D:D)),"")</f>
        <v/>
      </c>
    </row>
    <row r="143" spans="1:4" ht="15.75" thickBot="1" x14ac:dyDescent="0.3">
      <c r="A143" s="108" t="s">
        <v>511</v>
      </c>
      <c r="B143" s="217" t="str">
        <f>IFERROR(IF(_xlfn.XLOOKUP($A143,'3-TECHNICAL TABULATION'!$A:$A,'3-TECHNICAL TABULATION'!B:B)="","",_xlfn.XLOOKUP($A143,'3-TECHNICAL TABULATION'!$A:$A,'3-TECHNICAL TABULATION'!B:B)),"")</f>
        <v/>
      </c>
      <c r="C143" s="80" t="str">
        <f>IFERROR(IF(_xlfn.XLOOKUP($A143,'3-TECHNICAL TABULATION'!$A:$A,'3-TECHNICAL TABULATION'!C:C)="","",_xlfn.XLOOKUP($A143,'3-TECHNICAL TABULATION'!$A:$A,'3-TECHNICAL TABULATION'!C:C)),"")</f>
        <v/>
      </c>
      <c r="D143" s="81" t="str">
        <f>IFERROR(IF(_xlfn.XLOOKUP($A143,'3-TECHNICAL TABULATION'!$A:$A,'3-TECHNICAL TABULATION'!D:D)="","",_xlfn.XLOOKUP($A143,'3-TECHNICAL TABULATION'!$A:$A,'3-TECHNICAL TABULATION'!D:D)),"")</f>
        <v/>
      </c>
    </row>
    <row r="144" spans="1:4" x14ac:dyDescent="0.25">
      <c r="A144" s="107" t="s">
        <v>507</v>
      </c>
      <c r="B144" s="214" t="str">
        <f>IFERROR(IF(_xlfn.XLOOKUP($A144,'3-TECHNICAL TABULATION'!$A:$A,'3-TECHNICAL TABULATION'!B:B)="","",_xlfn.XLOOKUP($A144,'3-TECHNICAL TABULATION'!$A:$A,'3-TECHNICAL TABULATION'!B:B)),"")</f>
        <v/>
      </c>
      <c r="C144" s="215" t="str">
        <f>IFERROR(IF(_xlfn.XLOOKUP($A144,'3-TECHNICAL TABULATION'!$A:$A,'3-TECHNICAL TABULATION'!C:C)="","",_xlfn.XLOOKUP($A144,'3-TECHNICAL TABULATION'!$A:$A,'3-TECHNICAL TABULATION'!C:C)),"")</f>
        <v/>
      </c>
      <c r="D144" s="216" t="str">
        <f>IFERROR(IF(_xlfn.XLOOKUP($A144,'3-TECHNICAL TABULATION'!$A:$A,'3-TECHNICAL TABULATION'!D:D)="","",_xlfn.XLOOKUP($A144,'3-TECHNICAL TABULATION'!$A:$A,'3-TECHNICAL TABULATION'!D:D)),"")</f>
        <v/>
      </c>
    </row>
    <row r="145" spans="1:4" ht="15.75" thickBot="1" x14ac:dyDescent="0.3">
      <c r="A145" s="108" t="s">
        <v>512</v>
      </c>
      <c r="B145" s="217" t="str">
        <f>IFERROR(IF(_xlfn.XLOOKUP($A145,'3-TECHNICAL TABULATION'!$A:$A,'3-TECHNICAL TABULATION'!B:B)="","",_xlfn.XLOOKUP($A145,'3-TECHNICAL TABULATION'!$A:$A,'3-TECHNICAL TABULATION'!B:B)),"")</f>
        <v/>
      </c>
      <c r="C145" s="80" t="str">
        <f>IFERROR(IF(_xlfn.XLOOKUP($A145,'3-TECHNICAL TABULATION'!$A:$A,'3-TECHNICAL TABULATION'!C:C)="","",_xlfn.XLOOKUP($A145,'3-TECHNICAL TABULATION'!$A:$A,'3-TECHNICAL TABULATION'!C:C)),"")</f>
        <v/>
      </c>
      <c r="D145" s="81" t="str">
        <f>IFERROR(IF(_xlfn.XLOOKUP($A145,'3-TECHNICAL TABULATION'!$A:$A,'3-TECHNICAL TABULATION'!D:D)="","",_xlfn.XLOOKUP($A145,'3-TECHNICAL TABULATION'!$A:$A,'3-TECHNICAL TABULATION'!D:D)),"")</f>
        <v/>
      </c>
    </row>
    <row r="146" spans="1:4" x14ac:dyDescent="0.25">
      <c r="A146" s="84"/>
      <c r="B146" s="50" t="str">
        <f>IFERROR(IF(_xlfn.XLOOKUP($A146,'3-TECHNICAL TABULATION'!$A:$A,'3-TECHNICAL TABULATION'!B:B)="","",_xlfn.XLOOKUP($A146,'3-TECHNICAL TABULATION'!$A:$A,'3-TECHNICAL TABULATION'!B:B)),"")</f>
        <v/>
      </c>
      <c r="C146" s="38" t="str">
        <f>IFERROR(IF(_xlfn.XLOOKUP($A146,'3-TECHNICAL TABULATION'!$A:$A,'3-TECHNICAL TABULATION'!C:C)="","",_xlfn.XLOOKUP($A146,'3-TECHNICAL TABULATION'!$A:$A,'3-TECHNICAL TABULATION'!C:C)),"")</f>
        <v/>
      </c>
      <c r="D146" s="79" t="str">
        <f>IFERROR(IF(_xlfn.XLOOKUP($A146,'3-TECHNICAL TABULATION'!$A:$A,'3-TECHNICAL TABULATION'!D:D)="","",_xlfn.XLOOKUP($A146,'3-TECHNICAL TABULATION'!$A:$A,'3-TECHNICAL TABULATION'!D:D)),"")</f>
        <v/>
      </c>
    </row>
    <row r="147" spans="1:4" x14ac:dyDescent="0.25">
      <c r="A147" s="84"/>
      <c r="B147" s="50" t="str">
        <f>IFERROR(IF(_xlfn.XLOOKUP($A147,'3-TECHNICAL TABULATION'!$A:$A,'3-TECHNICAL TABULATION'!B:B)="","",_xlfn.XLOOKUP($A147,'3-TECHNICAL TABULATION'!$A:$A,'3-TECHNICAL TABULATION'!B:B)),"")</f>
        <v/>
      </c>
      <c r="C147" s="38" t="str">
        <f>IFERROR(IF(_xlfn.XLOOKUP($A147,'3-TECHNICAL TABULATION'!$A:$A,'3-TECHNICAL TABULATION'!C:C)="","",_xlfn.XLOOKUP($A147,'3-TECHNICAL TABULATION'!$A:$A,'3-TECHNICAL TABULATION'!C:C)),"")</f>
        <v/>
      </c>
      <c r="D147" s="79" t="str">
        <f>IFERROR(IF(_xlfn.XLOOKUP($A147,'3-TECHNICAL TABULATION'!$A:$A,'3-TECHNICAL TABULATION'!D:D)="","",_xlfn.XLOOKUP($A147,'3-TECHNICAL TABULATION'!$A:$A,'3-TECHNICAL TABULATION'!D:D)),"")</f>
        <v/>
      </c>
    </row>
    <row r="148" spans="1:4" x14ac:dyDescent="0.25">
      <c r="A148" s="84"/>
      <c r="B148" s="50" t="str">
        <f>IFERROR(IF(_xlfn.XLOOKUP($A148,'3-TECHNICAL TABULATION'!$A:$A,'3-TECHNICAL TABULATION'!B:B)="","",_xlfn.XLOOKUP($A148,'3-TECHNICAL TABULATION'!$A:$A,'3-TECHNICAL TABULATION'!B:B)),"")</f>
        <v/>
      </c>
      <c r="C148" s="38" t="str">
        <f>IFERROR(IF(_xlfn.XLOOKUP($A148,'3-TECHNICAL TABULATION'!$A:$A,'3-TECHNICAL TABULATION'!C:C)="","",_xlfn.XLOOKUP($A148,'3-TECHNICAL TABULATION'!$A:$A,'3-TECHNICAL TABULATION'!C:C)),"")</f>
        <v/>
      </c>
      <c r="D148" s="79" t="str">
        <f>IFERROR(IF(_xlfn.XLOOKUP($A148,'3-TECHNICAL TABULATION'!$A:$A,'3-TECHNICAL TABULATION'!D:D)="","",_xlfn.XLOOKUP($A148,'3-TECHNICAL TABULATION'!$A:$A,'3-TECHNICAL TABULATION'!D:D)),"")</f>
        <v/>
      </c>
    </row>
    <row r="149" spans="1:4" x14ac:dyDescent="0.25">
      <c r="A149" s="84"/>
      <c r="B149" s="50" t="str">
        <f>IFERROR(IF(_xlfn.XLOOKUP($A149,'3-TECHNICAL TABULATION'!$A:$A,'3-TECHNICAL TABULATION'!B:B)="","",_xlfn.XLOOKUP($A149,'3-TECHNICAL TABULATION'!$A:$A,'3-TECHNICAL TABULATION'!B:B)),"")</f>
        <v/>
      </c>
      <c r="C149" s="38" t="str">
        <f>IFERROR(IF(_xlfn.XLOOKUP($A149,'3-TECHNICAL TABULATION'!$A:$A,'3-TECHNICAL TABULATION'!C:C)="","",_xlfn.XLOOKUP($A149,'3-TECHNICAL TABULATION'!$A:$A,'3-TECHNICAL TABULATION'!C:C)),"")</f>
        <v/>
      </c>
      <c r="D149" s="79" t="str">
        <f>IFERROR(IF(_xlfn.XLOOKUP($A149,'3-TECHNICAL TABULATION'!$A:$A,'3-TECHNICAL TABULATION'!D:D)="","",_xlfn.XLOOKUP($A149,'3-TECHNICAL TABULATION'!$A:$A,'3-TECHNICAL TABULATION'!D:D)),"")</f>
        <v/>
      </c>
    </row>
    <row r="150" spans="1:4" x14ac:dyDescent="0.25">
      <c r="A150" s="13"/>
      <c r="B150" s="50" t="str">
        <f>IFERROR(IF(_xlfn.XLOOKUP($A150,'3-TECHNICAL TABULATION'!$A:$A,'3-TECHNICAL TABULATION'!B:B)="","",_xlfn.XLOOKUP($A150,'3-TECHNICAL TABULATION'!$A:$A,'3-TECHNICAL TABULATION'!B:B)),"")</f>
        <v/>
      </c>
      <c r="C150" s="38" t="str">
        <f>IFERROR(IF(_xlfn.XLOOKUP($A150,'3-TECHNICAL TABULATION'!$A:$A,'3-TECHNICAL TABULATION'!C:C)="","",_xlfn.XLOOKUP($A150,'3-TECHNICAL TABULATION'!$A:$A,'3-TECHNICAL TABULATION'!C:C)),"")</f>
        <v/>
      </c>
      <c r="D150" s="79" t="str">
        <f>IFERROR(IF(_xlfn.XLOOKUP($A150,'3-TECHNICAL TABULATION'!$A:$A,'3-TECHNICAL TABULATION'!D:D)="","",_xlfn.XLOOKUP($A150,'3-TECHNICAL TABULATION'!$A:$A,'3-TECHNICAL TABULATION'!D:D)),"")</f>
        <v/>
      </c>
    </row>
    <row r="151" spans="1:4" x14ac:dyDescent="0.25">
      <c r="A151" s="13"/>
      <c r="B151" s="50" t="str">
        <f>IFERROR(IF(_xlfn.XLOOKUP($A151,'3-TECHNICAL TABULATION'!$A:$A,'3-TECHNICAL TABULATION'!B:B)="","",_xlfn.XLOOKUP($A151,'3-TECHNICAL TABULATION'!$A:$A,'3-TECHNICAL TABULATION'!B:B)),"")</f>
        <v/>
      </c>
      <c r="C151" s="38" t="str">
        <f>IFERROR(IF(_xlfn.XLOOKUP($A151,'3-TECHNICAL TABULATION'!$A:$A,'3-TECHNICAL TABULATION'!C:C)="","",_xlfn.XLOOKUP($A151,'3-TECHNICAL TABULATION'!$A:$A,'3-TECHNICAL TABULATION'!C:C)),"")</f>
        <v/>
      </c>
      <c r="D151" s="79" t="str">
        <f>IFERROR(IF(_xlfn.XLOOKUP($A151,'3-TECHNICAL TABULATION'!$A:$A,'3-TECHNICAL TABULATION'!D:D)="","",_xlfn.XLOOKUP($A151,'3-TECHNICAL TABULATION'!$A:$A,'3-TECHNICAL TABULATION'!D:D)),"")</f>
        <v/>
      </c>
    </row>
    <row r="152" spans="1:4" ht="15.75" thickBot="1" x14ac:dyDescent="0.3">
      <c r="A152" s="14"/>
      <c r="B152" s="217" t="str">
        <f>IFERROR(IF(_xlfn.XLOOKUP($A152,'3-TECHNICAL TABULATION'!$A:$A,'3-TECHNICAL TABULATION'!B:B)="","",_xlfn.XLOOKUP($A152,'3-TECHNICAL TABULATION'!$A:$A,'3-TECHNICAL TABULATION'!B:B)),"")</f>
        <v/>
      </c>
      <c r="C152" s="80" t="str">
        <f>IFERROR(IF(_xlfn.XLOOKUP($A152,'3-TECHNICAL TABULATION'!$A:$A,'3-TECHNICAL TABULATION'!C:C)="","",_xlfn.XLOOKUP($A152,'3-TECHNICAL TABULATION'!$A:$A,'3-TECHNICAL TABULATION'!C:C)),"")</f>
        <v/>
      </c>
      <c r="D152" s="81" t="str">
        <f>IFERROR(IF(_xlfn.XLOOKUP($A152,'3-TECHNICAL TABULATION'!$A:$A,'3-TECHNICAL TABULATION'!D:D)="","",_xlfn.XLOOKUP($A152,'3-TECHNICAL TABULATION'!$A:$A,'3-TECHNICAL TABULATION'!D:D)),"")</f>
        <v/>
      </c>
    </row>
  </sheetData>
  <sheetProtection algorithmName="SHA-512" hashValue="9b0p+XkzOqXjzdfvyA0K7cBVHADSJ0CrOU1aaagwunqwkBEXC/n+ckgclfxsXxcSNwDx4ssFvndDXin7mCboEg==" saltValue="jTJPwxA/jlW+LQKV6kxaDQ==" spinCount="100000" sheet="1" objects="1" scenarios="1" formatCells="0" formatColumns="0" formatRows="0" autoFilter="0"/>
  <autoFilter ref="A8:A152" xr:uid="{A8532214-5E9E-4F53-8F60-D8955E7215FD}"/>
  <mergeCells count="10">
    <mergeCell ref="C1:D3"/>
    <mergeCell ref="A1:B1"/>
    <mergeCell ref="A2:B2"/>
    <mergeCell ref="A3:B3"/>
    <mergeCell ref="A4:B4"/>
    <mergeCell ref="A5:B5"/>
    <mergeCell ref="A6:B6"/>
    <mergeCell ref="C4:D4"/>
    <mergeCell ref="C5:C6"/>
    <mergeCell ref="D5:D6"/>
  </mergeCells>
  <phoneticPr fontId="7"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0C7E-3BEE-452D-836A-D86E276B94DF}">
  <sheetPr codeName="Foglio10"/>
  <dimension ref="A1:D319"/>
  <sheetViews>
    <sheetView zoomScaleNormal="100" workbookViewId="0">
      <pane xSplit="2" ySplit="14" topLeftCell="C61" activePane="bottomRight" state="frozen"/>
      <selection sqref="A1:XFD1048576"/>
      <selection pane="topRight" sqref="A1:XFD1048576"/>
      <selection pane="bottomLeft" sqref="A1:XFD1048576"/>
      <selection pane="bottomRight" sqref="A1:B1"/>
    </sheetView>
  </sheetViews>
  <sheetFormatPr defaultColWidth="20.85546875" defaultRowHeight="15" x14ac:dyDescent="0.25"/>
  <cols>
    <col min="1" max="1" width="72.85546875" style="1" customWidth="1"/>
    <col min="2" max="2" width="23.85546875" style="54" customWidth="1"/>
    <col min="3" max="3" width="20.85546875" style="4" customWidth="1"/>
    <col min="4" max="4" width="20.85546875" style="5" customWidth="1"/>
    <col min="5" max="16384" width="20.85546875" style="2"/>
  </cols>
  <sheetData>
    <row r="1" spans="1:4" ht="23.25" x14ac:dyDescent="0.25">
      <c r="A1" s="341" t="s">
        <v>513</v>
      </c>
      <c r="B1" s="342"/>
      <c r="C1" s="304" t="e" vm="3">
        <v>#VALUE!</v>
      </c>
      <c r="D1" s="306"/>
    </row>
    <row r="2" spans="1:4" x14ac:dyDescent="0.25">
      <c r="A2" s="319" t="str">
        <f>'1-START'!C6&amp;":"&amp;'1-START'!P6</f>
        <v>JOB NUMBER:</v>
      </c>
      <c r="B2" s="321"/>
      <c r="C2" s="307"/>
      <c r="D2" s="309"/>
    </row>
    <row r="3" spans="1:4" ht="15.75" thickBot="1" x14ac:dyDescent="0.3">
      <c r="A3" s="319" t="str">
        <f>'1-START'!C7&amp;" : "&amp;'1-START'!P7</f>
        <v xml:space="preserve">End User Name : </v>
      </c>
      <c r="B3" s="321"/>
      <c r="C3" s="336"/>
      <c r="D3" s="337"/>
    </row>
    <row r="4" spans="1:4" ht="18.75" x14ac:dyDescent="0.25">
      <c r="A4" s="319" t="str">
        <f>'1-START'!C8&amp;" : "&amp;'1-START'!P8</f>
        <v xml:space="preserve">Engineering Contractor Name : </v>
      </c>
      <c r="B4" s="321"/>
      <c r="C4" s="331" t="s">
        <v>412</v>
      </c>
      <c r="D4" s="332"/>
    </row>
    <row r="5" spans="1:4" x14ac:dyDescent="0.25">
      <c r="A5" s="319" t="str">
        <f>'1-START'!C9&amp;" : "&amp;'1-START'!P9</f>
        <v xml:space="preserve">Project Name : </v>
      </c>
      <c r="B5" s="321"/>
      <c r="C5" s="333" t="str">
        <f>'1-START'!M43</f>
        <v>TS_</v>
      </c>
      <c r="D5" s="334" t="str">
        <f>"Rev." &amp; MAX('1-START'!B22:E40)</f>
        <v>Rev.0</v>
      </c>
    </row>
    <row r="6" spans="1:4" ht="15.75" thickBot="1" x14ac:dyDescent="0.3">
      <c r="A6" s="335" t="str">
        <f>'1-START'!C10&amp;" : "&amp;'1-START'!P10</f>
        <v xml:space="preserve">Country Of Installation : </v>
      </c>
      <c r="B6" s="340"/>
      <c r="C6" s="343"/>
      <c r="D6" s="344"/>
    </row>
    <row r="7" spans="1:4" ht="15.75" thickBot="1" x14ac:dyDescent="0.3">
      <c r="A7" s="2"/>
      <c r="B7" s="32"/>
      <c r="D7" s="4"/>
    </row>
    <row r="8" spans="1:4" s="3" customFormat="1" x14ac:dyDescent="0.25">
      <c r="A8" s="73" t="s">
        <v>267</v>
      </c>
      <c r="B8" s="104" t="s">
        <v>268</v>
      </c>
      <c r="C8" s="68" t="s">
        <v>269</v>
      </c>
      <c r="D8" s="69" t="s">
        <v>270</v>
      </c>
    </row>
    <row r="9" spans="1:4" s="3" customFormat="1" x14ac:dyDescent="0.25">
      <c r="A9" s="88" t="s">
        <v>11</v>
      </c>
      <c r="B9" s="55" t="str">
        <f>IFERROR(IF(_xlfn.XLOOKUP($A9,'3-TECHNICAL TABULATION'!$A:$A,'3-TECHNICAL TABULATION'!B:B)="","",_xlfn.XLOOKUP($A9,'3-TECHNICAL TABULATION'!$A:$A,'3-TECHNICAL TABULATION'!B:B)),"")</f>
        <v>[number]</v>
      </c>
      <c r="C9" s="38" t="str">
        <f>IFERROR(IF(_xlfn.XLOOKUP($A9,'3-TECHNICAL TABULATION'!$A:$A,'3-TECHNICAL TABULATION'!C:C)="","",_xlfn.XLOOKUP($A9,'3-TECHNICAL TABULATION'!$A:$A,'3-TECHNICAL TABULATION'!C:C)),"")</f>
        <v/>
      </c>
      <c r="D9" s="39" t="str">
        <f>IFERROR(IF(_xlfn.XLOOKUP($A9,'3-TECHNICAL TABULATION'!$A:$A,'3-TECHNICAL TABULATION'!D:D)="","",_xlfn.XLOOKUP($A9,'3-TECHNICAL TABULATION'!$A:$A,'3-TECHNICAL TABULATION'!D:D)),"")</f>
        <v/>
      </c>
    </row>
    <row r="10" spans="1:4" x14ac:dyDescent="0.25">
      <c r="A10" s="90" t="s">
        <v>12</v>
      </c>
      <c r="B10" s="52" t="str">
        <f>IFERROR(IF(_xlfn.XLOOKUP($A10,'3-TECHNICAL TABULATION'!$A:$A,'3-TECHNICAL TABULATION'!B:B)="","",_xlfn.XLOOKUP($A10,'3-TECHNICAL TABULATION'!$A:$A,'3-TECHNICAL TABULATION'!B:B)),"")</f>
        <v/>
      </c>
      <c r="C10" s="38" t="str">
        <f>IFERROR(IF(_xlfn.XLOOKUP($A10,'3-TECHNICAL TABULATION'!$A:$A,'3-TECHNICAL TABULATION'!C:C)="","",_xlfn.XLOOKUP($A10,'3-TECHNICAL TABULATION'!$A:$A,'3-TECHNICAL TABULATION'!C:C)),"")</f>
        <v/>
      </c>
      <c r="D10" s="39" t="str">
        <f>IFERROR(IF(_xlfn.XLOOKUP($A10,'3-TECHNICAL TABULATION'!$A:$A,'3-TECHNICAL TABULATION'!D:D)="","",_xlfn.XLOOKUP($A10,'3-TECHNICAL TABULATION'!$A:$A,'3-TECHNICAL TABULATION'!D:D)),"")</f>
        <v/>
      </c>
    </row>
    <row r="11" spans="1:4" x14ac:dyDescent="0.25">
      <c r="A11" s="90" t="s">
        <v>13</v>
      </c>
      <c r="B11" s="52" t="str">
        <f>IFERROR(IF(_xlfn.XLOOKUP($A11,'3-TECHNICAL TABULATION'!$A:$A,'3-TECHNICAL TABULATION'!B:B)="","",_xlfn.XLOOKUP($A11,'3-TECHNICAL TABULATION'!$A:$A,'3-TECHNICAL TABULATION'!B:B)),"")</f>
        <v/>
      </c>
      <c r="C11" s="38" t="str">
        <f>IFERROR(IF(_xlfn.XLOOKUP($A11,'3-TECHNICAL TABULATION'!$A:$A,'3-TECHNICAL TABULATION'!C:C)="","",_xlfn.XLOOKUP($A11,'3-TECHNICAL TABULATION'!$A:$A,'3-TECHNICAL TABULATION'!C:C)),"")</f>
        <v/>
      </c>
      <c r="D11" s="39" t="str">
        <f>IFERROR(IF(_xlfn.XLOOKUP($A11,'3-TECHNICAL TABULATION'!$A:$A,'3-TECHNICAL TABULATION'!D:D)="","",_xlfn.XLOOKUP($A11,'3-TECHNICAL TABULATION'!$A:$A,'3-TECHNICAL TABULATION'!D:D)),"")</f>
        <v/>
      </c>
    </row>
    <row r="12" spans="1:4" x14ac:dyDescent="0.25">
      <c r="A12" s="90" t="s">
        <v>14</v>
      </c>
      <c r="B12" s="52" t="str">
        <f>IFERROR(IF(_xlfn.XLOOKUP($A12,'3-TECHNICAL TABULATION'!$A:$A,'3-TECHNICAL TABULATION'!B:B)="","",_xlfn.XLOOKUP($A12,'3-TECHNICAL TABULATION'!$A:$A,'3-TECHNICAL TABULATION'!B:B)),"")</f>
        <v/>
      </c>
      <c r="C12" s="38" t="str">
        <f>IFERROR(IF(_xlfn.XLOOKUP($A12,'3-TECHNICAL TABULATION'!$A:$A,'3-TECHNICAL TABULATION'!C:C)="","",_xlfn.XLOOKUP($A12,'3-TECHNICAL TABULATION'!$A:$A,'3-TECHNICAL TABULATION'!C:C)),"")</f>
        <v/>
      </c>
      <c r="D12" s="39" t="str">
        <f>IFERROR(IF(_xlfn.XLOOKUP($A12,'3-TECHNICAL TABULATION'!$A:$A,'3-TECHNICAL TABULATION'!D:D)="","",_xlfn.XLOOKUP($A12,'3-TECHNICAL TABULATION'!$A:$A,'3-TECHNICAL TABULATION'!D:D)),"")</f>
        <v/>
      </c>
    </row>
    <row r="13" spans="1:4" x14ac:dyDescent="0.25">
      <c r="A13" s="90" t="s">
        <v>15</v>
      </c>
      <c r="B13" s="52" t="str">
        <f>IFERROR(IF(_xlfn.XLOOKUP($A13,'3-TECHNICAL TABULATION'!$A:$A,'3-TECHNICAL TABULATION'!B:B)="","",_xlfn.XLOOKUP($A13,'3-TECHNICAL TABULATION'!$A:$A,'3-TECHNICAL TABULATION'!B:B)),"")</f>
        <v/>
      </c>
      <c r="C13" s="38" t="str">
        <f>IFERROR(IF(_xlfn.XLOOKUP($A13,'3-TECHNICAL TABULATION'!$A:$A,'3-TECHNICAL TABULATION'!C:C)="","",_xlfn.XLOOKUP($A13,'3-TECHNICAL TABULATION'!$A:$A,'3-TECHNICAL TABULATION'!C:C)),"")</f>
        <v/>
      </c>
      <c r="D13" s="39" t="str">
        <f>IFERROR(IF(_xlfn.XLOOKUP($A13,'3-TECHNICAL TABULATION'!$A:$A,'3-TECHNICAL TABULATION'!D:D)="","",_xlfn.XLOOKUP($A13,'3-TECHNICAL TABULATION'!$A:$A,'3-TECHNICAL TABULATION'!D:D)),"")</f>
        <v/>
      </c>
    </row>
    <row r="14" spans="1:4" s="1" customFormat="1" x14ac:dyDescent="0.25">
      <c r="A14" s="90" t="s">
        <v>16</v>
      </c>
      <c r="B14" s="52" t="str">
        <f>IFERROR(IF(_xlfn.XLOOKUP($A14,'3-TECHNICAL TABULATION'!$A:$A,'3-TECHNICAL TABULATION'!B:B)="","",_xlfn.XLOOKUP($A14,'3-TECHNICAL TABULATION'!$A:$A,'3-TECHNICAL TABULATION'!B:B)),"")</f>
        <v/>
      </c>
      <c r="C14" s="38" t="str">
        <f>IFERROR(IF(_xlfn.XLOOKUP($A14,'3-TECHNICAL TABULATION'!$A:$A,'3-TECHNICAL TABULATION'!C:C)="","",_xlfn.XLOOKUP($A14,'3-TECHNICAL TABULATION'!$A:$A,'3-TECHNICAL TABULATION'!C:C)),"")</f>
        <v/>
      </c>
      <c r="D14" s="39" t="str">
        <f>IFERROR(IF(_xlfn.XLOOKUP($A14,'3-TECHNICAL TABULATION'!$A:$A,'3-TECHNICAL TABULATION'!D:D)="","",_xlfn.XLOOKUP($A14,'3-TECHNICAL TABULATION'!$A:$A,'3-TECHNICAL TABULATION'!D:D)),"")</f>
        <v/>
      </c>
    </row>
    <row r="15" spans="1:4" x14ac:dyDescent="0.25">
      <c r="A15" s="90" t="s">
        <v>91</v>
      </c>
      <c r="B15" s="52" t="str">
        <f>IFERROR(IF(_xlfn.XLOOKUP($A15,'3-TECHNICAL TABULATION'!$A:$A,'3-TECHNICAL TABULATION'!B:B)="","",_xlfn.XLOOKUP($A15,'3-TECHNICAL TABULATION'!$A:$A,'3-TECHNICAL TABULATION'!B:B)),"")</f>
        <v/>
      </c>
      <c r="C15" s="38" t="str">
        <f>IFERROR(IF(_xlfn.XLOOKUP($A15,'3-TECHNICAL TABULATION'!$A:$A,'3-TECHNICAL TABULATION'!C:C)="","",_xlfn.XLOOKUP($A15,'3-TECHNICAL TABULATION'!$A:$A,'3-TECHNICAL TABULATION'!C:C)),"")</f>
        <v/>
      </c>
      <c r="D15" s="39" t="str">
        <f>IFERROR(IF(_xlfn.XLOOKUP($A15,'3-TECHNICAL TABULATION'!$A:$A,'3-TECHNICAL TABULATION'!D:D)="","",_xlfn.XLOOKUP($A15,'3-TECHNICAL TABULATION'!$A:$A,'3-TECHNICAL TABULATION'!D:D)),"")</f>
        <v/>
      </c>
    </row>
    <row r="16" spans="1:4" x14ac:dyDescent="0.25">
      <c r="A16" s="90" t="s">
        <v>92</v>
      </c>
      <c r="B16" s="52" t="str">
        <f>IFERROR(IF(_xlfn.XLOOKUP($A16,'3-TECHNICAL TABULATION'!$A:$A,'3-TECHNICAL TABULATION'!B:B)="","",_xlfn.XLOOKUP($A16,'3-TECHNICAL TABULATION'!$A:$A,'3-TECHNICAL TABULATION'!B:B)),"")</f>
        <v/>
      </c>
      <c r="C16" s="38" t="str">
        <f>IFERROR(IF(_xlfn.XLOOKUP($A16,'3-TECHNICAL TABULATION'!$A:$A,'3-TECHNICAL TABULATION'!C:C)="","",_xlfn.XLOOKUP($A16,'3-TECHNICAL TABULATION'!$A:$A,'3-TECHNICAL TABULATION'!C:C)),"")</f>
        <v/>
      </c>
      <c r="D16" s="39" t="str">
        <f>IFERROR(IF(_xlfn.XLOOKUP($A16,'3-TECHNICAL TABULATION'!$A:$A,'3-TECHNICAL TABULATION'!D:D)="","",_xlfn.XLOOKUP($A16,'3-TECHNICAL TABULATION'!$A:$A,'3-TECHNICAL TABULATION'!D:D)),"")</f>
        <v/>
      </c>
    </row>
    <row r="17" spans="1:4" x14ac:dyDescent="0.25">
      <c r="A17" s="90" t="s">
        <v>17</v>
      </c>
      <c r="B17" s="52" t="str">
        <f>IFERROR(IF(_xlfn.XLOOKUP($A17,'3-TECHNICAL TABULATION'!$A:$A,'3-TECHNICAL TABULATION'!B:B)="","",_xlfn.XLOOKUP($A17,'3-TECHNICAL TABULATION'!$A:$A,'3-TECHNICAL TABULATION'!B:B)),"")</f>
        <v/>
      </c>
      <c r="C17" s="38" t="str">
        <f>IFERROR(IF(_xlfn.XLOOKUP($A17,'3-TECHNICAL TABULATION'!$A:$A,'3-TECHNICAL TABULATION'!C:C)="","",_xlfn.XLOOKUP($A17,'3-TECHNICAL TABULATION'!$A:$A,'3-TECHNICAL TABULATION'!C:C)),"")</f>
        <v/>
      </c>
      <c r="D17" s="39" t="str">
        <f>IFERROR(IF(_xlfn.XLOOKUP($A17,'3-TECHNICAL TABULATION'!$A:$A,'3-TECHNICAL TABULATION'!D:D)="","",_xlfn.XLOOKUP($A17,'3-TECHNICAL TABULATION'!$A:$A,'3-TECHNICAL TABULATION'!D:D)),"")</f>
        <v/>
      </c>
    </row>
    <row r="18" spans="1:4" ht="30" x14ac:dyDescent="0.25">
      <c r="A18" s="90" t="s">
        <v>497</v>
      </c>
      <c r="B18" s="52" t="str">
        <f>IFERROR(IF(_xlfn.XLOOKUP($A18,'3-TECHNICAL TABULATION'!$A:$A,'3-TECHNICAL TABULATION'!B:B)="","",_xlfn.XLOOKUP($A18,'3-TECHNICAL TABULATION'!$A:$A,'3-TECHNICAL TABULATION'!B:B)),"")</f>
        <v>[no/MR0175/MR0103]</v>
      </c>
      <c r="C18" s="38" t="str">
        <f>IFERROR(IF(_xlfn.XLOOKUP($A18,'3-TECHNICAL TABULATION'!$A:$A,'3-TECHNICAL TABULATION'!C:C)="","",_xlfn.XLOOKUP($A18,'3-TECHNICAL TABULATION'!$A:$A,'3-TECHNICAL TABULATION'!C:C)),"")</f>
        <v/>
      </c>
      <c r="D18" s="39" t="str">
        <f>IFERROR(IF(_xlfn.XLOOKUP($A18,'3-TECHNICAL TABULATION'!$A:$A,'3-TECHNICAL TABULATION'!D:D)="","",_xlfn.XLOOKUP($A18,'3-TECHNICAL TABULATION'!$A:$A,'3-TECHNICAL TABULATION'!D:D)),"")</f>
        <v/>
      </c>
    </row>
    <row r="19" spans="1:4" x14ac:dyDescent="0.25">
      <c r="A19" s="90" t="s">
        <v>32</v>
      </c>
      <c r="B19" s="52" t="str">
        <f>IFERROR(IF(_xlfn.XLOOKUP($A19,'3-TECHNICAL TABULATION'!$A:$A,'3-TECHNICAL TABULATION'!B:B)="","",_xlfn.XLOOKUP($A19,'3-TECHNICAL TABULATION'!$A:$A,'3-TECHNICAL TABULATION'!B:B)),"")</f>
        <v/>
      </c>
      <c r="C19" s="38" t="str">
        <f>IFERROR(IF(_xlfn.XLOOKUP($A19,'3-TECHNICAL TABULATION'!$A:$A,'3-TECHNICAL TABULATION'!C:C)="","",_xlfn.XLOOKUP($A19,'3-TECHNICAL TABULATION'!$A:$A,'3-TECHNICAL TABULATION'!C:C)),"")</f>
        <v/>
      </c>
      <c r="D19" s="39" t="str">
        <f>IFERROR(IF(_xlfn.XLOOKUP($A19,'3-TECHNICAL TABULATION'!$A:$A,'3-TECHNICAL TABULATION'!D:D)="","",_xlfn.XLOOKUP($A19,'3-TECHNICAL TABULATION'!$A:$A,'3-TECHNICAL TABULATION'!D:D)),"")</f>
        <v/>
      </c>
    </row>
    <row r="20" spans="1:4" x14ac:dyDescent="0.25">
      <c r="A20" s="90" t="s">
        <v>330</v>
      </c>
      <c r="B20" s="52" t="str">
        <f>IFERROR(IF(_xlfn.XLOOKUP($A20,'3-TECHNICAL TABULATION'!$A:$A,'3-TECHNICAL TABULATION'!B:B)="","",_xlfn.XLOOKUP($A20,'3-TECHNICAL TABULATION'!$A:$A,'3-TECHNICAL TABULATION'!B:B)),"")</f>
        <v/>
      </c>
      <c r="C20" s="38" t="str">
        <f>IFERROR(IF(_xlfn.XLOOKUP($A20,'3-TECHNICAL TABULATION'!$A:$A,'3-TECHNICAL TABULATION'!C:C)="","",_xlfn.XLOOKUP($A20,'3-TECHNICAL TABULATION'!$A:$A,'3-TECHNICAL TABULATION'!C:C)),"")</f>
        <v/>
      </c>
      <c r="D20" s="39" t="str">
        <f>IFERROR(IF(_xlfn.XLOOKUP($A20,'3-TECHNICAL TABULATION'!$A:$A,'3-TECHNICAL TABULATION'!D:D)="","",_xlfn.XLOOKUP($A20,'3-TECHNICAL TABULATION'!$A:$A,'3-TECHNICAL TABULATION'!D:D)),"")</f>
        <v/>
      </c>
    </row>
    <row r="21" spans="1:4" x14ac:dyDescent="0.25">
      <c r="A21" s="90" t="s">
        <v>38</v>
      </c>
      <c r="B21" s="52" t="str">
        <f>IFERROR(IF(_xlfn.XLOOKUP($A21,'3-TECHNICAL TABULATION'!$A:$A,'3-TECHNICAL TABULATION'!B:B)="","",_xlfn.XLOOKUP($A21,'3-TECHNICAL TABULATION'!$A:$A,'3-TECHNICAL TABULATION'!B:B)),"")</f>
        <v/>
      </c>
      <c r="C21" s="38" t="str">
        <f>IFERROR(IF(_xlfn.XLOOKUP($A21,'3-TECHNICAL TABULATION'!$A:$A,'3-TECHNICAL TABULATION'!C:C)="","",_xlfn.XLOOKUP($A21,'3-TECHNICAL TABULATION'!$A:$A,'3-TECHNICAL TABULATION'!C:C)),"")</f>
        <v/>
      </c>
      <c r="D21" s="39" t="str">
        <f>IFERROR(IF(_xlfn.XLOOKUP($A21,'3-TECHNICAL TABULATION'!$A:$A,'3-TECHNICAL TABULATION'!D:D)="","",_xlfn.XLOOKUP($A21,'3-TECHNICAL TABULATION'!$A:$A,'3-TECHNICAL TABULATION'!D:D)),"")</f>
        <v/>
      </c>
    </row>
    <row r="22" spans="1:4" ht="15.75" thickBot="1" x14ac:dyDescent="0.3">
      <c r="A22" s="91" t="s">
        <v>39</v>
      </c>
      <c r="B22" s="75" t="str">
        <f>IFERROR(IF(_xlfn.XLOOKUP($A22,'3-TECHNICAL TABULATION'!$A:$A,'3-TECHNICAL TABULATION'!B:B)="","",_xlfn.XLOOKUP($A22,'3-TECHNICAL TABULATION'!$A:$A,'3-TECHNICAL TABULATION'!B:B)),"")</f>
        <v>kW</v>
      </c>
      <c r="C22" s="44" t="str">
        <f>IFERROR(IF(_xlfn.XLOOKUP($A22,'3-TECHNICAL TABULATION'!$A:$A,'3-TECHNICAL TABULATION'!C:C)="","",_xlfn.XLOOKUP($A22,'3-TECHNICAL TABULATION'!$A:$A,'3-TECHNICAL TABULATION'!C:C)),"")</f>
        <v/>
      </c>
      <c r="D22" s="45" t="str">
        <f>IFERROR(IF(_xlfn.XLOOKUP($A22,'3-TECHNICAL TABULATION'!$A:$A,'3-TECHNICAL TABULATION'!D:D)="","",_xlfn.XLOOKUP($A22,'3-TECHNICAL TABULATION'!$A:$A,'3-TECHNICAL TABULATION'!D:D)),"")</f>
        <v/>
      </c>
    </row>
    <row r="23" spans="1:4" x14ac:dyDescent="0.25">
      <c r="A23" s="15" t="s">
        <v>405</v>
      </c>
      <c r="B23" s="76" t="str">
        <f>IFERROR(IF(_xlfn.XLOOKUP($A23,'3-TECHNICAL TABULATION'!$A:$A,'3-TECHNICAL TABULATION'!B:B)="","",_xlfn.XLOOKUP($A23,'3-TECHNICAL TABULATION'!$A:$A,'3-TECHNICAL TABULATION'!B:B)),"")</f>
        <v/>
      </c>
      <c r="C23" s="77" t="str">
        <f>IFERROR(IF(_xlfn.XLOOKUP($A23,'3-TECHNICAL TABULATION'!$A:$A,'3-TECHNICAL TABULATION'!C:C)="","",_xlfn.XLOOKUP($A23,'3-TECHNICAL TABULATION'!$A:$A,'3-TECHNICAL TABULATION'!C:C)),"")</f>
        <v/>
      </c>
      <c r="D23" s="78" t="str">
        <f>IFERROR(IF(_xlfn.XLOOKUP($A23,'3-TECHNICAL TABULATION'!$A:$A,'3-TECHNICAL TABULATION'!D:D)="","",_xlfn.XLOOKUP($A23,'3-TECHNICAL TABULATION'!$A:$A,'3-TECHNICAL TABULATION'!D:D)),"")</f>
        <v/>
      </c>
    </row>
    <row r="24" spans="1:4" x14ac:dyDescent="0.25">
      <c r="A24" s="90" t="s">
        <v>112</v>
      </c>
      <c r="B24" s="52" t="str">
        <f>IFERROR(IF(_xlfn.XLOOKUP($A24,'3-TECHNICAL TABULATION'!$A:$A,'3-TECHNICAL TABULATION'!B:B)="","",_xlfn.XLOOKUP($A24,'3-TECHNICAL TABULATION'!$A:$A,'3-TECHNICAL TABULATION'!B:B)),"")</f>
        <v/>
      </c>
      <c r="C24" s="38" t="str">
        <f>IFERROR(IF(_xlfn.XLOOKUP($A24,'3-TECHNICAL TABULATION'!$A:$A,'3-TECHNICAL TABULATION'!C:C)="","",_xlfn.XLOOKUP($A24,'3-TECHNICAL TABULATION'!$A:$A,'3-TECHNICAL TABULATION'!C:C)),"")</f>
        <v/>
      </c>
      <c r="D24" s="79" t="str">
        <f>IFERROR(IF(_xlfn.XLOOKUP($A24,'3-TECHNICAL TABULATION'!$A:$A,'3-TECHNICAL TABULATION'!D:D)="","",_xlfn.XLOOKUP($A24,'3-TECHNICAL TABULATION'!$A:$A,'3-TECHNICAL TABULATION'!D:D)),"")</f>
        <v/>
      </c>
    </row>
    <row r="25" spans="1:4" x14ac:dyDescent="0.25">
      <c r="A25" s="90" t="s">
        <v>113</v>
      </c>
      <c r="B25" s="52" t="str">
        <f>IFERROR(IF(_xlfn.XLOOKUP($A25,'3-TECHNICAL TABULATION'!$A:$A,'3-TECHNICAL TABULATION'!B:B)="","",_xlfn.XLOOKUP($A25,'3-TECHNICAL TABULATION'!$A:$A,'3-TECHNICAL TABULATION'!B:B)),"")</f>
        <v>m3/h</v>
      </c>
      <c r="C25" s="38" t="str">
        <f>IFERROR(IF(_xlfn.XLOOKUP($A25,'3-TECHNICAL TABULATION'!$A:$A,'3-TECHNICAL TABULATION'!C:C)="","",_xlfn.XLOOKUP($A25,'3-TECHNICAL TABULATION'!$A:$A,'3-TECHNICAL TABULATION'!C:C)),"")</f>
        <v/>
      </c>
      <c r="D25" s="79" t="str">
        <f>IFERROR(IF(_xlfn.XLOOKUP($A25,'3-TECHNICAL TABULATION'!$A:$A,'3-TECHNICAL TABULATION'!D:D)="","",_xlfn.XLOOKUP($A25,'3-TECHNICAL TABULATION'!$A:$A,'3-TECHNICAL TABULATION'!D:D)),"")</f>
        <v/>
      </c>
    </row>
    <row r="26" spans="1:4" x14ac:dyDescent="0.25">
      <c r="A26" s="90" t="s">
        <v>115</v>
      </c>
      <c r="B26" s="52" t="str">
        <f>IFERROR(IF(_xlfn.XLOOKUP($A26,'3-TECHNICAL TABULATION'!$A:$A,'3-TECHNICAL TABULATION'!B:B)="","",_xlfn.XLOOKUP($A26,'3-TECHNICAL TABULATION'!$A:$A,'3-TECHNICAL TABULATION'!B:B)),"")</f>
        <v>m</v>
      </c>
      <c r="C26" s="38" t="str">
        <f>IFERROR(IF(_xlfn.XLOOKUP($A26,'3-TECHNICAL TABULATION'!$A:$A,'3-TECHNICAL TABULATION'!C:C)="","",_xlfn.XLOOKUP($A26,'3-TECHNICAL TABULATION'!$A:$A,'3-TECHNICAL TABULATION'!C:C)),"")</f>
        <v/>
      </c>
      <c r="D26" s="79" t="str">
        <f>IFERROR(IF(_xlfn.XLOOKUP($A26,'3-TECHNICAL TABULATION'!$A:$A,'3-TECHNICAL TABULATION'!D:D)="","",_xlfn.XLOOKUP($A26,'3-TECHNICAL TABULATION'!$A:$A,'3-TECHNICAL TABULATION'!D:D)),"")</f>
        <v/>
      </c>
    </row>
    <row r="27" spans="1:4" x14ac:dyDescent="0.25">
      <c r="A27" s="90" t="s">
        <v>116</v>
      </c>
      <c r="B27" s="52" t="str">
        <f>IFERROR(IF(_xlfn.XLOOKUP($A27,'3-TECHNICAL TABULATION'!$A:$A,'3-TECHNICAL TABULATION'!B:B)="","",_xlfn.XLOOKUP($A27,'3-TECHNICAL TABULATION'!$A:$A,'3-TECHNICAL TABULATION'!B:B)),"")</f>
        <v>m</v>
      </c>
      <c r="C27" s="38" t="str">
        <f>IFERROR(IF(_xlfn.XLOOKUP($A27,'3-TECHNICAL TABULATION'!$A:$A,'3-TECHNICAL TABULATION'!C:C)="","",_xlfn.XLOOKUP($A27,'3-TECHNICAL TABULATION'!$A:$A,'3-TECHNICAL TABULATION'!C:C)),"")</f>
        <v/>
      </c>
      <c r="D27" s="79" t="str">
        <f>IFERROR(IF(_xlfn.XLOOKUP($A27,'3-TECHNICAL TABULATION'!$A:$A,'3-TECHNICAL TABULATION'!D:D)="","",_xlfn.XLOOKUP($A27,'3-TECHNICAL TABULATION'!$A:$A,'3-TECHNICAL TABULATION'!D:D)),"")</f>
        <v/>
      </c>
    </row>
    <row r="28" spans="1:4" x14ac:dyDescent="0.25">
      <c r="A28" s="90" t="s">
        <v>118</v>
      </c>
      <c r="B28" s="52" t="str">
        <f>IFERROR(IF(_xlfn.XLOOKUP($A28,'3-TECHNICAL TABULATION'!$A:$A,'3-TECHNICAL TABULATION'!B:B)="","",_xlfn.XLOOKUP($A28,'3-TECHNICAL TABULATION'!$A:$A,'3-TECHNICAL TABULATION'!B:B)),"")</f>
        <v>m</v>
      </c>
      <c r="C28" s="38" t="str">
        <f>IFERROR(IF(_xlfn.XLOOKUP($A28,'3-TECHNICAL TABULATION'!$A:$A,'3-TECHNICAL TABULATION'!C:C)="","",_xlfn.XLOOKUP($A28,'3-TECHNICAL TABULATION'!$A:$A,'3-TECHNICAL TABULATION'!C:C)),"")</f>
        <v/>
      </c>
      <c r="D28" s="79" t="str">
        <f>IFERROR(IF(_xlfn.XLOOKUP($A28,'3-TECHNICAL TABULATION'!$A:$A,'3-TECHNICAL TABULATION'!D:D)="","",_xlfn.XLOOKUP($A28,'3-TECHNICAL TABULATION'!$A:$A,'3-TECHNICAL TABULATION'!D:D)),"")</f>
        <v/>
      </c>
    </row>
    <row r="29" spans="1:4" x14ac:dyDescent="0.25">
      <c r="A29" s="90" t="s">
        <v>119</v>
      </c>
      <c r="B29" s="52" t="str">
        <f>IFERROR(IF(_xlfn.XLOOKUP($A29,'3-TECHNICAL TABULATION'!$A:$A,'3-TECHNICAL TABULATION'!B:B)="","",_xlfn.XLOOKUP($A29,'3-TECHNICAL TABULATION'!$A:$A,'3-TECHNICAL TABULATION'!B:B)),"")</f>
        <v>m</v>
      </c>
      <c r="C29" s="38" t="str">
        <f>IFERROR(IF(_xlfn.XLOOKUP($A29,'3-TECHNICAL TABULATION'!$A:$A,'3-TECHNICAL TABULATION'!C:C)="","",_xlfn.XLOOKUP($A29,'3-TECHNICAL TABULATION'!$A:$A,'3-TECHNICAL TABULATION'!C:C)),"")</f>
        <v/>
      </c>
      <c r="D29" s="79" t="str">
        <f>IFERROR(IF(_xlfn.XLOOKUP($A29,'3-TECHNICAL TABULATION'!$A:$A,'3-TECHNICAL TABULATION'!D:D)="","",_xlfn.XLOOKUP($A29,'3-TECHNICAL TABULATION'!$A:$A,'3-TECHNICAL TABULATION'!D:D)),"")</f>
        <v/>
      </c>
    </row>
    <row r="30" spans="1:4" x14ac:dyDescent="0.25">
      <c r="A30" s="90" t="s">
        <v>120</v>
      </c>
      <c r="B30" s="52" t="str">
        <f>IFERROR(IF(_xlfn.XLOOKUP($A30,'3-TECHNICAL TABULATION'!$A:$A,'3-TECHNICAL TABULATION'!B:B)="","",_xlfn.XLOOKUP($A30,'3-TECHNICAL TABULATION'!$A:$A,'3-TECHNICAL TABULATION'!B:B)),"")</f>
        <v>rpm</v>
      </c>
      <c r="C30" s="38" t="str">
        <f>IFERROR(IF(_xlfn.XLOOKUP($A30,'3-TECHNICAL TABULATION'!$A:$A,'3-TECHNICAL TABULATION'!C:C)="","",_xlfn.XLOOKUP($A30,'3-TECHNICAL TABULATION'!$A:$A,'3-TECHNICAL TABULATION'!C:C)),"")</f>
        <v/>
      </c>
      <c r="D30" s="79" t="str">
        <f>IFERROR(IF(_xlfn.XLOOKUP($A30,'3-TECHNICAL TABULATION'!$A:$A,'3-TECHNICAL TABULATION'!D:D)="","",_xlfn.XLOOKUP($A30,'3-TECHNICAL TABULATION'!$A:$A,'3-TECHNICAL TABULATION'!D:D)),"")</f>
        <v/>
      </c>
    </row>
    <row r="31" spans="1:4" x14ac:dyDescent="0.25">
      <c r="A31" s="90" t="s">
        <v>124</v>
      </c>
      <c r="B31" s="52" t="str">
        <f>IFERROR(IF(_xlfn.XLOOKUP($A31,'3-TECHNICAL TABULATION'!$A:$A,'3-TECHNICAL TABULATION'!B:B)="","",_xlfn.XLOOKUP($A31,'3-TECHNICAL TABULATION'!$A:$A,'3-TECHNICAL TABULATION'!B:B)),"")</f>
        <v>%</v>
      </c>
      <c r="C31" s="38" t="str">
        <f>IFERROR(IF(_xlfn.XLOOKUP($A31,'3-TECHNICAL TABULATION'!$A:$A,'3-TECHNICAL TABULATION'!C:C)="","",_xlfn.XLOOKUP($A31,'3-TECHNICAL TABULATION'!$A:$A,'3-TECHNICAL TABULATION'!C:C)),"")</f>
        <v/>
      </c>
      <c r="D31" s="79" t="str">
        <f>IFERROR(IF(_xlfn.XLOOKUP($A31,'3-TECHNICAL TABULATION'!$A:$A,'3-TECHNICAL TABULATION'!D:D)="","",_xlfn.XLOOKUP($A31,'3-TECHNICAL TABULATION'!$A:$A,'3-TECHNICAL TABULATION'!D:D)),"")</f>
        <v/>
      </c>
    </row>
    <row r="32" spans="1:4" x14ac:dyDescent="0.25">
      <c r="A32" s="90" t="s">
        <v>123</v>
      </c>
      <c r="B32" s="52" t="str">
        <f>IFERROR(IF(_xlfn.XLOOKUP($A32,'3-TECHNICAL TABULATION'!$A:$A,'3-TECHNICAL TABULATION'!B:B)="","",_xlfn.XLOOKUP($A32,'3-TECHNICAL TABULATION'!$A:$A,'3-TECHNICAL TABULATION'!B:B)),"")</f>
        <v>kW</v>
      </c>
      <c r="C32" s="38" t="str">
        <f>IFERROR(IF(_xlfn.XLOOKUP($A32,'3-TECHNICAL TABULATION'!$A:$A,'3-TECHNICAL TABULATION'!C:C)="","",_xlfn.XLOOKUP($A32,'3-TECHNICAL TABULATION'!$A:$A,'3-TECHNICAL TABULATION'!C:C)),"")</f>
        <v/>
      </c>
      <c r="D32" s="79" t="str">
        <f>IFERROR(IF(_xlfn.XLOOKUP($A32,'3-TECHNICAL TABULATION'!$A:$A,'3-TECHNICAL TABULATION'!D:D)="","",_xlfn.XLOOKUP($A32,'3-TECHNICAL TABULATION'!$A:$A,'3-TECHNICAL TABULATION'!D:D)),"")</f>
        <v/>
      </c>
    </row>
    <row r="33" spans="1:4" x14ac:dyDescent="0.25">
      <c r="A33" s="90" t="s">
        <v>126</v>
      </c>
      <c r="B33" s="52" t="str">
        <f>IFERROR(IF(_xlfn.XLOOKUP($A33,'3-TECHNICAL TABULATION'!$A:$A,'3-TECHNICAL TABULATION'!B:B)="","",_xlfn.XLOOKUP($A33,'3-TECHNICAL TABULATION'!$A:$A,'3-TECHNICAL TABULATION'!B:B)),"")</f>
        <v>bar.g</v>
      </c>
      <c r="C33" s="38" t="str">
        <f>IFERROR(IF(_xlfn.XLOOKUP($A33,'3-TECHNICAL TABULATION'!$A:$A,'3-TECHNICAL TABULATION'!C:C)="","",_xlfn.XLOOKUP($A33,'3-TECHNICAL TABULATION'!$A:$A,'3-TECHNICAL TABULATION'!C:C)),"")</f>
        <v/>
      </c>
      <c r="D33" s="79" t="str">
        <f>IFERROR(IF(_xlfn.XLOOKUP($A33,'3-TECHNICAL TABULATION'!$A:$A,'3-TECHNICAL TABULATION'!D:D)="","",_xlfn.XLOOKUP($A33,'3-TECHNICAL TABULATION'!$A:$A,'3-TECHNICAL TABULATION'!D:D)),"")</f>
        <v/>
      </c>
    </row>
    <row r="34" spans="1:4" x14ac:dyDescent="0.25">
      <c r="A34" s="90" t="s">
        <v>96</v>
      </c>
      <c r="B34" s="52" t="str">
        <f>IFERROR(IF(_xlfn.XLOOKUP($A34,'3-TECHNICAL TABULATION'!$A:$A,'3-TECHNICAL TABULATION'!B:B)="","",_xlfn.XLOOKUP($A34,'3-TECHNICAL TABULATION'!$A:$A,'3-TECHNICAL TABULATION'!B:B)),"")</f>
        <v>kg/dm3</v>
      </c>
      <c r="C34" s="38" t="str">
        <f>IFERROR(IF(_xlfn.XLOOKUP($A34,'3-TECHNICAL TABULATION'!$A:$A,'3-TECHNICAL TABULATION'!C:C)="","",_xlfn.XLOOKUP($A34,'3-TECHNICAL TABULATION'!$A:$A,'3-TECHNICAL TABULATION'!C:C)),"")</f>
        <v/>
      </c>
      <c r="D34" s="79" t="str">
        <f>IFERROR(IF(_xlfn.XLOOKUP($A34,'3-TECHNICAL TABULATION'!$A:$A,'3-TECHNICAL TABULATION'!D:D)="","",_xlfn.XLOOKUP($A34,'3-TECHNICAL TABULATION'!$A:$A,'3-TECHNICAL TABULATION'!D:D)),"")</f>
        <v/>
      </c>
    </row>
    <row r="35" spans="1:4" ht="15.75" thickBot="1" x14ac:dyDescent="0.3">
      <c r="A35" s="92" t="s">
        <v>99</v>
      </c>
      <c r="B35" s="53" t="str">
        <f>IFERROR(IF(_xlfn.XLOOKUP($A35,'3-TECHNICAL TABULATION'!$A:$A,'3-TECHNICAL TABULATION'!B:B)="","",_xlfn.XLOOKUP($A35,'3-TECHNICAL TABULATION'!$A:$A,'3-TECHNICAL TABULATION'!B:B)),"")</f>
        <v>kg/dm3</v>
      </c>
      <c r="C35" s="80" t="str">
        <f>IFERROR(IF(_xlfn.XLOOKUP($A35,'3-TECHNICAL TABULATION'!$A:$A,'3-TECHNICAL TABULATION'!C:C)="","",_xlfn.XLOOKUP($A35,'3-TECHNICAL TABULATION'!$A:$A,'3-TECHNICAL TABULATION'!C:C)),"")</f>
        <v/>
      </c>
      <c r="D35" s="81" t="str">
        <f>IFERROR(IF(_xlfn.XLOOKUP($A35,'3-TECHNICAL TABULATION'!$A:$A,'3-TECHNICAL TABULATION'!D:D)="","",_xlfn.XLOOKUP($A35,'3-TECHNICAL TABULATION'!$A:$A,'3-TECHNICAL TABULATION'!D:D)),"")</f>
        <v/>
      </c>
    </row>
    <row r="36" spans="1:4" x14ac:dyDescent="0.25">
      <c r="A36" s="11" t="s">
        <v>423</v>
      </c>
      <c r="B36" s="51" t="str">
        <f>IFERROR(IF(_xlfn.XLOOKUP($A36,'3-TECHNICAL TABULATION'!$A:$A,'3-TECHNICAL TABULATION'!B:B)="","",_xlfn.XLOOKUP($A36,'3-TECHNICAL TABULATION'!$A:$A,'3-TECHNICAL TABULATION'!B:B)),"")</f>
        <v/>
      </c>
      <c r="C36" s="40" t="str">
        <f>IFERROR(IF(_xlfn.XLOOKUP($A36,'3-TECHNICAL TABULATION'!$A:$A,'3-TECHNICAL TABULATION'!C:C)="","",_xlfn.XLOOKUP($A36,'3-TECHNICAL TABULATION'!$A:$A,'3-TECHNICAL TABULATION'!C:C)),"")</f>
        <v/>
      </c>
      <c r="D36" s="41" t="str">
        <f>IFERROR(IF(_xlfn.XLOOKUP($A36,'3-TECHNICAL TABULATION'!$A:$A,'3-TECHNICAL TABULATION'!D:D)="","",_xlfn.XLOOKUP($A36,'3-TECHNICAL TABULATION'!$A:$A,'3-TECHNICAL TABULATION'!D:D)),"")</f>
        <v/>
      </c>
    </row>
    <row r="37" spans="1:4" x14ac:dyDescent="0.25">
      <c r="A37" s="34" t="s">
        <v>424</v>
      </c>
      <c r="B37" s="56" t="str">
        <f>IFERROR(IF(_xlfn.XLOOKUP($A37,'3-TECHNICAL TABULATION'!$A:$A,'3-TECHNICAL TABULATION'!B:B)="","",_xlfn.XLOOKUP($A37,'3-TECHNICAL TABULATION'!$A:$A,'3-TECHNICAL TABULATION'!B:B)),"")</f>
        <v/>
      </c>
      <c r="C37" s="42" t="str">
        <f>IFERROR(IF(_xlfn.XLOOKUP($A37,'3-TECHNICAL TABULATION'!$A:$A,'3-TECHNICAL TABULATION'!C:C)="","",_xlfn.XLOOKUP($A37,'3-TECHNICAL TABULATION'!$A:$A,'3-TECHNICAL TABULATION'!C:C)),"")</f>
        <v/>
      </c>
      <c r="D37" s="43" t="str">
        <f>IFERROR(IF(_xlfn.XLOOKUP($A37,'3-TECHNICAL TABULATION'!$A:$A,'3-TECHNICAL TABULATION'!D:D)="","",_xlfn.XLOOKUP($A37,'3-TECHNICAL TABULATION'!$A:$A,'3-TECHNICAL TABULATION'!D:D)),"")</f>
        <v/>
      </c>
    </row>
    <row r="38" spans="1:4" x14ac:dyDescent="0.25">
      <c r="A38" s="90" t="s">
        <v>135</v>
      </c>
      <c r="B38" s="52" t="str">
        <f>IFERROR(IF(_xlfn.XLOOKUP($A38,'3-TECHNICAL TABULATION'!$A:$A,'3-TECHNICAL TABULATION'!B:B)="","",_xlfn.XLOOKUP($A38,'3-TECHNICAL TABULATION'!$A:$A,'3-TECHNICAL TABULATION'!B:B)),"")</f>
        <v/>
      </c>
      <c r="C38" s="38" t="str">
        <f>IFERROR(IF(_xlfn.XLOOKUP($A38,'3-TECHNICAL TABULATION'!$A:$A,'3-TECHNICAL TABULATION'!C:C)="","",_xlfn.XLOOKUP($A38,'3-TECHNICAL TABULATION'!$A:$A,'3-TECHNICAL TABULATION'!C:C)),"")</f>
        <v/>
      </c>
      <c r="D38" s="39" t="str">
        <f>IFERROR(IF(_xlfn.XLOOKUP($A38,'3-TECHNICAL TABULATION'!$A:$A,'3-TECHNICAL TABULATION'!D:D)="","",_xlfn.XLOOKUP($A38,'3-TECHNICAL TABULATION'!$A:$A,'3-TECHNICAL TABULATION'!D:D)),"")</f>
        <v/>
      </c>
    </row>
    <row r="39" spans="1:4" x14ac:dyDescent="0.25">
      <c r="A39" s="90" t="s">
        <v>136</v>
      </c>
      <c r="B39" s="52" t="str">
        <f>IFERROR(IF(_xlfn.XLOOKUP($A39,'3-TECHNICAL TABULATION'!$A:$A,'3-TECHNICAL TABULATION'!B:B)="","",_xlfn.XLOOKUP($A39,'3-TECHNICAL TABULATION'!$A:$A,'3-TECHNICAL TABULATION'!B:B)),"")</f>
        <v/>
      </c>
      <c r="C39" s="38" t="str">
        <f>IFERROR(IF(_xlfn.XLOOKUP($A39,'3-TECHNICAL TABULATION'!$A:$A,'3-TECHNICAL TABULATION'!C:C)="","",_xlfn.XLOOKUP($A39,'3-TECHNICAL TABULATION'!$A:$A,'3-TECHNICAL TABULATION'!C:C)),"")</f>
        <v/>
      </c>
      <c r="D39" s="39" t="str">
        <f>IFERROR(IF(_xlfn.XLOOKUP($A39,'3-TECHNICAL TABULATION'!$A:$A,'3-TECHNICAL TABULATION'!D:D)="","",_xlfn.XLOOKUP($A39,'3-TECHNICAL TABULATION'!$A:$A,'3-TECHNICAL TABULATION'!D:D)),"")</f>
        <v/>
      </c>
    </row>
    <row r="40" spans="1:4" x14ac:dyDescent="0.25">
      <c r="A40" s="90" t="s">
        <v>137</v>
      </c>
      <c r="B40" s="52" t="str">
        <f>IFERROR(IF(_xlfn.XLOOKUP($A40,'3-TECHNICAL TABULATION'!$A:$A,'3-TECHNICAL TABULATION'!B:B)="","",_xlfn.XLOOKUP($A40,'3-TECHNICAL TABULATION'!$A:$A,'3-TECHNICAL TABULATION'!B:B)),"")</f>
        <v/>
      </c>
      <c r="C40" s="38" t="str">
        <f>IFERROR(IF(_xlfn.XLOOKUP($A40,'3-TECHNICAL TABULATION'!$A:$A,'3-TECHNICAL TABULATION'!C:C)="","",_xlfn.XLOOKUP($A40,'3-TECHNICAL TABULATION'!$A:$A,'3-TECHNICAL TABULATION'!C:C)),"")</f>
        <v/>
      </c>
      <c r="D40" s="39" t="str">
        <f>IFERROR(IF(_xlfn.XLOOKUP($A40,'3-TECHNICAL TABULATION'!$A:$A,'3-TECHNICAL TABULATION'!D:D)="","",_xlfn.XLOOKUP($A40,'3-TECHNICAL TABULATION'!$A:$A,'3-TECHNICAL TABULATION'!D:D)),"")</f>
        <v/>
      </c>
    </row>
    <row r="41" spans="1:4" ht="30" x14ac:dyDescent="0.25">
      <c r="A41" s="90" t="s">
        <v>338</v>
      </c>
      <c r="B41" s="52" t="str">
        <f>IFERROR(IF(_xlfn.XLOOKUP($A41,'3-TECHNICAL TABULATION'!$A:$A,'3-TECHNICAL TABULATION'!B:B)="","",_xlfn.XLOOKUP($A41,'3-TECHNICAL TABULATION'!$A:$A,'3-TECHNICAL TABULATION'!B:B)),"")</f>
        <v>[yes/no/yes with modification]</v>
      </c>
      <c r="C41" s="38" t="str">
        <f>IFERROR(IF(_xlfn.XLOOKUP($A41,'3-TECHNICAL TABULATION'!$A:$A,'3-TECHNICAL TABULATION'!C:C)="","",_xlfn.XLOOKUP($A41,'3-TECHNICAL TABULATION'!$A:$A,'3-TECHNICAL TABULATION'!C:C)),"")</f>
        <v/>
      </c>
      <c r="D41" s="39" t="str">
        <f>IFERROR(IF(_xlfn.XLOOKUP($A41,'3-TECHNICAL TABULATION'!$A:$A,'3-TECHNICAL TABULATION'!D:D)="","",_xlfn.XLOOKUP($A41,'3-TECHNICAL TABULATION'!$A:$A,'3-TECHNICAL TABULATION'!D:D)),"")</f>
        <v/>
      </c>
    </row>
    <row r="42" spans="1:4" ht="30" x14ac:dyDescent="0.25">
      <c r="A42" s="90" t="s">
        <v>314</v>
      </c>
      <c r="B42" s="52" t="str">
        <f>IFERROR(IF(_xlfn.XLOOKUP($A42,'3-TECHNICAL TABULATION'!$A:$A,'3-TECHNICAL TABULATION'!B:B)="","",_xlfn.XLOOKUP($A42,'3-TECHNICAL TABULATION'!$A:$A,'3-TECHNICAL TABULATION'!B:B)),"")</f>
        <v>[yes/no/yes with modification]</v>
      </c>
      <c r="C42" s="38" t="str">
        <f>IFERROR(IF(_xlfn.XLOOKUP($A42,'3-TECHNICAL TABULATION'!$A:$A,'3-TECHNICAL TABULATION'!C:C)="","",_xlfn.XLOOKUP($A42,'3-TECHNICAL TABULATION'!$A:$A,'3-TECHNICAL TABULATION'!C:C)),"")</f>
        <v/>
      </c>
      <c r="D42" s="39" t="str">
        <f>IFERROR(IF(_xlfn.XLOOKUP($A42,'3-TECHNICAL TABULATION'!$A:$A,'3-TECHNICAL TABULATION'!D:D)="","",_xlfn.XLOOKUP($A42,'3-TECHNICAL TABULATION'!$A:$A,'3-TECHNICAL TABULATION'!D:D)),"")</f>
        <v/>
      </c>
    </row>
    <row r="43" spans="1:4" x14ac:dyDescent="0.25">
      <c r="A43" s="90" t="s">
        <v>312</v>
      </c>
      <c r="B43" s="52" t="str">
        <f>IFERROR(IF(_xlfn.XLOOKUP($A43,'3-TECHNICAL TABULATION'!$A:$A,'3-TECHNICAL TABULATION'!B:B)="","",_xlfn.XLOOKUP($A43,'3-TECHNICAL TABULATION'!$A:$A,'3-TECHNICAL TABULATION'!B:B)),"")</f>
        <v/>
      </c>
      <c r="C43" s="38" t="str">
        <f>IFERROR(IF(_xlfn.XLOOKUP($A43,'3-TECHNICAL TABULATION'!$A:$A,'3-TECHNICAL TABULATION'!C:C)="","",_xlfn.XLOOKUP($A43,'3-TECHNICAL TABULATION'!$A:$A,'3-TECHNICAL TABULATION'!C:C)),"")</f>
        <v/>
      </c>
      <c r="D43" s="39" t="str">
        <f>IFERROR(IF(_xlfn.XLOOKUP($A43,'3-TECHNICAL TABULATION'!$A:$A,'3-TECHNICAL TABULATION'!D:D)="","",_xlfn.XLOOKUP($A43,'3-TECHNICAL TABULATION'!$A:$A,'3-TECHNICAL TABULATION'!D:D)),"")</f>
        <v/>
      </c>
    </row>
    <row r="44" spans="1:4" x14ac:dyDescent="0.25">
      <c r="A44" s="90" t="s">
        <v>313</v>
      </c>
      <c r="B44" s="52" t="str">
        <f>IFERROR(IF(_xlfn.XLOOKUP($A44,'3-TECHNICAL TABULATION'!$A:$A,'3-TECHNICAL TABULATION'!B:B)="","",_xlfn.XLOOKUP($A44,'3-TECHNICAL TABULATION'!$A:$A,'3-TECHNICAL TABULATION'!B:B)),"")</f>
        <v/>
      </c>
      <c r="C44" s="38" t="str">
        <f>IFERROR(IF(_xlfn.XLOOKUP($A44,'3-TECHNICAL TABULATION'!$A:$A,'3-TECHNICAL TABULATION'!C:C)="","",_xlfn.XLOOKUP($A44,'3-TECHNICAL TABULATION'!$A:$A,'3-TECHNICAL TABULATION'!C:C)),"")</f>
        <v/>
      </c>
      <c r="D44" s="39" t="str">
        <f>IFERROR(IF(_xlfn.XLOOKUP($A44,'3-TECHNICAL TABULATION'!$A:$A,'3-TECHNICAL TABULATION'!D:D)="","",_xlfn.XLOOKUP($A44,'3-TECHNICAL TABULATION'!$A:$A,'3-TECHNICAL TABULATION'!D:D)),"")</f>
        <v/>
      </c>
    </row>
    <row r="45" spans="1:4" x14ac:dyDescent="0.25">
      <c r="A45" s="90" t="s">
        <v>132</v>
      </c>
      <c r="B45" s="52" t="str">
        <f>IFERROR(IF(_xlfn.XLOOKUP($A45,'3-TECHNICAL TABULATION'!$A:$A,'3-TECHNICAL TABULATION'!B:B)="","",_xlfn.XLOOKUP($A45,'3-TECHNICAL TABULATION'!$A:$A,'3-TECHNICAL TABULATION'!B:B)),"")</f>
        <v>mm</v>
      </c>
      <c r="C45" s="38" t="str">
        <f>IFERROR(IF(_xlfn.XLOOKUP($A45,'3-TECHNICAL TABULATION'!$A:$A,'3-TECHNICAL TABULATION'!C:C)="","",_xlfn.XLOOKUP($A45,'3-TECHNICAL TABULATION'!$A:$A,'3-TECHNICAL TABULATION'!C:C)),"")</f>
        <v/>
      </c>
      <c r="D45" s="39" t="str">
        <f>IFERROR(IF(_xlfn.XLOOKUP($A45,'3-TECHNICAL TABULATION'!$A:$A,'3-TECHNICAL TABULATION'!D:D)="","",_xlfn.XLOOKUP($A45,'3-TECHNICAL TABULATION'!$A:$A,'3-TECHNICAL TABULATION'!D:D)),"")</f>
        <v/>
      </c>
    </row>
    <row r="46" spans="1:4" x14ac:dyDescent="0.25">
      <c r="A46" s="90" t="s">
        <v>133</v>
      </c>
      <c r="B46" s="52" t="str">
        <f>IFERROR(IF(_xlfn.XLOOKUP($A46,'3-TECHNICAL TABULATION'!$A:$A,'3-TECHNICAL TABULATION'!B:B)="","",_xlfn.XLOOKUP($A46,'3-TECHNICAL TABULATION'!$A:$A,'3-TECHNICAL TABULATION'!B:B)),"")</f>
        <v>mm</v>
      </c>
      <c r="C46" s="38" t="str">
        <f>IFERROR(IF(_xlfn.XLOOKUP($A46,'3-TECHNICAL TABULATION'!$A:$A,'3-TECHNICAL TABULATION'!C:C)="","",_xlfn.XLOOKUP($A46,'3-TECHNICAL TABULATION'!$A:$A,'3-TECHNICAL TABULATION'!C:C)),"")</f>
        <v/>
      </c>
      <c r="D46" s="39" t="str">
        <f>IFERROR(IF(_xlfn.XLOOKUP($A46,'3-TECHNICAL TABULATION'!$A:$A,'3-TECHNICAL TABULATION'!D:D)="","",_xlfn.XLOOKUP($A46,'3-TECHNICAL TABULATION'!$A:$A,'3-TECHNICAL TABULATION'!D:D)),"")</f>
        <v/>
      </c>
    </row>
    <row r="47" spans="1:4" x14ac:dyDescent="0.25">
      <c r="A47" s="90" t="s">
        <v>134</v>
      </c>
      <c r="B47" s="52" t="str">
        <f>IFERROR(IF(_xlfn.XLOOKUP($A47,'3-TECHNICAL TABULATION'!$A:$A,'3-TECHNICAL TABULATION'!B:B)="","",_xlfn.XLOOKUP($A47,'3-TECHNICAL TABULATION'!$A:$A,'3-TECHNICAL TABULATION'!B:B)),"")</f>
        <v>mm</v>
      </c>
      <c r="C47" s="38" t="str">
        <f>IFERROR(IF(_xlfn.XLOOKUP($A47,'3-TECHNICAL TABULATION'!$A:$A,'3-TECHNICAL TABULATION'!C:C)="","",_xlfn.XLOOKUP($A47,'3-TECHNICAL TABULATION'!$A:$A,'3-TECHNICAL TABULATION'!C:C)),"")</f>
        <v/>
      </c>
      <c r="D47" s="39" t="str">
        <f>IFERROR(IF(_xlfn.XLOOKUP($A47,'3-TECHNICAL TABULATION'!$A:$A,'3-TECHNICAL TABULATION'!D:D)="","",_xlfn.XLOOKUP($A47,'3-TECHNICAL TABULATION'!$A:$A,'3-TECHNICAL TABULATION'!D:D)),"")</f>
        <v/>
      </c>
    </row>
    <row r="48" spans="1:4" x14ac:dyDescent="0.25">
      <c r="A48" s="90" t="s">
        <v>153</v>
      </c>
      <c r="B48" s="52" t="str">
        <f>IFERROR(IF(_xlfn.XLOOKUP($A48,'3-TECHNICAL TABULATION'!$A:$A,'3-TECHNICAL TABULATION'!B:B)="","",_xlfn.XLOOKUP($A48,'3-TECHNICAL TABULATION'!$A:$A,'3-TECHNICAL TABULATION'!B:B)),"")</f>
        <v>mm</v>
      </c>
      <c r="C48" s="38" t="str">
        <f>IFERROR(IF(_xlfn.XLOOKUP($A48,'3-TECHNICAL TABULATION'!$A:$A,'3-TECHNICAL TABULATION'!C:C)="","",_xlfn.XLOOKUP($A48,'3-TECHNICAL TABULATION'!$A:$A,'3-TECHNICAL TABULATION'!C:C)),"")</f>
        <v/>
      </c>
      <c r="D48" s="39" t="str">
        <f>IFERROR(IF(_xlfn.XLOOKUP($A48,'3-TECHNICAL TABULATION'!$A:$A,'3-TECHNICAL TABULATION'!D:D)="","",_xlfn.XLOOKUP($A48,'3-TECHNICAL TABULATION'!$A:$A,'3-TECHNICAL TABULATION'!D:D)),"")</f>
        <v/>
      </c>
    </row>
    <row r="49" spans="1:4" x14ac:dyDescent="0.25">
      <c r="A49" s="96" t="s">
        <v>211</v>
      </c>
      <c r="B49" s="52" t="str">
        <f>IFERROR(IF(_xlfn.XLOOKUP($A49,'3-TECHNICAL TABULATION'!$A:$A,'3-TECHNICAL TABULATION'!B:B)="","",_xlfn.XLOOKUP($A49,'3-TECHNICAL TABULATION'!$A:$A,'3-TECHNICAL TABULATION'!B:B)),"")</f>
        <v>[yes/no]</v>
      </c>
      <c r="C49" s="38" t="str">
        <f>IFERROR(IF(_xlfn.XLOOKUP($A49,'3-TECHNICAL TABULATION'!$A:$A,'3-TECHNICAL TABULATION'!C:C)="","",_xlfn.XLOOKUP($A49,'3-TECHNICAL TABULATION'!$A:$A,'3-TECHNICAL TABULATION'!C:C)),"")</f>
        <v/>
      </c>
      <c r="D49" s="39" t="str">
        <f>IFERROR(IF(_xlfn.XLOOKUP($A49,'3-TECHNICAL TABULATION'!$A:$A,'3-TECHNICAL TABULATION'!D:D)="","",_xlfn.XLOOKUP($A49,'3-TECHNICAL TABULATION'!$A:$A,'3-TECHNICAL TABULATION'!D:D)),"")</f>
        <v/>
      </c>
    </row>
    <row r="50" spans="1:4" x14ac:dyDescent="0.25">
      <c r="A50" s="96" t="s">
        <v>212</v>
      </c>
      <c r="B50" s="52" t="str">
        <f>IFERROR(IF(_xlfn.XLOOKUP($A50,'3-TECHNICAL TABULATION'!$A:$A,'3-TECHNICAL TABULATION'!B:B)="","",_xlfn.XLOOKUP($A50,'3-TECHNICAL TABULATION'!$A:$A,'3-TECHNICAL TABULATION'!B:B)),"")</f>
        <v>[yes/no]</v>
      </c>
      <c r="C50" s="38" t="str">
        <f>IFERROR(IF(_xlfn.XLOOKUP($A50,'3-TECHNICAL TABULATION'!$A:$A,'3-TECHNICAL TABULATION'!C:C)="","",_xlfn.XLOOKUP($A50,'3-TECHNICAL TABULATION'!$A:$A,'3-TECHNICAL TABULATION'!C:C)),"")</f>
        <v/>
      </c>
      <c r="D50" s="39" t="str">
        <f>IFERROR(IF(_xlfn.XLOOKUP($A50,'3-TECHNICAL TABULATION'!$A:$A,'3-TECHNICAL TABULATION'!D:D)="","",_xlfn.XLOOKUP($A50,'3-TECHNICAL TABULATION'!$A:$A,'3-TECHNICAL TABULATION'!D:D)),"")</f>
        <v/>
      </c>
    </row>
    <row r="51" spans="1:4" x14ac:dyDescent="0.25">
      <c r="A51" s="90" t="s">
        <v>346</v>
      </c>
      <c r="B51" s="52" t="str">
        <f>IFERROR(IF(_xlfn.XLOOKUP($A51,'3-TECHNICAL TABULATION'!$A:$A,'3-TECHNICAL TABULATION'!B:B)="","",_xlfn.XLOOKUP($A51,'3-TECHNICAL TABULATION'!$A:$A,'3-TECHNICAL TABULATION'!B:B)),"")</f>
        <v>[yes/no]</v>
      </c>
      <c r="C51" s="38" t="str">
        <f>IFERROR(IF(_xlfn.XLOOKUP($A51,'3-TECHNICAL TABULATION'!$A:$A,'3-TECHNICAL TABULATION'!C:C)="","",_xlfn.XLOOKUP($A51,'3-TECHNICAL TABULATION'!$A:$A,'3-TECHNICAL TABULATION'!C:C)),"")</f>
        <v/>
      </c>
      <c r="D51" s="39" t="str">
        <f>IFERROR(IF(_xlfn.XLOOKUP($A51,'3-TECHNICAL TABULATION'!$A:$A,'3-TECHNICAL TABULATION'!D:D)="","",_xlfn.XLOOKUP($A51,'3-TECHNICAL TABULATION'!$A:$A,'3-TECHNICAL TABULATION'!D:D)),"")</f>
        <v/>
      </c>
    </row>
    <row r="52" spans="1:4" x14ac:dyDescent="0.25">
      <c r="A52" s="90" t="s">
        <v>347</v>
      </c>
      <c r="B52" s="52" t="str">
        <f>IFERROR(IF(_xlfn.XLOOKUP($A52,'3-TECHNICAL TABULATION'!$A:$A,'3-TECHNICAL TABULATION'!B:B)="","",_xlfn.XLOOKUP($A52,'3-TECHNICAL TABULATION'!$A:$A,'3-TECHNICAL TABULATION'!B:B)),"")</f>
        <v>[yes/no]</v>
      </c>
      <c r="C52" s="38" t="str">
        <f>IFERROR(IF(_xlfn.XLOOKUP($A52,'3-TECHNICAL TABULATION'!$A:$A,'3-TECHNICAL TABULATION'!C:C)="","",_xlfn.XLOOKUP($A52,'3-TECHNICAL TABULATION'!$A:$A,'3-TECHNICAL TABULATION'!C:C)),"")</f>
        <v/>
      </c>
      <c r="D52" s="39" t="str">
        <f>IFERROR(IF(_xlfn.XLOOKUP($A52,'3-TECHNICAL TABULATION'!$A:$A,'3-TECHNICAL TABULATION'!D:D)="","",_xlfn.XLOOKUP($A52,'3-TECHNICAL TABULATION'!$A:$A,'3-TECHNICAL TABULATION'!D:D)),"")</f>
        <v/>
      </c>
    </row>
    <row r="53" spans="1:4" x14ac:dyDescent="0.25">
      <c r="A53" s="90" t="s">
        <v>348</v>
      </c>
      <c r="B53" s="52" t="str">
        <f>IFERROR(IF(_xlfn.XLOOKUP($A53,'3-TECHNICAL TABULATION'!$A:$A,'3-TECHNICAL TABULATION'!B:B)="","",_xlfn.XLOOKUP($A53,'3-TECHNICAL TABULATION'!$A:$A,'3-TECHNICAL TABULATION'!B:B)),"")</f>
        <v>[yes/no]</v>
      </c>
      <c r="C53" s="38" t="str">
        <f>IFERROR(IF(_xlfn.XLOOKUP($A53,'3-TECHNICAL TABULATION'!$A:$A,'3-TECHNICAL TABULATION'!C:C)="","",_xlfn.XLOOKUP($A53,'3-TECHNICAL TABULATION'!$A:$A,'3-TECHNICAL TABULATION'!C:C)),"")</f>
        <v/>
      </c>
      <c r="D53" s="39" t="str">
        <f>IFERROR(IF(_xlfn.XLOOKUP($A53,'3-TECHNICAL TABULATION'!$A:$A,'3-TECHNICAL TABULATION'!D:D)="","",_xlfn.XLOOKUP($A53,'3-TECHNICAL TABULATION'!$A:$A,'3-TECHNICAL TABULATION'!D:D)),"")</f>
        <v/>
      </c>
    </row>
    <row r="54" spans="1:4" x14ac:dyDescent="0.25">
      <c r="A54" s="90" t="s">
        <v>138</v>
      </c>
      <c r="B54" s="52" t="str">
        <f>IFERROR(IF(_xlfn.XLOOKUP($A54,'3-TECHNICAL TABULATION'!$A:$A,'3-TECHNICAL TABULATION'!B:B)="","",_xlfn.XLOOKUP($A54,'3-TECHNICAL TABULATION'!$A:$A,'3-TECHNICAL TABULATION'!B:B)),"")</f>
        <v>[yes/no]</v>
      </c>
      <c r="C54" s="38" t="str">
        <f>IFERROR(IF(_xlfn.XLOOKUP($A54,'3-TECHNICAL TABULATION'!$A:$A,'3-TECHNICAL TABULATION'!C:C)="","",_xlfn.XLOOKUP($A54,'3-TECHNICAL TABULATION'!$A:$A,'3-TECHNICAL TABULATION'!C:C)),"")</f>
        <v/>
      </c>
      <c r="D54" s="39" t="str">
        <f>IFERROR(IF(_xlfn.XLOOKUP($A54,'3-TECHNICAL TABULATION'!$A:$A,'3-TECHNICAL TABULATION'!D:D)="","",_xlfn.XLOOKUP($A54,'3-TECHNICAL TABULATION'!$A:$A,'3-TECHNICAL TABULATION'!D:D)),"")</f>
        <v/>
      </c>
    </row>
    <row r="55" spans="1:4" x14ac:dyDescent="0.25">
      <c r="A55" s="90" t="s">
        <v>139</v>
      </c>
      <c r="B55" s="52" t="str">
        <f>IFERROR(IF(_xlfn.XLOOKUP($A55,'3-TECHNICAL TABULATION'!$A:$A,'3-TECHNICAL TABULATION'!B:B)="","",_xlfn.XLOOKUP($A55,'3-TECHNICAL TABULATION'!$A:$A,'3-TECHNICAL TABULATION'!B:B)),"")</f>
        <v>[yes/no]</v>
      </c>
      <c r="C55" s="38" t="str">
        <f>IFERROR(IF(_xlfn.XLOOKUP($A55,'3-TECHNICAL TABULATION'!$A:$A,'3-TECHNICAL TABULATION'!C:C)="","",_xlfn.XLOOKUP($A55,'3-TECHNICAL TABULATION'!$A:$A,'3-TECHNICAL TABULATION'!C:C)),"")</f>
        <v/>
      </c>
      <c r="D55" s="39" t="str">
        <f>IFERROR(IF(_xlfn.XLOOKUP($A55,'3-TECHNICAL TABULATION'!$A:$A,'3-TECHNICAL TABULATION'!D:D)="","",_xlfn.XLOOKUP($A55,'3-TECHNICAL TABULATION'!$A:$A,'3-TECHNICAL TABULATION'!D:D)),"")</f>
        <v/>
      </c>
    </row>
    <row r="56" spans="1:4" x14ac:dyDescent="0.25">
      <c r="A56" s="90" t="s">
        <v>140</v>
      </c>
      <c r="B56" s="52" t="str">
        <f>IFERROR(IF(_xlfn.XLOOKUP($A56,'3-TECHNICAL TABULATION'!$A:$A,'3-TECHNICAL TABULATION'!B:B)="","",_xlfn.XLOOKUP($A56,'3-TECHNICAL TABULATION'!$A:$A,'3-TECHNICAL TABULATION'!B:B)),"")</f>
        <v>[yes/no]</v>
      </c>
      <c r="C56" s="38" t="str">
        <f>IFERROR(IF(_xlfn.XLOOKUP($A56,'3-TECHNICAL TABULATION'!$A:$A,'3-TECHNICAL TABULATION'!C:C)="","",_xlfn.XLOOKUP($A56,'3-TECHNICAL TABULATION'!$A:$A,'3-TECHNICAL TABULATION'!C:C)),"")</f>
        <v/>
      </c>
      <c r="D56" s="39" t="str">
        <f>IFERROR(IF(_xlfn.XLOOKUP($A56,'3-TECHNICAL TABULATION'!$A:$A,'3-TECHNICAL TABULATION'!D:D)="","",_xlfn.XLOOKUP($A56,'3-TECHNICAL TABULATION'!$A:$A,'3-TECHNICAL TABULATION'!D:D)),"")</f>
        <v/>
      </c>
    </row>
    <row r="57" spans="1:4" x14ac:dyDescent="0.25">
      <c r="A57" s="90" t="s">
        <v>326</v>
      </c>
      <c r="B57" s="52" t="str">
        <f>IFERROR(IF(_xlfn.XLOOKUP($A57,'3-TECHNICAL TABULATION'!$A:$A,'3-TECHNICAL TABULATION'!B:B)="","",_xlfn.XLOOKUP($A57,'3-TECHNICAL TABULATION'!$A:$A,'3-TECHNICAL TABULATION'!B:B)),"")</f>
        <v>[yes/no]</v>
      </c>
      <c r="C57" s="38" t="str">
        <f>IFERROR(IF(_xlfn.XLOOKUP($A57,'3-TECHNICAL TABULATION'!$A:$A,'3-TECHNICAL TABULATION'!C:C)="","",_xlfn.XLOOKUP($A57,'3-TECHNICAL TABULATION'!$A:$A,'3-TECHNICAL TABULATION'!C:C)),"")</f>
        <v/>
      </c>
      <c r="D57" s="39" t="str">
        <f>IFERROR(IF(_xlfn.XLOOKUP($A57,'3-TECHNICAL TABULATION'!$A:$A,'3-TECHNICAL TABULATION'!D:D)="","",_xlfn.XLOOKUP($A57,'3-TECHNICAL TABULATION'!$A:$A,'3-TECHNICAL TABULATION'!D:D)),"")</f>
        <v/>
      </c>
    </row>
    <row r="58" spans="1:4" x14ac:dyDescent="0.25">
      <c r="A58" s="90" t="s">
        <v>156</v>
      </c>
      <c r="B58" s="52" t="str">
        <f>IFERROR(IF(_xlfn.XLOOKUP($A58,'3-TECHNICAL TABULATION'!$A:$A,'3-TECHNICAL TABULATION'!B:B)="","",_xlfn.XLOOKUP($A58,'3-TECHNICAL TABULATION'!$A:$A,'3-TECHNICAL TABULATION'!B:B)),"")</f>
        <v>[mm/no orifice]</v>
      </c>
      <c r="C58" s="38" t="str">
        <f>IFERROR(IF(_xlfn.XLOOKUP($A58,'3-TECHNICAL TABULATION'!$A:$A,'3-TECHNICAL TABULATION'!C:C)="","",_xlfn.XLOOKUP($A58,'3-TECHNICAL TABULATION'!$A:$A,'3-TECHNICAL TABULATION'!C:C)),"")</f>
        <v/>
      </c>
      <c r="D58" s="39" t="str">
        <f>IFERROR(IF(_xlfn.XLOOKUP($A58,'3-TECHNICAL TABULATION'!$A:$A,'3-TECHNICAL TABULATION'!D:D)="","",_xlfn.XLOOKUP($A58,'3-TECHNICAL TABULATION'!$A:$A,'3-TECHNICAL TABULATION'!D:D)),"")</f>
        <v/>
      </c>
    </row>
    <row r="59" spans="1:4" ht="30" x14ac:dyDescent="0.25">
      <c r="A59" s="96" t="s">
        <v>429</v>
      </c>
      <c r="B59" s="52" t="str">
        <f>IFERROR(IF(_xlfn.XLOOKUP($A59,'3-TECHNICAL TABULATION'!$A:$A,'3-TECHNICAL TABULATION'!B:B)="","",_xlfn.XLOOKUP($A59,'3-TECHNICAL TABULATION'!$A:$A,'3-TECHNICAL TABULATION'!B:B)),"")</f>
        <v>[yes/no]</v>
      </c>
      <c r="C59" s="38" t="str">
        <f>IFERROR(IF(_xlfn.XLOOKUP($A59,'3-TECHNICAL TABULATION'!$A:$A,'3-TECHNICAL TABULATION'!C:C)="","",_xlfn.XLOOKUP($A59,'3-TECHNICAL TABULATION'!$A:$A,'3-TECHNICAL TABULATION'!C:C)),"")</f>
        <v/>
      </c>
      <c r="D59" s="39" t="str">
        <f>IFERROR(IF(_xlfn.XLOOKUP($A59,'3-TECHNICAL TABULATION'!$A:$A,'3-TECHNICAL TABULATION'!D:D)="","",_xlfn.XLOOKUP($A59,'3-TECHNICAL TABULATION'!$A:$A,'3-TECHNICAL TABULATION'!D:D)),"")</f>
        <v/>
      </c>
    </row>
    <row r="60" spans="1:4" x14ac:dyDescent="0.25">
      <c r="A60" s="96" t="s">
        <v>158</v>
      </c>
      <c r="B60" s="52" t="str">
        <f>IFERROR(IF(_xlfn.XLOOKUP($A60,'3-TECHNICAL TABULATION'!$A:$A,'3-TECHNICAL TABULATION'!B:B)="","",_xlfn.XLOOKUP($A60,'3-TECHNICAL TABULATION'!$A:$A,'3-TECHNICAL TABULATION'!B:B)),"")</f>
        <v>[none/list]</v>
      </c>
      <c r="C60" s="38" t="str">
        <f>IFERROR(IF(_xlfn.XLOOKUP($A60,'3-TECHNICAL TABULATION'!$A:$A,'3-TECHNICAL TABULATION'!C:C)="","",_xlfn.XLOOKUP($A60,'3-TECHNICAL TABULATION'!$A:$A,'3-TECHNICAL TABULATION'!C:C)),"")</f>
        <v/>
      </c>
      <c r="D60" s="39" t="str">
        <f>IFERROR(IF(_xlfn.XLOOKUP($A60,'3-TECHNICAL TABULATION'!$A:$A,'3-TECHNICAL TABULATION'!D:D)="","",_xlfn.XLOOKUP($A60,'3-TECHNICAL TABULATION'!$A:$A,'3-TECHNICAL TABULATION'!D:D)),"")</f>
        <v/>
      </c>
    </row>
    <row r="61" spans="1:4" x14ac:dyDescent="0.25">
      <c r="A61" s="90" t="s">
        <v>160</v>
      </c>
      <c r="B61" s="52" t="str">
        <f>IFERROR(IF(_xlfn.XLOOKUP($A61,'3-TECHNICAL TABULATION'!$A:$A,'3-TECHNICAL TABULATION'!B:B)="","",_xlfn.XLOOKUP($A61,'3-TECHNICAL TABULATION'!$A:$A,'3-TECHNICAL TABULATION'!B:B)),"")</f>
        <v/>
      </c>
      <c r="C61" s="38" t="str">
        <f>IFERROR(IF(_xlfn.XLOOKUP($A61,'3-TECHNICAL TABULATION'!$A:$A,'3-TECHNICAL TABULATION'!C:C)="","",_xlfn.XLOOKUP($A61,'3-TECHNICAL TABULATION'!$A:$A,'3-TECHNICAL TABULATION'!C:C)),"")</f>
        <v/>
      </c>
      <c r="D61" s="39" t="str">
        <f>IFERROR(IF(_xlfn.XLOOKUP($A61,'3-TECHNICAL TABULATION'!$A:$A,'3-TECHNICAL TABULATION'!D:D)="","",_xlfn.XLOOKUP($A61,'3-TECHNICAL TABULATION'!$A:$A,'3-TECHNICAL TABULATION'!D:D)),"")</f>
        <v/>
      </c>
    </row>
    <row r="62" spans="1:4" x14ac:dyDescent="0.25">
      <c r="A62" s="90" t="s">
        <v>161</v>
      </c>
      <c r="B62" s="52" t="str">
        <f>IFERROR(IF(_xlfn.XLOOKUP($A62,'3-TECHNICAL TABULATION'!$A:$A,'3-TECHNICAL TABULATION'!B:B)="","",_xlfn.XLOOKUP($A62,'3-TECHNICAL TABULATION'!$A:$A,'3-TECHNICAL TABULATION'!B:B)),"")</f>
        <v/>
      </c>
      <c r="C62" s="38" t="str">
        <f>IFERROR(IF(_xlfn.XLOOKUP($A62,'3-TECHNICAL TABULATION'!$A:$A,'3-TECHNICAL TABULATION'!C:C)="","",_xlfn.XLOOKUP($A62,'3-TECHNICAL TABULATION'!$A:$A,'3-TECHNICAL TABULATION'!C:C)),"")</f>
        <v/>
      </c>
      <c r="D62" s="39" t="str">
        <f>IFERROR(IF(_xlfn.XLOOKUP($A62,'3-TECHNICAL TABULATION'!$A:$A,'3-TECHNICAL TABULATION'!D:D)="","",_xlfn.XLOOKUP($A62,'3-TECHNICAL TABULATION'!$A:$A,'3-TECHNICAL TABULATION'!D:D)),"")</f>
        <v/>
      </c>
    </row>
    <row r="63" spans="1:4" x14ac:dyDescent="0.25">
      <c r="A63" s="90" t="s">
        <v>162</v>
      </c>
      <c r="B63" s="52" t="str">
        <f>IFERROR(IF(_xlfn.XLOOKUP($A63,'3-TECHNICAL TABULATION'!$A:$A,'3-TECHNICAL TABULATION'!B:B)="","",_xlfn.XLOOKUP($A63,'3-TECHNICAL TABULATION'!$A:$A,'3-TECHNICAL TABULATION'!B:B)),"")</f>
        <v/>
      </c>
      <c r="C63" s="38" t="str">
        <f>IFERROR(IF(_xlfn.XLOOKUP($A63,'3-TECHNICAL TABULATION'!$A:$A,'3-TECHNICAL TABULATION'!C:C)="","",_xlfn.XLOOKUP($A63,'3-TECHNICAL TABULATION'!$A:$A,'3-TECHNICAL TABULATION'!C:C)),"")</f>
        <v/>
      </c>
      <c r="D63" s="39" t="str">
        <f>IFERROR(IF(_xlfn.XLOOKUP($A63,'3-TECHNICAL TABULATION'!$A:$A,'3-TECHNICAL TABULATION'!D:D)="","",_xlfn.XLOOKUP($A63,'3-TECHNICAL TABULATION'!$A:$A,'3-TECHNICAL TABULATION'!D:D)),"")</f>
        <v/>
      </c>
    </row>
    <row r="64" spans="1:4" x14ac:dyDescent="0.25">
      <c r="A64" s="90" t="s">
        <v>163</v>
      </c>
      <c r="B64" s="52" t="str">
        <f>IFERROR(IF(_xlfn.XLOOKUP($A64,'3-TECHNICAL TABULATION'!$A:$A,'3-TECHNICAL TABULATION'!B:B)="","",_xlfn.XLOOKUP($A64,'3-TECHNICAL TABULATION'!$A:$A,'3-TECHNICAL TABULATION'!B:B)),"")</f>
        <v/>
      </c>
      <c r="C64" s="38" t="str">
        <f>IFERROR(IF(_xlfn.XLOOKUP($A64,'3-TECHNICAL TABULATION'!$A:$A,'3-TECHNICAL TABULATION'!C:C)="","",_xlfn.XLOOKUP($A64,'3-TECHNICAL TABULATION'!$A:$A,'3-TECHNICAL TABULATION'!C:C)),"")</f>
        <v/>
      </c>
      <c r="D64" s="39" t="str">
        <f>IFERROR(IF(_xlfn.XLOOKUP($A64,'3-TECHNICAL TABULATION'!$A:$A,'3-TECHNICAL TABULATION'!D:D)="","",_xlfn.XLOOKUP($A64,'3-TECHNICAL TABULATION'!$A:$A,'3-TECHNICAL TABULATION'!D:D)),"")</f>
        <v/>
      </c>
    </row>
    <row r="65" spans="1:4" x14ac:dyDescent="0.25">
      <c r="A65" s="90" t="s">
        <v>164</v>
      </c>
      <c r="B65" s="52" t="str">
        <f>IFERROR(IF(_xlfn.XLOOKUP($A65,'3-TECHNICAL TABULATION'!$A:$A,'3-TECHNICAL TABULATION'!B:B)="","",_xlfn.XLOOKUP($A65,'3-TECHNICAL TABULATION'!$A:$A,'3-TECHNICAL TABULATION'!B:B)),"")</f>
        <v/>
      </c>
      <c r="C65" s="38" t="str">
        <f>IFERROR(IF(_xlfn.XLOOKUP($A65,'3-TECHNICAL TABULATION'!$A:$A,'3-TECHNICAL TABULATION'!C:C)="","",_xlfn.XLOOKUP($A65,'3-TECHNICAL TABULATION'!$A:$A,'3-TECHNICAL TABULATION'!C:C)),"")</f>
        <v/>
      </c>
      <c r="D65" s="39" t="str">
        <f>IFERROR(IF(_xlfn.XLOOKUP($A65,'3-TECHNICAL TABULATION'!$A:$A,'3-TECHNICAL TABULATION'!D:D)="","",_xlfn.XLOOKUP($A65,'3-TECHNICAL TABULATION'!$A:$A,'3-TECHNICAL TABULATION'!D:D)),"")</f>
        <v/>
      </c>
    </row>
    <row r="66" spans="1:4" x14ac:dyDescent="0.25">
      <c r="A66" s="34" t="s">
        <v>165</v>
      </c>
      <c r="B66" s="56" t="str">
        <f>IFERROR(IF(_xlfn.XLOOKUP($A66,'3-TECHNICAL TABULATION'!$A:$A,'3-TECHNICAL TABULATION'!B:B)="","",_xlfn.XLOOKUP($A66,'3-TECHNICAL TABULATION'!$A:$A,'3-TECHNICAL TABULATION'!B:B)),"")</f>
        <v/>
      </c>
      <c r="C66" s="42" t="str">
        <f>IFERROR(IF(_xlfn.XLOOKUP($A66,'3-TECHNICAL TABULATION'!$A:$A,'3-TECHNICAL TABULATION'!C:C)="","",_xlfn.XLOOKUP($A66,'3-TECHNICAL TABULATION'!$A:$A,'3-TECHNICAL TABULATION'!C:C)),"")</f>
        <v/>
      </c>
      <c r="D66" s="43" t="str">
        <f>IFERROR(IF(_xlfn.XLOOKUP($A66,'3-TECHNICAL TABULATION'!$A:$A,'3-TECHNICAL TABULATION'!D:D)="","",_xlfn.XLOOKUP($A66,'3-TECHNICAL TABULATION'!$A:$A,'3-TECHNICAL TABULATION'!D:D)),"")</f>
        <v/>
      </c>
    </row>
    <row r="67" spans="1:4" x14ac:dyDescent="0.25">
      <c r="A67" s="90" t="s">
        <v>166</v>
      </c>
      <c r="B67" s="52" t="str">
        <f>IFERROR(IF(_xlfn.XLOOKUP($A67,'3-TECHNICAL TABULATION'!$A:$A,'3-TECHNICAL TABULATION'!B:B)="","",_xlfn.XLOOKUP($A67,'3-TECHNICAL TABULATION'!$A:$A,'3-TECHNICAL TABULATION'!B:B)),"")</f>
        <v>°C</v>
      </c>
      <c r="C67" s="38" t="str">
        <f>IFERROR(IF(_xlfn.XLOOKUP($A67,'3-TECHNICAL TABULATION'!$A:$A,'3-TECHNICAL TABULATION'!C:C)="","",_xlfn.XLOOKUP($A67,'3-TECHNICAL TABULATION'!$A:$A,'3-TECHNICAL TABULATION'!C:C)),"")</f>
        <v/>
      </c>
      <c r="D67" s="39" t="str">
        <f>IFERROR(IF(_xlfn.XLOOKUP($A67,'3-TECHNICAL TABULATION'!$A:$A,'3-TECHNICAL TABULATION'!D:D)="","",_xlfn.XLOOKUP($A67,'3-TECHNICAL TABULATION'!$A:$A,'3-TECHNICAL TABULATION'!D:D)),"")</f>
        <v/>
      </c>
    </row>
    <row r="68" spans="1:4" x14ac:dyDescent="0.25">
      <c r="A68" s="90" t="s">
        <v>167</v>
      </c>
      <c r="B68" s="52" t="str">
        <f>IFERROR(IF(_xlfn.XLOOKUP($A68,'3-TECHNICAL TABULATION'!$A:$A,'3-TECHNICAL TABULATION'!B:B)="","",_xlfn.XLOOKUP($A68,'3-TECHNICAL TABULATION'!$A:$A,'3-TECHNICAL TABULATION'!B:B)),"")</f>
        <v>deg C</v>
      </c>
      <c r="C68" s="38" t="str">
        <f>IFERROR(IF(_xlfn.XLOOKUP($A68,'3-TECHNICAL TABULATION'!$A:$A,'3-TECHNICAL TABULATION'!C:C)="","",_xlfn.XLOOKUP($A68,'3-TECHNICAL TABULATION'!$A:$A,'3-TECHNICAL TABULATION'!C:C)),"")</f>
        <v/>
      </c>
      <c r="D68" s="39" t="str">
        <f>IFERROR(IF(_xlfn.XLOOKUP($A68,'3-TECHNICAL TABULATION'!$A:$A,'3-TECHNICAL TABULATION'!D:D)="","",_xlfn.XLOOKUP($A68,'3-TECHNICAL TABULATION'!$A:$A,'3-TECHNICAL TABULATION'!D:D)),"")</f>
        <v/>
      </c>
    </row>
    <row r="69" spans="1:4" x14ac:dyDescent="0.25">
      <c r="A69" s="90" t="s">
        <v>345</v>
      </c>
      <c r="B69" s="52" t="str">
        <f>IFERROR(IF(_xlfn.XLOOKUP($A69,'3-TECHNICAL TABULATION'!$A:$A,'3-TECHNICAL TABULATION'!B:B)="","",_xlfn.XLOOKUP($A69,'3-TECHNICAL TABULATION'!$A:$A,'3-TECHNICAL TABULATION'!B:B)),"")</f>
        <v>bar.g</v>
      </c>
      <c r="C69" s="38" t="str">
        <f>IFERROR(IF(_xlfn.XLOOKUP($A69,'3-TECHNICAL TABULATION'!$A:$A,'3-TECHNICAL TABULATION'!C:C)="","",_xlfn.XLOOKUP($A69,'3-TECHNICAL TABULATION'!$A:$A,'3-TECHNICAL TABULATION'!C:C)),"")</f>
        <v/>
      </c>
      <c r="D69" s="39" t="str">
        <f>IFERROR(IF(_xlfn.XLOOKUP($A69,'3-TECHNICAL TABULATION'!$A:$A,'3-TECHNICAL TABULATION'!D:D)="","",_xlfn.XLOOKUP($A69,'3-TECHNICAL TABULATION'!$A:$A,'3-TECHNICAL TABULATION'!D:D)),"")</f>
        <v/>
      </c>
    </row>
    <row r="70" spans="1:4" x14ac:dyDescent="0.25">
      <c r="A70" s="90" t="s">
        <v>168</v>
      </c>
      <c r="B70" s="52" t="str">
        <f>IFERROR(IF(_xlfn.XLOOKUP($A70,'3-TECHNICAL TABULATION'!$A:$A,'3-TECHNICAL TABULATION'!B:B)="","",_xlfn.XLOOKUP($A70,'3-TECHNICAL TABULATION'!$A:$A,'3-TECHNICAL TABULATION'!B:B)),"")</f>
        <v>bar.g</v>
      </c>
      <c r="C70" s="38" t="str">
        <f>IFERROR(IF(_xlfn.XLOOKUP($A70,'3-TECHNICAL TABULATION'!$A:$A,'3-TECHNICAL TABULATION'!C:C)="","",_xlfn.XLOOKUP($A70,'3-TECHNICAL TABULATION'!$A:$A,'3-TECHNICAL TABULATION'!C:C)),"")</f>
        <v/>
      </c>
      <c r="D70" s="39" t="str">
        <f>IFERROR(IF(_xlfn.XLOOKUP($A70,'3-TECHNICAL TABULATION'!$A:$A,'3-TECHNICAL TABULATION'!D:D)="","",_xlfn.XLOOKUP($A70,'3-TECHNICAL TABULATION'!$A:$A,'3-TECHNICAL TABULATION'!D:D)),"")</f>
        <v/>
      </c>
    </row>
    <row r="71" spans="1:4" x14ac:dyDescent="0.25">
      <c r="A71" s="90" t="s">
        <v>169</v>
      </c>
      <c r="B71" s="52" t="str">
        <f>IFERROR(IF(_xlfn.XLOOKUP($A71,'3-TECHNICAL TABULATION'!$A:$A,'3-TECHNICAL TABULATION'!B:B)="","",_xlfn.XLOOKUP($A71,'3-TECHNICAL TABULATION'!$A:$A,'3-TECHNICAL TABULATION'!B:B)),"")</f>
        <v>bar.g</v>
      </c>
      <c r="C71" s="38" t="str">
        <f>IFERROR(IF(_xlfn.XLOOKUP($A71,'3-TECHNICAL TABULATION'!$A:$A,'3-TECHNICAL TABULATION'!C:C)="","",_xlfn.XLOOKUP($A71,'3-TECHNICAL TABULATION'!$A:$A,'3-TECHNICAL TABULATION'!C:C)),"")</f>
        <v>missing input data</v>
      </c>
      <c r="D71" s="39" t="str">
        <f>IFERROR(IF(_xlfn.XLOOKUP($A71,'3-TECHNICAL TABULATION'!$A:$A,'3-TECHNICAL TABULATION'!D:D)="","",_xlfn.XLOOKUP($A71,'3-TECHNICAL TABULATION'!$A:$A,'3-TECHNICAL TABULATION'!D:D)),"")</f>
        <v/>
      </c>
    </row>
    <row r="72" spans="1:4" x14ac:dyDescent="0.25">
      <c r="A72" s="90" t="s">
        <v>170</v>
      </c>
      <c r="B72" s="52" t="str">
        <f>IFERROR(IF(_xlfn.XLOOKUP($A72,'3-TECHNICAL TABULATION'!$A:$A,'3-TECHNICAL TABULATION'!B:B)="","",_xlfn.XLOOKUP($A72,'3-TECHNICAL TABULATION'!$A:$A,'3-TECHNICAL TABULATION'!B:B)),"")</f>
        <v>bar.g</v>
      </c>
      <c r="C72" s="38" t="str">
        <f>IFERROR(IF(_xlfn.XLOOKUP($A72,'3-TECHNICAL TABULATION'!$A:$A,'3-TECHNICAL TABULATION'!C:C)="","",_xlfn.XLOOKUP($A72,'3-TECHNICAL TABULATION'!$A:$A,'3-TECHNICAL TABULATION'!C:C)),"")</f>
        <v/>
      </c>
      <c r="D72" s="39" t="str">
        <f>IFERROR(IF(_xlfn.XLOOKUP($A72,'3-TECHNICAL TABULATION'!$A:$A,'3-TECHNICAL TABULATION'!D:D)="","",_xlfn.XLOOKUP($A72,'3-TECHNICAL TABULATION'!$A:$A,'3-TECHNICAL TABULATION'!D:D)),"")</f>
        <v/>
      </c>
    </row>
    <row r="73" spans="1:4" x14ac:dyDescent="0.25">
      <c r="A73" s="90" t="s">
        <v>171</v>
      </c>
      <c r="B73" s="52" t="str">
        <f>IFERROR(IF(_xlfn.XLOOKUP($A73,'3-TECHNICAL TABULATION'!$A:$A,'3-TECHNICAL TABULATION'!B:B)="","",_xlfn.XLOOKUP($A73,'3-TECHNICAL TABULATION'!$A:$A,'3-TECHNICAL TABULATION'!B:B)),"")</f>
        <v>bar.g</v>
      </c>
      <c r="C73" s="38" t="str">
        <f>IFERROR(IF(_xlfn.XLOOKUP($A73,'3-TECHNICAL TABULATION'!$A:$A,'3-TECHNICAL TABULATION'!C:C)="","",_xlfn.XLOOKUP($A73,'3-TECHNICAL TABULATION'!$A:$A,'3-TECHNICAL TABULATION'!C:C)),"")</f>
        <v/>
      </c>
      <c r="D73" s="39" t="str">
        <f>IFERROR(IF(_xlfn.XLOOKUP($A73,'3-TECHNICAL TABULATION'!$A:$A,'3-TECHNICAL TABULATION'!D:D)="","",_xlfn.XLOOKUP($A73,'3-TECHNICAL TABULATION'!$A:$A,'3-TECHNICAL TABULATION'!D:D)),"")</f>
        <v/>
      </c>
    </row>
    <row r="74" spans="1:4" x14ac:dyDescent="0.25">
      <c r="A74" s="90" t="s">
        <v>172</v>
      </c>
      <c r="B74" s="52" t="str">
        <f>IFERROR(IF(_xlfn.XLOOKUP($A74,'3-TECHNICAL TABULATION'!$A:$A,'3-TECHNICAL TABULATION'!B:B)="","",_xlfn.XLOOKUP($A74,'3-TECHNICAL TABULATION'!$A:$A,'3-TECHNICAL TABULATION'!B:B)),"")</f>
        <v>bar.g</v>
      </c>
      <c r="C74" s="38" t="str">
        <f>IFERROR(IF(_xlfn.XLOOKUP($A74,'3-TECHNICAL TABULATION'!$A:$A,'3-TECHNICAL TABULATION'!C:C)="","",_xlfn.XLOOKUP($A74,'3-TECHNICAL TABULATION'!$A:$A,'3-TECHNICAL TABULATION'!C:C)),"")</f>
        <v/>
      </c>
      <c r="D74" s="39" t="str">
        <f>IFERROR(IF(_xlfn.XLOOKUP($A74,'3-TECHNICAL TABULATION'!$A:$A,'3-TECHNICAL TABULATION'!D:D)="","",_xlfn.XLOOKUP($A74,'3-TECHNICAL TABULATION'!$A:$A,'3-TECHNICAL TABULATION'!D:D)),"")</f>
        <v/>
      </c>
    </row>
    <row r="75" spans="1:4" x14ac:dyDescent="0.25">
      <c r="A75" s="90" t="s">
        <v>173</v>
      </c>
      <c r="B75" s="52" t="str">
        <f>IFERROR(IF(_xlfn.XLOOKUP($A75,'3-TECHNICAL TABULATION'!$A:$A,'3-TECHNICAL TABULATION'!B:B)="","",_xlfn.XLOOKUP($A75,'3-TECHNICAL TABULATION'!$A:$A,'3-TECHNICAL TABULATION'!B:B)),"")</f>
        <v>bar.g</v>
      </c>
      <c r="C75" s="38" t="str">
        <f>IFERROR(IF(_xlfn.XLOOKUP($A75,'3-TECHNICAL TABULATION'!$A:$A,'3-TECHNICAL TABULATION'!C:C)="","",_xlfn.XLOOKUP($A75,'3-TECHNICAL TABULATION'!$A:$A,'3-TECHNICAL TABULATION'!C:C)),"")</f>
        <v/>
      </c>
      <c r="D75" s="39" t="str">
        <f>IFERROR(IF(_xlfn.XLOOKUP($A75,'3-TECHNICAL TABULATION'!$A:$A,'3-TECHNICAL TABULATION'!D:D)="","",_xlfn.XLOOKUP($A75,'3-TECHNICAL TABULATION'!$A:$A,'3-TECHNICAL TABULATION'!D:D)),"")</f>
        <v/>
      </c>
    </row>
    <row r="76" spans="1:4" x14ac:dyDescent="0.25">
      <c r="A76" s="90" t="s">
        <v>174</v>
      </c>
      <c r="B76" s="52" t="str">
        <f>IFERROR(IF(_xlfn.XLOOKUP($A76,'3-TECHNICAL TABULATION'!$A:$A,'3-TECHNICAL TABULATION'!B:B)="","",_xlfn.XLOOKUP($A76,'3-TECHNICAL TABULATION'!$A:$A,'3-TECHNICAL TABULATION'!B:B)),"")</f>
        <v>bar.g</v>
      </c>
      <c r="C76" s="38" t="str">
        <f>IFERROR(IF(_xlfn.XLOOKUP($A76,'3-TECHNICAL TABULATION'!$A:$A,'3-TECHNICAL TABULATION'!C:C)="","",_xlfn.XLOOKUP($A76,'3-TECHNICAL TABULATION'!$A:$A,'3-TECHNICAL TABULATION'!C:C)),"")</f>
        <v/>
      </c>
      <c r="D76" s="39" t="str">
        <f>IFERROR(IF(_xlfn.XLOOKUP($A76,'3-TECHNICAL TABULATION'!$A:$A,'3-TECHNICAL TABULATION'!D:D)="","",_xlfn.XLOOKUP($A76,'3-TECHNICAL TABULATION'!$A:$A,'3-TECHNICAL TABULATION'!D:D)),"")</f>
        <v/>
      </c>
    </row>
    <row r="77" spans="1:4" x14ac:dyDescent="0.25">
      <c r="A77" s="90" t="s">
        <v>175</v>
      </c>
      <c r="B77" s="52" t="str">
        <f>IFERROR(IF(_xlfn.XLOOKUP($A77,'3-TECHNICAL TABULATION'!$A:$A,'3-TECHNICAL TABULATION'!B:B)="","",_xlfn.XLOOKUP($A77,'3-TECHNICAL TABULATION'!$A:$A,'3-TECHNICAL TABULATION'!B:B)),"")</f>
        <v>bar.g</v>
      </c>
      <c r="C77" s="38" t="str">
        <f>IFERROR(IF(_xlfn.XLOOKUP($A77,'3-TECHNICAL TABULATION'!$A:$A,'3-TECHNICAL TABULATION'!C:C)="","",_xlfn.XLOOKUP($A77,'3-TECHNICAL TABULATION'!$A:$A,'3-TECHNICAL TABULATION'!C:C)),"")</f>
        <v/>
      </c>
      <c r="D77" s="39" t="str">
        <f>IFERROR(IF(_xlfn.XLOOKUP($A77,'3-TECHNICAL TABULATION'!$A:$A,'3-TECHNICAL TABULATION'!D:D)="","",_xlfn.XLOOKUP($A77,'3-TECHNICAL TABULATION'!$A:$A,'3-TECHNICAL TABULATION'!D:D)),"")</f>
        <v/>
      </c>
    </row>
    <row r="78" spans="1:4" x14ac:dyDescent="0.25">
      <c r="A78" s="90" t="s">
        <v>176</v>
      </c>
      <c r="B78" s="52" t="str">
        <f>IFERROR(IF(_xlfn.XLOOKUP($A78,'3-TECHNICAL TABULATION'!$A:$A,'3-TECHNICAL TABULATION'!B:B)="","",_xlfn.XLOOKUP($A78,'3-TECHNICAL TABULATION'!$A:$A,'3-TECHNICAL TABULATION'!B:B)),"")</f>
        <v>bar.g</v>
      </c>
      <c r="C78" s="38" t="str">
        <f>IFERROR(IF(_xlfn.XLOOKUP($A78,'3-TECHNICAL TABULATION'!$A:$A,'3-TECHNICAL TABULATION'!C:C)="","",_xlfn.XLOOKUP($A78,'3-TECHNICAL TABULATION'!$A:$A,'3-TECHNICAL TABULATION'!C:C)),"")</f>
        <v/>
      </c>
      <c r="D78" s="39" t="str">
        <f>IFERROR(IF(_xlfn.XLOOKUP($A78,'3-TECHNICAL TABULATION'!$A:$A,'3-TECHNICAL TABULATION'!D:D)="","",_xlfn.XLOOKUP($A78,'3-TECHNICAL TABULATION'!$A:$A,'3-TECHNICAL TABULATION'!D:D)),"")</f>
        <v/>
      </c>
    </row>
    <row r="79" spans="1:4" x14ac:dyDescent="0.25">
      <c r="A79" s="90" t="s">
        <v>177</v>
      </c>
      <c r="B79" s="52" t="str">
        <f>IFERROR(IF(_xlfn.XLOOKUP($A79,'3-TECHNICAL TABULATION'!$A:$A,'3-TECHNICAL TABULATION'!B:B)="","",_xlfn.XLOOKUP($A79,'3-TECHNICAL TABULATION'!$A:$A,'3-TECHNICAL TABULATION'!B:B)),"")</f>
        <v>bar.g</v>
      </c>
      <c r="C79" s="38" t="str">
        <f>IFERROR(IF(_xlfn.XLOOKUP($A79,'3-TECHNICAL TABULATION'!$A:$A,'3-TECHNICAL TABULATION'!C:C)="","",_xlfn.XLOOKUP($A79,'3-TECHNICAL TABULATION'!$A:$A,'3-TECHNICAL TABULATION'!C:C)),"")</f>
        <v/>
      </c>
      <c r="D79" s="39" t="str">
        <f>IFERROR(IF(_xlfn.XLOOKUP($A79,'3-TECHNICAL TABULATION'!$A:$A,'3-TECHNICAL TABULATION'!D:D)="","",_xlfn.XLOOKUP($A79,'3-TECHNICAL TABULATION'!$A:$A,'3-TECHNICAL TABULATION'!D:D)),"")</f>
        <v/>
      </c>
    </row>
    <row r="80" spans="1:4" x14ac:dyDescent="0.25">
      <c r="A80" s="90" t="s">
        <v>178</v>
      </c>
      <c r="B80" s="52" t="str">
        <f>IFERROR(IF(_xlfn.XLOOKUP($A80,'3-TECHNICAL TABULATION'!$A:$A,'3-TECHNICAL TABULATION'!B:B)="","",_xlfn.XLOOKUP($A80,'3-TECHNICAL TABULATION'!$A:$A,'3-TECHNICAL TABULATION'!B:B)),"")</f>
        <v>bar.g</v>
      </c>
      <c r="C80" s="38" t="str">
        <f>IFERROR(IF(_xlfn.XLOOKUP($A80,'3-TECHNICAL TABULATION'!$A:$A,'3-TECHNICAL TABULATION'!C:C)="","",_xlfn.XLOOKUP($A80,'3-TECHNICAL TABULATION'!$A:$A,'3-TECHNICAL TABULATION'!C:C)),"")</f>
        <v/>
      </c>
      <c r="D80" s="39" t="str">
        <f>IFERROR(IF(_xlfn.XLOOKUP($A80,'3-TECHNICAL TABULATION'!$A:$A,'3-TECHNICAL TABULATION'!D:D)="","",_xlfn.XLOOKUP($A80,'3-TECHNICAL TABULATION'!$A:$A,'3-TECHNICAL TABULATION'!D:D)),"")</f>
        <v/>
      </c>
    </row>
    <row r="81" spans="1:4" x14ac:dyDescent="0.25">
      <c r="A81" s="90" t="s">
        <v>179</v>
      </c>
      <c r="B81" s="52" t="str">
        <f>IFERROR(IF(_xlfn.XLOOKUP($A81,'3-TECHNICAL TABULATION'!$A:$A,'3-TECHNICAL TABULATION'!B:B)="","",_xlfn.XLOOKUP($A81,'3-TECHNICAL TABULATION'!$A:$A,'3-TECHNICAL TABULATION'!B:B)),"")</f>
        <v>bar.g</v>
      </c>
      <c r="C81" s="38" t="str">
        <f>IFERROR(IF(_xlfn.XLOOKUP($A81,'3-TECHNICAL TABULATION'!$A:$A,'3-TECHNICAL TABULATION'!C:C)="","",_xlfn.XLOOKUP($A81,'3-TECHNICAL TABULATION'!$A:$A,'3-TECHNICAL TABULATION'!C:C)),"")</f>
        <v/>
      </c>
      <c r="D81" s="39" t="str">
        <f>IFERROR(IF(_xlfn.XLOOKUP($A81,'3-TECHNICAL TABULATION'!$A:$A,'3-TECHNICAL TABULATION'!D:D)="","",_xlfn.XLOOKUP($A81,'3-TECHNICAL TABULATION'!$A:$A,'3-TECHNICAL TABULATION'!D:D)),"")</f>
        <v/>
      </c>
    </row>
    <row r="82" spans="1:4" x14ac:dyDescent="0.25">
      <c r="A82" s="34" t="s">
        <v>413</v>
      </c>
      <c r="B82" s="56" t="str">
        <f>IFERROR(IF(_xlfn.XLOOKUP($A82,'3-TECHNICAL TABULATION'!$A:$A,'3-TECHNICAL TABULATION'!B:B)="","",_xlfn.XLOOKUP($A82,'3-TECHNICAL TABULATION'!$A:$A,'3-TECHNICAL TABULATION'!B:B)),"")</f>
        <v/>
      </c>
      <c r="C82" s="42" t="str">
        <f>IFERROR(IF(_xlfn.XLOOKUP($A82,'3-TECHNICAL TABULATION'!$A:$A,'3-TECHNICAL TABULATION'!C:C)="","",_xlfn.XLOOKUP($A82,'3-TECHNICAL TABULATION'!$A:$A,'3-TECHNICAL TABULATION'!C:C)),"")</f>
        <v/>
      </c>
      <c r="D82" s="43" t="str">
        <f>IFERROR(IF(_xlfn.XLOOKUP($A82,'3-TECHNICAL TABULATION'!$A:$A,'3-TECHNICAL TABULATION'!D:D)="","",_xlfn.XLOOKUP($A82,'3-TECHNICAL TABULATION'!$A:$A,'3-TECHNICAL TABULATION'!D:D)),"")</f>
        <v/>
      </c>
    </row>
    <row r="83" spans="1:4" x14ac:dyDescent="0.25">
      <c r="A83" s="96" t="s">
        <v>180</v>
      </c>
      <c r="B83" s="52" t="str">
        <f>IFERROR(IF(_xlfn.XLOOKUP($A83,'3-TECHNICAL TABULATION'!$A:$A,'3-TECHNICAL TABULATION'!B:B)="","",_xlfn.XLOOKUP($A83,'3-TECHNICAL TABULATION'!$A:$A,'3-TECHNICAL TABULATION'!B:B)),"")</f>
        <v/>
      </c>
      <c r="C83" s="38" t="str">
        <f>IFERROR(IF(_xlfn.XLOOKUP($A83,'3-TECHNICAL TABULATION'!$A:$A,'3-TECHNICAL TABULATION'!C:C)="","",_xlfn.XLOOKUP($A83,'3-TECHNICAL TABULATION'!$A:$A,'3-TECHNICAL TABULATION'!C:C)),"")</f>
        <v/>
      </c>
      <c r="D83" s="39" t="str">
        <f>IFERROR(IF(_xlfn.XLOOKUP($A83,'3-TECHNICAL TABULATION'!$A:$A,'3-TECHNICAL TABULATION'!D:D)="","",_xlfn.XLOOKUP($A83,'3-TECHNICAL TABULATION'!$A:$A,'3-TECHNICAL TABULATION'!D:D)),"")</f>
        <v/>
      </c>
    </row>
    <row r="84" spans="1:4" x14ac:dyDescent="0.25">
      <c r="A84" s="96" t="s">
        <v>181</v>
      </c>
      <c r="B84" s="52" t="str">
        <f>IFERROR(IF(_xlfn.XLOOKUP($A84,'3-TECHNICAL TABULATION'!$A:$A,'3-TECHNICAL TABULATION'!B:B)="","",_xlfn.XLOOKUP($A84,'3-TECHNICAL TABULATION'!$A:$A,'3-TECHNICAL TABULATION'!B:B)),"")</f>
        <v/>
      </c>
      <c r="C84" s="38" t="str">
        <f>IFERROR(IF(_xlfn.XLOOKUP($A84,'3-TECHNICAL TABULATION'!$A:$A,'3-TECHNICAL TABULATION'!C:C)="","",_xlfn.XLOOKUP($A84,'3-TECHNICAL TABULATION'!$A:$A,'3-TECHNICAL TABULATION'!C:C)),"")</f>
        <v/>
      </c>
      <c r="D84" s="39" t="str">
        <f>IFERROR(IF(_xlfn.XLOOKUP($A84,'3-TECHNICAL TABULATION'!$A:$A,'3-TECHNICAL TABULATION'!D:D)="","",_xlfn.XLOOKUP($A84,'3-TECHNICAL TABULATION'!$A:$A,'3-TECHNICAL TABULATION'!D:D)),"")</f>
        <v/>
      </c>
    </row>
    <row r="85" spans="1:4" x14ac:dyDescent="0.25">
      <c r="A85" s="96" t="s">
        <v>182</v>
      </c>
      <c r="B85" s="52" t="str">
        <f>IFERROR(IF(_xlfn.XLOOKUP($A85,'3-TECHNICAL TABULATION'!$A:$A,'3-TECHNICAL TABULATION'!B:B)="","",_xlfn.XLOOKUP($A85,'3-TECHNICAL TABULATION'!$A:$A,'3-TECHNICAL TABULATION'!B:B)),"")</f>
        <v/>
      </c>
      <c r="C85" s="38" t="str">
        <f>IFERROR(IF(_xlfn.XLOOKUP($A85,'3-TECHNICAL TABULATION'!$A:$A,'3-TECHNICAL TABULATION'!C:C)="","",_xlfn.XLOOKUP($A85,'3-TECHNICAL TABULATION'!$A:$A,'3-TECHNICAL TABULATION'!C:C)),"")</f>
        <v/>
      </c>
      <c r="D85" s="39" t="str">
        <f>IFERROR(IF(_xlfn.XLOOKUP($A85,'3-TECHNICAL TABULATION'!$A:$A,'3-TECHNICAL TABULATION'!D:D)="","",_xlfn.XLOOKUP($A85,'3-TECHNICAL TABULATION'!$A:$A,'3-TECHNICAL TABULATION'!D:D)),"")</f>
        <v/>
      </c>
    </row>
    <row r="86" spans="1:4" x14ac:dyDescent="0.25">
      <c r="A86" s="96" t="s">
        <v>183</v>
      </c>
      <c r="B86" s="52" t="str">
        <f>IFERROR(IF(_xlfn.XLOOKUP($A86,'3-TECHNICAL TABULATION'!$A:$A,'3-TECHNICAL TABULATION'!B:B)="","",_xlfn.XLOOKUP($A86,'3-TECHNICAL TABULATION'!$A:$A,'3-TECHNICAL TABULATION'!B:B)),"")</f>
        <v/>
      </c>
      <c r="C86" s="38" t="str">
        <f>IFERROR(IF(_xlfn.XLOOKUP($A86,'3-TECHNICAL TABULATION'!$A:$A,'3-TECHNICAL TABULATION'!C:C)="","",_xlfn.XLOOKUP($A86,'3-TECHNICAL TABULATION'!$A:$A,'3-TECHNICAL TABULATION'!C:C)),"")</f>
        <v/>
      </c>
      <c r="D86" s="39" t="str">
        <f>IFERROR(IF(_xlfn.XLOOKUP($A86,'3-TECHNICAL TABULATION'!$A:$A,'3-TECHNICAL TABULATION'!D:D)="","",_xlfn.XLOOKUP($A86,'3-TECHNICAL TABULATION'!$A:$A,'3-TECHNICAL TABULATION'!D:D)),"")</f>
        <v/>
      </c>
    </row>
    <row r="87" spans="1:4" x14ac:dyDescent="0.25">
      <c r="A87" s="96" t="s">
        <v>184</v>
      </c>
      <c r="B87" s="52" t="str">
        <f>IFERROR(IF(_xlfn.XLOOKUP($A87,'3-TECHNICAL TABULATION'!$A:$A,'3-TECHNICAL TABULATION'!B:B)="","",_xlfn.XLOOKUP($A87,'3-TECHNICAL TABULATION'!$A:$A,'3-TECHNICAL TABULATION'!B:B)),"")</f>
        <v/>
      </c>
      <c r="C87" s="38" t="str">
        <f>IFERROR(IF(_xlfn.XLOOKUP($A87,'3-TECHNICAL TABULATION'!$A:$A,'3-TECHNICAL TABULATION'!C:C)="","",_xlfn.XLOOKUP($A87,'3-TECHNICAL TABULATION'!$A:$A,'3-TECHNICAL TABULATION'!C:C)),"")</f>
        <v/>
      </c>
      <c r="D87" s="39" t="str">
        <f>IFERROR(IF(_xlfn.XLOOKUP($A87,'3-TECHNICAL TABULATION'!$A:$A,'3-TECHNICAL TABULATION'!D:D)="","",_xlfn.XLOOKUP($A87,'3-TECHNICAL TABULATION'!$A:$A,'3-TECHNICAL TABULATION'!D:D)),"")</f>
        <v/>
      </c>
    </row>
    <row r="88" spans="1:4" x14ac:dyDescent="0.25">
      <c r="A88" s="96" t="s">
        <v>185</v>
      </c>
      <c r="B88" s="52" t="str">
        <f>IFERROR(IF(_xlfn.XLOOKUP($A88,'3-TECHNICAL TABULATION'!$A:$A,'3-TECHNICAL TABULATION'!B:B)="","",_xlfn.XLOOKUP($A88,'3-TECHNICAL TABULATION'!$A:$A,'3-TECHNICAL TABULATION'!B:B)),"")</f>
        <v/>
      </c>
      <c r="C88" s="38" t="str">
        <f>IFERROR(IF(_xlfn.XLOOKUP($A88,'3-TECHNICAL TABULATION'!$A:$A,'3-TECHNICAL TABULATION'!C:C)="","",_xlfn.XLOOKUP($A88,'3-TECHNICAL TABULATION'!$A:$A,'3-TECHNICAL TABULATION'!C:C)),"")</f>
        <v/>
      </c>
      <c r="D88" s="39" t="str">
        <f>IFERROR(IF(_xlfn.XLOOKUP($A88,'3-TECHNICAL TABULATION'!$A:$A,'3-TECHNICAL TABULATION'!D:D)="","",_xlfn.XLOOKUP($A88,'3-TECHNICAL TABULATION'!$A:$A,'3-TECHNICAL TABULATION'!D:D)),"")</f>
        <v/>
      </c>
    </row>
    <row r="89" spans="1:4" x14ac:dyDescent="0.25">
      <c r="A89" s="96" t="s">
        <v>415</v>
      </c>
      <c r="B89" s="52" t="str">
        <f>IFERROR(IF(_xlfn.XLOOKUP($A89,'3-TECHNICAL TABULATION'!$A:$A,'3-TECHNICAL TABULATION'!B:B)="","",_xlfn.XLOOKUP($A89,'3-TECHNICAL TABULATION'!$A:$A,'3-TECHNICAL TABULATION'!B:B)),"")</f>
        <v/>
      </c>
      <c r="C89" s="38" t="str">
        <f>IFERROR(IF(_xlfn.XLOOKUP($A89,'3-TECHNICAL TABULATION'!$A:$A,'3-TECHNICAL TABULATION'!C:C)="","",_xlfn.XLOOKUP($A89,'3-TECHNICAL TABULATION'!$A:$A,'3-TECHNICAL TABULATION'!C:C)),"")</f>
        <v/>
      </c>
      <c r="D89" s="39" t="str">
        <f>IFERROR(IF(_xlfn.XLOOKUP($A89,'3-TECHNICAL TABULATION'!$A:$A,'3-TECHNICAL TABULATION'!D:D)="","",_xlfn.XLOOKUP($A89,'3-TECHNICAL TABULATION'!$A:$A,'3-TECHNICAL TABULATION'!D:D)),"")</f>
        <v/>
      </c>
    </row>
    <row r="90" spans="1:4" x14ac:dyDescent="0.25">
      <c r="A90" s="96" t="s">
        <v>420</v>
      </c>
      <c r="B90" s="52" t="str">
        <f>IFERROR(IF(_xlfn.XLOOKUP($A90,'3-TECHNICAL TABULATION'!$A:$A,'3-TECHNICAL TABULATION'!B:B)="","",_xlfn.XLOOKUP($A90,'3-TECHNICAL TABULATION'!$A:$A,'3-TECHNICAL TABULATION'!B:B)),"")</f>
        <v/>
      </c>
      <c r="C90" s="38" t="str">
        <f>IFERROR(IF(_xlfn.XLOOKUP($A90,'3-TECHNICAL TABULATION'!$A:$A,'3-TECHNICAL TABULATION'!C:C)="","",_xlfn.XLOOKUP($A90,'3-TECHNICAL TABULATION'!$A:$A,'3-TECHNICAL TABULATION'!C:C)),"")</f>
        <v/>
      </c>
      <c r="D90" s="39" t="str">
        <f>IFERROR(IF(_xlfn.XLOOKUP($A90,'3-TECHNICAL TABULATION'!$A:$A,'3-TECHNICAL TABULATION'!D:D)="","",_xlfn.XLOOKUP($A90,'3-TECHNICAL TABULATION'!$A:$A,'3-TECHNICAL TABULATION'!D:D)),"")</f>
        <v/>
      </c>
    </row>
    <row r="91" spans="1:4" x14ac:dyDescent="0.25">
      <c r="A91" s="96" t="s">
        <v>421</v>
      </c>
      <c r="B91" s="52" t="str">
        <f>IFERROR(IF(_xlfn.XLOOKUP($A91,'3-TECHNICAL TABULATION'!$A:$A,'3-TECHNICAL TABULATION'!B:B)="","",_xlfn.XLOOKUP($A91,'3-TECHNICAL TABULATION'!$A:$A,'3-TECHNICAL TABULATION'!B:B)),"")</f>
        <v/>
      </c>
      <c r="C91" s="38" t="str">
        <f>IFERROR(IF(_xlfn.XLOOKUP($A91,'3-TECHNICAL TABULATION'!$A:$A,'3-TECHNICAL TABULATION'!C:C)="","",_xlfn.XLOOKUP($A91,'3-TECHNICAL TABULATION'!$A:$A,'3-TECHNICAL TABULATION'!C:C)),"")</f>
        <v/>
      </c>
      <c r="D91" s="39" t="str">
        <f>IFERROR(IF(_xlfn.XLOOKUP($A91,'3-TECHNICAL TABULATION'!$A:$A,'3-TECHNICAL TABULATION'!D:D)="","",_xlfn.XLOOKUP($A91,'3-TECHNICAL TABULATION'!$A:$A,'3-TECHNICAL TABULATION'!D:D)),"")</f>
        <v/>
      </c>
    </row>
    <row r="92" spans="1:4" x14ac:dyDescent="0.25">
      <c r="A92" s="96" t="s">
        <v>498</v>
      </c>
      <c r="B92" s="52" t="str">
        <f>IFERROR(IF(_xlfn.XLOOKUP($A92,'3-TECHNICAL TABULATION'!$A:$A,'3-TECHNICAL TABULATION'!B:B)="","",_xlfn.XLOOKUP($A92,'3-TECHNICAL TABULATION'!$A:$A,'3-TECHNICAL TABULATION'!B:B)),"")</f>
        <v>[NONE/LIST]</v>
      </c>
      <c r="C92" s="38" t="str">
        <f>IFERROR(IF(_xlfn.XLOOKUP($A92,'3-TECHNICAL TABULATION'!$A:$A,'3-TECHNICAL TABULATION'!C:C)="","",_xlfn.XLOOKUP($A92,'3-TECHNICAL TABULATION'!$A:$A,'3-TECHNICAL TABULATION'!C:C)),"")</f>
        <v/>
      </c>
      <c r="D92" s="39" t="str">
        <f>IFERROR(IF(_xlfn.XLOOKUP($A92,'3-TECHNICAL TABULATION'!$A:$A,'3-TECHNICAL TABULATION'!D:D)="","",_xlfn.XLOOKUP($A92,'3-TECHNICAL TABULATION'!$A:$A,'3-TECHNICAL TABULATION'!D:D)),"")</f>
        <v/>
      </c>
    </row>
    <row r="93" spans="1:4" ht="30" x14ac:dyDescent="0.25">
      <c r="A93" s="34" t="s">
        <v>535</v>
      </c>
      <c r="B93" s="57" t="str">
        <f>IFERROR(IF(_xlfn.XLOOKUP($A93,'3-TECHNICAL TABULATION'!$A:$A,'3-TECHNICAL TABULATION'!B:B)="","",_xlfn.XLOOKUP($A93,'3-TECHNICAL TABULATION'!$A:$A,'3-TECHNICAL TABULATION'!B:B)),"")</f>
        <v/>
      </c>
      <c r="C93" s="42" t="str">
        <f>IFERROR(IF(_xlfn.XLOOKUP($A93,'3-TECHNICAL TABULATION'!$A:$A,'3-TECHNICAL TABULATION'!C:C)="","",_xlfn.XLOOKUP($A93,'3-TECHNICAL TABULATION'!$A:$A,'3-TECHNICAL TABULATION'!C:C)),"")</f>
        <v/>
      </c>
      <c r="D93" s="43" t="str">
        <f>IFERROR(IF(_xlfn.XLOOKUP($A93,'3-TECHNICAL TABULATION'!$A:$A,'3-TECHNICAL TABULATION'!D:D)="","",_xlfn.XLOOKUP($A93,'3-TECHNICAL TABULATION'!$A:$A,'3-TECHNICAL TABULATION'!D:D)),"")</f>
        <v/>
      </c>
    </row>
    <row r="94" spans="1:4" x14ac:dyDescent="0.25">
      <c r="A94" s="96" t="s">
        <v>194</v>
      </c>
      <c r="B94" s="52" t="str">
        <f>IFERROR(IF(_xlfn.XLOOKUP($A94,'3-TECHNICAL TABULATION'!$A:$A,'3-TECHNICAL TABULATION'!B:B)="","",_xlfn.XLOOKUP($A94,'3-TECHNICAL TABULATION'!$A:$A,'3-TECHNICAL TABULATION'!B:B)),"")</f>
        <v>[none/list]</v>
      </c>
      <c r="C94" s="38" t="str">
        <f>IFERROR(IF(_xlfn.XLOOKUP($A94,'3-TECHNICAL TABULATION'!$A:$A,'3-TECHNICAL TABULATION'!C:C)="","",_xlfn.XLOOKUP($A94,'3-TECHNICAL TABULATION'!$A:$A,'3-TECHNICAL TABULATION'!C:C)),"")</f>
        <v/>
      </c>
      <c r="D94" s="39" t="str">
        <f>IFERROR(IF(_xlfn.XLOOKUP($A94,'3-TECHNICAL TABULATION'!$A:$A,'3-TECHNICAL TABULATION'!D:D)="","",_xlfn.XLOOKUP($A94,'3-TECHNICAL TABULATION'!$A:$A,'3-TECHNICAL TABULATION'!D:D)),"")</f>
        <v/>
      </c>
    </row>
    <row r="95" spans="1:4" x14ac:dyDescent="0.25">
      <c r="A95" s="96" t="s">
        <v>145</v>
      </c>
      <c r="B95" s="52" t="str">
        <f>IFERROR(IF(_xlfn.XLOOKUP($A95,'3-TECHNICAL TABULATION'!$A:$A,'3-TECHNICAL TABULATION'!B:B)="","",_xlfn.XLOOKUP($A95,'3-TECHNICAL TABULATION'!$A:$A,'3-TECHNICAL TABULATION'!B:B)),"")</f>
        <v>[yes/no]</v>
      </c>
      <c r="C95" s="38" t="str">
        <f>IFERROR(IF(_xlfn.XLOOKUP($A95,'3-TECHNICAL TABULATION'!$A:$A,'3-TECHNICAL TABULATION'!C:C)="","",_xlfn.XLOOKUP($A95,'3-TECHNICAL TABULATION'!$A:$A,'3-TECHNICAL TABULATION'!C:C)),"")</f>
        <v/>
      </c>
      <c r="D95" s="39" t="str">
        <f>IFERROR(IF(_xlfn.XLOOKUP($A95,'3-TECHNICAL TABULATION'!$A:$A,'3-TECHNICAL TABULATION'!D:D)="","",_xlfn.XLOOKUP($A95,'3-TECHNICAL TABULATION'!$A:$A,'3-TECHNICAL TABULATION'!D:D)),"")</f>
        <v/>
      </c>
    </row>
    <row r="96" spans="1:4" x14ac:dyDescent="0.25">
      <c r="A96" s="96" t="s">
        <v>195</v>
      </c>
      <c r="B96" s="52" t="str">
        <f>IFERROR(IF(_xlfn.XLOOKUP($A96,'3-TECHNICAL TABULATION'!$A:$A,'3-TECHNICAL TABULATION'!B:B)="","",_xlfn.XLOOKUP($A96,'3-TECHNICAL TABULATION'!$A:$A,'3-TECHNICAL TABULATION'!B:B)),"")</f>
        <v>[none/list]</v>
      </c>
      <c r="C96" s="38" t="str">
        <f>IFERROR(IF(_xlfn.XLOOKUP($A96,'3-TECHNICAL TABULATION'!$A:$A,'3-TECHNICAL TABULATION'!C:C)="","",_xlfn.XLOOKUP($A96,'3-TECHNICAL TABULATION'!$A:$A,'3-TECHNICAL TABULATION'!C:C)),"")</f>
        <v/>
      </c>
      <c r="D96" s="39" t="str">
        <f>IFERROR(IF(_xlfn.XLOOKUP($A96,'3-TECHNICAL TABULATION'!$A:$A,'3-TECHNICAL TABULATION'!D:D)="","",_xlfn.XLOOKUP($A96,'3-TECHNICAL TABULATION'!$A:$A,'3-TECHNICAL TABULATION'!D:D)),"")</f>
        <v/>
      </c>
    </row>
    <row r="97" spans="1:4" ht="30" x14ac:dyDescent="0.25">
      <c r="A97" s="96" t="s">
        <v>201</v>
      </c>
      <c r="B97" s="52" t="str">
        <f>IFERROR(IF(_xlfn.XLOOKUP($A97,'3-TECHNICAL TABULATION'!$A:$A,'3-TECHNICAL TABULATION'!B:B)="","",_xlfn.XLOOKUP($A97,'3-TECHNICAL TABULATION'!$A:$A,'3-TECHNICAL TABULATION'!B:B)),"")</f>
        <v>[none/list]</v>
      </c>
      <c r="C97" s="38" t="str">
        <f>IFERROR(IF(_xlfn.XLOOKUP($A97,'3-TECHNICAL TABULATION'!$A:$A,'3-TECHNICAL TABULATION'!C:C)="","",_xlfn.XLOOKUP($A97,'3-TECHNICAL TABULATION'!$A:$A,'3-TECHNICAL TABULATION'!C:C)),"")</f>
        <v/>
      </c>
      <c r="D97" s="39" t="str">
        <f>IFERROR(IF(_xlfn.XLOOKUP($A97,'3-TECHNICAL TABULATION'!$A:$A,'3-TECHNICAL TABULATION'!D:D)="","",_xlfn.XLOOKUP($A97,'3-TECHNICAL TABULATION'!$A:$A,'3-TECHNICAL TABULATION'!D:D)),"")</f>
        <v/>
      </c>
    </row>
    <row r="98" spans="1:4" ht="30" x14ac:dyDescent="0.25">
      <c r="A98" s="96" t="s">
        <v>202</v>
      </c>
      <c r="B98" s="52" t="str">
        <f>IFERROR(IF(_xlfn.XLOOKUP($A98,'3-TECHNICAL TABULATION'!$A:$A,'3-TECHNICAL TABULATION'!B:B)="","",_xlfn.XLOOKUP($A98,'3-TECHNICAL TABULATION'!$A:$A,'3-TECHNICAL TABULATION'!B:B)),"")</f>
        <v>[none/list]</v>
      </c>
      <c r="C98" s="38" t="str">
        <f>IFERROR(IF(_xlfn.XLOOKUP($A98,'3-TECHNICAL TABULATION'!$A:$A,'3-TECHNICAL TABULATION'!C:C)="","",_xlfn.XLOOKUP($A98,'3-TECHNICAL TABULATION'!$A:$A,'3-TECHNICAL TABULATION'!C:C)),"")</f>
        <v/>
      </c>
      <c r="D98" s="39" t="str">
        <f>IFERROR(IF(_xlfn.XLOOKUP($A98,'3-TECHNICAL TABULATION'!$A:$A,'3-TECHNICAL TABULATION'!D:D)="","",_xlfn.XLOOKUP($A98,'3-TECHNICAL TABULATION'!$A:$A,'3-TECHNICAL TABULATION'!D:D)),"")</f>
        <v/>
      </c>
    </row>
    <row r="99" spans="1:4" x14ac:dyDescent="0.25">
      <c r="A99" s="96" t="s">
        <v>516</v>
      </c>
      <c r="B99" s="52" t="str">
        <f>IFERROR(IF(_xlfn.XLOOKUP($A99,'3-TECHNICAL TABULATION'!$A:$A,'3-TECHNICAL TABULATION'!B:B)="","",_xlfn.XLOOKUP($A99,'3-TECHNICAL TABULATION'!$A:$A,'3-TECHNICAL TABULATION'!B:B)),"")</f>
        <v>[yes/no]</v>
      </c>
      <c r="C99" s="38" t="str">
        <f>IFERROR(IF(_xlfn.XLOOKUP($A99,'3-TECHNICAL TABULATION'!$A:$A,'3-TECHNICAL TABULATION'!C:C)="","",_xlfn.XLOOKUP($A99,'3-TECHNICAL TABULATION'!$A:$A,'3-TECHNICAL TABULATION'!C:C)),"")</f>
        <v/>
      </c>
      <c r="D99" s="39" t="str">
        <f>IFERROR(IF(_xlfn.XLOOKUP($A99,'3-TECHNICAL TABULATION'!$A:$A,'3-TECHNICAL TABULATION'!D:D)="","",_xlfn.XLOOKUP($A99,'3-TECHNICAL TABULATION'!$A:$A,'3-TECHNICAL TABULATION'!D:D)),"")</f>
        <v/>
      </c>
    </row>
    <row r="100" spans="1:4" ht="30" x14ac:dyDescent="0.25">
      <c r="A100" s="96" t="s">
        <v>517</v>
      </c>
      <c r="B100" s="52" t="str">
        <f>IFERROR(IF(_xlfn.XLOOKUP($A100,'3-TECHNICAL TABULATION'!$A:$A,'3-TECHNICAL TABULATION'!B:B)="","",_xlfn.XLOOKUP($A100,'3-TECHNICAL TABULATION'!$A:$A,'3-TECHNICAL TABULATION'!B:B)),"")</f>
        <v>[yes/no check necessary]</v>
      </c>
      <c r="C100" s="38" t="str">
        <f>IFERROR(IF(_xlfn.XLOOKUP($A100,'3-TECHNICAL TABULATION'!$A:$A,'3-TECHNICAL TABULATION'!C:C)="","",_xlfn.XLOOKUP($A100,'3-TECHNICAL TABULATION'!$A:$A,'3-TECHNICAL TABULATION'!C:C)),"")</f>
        <v/>
      </c>
      <c r="D100" s="39" t="str">
        <f>IFERROR(IF(_xlfn.XLOOKUP($A100,'3-TECHNICAL TABULATION'!$A:$A,'3-TECHNICAL TABULATION'!D:D)="","",_xlfn.XLOOKUP($A100,'3-TECHNICAL TABULATION'!$A:$A,'3-TECHNICAL TABULATION'!D:D)),"")</f>
        <v/>
      </c>
    </row>
    <row r="101" spans="1:4" ht="30" x14ac:dyDescent="0.25">
      <c r="A101" s="96" t="s">
        <v>518</v>
      </c>
      <c r="B101" s="52" t="str">
        <f>IFERROR(IF(_xlfn.XLOOKUP($A101,'3-TECHNICAL TABULATION'!$A:$A,'3-TECHNICAL TABULATION'!B:B)="","",_xlfn.XLOOKUP($A101,'3-TECHNICAL TABULATION'!$A:$A,'3-TECHNICAL TABULATION'!B:B)),"")</f>
        <v>[yes/no check necessary]</v>
      </c>
      <c r="C101" s="38" t="str">
        <f>IFERROR(IF(_xlfn.XLOOKUP($A101,'3-TECHNICAL TABULATION'!$A:$A,'3-TECHNICAL TABULATION'!C:C)="","",_xlfn.XLOOKUP($A101,'3-TECHNICAL TABULATION'!$A:$A,'3-TECHNICAL TABULATION'!C:C)),"")</f>
        <v/>
      </c>
      <c r="D101" s="39" t="str">
        <f>IFERROR(IF(_xlfn.XLOOKUP($A101,'3-TECHNICAL TABULATION'!$A:$A,'3-TECHNICAL TABULATION'!D:D)="","",_xlfn.XLOOKUP($A101,'3-TECHNICAL TABULATION'!$A:$A,'3-TECHNICAL TABULATION'!D:D)),"")</f>
        <v/>
      </c>
    </row>
    <row r="102" spans="1:4" x14ac:dyDescent="0.25">
      <c r="A102" s="96" t="s">
        <v>519</v>
      </c>
      <c r="B102" s="52" t="str">
        <f>IFERROR(IF(_xlfn.XLOOKUP($A102,'3-TECHNICAL TABULATION'!$A:$A,'3-TECHNICAL TABULATION'!B:B)="","",_xlfn.XLOOKUP($A102,'3-TECHNICAL TABULATION'!$A:$A,'3-TECHNICAL TABULATION'!B:B)),"")</f>
        <v>[yes/no check necessary]</v>
      </c>
      <c r="C102" s="38" t="str">
        <f>IFERROR(IF(_xlfn.XLOOKUP($A102,'3-TECHNICAL TABULATION'!$A:$A,'3-TECHNICAL TABULATION'!C:C)="","",_xlfn.XLOOKUP($A102,'3-TECHNICAL TABULATION'!$A:$A,'3-TECHNICAL TABULATION'!C:C)),"")</f>
        <v/>
      </c>
      <c r="D102" s="39" t="str">
        <f>IFERROR(IF(_xlfn.XLOOKUP($A102,'3-TECHNICAL TABULATION'!$A:$A,'3-TECHNICAL TABULATION'!D:D)="","",_xlfn.XLOOKUP($A102,'3-TECHNICAL TABULATION'!$A:$A,'3-TECHNICAL TABULATION'!D:D)),"")</f>
        <v/>
      </c>
    </row>
    <row r="103" spans="1:4" x14ac:dyDescent="0.25">
      <c r="A103" s="34" t="s">
        <v>536</v>
      </c>
      <c r="B103" s="56" t="str">
        <f>IFERROR(IF(_xlfn.XLOOKUP($A103,'3-TECHNICAL TABULATION'!$A:$A,'3-TECHNICAL TABULATION'!B:B)="","",_xlfn.XLOOKUP($A103,'3-TECHNICAL TABULATION'!$A:$A,'3-TECHNICAL TABULATION'!B:B)),"")</f>
        <v/>
      </c>
      <c r="C103" s="42" t="str">
        <f>IFERROR(IF(_xlfn.XLOOKUP($A103,'3-TECHNICAL TABULATION'!$A:$A,'3-TECHNICAL TABULATION'!C:C)="","",_xlfn.XLOOKUP($A103,'3-TECHNICAL TABULATION'!$A:$A,'3-TECHNICAL TABULATION'!C:C)),"")</f>
        <v/>
      </c>
      <c r="D103" s="43" t="str">
        <f>IFERROR(IF(_xlfn.XLOOKUP($A103,'3-TECHNICAL TABULATION'!$A:$A,'3-TECHNICAL TABULATION'!D:D)="","",_xlfn.XLOOKUP($A103,'3-TECHNICAL TABULATION'!$A:$A,'3-TECHNICAL TABULATION'!D:D)),"")</f>
        <v/>
      </c>
    </row>
    <row r="104" spans="1:4" x14ac:dyDescent="0.25">
      <c r="A104" s="97" t="s">
        <v>316</v>
      </c>
      <c r="B104" s="52" t="str">
        <f>IFERROR(IF(_xlfn.XLOOKUP($A104,'3-TECHNICAL TABULATION'!$A:$A,'3-TECHNICAL TABULATION'!B:B)="","",_xlfn.XLOOKUP($A104,'3-TECHNICAL TABULATION'!$A:$A,'3-TECHNICAL TABULATION'!B:B)),"")</f>
        <v/>
      </c>
      <c r="C104" s="38" t="str">
        <f>IFERROR(IF(_xlfn.XLOOKUP($A104,'3-TECHNICAL TABULATION'!$A:$A,'3-TECHNICAL TABULATION'!C:C)="","",_xlfn.XLOOKUP($A104,'3-TECHNICAL TABULATION'!$A:$A,'3-TECHNICAL TABULATION'!C:C)),"")</f>
        <v/>
      </c>
      <c r="D104" s="39" t="str">
        <f>IFERROR(IF(_xlfn.XLOOKUP($A104,'3-TECHNICAL TABULATION'!$A:$A,'3-TECHNICAL TABULATION'!D:D)="","",_xlfn.XLOOKUP($A104,'3-TECHNICAL TABULATION'!$A:$A,'3-TECHNICAL TABULATION'!D:D)),"")</f>
        <v/>
      </c>
    </row>
    <row r="105" spans="1:4" x14ac:dyDescent="0.25">
      <c r="A105" s="97" t="s">
        <v>369</v>
      </c>
      <c r="B105" s="52" t="str">
        <f>IFERROR(IF(_xlfn.XLOOKUP($A105,'3-TECHNICAL TABULATION'!$A:$A,'3-TECHNICAL TABULATION'!B:B)="","",_xlfn.XLOOKUP($A105,'3-TECHNICAL TABULATION'!$A:$A,'3-TECHNICAL TABULATION'!B:B)),"")</f>
        <v/>
      </c>
      <c r="C105" s="38" t="str">
        <f>IFERROR(IF(_xlfn.XLOOKUP($A105,'3-TECHNICAL TABULATION'!$A:$A,'3-TECHNICAL TABULATION'!C:C)="","",_xlfn.XLOOKUP($A105,'3-TECHNICAL TABULATION'!$A:$A,'3-TECHNICAL TABULATION'!C:C)),"")</f>
        <v/>
      </c>
      <c r="D105" s="39" t="str">
        <f>IFERROR(IF(_xlfn.XLOOKUP($A105,'3-TECHNICAL TABULATION'!$A:$A,'3-TECHNICAL TABULATION'!D:D)="","",_xlfn.XLOOKUP($A105,'3-TECHNICAL TABULATION'!$A:$A,'3-TECHNICAL TABULATION'!D:D)),"")</f>
        <v/>
      </c>
    </row>
    <row r="106" spans="1:4" x14ac:dyDescent="0.25">
      <c r="A106" s="97" t="s">
        <v>317</v>
      </c>
      <c r="B106" s="52" t="str">
        <f>IFERROR(IF(_xlfn.XLOOKUP($A106,'3-TECHNICAL TABULATION'!$A:$A,'3-TECHNICAL TABULATION'!B:B)="","",_xlfn.XLOOKUP($A106,'3-TECHNICAL TABULATION'!$A:$A,'3-TECHNICAL TABULATION'!B:B)),"")</f>
        <v/>
      </c>
      <c r="C106" s="38" t="str">
        <f>IFERROR(IF(_xlfn.XLOOKUP($A106,'3-TECHNICAL TABULATION'!$A:$A,'3-TECHNICAL TABULATION'!C:C)="","",_xlfn.XLOOKUP($A106,'3-TECHNICAL TABULATION'!$A:$A,'3-TECHNICAL TABULATION'!C:C)),"")</f>
        <v/>
      </c>
      <c r="D106" s="39" t="str">
        <f>IFERROR(IF(_xlfn.XLOOKUP($A106,'3-TECHNICAL TABULATION'!$A:$A,'3-TECHNICAL TABULATION'!D:D)="","",_xlfn.XLOOKUP($A106,'3-TECHNICAL TABULATION'!$A:$A,'3-TECHNICAL TABULATION'!D:D)),"")</f>
        <v/>
      </c>
    </row>
    <row r="107" spans="1:4" x14ac:dyDescent="0.25">
      <c r="A107" s="97" t="s">
        <v>370</v>
      </c>
      <c r="B107" s="52" t="str">
        <f>IFERROR(IF(_xlfn.XLOOKUP($A107,'3-TECHNICAL TABULATION'!$A:$A,'3-TECHNICAL TABULATION'!B:B)="","",_xlfn.XLOOKUP($A107,'3-TECHNICAL TABULATION'!$A:$A,'3-TECHNICAL TABULATION'!B:B)),"")</f>
        <v/>
      </c>
      <c r="C107" s="38" t="str">
        <f>IFERROR(IF(_xlfn.XLOOKUP($A107,'3-TECHNICAL TABULATION'!$A:$A,'3-TECHNICAL TABULATION'!C:C)="","",_xlfn.XLOOKUP($A107,'3-TECHNICAL TABULATION'!$A:$A,'3-TECHNICAL TABULATION'!C:C)),"")</f>
        <v/>
      </c>
      <c r="D107" s="39" t="str">
        <f>IFERROR(IF(_xlfn.XLOOKUP($A107,'3-TECHNICAL TABULATION'!$A:$A,'3-TECHNICAL TABULATION'!D:D)="","",_xlfn.XLOOKUP($A107,'3-TECHNICAL TABULATION'!$A:$A,'3-TECHNICAL TABULATION'!D:D)),"")</f>
        <v/>
      </c>
    </row>
    <row r="108" spans="1:4" x14ac:dyDescent="0.25">
      <c r="A108" s="97" t="s">
        <v>318</v>
      </c>
      <c r="B108" s="52" t="str">
        <f>IFERROR(IF(_xlfn.XLOOKUP($A108,'3-TECHNICAL TABULATION'!$A:$A,'3-TECHNICAL TABULATION'!B:B)="","",_xlfn.XLOOKUP($A108,'3-TECHNICAL TABULATION'!$A:$A,'3-TECHNICAL TABULATION'!B:B)),"")</f>
        <v/>
      </c>
      <c r="C108" s="38" t="str">
        <f>IFERROR(IF(_xlfn.XLOOKUP($A108,'3-TECHNICAL TABULATION'!$A:$A,'3-TECHNICAL TABULATION'!C:C)="","",_xlfn.XLOOKUP($A108,'3-TECHNICAL TABULATION'!$A:$A,'3-TECHNICAL TABULATION'!C:C)),"")</f>
        <v/>
      </c>
      <c r="D108" s="39" t="str">
        <f>IFERROR(IF(_xlfn.XLOOKUP($A108,'3-TECHNICAL TABULATION'!$A:$A,'3-TECHNICAL TABULATION'!D:D)="","",_xlfn.XLOOKUP($A108,'3-TECHNICAL TABULATION'!$A:$A,'3-TECHNICAL TABULATION'!D:D)),"")</f>
        <v/>
      </c>
    </row>
    <row r="109" spans="1:4" x14ac:dyDescent="0.25">
      <c r="A109" s="97" t="s">
        <v>371</v>
      </c>
      <c r="B109" s="52" t="str">
        <f>IFERROR(IF(_xlfn.XLOOKUP($A109,'3-TECHNICAL TABULATION'!$A:$A,'3-TECHNICAL TABULATION'!B:B)="","",_xlfn.XLOOKUP($A109,'3-TECHNICAL TABULATION'!$A:$A,'3-TECHNICAL TABULATION'!B:B)),"")</f>
        <v/>
      </c>
      <c r="C109" s="38" t="str">
        <f>IFERROR(IF(_xlfn.XLOOKUP($A109,'3-TECHNICAL TABULATION'!$A:$A,'3-TECHNICAL TABULATION'!C:C)="","",_xlfn.XLOOKUP($A109,'3-TECHNICAL TABULATION'!$A:$A,'3-TECHNICAL TABULATION'!C:C)),"")</f>
        <v/>
      </c>
      <c r="D109" s="39" t="str">
        <f>IFERROR(IF(_xlfn.XLOOKUP($A109,'3-TECHNICAL TABULATION'!$A:$A,'3-TECHNICAL TABULATION'!D:D)="","",_xlfn.XLOOKUP($A109,'3-TECHNICAL TABULATION'!$A:$A,'3-TECHNICAL TABULATION'!D:D)),"")</f>
        <v/>
      </c>
    </row>
    <row r="110" spans="1:4" x14ac:dyDescent="0.25">
      <c r="A110" s="97" t="s">
        <v>319</v>
      </c>
      <c r="B110" s="52" t="str">
        <f>IFERROR(IF(_xlfn.XLOOKUP($A110,'3-TECHNICAL TABULATION'!$A:$A,'3-TECHNICAL TABULATION'!B:B)="","",_xlfn.XLOOKUP($A110,'3-TECHNICAL TABULATION'!$A:$A,'3-TECHNICAL TABULATION'!B:B)),"")</f>
        <v/>
      </c>
      <c r="C110" s="38" t="str">
        <f>IFERROR(IF(_xlfn.XLOOKUP($A110,'3-TECHNICAL TABULATION'!$A:$A,'3-TECHNICAL TABULATION'!C:C)="","",_xlfn.XLOOKUP($A110,'3-TECHNICAL TABULATION'!$A:$A,'3-TECHNICAL TABULATION'!C:C)),"")</f>
        <v/>
      </c>
      <c r="D110" s="39" t="str">
        <f>IFERROR(IF(_xlfn.XLOOKUP($A110,'3-TECHNICAL TABULATION'!$A:$A,'3-TECHNICAL TABULATION'!D:D)="","",_xlfn.XLOOKUP($A110,'3-TECHNICAL TABULATION'!$A:$A,'3-TECHNICAL TABULATION'!D:D)),"")</f>
        <v/>
      </c>
    </row>
    <row r="111" spans="1:4" x14ac:dyDescent="0.25">
      <c r="A111" s="97" t="s">
        <v>372</v>
      </c>
      <c r="B111" s="52" t="str">
        <f>IFERROR(IF(_xlfn.XLOOKUP($A111,'3-TECHNICAL TABULATION'!$A:$A,'3-TECHNICAL TABULATION'!B:B)="","",_xlfn.XLOOKUP($A111,'3-TECHNICAL TABULATION'!$A:$A,'3-TECHNICAL TABULATION'!B:B)),"")</f>
        <v/>
      </c>
      <c r="C111" s="38" t="str">
        <f>IFERROR(IF(_xlfn.XLOOKUP($A111,'3-TECHNICAL TABULATION'!$A:$A,'3-TECHNICAL TABULATION'!C:C)="","",_xlfn.XLOOKUP($A111,'3-TECHNICAL TABULATION'!$A:$A,'3-TECHNICAL TABULATION'!C:C)),"")</f>
        <v/>
      </c>
      <c r="D111" s="39" t="str">
        <f>IFERROR(IF(_xlfn.XLOOKUP($A111,'3-TECHNICAL TABULATION'!$A:$A,'3-TECHNICAL TABULATION'!D:D)="","",_xlfn.XLOOKUP($A111,'3-TECHNICAL TABULATION'!$A:$A,'3-TECHNICAL TABULATION'!D:D)),"")</f>
        <v/>
      </c>
    </row>
    <row r="112" spans="1:4" x14ac:dyDescent="0.25">
      <c r="A112" s="97" t="s">
        <v>320</v>
      </c>
      <c r="B112" s="52" t="str">
        <f>IFERROR(IF(_xlfn.XLOOKUP($A112,'3-TECHNICAL TABULATION'!$A:$A,'3-TECHNICAL TABULATION'!B:B)="","",_xlfn.XLOOKUP($A112,'3-TECHNICAL TABULATION'!$A:$A,'3-TECHNICAL TABULATION'!B:B)),"")</f>
        <v/>
      </c>
      <c r="C112" s="38" t="str">
        <f>IFERROR(IF(_xlfn.XLOOKUP($A112,'3-TECHNICAL TABULATION'!$A:$A,'3-TECHNICAL TABULATION'!C:C)="","",_xlfn.XLOOKUP($A112,'3-TECHNICAL TABULATION'!$A:$A,'3-TECHNICAL TABULATION'!C:C)),"")</f>
        <v/>
      </c>
      <c r="D112" s="39" t="str">
        <f>IFERROR(IF(_xlfn.XLOOKUP($A112,'3-TECHNICAL TABULATION'!$A:$A,'3-TECHNICAL TABULATION'!D:D)="","",_xlfn.XLOOKUP($A112,'3-TECHNICAL TABULATION'!$A:$A,'3-TECHNICAL TABULATION'!D:D)),"")</f>
        <v/>
      </c>
    </row>
    <row r="113" spans="1:4" x14ac:dyDescent="0.25">
      <c r="A113" s="97" t="s">
        <v>373</v>
      </c>
      <c r="B113" s="52" t="str">
        <f>IFERROR(IF(_xlfn.XLOOKUP($A113,'3-TECHNICAL TABULATION'!$A:$A,'3-TECHNICAL TABULATION'!B:B)="","",_xlfn.XLOOKUP($A113,'3-TECHNICAL TABULATION'!$A:$A,'3-TECHNICAL TABULATION'!B:B)),"")</f>
        <v/>
      </c>
      <c r="C113" s="38" t="str">
        <f>IFERROR(IF(_xlfn.XLOOKUP($A113,'3-TECHNICAL TABULATION'!$A:$A,'3-TECHNICAL TABULATION'!C:C)="","",_xlfn.XLOOKUP($A113,'3-TECHNICAL TABULATION'!$A:$A,'3-TECHNICAL TABULATION'!C:C)),"")</f>
        <v/>
      </c>
      <c r="D113" s="39" t="str">
        <f>IFERROR(IF(_xlfn.XLOOKUP($A113,'3-TECHNICAL TABULATION'!$A:$A,'3-TECHNICAL TABULATION'!D:D)="","",_xlfn.XLOOKUP($A113,'3-TECHNICAL TABULATION'!$A:$A,'3-TECHNICAL TABULATION'!D:D)),"")</f>
        <v/>
      </c>
    </row>
    <row r="114" spans="1:4" x14ac:dyDescent="0.25">
      <c r="A114" s="97" t="s">
        <v>321</v>
      </c>
      <c r="B114" s="52" t="str">
        <f>IFERROR(IF(_xlfn.XLOOKUP($A114,'3-TECHNICAL TABULATION'!$A:$A,'3-TECHNICAL TABULATION'!B:B)="","",_xlfn.XLOOKUP($A114,'3-TECHNICAL TABULATION'!$A:$A,'3-TECHNICAL TABULATION'!B:B)),"")</f>
        <v/>
      </c>
      <c r="C114" s="38" t="str">
        <f>IFERROR(IF(_xlfn.XLOOKUP($A114,'3-TECHNICAL TABULATION'!$A:$A,'3-TECHNICAL TABULATION'!C:C)="","",_xlfn.XLOOKUP($A114,'3-TECHNICAL TABULATION'!$A:$A,'3-TECHNICAL TABULATION'!C:C)),"")</f>
        <v/>
      </c>
      <c r="D114" s="39" t="str">
        <f>IFERROR(IF(_xlfn.XLOOKUP($A114,'3-TECHNICAL TABULATION'!$A:$A,'3-TECHNICAL TABULATION'!D:D)="","",_xlfn.XLOOKUP($A114,'3-TECHNICAL TABULATION'!$A:$A,'3-TECHNICAL TABULATION'!D:D)),"")</f>
        <v/>
      </c>
    </row>
    <row r="115" spans="1:4" x14ac:dyDescent="0.25">
      <c r="A115" s="97" t="s">
        <v>374</v>
      </c>
      <c r="B115" s="52" t="str">
        <f>IFERROR(IF(_xlfn.XLOOKUP($A115,'3-TECHNICAL TABULATION'!$A:$A,'3-TECHNICAL TABULATION'!B:B)="","",_xlfn.XLOOKUP($A115,'3-TECHNICAL TABULATION'!$A:$A,'3-TECHNICAL TABULATION'!B:B)),"")</f>
        <v/>
      </c>
      <c r="C115" s="38" t="str">
        <f>IFERROR(IF(_xlfn.XLOOKUP($A115,'3-TECHNICAL TABULATION'!$A:$A,'3-TECHNICAL TABULATION'!C:C)="","",_xlfn.XLOOKUP($A115,'3-TECHNICAL TABULATION'!$A:$A,'3-TECHNICAL TABULATION'!C:C)),"")</f>
        <v/>
      </c>
      <c r="D115" s="39" t="str">
        <f>IFERROR(IF(_xlfn.XLOOKUP($A115,'3-TECHNICAL TABULATION'!$A:$A,'3-TECHNICAL TABULATION'!D:D)="","",_xlfn.XLOOKUP($A115,'3-TECHNICAL TABULATION'!$A:$A,'3-TECHNICAL TABULATION'!D:D)),"")</f>
        <v/>
      </c>
    </row>
    <row r="116" spans="1:4" x14ac:dyDescent="0.25">
      <c r="A116" s="97" t="s">
        <v>322</v>
      </c>
      <c r="B116" s="52" t="str">
        <f>IFERROR(IF(_xlfn.XLOOKUP($A116,'3-TECHNICAL TABULATION'!$A:$A,'3-TECHNICAL TABULATION'!B:B)="","",_xlfn.XLOOKUP($A116,'3-TECHNICAL TABULATION'!$A:$A,'3-TECHNICAL TABULATION'!B:B)),"")</f>
        <v/>
      </c>
      <c r="C116" s="38" t="str">
        <f>IFERROR(IF(_xlfn.XLOOKUP($A116,'3-TECHNICAL TABULATION'!$A:$A,'3-TECHNICAL TABULATION'!C:C)="","",_xlfn.XLOOKUP($A116,'3-TECHNICAL TABULATION'!$A:$A,'3-TECHNICAL TABULATION'!C:C)),"")</f>
        <v/>
      </c>
      <c r="D116" s="39" t="str">
        <f>IFERROR(IF(_xlfn.XLOOKUP($A116,'3-TECHNICAL TABULATION'!$A:$A,'3-TECHNICAL TABULATION'!D:D)="","",_xlfn.XLOOKUP($A116,'3-TECHNICAL TABULATION'!$A:$A,'3-TECHNICAL TABULATION'!D:D)),"")</f>
        <v/>
      </c>
    </row>
    <row r="117" spans="1:4" x14ac:dyDescent="0.25">
      <c r="A117" s="97" t="s">
        <v>375</v>
      </c>
      <c r="B117" s="52" t="str">
        <f>IFERROR(IF(_xlfn.XLOOKUP($A117,'3-TECHNICAL TABULATION'!$A:$A,'3-TECHNICAL TABULATION'!B:B)="","",_xlfn.XLOOKUP($A117,'3-TECHNICAL TABULATION'!$A:$A,'3-TECHNICAL TABULATION'!B:B)),"")</f>
        <v/>
      </c>
      <c r="C117" s="38" t="str">
        <f>IFERROR(IF(_xlfn.XLOOKUP($A117,'3-TECHNICAL TABULATION'!$A:$A,'3-TECHNICAL TABULATION'!C:C)="","",_xlfn.XLOOKUP($A117,'3-TECHNICAL TABULATION'!$A:$A,'3-TECHNICAL TABULATION'!C:C)),"")</f>
        <v/>
      </c>
      <c r="D117" s="39" t="str">
        <f>IFERROR(IF(_xlfn.XLOOKUP($A117,'3-TECHNICAL TABULATION'!$A:$A,'3-TECHNICAL TABULATION'!D:D)="","",_xlfn.XLOOKUP($A117,'3-TECHNICAL TABULATION'!$A:$A,'3-TECHNICAL TABULATION'!D:D)),"")</f>
        <v/>
      </c>
    </row>
    <row r="118" spans="1:4" x14ac:dyDescent="0.25">
      <c r="A118" s="97" t="s">
        <v>323</v>
      </c>
      <c r="B118" s="52" t="str">
        <f>IFERROR(IF(_xlfn.XLOOKUP($A118,'3-TECHNICAL TABULATION'!$A:$A,'3-TECHNICAL TABULATION'!B:B)="","",_xlfn.XLOOKUP($A118,'3-TECHNICAL TABULATION'!$A:$A,'3-TECHNICAL TABULATION'!B:B)),"")</f>
        <v/>
      </c>
      <c r="C118" s="38" t="str">
        <f>IFERROR(IF(_xlfn.XLOOKUP($A118,'3-TECHNICAL TABULATION'!$A:$A,'3-TECHNICAL TABULATION'!C:C)="","",_xlfn.XLOOKUP($A118,'3-TECHNICAL TABULATION'!$A:$A,'3-TECHNICAL TABULATION'!C:C)),"")</f>
        <v/>
      </c>
      <c r="D118" s="39" t="str">
        <f>IFERROR(IF(_xlfn.XLOOKUP($A118,'3-TECHNICAL TABULATION'!$A:$A,'3-TECHNICAL TABULATION'!D:D)="","",_xlfn.XLOOKUP($A118,'3-TECHNICAL TABULATION'!$A:$A,'3-TECHNICAL TABULATION'!D:D)),"")</f>
        <v/>
      </c>
    </row>
    <row r="119" spans="1:4" x14ac:dyDescent="0.25">
      <c r="A119" s="97" t="s">
        <v>376</v>
      </c>
      <c r="B119" s="52" t="str">
        <f>IFERROR(IF(_xlfn.XLOOKUP($A119,'3-TECHNICAL TABULATION'!$A:$A,'3-TECHNICAL TABULATION'!B:B)="","",_xlfn.XLOOKUP($A119,'3-TECHNICAL TABULATION'!$A:$A,'3-TECHNICAL TABULATION'!B:B)),"")</f>
        <v/>
      </c>
      <c r="C119" s="38" t="str">
        <f>IFERROR(IF(_xlfn.XLOOKUP($A119,'3-TECHNICAL TABULATION'!$A:$A,'3-TECHNICAL TABULATION'!C:C)="","",_xlfn.XLOOKUP($A119,'3-TECHNICAL TABULATION'!$A:$A,'3-TECHNICAL TABULATION'!C:C)),"")</f>
        <v/>
      </c>
      <c r="D119" s="39" t="str">
        <f>IFERROR(IF(_xlfn.XLOOKUP($A119,'3-TECHNICAL TABULATION'!$A:$A,'3-TECHNICAL TABULATION'!D:D)="","",_xlfn.XLOOKUP($A119,'3-TECHNICAL TABULATION'!$A:$A,'3-TECHNICAL TABULATION'!D:D)),"")</f>
        <v/>
      </c>
    </row>
    <row r="120" spans="1:4" x14ac:dyDescent="0.25">
      <c r="A120" s="97" t="s">
        <v>324</v>
      </c>
      <c r="B120" s="52" t="str">
        <f>IFERROR(IF(_xlfn.XLOOKUP($A120,'3-TECHNICAL TABULATION'!$A:$A,'3-TECHNICAL TABULATION'!B:B)="","",_xlfn.XLOOKUP($A120,'3-TECHNICAL TABULATION'!$A:$A,'3-TECHNICAL TABULATION'!B:B)),"")</f>
        <v/>
      </c>
      <c r="C120" s="38" t="str">
        <f>IFERROR(IF(_xlfn.XLOOKUP($A120,'3-TECHNICAL TABULATION'!$A:$A,'3-TECHNICAL TABULATION'!C:C)="","",_xlfn.XLOOKUP($A120,'3-TECHNICAL TABULATION'!$A:$A,'3-TECHNICAL TABULATION'!C:C)),"")</f>
        <v/>
      </c>
      <c r="D120" s="39" t="str">
        <f>IFERROR(IF(_xlfn.XLOOKUP($A120,'3-TECHNICAL TABULATION'!$A:$A,'3-TECHNICAL TABULATION'!D:D)="","",_xlfn.XLOOKUP($A120,'3-TECHNICAL TABULATION'!$A:$A,'3-TECHNICAL TABULATION'!D:D)),"")</f>
        <v/>
      </c>
    </row>
    <row r="121" spans="1:4" x14ac:dyDescent="0.25">
      <c r="A121" s="97" t="s">
        <v>377</v>
      </c>
      <c r="B121" s="52" t="str">
        <f>IFERROR(IF(_xlfn.XLOOKUP($A121,'3-TECHNICAL TABULATION'!$A:$A,'3-TECHNICAL TABULATION'!B:B)="","",_xlfn.XLOOKUP($A121,'3-TECHNICAL TABULATION'!$A:$A,'3-TECHNICAL TABULATION'!B:B)),"")</f>
        <v/>
      </c>
      <c r="C121" s="38" t="str">
        <f>IFERROR(IF(_xlfn.XLOOKUP($A121,'3-TECHNICAL TABULATION'!$A:$A,'3-TECHNICAL TABULATION'!C:C)="","",_xlfn.XLOOKUP($A121,'3-TECHNICAL TABULATION'!$A:$A,'3-TECHNICAL TABULATION'!C:C)),"")</f>
        <v/>
      </c>
      <c r="D121" s="39" t="str">
        <f>IFERROR(IF(_xlfn.XLOOKUP($A121,'3-TECHNICAL TABULATION'!$A:$A,'3-TECHNICAL TABULATION'!D:D)="","",_xlfn.XLOOKUP($A121,'3-TECHNICAL TABULATION'!$A:$A,'3-TECHNICAL TABULATION'!D:D)),"")</f>
        <v/>
      </c>
    </row>
    <row r="122" spans="1:4" x14ac:dyDescent="0.25">
      <c r="A122" s="97" t="s">
        <v>325</v>
      </c>
      <c r="B122" s="52" t="str">
        <f>IFERROR(IF(_xlfn.XLOOKUP($A122,'3-TECHNICAL TABULATION'!$A:$A,'3-TECHNICAL TABULATION'!B:B)="","",_xlfn.XLOOKUP($A122,'3-TECHNICAL TABULATION'!$A:$A,'3-TECHNICAL TABULATION'!B:B)),"")</f>
        <v/>
      </c>
      <c r="C122" s="38" t="str">
        <f>IFERROR(IF(_xlfn.XLOOKUP($A122,'3-TECHNICAL TABULATION'!$A:$A,'3-TECHNICAL TABULATION'!C:C)="","",_xlfn.XLOOKUP($A122,'3-TECHNICAL TABULATION'!$A:$A,'3-TECHNICAL TABULATION'!C:C)),"")</f>
        <v/>
      </c>
      <c r="D122" s="39" t="str">
        <f>IFERROR(IF(_xlfn.XLOOKUP($A122,'3-TECHNICAL TABULATION'!$A:$A,'3-TECHNICAL TABULATION'!D:D)="","",_xlfn.XLOOKUP($A122,'3-TECHNICAL TABULATION'!$A:$A,'3-TECHNICAL TABULATION'!D:D)),"")</f>
        <v/>
      </c>
    </row>
    <row r="123" spans="1:4" x14ac:dyDescent="0.25">
      <c r="A123" s="97" t="s">
        <v>378</v>
      </c>
      <c r="B123" s="52" t="str">
        <f>IFERROR(IF(_xlfn.XLOOKUP($A123,'3-TECHNICAL TABULATION'!$A:$A,'3-TECHNICAL TABULATION'!B:B)="","",_xlfn.XLOOKUP($A123,'3-TECHNICAL TABULATION'!$A:$A,'3-TECHNICAL TABULATION'!B:B)),"")</f>
        <v/>
      </c>
      <c r="C123" s="38" t="str">
        <f>IFERROR(IF(_xlfn.XLOOKUP($A123,'3-TECHNICAL TABULATION'!$A:$A,'3-TECHNICAL TABULATION'!C:C)="","",_xlfn.XLOOKUP($A123,'3-TECHNICAL TABULATION'!$A:$A,'3-TECHNICAL TABULATION'!C:C)),"")</f>
        <v/>
      </c>
      <c r="D123" s="39" t="str">
        <f>IFERROR(IF(_xlfn.XLOOKUP($A123,'3-TECHNICAL TABULATION'!$A:$A,'3-TECHNICAL TABULATION'!D:D)="","",_xlfn.XLOOKUP($A123,'3-TECHNICAL TABULATION'!$A:$A,'3-TECHNICAL TABULATION'!D:D)),"")</f>
        <v/>
      </c>
    </row>
    <row r="124" spans="1:4" x14ac:dyDescent="0.25">
      <c r="A124" s="97" t="s">
        <v>341</v>
      </c>
      <c r="B124" s="52" t="str">
        <f>IFERROR(IF(_xlfn.XLOOKUP($A124,'3-TECHNICAL TABULATION'!$A:$A,'3-TECHNICAL TABULATION'!B:B)="","",_xlfn.XLOOKUP($A124,'3-TECHNICAL TABULATION'!$A:$A,'3-TECHNICAL TABULATION'!B:B)),"")</f>
        <v/>
      </c>
      <c r="C124" s="38" t="str">
        <f>IFERROR(IF(_xlfn.XLOOKUP($A124,'3-TECHNICAL TABULATION'!$A:$A,'3-TECHNICAL TABULATION'!C:C)="","",_xlfn.XLOOKUP($A124,'3-TECHNICAL TABULATION'!$A:$A,'3-TECHNICAL TABULATION'!C:C)),"")</f>
        <v/>
      </c>
      <c r="D124" s="39" t="str">
        <f>IFERROR(IF(_xlfn.XLOOKUP($A124,'3-TECHNICAL TABULATION'!$A:$A,'3-TECHNICAL TABULATION'!D:D)="","",_xlfn.XLOOKUP($A124,'3-TECHNICAL TABULATION'!$A:$A,'3-TECHNICAL TABULATION'!D:D)),"")</f>
        <v/>
      </c>
    </row>
    <row r="125" spans="1:4" x14ac:dyDescent="0.25">
      <c r="A125" s="97" t="s">
        <v>379</v>
      </c>
      <c r="B125" s="52" t="str">
        <f>IFERROR(IF(_xlfn.XLOOKUP($A125,'3-TECHNICAL TABULATION'!$A:$A,'3-TECHNICAL TABULATION'!B:B)="","",_xlfn.XLOOKUP($A125,'3-TECHNICAL TABULATION'!$A:$A,'3-TECHNICAL TABULATION'!B:B)),"")</f>
        <v/>
      </c>
      <c r="C125" s="38" t="str">
        <f>IFERROR(IF(_xlfn.XLOOKUP($A125,'3-TECHNICAL TABULATION'!$A:$A,'3-TECHNICAL TABULATION'!C:C)="","",_xlfn.XLOOKUP($A125,'3-TECHNICAL TABULATION'!$A:$A,'3-TECHNICAL TABULATION'!C:C)),"")</f>
        <v/>
      </c>
      <c r="D125" s="39" t="str">
        <f>IFERROR(IF(_xlfn.XLOOKUP($A125,'3-TECHNICAL TABULATION'!$A:$A,'3-TECHNICAL TABULATION'!D:D)="","",_xlfn.XLOOKUP($A125,'3-TECHNICAL TABULATION'!$A:$A,'3-TECHNICAL TABULATION'!D:D)),"")</f>
        <v/>
      </c>
    </row>
    <row r="126" spans="1:4" x14ac:dyDescent="0.25">
      <c r="A126" s="34" t="s">
        <v>432</v>
      </c>
      <c r="B126" s="56" t="str">
        <f>IFERROR(IF(_xlfn.XLOOKUP($A126,'3-TECHNICAL TABULATION'!$A:$A,'3-TECHNICAL TABULATION'!B:B)="","",_xlfn.XLOOKUP($A126,'3-TECHNICAL TABULATION'!$A:$A,'3-TECHNICAL TABULATION'!B:B)),"")</f>
        <v/>
      </c>
      <c r="C126" s="42" t="str">
        <f>IFERROR(IF(_xlfn.XLOOKUP($A126,'3-TECHNICAL TABULATION'!$A:$A,'3-TECHNICAL TABULATION'!C:C)="","",_xlfn.XLOOKUP($A126,'3-TECHNICAL TABULATION'!$A:$A,'3-TECHNICAL TABULATION'!C:C)),"")</f>
        <v/>
      </c>
      <c r="D126" s="43" t="str">
        <f>IFERROR(IF(_xlfn.XLOOKUP($A126,'3-TECHNICAL TABULATION'!$A:$A,'3-TECHNICAL TABULATION'!D:D)="","",_xlfn.XLOOKUP($A126,'3-TECHNICAL TABULATION'!$A:$A,'3-TECHNICAL TABULATION'!D:D)),"")</f>
        <v/>
      </c>
    </row>
    <row r="127" spans="1:4" x14ac:dyDescent="0.25">
      <c r="A127" s="96" t="s">
        <v>210</v>
      </c>
      <c r="B127" s="52" t="str">
        <f>IFERROR(IF(_xlfn.XLOOKUP($A127,'3-TECHNICAL TABULATION'!$A:$A,'3-TECHNICAL TABULATION'!B:B)="","",_xlfn.XLOOKUP($A127,'3-TECHNICAL TABULATION'!$A:$A,'3-TECHNICAL TABULATION'!B:B)),"")</f>
        <v/>
      </c>
      <c r="C127" s="38" t="str">
        <f>IFERROR(IF(_xlfn.XLOOKUP($A127,'3-TECHNICAL TABULATION'!$A:$A,'3-TECHNICAL TABULATION'!C:C)="","",_xlfn.XLOOKUP($A127,'3-TECHNICAL TABULATION'!$A:$A,'3-TECHNICAL TABULATION'!C:C)),"")</f>
        <v/>
      </c>
      <c r="D127" s="39" t="str">
        <f>IFERROR(IF(_xlfn.XLOOKUP($A127,'3-TECHNICAL TABULATION'!$A:$A,'3-TECHNICAL TABULATION'!D:D)="","",_xlfn.XLOOKUP($A127,'3-TECHNICAL TABULATION'!$A:$A,'3-TECHNICAL TABULATION'!D:D)),"")</f>
        <v/>
      </c>
    </row>
    <row r="128" spans="1:4" x14ac:dyDescent="0.25">
      <c r="A128" s="96" t="s">
        <v>534</v>
      </c>
      <c r="B128" s="52" t="str">
        <f>IFERROR(IF(_xlfn.XLOOKUP($A128,'3-TECHNICAL TABULATION'!$A:$A,'3-TECHNICAL TABULATION'!B:B)="","",_xlfn.XLOOKUP($A128,'3-TECHNICAL TABULATION'!$A:$A,'3-TECHNICAL TABULATION'!B:B)),"")</f>
        <v>mm</v>
      </c>
      <c r="C128" s="38" t="str">
        <f>IFERROR(IF(_xlfn.XLOOKUP($A128,'3-TECHNICAL TABULATION'!$A:$A,'3-TECHNICAL TABULATION'!C:C)="","",_xlfn.XLOOKUP($A128,'3-TECHNICAL TABULATION'!$A:$A,'3-TECHNICAL TABULATION'!C:C)),"")</f>
        <v/>
      </c>
      <c r="D128" s="39" t="str">
        <f>IFERROR(IF(_xlfn.XLOOKUP($A128,'3-TECHNICAL TABULATION'!$A:$A,'3-TECHNICAL TABULATION'!D:D)="","",_xlfn.XLOOKUP($A128,'3-TECHNICAL TABULATION'!$A:$A,'3-TECHNICAL TABULATION'!D:D)),"")</f>
        <v/>
      </c>
    </row>
    <row r="129" spans="1:4" ht="30" x14ac:dyDescent="0.25">
      <c r="A129" s="96" t="s">
        <v>515</v>
      </c>
      <c r="B129" s="52" t="str">
        <f>IFERROR(IF(_xlfn.XLOOKUP($A129,'3-TECHNICAL TABULATION'!$A:$A,'3-TECHNICAL TABULATION'!B:B)="","",_xlfn.XLOOKUP($A129,'3-TECHNICAL TABULATION'!$A:$A,'3-TECHNICAL TABULATION'!B:B)),"")</f>
        <v>[clearence fit / interference fit]</v>
      </c>
      <c r="C129" s="38" t="str">
        <f>IFERROR(IF(_xlfn.XLOOKUP($A129,'3-TECHNICAL TABULATION'!$A:$A,'3-TECHNICAL TABULATION'!C:C)="","",_xlfn.XLOOKUP($A129,'3-TECHNICAL TABULATION'!$A:$A,'3-TECHNICAL TABULATION'!C:C)),"")</f>
        <v/>
      </c>
      <c r="D129" s="39" t="str">
        <f>IFERROR(IF(_xlfn.XLOOKUP($A129,'3-TECHNICAL TABULATION'!$A:$A,'3-TECHNICAL TABULATION'!D:D)="","",_xlfn.XLOOKUP($A129,'3-TECHNICAL TABULATION'!$A:$A,'3-TECHNICAL TABULATION'!D:D)),"")</f>
        <v/>
      </c>
    </row>
    <row r="130" spans="1:4" ht="30" x14ac:dyDescent="0.25">
      <c r="A130" s="96" t="s">
        <v>530</v>
      </c>
      <c r="B130" s="52" t="str">
        <f>IFERROR(IF(_xlfn.XLOOKUP($A130,'3-TECHNICAL TABULATION'!$A:$A,'3-TECHNICAL TABULATION'!B:B)="","",_xlfn.XLOOKUP($A130,'3-TECHNICAL TABULATION'!$A:$A,'3-TECHNICAL TABULATION'!B:B)),"")</f>
        <v>[target ring, hard facing, none]</v>
      </c>
      <c r="C130" s="38" t="str">
        <f>IFERROR(IF(_xlfn.XLOOKUP($A130,'3-TECHNICAL TABULATION'!$A:$A,'3-TECHNICAL TABULATION'!C:C)="","",_xlfn.XLOOKUP($A130,'3-TECHNICAL TABULATION'!$A:$A,'3-TECHNICAL TABULATION'!C:C)),"")</f>
        <v/>
      </c>
      <c r="D130" s="39" t="str">
        <f>IFERROR(IF(_xlfn.XLOOKUP($A130,'3-TECHNICAL TABULATION'!$A:$A,'3-TECHNICAL TABULATION'!D:D)="","",_xlfn.XLOOKUP($A130,'3-TECHNICAL TABULATION'!$A:$A,'3-TECHNICAL TABULATION'!D:D)),"")</f>
        <v/>
      </c>
    </row>
    <row r="131" spans="1:4" x14ac:dyDescent="0.25">
      <c r="A131" s="96" t="s">
        <v>558</v>
      </c>
      <c r="B131" s="52" t="str">
        <f>IFERROR(IF(_xlfn.XLOOKUP($A131,'3-TECHNICAL TABULATION'!$A:$A,'3-TECHNICAL TABULATION'!B:B)="","",_xlfn.XLOOKUP($A131,'3-TECHNICAL TABULATION'!$A:$A,'3-TECHNICAL TABULATION'!B:B)),"")</f>
        <v>[yes/no]</v>
      </c>
      <c r="C131" s="38" t="str">
        <f>IFERROR(IF(_xlfn.XLOOKUP($A131,'3-TECHNICAL TABULATION'!$A:$A,'3-TECHNICAL TABULATION'!C:C)="","",_xlfn.XLOOKUP($A131,'3-TECHNICAL TABULATION'!$A:$A,'3-TECHNICAL TABULATION'!C:C)),"")</f>
        <v/>
      </c>
      <c r="D131" s="39" t="str">
        <f>IFERROR(IF(_xlfn.XLOOKUP($A131,'3-TECHNICAL TABULATION'!$A:$A,'3-TECHNICAL TABULATION'!D:D)="","",_xlfn.XLOOKUP($A131,'3-TECHNICAL TABULATION'!$A:$A,'3-TECHNICAL TABULATION'!D:D)),"")</f>
        <v/>
      </c>
    </row>
    <row r="132" spans="1:4" x14ac:dyDescent="0.25">
      <c r="A132" s="96" t="s">
        <v>559</v>
      </c>
      <c r="B132" s="52" t="str">
        <f>IFERROR(IF(_xlfn.XLOOKUP($A132,'3-TECHNICAL TABULATION'!$A:$A,'3-TECHNICAL TABULATION'!B:B)="","",_xlfn.XLOOKUP($A132,'3-TECHNICAL TABULATION'!$A:$A,'3-TECHNICAL TABULATION'!B:B)),"")</f>
        <v>[yes/no]</v>
      </c>
      <c r="C132" s="38" t="str">
        <f>IFERROR(IF(_xlfn.XLOOKUP($A132,'3-TECHNICAL TABULATION'!$A:$A,'3-TECHNICAL TABULATION'!C:C)="","",_xlfn.XLOOKUP($A132,'3-TECHNICAL TABULATION'!$A:$A,'3-TECHNICAL TABULATION'!C:C)),"")</f>
        <v/>
      </c>
      <c r="D132" s="39" t="str">
        <f>IFERROR(IF(_xlfn.XLOOKUP($A132,'3-TECHNICAL TABULATION'!$A:$A,'3-TECHNICAL TABULATION'!D:D)="","",_xlfn.XLOOKUP($A132,'3-TECHNICAL TABULATION'!$A:$A,'3-TECHNICAL TABULATION'!D:D)),"")</f>
        <v/>
      </c>
    </row>
    <row r="133" spans="1:4" ht="45" x14ac:dyDescent="0.25">
      <c r="A133" s="96" t="s">
        <v>529</v>
      </c>
      <c r="B133" s="52" t="str">
        <f>IFERROR(IF(_xlfn.XLOOKUP($A133,'3-TECHNICAL TABULATION'!$A:$A,'3-TECHNICAL TABULATION'!B:B)="","",_xlfn.XLOOKUP($A133,'3-TECHNICAL TABULATION'!$A:$A,'3-TECHNICAL TABULATION'!B:B)),"")</f>
        <v>[cylindric, tapered with key, tapered hydraulic fit]</v>
      </c>
      <c r="C133" s="38" t="str">
        <f>IFERROR(IF(_xlfn.XLOOKUP($A133,'3-TECHNICAL TABULATION'!$A:$A,'3-TECHNICAL TABULATION'!C:C)="","",_xlfn.XLOOKUP($A133,'3-TECHNICAL TABULATION'!$A:$A,'3-TECHNICAL TABULATION'!C:C)),"")</f>
        <v/>
      </c>
      <c r="D133" s="39" t="str">
        <f>IFERROR(IF(_xlfn.XLOOKUP($A133,'3-TECHNICAL TABULATION'!$A:$A,'3-TECHNICAL TABULATION'!D:D)="","",_xlfn.XLOOKUP($A133,'3-TECHNICAL TABULATION'!$A:$A,'3-TECHNICAL TABULATION'!D:D)),"")</f>
        <v/>
      </c>
    </row>
    <row r="134" spans="1:4" x14ac:dyDescent="0.25">
      <c r="A134" s="96" t="s">
        <v>357</v>
      </c>
      <c r="B134" s="52" t="str">
        <f>IFERROR(IF(_xlfn.XLOOKUP($A134,'3-TECHNICAL TABULATION'!$A:$A,'3-TECHNICAL TABULATION'!B:B)="","",_xlfn.XLOOKUP($A134,'3-TECHNICAL TABULATION'!$A:$A,'3-TECHNICAL TABULATION'!B:B)),"")</f>
        <v>[none/1:10/1:16/other]</v>
      </c>
      <c r="C134" s="38" t="str">
        <f>IFERROR(IF(_xlfn.XLOOKUP($A134,'3-TECHNICAL TABULATION'!$A:$A,'3-TECHNICAL TABULATION'!C:C)="","",_xlfn.XLOOKUP($A134,'3-TECHNICAL TABULATION'!$A:$A,'3-TECHNICAL TABULATION'!C:C)),"")</f>
        <v/>
      </c>
      <c r="D134" s="39" t="str">
        <f>IFERROR(IF(_xlfn.XLOOKUP($A134,'3-TECHNICAL TABULATION'!$A:$A,'3-TECHNICAL TABULATION'!D:D)="","",_xlfn.XLOOKUP($A134,'3-TECHNICAL TABULATION'!$A:$A,'3-TECHNICAL TABULATION'!D:D)),"")</f>
        <v/>
      </c>
    </row>
    <row r="135" spans="1:4" x14ac:dyDescent="0.25">
      <c r="A135" s="96" t="s">
        <v>514</v>
      </c>
      <c r="B135" s="52" t="str">
        <f>IFERROR(IF(_xlfn.XLOOKUP($A135,'3-TECHNICAL TABULATION'!$A:$A,'3-TECHNICAL TABULATION'!B:B)="","",_xlfn.XLOOKUP($A135,'3-TECHNICAL TABULATION'!$A:$A,'3-TECHNICAL TABULATION'!B:B)),"")</f>
        <v>[API / 0,8xAPI / OTHER]</v>
      </c>
      <c r="C135" s="38" t="str">
        <f>IFERROR(IF(_xlfn.XLOOKUP($A135,'3-TECHNICAL TABULATION'!$A:$A,'3-TECHNICAL TABULATION'!C:C)="","",_xlfn.XLOOKUP($A135,'3-TECHNICAL TABULATION'!$A:$A,'3-TECHNICAL TABULATION'!C:C)),"")</f>
        <v/>
      </c>
      <c r="D135" s="39" t="str">
        <f>IFERROR(IF(_xlfn.XLOOKUP($A135,'3-TECHNICAL TABULATION'!$A:$A,'3-TECHNICAL TABULATION'!D:D)="","",_xlfn.XLOOKUP($A135,'3-TECHNICAL TABULATION'!$A:$A,'3-TECHNICAL TABULATION'!D:D)),"")</f>
        <v/>
      </c>
    </row>
    <row r="136" spans="1:4" x14ac:dyDescent="0.25">
      <c r="A136" s="96" t="s">
        <v>265</v>
      </c>
      <c r="B136" s="52" t="str">
        <f>IFERROR(IF(_xlfn.XLOOKUP($A136,'3-TECHNICAL TABULATION'!$A:$A,'3-TECHNICAL TABULATION'!B:B)="","",_xlfn.XLOOKUP($A136,'3-TECHNICAL TABULATION'!$A:$A,'3-TECHNICAL TABULATION'!B:B)),"")</f>
        <v>[yes/no]</v>
      </c>
      <c r="C136" s="38" t="str">
        <f>IFERROR(IF(_xlfn.XLOOKUP($A136,'3-TECHNICAL TABULATION'!$A:$A,'3-TECHNICAL TABULATION'!C:C)="","",_xlfn.XLOOKUP($A136,'3-TECHNICAL TABULATION'!$A:$A,'3-TECHNICAL TABULATION'!C:C)),"")</f>
        <v/>
      </c>
      <c r="D136" s="39" t="str">
        <f>IFERROR(IF(_xlfn.XLOOKUP($A136,'3-TECHNICAL TABULATION'!$A:$A,'3-TECHNICAL TABULATION'!D:D)="","",_xlfn.XLOOKUP($A136,'3-TECHNICAL TABULATION'!$A:$A,'3-TECHNICAL TABULATION'!D:D)),"")</f>
        <v/>
      </c>
    </row>
    <row r="137" spans="1:4" x14ac:dyDescent="0.25">
      <c r="A137" s="96" t="s">
        <v>356</v>
      </c>
      <c r="B137" s="52" t="str">
        <f>IFERROR(IF(_xlfn.XLOOKUP($A137,'3-TECHNICAL TABULATION'!$A:$A,'3-TECHNICAL TABULATION'!B:B)="","",_xlfn.XLOOKUP($A137,'3-TECHNICAL TABULATION'!$A:$A,'3-TECHNICAL TABULATION'!B:B)),"")</f>
        <v>[yes/no]</v>
      </c>
      <c r="C137" s="38" t="str">
        <f>IFERROR(IF(_xlfn.XLOOKUP($A137,'3-TECHNICAL TABULATION'!$A:$A,'3-TECHNICAL TABULATION'!C:C)="","",_xlfn.XLOOKUP($A137,'3-TECHNICAL TABULATION'!$A:$A,'3-TECHNICAL TABULATION'!C:C)),"")</f>
        <v/>
      </c>
      <c r="D137" s="39" t="str">
        <f>IFERROR(IF(_xlfn.XLOOKUP($A137,'3-TECHNICAL TABULATION'!$A:$A,'3-TECHNICAL TABULATION'!D:D)="","",_xlfn.XLOOKUP($A137,'3-TECHNICAL TABULATION'!$A:$A,'3-TECHNICAL TABULATION'!D:D)),"")</f>
        <v/>
      </c>
    </row>
    <row r="138" spans="1:4" x14ac:dyDescent="0.25">
      <c r="A138" s="96" t="s">
        <v>528</v>
      </c>
      <c r="B138" s="52" t="str">
        <f>IFERROR(IF(_xlfn.XLOOKUP($A138,'3-TECHNICAL TABULATION'!$A:$A,'3-TECHNICAL TABULATION'!B:B)="","",_xlfn.XLOOKUP($A138,'3-TECHNICAL TABULATION'!$A:$A,'3-TECHNICAL TABULATION'!B:B)),"")</f>
        <v>[tack weld/screw]</v>
      </c>
      <c r="C138" s="38" t="str">
        <f>IFERROR(IF(_xlfn.XLOOKUP($A138,'3-TECHNICAL TABULATION'!$A:$A,'3-TECHNICAL TABULATION'!C:C)="","",_xlfn.XLOOKUP($A138,'3-TECHNICAL TABULATION'!$A:$A,'3-TECHNICAL TABULATION'!C:C)),"")</f>
        <v/>
      </c>
      <c r="D138" s="39" t="str">
        <f>IFERROR(IF(_xlfn.XLOOKUP($A138,'3-TECHNICAL TABULATION'!$A:$A,'3-TECHNICAL TABULATION'!D:D)="","",_xlfn.XLOOKUP($A138,'3-TECHNICAL TABULATION'!$A:$A,'3-TECHNICAL TABULATION'!D:D)),"")</f>
        <v/>
      </c>
    </row>
    <row r="139" spans="1:4" x14ac:dyDescent="0.25">
      <c r="A139" s="96" t="s">
        <v>262</v>
      </c>
      <c r="B139" s="52" t="str">
        <f>IFERROR(IF(_xlfn.XLOOKUP($A139,'3-TECHNICAL TABULATION'!$A:$A,'3-TECHNICAL TABULATION'!B:B)="","",_xlfn.XLOOKUP($A139,'3-TECHNICAL TABULATION'!$A:$A,'3-TECHNICAL TABULATION'!B:B)),"")</f>
        <v>[yes/no]</v>
      </c>
      <c r="C139" s="38" t="str">
        <f>IFERROR(IF(_xlfn.XLOOKUP($A139,'3-TECHNICAL TABULATION'!$A:$A,'3-TECHNICAL TABULATION'!C:C)="","",_xlfn.XLOOKUP($A139,'3-TECHNICAL TABULATION'!$A:$A,'3-TECHNICAL TABULATION'!C:C)),"")</f>
        <v/>
      </c>
      <c r="D139" s="39" t="str">
        <f>IFERROR(IF(_xlfn.XLOOKUP($A139,'3-TECHNICAL TABULATION'!$A:$A,'3-TECHNICAL TABULATION'!D:D)="","",_xlfn.XLOOKUP($A139,'3-TECHNICAL TABULATION'!$A:$A,'3-TECHNICAL TABULATION'!D:D)),"")</f>
        <v/>
      </c>
    </row>
    <row r="140" spans="1:4" x14ac:dyDescent="0.25">
      <c r="A140" s="96" t="s">
        <v>218</v>
      </c>
      <c r="B140" s="52" t="str">
        <f>IFERROR(IF(_xlfn.XLOOKUP($A140,'3-TECHNICAL TABULATION'!$A:$A,'3-TECHNICAL TABULATION'!B:B)="","",_xlfn.XLOOKUP($A140,'3-TECHNICAL TABULATION'!$A:$A,'3-TECHNICAL TABULATION'!B:B)),"")</f>
        <v>[yes/no]</v>
      </c>
      <c r="C140" s="38" t="str">
        <f>IFERROR(IF(_xlfn.XLOOKUP($A140,'3-TECHNICAL TABULATION'!$A:$A,'3-TECHNICAL TABULATION'!C:C)="","",_xlfn.XLOOKUP($A140,'3-TECHNICAL TABULATION'!$A:$A,'3-TECHNICAL TABULATION'!C:C)),"")</f>
        <v/>
      </c>
      <c r="D140" s="39" t="str">
        <f>IFERROR(IF(_xlfn.XLOOKUP($A140,'3-TECHNICAL TABULATION'!$A:$A,'3-TECHNICAL TABULATION'!D:D)="","",_xlfn.XLOOKUP($A140,'3-TECHNICAL TABULATION'!$A:$A,'3-TECHNICAL TABULATION'!D:D)),"")</f>
        <v/>
      </c>
    </row>
    <row r="141" spans="1:4" x14ac:dyDescent="0.25">
      <c r="A141" s="96" t="s">
        <v>220</v>
      </c>
      <c r="B141" s="52" t="str">
        <f>IFERROR(IF(_xlfn.XLOOKUP($A141,'3-TECHNICAL TABULATION'!$A:$A,'3-TECHNICAL TABULATION'!B:B)="","",_xlfn.XLOOKUP($A141,'3-TECHNICAL TABULATION'!$A:$A,'3-TECHNICAL TABULATION'!B:B)),"")</f>
        <v>[yes/no]</v>
      </c>
      <c r="C141" s="38" t="str">
        <f>IFERROR(IF(_xlfn.XLOOKUP($A141,'3-TECHNICAL TABULATION'!$A:$A,'3-TECHNICAL TABULATION'!C:C)="","",_xlfn.XLOOKUP($A141,'3-TECHNICAL TABULATION'!$A:$A,'3-TECHNICAL TABULATION'!C:C)),"")</f>
        <v/>
      </c>
      <c r="D141" s="39" t="str">
        <f>IFERROR(IF(_xlfn.XLOOKUP($A141,'3-TECHNICAL TABULATION'!$A:$A,'3-TECHNICAL TABULATION'!D:D)="","",_xlfn.XLOOKUP($A141,'3-TECHNICAL TABULATION'!$A:$A,'3-TECHNICAL TABULATION'!D:D)),"")</f>
        <v/>
      </c>
    </row>
    <row r="142" spans="1:4" x14ac:dyDescent="0.25">
      <c r="A142" s="96" t="s">
        <v>206</v>
      </c>
      <c r="B142" s="52" t="str">
        <f>IFERROR(IF(_xlfn.XLOOKUP($A142,'3-TECHNICAL TABULATION'!$A:$A,'3-TECHNICAL TABULATION'!B:B)="","",_xlfn.XLOOKUP($A142,'3-TECHNICAL TABULATION'!$A:$A,'3-TECHNICAL TABULATION'!B:B)),"")</f>
        <v>[yes/no]</v>
      </c>
      <c r="C142" s="38" t="str">
        <f>IFERROR(IF(_xlfn.XLOOKUP($A142,'3-TECHNICAL TABULATION'!$A:$A,'3-TECHNICAL TABULATION'!C:C)="","",_xlfn.XLOOKUP($A142,'3-TECHNICAL TABULATION'!$A:$A,'3-TECHNICAL TABULATION'!C:C)),"")</f>
        <v/>
      </c>
      <c r="D142" s="39" t="str">
        <f>IFERROR(IF(_xlfn.XLOOKUP($A142,'3-TECHNICAL TABULATION'!$A:$A,'3-TECHNICAL TABULATION'!D:D)="","",_xlfn.XLOOKUP($A142,'3-TECHNICAL TABULATION'!$A:$A,'3-TECHNICAL TABULATION'!D:D)),"")</f>
        <v/>
      </c>
    </row>
    <row r="143" spans="1:4" x14ac:dyDescent="0.25">
      <c r="A143" s="96" t="s">
        <v>207</v>
      </c>
      <c r="B143" s="52" t="str">
        <f>IFERROR(IF(_xlfn.XLOOKUP($A143,'3-TECHNICAL TABULATION'!$A:$A,'3-TECHNICAL TABULATION'!B:B)="","",_xlfn.XLOOKUP($A143,'3-TECHNICAL TABULATION'!$A:$A,'3-TECHNICAL TABULATION'!B:B)),"")</f>
        <v>[yes/no]</v>
      </c>
      <c r="C143" s="38" t="str">
        <f>IFERROR(IF(_xlfn.XLOOKUP($A143,'3-TECHNICAL TABULATION'!$A:$A,'3-TECHNICAL TABULATION'!C:C)="","",_xlfn.XLOOKUP($A143,'3-TECHNICAL TABULATION'!$A:$A,'3-TECHNICAL TABULATION'!C:C)),"")</f>
        <v/>
      </c>
      <c r="D143" s="39" t="str">
        <f>IFERROR(IF(_xlfn.XLOOKUP($A143,'3-TECHNICAL TABULATION'!$A:$A,'3-TECHNICAL TABULATION'!D:D)="","",_xlfn.XLOOKUP($A143,'3-TECHNICAL TABULATION'!$A:$A,'3-TECHNICAL TABULATION'!D:D)),"")</f>
        <v/>
      </c>
    </row>
    <row r="144" spans="1:4" x14ac:dyDescent="0.25">
      <c r="A144" s="96" t="s">
        <v>208</v>
      </c>
      <c r="B144" s="52" t="str">
        <f>IFERROR(IF(_xlfn.XLOOKUP($A144,'3-TECHNICAL TABULATION'!$A:$A,'3-TECHNICAL TABULATION'!B:B)="","",_xlfn.XLOOKUP($A144,'3-TECHNICAL TABULATION'!$A:$A,'3-TECHNICAL TABULATION'!B:B)),"")</f>
        <v>[none/list]</v>
      </c>
      <c r="C144" s="38" t="str">
        <f>IFERROR(IF(_xlfn.XLOOKUP($A144,'3-TECHNICAL TABULATION'!$A:$A,'3-TECHNICAL TABULATION'!C:C)="","",_xlfn.XLOOKUP($A144,'3-TECHNICAL TABULATION'!$A:$A,'3-TECHNICAL TABULATION'!C:C)),"")</f>
        <v/>
      </c>
      <c r="D144" s="39" t="str">
        <f>IFERROR(IF(_xlfn.XLOOKUP($A144,'3-TECHNICAL TABULATION'!$A:$A,'3-TECHNICAL TABULATION'!D:D)="","",_xlfn.XLOOKUP($A144,'3-TECHNICAL TABULATION'!$A:$A,'3-TECHNICAL TABULATION'!D:D)),"")</f>
        <v/>
      </c>
    </row>
    <row r="145" spans="1:4" x14ac:dyDescent="0.25">
      <c r="A145" s="96" t="s">
        <v>209</v>
      </c>
      <c r="B145" s="52" t="str">
        <f>IFERROR(IF(_xlfn.XLOOKUP($A145,'3-TECHNICAL TABULATION'!$A:$A,'3-TECHNICAL TABULATION'!B:B)="","",_xlfn.XLOOKUP($A145,'3-TECHNICAL TABULATION'!$A:$A,'3-TECHNICAL TABULATION'!B:B)),"")</f>
        <v>[yes/no]</v>
      </c>
      <c r="C145" s="38" t="str">
        <f>IFERROR(IF(_xlfn.XLOOKUP($A145,'3-TECHNICAL TABULATION'!$A:$A,'3-TECHNICAL TABULATION'!C:C)="","",_xlfn.XLOOKUP($A145,'3-TECHNICAL TABULATION'!$A:$A,'3-TECHNICAL TABULATION'!C:C)),"")</f>
        <v/>
      </c>
      <c r="D145" s="39" t="str">
        <f>IFERROR(IF(_xlfn.XLOOKUP($A145,'3-TECHNICAL TABULATION'!$A:$A,'3-TECHNICAL TABULATION'!D:D)="","",_xlfn.XLOOKUP($A145,'3-TECHNICAL TABULATION'!$A:$A,'3-TECHNICAL TABULATION'!D:D)),"")</f>
        <v/>
      </c>
    </row>
    <row r="146" spans="1:4" ht="30" x14ac:dyDescent="0.25">
      <c r="A146" s="96" t="s">
        <v>204</v>
      </c>
      <c r="B146" s="52" t="str">
        <f>IFERROR(IF(_xlfn.XLOOKUP($A146,'3-TECHNICAL TABULATION'!$A:$A,'3-TECHNICAL TABULATION'!B:B)="","",_xlfn.XLOOKUP($A146,'3-TECHNICAL TABULATION'!$A:$A,'3-TECHNICAL TABULATION'!B:B)),"")</f>
        <v>[none/list]</v>
      </c>
      <c r="C146" s="38" t="str">
        <f>IFERROR(IF(_xlfn.XLOOKUP($A146,'3-TECHNICAL TABULATION'!$A:$A,'3-TECHNICAL TABULATION'!C:C)="","",_xlfn.XLOOKUP($A146,'3-TECHNICAL TABULATION'!$A:$A,'3-TECHNICAL TABULATION'!C:C)),"")</f>
        <v/>
      </c>
      <c r="D146" s="39" t="str">
        <f>IFERROR(IF(_xlfn.XLOOKUP($A146,'3-TECHNICAL TABULATION'!$A:$A,'3-TECHNICAL TABULATION'!D:D)="","",_xlfn.XLOOKUP($A146,'3-TECHNICAL TABULATION'!$A:$A,'3-TECHNICAL TABULATION'!D:D)),"")</f>
        <v/>
      </c>
    </row>
    <row r="147" spans="1:4" x14ac:dyDescent="0.25">
      <c r="A147" s="96" t="s">
        <v>263</v>
      </c>
      <c r="B147" s="52" t="str">
        <f>IFERROR(IF(_xlfn.XLOOKUP($A147,'3-TECHNICAL TABULATION'!$A:$A,'3-TECHNICAL TABULATION'!B:B)="","",_xlfn.XLOOKUP($A147,'3-TECHNICAL TABULATION'!$A:$A,'3-TECHNICAL TABULATION'!B:B)),"")</f>
        <v>[yes/no]</v>
      </c>
      <c r="C147" s="38" t="str">
        <f>IFERROR(IF(_xlfn.XLOOKUP($A147,'3-TECHNICAL TABULATION'!$A:$A,'3-TECHNICAL TABULATION'!C:C)="","",_xlfn.XLOOKUP($A147,'3-TECHNICAL TABULATION'!$A:$A,'3-TECHNICAL TABULATION'!C:C)),"")</f>
        <v/>
      </c>
      <c r="D147" s="39" t="str">
        <f>IFERROR(IF(_xlfn.XLOOKUP($A147,'3-TECHNICAL TABULATION'!$A:$A,'3-TECHNICAL TABULATION'!D:D)="","",_xlfn.XLOOKUP($A147,'3-TECHNICAL TABULATION'!$A:$A,'3-TECHNICAL TABULATION'!D:D)),"")</f>
        <v/>
      </c>
    </row>
    <row r="148" spans="1:4" x14ac:dyDescent="0.25">
      <c r="A148" s="96" t="s">
        <v>431</v>
      </c>
      <c r="B148" s="52" t="str">
        <f>IFERROR(IF(_xlfn.XLOOKUP($A148,'3-TECHNICAL TABULATION'!$A:$A,'3-TECHNICAL TABULATION'!B:B)="","",_xlfn.XLOOKUP($A148,'3-TECHNICAL TABULATION'!$A:$A,'3-TECHNICAL TABULATION'!B:B)),"")</f>
        <v>[yes/no]</v>
      </c>
      <c r="C148" s="38" t="str">
        <f>IFERROR(IF(_xlfn.XLOOKUP($A148,'3-TECHNICAL TABULATION'!$A:$A,'3-TECHNICAL TABULATION'!C:C)="","",_xlfn.XLOOKUP($A148,'3-TECHNICAL TABULATION'!$A:$A,'3-TECHNICAL TABULATION'!C:C)),"")</f>
        <v/>
      </c>
      <c r="D148" s="39" t="str">
        <f>IFERROR(IF(_xlfn.XLOOKUP($A148,'3-TECHNICAL TABULATION'!$A:$A,'3-TECHNICAL TABULATION'!D:D)="","",_xlfn.XLOOKUP($A148,'3-TECHNICAL TABULATION'!$A:$A,'3-TECHNICAL TABULATION'!D:D)),"")</f>
        <v/>
      </c>
    </row>
    <row r="149" spans="1:4" x14ac:dyDescent="0.25">
      <c r="A149" s="98" t="s">
        <v>264</v>
      </c>
      <c r="B149" s="52" t="str">
        <f>IFERROR(IF(_xlfn.XLOOKUP($A149,'3-TECHNICAL TABULATION'!$A:$A,'3-TECHNICAL TABULATION'!B:B)="","",_xlfn.XLOOKUP($A149,'3-TECHNICAL TABULATION'!$A:$A,'3-TECHNICAL TABULATION'!B:B)),"")</f>
        <v>[none/list]</v>
      </c>
      <c r="C149" s="38" t="str">
        <f>IFERROR(IF(_xlfn.XLOOKUP($A149,'3-TECHNICAL TABULATION'!$A:$A,'3-TECHNICAL TABULATION'!C:C)="","",_xlfn.XLOOKUP($A149,'3-TECHNICAL TABULATION'!$A:$A,'3-TECHNICAL TABULATION'!C:C)),"")</f>
        <v/>
      </c>
      <c r="D149" s="39" t="str">
        <f>IFERROR(IF(_xlfn.XLOOKUP($A149,'3-TECHNICAL TABULATION'!$A:$A,'3-TECHNICAL TABULATION'!D:D)="","",_xlfn.XLOOKUP($A149,'3-TECHNICAL TABULATION'!$A:$A,'3-TECHNICAL TABULATION'!D:D)),"")</f>
        <v/>
      </c>
    </row>
    <row r="150" spans="1:4" x14ac:dyDescent="0.25">
      <c r="A150" s="99" t="s">
        <v>532</v>
      </c>
      <c r="B150" s="52" t="str">
        <f>IFERROR(IF(_xlfn.XLOOKUP($A150,'3-TECHNICAL TABULATION'!$A:$A,'3-TECHNICAL TABULATION'!B:B)="","",_xlfn.XLOOKUP($A150,'3-TECHNICAL TABULATION'!$A:$A,'3-TECHNICAL TABULATION'!B:B)),"")</f>
        <v>[metric/imperial]</v>
      </c>
      <c r="C150" s="38" t="str">
        <f>IFERROR(IF(_xlfn.XLOOKUP($A150,'3-TECHNICAL TABULATION'!$A:$A,'3-TECHNICAL TABULATION'!C:C)="","",_xlfn.XLOOKUP($A150,'3-TECHNICAL TABULATION'!$A:$A,'3-TECHNICAL TABULATION'!C:C)),"")</f>
        <v/>
      </c>
      <c r="D150" s="39" t="str">
        <f>IFERROR(IF(_xlfn.XLOOKUP($A150,'3-TECHNICAL TABULATION'!$A:$A,'3-TECHNICAL TABULATION'!D:D)="","",_xlfn.XLOOKUP($A150,'3-TECHNICAL TABULATION'!$A:$A,'3-TECHNICAL TABULATION'!D:D)),"")</f>
        <v/>
      </c>
    </row>
    <row r="151" spans="1:4" ht="30" x14ac:dyDescent="0.25">
      <c r="A151" s="100" t="s">
        <v>433</v>
      </c>
      <c r="B151" s="52" t="str">
        <f>IFERROR(IF(_xlfn.XLOOKUP($A151,'3-TECHNICAL TABULATION'!$A:$A,'3-TECHNICAL TABULATION'!B:B)="","",_xlfn.XLOOKUP($A151,'3-TECHNICAL TABULATION'!$A:$A,'3-TECHNICAL TABULATION'!B:B)),"")</f>
        <v>[with trolley/ without trolley/ none]</v>
      </c>
      <c r="C151" s="38" t="str">
        <f>IFERROR(IF(_xlfn.XLOOKUP($A151,'3-TECHNICAL TABULATION'!$A:$A,'3-TECHNICAL TABULATION'!C:C)="","",_xlfn.XLOOKUP($A151,'3-TECHNICAL TABULATION'!$A:$A,'3-TECHNICAL TABULATION'!C:C)),"")</f>
        <v/>
      </c>
      <c r="D151" s="39" t="str">
        <f>IFERROR(IF(_xlfn.XLOOKUP($A151,'3-TECHNICAL TABULATION'!$A:$A,'3-TECHNICAL TABULATION'!D:D)="","",_xlfn.XLOOKUP($A151,'3-TECHNICAL TABULATION'!$A:$A,'3-TECHNICAL TABULATION'!D:D)),"")</f>
        <v/>
      </c>
    </row>
    <row r="152" spans="1:4" x14ac:dyDescent="0.25">
      <c r="A152" s="100" t="s">
        <v>434</v>
      </c>
      <c r="B152" s="52" t="str">
        <f>IFERROR(IF(_xlfn.XLOOKUP($A152,'3-TECHNICAL TABULATION'!$A:$A,'3-TECHNICAL TABULATION'!B:B)="","",_xlfn.XLOOKUP($A152,'3-TECHNICAL TABULATION'!$A:$A,'3-TECHNICAL TABULATION'!B:B)),"")</f>
        <v>[rotor/inner/ other]</v>
      </c>
      <c r="C152" s="38" t="str">
        <f>IFERROR(IF(_xlfn.XLOOKUP($A152,'3-TECHNICAL TABULATION'!$A:$A,'3-TECHNICAL TABULATION'!C:C)="","",_xlfn.XLOOKUP($A152,'3-TECHNICAL TABULATION'!$A:$A,'3-TECHNICAL TABULATION'!C:C)),"")</f>
        <v/>
      </c>
      <c r="D152" s="39" t="str">
        <f>IFERROR(IF(_xlfn.XLOOKUP($A152,'3-TECHNICAL TABULATION'!$A:$A,'3-TECHNICAL TABULATION'!D:D)="","",_xlfn.XLOOKUP($A152,'3-TECHNICAL TABULATION'!$A:$A,'3-TECHNICAL TABULATION'!D:D)),"")</f>
        <v/>
      </c>
    </row>
    <row r="153" spans="1:4" x14ac:dyDescent="0.25">
      <c r="A153" s="101" t="s">
        <v>221</v>
      </c>
      <c r="B153" s="52" t="str">
        <f>IFERROR(IF(_xlfn.XLOOKUP($A153,'3-TECHNICAL TABULATION'!$A:$A,'3-TECHNICAL TABULATION'!B:B)="","",_xlfn.XLOOKUP($A153,'3-TECHNICAL TABULATION'!$A:$A,'3-TECHNICAL TABULATION'!B:B)),"")</f>
        <v/>
      </c>
      <c r="C153" s="38" t="str">
        <f>IFERROR(IF(_xlfn.XLOOKUP($A153,'3-TECHNICAL TABULATION'!$A:$A,'3-TECHNICAL TABULATION'!C:C)="","",_xlfn.XLOOKUP($A153,'3-TECHNICAL TABULATION'!$A:$A,'3-TECHNICAL TABULATION'!C:C)),"")</f>
        <v/>
      </c>
      <c r="D153" s="39" t="str">
        <f>IFERROR(IF(_xlfn.XLOOKUP($A153,'3-TECHNICAL TABULATION'!$A:$A,'3-TECHNICAL TABULATION'!D:D)="","",_xlfn.XLOOKUP($A153,'3-TECHNICAL TABULATION'!$A:$A,'3-TECHNICAL TABULATION'!D:D)),"")</f>
        <v/>
      </c>
    </row>
    <row r="154" spans="1:4" x14ac:dyDescent="0.25">
      <c r="A154" s="96" t="s">
        <v>222</v>
      </c>
      <c r="B154" s="52" t="str">
        <f>IFERROR(IF(_xlfn.XLOOKUP($A154,'3-TECHNICAL TABULATION'!$A:$A,'3-TECHNICAL TABULATION'!B:B)="","",_xlfn.XLOOKUP($A154,'3-TECHNICAL TABULATION'!$A:$A,'3-TECHNICAL TABULATION'!B:B)),"")</f>
        <v/>
      </c>
      <c r="C154" s="38" t="str">
        <f>IFERROR(IF(_xlfn.XLOOKUP($A154,'3-TECHNICAL TABULATION'!$A:$A,'3-TECHNICAL TABULATION'!C:C)="","",_xlfn.XLOOKUP($A154,'3-TECHNICAL TABULATION'!$A:$A,'3-TECHNICAL TABULATION'!C:C)),"")</f>
        <v/>
      </c>
      <c r="D154" s="39" t="str">
        <f>IFERROR(IF(_xlfn.XLOOKUP($A154,'3-TECHNICAL TABULATION'!$A:$A,'3-TECHNICAL TABULATION'!D:D)="","",_xlfn.XLOOKUP($A154,'3-TECHNICAL TABULATION'!$A:$A,'3-TECHNICAL TABULATION'!D:D)),"")</f>
        <v/>
      </c>
    </row>
    <row r="155" spans="1:4" x14ac:dyDescent="0.25">
      <c r="A155" s="96" t="s">
        <v>223</v>
      </c>
      <c r="B155" s="52" t="str">
        <f>IFERROR(IF(_xlfn.XLOOKUP($A155,'3-TECHNICAL TABULATION'!$A:$A,'3-TECHNICAL TABULATION'!B:B)="","",_xlfn.XLOOKUP($A155,'3-TECHNICAL TABULATION'!$A:$A,'3-TECHNICAL TABULATION'!B:B)),"")</f>
        <v/>
      </c>
      <c r="C155" s="38" t="str">
        <f>IFERROR(IF(_xlfn.XLOOKUP($A155,'3-TECHNICAL TABULATION'!$A:$A,'3-TECHNICAL TABULATION'!C:C)="","",_xlfn.XLOOKUP($A155,'3-TECHNICAL TABULATION'!$A:$A,'3-TECHNICAL TABULATION'!C:C)),"")</f>
        <v/>
      </c>
      <c r="D155" s="39" t="str">
        <f>IFERROR(IF(_xlfn.XLOOKUP($A155,'3-TECHNICAL TABULATION'!$A:$A,'3-TECHNICAL TABULATION'!D:D)="","",_xlfn.XLOOKUP($A155,'3-TECHNICAL TABULATION'!$A:$A,'3-TECHNICAL TABULATION'!D:D)),"")</f>
        <v/>
      </c>
    </row>
    <row r="156" spans="1:4" x14ac:dyDescent="0.25">
      <c r="A156" s="96" t="s">
        <v>224</v>
      </c>
      <c r="B156" s="52" t="str">
        <f>IFERROR(IF(_xlfn.XLOOKUP($A156,'3-TECHNICAL TABULATION'!$A:$A,'3-TECHNICAL TABULATION'!B:B)="","",_xlfn.XLOOKUP($A156,'3-TECHNICAL TABULATION'!$A:$A,'3-TECHNICAL TABULATION'!B:B)),"")</f>
        <v/>
      </c>
      <c r="C156" s="38" t="str">
        <f>IFERROR(IF(_xlfn.XLOOKUP($A156,'3-TECHNICAL TABULATION'!$A:$A,'3-TECHNICAL TABULATION'!C:C)="","",_xlfn.XLOOKUP($A156,'3-TECHNICAL TABULATION'!$A:$A,'3-TECHNICAL TABULATION'!C:C)),"")</f>
        <v/>
      </c>
      <c r="D156" s="39" t="str">
        <f>IFERROR(IF(_xlfn.XLOOKUP($A156,'3-TECHNICAL TABULATION'!$A:$A,'3-TECHNICAL TABULATION'!D:D)="","",_xlfn.XLOOKUP($A156,'3-TECHNICAL TABULATION'!$A:$A,'3-TECHNICAL TABULATION'!D:D)),"")</f>
        <v/>
      </c>
    </row>
    <row r="157" spans="1:4" x14ac:dyDescent="0.25">
      <c r="A157" s="96" t="s">
        <v>225</v>
      </c>
      <c r="B157" s="52" t="str">
        <f>IFERROR(IF(_xlfn.XLOOKUP($A157,'3-TECHNICAL TABULATION'!$A:$A,'3-TECHNICAL TABULATION'!B:B)="","",_xlfn.XLOOKUP($A157,'3-TECHNICAL TABULATION'!$A:$A,'3-TECHNICAL TABULATION'!B:B)),"")</f>
        <v/>
      </c>
      <c r="C157" s="38" t="str">
        <f>IFERROR(IF(_xlfn.XLOOKUP($A157,'3-TECHNICAL TABULATION'!$A:$A,'3-TECHNICAL TABULATION'!C:C)="","",_xlfn.XLOOKUP($A157,'3-TECHNICAL TABULATION'!$A:$A,'3-TECHNICAL TABULATION'!C:C)),"")</f>
        <v/>
      </c>
      <c r="D157" s="39" t="str">
        <f>IFERROR(IF(_xlfn.XLOOKUP($A157,'3-TECHNICAL TABULATION'!$A:$A,'3-TECHNICAL TABULATION'!D:D)="","",_xlfn.XLOOKUP($A157,'3-TECHNICAL TABULATION'!$A:$A,'3-TECHNICAL TABULATION'!D:D)),"")</f>
        <v/>
      </c>
    </row>
    <row r="158" spans="1:4" x14ac:dyDescent="0.25">
      <c r="A158" s="34" t="s">
        <v>422</v>
      </c>
      <c r="B158" s="56" t="str">
        <f>IFERROR(IF(_xlfn.XLOOKUP($A158,'3-TECHNICAL TABULATION'!$A:$A,'3-TECHNICAL TABULATION'!B:B)="","",_xlfn.XLOOKUP($A158,'3-TECHNICAL TABULATION'!$A:$A,'3-TECHNICAL TABULATION'!B:B)),"")</f>
        <v/>
      </c>
      <c r="C158" s="42" t="str">
        <f>IFERROR(IF(_xlfn.XLOOKUP($A158,'3-TECHNICAL TABULATION'!$A:$A,'3-TECHNICAL TABULATION'!C:C)="","",_xlfn.XLOOKUP($A158,'3-TECHNICAL TABULATION'!$A:$A,'3-TECHNICAL TABULATION'!C:C)),"")</f>
        <v/>
      </c>
      <c r="D158" s="43" t="str">
        <f>IFERROR(IF(_xlfn.XLOOKUP($A158,'3-TECHNICAL TABULATION'!$A:$A,'3-TECHNICAL TABULATION'!D:D)="","",_xlfn.XLOOKUP($A158,'3-TECHNICAL TABULATION'!$A:$A,'3-TECHNICAL TABULATION'!D:D)),"")</f>
        <v/>
      </c>
    </row>
    <row r="159" spans="1:4" x14ac:dyDescent="0.25">
      <c r="A159" s="96" t="s">
        <v>215</v>
      </c>
      <c r="B159" s="52" t="str">
        <f>IFERROR(IF(_xlfn.XLOOKUP($A159,'3-TECHNICAL TABULATION'!$A:$A,'3-TECHNICAL TABULATION'!B:B)="","",_xlfn.XLOOKUP($A159,'3-TECHNICAL TABULATION'!$A:$A,'3-TECHNICAL TABULATION'!B:B)),"")</f>
        <v>[yes/no]</v>
      </c>
      <c r="C159" s="38" t="str">
        <f>IFERROR(IF(_xlfn.XLOOKUP($A159,'3-TECHNICAL TABULATION'!$A:$A,'3-TECHNICAL TABULATION'!C:C)="","",_xlfn.XLOOKUP($A159,'3-TECHNICAL TABULATION'!$A:$A,'3-TECHNICAL TABULATION'!C:C)),"")</f>
        <v/>
      </c>
      <c r="D159" s="39" t="str">
        <f>IFERROR(IF(_xlfn.XLOOKUP($A159,'3-TECHNICAL TABULATION'!$A:$A,'3-TECHNICAL TABULATION'!D:D)="","",_xlfn.XLOOKUP($A159,'3-TECHNICAL TABULATION'!$A:$A,'3-TECHNICAL TABULATION'!D:D)),"")</f>
        <v/>
      </c>
    </row>
    <row r="160" spans="1:4" x14ac:dyDescent="0.25">
      <c r="A160" s="96" t="s">
        <v>349</v>
      </c>
      <c r="B160" s="52" t="str">
        <f>IFERROR(IF(_xlfn.XLOOKUP($A160,'3-TECHNICAL TABULATION'!$A:$A,'3-TECHNICAL TABULATION'!B:B)="","",_xlfn.XLOOKUP($A160,'3-TECHNICAL TABULATION'!$A:$A,'3-TECHNICAL TABULATION'!B:B)),"")</f>
        <v>[yes/no]</v>
      </c>
      <c r="C160" s="38" t="str">
        <f>IFERROR(IF(_xlfn.XLOOKUP($A160,'3-TECHNICAL TABULATION'!$A:$A,'3-TECHNICAL TABULATION'!C:C)="","",_xlfn.XLOOKUP($A160,'3-TECHNICAL TABULATION'!$A:$A,'3-TECHNICAL TABULATION'!C:C)),"")</f>
        <v/>
      </c>
      <c r="D160" s="39" t="str">
        <f>IFERROR(IF(_xlfn.XLOOKUP($A160,'3-TECHNICAL TABULATION'!$A:$A,'3-TECHNICAL TABULATION'!D:D)="","",_xlfn.XLOOKUP($A160,'3-TECHNICAL TABULATION'!$A:$A,'3-TECHNICAL TABULATION'!D:D)),"")</f>
        <v/>
      </c>
    </row>
    <row r="161" spans="1:4" x14ac:dyDescent="0.25">
      <c r="A161" s="96" t="s">
        <v>216</v>
      </c>
      <c r="B161" s="52" t="str">
        <f>IFERROR(IF(_xlfn.XLOOKUP($A161,'3-TECHNICAL TABULATION'!$A:$A,'3-TECHNICAL TABULATION'!B:B)="","",_xlfn.XLOOKUP($A161,'3-TECHNICAL TABULATION'!$A:$A,'3-TECHNICAL TABULATION'!B:B)),"")</f>
        <v>[yes/no]</v>
      </c>
      <c r="C161" s="38" t="str">
        <f>IFERROR(IF(_xlfn.XLOOKUP($A161,'3-TECHNICAL TABULATION'!$A:$A,'3-TECHNICAL TABULATION'!C:C)="","",_xlfn.XLOOKUP($A161,'3-TECHNICAL TABULATION'!$A:$A,'3-TECHNICAL TABULATION'!C:C)),"")</f>
        <v/>
      </c>
      <c r="D161" s="39" t="str">
        <f>IFERROR(IF(_xlfn.XLOOKUP($A161,'3-TECHNICAL TABULATION'!$A:$A,'3-TECHNICAL TABULATION'!D:D)="","",_xlfn.XLOOKUP($A161,'3-TECHNICAL TABULATION'!$A:$A,'3-TECHNICAL TABULATION'!D:D)),"")</f>
        <v/>
      </c>
    </row>
    <row r="162" spans="1:4" x14ac:dyDescent="0.25">
      <c r="A162" s="96" t="s">
        <v>217</v>
      </c>
      <c r="B162" s="52" t="str">
        <f>IFERROR(IF(_xlfn.XLOOKUP($A162,'3-TECHNICAL TABULATION'!$A:$A,'3-TECHNICAL TABULATION'!B:B)="","",_xlfn.XLOOKUP($A162,'3-TECHNICAL TABULATION'!$A:$A,'3-TECHNICAL TABULATION'!B:B)),"")</f>
        <v>[yes/no]</v>
      </c>
      <c r="C162" s="38" t="str">
        <f>IFERROR(IF(_xlfn.XLOOKUP($A162,'3-TECHNICAL TABULATION'!$A:$A,'3-TECHNICAL TABULATION'!C:C)="","",_xlfn.XLOOKUP($A162,'3-TECHNICAL TABULATION'!$A:$A,'3-TECHNICAL TABULATION'!C:C)),"")</f>
        <v/>
      </c>
      <c r="D162" s="39" t="str">
        <f>IFERROR(IF(_xlfn.XLOOKUP($A162,'3-TECHNICAL TABULATION'!$A:$A,'3-TECHNICAL TABULATION'!D:D)="","",_xlfn.XLOOKUP($A162,'3-TECHNICAL TABULATION'!$A:$A,'3-TECHNICAL TABULATION'!D:D)),"")</f>
        <v/>
      </c>
    </row>
    <row r="163" spans="1:4" x14ac:dyDescent="0.25">
      <c r="A163" s="96" t="s">
        <v>380</v>
      </c>
      <c r="B163" s="52" t="str">
        <f>IFERROR(IF(_xlfn.XLOOKUP($A163,'3-TECHNICAL TABULATION'!$A:$A,'3-TECHNICAL TABULATION'!B:B)="","",_xlfn.XLOOKUP($A163,'3-TECHNICAL TABULATION'!$A:$A,'3-TECHNICAL TABULATION'!B:B)),"")</f>
        <v>[yes/no]</v>
      </c>
      <c r="C163" s="38" t="str">
        <f>IFERROR(IF(_xlfn.XLOOKUP($A163,'3-TECHNICAL TABULATION'!$A:$A,'3-TECHNICAL TABULATION'!C:C)="","",_xlfn.XLOOKUP($A163,'3-TECHNICAL TABULATION'!$A:$A,'3-TECHNICAL TABULATION'!C:C)),"")</f>
        <v/>
      </c>
      <c r="D163" s="39" t="str">
        <f>IFERROR(IF(_xlfn.XLOOKUP($A163,'3-TECHNICAL TABULATION'!$A:$A,'3-TECHNICAL TABULATION'!D:D)="","",_xlfn.XLOOKUP($A163,'3-TECHNICAL TABULATION'!$A:$A,'3-TECHNICAL TABULATION'!D:D)),"")</f>
        <v/>
      </c>
    </row>
    <row r="164" spans="1:4" ht="30" x14ac:dyDescent="0.25">
      <c r="A164" s="96" t="s">
        <v>254</v>
      </c>
      <c r="B164" s="52" t="str">
        <f>IFERROR(IF(_xlfn.XLOOKUP($A164,'3-TECHNICAL TABULATION'!$A:$A,'3-TECHNICAL TABULATION'!B:B)="","",_xlfn.XLOOKUP($A164,'3-TECHNICAL TABULATION'!$A:$A,'3-TECHNICAL TABULATION'!B:B)),"")</f>
        <v>[oil ring/oil bath/flinger/forced lube]</v>
      </c>
      <c r="C164" s="38" t="str">
        <f>IFERROR(IF(_xlfn.XLOOKUP($A164,'3-TECHNICAL TABULATION'!$A:$A,'3-TECHNICAL TABULATION'!C:C)="","",_xlfn.XLOOKUP($A164,'3-TECHNICAL TABULATION'!$A:$A,'3-TECHNICAL TABULATION'!C:C)),"")</f>
        <v/>
      </c>
      <c r="D164" s="39" t="str">
        <f>IFERROR(IF(_xlfn.XLOOKUP($A164,'3-TECHNICAL TABULATION'!$A:$A,'3-TECHNICAL TABULATION'!D:D)="","",_xlfn.XLOOKUP($A164,'3-TECHNICAL TABULATION'!$A:$A,'3-TECHNICAL TABULATION'!D:D)),"")</f>
        <v/>
      </c>
    </row>
    <row r="165" spans="1:4" x14ac:dyDescent="0.25">
      <c r="A165" s="96" t="s">
        <v>255</v>
      </c>
      <c r="B165" s="52" t="str">
        <f>IFERROR(IF(_xlfn.XLOOKUP($A165,'3-TECHNICAL TABULATION'!$A:$A,'3-TECHNICAL TABULATION'!B:B)="","",_xlfn.XLOOKUP($A165,'3-TECHNICAL TABULATION'!$A:$A,'3-TECHNICAL TABULATION'!B:B)),"")</f>
        <v/>
      </c>
      <c r="C165" s="38" t="str">
        <f>IFERROR(IF(_xlfn.XLOOKUP($A165,'3-TECHNICAL TABULATION'!$A:$A,'3-TECHNICAL TABULATION'!C:C)="","",_xlfn.XLOOKUP($A165,'3-TECHNICAL TABULATION'!$A:$A,'3-TECHNICAL TABULATION'!C:C)),"")</f>
        <v/>
      </c>
      <c r="D165" s="39" t="str">
        <f>IFERROR(IF(_xlfn.XLOOKUP($A165,'3-TECHNICAL TABULATION'!$A:$A,'3-TECHNICAL TABULATION'!D:D)="","",_xlfn.XLOOKUP($A165,'3-TECHNICAL TABULATION'!$A:$A,'3-TECHNICAL TABULATION'!D:D)),"")</f>
        <v/>
      </c>
    </row>
    <row r="166" spans="1:4" ht="30" x14ac:dyDescent="0.25">
      <c r="A166" s="96" t="s">
        <v>430</v>
      </c>
      <c r="B166" s="52" t="str">
        <f>IFERROR(IF(_xlfn.XLOOKUP($A166,'3-TECHNICAL TABULATION'!$A:$A,'3-TECHNICAL TABULATION'!B:B)="","",_xlfn.XLOOKUP($A166,'3-TECHNICAL TABULATION'!$A:$A,'3-TECHNICAL TABULATION'!B:B)),"")</f>
        <v>[TPI standard labirynth/type&amp;brand]</v>
      </c>
      <c r="C166" s="38" t="str">
        <f>IFERROR(IF(_xlfn.XLOOKUP($A166,'3-TECHNICAL TABULATION'!$A:$A,'3-TECHNICAL TABULATION'!C:C)="","",_xlfn.XLOOKUP($A166,'3-TECHNICAL TABULATION'!$A:$A,'3-TECHNICAL TABULATION'!C:C)),"")</f>
        <v/>
      </c>
      <c r="D166" s="39" t="str">
        <f>IFERROR(IF(_xlfn.XLOOKUP($A166,'3-TECHNICAL TABULATION'!$A:$A,'3-TECHNICAL TABULATION'!D:D)="","",_xlfn.XLOOKUP($A166,'3-TECHNICAL TABULATION'!$A:$A,'3-TECHNICAL TABULATION'!D:D)),"")</f>
        <v/>
      </c>
    </row>
    <row r="167" spans="1:4" ht="30" x14ac:dyDescent="0.25">
      <c r="A167" s="96" t="s">
        <v>256</v>
      </c>
      <c r="B167" s="52" t="str">
        <f>IFERROR(IF(_xlfn.XLOOKUP($A167,'3-TECHNICAL TABULATION'!$A:$A,'3-TECHNICAL TABULATION'!B:B)="","",_xlfn.XLOOKUP($A167,'3-TECHNICAL TABULATION'!$A:$A,'3-TECHNICAL TABULATION'!B:B)),"")</f>
        <v>[none/standard/type&amp;brand]</v>
      </c>
      <c r="C167" s="38" t="str">
        <f>IFERROR(IF(_xlfn.XLOOKUP($A167,'3-TECHNICAL TABULATION'!$A:$A,'3-TECHNICAL TABULATION'!C:C)="","",_xlfn.XLOOKUP($A167,'3-TECHNICAL TABULATION'!$A:$A,'3-TECHNICAL TABULATION'!C:C)),"")</f>
        <v/>
      </c>
      <c r="D167" s="39" t="str">
        <f>IFERROR(IF(_xlfn.XLOOKUP($A167,'3-TECHNICAL TABULATION'!$A:$A,'3-TECHNICAL TABULATION'!D:D)="","",_xlfn.XLOOKUP($A167,'3-TECHNICAL TABULATION'!$A:$A,'3-TECHNICAL TABULATION'!D:D)),"")</f>
        <v/>
      </c>
    </row>
    <row r="168" spans="1:4" x14ac:dyDescent="0.25">
      <c r="A168" s="96" t="s">
        <v>531</v>
      </c>
      <c r="B168" s="52" t="str">
        <f>IFERROR(IF(_xlfn.XLOOKUP($A168,'3-TECHNICAL TABULATION'!$A:$A,'3-TECHNICAL TABULATION'!B:B)="","",_xlfn.XLOOKUP($A168,'3-TECHNICAL TABULATION'!$A:$A,'3-TECHNICAL TABULATION'!B:B)),"")</f>
        <v>[none/flat/dome]</v>
      </c>
      <c r="C168" s="38" t="str">
        <f>IFERROR(IF(_xlfn.XLOOKUP($A168,'3-TECHNICAL TABULATION'!$A:$A,'3-TECHNICAL TABULATION'!C:C)="","",_xlfn.XLOOKUP($A168,'3-TECHNICAL TABULATION'!$A:$A,'3-TECHNICAL TABULATION'!C:C)),"")</f>
        <v/>
      </c>
      <c r="D168" s="39" t="str">
        <f>IFERROR(IF(_xlfn.XLOOKUP($A168,'3-TECHNICAL TABULATION'!$A:$A,'3-TECHNICAL TABULATION'!D:D)="","",_xlfn.XLOOKUP($A168,'3-TECHNICAL TABULATION'!$A:$A,'3-TECHNICAL TABULATION'!D:D)),"")</f>
        <v/>
      </c>
    </row>
    <row r="169" spans="1:4" x14ac:dyDescent="0.25">
      <c r="A169" s="96" t="s">
        <v>257</v>
      </c>
      <c r="B169" s="52" t="str">
        <f>IFERROR(IF(_xlfn.XLOOKUP($A169,'3-TECHNICAL TABULATION'!$A:$A,'3-TECHNICAL TABULATION'!B:B)="","",_xlfn.XLOOKUP($A169,'3-TECHNICAL TABULATION'!$A:$A,'3-TECHNICAL TABULATION'!B:B)),"")</f>
        <v>[list]</v>
      </c>
      <c r="C169" s="38" t="str">
        <f>IFERROR(IF(_xlfn.XLOOKUP($A169,'3-TECHNICAL TABULATION'!$A:$A,'3-TECHNICAL TABULATION'!C:C)="","",_xlfn.XLOOKUP($A169,'3-TECHNICAL TABULATION'!$A:$A,'3-TECHNICAL TABULATION'!C:C)),"")</f>
        <v/>
      </c>
      <c r="D169" s="39" t="str">
        <f>IFERROR(IF(_xlfn.XLOOKUP($A169,'3-TECHNICAL TABULATION'!$A:$A,'3-TECHNICAL TABULATION'!D:D)="","",_xlfn.XLOOKUP($A169,'3-TECHNICAL TABULATION'!$A:$A,'3-TECHNICAL TABULATION'!D:D)),"")</f>
        <v/>
      </c>
    </row>
    <row r="170" spans="1:4" x14ac:dyDescent="0.25">
      <c r="A170" s="96" t="s">
        <v>261</v>
      </c>
      <c r="B170" s="52" t="str">
        <f>IFERROR(IF(_xlfn.XLOOKUP($A170,'3-TECHNICAL TABULATION'!$A:$A,'3-TECHNICAL TABULATION'!B:B)="","",_xlfn.XLOOKUP($A170,'3-TECHNICAL TABULATION'!$A:$A,'3-TECHNICAL TABULATION'!B:B)),"")</f>
        <v>[yes/no]</v>
      </c>
      <c r="C170" s="38" t="str">
        <f>IFERROR(IF(_xlfn.XLOOKUP($A170,'3-TECHNICAL TABULATION'!$A:$A,'3-TECHNICAL TABULATION'!C:C)="","",_xlfn.XLOOKUP($A170,'3-TECHNICAL TABULATION'!$A:$A,'3-TECHNICAL TABULATION'!C:C)),"")</f>
        <v/>
      </c>
      <c r="D170" s="39" t="str">
        <f>IFERROR(IF(_xlfn.XLOOKUP($A170,'3-TECHNICAL TABULATION'!$A:$A,'3-TECHNICAL TABULATION'!D:D)="","",_xlfn.XLOOKUP($A170,'3-TECHNICAL TABULATION'!$A:$A,'3-TECHNICAL TABULATION'!D:D)),"")</f>
        <v/>
      </c>
    </row>
    <row r="171" spans="1:4" x14ac:dyDescent="0.25">
      <c r="A171" s="96" t="s">
        <v>533</v>
      </c>
      <c r="B171" s="52" t="str">
        <f>IFERROR(IF(_xlfn.XLOOKUP($A171,'3-TECHNICAL TABULATION'!$A:$A,'3-TECHNICAL TABULATION'!B:B)="","",_xlfn.XLOOKUP($A171,'3-TECHNICAL TABULATION'!$A:$A,'3-TECHNICAL TABULATION'!B:B)),"")</f>
        <v>[Exagonal / Rounded]</v>
      </c>
      <c r="C171" s="38" t="str">
        <f>IFERROR(IF(_xlfn.XLOOKUP($A171,'3-TECHNICAL TABULATION'!$A:$A,'3-TECHNICAL TABULATION'!C:C)="","",_xlfn.XLOOKUP($A171,'3-TECHNICAL TABULATION'!$A:$A,'3-TECHNICAL TABULATION'!C:C)),"")</f>
        <v/>
      </c>
      <c r="D171" s="39" t="str">
        <f>IFERROR(IF(_xlfn.XLOOKUP($A171,'3-TECHNICAL TABULATION'!$A:$A,'3-TECHNICAL TABULATION'!D:D)="","",_xlfn.XLOOKUP($A171,'3-TECHNICAL TABULATION'!$A:$A,'3-TECHNICAL TABULATION'!D:D)),"")</f>
        <v/>
      </c>
    </row>
    <row r="172" spans="1:4" x14ac:dyDescent="0.25">
      <c r="A172" s="96" t="s">
        <v>258</v>
      </c>
      <c r="B172" s="52" t="str">
        <f>IFERROR(IF(_xlfn.XLOOKUP($A172,'3-TECHNICAL TABULATION'!$A:$A,'3-TECHNICAL TABULATION'!B:B)="","",_xlfn.XLOOKUP($A172,'3-TECHNICAL TABULATION'!$A:$A,'3-TECHNICAL TABULATION'!B:B)),"")</f>
        <v>[none/size]</v>
      </c>
      <c r="C172" s="38" t="str">
        <f>IFERROR(IF(_xlfn.XLOOKUP($A172,'3-TECHNICAL TABULATION'!$A:$A,'3-TECHNICAL TABULATION'!C:C)="","",_xlfn.XLOOKUP($A172,'3-TECHNICAL TABULATION'!$A:$A,'3-TECHNICAL TABULATION'!C:C)),"")</f>
        <v/>
      </c>
      <c r="D172" s="39" t="str">
        <f>IFERROR(IF(_xlfn.XLOOKUP($A172,'3-TECHNICAL TABULATION'!$A:$A,'3-TECHNICAL TABULATION'!D:D)="","",_xlfn.XLOOKUP($A172,'3-TECHNICAL TABULATION'!$A:$A,'3-TECHNICAL TABULATION'!D:D)),"")</f>
        <v/>
      </c>
    </row>
    <row r="173" spans="1:4" x14ac:dyDescent="0.25">
      <c r="A173" s="96" t="s">
        <v>259</v>
      </c>
      <c r="B173" s="52" t="str">
        <f>IFERROR(IF(_xlfn.XLOOKUP($A173,'3-TECHNICAL TABULATION'!$A:$A,'3-TECHNICAL TABULATION'!B:B)="","",_xlfn.XLOOKUP($A173,'3-TECHNICAL TABULATION'!$A:$A,'3-TECHNICAL TABULATION'!B:B)),"")</f>
        <v>[none/size]</v>
      </c>
      <c r="C173" s="38" t="str">
        <f>IFERROR(IF(_xlfn.XLOOKUP($A173,'3-TECHNICAL TABULATION'!$A:$A,'3-TECHNICAL TABULATION'!C:C)="","",_xlfn.XLOOKUP($A173,'3-TECHNICAL TABULATION'!$A:$A,'3-TECHNICAL TABULATION'!C:C)),"")</f>
        <v/>
      </c>
      <c r="D173" s="39" t="str">
        <f>IFERROR(IF(_xlfn.XLOOKUP($A173,'3-TECHNICAL TABULATION'!$A:$A,'3-TECHNICAL TABULATION'!D:D)="","",_xlfn.XLOOKUP($A173,'3-TECHNICAL TABULATION'!$A:$A,'3-TECHNICAL TABULATION'!D:D)),"")</f>
        <v/>
      </c>
    </row>
    <row r="174" spans="1:4" x14ac:dyDescent="0.25">
      <c r="A174" s="96" t="s">
        <v>260</v>
      </c>
      <c r="B174" s="52" t="str">
        <f>IFERROR(IF(_xlfn.XLOOKUP($A174,'3-TECHNICAL TABULATION'!$A:$A,'3-TECHNICAL TABULATION'!B:B)="","",_xlfn.XLOOKUP($A174,'3-TECHNICAL TABULATION'!$A:$A,'3-TECHNICAL TABULATION'!B:B)),"")</f>
        <v>[none/size]</v>
      </c>
      <c r="C174" s="38" t="str">
        <f>IFERROR(IF(_xlfn.XLOOKUP($A174,'3-TECHNICAL TABULATION'!$A:$A,'3-TECHNICAL TABULATION'!C:C)="","",_xlfn.XLOOKUP($A174,'3-TECHNICAL TABULATION'!$A:$A,'3-TECHNICAL TABULATION'!C:C)),"")</f>
        <v/>
      </c>
      <c r="D174" s="39" t="str">
        <f>IFERROR(IF(_xlfn.XLOOKUP($A174,'3-TECHNICAL TABULATION'!$A:$A,'3-TECHNICAL TABULATION'!D:D)="","",_xlfn.XLOOKUP($A174,'3-TECHNICAL TABULATION'!$A:$A,'3-TECHNICAL TABULATION'!D:D)),"")</f>
        <v/>
      </c>
    </row>
    <row r="175" spans="1:4" x14ac:dyDescent="0.25">
      <c r="A175" s="96" t="s">
        <v>366</v>
      </c>
      <c r="B175" s="52" t="str">
        <f>IFERROR(IF(_xlfn.XLOOKUP($A175,'3-TECHNICAL TABULATION'!$A:$A,'3-TECHNICAL TABULATION'!B:B)="","",_xlfn.XLOOKUP($A175,'3-TECHNICAL TABULATION'!$A:$A,'3-TECHNICAL TABULATION'!B:B)),"")</f>
        <v>[NA/thread type]</v>
      </c>
      <c r="C175" s="38" t="str">
        <f>IFERROR(IF(_xlfn.XLOOKUP($A175,'3-TECHNICAL TABULATION'!$A:$A,'3-TECHNICAL TABULATION'!C:C)="","",_xlfn.XLOOKUP($A175,'3-TECHNICAL TABULATION'!$A:$A,'3-TECHNICAL TABULATION'!C:C)),"")</f>
        <v/>
      </c>
      <c r="D175" s="39" t="str">
        <f>IFERROR(IF(_xlfn.XLOOKUP($A175,'3-TECHNICAL TABULATION'!$A:$A,'3-TECHNICAL TABULATION'!D:D)="","",_xlfn.XLOOKUP($A175,'3-TECHNICAL TABULATION'!$A:$A,'3-TECHNICAL TABULATION'!D:D)),"")</f>
        <v/>
      </c>
    </row>
    <row r="176" spans="1:4" x14ac:dyDescent="0.25">
      <c r="A176" s="34" t="s">
        <v>537</v>
      </c>
      <c r="B176" s="56" t="str">
        <f>IFERROR(IF(_xlfn.XLOOKUP($A176,'3-TECHNICAL TABULATION'!$A:$A,'3-TECHNICAL TABULATION'!B:B)="","",_xlfn.XLOOKUP($A176,'3-TECHNICAL TABULATION'!$A:$A,'3-TECHNICAL TABULATION'!B:B)),"")</f>
        <v/>
      </c>
      <c r="C176" s="42" t="str">
        <f>IFERROR(IF(_xlfn.XLOOKUP($A176,'3-TECHNICAL TABULATION'!$A:$A,'3-TECHNICAL TABULATION'!C:C)="","",_xlfn.XLOOKUP($A176,'3-TECHNICAL TABULATION'!$A:$A,'3-TECHNICAL TABULATION'!C:C)),"")</f>
        <v/>
      </c>
      <c r="D176" s="43" t="str">
        <f>IFERROR(IF(_xlfn.XLOOKUP($A176,'3-TECHNICAL TABULATION'!$A:$A,'3-TECHNICAL TABULATION'!D:D)="","",_xlfn.XLOOKUP($A176,'3-TECHNICAL TABULATION'!$A:$A,'3-TECHNICAL TABULATION'!D:D)),"")</f>
        <v/>
      </c>
    </row>
    <row r="177" spans="1:4" x14ac:dyDescent="0.25">
      <c r="A177" s="96" t="s">
        <v>227</v>
      </c>
      <c r="B177" s="52" t="str">
        <f>IFERROR(IF(_xlfn.XLOOKUP($A177,'3-TECHNICAL TABULATION'!$A:$A,'3-TECHNICAL TABULATION'!B:B)="","",_xlfn.XLOOKUP($A177,'3-TECHNICAL TABULATION'!$A:$A,'3-TECHNICAL TABULATION'!B:B)),"")</f>
        <v>in</v>
      </c>
      <c r="C177" s="38" t="str">
        <f>IFERROR(IF(_xlfn.XLOOKUP($A177,'3-TECHNICAL TABULATION'!$A:$A,'3-TECHNICAL TABULATION'!C:C)="","",_xlfn.XLOOKUP($A177,'3-TECHNICAL TABULATION'!$A:$A,'3-TECHNICAL TABULATION'!C:C)),"")</f>
        <v/>
      </c>
      <c r="D177" s="39" t="str">
        <f>IFERROR(IF(_xlfn.XLOOKUP($A177,'3-TECHNICAL TABULATION'!$A:$A,'3-TECHNICAL TABULATION'!D:D)="","",_xlfn.XLOOKUP($A177,'3-TECHNICAL TABULATION'!$A:$A,'3-TECHNICAL TABULATION'!D:D)),"")</f>
        <v/>
      </c>
    </row>
    <row r="178" spans="1:4" x14ac:dyDescent="0.25">
      <c r="A178" s="96" t="s">
        <v>228</v>
      </c>
      <c r="B178" s="52" t="str">
        <f>IFERROR(IF(_xlfn.XLOOKUP($A178,'3-TECHNICAL TABULATION'!$A:$A,'3-TECHNICAL TABULATION'!B:B)="","",_xlfn.XLOOKUP($A178,'3-TECHNICAL TABULATION'!$A:$A,'3-TECHNICAL TABULATION'!B:B)),"")</f>
        <v/>
      </c>
      <c r="C178" s="38" t="str">
        <f>IFERROR(IF(_xlfn.XLOOKUP($A178,'3-TECHNICAL TABULATION'!$A:$A,'3-TECHNICAL TABULATION'!C:C)="","",_xlfn.XLOOKUP($A178,'3-TECHNICAL TABULATION'!$A:$A,'3-TECHNICAL TABULATION'!C:C)),"")</f>
        <v/>
      </c>
      <c r="D178" s="39" t="str">
        <f>IFERROR(IF(_xlfn.XLOOKUP($A178,'3-TECHNICAL TABULATION'!$A:$A,'3-TECHNICAL TABULATION'!D:D)="","",_xlfn.XLOOKUP($A178,'3-TECHNICAL TABULATION'!$A:$A,'3-TECHNICAL TABULATION'!D:D)),"")</f>
        <v/>
      </c>
    </row>
    <row r="179" spans="1:4" x14ac:dyDescent="0.25">
      <c r="A179" s="96" t="s">
        <v>229</v>
      </c>
      <c r="B179" s="52" t="str">
        <f>IFERROR(IF(_xlfn.XLOOKUP($A179,'3-TECHNICAL TABULATION'!$A:$A,'3-TECHNICAL TABULATION'!B:B)="","",_xlfn.XLOOKUP($A179,'3-TECHNICAL TABULATION'!$A:$A,'3-TECHNICAL TABULATION'!B:B)),"")</f>
        <v/>
      </c>
      <c r="C179" s="38" t="str">
        <f>IFERROR(IF(_xlfn.XLOOKUP($A179,'3-TECHNICAL TABULATION'!$A:$A,'3-TECHNICAL TABULATION'!C:C)="","",_xlfn.XLOOKUP($A179,'3-TECHNICAL TABULATION'!$A:$A,'3-TECHNICAL TABULATION'!C:C)),"")</f>
        <v/>
      </c>
      <c r="D179" s="39" t="str">
        <f>IFERROR(IF(_xlfn.XLOOKUP($A179,'3-TECHNICAL TABULATION'!$A:$A,'3-TECHNICAL TABULATION'!D:D)="","",_xlfn.XLOOKUP($A179,'3-TECHNICAL TABULATION'!$A:$A,'3-TECHNICAL TABULATION'!D:D)),"")</f>
        <v/>
      </c>
    </row>
    <row r="180" spans="1:4" x14ac:dyDescent="0.25">
      <c r="A180" s="96" t="s">
        <v>281</v>
      </c>
      <c r="B180" s="52" t="str">
        <f>IFERROR(IF(_xlfn.XLOOKUP($A180,'3-TECHNICAL TABULATION'!$A:$A,'3-TECHNICAL TABULATION'!B:B)="","",_xlfn.XLOOKUP($A180,'3-TECHNICAL TABULATION'!$A:$A,'3-TECHNICAL TABULATION'!B:B)),"")</f>
        <v/>
      </c>
      <c r="C180" s="38" t="str">
        <f>IFERROR(IF(_xlfn.XLOOKUP($A180,'3-TECHNICAL TABULATION'!$A:$A,'3-TECHNICAL TABULATION'!C:C)="","",_xlfn.XLOOKUP($A180,'3-TECHNICAL TABULATION'!$A:$A,'3-TECHNICAL TABULATION'!C:C)),"")</f>
        <v/>
      </c>
      <c r="D180" s="39" t="str">
        <f>IFERROR(IF(_xlfn.XLOOKUP($A180,'3-TECHNICAL TABULATION'!$A:$A,'3-TECHNICAL TABULATION'!D:D)="","",_xlfn.XLOOKUP($A180,'3-TECHNICAL TABULATION'!$A:$A,'3-TECHNICAL TABULATION'!D:D)),"")</f>
        <v/>
      </c>
    </row>
    <row r="181" spans="1:4" x14ac:dyDescent="0.25">
      <c r="A181" s="96" t="s">
        <v>230</v>
      </c>
      <c r="B181" s="52" t="str">
        <f>IFERROR(IF(_xlfn.XLOOKUP($A181,'3-TECHNICAL TABULATION'!$A:$A,'3-TECHNICAL TABULATION'!B:B)="","",_xlfn.XLOOKUP($A181,'3-TECHNICAL TABULATION'!$A:$A,'3-TECHNICAL TABULATION'!B:B)),"")</f>
        <v/>
      </c>
      <c r="C181" s="38" t="str">
        <f>IFERROR(IF(_xlfn.XLOOKUP($A181,'3-TECHNICAL TABULATION'!$A:$A,'3-TECHNICAL TABULATION'!C:C)="","",_xlfn.XLOOKUP($A181,'3-TECHNICAL TABULATION'!$A:$A,'3-TECHNICAL TABULATION'!C:C)),"")</f>
        <v/>
      </c>
      <c r="D181" s="39" t="str">
        <f>IFERROR(IF(_xlfn.XLOOKUP($A181,'3-TECHNICAL TABULATION'!$A:$A,'3-TECHNICAL TABULATION'!D:D)="","",_xlfn.XLOOKUP($A181,'3-TECHNICAL TABULATION'!$A:$A,'3-TECHNICAL TABULATION'!D:D)),"")</f>
        <v/>
      </c>
    </row>
    <row r="182" spans="1:4" x14ac:dyDescent="0.25">
      <c r="A182" s="96" t="s">
        <v>231</v>
      </c>
      <c r="B182" s="52" t="str">
        <f>IFERROR(IF(_xlfn.XLOOKUP($A182,'3-TECHNICAL TABULATION'!$A:$A,'3-TECHNICAL TABULATION'!B:B)="","",_xlfn.XLOOKUP($A182,'3-TECHNICAL TABULATION'!$A:$A,'3-TECHNICAL TABULATION'!B:B)),"")</f>
        <v>in</v>
      </c>
      <c r="C182" s="38" t="str">
        <f>IFERROR(IF(_xlfn.XLOOKUP($A182,'3-TECHNICAL TABULATION'!$A:$A,'3-TECHNICAL TABULATION'!C:C)="","",_xlfn.XLOOKUP($A182,'3-TECHNICAL TABULATION'!$A:$A,'3-TECHNICAL TABULATION'!C:C)),"")</f>
        <v/>
      </c>
      <c r="D182" s="39" t="str">
        <f>IFERROR(IF(_xlfn.XLOOKUP($A182,'3-TECHNICAL TABULATION'!$A:$A,'3-TECHNICAL TABULATION'!D:D)="","",_xlfn.XLOOKUP($A182,'3-TECHNICAL TABULATION'!$A:$A,'3-TECHNICAL TABULATION'!D:D)),"")</f>
        <v/>
      </c>
    </row>
    <row r="183" spans="1:4" x14ac:dyDescent="0.25">
      <c r="A183" s="96" t="s">
        <v>232</v>
      </c>
      <c r="B183" s="52" t="str">
        <f>IFERROR(IF(_xlfn.XLOOKUP($A183,'3-TECHNICAL TABULATION'!$A:$A,'3-TECHNICAL TABULATION'!B:B)="","",_xlfn.XLOOKUP($A183,'3-TECHNICAL TABULATION'!$A:$A,'3-TECHNICAL TABULATION'!B:B)),"")</f>
        <v/>
      </c>
      <c r="C183" s="38" t="str">
        <f>IFERROR(IF(_xlfn.XLOOKUP($A183,'3-TECHNICAL TABULATION'!$A:$A,'3-TECHNICAL TABULATION'!C:C)="","",_xlfn.XLOOKUP($A183,'3-TECHNICAL TABULATION'!$A:$A,'3-TECHNICAL TABULATION'!C:C)),"")</f>
        <v/>
      </c>
      <c r="D183" s="39" t="str">
        <f>IFERROR(IF(_xlfn.XLOOKUP($A183,'3-TECHNICAL TABULATION'!$A:$A,'3-TECHNICAL TABULATION'!D:D)="","",_xlfn.XLOOKUP($A183,'3-TECHNICAL TABULATION'!$A:$A,'3-TECHNICAL TABULATION'!D:D)),"")</f>
        <v/>
      </c>
    </row>
    <row r="184" spans="1:4" x14ac:dyDescent="0.25">
      <c r="A184" s="96" t="s">
        <v>233</v>
      </c>
      <c r="B184" s="52" t="str">
        <f>IFERROR(IF(_xlfn.XLOOKUP($A184,'3-TECHNICAL TABULATION'!$A:$A,'3-TECHNICAL TABULATION'!B:B)="","",_xlfn.XLOOKUP($A184,'3-TECHNICAL TABULATION'!$A:$A,'3-TECHNICAL TABULATION'!B:B)),"")</f>
        <v/>
      </c>
      <c r="C184" s="38" t="str">
        <f>IFERROR(IF(_xlfn.XLOOKUP($A184,'3-TECHNICAL TABULATION'!$A:$A,'3-TECHNICAL TABULATION'!C:C)="","",_xlfn.XLOOKUP($A184,'3-TECHNICAL TABULATION'!$A:$A,'3-TECHNICAL TABULATION'!C:C)),"")</f>
        <v/>
      </c>
      <c r="D184" s="39" t="str">
        <f>IFERROR(IF(_xlfn.XLOOKUP($A184,'3-TECHNICAL TABULATION'!$A:$A,'3-TECHNICAL TABULATION'!D:D)="","",_xlfn.XLOOKUP($A184,'3-TECHNICAL TABULATION'!$A:$A,'3-TECHNICAL TABULATION'!D:D)),"")</f>
        <v/>
      </c>
    </row>
    <row r="185" spans="1:4" x14ac:dyDescent="0.25">
      <c r="A185" s="96" t="s">
        <v>282</v>
      </c>
      <c r="B185" s="52" t="str">
        <f>IFERROR(IF(_xlfn.XLOOKUP($A185,'3-TECHNICAL TABULATION'!$A:$A,'3-TECHNICAL TABULATION'!B:B)="","",_xlfn.XLOOKUP($A185,'3-TECHNICAL TABULATION'!$A:$A,'3-TECHNICAL TABULATION'!B:B)),"")</f>
        <v/>
      </c>
      <c r="C185" s="38" t="str">
        <f>IFERROR(IF(_xlfn.XLOOKUP($A185,'3-TECHNICAL TABULATION'!$A:$A,'3-TECHNICAL TABULATION'!C:C)="","",_xlfn.XLOOKUP($A185,'3-TECHNICAL TABULATION'!$A:$A,'3-TECHNICAL TABULATION'!C:C)),"")</f>
        <v/>
      </c>
      <c r="D185" s="39" t="str">
        <f>IFERROR(IF(_xlfn.XLOOKUP($A185,'3-TECHNICAL TABULATION'!$A:$A,'3-TECHNICAL TABULATION'!D:D)="","",_xlfn.XLOOKUP($A185,'3-TECHNICAL TABULATION'!$A:$A,'3-TECHNICAL TABULATION'!D:D)),"")</f>
        <v/>
      </c>
    </row>
    <row r="186" spans="1:4" x14ac:dyDescent="0.25">
      <c r="A186" s="96" t="s">
        <v>234</v>
      </c>
      <c r="B186" s="52" t="str">
        <f>IFERROR(IF(_xlfn.XLOOKUP($A186,'3-TECHNICAL TABULATION'!$A:$A,'3-TECHNICAL TABULATION'!B:B)="","",_xlfn.XLOOKUP($A186,'3-TECHNICAL TABULATION'!$A:$A,'3-TECHNICAL TABULATION'!B:B)),"")</f>
        <v/>
      </c>
      <c r="C186" s="38" t="str">
        <f>IFERROR(IF(_xlfn.XLOOKUP($A186,'3-TECHNICAL TABULATION'!$A:$A,'3-TECHNICAL TABULATION'!C:C)="","",_xlfn.XLOOKUP($A186,'3-TECHNICAL TABULATION'!$A:$A,'3-TECHNICAL TABULATION'!C:C)),"")</f>
        <v/>
      </c>
      <c r="D186" s="39" t="str">
        <f>IFERROR(IF(_xlfn.XLOOKUP($A186,'3-TECHNICAL TABULATION'!$A:$A,'3-TECHNICAL TABULATION'!D:D)="","",_xlfn.XLOOKUP($A186,'3-TECHNICAL TABULATION'!$A:$A,'3-TECHNICAL TABULATION'!D:D)),"")</f>
        <v/>
      </c>
    </row>
    <row r="187" spans="1:4" x14ac:dyDescent="0.25">
      <c r="A187" s="96" t="s">
        <v>235</v>
      </c>
      <c r="B187" s="52" t="str">
        <f>IFERROR(IF(_xlfn.XLOOKUP($A187,'3-TECHNICAL TABULATION'!$A:$A,'3-TECHNICAL TABULATION'!B:B)="","",_xlfn.XLOOKUP($A187,'3-TECHNICAL TABULATION'!$A:$A,'3-TECHNICAL TABULATION'!B:B)),"")</f>
        <v/>
      </c>
      <c r="C187" s="38" t="str">
        <f>IFERROR(IF(_xlfn.XLOOKUP($A187,'3-TECHNICAL TABULATION'!$A:$A,'3-TECHNICAL TABULATION'!C:C)="","",_xlfn.XLOOKUP($A187,'3-TECHNICAL TABULATION'!$A:$A,'3-TECHNICAL TABULATION'!C:C)),"")</f>
        <v/>
      </c>
      <c r="D187" s="39" t="str">
        <f>IFERROR(IF(_xlfn.XLOOKUP($A187,'3-TECHNICAL TABULATION'!$A:$A,'3-TECHNICAL TABULATION'!D:D)="","",_xlfn.XLOOKUP($A187,'3-TECHNICAL TABULATION'!$A:$A,'3-TECHNICAL TABULATION'!D:D)),"")</f>
        <v/>
      </c>
    </row>
    <row r="188" spans="1:4" x14ac:dyDescent="0.25">
      <c r="A188" s="96" t="s">
        <v>236</v>
      </c>
      <c r="B188" s="52" t="str">
        <f>IFERROR(IF(_xlfn.XLOOKUP($A188,'3-TECHNICAL TABULATION'!$A:$A,'3-TECHNICAL TABULATION'!B:B)="","",_xlfn.XLOOKUP($A188,'3-TECHNICAL TABULATION'!$A:$A,'3-TECHNICAL TABULATION'!B:B)),"")</f>
        <v/>
      </c>
      <c r="C188" s="38" t="str">
        <f>IFERROR(IF(_xlfn.XLOOKUP($A188,'3-TECHNICAL TABULATION'!$A:$A,'3-TECHNICAL TABULATION'!C:C)="","",_xlfn.XLOOKUP($A188,'3-TECHNICAL TABULATION'!$A:$A,'3-TECHNICAL TABULATION'!C:C)),"")</f>
        <v/>
      </c>
      <c r="D188" s="39" t="str">
        <f>IFERROR(IF(_xlfn.XLOOKUP($A188,'3-TECHNICAL TABULATION'!$A:$A,'3-TECHNICAL TABULATION'!D:D)="","",_xlfn.XLOOKUP($A188,'3-TECHNICAL TABULATION'!$A:$A,'3-TECHNICAL TABULATION'!D:D)),"")</f>
        <v/>
      </c>
    </row>
    <row r="189" spans="1:4" x14ac:dyDescent="0.25">
      <c r="A189" s="96" t="s">
        <v>237</v>
      </c>
      <c r="B189" s="52" t="str">
        <f>IFERROR(IF(_xlfn.XLOOKUP($A189,'3-TECHNICAL TABULATION'!$A:$A,'3-TECHNICAL TABULATION'!B:B)="","",_xlfn.XLOOKUP($A189,'3-TECHNICAL TABULATION'!$A:$A,'3-TECHNICAL TABULATION'!B:B)),"")</f>
        <v/>
      </c>
      <c r="C189" s="38" t="str">
        <f>IFERROR(IF(_xlfn.XLOOKUP($A189,'3-TECHNICAL TABULATION'!$A:$A,'3-TECHNICAL TABULATION'!C:C)="","",_xlfn.XLOOKUP($A189,'3-TECHNICAL TABULATION'!$A:$A,'3-TECHNICAL TABULATION'!C:C)),"")</f>
        <v/>
      </c>
      <c r="D189" s="39" t="str">
        <f>IFERROR(IF(_xlfn.XLOOKUP($A189,'3-TECHNICAL TABULATION'!$A:$A,'3-TECHNICAL TABULATION'!D:D)="","",_xlfn.XLOOKUP($A189,'3-TECHNICAL TABULATION'!$A:$A,'3-TECHNICAL TABULATION'!D:D)),"")</f>
        <v/>
      </c>
    </row>
    <row r="190" spans="1:4" x14ac:dyDescent="0.25">
      <c r="A190" s="96" t="s">
        <v>238</v>
      </c>
      <c r="B190" s="52" t="str">
        <f>IFERROR(IF(_xlfn.XLOOKUP($A190,'3-TECHNICAL TABULATION'!$A:$A,'3-TECHNICAL TABULATION'!B:B)="","",_xlfn.XLOOKUP($A190,'3-TECHNICAL TABULATION'!$A:$A,'3-TECHNICAL TABULATION'!B:B)),"")</f>
        <v/>
      </c>
      <c r="C190" s="38" t="str">
        <f>IFERROR(IF(_xlfn.XLOOKUP($A190,'3-TECHNICAL TABULATION'!$A:$A,'3-TECHNICAL TABULATION'!C:C)="","",_xlfn.XLOOKUP($A190,'3-TECHNICAL TABULATION'!$A:$A,'3-TECHNICAL TABULATION'!C:C)),"")</f>
        <v/>
      </c>
      <c r="D190" s="39" t="str">
        <f>IFERROR(IF(_xlfn.XLOOKUP($A190,'3-TECHNICAL TABULATION'!$A:$A,'3-TECHNICAL TABULATION'!D:D)="","",_xlfn.XLOOKUP($A190,'3-TECHNICAL TABULATION'!$A:$A,'3-TECHNICAL TABULATION'!D:D)),"")</f>
        <v/>
      </c>
    </row>
    <row r="191" spans="1:4" x14ac:dyDescent="0.25">
      <c r="A191" s="96" t="s">
        <v>239</v>
      </c>
      <c r="B191" s="52" t="str">
        <f>IFERROR(IF(_xlfn.XLOOKUP($A191,'3-TECHNICAL TABULATION'!$A:$A,'3-TECHNICAL TABULATION'!B:B)="","",_xlfn.XLOOKUP($A191,'3-TECHNICAL TABULATION'!$A:$A,'3-TECHNICAL TABULATION'!B:B)),"")</f>
        <v/>
      </c>
      <c r="C191" s="38" t="str">
        <f>IFERROR(IF(_xlfn.XLOOKUP($A191,'3-TECHNICAL TABULATION'!$A:$A,'3-TECHNICAL TABULATION'!C:C)="","",_xlfn.XLOOKUP($A191,'3-TECHNICAL TABULATION'!$A:$A,'3-TECHNICAL TABULATION'!C:C)),"")</f>
        <v/>
      </c>
      <c r="D191" s="39" t="str">
        <f>IFERROR(IF(_xlfn.XLOOKUP($A191,'3-TECHNICAL TABULATION'!$A:$A,'3-TECHNICAL TABULATION'!D:D)="","",_xlfn.XLOOKUP($A191,'3-TECHNICAL TABULATION'!$A:$A,'3-TECHNICAL TABULATION'!D:D)),"")</f>
        <v/>
      </c>
    </row>
    <row r="192" spans="1:4" x14ac:dyDescent="0.25">
      <c r="A192" s="96" t="s">
        <v>240</v>
      </c>
      <c r="B192" s="52" t="str">
        <f>IFERROR(IF(_xlfn.XLOOKUP($A192,'3-TECHNICAL TABULATION'!$A:$A,'3-TECHNICAL TABULATION'!B:B)="","",_xlfn.XLOOKUP($A192,'3-TECHNICAL TABULATION'!$A:$A,'3-TECHNICAL TABULATION'!B:B)),"")</f>
        <v/>
      </c>
      <c r="C192" s="38" t="str">
        <f>IFERROR(IF(_xlfn.XLOOKUP($A192,'3-TECHNICAL TABULATION'!$A:$A,'3-TECHNICAL TABULATION'!C:C)="","",_xlfn.XLOOKUP($A192,'3-TECHNICAL TABULATION'!$A:$A,'3-TECHNICAL TABULATION'!C:C)),"")</f>
        <v/>
      </c>
      <c r="D192" s="39" t="str">
        <f>IFERROR(IF(_xlfn.XLOOKUP($A192,'3-TECHNICAL TABULATION'!$A:$A,'3-TECHNICAL TABULATION'!D:D)="","",_xlfn.XLOOKUP($A192,'3-TECHNICAL TABULATION'!$A:$A,'3-TECHNICAL TABULATION'!D:D)),"")</f>
        <v/>
      </c>
    </row>
    <row r="193" spans="1:4" x14ac:dyDescent="0.25">
      <c r="A193" s="96" t="s">
        <v>241</v>
      </c>
      <c r="B193" s="52" t="str">
        <f>IFERROR(IF(_xlfn.XLOOKUP($A193,'3-TECHNICAL TABULATION'!$A:$A,'3-TECHNICAL TABULATION'!B:B)="","",_xlfn.XLOOKUP($A193,'3-TECHNICAL TABULATION'!$A:$A,'3-TECHNICAL TABULATION'!B:B)),"")</f>
        <v/>
      </c>
      <c r="C193" s="38" t="str">
        <f>IFERROR(IF(_xlfn.XLOOKUP($A193,'3-TECHNICAL TABULATION'!$A:$A,'3-TECHNICAL TABULATION'!C:C)="","",_xlfn.XLOOKUP($A193,'3-TECHNICAL TABULATION'!$A:$A,'3-TECHNICAL TABULATION'!C:C)),"")</f>
        <v/>
      </c>
      <c r="D193" s="39" t="str">
        <f>IFERROR(IF(_xlfn.XLOOKUP($A193,'3-TECHNICAL TABULATION'!$A:$A,'3-TECHNICAL TABULATION'!D:D)="","",_xlfn.XLOOKUP($A193,'3-TECHNICAL TABULATION'!$A:$A,'3-TECHNICAL TABULATION'!D:D)),"")</f>
        <v/>
      </c>
    </row>
    <row r="194" spans="1:4" x14ac:dyDescent="0.25">
      <c r="A194" s="96" t="s">
        <v>242</v>
      </c>
      <c r="B194" s="52" t="str">
        <f>IFERROR(IF(_xlfn.XLOOKUP($A194,'3-TECHNICAL TABULATION'!$A:$A,'3-TECHNICAL TABULATION'!B:B)="","",_xlfn.XLOOKUP($A194,'3-TECHNICAL TABULATION'!$A:$A,'3-TECHNICAL TABULATION'!B:B)),"")</f>
        <v/>
      </c>
      <c r="C194" s="38" t="str">
        <f>IFERROR(IF(_xlfn.XLOOKUP($A194,'3-TECHNICAL TABULATION'!$A:$A,'3-TECHNICAL TABULATION'!C:C)="","",_xlfn.XLOOKUP($A194,'3-TECHNICAL TABULATION'!$A:$A,'3-TECHNICAL TABULATION'!C:C)),"")</f>
        <v/>
      </c>
      <c r="D194" s="39" t="str">
        <f>IFERROR(IF(_xlfn.XLOOKUP($A194,'3-TECHNICAL TABULATION'!$A:$A,'3-TECHNICAL TABULATION'!D:D)="","",_xlfn.XLOOKUP($A194,'3-TECHNICAL TABULATION'!$A:$A,'3-TECHNICAL TABULATION'!D:D)),"")</f>
        <v/>
      </c>
    </row>
    <row r="195" spans="1:4" x14ac:dyDescent="0.25">
      <c r="A195" s="96" t="s">
        <v>243</v>
      </c>
      <c r="B195" s="52" t="str">
        <f>IFERROR(IF(_xlfn.XLOOKUP($A195,'3-TECHNICAL TABULATION'!$A:$A,'3-TECHNICAL TABULATION'!B:B)="","",_xlfn.XLOOKUP($A195,'3-TECHNICAL TABULATION'!$A:$A,'3-TECHNICAL TABULATION'!B:B)),"")</f>
        <v/>
      </c>
      <c r="C195" s="38" t="str">
        <f>IFERROR(IF(_xlfn.XLOOKUP($A195,'3-TECHNICAL TABULATION'!$A:$A,'3-TECHNICAL TABULATION'!C:C)="","",_xlfn.XLOOKUP($A195,'3-TECHNICAL TABULATION'!$A:$A,'3-TECHNICAL TABULATION'!C:C)),"")</f>
        <v/>
      </c>
      <c r="D195" s="39" t="str">
        <f>IFERROR(IF(_xlfn.XLOOKUP($A195,'3-TECHNICAL TABULATION'!$A:$A,'3-TECHNICAL TABULATION'!D:D)="","",_xlfn.XLOOKUP($A195,'3-TECHNICAL TABULATION'!$A:$A,'3-TECHNICAL TABULATION'!D:D)),"")</f>
        <v/>
      </c>
    </row>
    <row r="196" spans="1:4" x14ac:dyDescent="0.25">
      <c r="A196" s="96" t="s">
        <v>244</v>
      </c>
      <c r="B196" s="52" t="str">
        <f>IFERROR(IF(_xlfn.XLOOKUP($A196,'3-TECHNICAL TABULATION'!$A:$A,'3-TECHNICAL TABULATION'!B:B)="","",_xlfn.XLOOKUP($A196,'3-TECHNICAL TABULATION'!$A:$A,'3-TECHNICAL TABULATION'!B:B)),"")</f>
        <v/>
      </c>
      <c r="C196" s="38" t="str">
        <f>IFERROR(IF(_xlfn.XLOOKUP($A196,'3-TECHNICAL TABULATION'!$A:$A,'3-TECHNICAL TABULATION'!C:C)="","",_xlfn.XLOOKUP($A196,'3-TECHNICAL TABULATION'!$A:$A,'3-TECHNICAL TABULATION'!C:C)),"")</f>
        <v/>
      </c>
      <c r="D196" s="39" t="str">
        <f>IFERROR(IF(_xlfn.XLOOKUP($A196,'3-TECHNICAL TABULATION'!$A:$A,'3-TECHNICAL TABULATION'!D:D)="","",_xlfn.XLOOKUP($A196,'3-TECHNICAL TABULATION'!$A:$A,'3-TECHNICAL TABULATION'!D:D)),"")</f>
        <v/>
      </c>
    </row>
    <row r="197" spans="1:4" x14ac:dyDescent="0.25">
      <c r="A197" s="96" t="s">
        <v>245</v>
      </c>
      <c r="B197" s="52" t="str">
        <f>IFERROR(IF(_xlfn.XLOOKUP($A197,'3-TECHNICAL TABULATION'!$A:$A,'3-TECHNICAL TABULATION'!B:B)="","",_xlfn.XLOOKUP($A197,'3-TECHNICAL TABULATION'!$A:$A,'3-TECHNICAL TABULATION'!B:B)),"")</f>
        <v/>
      </c>
      <c r="C197" s="38" t="str">
        <f>IFERROR(IF(_xlfn.XLOOKUP($A197,'3-TECHNICAL TABULATION'!$A:$A,'3-TECHNICAL TABULATION'!C:C)="","",_xlfn.XLOOKUP($A197,'3-TECHNICAL TABULATION'!$A:$A,'3-TECHNICAL TABULATION'!C:C)),"")</f>
        <v/>
      </c>
      <c r="D197" s="39" t="str">
        <f>IFERROR(IF(_xlfn.XLOOKUP($A197,'3-TECHNICAL TABULATION'!$A:$A,'3-TECHNICAL TABULATION'!D:D)="","",_xlfn.XLOOKUP($A197,'3-TECHNICAL TABULATION'!$A:$A,'3-TECHNICAL TABULATION'!D:D)),"")</f>
        <v/>
      </c>
    </row>
    <row r="198" spans="1:4" x14ac:dyDescent="0.25">
      <c r="A198" s="96" t="s">
        <v>246</v>
      </c>
      <c r="B198" s="52" t="str">
        <f>IFERROR(IF(_xlfn.XLOOKUP($A198,'3-TECHNICAL TABULATION'!$A:$A,'3-TECHNICAL TABULATION'!B:B)="","",_xlfn.XLOOKUP($A198,'3-TECHNICAL TABULATION'!$A:$A,'3-TECHNICAL TABULATION'!B:B)),"")</f>
        <v/>
      </c>
      <c r="C198" s="38" t="str">
        <f>IFERROR(IF(_xlfn.XLOOKUP($A198,'3-TECHNICAL TABULATION'!$A:$A,'3-TECHNICAL TABULATION'!C:C)="","",_xlfn.XLOOKUP($A198,'3-TECHNICAL TABULATION'!$A:$A,'3-TECHNICAL TABULATION'!C:C)),"")</f>
        <v/>
      </c>
      <c r="D198" s="39" t="str">
        <f>IFERROR(IF(_xlfn.XLOOKUP($A198,'3-TECHNICAL TABULATION'!$A:$A,'3-TECHNICAL TABULATION'!D:D)="","",_xlfn.XLOOKUP($A198,'3-TECHNICAL TABULATION'!$A:$A,'3-TECHNICAL TABULATION'!D:D)),"")</f>
        <v/>
      </c>
    </row>
    <row r="199" spans="1:4" ht="45" x14ac:dyDescent="0.25">
      <c r="A199" s="96" t="s">
        <v>350</v>
      </c>
      <c r="B199" s="52" t="str">
        <f>IFERROR(IF(_xlfn.XLOOKUP($A199,'3-TECHNICAL TABULATION'!$A:$A,'3-TECHNICAL TABULATION'!B:B)="","",_xlfn.XLOOKUP($A199,'3-TECHNICAL TABULATION'!$A:$A,'3-TECHNICAL TABULATION'!B:B)),"")</f>
        <v/>
      </c>
      <c r="C199" s="38" t="str">
        <f>IFERROR(IF(_xlfn.XLOOKUP($A199,'3-TECHNICAL TABULATION'!$A:$A,'3-TECHNICAL TABULATION'!C:C)="","",_xlfn.XLOOKUP($A199,'3-TECHNICAL TABULATION'!$A:$A,'3-TECHNICAL TABULATION'!C:C)),"")</f>
        <v/>
      </c>
      <c r="D199" s="39" t="str">
        <f>IFERROR(IF(_xlfn.XLOOKUP($A199,'3-TECHNICAL TABULATION'!$A:$A,'3-TECHNICAL TABULATION'!D:D)="","",_xlfn.XLOOKUP($A199,'3-TECHNICAL TABULATION'!$A:$A,'3-TECHNICAL TABULATION'!D:D)),"")</f>
        <v/>
      </c>
    </row>
    <row r="200" spans="1:4" ht="45" x14ac:dyDescent="0.25">
      <c r="A200" s="96" t="s">
        <v>351</v>
      </c>
      <c r="B200" s="52" t="str">
        <f>IFERROR(IF(_xlfn.XLOOKUP($A200,'3-TECHNICAL TABULATION'!$A:$A,'3-TECHNICAL TABULATION'!B:B)="","",_xlfn.XLOOKUP($A200,'3-TECHNICAL TABULATION'!$A:$A,'3-TECHNICAL TABULATION'!B:B)),"")</f>
        <v/>
      </c>
      <c r="C200" s="38" t="str">
        <f>IFERROR(IF(_xlfn.XLOOKUP($A200,'3-TECHNICAL TABULATION'!$A:$A,'3-TECHNICAL TABULATION'!C:C)="","",_xlfn.XLOOKUP($A200,'3-TECHNICAL TABULATION'!$A:$A,'3-TECHNICAL TABULATION'!C:C)),"")</f>
        <v/>
      </c>
      <c r="D200" s="39" t="str">
        <f>IFERROR(IF(_xlfn.XLOOKUP($A200,'3-TECHNICAL TABULATION'!$A:$A,'3-TECHNICAL TABULATION'!D:D)="","",_xlfn.XLOOKUP($A200,'3-TECHNICAL TABULATION'!$A:$A,'3-TECHNICAL TABULATION'!D:D)),"")</f>
        <v/>
      </c>
    </row>
    <row r="201" spans="1:4" x14ac:dyDescent="0.25">
      <c r="A201" s="96" t="s">
        <v>352</v>
      </c>
      <c r="B201" s="52" t="str">
        <f>IFERROR(IF(_xlfn.XLOOKUP($A201,'3-TECHNICAL TABULATION'!$A:$A,'3-TECHNICAL TABULATION'!B:B)="","",_xlfn.XLOOKUP($A201,'3-TECHNICAL TABULATION'!$A:$A,'3-TECHNICAL TABULATION'!B:B)),"")</f>
        <v/>
      </c>
      <c r="C201" s="38" t="str">
        <f>IFERROR(IF(_xlfn.XLOOKUP($A201,'3-TECHNICAL TABULATION'!$A:$A,'3-TECHNICAL TABULATION'!C:C)="","",_xlfn.XLOOKUP($A201,'3-TECHNICAL TABULATION'!$A:$A,'3-TECHNICAL TABULATION'!C:C)),"")</f>
        <v/>
      </c>
      <c r="D201" s="39" t="str">
        <f>IFERROR(IF(_xlfn.XLOOKUP($A201,'3-TECHNICAL TABULATION'!$A:$A,'3-TECHNICAL TABULATION'!D:D)="","",_xlfn.XLOOKUP($A201,'3-TECHNICAL TABULATION'!$A:$A,'3-TECHNICAL TABULATION'!D:D)),"")</f>
        <v/>
      </c>
    </row>
    <row r="202" spans="1:4" ht="30" x14ac:dyDescent="0.25">
      <c r="A202" s="96" t="s">
        <v>353</v>
      </c>
      <c r="B202" s="52" t="str">
        <f>IFERROR(IF(_xlfn.XLOOKUP($A202,'3-TECHNICAL TABULATION'!$A:$A,'3-TECHNICAL TABULATION'!B:B)="","",_xlfn.XLOOKUP($A202,'3-TECHNICAL TABULATION'!$A:$A,'3-TECHNICAL TABULATION'!B:B)),"")</f>
        <v/>
      </c>
      <c r="C202" s="38" t="str">
        <f>IFERROR(IF(_xlfn.XLOOKUP($A202,'3-TECHNICAL TABULATION'!$A:$A,'3-TECHNICAL TABULATION'!C:C)="","",_xlfn.XLOOKUP($A202,'3-TECHNICAL TABULATION'!$A:$A,'3-TECHNICAL TABULATION'!C:C)),"")</f>
        <v/>
      </c>
      <c r="D202" s="39" t="str">
        <f>IFERROR(IF(_xlfn.XLOOKUP($A202,'3-TECHNICAL TABULATION'!$A:$A,'3-TECHNICAL TABULATION'!D:D)="","",_xlfn.XLOOKUP($A202,'3-TECHNICAL TABULATION'!$A:$A,'3-TECHNICAL TABULATION'!D:D)),"")</f>
        <v/>
      </c>
    </row>
    <row r="203" spans="1:4" x14ac:dyDescent="0.25">
      <c r="A203" s="96" t="s">
        <v>354</v>
      </c>
      <c r="B203" s="52" t="str">
        <f>IFERROR(IF(_xlfn.XLOOKUP($A203,'3-TECHNICAL TABULATION'!$A:$A,'3-TECHNICAL TABULATION'!B:B)="","",_xlfn.XLOOKUP($A203,'3-TECHNICAL TABULATION'!$A:$A,'3-TECHNICAL TABULATION'!B:B)),"")</f>
        <v/>
      </c>
      <c r="C203" s="38" t="str">
        <f>IFERROR(IF(_xlfn.XLOOKUP($A203,'3-TECHNICAL TABULATION'!$A:$A,'3-TECHNICAL TABULATION'!C:C)="","",_xlfn.XLOOKUP($A203,'3-TECHNICAL TABULATION'!$A:$A,'3-TECHNICAL TABULATION'!C:C)),"")</f>
        <v/>
      </c>
      <c r="D203" s="39" t="str">
        <f>IFERROR(IF(_xlfn.XLOOKUP($A203,'3-TECHNICAL TABULATION'!$A:$A,'3-TECHNICAL TABULATION'!D:D)="","",_xlfn.XLOOKUP($A203,'3-TECHNICAL TABULATION'!$A:$A,'3-TECHNICAL TABULATION'!D:D)),"")</f>
        <v/>
      </c>
    </row>
    <row r="204" spans="1:4" x14ac:dyDescent="0.25">
      <c r="A204" s="96" t="s">
        <v>359</v>
      </c>
      <c r="B204" s="52" t="str">
        <f>IFERROR(IF(_xlfn.XLOOKUP($A204,'3-TECHNICAL TABULATION'!$A:$A,'3-TECHNICAL TABULATION'!B:B)="","",_xlfn.XLOOKUP($A204,'3-TECHNICAL TABULATION'!$A:$A,'3-TECHNICAL TABULATION'!B:B)),"")</f>
        <v/>
      </c>
      <c r="C204" s="38" t="str">
        <f>IFERROR(IF(_xlfn.XLOOKUP($A204,'3-TECHNICAL TABULATION'!$A:$A,'3-TECHNICAL TABULATION'!C:C)="","",_xlfn.XLOOKUP($A204,'3-TECHNICAL TABULATION'!$A:$A,'3-TECHNICAL TABULATION'!C:C)),"")</f>
        <v/>
      </c>
      <c r="D204" s="39" t="str">
        <f>IFERROR(IF(_xlfn.XLOOKUP($A204,'3-TECHNICAL TABULATION'!$A:$A,'3-TECHNICAL TABULATION'!D:D)="","",_xlfn.XLOOKUP($A204,'3-TECHNICAL TABULATION'!$A:$A,'3-TECHNICAL TABULATION'!D:D)),"")</f>
        <v/>
      </c>
    </row>
    <row r="205" spans="1:4" x14ac:dyDescent="0.25">
      <c r="A205" s="96" t="s">
        <v>360</v>
      </c>
      <c r="B205" s="52" t="str">
        <f>IFERROR(IF(_xlfn.XLOOKUP($A205,'3-TECHNICAL TABULATION'!$A:$A,'3-TECHNICAL TABULATION'!B:B)="","",_xlfn.XLOOKUP($A205,'3-TECHNICAL TABULATION'!$A:$A,'3-TECHNICAL TABULATION'!B:B)),"")</f>
        <v/>
      </c>
      <c r="C205" s="38" t="str">
        <f>IFERROR(IF(_xlfn.XLOOKUP($A205,'3-TECHNICAL TABULATION'!$A:$A,'3-TECHNICAL TABULATION'!C:C)="","",_xlfn.XLOOKUP($A205,'3-TECHNICAL TABULATION'!$A:$A,'3-TECHNICAL TABULATION'!C:C)),"")</f>
        <v/>
      </c>
      <c r="D205" s="39" t="str">
        <f>IFERROR(IF(_xlfn.XLOOKUP($A205,'3-TECHNICAL TABULATION'!$A:$A,'3-TECHNICAL TABULATION'!D:D)="","",_xlfn.XLOOKUP($A205,'3-TECHNICAL TABULATION'!$A:$A,'3-TECHNICAL TABULATION'!D:D)),"")</f>
        <v/>
      </c>
    </row>
    <row r="206" spans="1:4" x14ac:dyDescent="0.25">
      <c r="A206" s="96" t="s">
        <v>361</v>
      </c>
      <c r="B206" s="52" t="str">
        <f>IFERROR(IF(_xlfn.XLOOKUP($A206,'3-TECHNICAL TABULATION'!$A:$A,'3-TECHNICAL TABULATION'!B:B)="","",_xlfn.XLOOKUP($A206,'3-TECHNICAL TABULATION'!$A:$A,'3-TECHNICAL TABULATION'!B:B)),"")</f>
        <v/>
      </c>
      <c r="C206" s="38" t="str">
        <f>IFERROR(IF(_xlfn.XLOOKUP($A206,'3-TECHNICAL TABULATION'!$A:$A,'3-TECHNICAL TABULATION'!C:C)="","",_xlfn.XLOOKUP($A206,'3-TECHNICAL TABULATION'!$A:$A,'3-TECHNICAL TABULATION'!C:C)),"")</f>
        <v/>
      </c>
      <c r="D206" s="39" t="str">
        <f>IFERROR(IF(_xlfn.XLOOKUP($A206,'3-TECHNICAL TABULATION'!$A:$A,'3-TECHNICAL TABULATION'!D:D)="","",_xlfn.XLOOKUP($A206,'3-TECHNICAL TABULATION'!$A:$A,'3-TECHNICAL TABULATION'!D:D)),"")</f>
        <v/>
      </c>
    </row>
    <row r="207" spans="1:4" x14ac:dyDescent="0.25">
      <c r="A207" s="96" t="s">
        <v>365</v>
      </c>
      <c r="B207" s="52" t="str">
        <f>IFERROR(IF(_xlfn.XLOOKUP($A207,'3-TECHNICAL TABULATION'!$A:$A,'3-TECHNICAL TABULATION'!B:B)="","",_xlfn.XLOOKUP($A207,'3-TECHNICAL TABULATION'!$A:$A,'3-TECHNICAL TABULATION'!B:B)),"")</f>
        <v/>
      </c>
      <c r="C207" s="38" t="str">
        <f>IFERROR(IF(_xlfn.XLOOKUP($A207,'3-TECHNICAL TABULATION'!$A:$A,'3-TECHNICAL TABULATION'!C:C)="","",_xlfn.XLOOKUP($A207,'3-TECHNICAL TABULATION'!$A:$A,'3-TECHNICAL TABULATION'!C:C)),"")</f>
        <v/>
      </c>
      <c r="D207" s="39" t="str">
        <f>IFERROR(IF(_xlfn.XLOOKUP($A207,'3-TECHNICAL TABULATION'!$A:$A,'3-TECHNICAL TABULATION'!D:D)="","",_xlfn.XLOOKUP($A207,'3-TECHNICAL TABULATION'!$A:$A,'3-TECHNICAL TABULATION'!D:D)),"")</f>
        <v/>
      </c>
    </row>
    <row r="208" spans="1:4" x14ac:dyDescent="0.25">
      <c r="A208" s="96" t="s">
        <v>362</v>
      </c>
      <c r="B208" s="52" t="str">
        <f>IFERROR(IF(_xlfn.XLOOKUP($A208,'3-TECHNICAL TABULATION'!$A:$A,'3-TECHNICAL TABULATION'!B:B)="","",_xlfn.XLOOKUP($A208,'3-TECHNICAL TABULATION'!$A:$A,'3-TECHNICAL TABULATION'!B:B)),"")</f>
        <v/>
      </c>
      <c r="C208" s="38" t="str">
        <f>IFERROR(IF(_xlfn.XLOOKUP($A208,'3-TECHNICAL TABULATION'!$A:$A,'3-TECHNICAL TABULATION'!C:C)="","",_xlfn.XLOOKUP($A208,'3-TECHNICAL TABULATION'!$A:$A,'3-TECHNICAL TABULATION'!C:C)),"")</f>
        <v/>
      </c>
      <c r="D208" s="39" t="str">
        <f>IFERROR(IF(_xlfn.XLOOKUP($A208,'3-TECHNICAL TABULATION'!$A:$A,'3-TECHNICAL TABULATION'!D:D)="","",_xlfn.XLOOKUP($A208,'3-TECHNICAL TABULATION'!$A:$A,'3-TECHNICAL TABULATION'!D:D)),"")</f>
        <v/>
      </c>
    </row>
    <row r="209" spans="1:4" x14ac:dyDescent="0.25">
      <c r="A209" s="96" t="s">
        <v>363</v>
      </c>
      <c r="B209" s="52" t="str">
        <f>IFERROR(IF(_xlfn.XLOOKUP($A209,'3-TECHNICAL TABULATION'!$A:$A,'3-TECHNICAL TABULATION'!B:B)="","",_xlfn.XLOOKUP($A209,'3-TECHNICAL TABULATION'!$A:$A,'3-TECHNICAL TABULATION'!B:B)),"")</f>
        <v/>
      </c>
      <c r="C209" s="38" t="str">
        <f>IFERROR(IF(_xlfn.XLOOKUP($A209,'3-TECHNICAL TABULATION'!$A:$A,'3-TECHNICAL TABULATION'!C:C)="","",_xlfn.XLOOKUP($A209,'3-TECHNICAL TABULATION'!$A:$A,'3-TECHNICAL TABULATION'!C:C)),"")</f>
        <v/>
      </c>
      <c r="D209" s="39" t="str">
        <f>IFERROR(IF(_xlfn.XLOOKUP($A209,'3-TECHNICAL TABULATION'!$A:$A,'3-TECHNICAL TABULATION'!D:D)="","",_xlfn.XLOOKUP($A209,'3-TECHNICAL TABULATION'!$A:$A,'3-TECHNICAL TABULATION'!D:D)),"")</f>
        <v/>
      </c>
    </row>
    <row r="210" spans="1:4" x14ac:dyDescent="0.25">
      <c r="A210" s="96" t="s">
        <v>364</v>
      </c>
      <c r="B210" s="52" t="str">
        <f>IFERROR(IF(_xlfn.XLOOKUP($A210,'3-TECHNICAL TABULATION'!$A:$A,'3-TECHNICAL TABULATION'!B:B)="","",_xlfn.XLOOKUP($A210,'3-TECHNICAL TABULATION'!$A:$A,'3-TECHNICAL TABULATION'!B:B)),"")</f>
        <v/>
      </c>
      <c r="C210" s="38" t="str">
        <f>IFERROR(IF(_xlfn.XLOOKUP($A210,'3-TECHNICAL TABULATION'!$A:$A,'3-TECHNICAL TABULATION'!C:C)="","",_xlfn.XLOOKUP($A210,'3-TECHNICAL TABULATION'!$A:$A,'3-TECHNICAL TABULATION'!C:C)),"")</f>
        <v/>
      </c>
      <c r="D210" s="39" t="str">
        <f>IFERROR(IF(_xlfn.XLOOKUP($A210,'3-TECHNICAL TABULATION'!$A:$A,'3-TECHNICAL TABULATION'!D:D)="","",_xlfn.XLOOKUP($A210,'3-TECHNICAL TABULATION'!$A:$A,'3-TECHNICAL TABULATION'!D:D)),"")</f>
        <v/>
      </c>
    </row>
    <row r="211" spans="1:4" x14ac:dyDescent="0.25">
      <c r="A211" s="96" t="s">
        <v>247</v>
      </c>
      <c r="B211" s="52" t="str">
        <f>IFERROR(IF(_xlfn.XLOOKUP($A211,'3-TECHNICAL TABULATION'!$A:$A,'3-TECHNICAL TABULATION'!B:B)="","",_xlfn.XLOOKUP($A211,'3-TECHNICAL TABULATION'!$A:$A,'3-TECHNICAL TABULATION'!B:B)),"")</f>
        <v/>
      </c>
      <c r="C211" s="38" t="str">
        <f>IFERROR(IF(_xlfn.XLOOKUP($A211,'3-TECHNICAL TABULATION'!$A:$A,'3-TECHNICAL TABULATION'!C:C)="","",_xlfn.XLOOKUP($A211,'3-TECHNICAL TABULATION'!$A:$A,'3-TECHNICAL TABULATION'!C:C)),"")</f>
        <v/>
      </c>
      <c r="D211" s="39" t="str">
        <f>IFERROR(IF(_xlfn.XLOOKUP($A211,'3-TECHNICAL TABULATION'!$A:$A,'3-TECHNICAL TABULATION'!D:D)="","",_xlfn.XLOOKUP($A211,'3-TECHNICAL TABULATION'!$A:$A,'3-TECHNICAL TABULATION'!D:D)),"")</f>
        <v/>
      </c>
    </row>
    <row r="212" spans="1:4" x14ac:dyDescent="0.25">
      <c r="A212" s="96" t="s">
        <v>248</v>
      </c>
      <c r="B212" s="52" t="str">
        <f>IFERROR(IF(_xlfn.XLOOKUP($A212,'3-TECHNICAL TABULATION'!$A:$A,'3-TECHNICAL TABULATION'!B:B)="","",_xlfn.XLOOKUP($A212,'3-TECHNICAL TABULATION'!$A:$A,'3-TECHNICAL TABULATION'!B:B)),"")</f>
        <v/>
      </c>
      <c r="C212" s="38" t="str">
        <f>IFERROR(IF(_xlfn.XLOOKUP($A212,'3-TECHNICAL TABULATION'!$A:$A,'3-TECHNICAL TABULATION'!C:C)="","",_xlfn.XLOOKUP($A212,'3-TECHNICAL TABULATION'!$A:$A,'3-TECHNICAL TABULATION'!C:C)),"")</f>
        <v/>
      </c>
      <c r="D212" s="39" t="str">
        <f>IFERROR(IF(_xlfn.XLOOKUP($A212,'3-TECHNICAL TABULATION'!$A:$A,'3-TECHNICAL TABULATION'!D:D)="","",_xlfn.XLOOKUP($A212,'3-TECHNICAL TABULATION'!$A:$A,'3-TECHNICAL TABULATION'!D:D)),"")</f>
        <v/>
      </c>
    </row>
    <row r="213" spans="1:4" x14ac:dyDescent="0.25">
      <c r="A213" s="96" t="s">
        <v>249</v>
      </c>
      <c r="B213" s="52" t="str">
        <f>IFERROR(IF(_xlfn.XLOOKUP($A213,'3-TECHNICAL TABULATION'!$A:$A,'3-TECHNICAL TABULATION'!B:B)="","",_xlfn.XLOOKUP($A213,'3-TECHNICAL TABULATION'!$A:$A,'3-TECHNICAL TABULATION'!B:B)),"")</f>
        <v/>
      </c>
      <c r="C213" s="38" t="str">
        <f>IFERROR(IF(_xlfn.XLOOKUP($A213,'3-TECHNICAL TABULATION'!$A:$A,'3-TECHNICAL TABULATION'!C:C)="","",_xlfn.XLOOKUP($A213,'3-TECHNICAL TABULATION'!$A:$A,'3-TECHNICAL TABULATION'!C:C)),"")</f>
        <v/>
      </c>
      <c r="D213" s="39" t="str">
        <f>IFERROR(IF(_xlfn.XLOOKUP($A213,'3-TECHNICAL TABULATION'!$A:$A,'3-TECHNICAL TABULATION'!D:D)="","",_xlfn.XLOOKUP($A213,'3-TECHNICAL TABULATION'!$A:$A,'3-TECHNICAL TABULATION'!D:D)),"")</f>
        <v/>
      </c>
    </row>
    <row r="214" spans="1:4" x14ac:dyDescent="0.25">
      <c r="A214" s="96" t="s">
        <v>250</v>
      </c>
      <c r="B214" s="52" t="str">
        <f>IFERROR(IF(_xlfn.XLOOKUP($A214,'3-TECHNICAL TABULATION'!$A:$A,'3-TECHNICAL TABULATION'!B:B)="","",_xlfn.XLOOKUP($A214,'3-TECHNICAL TABULATION'!$A:$A,'3-TECHNICAL TABULATION'!B:B)),"")</f>
        <v/>
      </c>
      <c r="C214" s="38" t="str">
        <f>IFERROR(IF(_xlfn.XLOOKUP($A214,'3-TECHNICAL TABULATION'!$A:$A,'3-TECHNICAL TABULATION'!C:C)="","",_xlfn.XLOOKUP($A214,'3-TECHNICAL TABULATION'!$A:$A,'3-TECHNICAL TABULATION'!C:C)),"")</f>
        <v/>
      </c>
      <c r="D214" s="39" t="str">
        <f>IFERROR(IF(_xlfn.XLOOKUP($A214,'3-TECHNICAL TABULATION'!$A:$A,'3-TECHNICAL TABULATION'!D:D)="","",_xlfn.XLOOKUP($A214,'3-TECHNICAL TABULATION'!$A:$A,'3-TECHNICAL TABULATION'!D:D)),"")</f>
        <v/>
      </c>
    </row>
    <row r="215" spans="1:4" x14ac:dyDescent="0.25">
      <c r="A215" s="96" t="s">
        <v>355</v>
      </c>
      <c r="B215" s="52" t="str">
        <f>IFERROR(IF(_xlfn.XLOOKUP($A215,'3-TECHNICAL TABULATION'!$A:$A,'3-TECHNICAL TABULATION'!B:B)="","",_xlfn.XLOOKUP($A215,'3-TECHNICAL TABULATION'!$A:$A,'3-TECHNICAL TABULATION'!B:B)),"")</f>
        <v>[NA/radial/axial]</v>
      </c>
      <c r="C215" s="38" t="str">
        <f>IFERROR(IF(_xlfn.XLOOKUP($A215,'3-TECHNICAL TABULATION'!$A:$A,'3-TECHNICAL TABULATION'!C:C)="","",_xlfn.XLOOKUP($A215,'3-TECHNICAL TABULATION'!$A:$A,'3-TECHNICAL TABULATION'!C:C)),"")</f>
        <v/>
      </c>
      <c r="D215" s="39" t="str">
        <f>IFERROR(IF(_xlfn.XLOOKUP($A215,'3-TECHNICAL TABULATION'!$A:$A,'3-TECHNICAL TABULATION'!D:D)="","",_xlfn.XLOOKUP($A215,'3-TECHNICAL TABULATION'!$A:$A,'3-TECHNICAL TABULATION'!D:D)),"")</f>
        <v/>
      </c>
    </row>
    <row r="216" spans="1:4" x14ac:dyDescent="0.25">
      <c r="A216" s="96" t="s">
        <v>251</v>
      </c>
      <c r="B216" s="52" t="str">
        <f>IFERROR(IF(_xlfn.XLOOKUP($A216,'3-TECHNICAL TABULATION'!$A:$A,'3-TECHNICAL TABULATION'!B:B)="","",_xlfn.XLOOKUP($A216,'3-TECHNICAL TABULATION'!$A:$A,'3-TECHNICAL TABULATION'!B:B)),"")</f>
        <v/>
      </c>
      <c r="C216" s="38" t="str">
        <f>IFERROR(IF(_xlfn.XLOOKUP($A216,'3-TECHNICAL TABULATION'!$A:$A,'3-TECHNICAL TABULATION'!C:C)="","",_xlfn.XLOOKUP($A216,'3-TECHNICAL TABULATION'!$A:$A,'3-TECHNICAL TABULATION'!C:C)),"")</f>
        <v/>
      </c>
      <c r="D216" s="39" t="str">
        <f>IFERROR(IF(_xlfn.XLOOKUP($A216,'3-TECHNICAL TABULATION'!$A:$A,'3-TECHNICAL TABULATION'!D:D)="","",_xlfn.XLOOKUP($A216,'3-TECHNICAL TABULATION'!$A:$A,'3-TECHNICAL TABULATION'!D:D)),"")</f>
        <v/>
      </c>
    </row>
    <row r="217" spans="1:4" x14ac:dyDescent="0.25">
      <c r="A217" s="96" t="s">
        <v>280</v>
      </c>
      <c r="B217" s="52" t="str">
        <f>IFERROR(IF(_xlfn.XLOOKUP($A217,'3-TECHNICAL TABULATION'!$A:$A,'3-TECHNICAL TABULATION'!B:B)="","",_xlfn.XLOOKUP($A217,'3-TECHNICAL TABULATION'!$A:$A,'3-TECHNICAL TABULATION'!B:B)),"")</f>
        <v>[right/left]</v>
      </c>
      <c r="C217" s="38" t="str">
        <f>IFERROR(IF(_xlfn.XLOOKUP($A217,'3-TECHNICAL TABULATION'!$A:$A,'3-TECHNICAL TABULATION'!C:C)="","",_xlfn.XLOOKUP($A217,'3-TECHNICAL TABULATION'!$A:$A,'3-TECHNICAL TABULATION'!C:C)),"")</f>
        <v/>
      </c>
      <c r="D217" s="39" t="str">
        <f>IFERROR(IF(_xlfn.XLOOKUP($A217,'3-TECHNICAL TABULATION'!$A:$A,'3-TECHNICAL TABULATION'!D:D)="","",_xlfn.XLOOKUP($A217,'3-TECHNICAL TABULATION'!$A:$A,'3-TECHNICAL TABULATION'!D:D)),"")</f>
        <v/>
      </c>
    </row>
    <row r="218" spans="1:4" ht="15.75" thickBot="1" x14ac:dyDescent="0.3">
      <c r="A218" s="96" t="s">
        <v>252</v>
      </c>
      <c r="B218" s="52" t="str">
        <f>IFERROR(IF(_xlfn.XLOOKUP($A218,'3-TECHNICAL TABULATION'!$A:$A,'3-TECHNICAL TABULATION'!B:B)="","",_xlfn.XLOOKUP($A218,'3-TECHNICAL TABULATION'!$A:$A,'3-TECHNICAL TABULATION'!B:B)),"")</f>
        <v>[none/list]</v>
      </c>
      <c r="C218" s="38" t="str">
        <f>IFERROR(IF(_xlfn.XLOOKUP($A218,'3-TECHNICAL TABULATION'!$A:$A,'3-TECHNICAL TABULATION'!C:C)="","",_xlfn.XLOOKUP($A218,'3-TECHNICAL TABULATION'!$A:$A,'3-TECHNICAL TABULATION'!C:C)),"")</f>
        <v/>
      </c>
      <c r="D218" s="39" t="str">
        <f>IFERROR(IF(_xlfn.XLOOKUP($A218,'3-TECHNICAL TABULATION'!$A:$A,'3-TECHNICAL TABULATION'!D:D)="","",_xlfn.XLOOKUP($A218,'3-TECHNICAL TABULATION'!$A:$A,'3-TECHNICAL TABULATION'!D:D)),"")</f>
        <v/>
      </c>
    </row>
    <row r="219" spans="1:4" x14ac:dyDescent="0.25">
      <c r="A219" s="11" t="s">
        <v>494</v>
      </c>
      <c r="B219" s="51" t="str">
        <f>IFERROR(IF(_xlfn.XLOOKUP($A219,'3-TECHNICAL TABULATION'!$A:$A,'3-TECHNICAL TABULATION'!B:B)="","",_xlfn.XLOOKUP($A219,'3-TECHNICAL TABULATION'!$A:$A,'3-TECHNICAL TABULATION'!B:B)),"")</f>
        <v/>
      </c>
      <c r="C219" s="40" t="str">
        <f>IFERROR(IF(_xlfn.XLOOKUP($A219,'3-TECHNICAL TABULATION'!$A:$A,'3-TECHNICAL TABULATION'!C:C)="","",_xlfn.XLOOKUP($A219,'3-TECHNICAL TABULATION'!$A:$A,'3-TECHNICAL TABULATION'!C:C)),"")</f>
        <v/>
      </c>
      <c r="D219" s="41" t="str">
        <f>IFERROR(IF(_xlfn.XLOOKUP($A219,'3-TECHNICAL TABULATION'!$A:$A,'3-TECHNICAL TABULATION'!D:D)="","",_xlfn.XLOOKUP($A219,'3-TECHNICAL TABULATION'!$A:$A,'3-TECHNICAL TABULATION'!D:D)),"")</f>
        <v/>
      </c>
    </row>
    <row r="220" spans="1:4" x14ac:dyDescent="0.25">
      <c r="A220" s="102" t="str" cm="1">
        <f t="array" ref="A220:A225">'3-TECHNICAL TABULATION'!A451:A456</f>
        <v>piping class</v>
      </c>
      <c r="B220" s="74" t="str">
        <f>IFERROR(IF(_xlfn.XLOOKUP($A220,'3-TECHNICAL TABULATION'!$A:$A,'3-TECHNICAL TABULATION'!B:B)="","",_xlfn.XLOOKUP($A220,'3-TECHNICAL TABULATION'!$A:$A,'3-TECHNICAL TABULATION'!B:B)),"")</f>
        <v/>
      </c>
      <c r="C220" s="46" t="str">
        <f>IFERROR(IF(_xlfn.XLOOKUP($A220,'3-TECHNICAL TABULATION'!$A:$A,'3-TECHNICAL TABULATION'!C:C)="","",_xlfn.XLOOKUP($A220,'3-TECHNICAL TABULATION'!$A:$A,'3-TECHNICAL TABULATION'!C:C)),"")</f>
        <v/>
      </c>
      <c r="D220" s="39" t="str">
        <f>IFERROR(IF(_xlfn.XLOOKUP($A220,'3-TECHNICAL TABULATION'!$A:$A,'3-TECHNICAL TABULATION'!D:D)="","",_xlfn.XLOOKUP($A220,'3-TECHNICAL TABULATION'!$A:$A,'3-TECHNICAL TABULATION'!D:D)),"")</f>
        <v/>
      </c>
    </row>
    <row r="221" spans="1:4" x14ac:dyDescent="0.25">
      <c r="A221" s="102" t="str">
        <v>technical note 1</v>
      </c>
      <c r="B221" s="58" t="str">
        <f>IFERROR(IF(_xlfn.XLOOKUP($A221,'3-TECHNICAL TABULATION'!$A:$A,'3-TECHNICAL TABULATION'!B:B)="","",_xlfn.XLOOKUP($A221,'3-TECHNICAL TABULATION'!$A:$A,'3-TECHNICAL TABULATION'!B:B)),"")</f>
        <v/>
      </c>
      <c r="C221" s="46" t="str">
        <f>IFERROR(IF(_xlfn.XLOOKUP($A221,'3-TECHNICAL TABULATION'!$A:$A,'3-TECHNICAL TABULATION'!C:C)="","",_xlfn.XLOOKUP($A221,'3-TECHNICAL TABULATION'!$A:$A,'3-TECHNICAL TABULATION'!C:C)),"")</f>
        <v/>
      </c>
      <c r="D221" s="39" t="str">
        <f>IFERROR(IF(_xlfn.XLOOKUP($A221,'3-TECHNICAL TABULATION'!$A:$A,'3-TECHNICAL TABULATION'!D:D)="","",_xlfn.XLOOKUP($A221,'3-TECHNICAL TABULATION'!$A:$A,'3-TECHNICAL TABULATION'!D:D)),"")</f>
        <v/>
      </c>
    </row>
    <row r="222" spans="1:4" x14ac:dyDescent="0.25">
      <c r="A222" s="102" t="str">
        <v>technical note 2</v>
      </c>
      <c r="B222" s="58" t="str">
        <f>IFERROR(IF(_xlfn.XLOOKUP($A222,'3-TECHNICAL TABULATION'!$A:$A,'3-TECHNICAL TABULATION'!B:B)="","",_xlfn.XLOOKUP($A222,'3-TECHNICAL TABULATION'!$A:$A,'3-TECHNICAL TABULATION'!B:B)),"")</f>
        <v/>
      </c>
      <c r="C222" s="46" t="str">
        <f>IFERROR(IF(_xlfn.XLOOKUP($A222,'3-TECHNICAL TABULATION'!$A:$A,'3-TECHNICAL TABULATION'!C:C)="","",_xlfn.XLOOKUP($A222,'3-TECHNICAL TABULATION'!$A:$A,'3-TECHNICAL TABULATION'!C:C)),"")</f>
        <v/>
      </c>
      <c r="D222" s="39" t="str">
        <f>IFERROR(IF(_xlfn.XLOOKUP($A222,'3-TECHNICAL TABULATION'!$A:$A,'3-TECHNICAL TABULATION'!D:D)="","",_xlfn.XLOOKUP($A222,'3-TECHNICAL TABULATION'!$A:$A,'3-TECHNICAL TABULATION'!D:D)),"")</f>
        <v/>
      </c>
    </row>
    <row r="223" spans="1:4" x14ac:dyDescent="0.25">
      <c r="A223" s="102" t="str">
        <v>technical note 3</v>
      </c>
      <c r="B223" s="58" t="str">
        <f>IFERROR(IF(_xlfn.XLOOKUP($A223,'3-TECHNICAL TABULATION'!$A:$A,'3-TECHNICAL TABULATION'!B:B)="","",_xlfn.XLOOKUP($A223,'3-TECHNICAL TABULATION'!$A:$A,'3-TECHNICAL TABULATION'!B:B)),"")</f>
        <v/>
      </c>
      <c r="C223" s="46" t="str">
        <f>IFERROR(IF(_xlfn.XLOOKUP($A223,'3-TECHNICAL TABULATION'!$A:$A,'3-TECHNICAL TABULATION'!C:C)="","",_xlfn.XLOOKUP($A223,'3-TECHNICAL TABULATION'!$A:$A,'3-TECHNICAL TABULATION'!C:C)),"")</f>
        <v/>
      </c>
      <c r="D223" s="39" t="str">
        <f>IFERROR(IF(_xlfn.XLOOKUP($A223,'3-TECHNICAL TABULATION'!$A:$A,'3-TECHNICAL TABULATION'!D:D)="","",_xlfn.XLOOKUP($A223,'3-TECHNICAL TABULATION'!$A:$A,'3-TECHNICAL TABULATION'!D:D)),"")</f>
        <v/>
      </c>
    </row>
    <row r="224" spans="1:4" x14ac:dyDescent="0.25">
      <c r="A224" s="102" t="str">
        <v>technical note 4</v>
      </c>
      <c r="B224" s="58" t="str">
        <f>IFERROR(IF(_xlfn.XLOOKUP($A224,'3-TECHNICAL TABULATION'!$A:$A,'3-TECHNICAL TABULATION'!B:B)="","",_xlfn.XLOOKUP($A224,'3-TECHNICAL TABULATION'!$A:$A,'3-TECHNICAL TABULATION'!B:B)),"")</f>
        <v/>
      </c>
      <c r="C224" s="46" t="str">
        <f>IFERROR(IF(_xlfn.XLOOKUP($A224,'3-TECHNICAL TABULATION'!$A:$A,'3-TECHNICAL TABULATION'!C:C)="","",_xlfn.XLOOKUP($A224,'3-TECHNICAL TABULATION'!$A:$A,'3-TECHNICAL TABULATION'!C:C)),"")</f>
        <v/>
      </c>
      <c r="D224" s="39" t="str">
        <f>IFERROR(IF(_xlfn.XLOOKUP($A224,'3-TECHNICAL TABULATION'!$A:$A,'3-TECHNICAL TABULATION'!D:D)="","",_xlfn.XLOOKUP($A224,'3-TECHNICAL TABULATION'!$A:$A,'3-TECHNICAL TABULATION'!D:D)),"")</f>
        <v/>
      </c>
    </row>
    <row r="225" spans="1:4" x14ac:dyDescent="0.25">
      <c r="A225" s="103" t="str">
        <v>technical note 5</v>
      </c>
      <c r="B225" s="58" t="str">
        <f>IFERROR(IF(_xlfn.XLOOKUP($A225,'3-TECHNICAL TABULATION'!$A:$A,'3-TECHNICAL TABULATION'!B:B)="","",_xlfn.XLOOKUP($A225,'3-TECHNICAL TABULATION'!$A:$A,'3-TECHNICAL TABULATION'!B:B)),"")</f>
        <v/>
      </c>
      <c r="C225" s="47"/>
      <c r="D225" s="37"/>
    </row>
    <row r="226" spans="1:4" x14ac:dyDescent="0.25">
      <c r="A226" s="103"/>
      <c r="B226" s="58" t="str">
        <f>IFERROR(IF(_xlfn.XLOOKUP($A226,'3-TECHNICAL TABULATION'!$A:$A,'3-TECHNICAL TABULATION'!B:B)="","",_xlfn.XLOOKUP($A226,'3-TECHNICAL TABULATION'!$A:$A,'3-TECHNICAL TABULATION'!B:B)),"")</f>
        <v/>
      </c>
      <c r="C226" s="47"/>
      <c r="D226" s="37"/>
    </row>
    <row r="227" spans="1:4" x14ac:dyDescent="0.25">
      <c r="A227" s="35"/>
      <c r="B227" s="58" t="str">
        <f>IFERROR(IF(_xlfn.XLOOKUP($A227,'3-TECHNICAL TABULATION'!$A:$A,'3-TECHNICAL TABULATION'!B:B)="","",_xlfn.XLOOKUP($A227,'3-TECHNICAL TABULATION'!$A:$A,'3-TECHNICAL TABULATION'!B:B)),"")</f>
        <v/>
      </c>
      <c r="C227" s="47"/>
      <c r="D227" s="37"/>
    </row>
    <row r="228" spans="1:4" x14ac:dyDescent="0.25">
      <c r="A228" s="35"/>
      <c r="B228" s="58" t="str">
        <f>IFERROR(IF(_xlfn.XLOOKUP($A228,'3-TECHNICAL TABULATION'!$A:$A,'3-TECHNICAL TABULATION'!B:B)="","",_xlfn.XLOOKUP($A228,'3-TECHNICAL TABULATION'!$A:$A,'3-TECHNICAL TABULATION'!B:B)),"")</f>
        <v/>
      </c>
      <c r="C228" s="47"/>
      <c r="D228" s="37"/>
    </row>
    <row r="229" spans="1:4" x14ac:dyDescent="0.25">
      <c r="A229" s="35"/>
      <c r="B229" s="58" t="str">
        <f>IFERROR(IF(_xlfn.XLOOKUP($A229,'3-TECHNICAL TABULATION'!$A:$A,'3-TECHNICAL TABULATION'!B:B)="","",_xlfn.XLOOKUP($A229,'3-TECHNICAL TABULATION'!$A:$A,'3-TECHNICAL TABULATION'!B:B)),"")</f>
        <v/>
      </c>
      <c r="C229" s="47"/>
      <c r="D229" s="37"/>
    </row>
    <row r="230" spans="1:4" x14ac:dyDescent="0.25">
      <c r="A230" s="35"/>
      <c r="B230" s="58" t="str">
        <f>IFERROR(IF(_xlfn.XLOOKUP($A230,'3-TECHNICAL TABULATION'!$A:$A,'3-TECHNICAL TABULATION'!B:B)="","",_xlfn.XLOOKUP($A230,'3-TECHNICAL TABULATION'!$A:$A,'3-TECHNICAL TABULATION'!B:B)),"")</f>
        <v/>
      </c>
      <c r="C230" s="47"/>
      <c r="D230" s="37"/>
    </row>
    <row r="231" spans="1:4" x14ac:dyDescent="0.25">
      <c r="A231" s="35"/>
      <c r="B231" s="58" t="str">
        <f>IFERROR(IF(_xlfn.XLOOKUP($A231,'3-TECHNICAL TABULATION'!$A:$A,'3-TECHNICAL TABULATION'!B:B)="","",_xlfn.XLOOKUP($A231,'3-TECHNICAL TABULATION'!$A:$A,'3-TECHNICAL TABULATION'!B:B)),"")</f>
        <v/>
      </c>
      <c r="C231" s="47"/>
      <c r="D231" s="37"/>
    </row>
    <row r="232" spans="1:4" x14ac:dyDescent="0.25">
      <c r="A232" s="35"/>
      <c r="B232" s="58" t="str">
        <f>IFERROR(IF(_xlfn.XLOOKUP($A232,'3-TECHNICAL TABULATION'!$A:$A,'3-TECHNICAL TABULATION'!B:B)="","",_xlfn.XLOOKUP($A232,'3-TECHNICAL TABULATION'!$A:$A,'3-TECHNICAL TABULATION'!B:B)),"")</f>
        <v/>
      </c>
      <c r="C232" s="47"/>
      <c r="D232" s="37"/>
    </row>
    <row r="233" spans="1:4" x14ac:dyDescent="0.25">
      <c r="A233" s="35"/>
      <c r="B233" s="58" t="str">
        <f>IFERROR(IF(_xlfn.XLOOKUP($A233,'3-TECHNICAL TABULATION'!$A:$A,'3-TECHNICAL TABULATION'!B:B)="","",_xlfn.XLOOKUP($A233,'3-TECHNICAL TABULATION'!$A:$A,'3-TECHNICAL TABULATION'!B:B)),"")</f>
        <v/>
      </c>
      <c r="C233" s="47"/>
      <c r="D233" s="37"/>
    </row>
    <row r="234" spans="1:4" x14ac:dyDescent="0.25">
      <c r="A234" s="35"/>
      <c r="B234" s="58" t="str">
        <f>IFERROR(IF(_xlfn.XLOOKUP($A234,'3-TECHNICAL TABULATION'!$A:$A,'3-TECHNICAL TABULATION'!B:B)="","",_xlfn.XLOOKUP($A234,'3-TECHNICAL TABULATION'!$A:$A,'3-TECHNICAL TABULATION'!B:B)),"")</f>
        <v/>
      </c>
      <c r="C234" s="47"/>
      <c r="D234" s="37"/>
    </row>
    <row r="235" spans="1:4" x14ac:dyDescent="0.25">
      <c r="A235" s="35"/>
      <c r="B235" s="58" t="str">
        <f>IFERROR(IF(_xlfn.XLOOKUP($A235,'3-TECHNICAL TABULATION'!$A:$A,'3-TECHNICAL TABULATION'!B:B)="","",_xlfn.XLOOKUP($A235,'3-TECHNICAL TABULATION'!$A:$A,'3-TECHNICAL TABULATION'!B:B)),"")</f>
        <v/>
      </c>
      <c r="C235" s="47"/>
      <c r="D235" s="37"/>
    </row>
    <row r="236" spans="1:4" x14ac:dyDescent="0.25">
      <c r="A236" s="35"/>
      <c r="B236" s="58" t="str">
        <f>IFERROR(IF(_xlfn.XLOOKUP($A236,'3-TECHNICAL TABULATION'!$A:$A,'3-TECHNICAL TABULATION'!B:B)="","",_xlfn.XLOOKUP($A236,'3-TECHNICAL TABULATION'!$A:$A,'3-TECHNICAL TABULATION'!B:B)),"")</f>
        <v/>
      </c>
      <c r="C236" s="47"/>
      <c r="D236" s="37"/>
    </row>
    <row r="237" spans="1:4" x14ac:dyDescent="0.25">
      <c r="A237" s="35"/>
      <c r="B237" s="58" t="str">
        <f>IFERROR(IF(_xlfn.XLOOKUP($A237,'3-TECHNICAL TABULATION'!$A:$A,'3-TECHNICAL TABULATION'!B:B)="","",_xlfn.XLOOKUP($A237,'3-TECHNICAL TABULATION'!$A:$A,'3-TECHNICAL TABULATION'!B:B)),"")</f>
        <v/>
      </c>
      <c r="C237" s="47"/>
      <c r="D237" s="37"/>
    </row>
    <row r="238" spans="1:4" x14ac:dyDescent="0.25">
      <c r="A238" s="35"/>
      <c r="B238" s="58" t="str">
        <f>IFERROR(IF(_xlfn.XLOOKUP($A238,'3-TECHNICAL TABULATION'!$A:$A,'3-TECHNICAL TABULATION'!B:B)="","",_xlfn.XLOOKUP($A238,'3-TECHNICAL TABULATION'!$A:$A,'3-TECHNICAL TABULATION'!B:B)),"")</f>
        <v/>
      </c>
      <c r="C238" s="47"/>
      <c r="D238" s="37"/>
    </row>
    <row r="239" spans="1:4" x14ac:dyDescent="0.25">
      <c r="A239" s="35"/>
      <c r="B239" s="58" t="str">
        <f>IFERROR(IF(_xlfn.XLOOKUP($A239,'3-TECHNICAL TABULATION'!$A:$A,'3-TECHNICAL TABULATION'!B:B)="","",_xlfn.XLOOKUP($A239,'3-TECHNICAL TABULATION'!$A:$A,'3-TECHNICAL TABULATION'!B:B)),"")</f>
        <v/>
      </c>
      <c r="C239" s="47"/>
      <c r="D239" s="37"/>
    </row>
    <row r="240" spans="1:4" x14ac:dyDescent="0.25">
      <c r="A240" s="35"/>
      <c r="B240" s="58" t="str">
        <f>IFERROR(IF(_xlfn.XLOOKUP($A240,'3-TECHNICAL TABULATION'!$A:$A,'3-TECHNICAL TABULATION'!B:B)="","",_xlfn.XLOOKUP($A240,'3-TECHNICAL TABULATION'!$A:$A,'3-TECHNICAL TABULATION'!B:B)),"")</f>
        <v/>
      </c>
      <c r="C240" s="47"/>
      <c r="D240" s="37"/>
    </row>
    <row r="241" spans="1:4" x14ac:dyDescent="0.25">
      <c r="A241" s="35"/>
      <c r="B241" s="58" t="str">
        <f>IFERROR(IF(_xlfn.XLOOKUP($A241,'3-TECHNICAL TABULATION'!$A:$A,'3-TECHNICAL TABULATION'!B:B)="","",_xlfn.XLOOKUP($A241,'3-TECHNICAL TABULATION'!$A:$A,'3-TECHNICAL TABULATION'!B:B)),"")</f>
        <v/>
      </c>
      <c r="C241" s="47"/>
      <c r="D241" s="37"/>
    </row>
    <row r="242" spans="1:4" x14ac:dyDescent="0.25">
      <c r="A242" s="35"/>
      <c r="B242" s="58" t="str">
        <f>IFERROR(IF(_xlfn.XLOOKUP($A242,'3-TECHNICAL TABULATION'!$A:$A,'3-TECHNICAL TABULATION'!B:B)="","",_xlfn.XLOOKUP($A242,'3-TECHNICAL TABULATION'!$A:$A,'3-TECHNICAL TABULATION'!B:B)),"")</f>
        <v/>
      </c>
      <c r="C242" s="47"/>
      <c r="D242" s="37"/>
    </row>
    <row r="243" spans="1:4" x14ac:dyDescent="0.25">
      <c r="A243" s="35"/>
      <c r="B243" s="58" t="str">
        <f>IFERROR(IF(_xlfn.XLOOKUP($A243,'3-TECHNICAL TABULATION'!$A:$A,'3-TECHNICAL TABULATION'!B:B)="","",_xlfn.XLOOKUP($A243,'3-TECHNICAL TABULATION'!$A:$A,'3-TECHNICAL TABULATION'!B:B)),"")</f>
        <v/>
      </c>
      <c r="C243" s="47"/>
      <c r="D243" s="37"/>
    </row>
    <row r="244" spans="1:4" x14ac:dyDescent="0.25">
      <c r="A244" s="35"/>
      <c r="B244" s="58" t="str">
        <f>IFERROR(IF(_xlfn.XLOOKUP($A244,'3-TECHNICAL TABULATION'!$A:$A,'3-TECHNICAL TABULATION'!B:B)="","",_xlfn.XLOOKUP($A244,'3-TECHNICAL TABULATION'!$A:$A,'3-TECHNICAL TABULATION'!B:B)),"")</f>
        <v/>
      </c>
      <c r="C244" s="47"/>
      <c r="D244" s="37"/>
    </row>
    <row r="245" spans="1:4" x14ac:dyDescent="0.25">
      <c r="A245" s="35"/>
      <c r="B245" s="58" t="str">
        <f>IFERROR(IF(_xlfn.XLOOKUP($A245,'3-TECHNICAL TABULATION'!$A:$A,'3-TECHNICAL TABULATION'!B:B)="","",_xlfn.XLOOKUP($A245,'3-TECHNICAL TABULATION'!$A:$A,'3-TECHNICAL TABULATION'!B:B)),"")</f>
        <v/>
      </c>
      <c r="C245" s="47"/>
      <c r="D245" s="37"/>
    </row>
    <row r="246" spans="1:4" x14ac:dyDescent="0.25">
      <c r="A246" s="35"/>
      <c r="B246" s="58" t="str">
        <f>IFERROR(IF(_xlfn.XLOOKUP($A246,'3-TECHNICAL TABULATION'!$A:$A,'3-TECHNICAL TABULATION'!B:B)="","",_xlfn.XLOOKUP($A246,'3-TECHNICAL TABULATION'!$A:$A,'3-TECHNICAL TABULATION'!B:B)),"")</f>
        <v/>
      </c>
      <c r="C246" s="47"/>
      <c r="D246" s="37"/>
    </row>
    <row r="247" spans="1:4" x14ac:dyDescent="0.25">
      <c r="A247" s="35"/>
      <c r="B247" s="58" t="str">
        <f>IFERROR(IF(_xlfn.XLOOKUP($A247,'3-TECHNICAL TABULATION'!$A:$A,'3-TECHNICAL TABULATION'!B:B)="","",_xlfn.XLOOKUP($A247,'3-TECHNICAL TABULATION'!$A:$A,'3-TECHNICAL TABULATION'!B:B)),"")</f>
        <v/>
      </c>
      <c r="C247" s="47"/>
      <c r="D247" s="37"/>
    </row>
    <row r="248" spans="1:4" x14ac:dyDescent="0.25">
      <c r="A248" s="35"/>
      <c r="B248" s="58" t="str">
        <f>IFERROR(IF(_xlfn.XLOOKUP($A248,'3-TECHNICAL TABULATION'!$A:$A,'3-TECHNICAL TABULATION'!B:B)="","",_xlfn.XLOOKUP($A248,'3-TECHNICAL TABULATION'!$A:$A,'3-TECHNICAL TABULATION'!B:B)),"")</f>
        <v/>
      </c>
      <c r="C248" s="47"/>
      <c r="D248" s="37"/>
    </row>
    <row r="249" spans="1:4" x14ac:dyDescent="0.25">
      <c r="A249" s="35"/>
      <c r="B249" s="58" t="str">
        <f>IFERROR(IF(_xlfn.XLOOKUP($A249,'3-TECHNICAL TABULATION'!$A:$A,'3-TECHNICAL TABULATION'!B:B)="","",_xlfn.XLOOKUP($A249,'3-TECHNICAL TABULATION'!$A:$A,'3-TECHNICAL TABULATION'!B:B)),"")</f>
        <v/>
      </c>
      <c r="C249" s="47"/>
      <c r="D249" s="37"/>
    </row>
    <row r="250" spans="1:4" x14ac:dyDescent="0.25">
      <c r="A250" s="35"/>
      <c r="B250" s="58" t="str">
        <f>IFERROR(IF(_xlfn.XLOOKUP($A250,'3-TECHNICAL TABULATION'!$A:$A,'3-TECHNICAL TABULATION'!B:B)="","",_xlfn.XLOOKUP($A250,'3-TECHNICAL TABULATION'!$A:$A,'3-TECHNICAL TABULATION'!B:B)),"")</f>
        <v/>
      </c>
      <c r="C250" s="47"/>
      <c r="D250" s="37"/>
    </row>
    <row r="251" spans="1:4" x14ac:dyDescent="0.25">
      <c r="A251" s="35"/>
      <c r="B251" s="58" t="str">
        <f>IFERROR(IF(_xlfn.XLOOKUP($A251,'3-TECHNICAL TABULATION'!$A:$A,'3-TECHNICAL TABULATION'!B:B)="","",_xlfn.XLOOKUP($A251,'3-TECHNICAL TABULATION'!$A:$A,'3-TECHNICAL TABULATION'!B:B)),"")</f>
        <v/>
      </c>
      <c r="C251" s="47"/>
      <c r="D251" s="37"/>
    </row>
    <row r="252" spans="1:4" x14ac:dyDescent="0.25">
      <c r="A252" s="35"/>
      <c r="B252" s="58" t="str">
        <f>IFERROR(IF(_xlfn.XLOOKUP($A252,'3-TECHNICAL TABULATION'!$A:$A,'3-TECHNICAL TABULATION'!B:B)="","",_xlfn.XLOOKUP($A252,'3-TECHNICAL TABULATION'!$A:$A,'3-TECHNICAL TABULATION'!B:B)),"")</f>
        <v/>
      </c>
      <c r="C252" s="47"/>
      <c r="D252" s="37"/>
    </row>
    <row r="253" spans="1:4" x14ac:dyDescent="0.25">
      <c r="A253" s="35"/>
      <c r="B253" s="58" t="str">
        <f>IFERROR(IF(_xlfn.XLOOKUP($A253,'3-TECHNICAL TABULATION'!$A:$A,'3-TECHNICAL TABULATION'!B:B)="","",_xlfn.XLOOKUP($A253,'3-TECHNICAL TABULATION'!$A:$A,'3-TECHNICAL TABULATION'!B:B)),"")</f>
        <v/>
      </c>
      <c r="C253" s="47"/>
      <c r="D253" s="37"/>
    </row>
    <row r="254" spans="1:4" x14ac:dyDescent="0.25">
      <c r="A254" s="35"/>
      <c r="B254" s="58" t="str">
        <f>IFERROR(IF(_xlfn.XLOOKUP($A254,'3-TECHNICAL TABULATION'!$A:$A,'3-TECHNICAL TABULATION'!B:B)="","",_xlfn.XLOOKUP($A254,'3-TECHNICAL TABULATION'!$A:$A,'3-TECHNICAL TABULATION'!B:B)),"")</f>
        <v/>
      </c>
      <c r="C254" s="47"/>
      <c r="D254" s="37"/>
    </row>
    <row r="255" spans="1:4" x14ac:dyDescent="0.25">
      <c r="A255" s="35"/>
      <c r="B255" s="58" t="str">
        <f>IFERROR(IF(_xlfn.XLOOKUP($A255,'3-TECHNICAL TABULATION'!$A:$A,'3-TECHNICAL TABULATION'!B:B)="","",_xlfn.XLOOKUP($A255,'3-TECHNICAL TABULATION'!$A:$A,'3-TECHNICAL TABULATION'!B:B)),"")</f>
        <v/>
      </c>
      <c r="C255" s="47"/>
      <c r="D255" s="37"/>
    </row>
    <row r="256" spans="1:4" x14ac:dyDescent="0.25">
      <c r="A256" s="35"/>
      <c r="B256" s="58" t="str">
        <f>IFERROR(IF(_xlfn.XLOOKUP($A256,'3-TECHNICAL TABULATION'!$A:$A,'3-TECHNICAL TABULATION'!B:B)="","",_xlfn.XLOOKUP($A256,'3-TECHNICAL TABULATION'!$A:$A,'3-TECHNICAL TABULATION'!B:B)),"")</f>
        <v/>
      </c>
      <c r="C256" s="47"/>
      <c r="D256" s="37"/>
    </row>
    <row r="257" spans="1:4" x14ac:dyDescent="0.25">
      <c r="A257" s="35"/>
      <c r="B257" s="58" t="str">
        <f>IFERROR(IF(_xlfn.XLOOKUP($A257,'3-TECHNICAL TABULATION'!$A:$A,'3-TECHNICAL TABULATION'!B:B)="","",_xlfn.XLOOKUP($A257,'3-TECHNICAL TABULATION'!$A:$A,'3-TECHNICAL TABULATION'!B:B)),"")</f>
        <v/>
      </c>
      <c r="C257" s="47"/>
      <c r="D257" s="37"/>
    </row>
    <row r="258" spans="1:4" x14ac:dyDescent="0.25">
      <c r="A258" s="35"/>
      <c r="B258" s="58" t="str">
        <f>IFERROR(IF(_xlfn.XLOOKUP($A258,'3-TECHNICAL TABULATION'!$A:$A,'3-TECHNICAL TABULATION'!B:B)="","",_xlfn.XLOOKUP($A258,'3-TECHNICAL TABULATION'!$A:$A,'3-TECHNICAL TABULATION'!B:B)),"")</f>
        <v/>
      </c>
      <c r="C258" s="47"/>
      <c r="D258" s="37"/>
    </row>
    <row r="259" spans="1:4" x14ac:dyDescent="0.25">
      <c r="A259" s="35"/>
      <c r="B259" s="58" t="str">
        <f>IFERROR(IF(_xlfn.XLOOKUP($A259,'3-TECHNICAL TABULATION'!$A:$A,'3-TECHNICAL TABULATION'!B:B)="","",_xlfn.XLOOKUP($A259,'3-TECHNICAL TABULATION'!$A:$A,'3-TECHNICAL TABULATION'!B:B)),"")</f>
        <v/>
      </c>
      <c r="C259" s="47"/>
      <c r="D259" s="37"/>
    </row>
    <row r="260" spans="1:4" x14ac:dyDescent="0.25">
      <c r="A260" s="35"/>
      <c r="B260" s="58" t="str">
        <f>IFERROR(IF(_xlfn.XLOOKUP($A260,'3-TECHNICAL TABULATION'!$A:$A,'3-TECHNICAL TABULATION'!B:B)="","",_xlfn.XLOOKUP($A260,'3-TECHNICAL TABULATION'!$A:$A,'3-TECHNICAL TABULATION'!B:B)),"")</f>
        <v/>
      </c>
      <c r="C260" s="47"/>
      <c r="D260" s="37"/>
    </row>
    <row r="261" spans="1:4" x14ac:dyDescent="0.25">
      <c r="A261" s="35"/>
      <c r="B261" s="58" t="str">
        <f>IFERROR(IF(_xlfn.XLOOKUP($A261,'3-TECHNICAL TABULATION'!$A:$A,'3-TECHNICAL TABULATION'!B:B)="","",_xlfn.XLOOKUP($A261,'3-TECHNICAL TABULATION'!$A:$A,'3-TECHNICAL TABULATION'!B:B)),"")</f>
        <v/>
      </c>
      <c r="C261" s="47"/>
      <c r="D261" s="37"/>
    </row>
    <row r="262" spans="1:4" x14ac:dyDescent="0.25">
      <c r="A262" s="35"/>
      <c r="B262" s="58" t="str">
        <f>IFERROR(IF(_xlfn.XLOOKUP($A262,'3-TECHNICAL TABULATION'!$A:$A,'3-TECHNICAL TABULATION'!B:B)="","",_xlfn.XLOOKUP($A262,'3-TECHNICAL TABULATION'!$A:$A,'3-TECHNICAL TABULATION'!B:B)),"")</f>
        <v/>
      </c>
      <c r="C262" s="47"/>
      <c r="D262" s="37"/>
    </row>
    <row r="263" spans="1:4" x14ac:dyDescent="0.25">
      <c r="A263" s="35"/>
      <c r="B263" s="58" t="str">
        <f>IFERROR(IF(_xlfn.XLOOKUP($A263,'3-TECHNICAL TABULATION'!$A:$A,'3-TECHNICAL TABULATION'!B:B)="","",_xlfn.XLOOKUP($A263,'3-TECHNICAL TABULATION'!$A:$A,'3-TECHNICAL TABULATION'!B:B)),"")</f>
        <v/>
      </c>
      <c r="C263" s="47"/>
      <c r="D263" s="37"/>
    </row>
    <row r="264" spans="1:4" x14ac:dyDescent="0.25">
      <c r="A264" s="35"/>
      <c r="B264" s="58" t="str">
        <f>IFERROR(IF(_xlfn.XLOOKUP($A264,'3-TECHNICAL TABULATION'!$A:$A,'3-TECHNICAL TABULATION'!B:B)="","",_xlfn.XLOOKUP($A264,'3-TECHNICAL TABULATION'!$A:$A,'3-TECHNICAL TABULATION'!B:B)),"")</f>
        <v/>
      </c>
      <c r="C264" s="47"/>
      <c r="D264" s="37"/>
    </row>
    <row r="265" spans="1:4" x14ac:dyDescent="0.25">
      <c r="A265" s="35"/>
      <c r="B265" s="58" t="str">
        <f>IFERROR(IF(_xlfn.XLOOKUP($A265,'3-TECHNICAL TABULATION'!$A:$A,'3-TECHNICAL TABULATION'!B:B)="","",_xlfn.XLOOKUP($A265,'3-TECHNICAL TABULATION'!$A:$A,'3-TECHNICAL TABULATION'!B:B)),"")</f>
        <v/>
      </c>
      <c r="C265" s="47"/>
      <c r="D265" s="37"/>
    </row>
    <row r="266" spans="1:4" x14ac:dyDescent="0.25">
      <c r="A266" s="35"/>
      <c r="B266" s="58" t="str">
        <f>IFERROR(IF(_xlfn.XLOOKUP($A266,'3-TECHNICAL TABULATION'!$A:$A,'3-TECHNICAL TABULATION'!B:B)="","",_xlfn.XLOOKUP($A266,'3-TECHNICAL TABULATION'!$A:$A,'3-TECHNICAL TABULATION'!B:B)),"")</f>
        <v/>
      </c>
      <c r="C266" s="47"/>
      <c r="D266" s="37"/>
    </row>
    <row r="267" spans="1:4" x14ac:dyDescent="0.25">
      <c r="A267" s="35"/>
      <c r="B267" s="58" t="str">
        <f>IFERROR(IF(_xlfn.XLOOKUP($A267,'3-TECHNICAL TABULATION'!$A:$A,'3-TECHNICAL TABULATION'!B:B)="","",_xlfn.XLOOKUP($A267,'3-TECHNICAL TABULATION'!$A:$A,'3-TECHNICAL TABULATION'!B:B)),"")</f>
        <v/>
      </c>
      <c r="C267" s="47"/>
      <c r="D267" s="37"/>
    </row>
    <row r="268" spans="1:4" x14ac:dyDescent="0.25">
      <c r="A268" s="35"/>
      <c r="B268" s="58" t="str">
        <f>IFERROR(IF(_xlfn.XLOOKUP($A268,'3-TECHNICAL TABULATION'!$A:$A,'3-TECHNICAL TABULATION'!B:B)="","",_xlfn.XLOOKUP($A268,'3-TECHNICAL TABULATION'!$A:$A,'3-TECHNICAL TABULATION'!B:B)),"")</f>
        <v/>
      </c>
      <c r="C268" s="47"/>
      <c r="D268" s="37"/>
    </row>
    <row r="269" spans="1:4" x14ac:dyDescent="0.25">
      <c r="A269" s="35"/>
      <c r="B269" s="58" t="str">
        <f>IFERROR(IF(_xlfn.XLOOKUP($A269,'3-TECHNICAL TABULATION'!$A:$A,'3-TECHNICAL TABULATION'!B:B)="","",_xlfn.XLOOKUP($A269,'3-TECHNICAL TABULATION'!$A:$A,'3-TECHNICAL TABULATION'!B:B)),"")</f>
        <v/>
      </c>
      <c r="C269" s="47"/>
      <c r="D269" s="37"/>
    </row>
    <row r="270" spans="1:4" x14ac:dyDescent="0.25">
      <c r="A270" s="35"/>
      <c r="B270" s="58" t="str">
        <f>IFERROR(IF(_xlfn.XLOOKUP($A270,'3-TECHNICAL TABULATION'!$A:$A,'3-TECHNICAL TABULATION'!B:B)="","",_xlfn.XLOOKUP($A270,'3-TECHNICAL TABULATION'!$A:$A,'3-TECHNICAL TABULATION'!B:B)),"")</f>
        <v/>
      </c>
      <c r="C270" s="47"/>
      <c r="D270" s="37"/>
    </row>
    <row r="271" spans="1:4" x14ac:dyDescent="0.25">
      <c r="A271" s="35"/>
      <c r="B271" s="58" t="str">
        <f>IFERROR(IF(_xlfn.XLOOKUP($A271,'3-TECHNICAL TABULATION'!$A:$A,'3-TECHNICAL TABULATION'!B:B)="","",_xlfn.XLOOKUP($A271,'3-TECHNICAL TABULATION'!$A:$A,'3-TECHNICAL TABULATION'!B:B)),"")</f>
        <v/>
      </c>
      <c r="C271" s="47"/>
      <c r="D271" s="37"/>
    </row>
    <row r="272" spans="1:4" x14ac:dyDescent="0.25">
      <c r="A272" s="35"/>
      <c r="B272" s="58" t="str">
        <f>IFERROR(IF(_xlfn.XLOOKUP($A272,'3-TECHNICAL TABULATION'!$A:$A,'3-TECHNICAL TABULATION'!B:B)="","",_xlfn.XLOOKUP($A272,'3-TECHNICAL TABULATION'!$A:$A,'3-TECHNICAL TABULATION'!B:B)),"")</f>
        <v/>
      </c>
      <c r="C272" s="47"/>
      <c r="D272" s="37"/>
    </row>
    <row r="273" spans="1:4" x14ac:dyDescent="0.25">
      <c r="A273" s="35"/>
      <c r="B273" s="58" t="str">
        <f>IFERROR(IF(_xlfn.XLOOKUP($A273,'3-TECHNICAL TABULATION'!$A:$A,'3-TECHNICAL TABULATION'!B:B)="","",_xlfn.XLOOKUP($A273,'3-TECHNICAL TABULATION'!$A:$A,'3-TECHNICAL TABULATION'!B:B)),"")</f>
        <v/>
      </c>
      <c r="C273" s="47"/>
      <c r="D273" s="37"/>
    </row>
    <row r="274" spans="1:4" x14ac:dyDescent="0.25">
      <c r="A274" s="35"/>
      <c r="B274" s="58" t="str">
        <f>IFERROR(IF(_xlfn.XLOOKUP($A274,'3-TECHNICAL TABULATION'!$A:$A,'3-TECHNICAL TABULATION'!B:B)="","",_xlfn.XLOOKUP($A274,'3-TECHNICAL TABULATION'!$A:$A,'3-TECHNICAL TABULATION'!B:B)),"")</f>
        <v/>
      </c>
      <c r="C274" s="47"/>
      <c r="D274" s="37"/>
    </row>
    <row r="275" spans="1:4" x14ac:dyDescent="0.25">
      <c r="A275" s="35"/>
      <c r="B275" s="58" t="str">
        <f>IFERROR(IF(_xlfn.XLOOKUP($A275,'3-TECHNICAL TABULATION'!$A:$A,'3-TECHNICAL TABULATION'!B:B)="","",_xlfn.XLOOKUP($A275,'3-TECHNICAL TABULATION'!$A:$A,'3-TECHNICAL TABULATION'!B:B)),"")</f>
        <v/>
      </c>
      <c r="C275" s="47"/>
      <c r="D275" s="37"/>
    </row>
    <row r="276" spans="1:4" x14ac:dyDescent="0.25">
      <c r="A276" s="35"/>
      <c r="B276" s="58" t="str">
        <f>IFERROR(IF(_xlfn.XLOOKUP($A276,'3-TECHNICAL TABULATION'!$A:$A,'3-TECHNICAL TABULATION'!B:B)="","",_xlfn.XLOOKUP($A276,'3-TECHNICAL TABULATION'!$A:$A,'3-TECHNICAL TABULATION'!B:B)),"")</f>
        <v/>
      </c>
      <c r="C276" s="47"/>
      <c r="D276" s="37"/>
    </row>
    <row r="277" spans="1:4" x14ac:dyDescent="0.25">
      <c r="A277" s="35"/>
      <c r="B277" s="58" t="str">
        <f>IFERROR(IF(_xlfn.XLOOKUP($A277,'3-TECHNICAL TABULATION'!$A:$A,'3-TECHNICAL TABULATION'!B:B)="","",_xlfn.XLOOKUP($A277,'3-TECHNICAL TABULATION'!$A:$A,'3-TECHNICAL TABULATION'!B:B)),"")</f>
        <v/>
      </c>
      <c r="C277" s="47"/>
      <c r="D277" s="37"/>
    </row>
    <row r="278" spans="1:4" x14ac:dyDescent="0.25">
      <c r="A278" s="35"/>
      <c r="B278" s="58" t="str">
        <f>IFERROR(IF(_xlfn.XLOOKUP($A278,'3-TECHNICAL TABULATION'!$A:$A,'3-TECHNICAL TABULATION'!B:B)="","",_xlfn.XLOOKUP($A278,'3-TECHNICAL TABULATION'!$A:$A,'3-TECHNICAL TABULATION'!B:B)),"")</f>
        <v/>
      </c>
      <c r="C278" s="47"/>
      <c r="D278" s="37"/>
    </row>
    <row r="279" spans="1:4" x14ac:dyDescent="0.25">
      <c r="A279" s="35"/>
      <c r="B279" s="58" t="str">
        <f>IFERROR(IF(_xlfn.XLOOKUP($A279,'3-TECHNICAL TABULATION'!$A:$A,'3-TECHNICAL TABULATION'!B:B)="","",_xlfn.XLOOKUP($A279,'3-TECHNICAL TABULATION'!$A:$A,'3-TECHNICAL TABULATION'!B:B)),"")</f>
        <v/>
      </c>
      <c r="C279" s="47"/>
      <c r="D279" s="37"/>
    </row>
    <row r="280" spans="1:4" x14ac:dyDescent="0.25">
      <c r="A280" s="35"/>
      <c r="B280" s="58" t="str">
        <f>IFERROR(IF(_xlfn.XLOOKUP($A280,'3-TECHNICAL TABULATION'!$A:$A,'3-TECHNICAL TABULATION'!B:B)="","",_xlfn.XLOOKUP($A280,'3-TECHNICAL TABULATION'!$A:$A,'3-TECHNICAL TABULATION'!B:B)),"")</f>
        <v/>
      </c>
      <c r="C280" s="47"/>
      <c r="D280" s="37"/>
    </row>
    <row r="281" spans="1:4" x14ac:dyDescent="0.25">
      <c r="A281" s="35"/>
      <c r="B281" s="58" t="str">
        <f>IFERROR(IF(_xlfn.XLOOKUP($A281,'3-TECHNICAL TABULATION'!$A:$A,'3-TECHNICAL TABULATION'!B:B)="","",_xlfn.XLOOKUP($A281,'3-TECHNICAL TABULATION'!$A:$A,'3-TECHNICAL TABULATION'!B:B)),"")</f>
        <v/>
      </c>
      <c r="C281" s="47"/>
      <c r="D281" s="37"/>
    </row>
    <row r="282" spans="1:4" x14ac:dyDescent="0.25">
      <c r="A282" s="35"/>
      <c r="B282" s="58" t="str">
        <f>IFERROR(IF(_xlfn.XLOOKUP($A282,'3-TECHNICAL TABULATION'!$A:$A,'3-TECHNICAL TABULATION'!B:B)="","",_xlfn.XLOOKUP($A282,'3-TECHNICAL TABULATION'!$A:$A,'3-TECHNICAL TABULATION'!B:B)),"")</f>
        <v/>
      </c>
      <c r="C282" s="47"/>
      <c r="D282" s="37"/>
    </row>
    <row r="283" spans="1:4" x14ac:dyDescent="0.25">
      <c r="A283" s="35"/>
      <c r="B283" s="58" t="str">
        <f>IFERROR(IF(_xlfn.XLOOKUP($A283,'3-TECHNICAL TABULATION'!$A:$A,'3-TECHNICAL TABULATION'!B:B)="","",_xlfn.XLOOKUP($A283,'3-TECHNICAL TABULATION'!$A:$A,'3-TECHNICAL TABULATION'!B:B)),"")</f>
        <v/>
      </c>
      <c r="C283" s="47"/>
      <c r="D283" s="37"/>
    </row>
    <row r="284" spans="1:4" x14ac:dyDescent="0.25">
      <c r="A284" s="35"/>
      <c r="B284" s="58" t="str">
        <f>IFERROR(IF(_xlfn.XLOOKUP($A284,'3-TECHNICAL TABULATION'!$A:$A,'3-TECHNICAL TABULATION'!B:B)="","",_xlfn.XLOOKUP($A284,'3-TECHNICAL TABULATION'!$A:$A,'3-TECHNICAL TABULATION'!B:B)),"")</f>
        <v/>
      </c>
      <c r="C284" s="47"/>
      <c r="D284" s="37"/>
    </row>
    <row r="285" spans="1:4" x14ac:dyDescent="0.25">
      <c r="A285" s="35"/>
      <c r="B285" s="58" t="str">
        <f>IFERROR(IF(_xlfn.XLOOKUP($A285,'3-TECHNICAL TABULATION'!$A:$A,'3-TECHNICAL TABULATION'!B:B)="","",_xlfn.XLOOKUP($A285,'3-TECHNICAL TABULATION'!$A:$A,'3-TECHNICAL TABULATION'!B:B)),"")</f>
        <v/>
      </c>
      <c r="C285" s="47"/>
      <c r="D285" s="37"/>
    </row>
    <row r="286" spans="1:4" x14ac:dyDescent="0.25">
      <c r="A286" s="35"/>
      <c r="B286" s="58" t="str">
        <f>IFERROR(IF(_xlfn.XLOOKUP($A286,'3-TECHNICAL TABULATION'!$A:$A,'3-TECHNICAL TABULATION'!B:B)="","",_xlfn.XLOOKUP($A286,'3-TECHNICAL TABULATION'!$A:$A,'3-TECHNICAL TABULATION'!B:B)),"")</f>
        <v/>
      </c>
      <c r="C286" s="47"/>
      <c r="D286" s="37"/>
    </row>
    <row r="287" spans="1:4" x14ac:dyDescent="0.25">
      <c r="A287" s="35"/>
      <c r="B287" s="58" t="str">
        <f>IFERROR(IF(_xlfn.XLOOKUP($A287,'3-TECHNICAL TABULATION'!$A:$A,'3-TECHNICAL TABULATION'!B:B)="","",_xlfn.XLOOKUP($A287,'3-TECHNICAL TABULATION'!$A:$A,'3-TECHNICAL TABULATION'!B:B)),"")</f>
        <v/>
      </c>
      <c r="C287" s="47"/>
      <c r="D287" s="37"/>
    </row>
    <row r="288" spans="1:4" x14ac:dyDescent="0.25">
      <c r="A288" s="35"/>
      <c r="B288" s="58" t="str">
        <f>IFERROR(IF(_xlfn.XLOOKUP($A288,'3-TECHNICAL TABULATION'!$A:$A,'3-TECHNICAL TABULATION'!B:B)="","",_xlfn.XLOOKUP($A288,'3-TECHNICAL TABULATION'!$A:$A,'3-TECHNICAL TABULATION'!B:B)),"")</f>
        <v/>
      </c>
      <c r="C288" s="47"/>
      <c r="D288" s="37"/>
    </row>
    <row r="289" spans="1:4" x14ac:dyDescent="0.25">
      <c r="A289" s="35"/>
      <c r="B289" s="58" t="str">
        <f>IFERROR(IF(_xlfn.XLOOKUP($A289,'3-TECHNICAL TABULATION'!$A:$A,'3-TECHNICAL TABULATION'!B:B)="","",_xlfn.XLOOKUP($A289,'3-TECHNICAL TABULATION'!$A:$A,'3-TECHNICAL TABULATION'!B:B)),"")</f>
        <v/>
      </c>
      <c r="C289" s="47"/>
      <c r="D289" s="37"/>
    </row>
    <row r="290" spans="1:4" x14ac:dyDescent="0.25">
      <c r="A290" s="35"/>
      <c r="B290" s="58" t="str">
        <f>IFERROR(IF(_xlfn.XLOOKUP($A290,'3-TECHNICAL TABULATION'!$A:$A,'3-TECHNICAL TABULATION'!B:B)="","",_xlfn.XLOOKUP($A290,'3-TECHNICAL TABULATION'!$A:$A,'3-TECHNICAL TABULATION'!B:B)),"")</f>
        <v/>
      </c>
      <c r="C290" s="47"/>
      <c r="D290" s="37"/>
    </row>
    <row r="291" spans="1:4" x14ac:dyDescent="0.25">
      <c r="A291" s="35"/>
      <c r="B291" s="58" t="str">
        <f>IFERROR(IF(_xlfn.XLOOKUP($A291,'3-TECHNICAL TABULATION'!$A:$A,'3-TECHNICAL TABULATION'!B:B)="","",_xlfn.XLOOKUP($A291,'3-TECHNICAL TABULATION'!$A:$A,'3-TECHNICAL TABULATION'!B:B)),"")</f>
        <v/>
      </c>
      <c r="C291" s="47"/>
      <c r="D291" s="37"/>
    </row>
    <row r="292" spans="1:4" x14ac:dyDescent="0.25">
      <c r="A292" s="35"/>
      <c r="B292" s="58" t="str">
        <f>IFERROR(IF(_xlfn.XLOOKUP($A292,'3-TECHNICAL TABULATION'!$A:$A,'3-TECHNICAL TABULATION'!B:B)="","",_xlfn.XLOOKUP($A292,'3-TECHNICAL TABULATION'!$A:$A,'3-TECHNICAL TABULATION'!B:B)),"")</f>
        <v/>
      </c>
      <c r="C292" s="47"/>
      <c r="D292" s="37"/>
    </row>
    <row r="293" spans="1:4" x14ac:dyDescent="0.25">
      <c r="A293" s="35"/>
      <c r="B293" s="58" t="str">
        <f>IFERROR(IF(_xlfn.XLOOKUP($A293,'3-TECHNICAL TABULATION'!$A:$A,'3-TECHNICAL TABULATION'!B:B)="","",_xlfn.XLOOKUP($A293,'3-TECHNICAL TABULATION'!$A:$A,'3-TECHNICAL TABULATION'!B:B)),"")</f>
        <v/>
      </c>
      <c r="C293" s="47"/>
      <c r="D293" s="37"/>
    </row>
    <row r="294" spans="1:4" x14ac:dyDescent="0.25">
      <c r="A294" s="35"/>
      <c r="B294" s="58" t="str">
        <f>IFERROR(IF(_xlfn.XLOOKUP($A294,'3-TECHNICAL TABULATION'!$A:$A,'3-TECHNICAL TABULATION'!B:B)="","",_xlfn.XLOOKUP($A294,'3-TECHNICAL TABULATION'!$A:$A,'3-TECHNICAL TABULATION'!B:B)),"")</f>
        <v/>
      </c>
      <c r="C294" s="47"/>
      <c r="D294" s="37"/>
    </row>
    <row r="295" spans="1:4" x14ac:dyDescent="0.25">
      <c r="A295" s="35"/>
      <c r="B295" s="58" t="str">
        <f>IFERROR(IF(_xlfn.XLOOKUP($A295,'3-TECHNICAL TABULATION'!$A:$A,'3-TECHNICAL TABULATION'!B:B)="","",_xlfn.XLOOKUP($A295,'3-TECHNICAL TABULATION'!$A:$A,'3-TECHNICAL TABULATION'!B:B)),"")</f>
        <v/>
      </c>
      <c r="C295" s="47"/>
      <c r="D295" s="37"/>
    </row>
    <row r="296" spans="1:4" x14ac:dyDescent="0.25">
      <c r="A296" s="35"/>
      <c r="B296" s="58" t="str">
        <f>IFERROR(IF(_xlfn.XLOOKUP($A296,'3-TECHNICAL TABULATION'!$A:$A,'3-TECHNICAL TABULATION'!B:B)="","",_xlfn.XLOOKUP($A296,'3-TECHNICAL TABULATION'!$A:$A,'3-TECHNICAL TABULATION'!B:B)),"")</f>
        <v/>
      </c>
      <c r="C296" s="47"/>
      <c r="D296" s="37"/>
    </row>
    <row r="297" spans="1:4" x14ac:dyDescent="0.25">
      <c r="A297" s="35"/>
      <c r="B297" s="58" t="str">
        <f>IFERROR(IF(_xlfn.XLOOKUP($A297,'3-TECHNICAL TABULATION'!$A:$A,'3-TECHNICAL TABULATION'!B:B)="","",_xlfn.XLOOKUP($A297,'3-TECHNICAL TABULATION'!$A:$A,'3-TECHNICAL TABULATION'!B:B)),"")</f>
        <v/>
      </c>
      <c r="C297" s="47"/>
      <c r="D297" s="37"/>
    </row>
    <row r="298" spans="1:4" x14ac:dyDescent="0.25">
      <c r="A298" s="35"/>
      <c r="B298" s="58" t="str">
        <f>IFERROR(IF(_xlfn.XLOOKUP($A298,'3-TECHNICAL TABULATION'!$A:$A,'3-TECHNICAL TABULATION'!B:B)="","",_xlfn.XLOOKUP($A298,'3-TECHNICAL TABULATION'!$A:$A,'3-TECHNICAL TABULATION'!B:B)),"")</f>
        <v/>
      </c>
      <c r="C298" s="47"/>
      <c r="D298" s="37"/>
    </row>
    <row r="299" spans="1:4" x14ac:dyDescent="0.25">
      <c r="A299" s="35"/>
      <c r="B299" s="58" t="str">
        <f>IFERROR(IF(_xlfn.XLOOKUP($A299,'3-TECHNICAL TABULATION'!$A:$A,'3-TECHNICAL TABULATION'!B:B)="","",_xlfn.XLOOKUP($A299,'3-TECHNICAL TABULATION'!$A:$A,'3-TECHNICAL TABULATION'!B:B)),"")</f>
        <v/>
      </c>
      <c r="C299" s="47"/>
      <c r="D299" s="37"/>
    </row>
    <row r="300" spans="1:4" x14ac:dyDescent="0.25">
      <c r="A300" s="35"/>
      <c r="B300" s="58" t="str">
        <f>IFERROR(IF(_xlfn.XLOOKUP($A300,'3-TECHNICAL TABULATION'!$A:$A,'3-TECHNICAL TABULATION'!B:B)="","",_xlfn.XLOOKUP($A300,'3-TECHNICAL TABULATION'!$A:$A,'3-TECHNICAL TABULATION'!B:B)),"")</f>
        <v/>
      </c>
      <c r="C300" s="47"/>
      <c r="D300" s="37"/>
    </row>
    <row r="301" spans="1:4" x14ac:dyDescent="0.25">
      <c r="A301" s="35"/>
      <c r="B301" s="58" t="str">
        <f>IFERROR(IF(_xlfn.XLOOKUP($A301,'3-TECHNICAL TABULATION'!$A:$A,'3-TECHNICAL TABULATION'!B:B)="","",_xlfn.XLOOKUP($A301,'3-TECHNICAL TABULATION'!$A:$A,'3-TECHNICAL TABULATION'!B:B)),"")</f>
        <v/>
      </c>
      <c r="C301" s="47"/>
      <c r="D301" s="37"/>
    </row>
    <row r="302" spans="1:4" x14ac:dyDescent="0.25">
      <c r="A302" s="35"/>
      <c r="B302" s="58" t="str">
        <f>IFERROR(IF(_xlfn.XLOOKUP($A302,'3-TECHNICAL TABULATION'!$A:$A,'3-TECHNICAL TABULATION'!B:B)="","",_xlfn.XLOOKUP($A302,'3-TECHNICAL TABULATION'!$A:$A,'3-TECHNICAL TABULATION'!B:B)),"")</f>
        <v/>
      </c>
      <c r="C302" s="47"/>
      <c r="D302" s="37"/>
    </row>
    <row r="303" spans="1:4" x14ac:dyDescent="0.25">
      <c r="A303" s="35"/>
      <c r="B303" s="58" t="str">
        <f>IFERROR(IF(_xlfn.XLOOKUP($A303,'3-TECHNICAL TABULATION'!$A:$A,'3-TECHNICAL TABULATION'!B:B)="","",_xlfn.XLOOKUP($A303,'3-TECHNICAL TABULATION'!$A:$A,'3-TECHNICAL TABULATION'!B:B)),"")</f>
        <v/>
      </c>
      <c r="C303" s="47"/>
      <c r="D303" s="37"/>
    </row>
    <row r="304" spans="1:4" x14ac:dyDescent="0.25">
      <c r="A304" s="35"/>
      <c r="B304" s="58" t="str">
        <f>IFERROR(IF(_xlfn.XLOOKUP($A304,'3-TECHNICAL TABULATION'!$A:$A,'3-TECHNICAL TABULATION'!B:B)="","",_xlfn.XLOOKUP($A304,'3-TECHNICAL TABULATION'!$A:$A,'3-TECHNICAL TABULATION'!B:B)),"")</f>
        <v/>
      </c>
      <c r="C304" s="47"/>
      <c r="D304" s="37"/>
    </row>
    <row r="305" spans="1:4" x14ac:dyDescent="0.25">
      <c r="A305" s="35"/>
      <c r="B305" s="58" t="str">
        <f>IFERROR(IF(_xlfn.XLOOKUP($A305,'3-TECHNICAL TABULATION'!$A:$A,'3-TECHNICAL TABULATION'!B:B)="","",_xlfn.XLOOKUP($A305,'3-TECHNICAL TABULATION'!$A:$A,'3-TECHNICAL TABULATION'!B:B)),"")</f>
        <v/>
      </c>
      <c r="C305" s="47"/>
      <c r="D305" s="37"/>
    </row>
    <row r="306" spans="1:4" x14ac:dyDescent="0.25">
      <c r="A306" s="35"/>
      <c r="B306" s="58" t="str">
        <f>IFERROR(IF(_xlfn.XLOOKUP($A306,'3-TECHNICAL TABULATION'!$A:$A,'3-TECHNICAL TABULATION'!B:B)="","",_xlfn.XLOOKUP($A306,'3-TECHNICAL TABULATION'!$A:$A,'3-TECHNICAL TABULATION'!B:B)),"")</f>
        <v/>
      </c>
      <c r="C306" s="47"/>
      <c r="D306" s="37"/>
    </row>
    <row r="307" spans="1:4" x14ac:dyDescent="0.25">
      <c r="A307" s="35"/>
      <c r="B307" s="58" t="str">
        <f>IFERROR(IF(_xlfn.XLOOKUP($A307,'3-TECHNICAL TABULATION'!$A:$A,'3-TECHNICAL TABULATION'!B:B)="","",_xlfn.XLOOKUP($A307,'3-TECHNICAL TABULATION'!$A:$A,'3-TECHNICAL TABULATION'!B:B)),"")</f>
        <v/>
      </c>
      <c r="C307" s="47"/>
      <c r="D307" s="37"/>
    </row>
    <row r="308" spans="1:4" x14ac:dyDescent="0.25">
      <c r="A308" s="35"/>
      <c r="B308" s="58" t="str">
        <f>IFERROR(IF(_xlfn.XLOOKUP($A308,'3-TECHNICAL TABULATION'!$A:$A,'3-TECHNICAL TABULATION'!B:B)="","",_xlfn.XLOOKUP($A308,'3-TECHNICAL TABULATION'!$A:$A,'3-TECHNICAL TABULATION'!B:B)),"")</f>
        <v/>
      </c>
      <c r="C308" s="47"/>
      <c r="D308" s="37"/>
    </row>
    <row r="309" spans="1:4" x14ac:dyDescent="0.25">
      <c r="A309" s="35"/>
      <c r="B309" s="58" t="str">
        <f>IFERROR(IF(_xlfn.XLOOKUP($A309,'3-TECHNICAL TABULATION'!$A:$A,'3-TECHNICAL TABULATION'!B:B)="","",_xlfn.XLOOKUP($A309,'3-TECHNICAL TABULATION'!$A:$A,'3-TECHNICAL TABULATION'!B:B)),"")</f>
        <v/>
      </c>
      <c r="C309" s="47"/>
      <c r="D309" s="37"/>
    </row>
    <row r="310" spans="1:4" x14ac:dyDescent="0.25">
      <c r="A310" s="35"/>
      <c r="B310" s="58" t="str">
        <f>IFERROR(IF(_xlfn.XLOOKUP($A310,'3-TECHNICAL TABULATION'!$A:$A,'3-TECHNICAL TABULATION'!B:B)="","",_xlfn.XLOOKUP($A310,'3-TECHNICAL TABULATION'!$A:$A,'3-TECHNICAL TABULATION'!B:B)),"")</f>
        <v/>
      </c>
      <c r="C310" s="47"/>
      <c r="D310" s="37"/>
    </row>
    <row r="311" spans="1:4" x14ac:dyDescent="0.25">
      <c r="A311" s="35"/>
      <c r="B311" s="58" t="str">
        <f>IFERROR(IF(_xlfn.XLOOKUP($A311,'3-TECHNICAL TABULATION'!$A:$A,'3-TECHNICAL TABULATION'!B:B)="","",_xlfn.XLOOKUP($A311,'3-TECHNICAL TABULATION'!$A:$A,'3-TECHNICAL TABULATION'!B:B)),"")</f>
        <v/>
      </c>
      <c r="C311" s="47"/>
      <c r="D311" s="37"/>
    </row>
    <row r="312" spans="1:4" x14ac:dyDescent="0.25">
      <c r="A312" s="35"/>
      <c r="B312" s="58" t="str">
        <f>IFERROR(IF(_xlfn.XLOOKUP($A312,'3-TECHNICAL TABULATION'!$A:$A,'3-TECHNICAL TABULATION'!B:B)="","",_xlfn.XLOOKUP($A312,'3-TECHNICAL TABULATION'!$A:$A,'3-TECHNICAL TABULATION'!B:B)),"")</f>
        <v/>
      </c>
      <c r="C312" s="47"/>
      <c r="D312" s="37"/>
    </row>
    <row r="313" spans="1:4" x14ac:dyDescent="0.25">
      <c r="A313" s="35"/>
      <c r="B313" s="58" t="str">
        <f>IFERROR(IF(_xlfn.XLOOKUP($A313,'3-TECHNICAL TABULATION'!$A:$A,'3-TECHNICAL TABULATION'!B:B)="","",_xlfn.XLOOKUP($A313,'3-TECHNICAL TABULATION'!$A:$A,'3-TECHNICAL TABULATION'!B:B)),"")</f>
        <v/>
      </c>
      <c r="C313" s="47"/>
      <c r="D313" s="37"/>
    </row>
    <row r="314" spans="1:4" x14ac:dyDescent="0.25">
      <c r="A314" s="35"/>
      <c r="B314" s="58" t="str">
        <f>IFERROR(IF(_xlfn.XLOOKUP($A314,'3-TECHNICAL TABULATION'!$A:$A,'3-TECHNICAL TABULATION'!B:B)="","",_xlfn.XLOOKUP($A314,'3-TECHNICAL TABULATION'!$A:$A,'3-TECHNICAL TABULATION'!B:B)),"")</f>
        <v/>
      </c>
      <c r="C314" s="47"/>
      <c r="D314" s="37"/>
    </row>
    <row r="315" spans="1:4" x14ac:dyDescent="0.25">
      <c r="A315" s="35"/>
      <c r="B315" s="58" t="str">
        <f>IFERROR(IF(_xlfn.XLOOKUP($A315,'3-TECHNICAL TABULATION'!$A:$A,'3-TECHNICAL TABULATION'!B:B)="","",_xlfn.XLOOKUP($A315,'3-TECHNICAL TABULATION'!$A:$A,'3-TECHNICAL TABULATION'!B:B)),"")</f>
        <v/>
      </c>
      <c r="C315" s="47"/>
      <c r="D315" s="37"/>
    </row>
    <row r="316" spans="1:4" x14ac:dyDescent="0.25">
      <c r="A316" s="35"/>
      <c r="B316" s="58" t="str">
        <f>IFERROR(IF(_xlfn.XLOOKUP($A316,'3-TECHNICAL TABULATION'!$A:$A,'3-TECHNICAL TABULATION'!B:B)="","",_xlfn.XLOOKUP($A316,'3-TECHNICAL TABULATION'!$A:$A,'3-TECHNICAL TABULATION'!B:B)),"")</f>
        <v/>
      </c>
      <c r="C316" s="47"/>
      <c r="D316" s="37"/>
    </row>
    <row r="317" spans="1:4" x14ac:dyDescent="0.25">
      <c r="A317" s="35"/>
      <c r="B317" s="58" t="str">
        <f>IFERROR(IF(_xlfn.XLOOKUP($A317,'3-TECHNICAL TABULATION'!$A:$A,'3-TECHNICAL TABULATION'!B:B)="","",_xlfn.XLOOKUP($A317,'3-TECHNICAL TABULATION'!$A:$A,'3-TECHNICAL TABULATION'!B:B)),"")</f>
        <v/>
      </c>
      <c r="C317" s="47"/>
      <c r="D317" s="37"/>
    </row>
    <row r="318" spans="1:4" x14ac:dyDescent="0.25">
      <c r="A318" s="35"/>
      <c r="B318" s="58" t="str">
        <f>IFERROR(IF(_xlfn.XLOOKUP($A318,'3-TECHNICAL TABULATION'!$A:$A,'3-TECHNICAL TABULATION'!B:B)="","",_xlfn.XLOOKUP($A318,'3-TECHNICAL TABULATION'!$A:$A,'3-TECHNICAL TABULATION'!B:B)),"")</f>
        <v/>
      </c>
      <c r="C318" s="47"/>
      <c r="D318" s="37"/>
    </row>
    <row r="319" spans="1:4" ht="15.75" thickBot="1" x14ac:dyDescent="0.3">
      <c r="A319" s="36"/>
      <c r="B319" s="59" t="str">
        <f>IFERROR(IF(_xlfn.XLOOKUP($A319,'3-TECHNICAL TABULATION'!$A:$A,'3-TECHNICAL TABULATION'!B:B)="","",_xlfn.XLOOKUP($A319,'3-TECHNICAL TABULATION'!$A:$A,'3-TECHNICAL TABULATION'!B:B)),"")</f>
        <v/>
      </c>
      <c r="C319" s="48"/>
      <c r="D319" s="49"/>
    </row>
  </sheetData>
  <sheetProtection algorithmName="SHA-512" hashValue="Qny8NTHJ5xk498oU8vCrz5QURO4vie5SBlMnLDcV/qrmXezebgcPElF/u1Nqf4G+GmqulZs7l9GrvNyuOku/sg==" saltValue="PLnJ7krhoTxvJSJZjNIiEw==" spinCount="100000" sheet="1" objects="1" scenarios="1" formatCells="0" formatColumns="0" formatRows="0" autoFilter="0"/>
  <autoFilter ref="A8:A319" xr:uid="{21E10C7E-3BEE-452D-836A-D86E276B94DF}"/>
  <mergeCells count="10">
    <mergeCell ref="A1:B1"/>
    <mergeCell ref="C1:D3"/>
    <mergeCell ref="A2:B2"/>
    <mergeCell ref="A3:B3"/>
    <mergeCell ref="A4:B4"/>
    <mergeCell ref="A5:B5"/>
    <mergeCell ref="A6:B6"/>
    <mergeCell ref="C4:D4"/>
    <mergeCell ref="C5:C6"/>
    <mergeCell ref="D5:D6"/>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FF5BB9810E8454BA2B38D00B6D18848" ma:contentTypeVersion="3" ma:contentTypeDescription="Creare un nuovo documento." ma:contentTypeScope="" ma:versionID="85968c8a5930af966cb491cc87274750">
  <xsd:schema xmlns:xsd="http://www.w3.org/2001/XMLSchema" xmlns:xs="http://www.w3.org/2001/XMLSchema" xmlns:p="http://schemas.microsoft.com/office/2006/metadata/properties" xmlns:ns2="427a1db5-2437-44f3-a84b-464aead4a71a" targetNamespace="http://schemas.microsoft.com/office/2006/metadata/properties" ma:root="true" ma:fieldsID="d822db9e2d05bc620d08fbffa4bfffa8" ns2:_="">
    <xsd:import namespace="427a1db5-2437-44f3-a84b-464aead4a7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a1db5-2437-44f3-a84b-464aead4a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CE30FD-63E1-406D-8C1E-E8AFB8FA1A43}"/>
</file>

<file path=customXml/itemProps2.xml><?xml version="1.0" encoding="utf-8"?>
<ds:datastoreItem xmlns:ds="http://schemas.openxmlformats.org/officeDocument/2006/customXml" ds:itemID="{8B2B585A-689B-41DA-AFC9-C895EF7C62A2}"/>
</file>

<file path=customXml/itemProps3.xml><?xml version="1.0" encoding="utf-8"?>
<ds:datastoreItem xmlns:ds="http://schemas.openxmlformats.org/officeDocument/2006/customXml" ds:itemID="{E8B3A886-2050-4507-B616-0D5DC2288532}"/>
</file>

<file path=docMetadata/LabelInfo.xml><?xml version="1.0" encoding="utf-8"?>
<clbl:labelList xmlns:clbl="http://schemas.microsoft.com/office/2020/mipLabelMetadata">
  <clbl:label id="{ac69433e-9fbc-4566-9c7b-2629ed8b780f}" enabled="0" method="" siteId="{ac69433e-9fbc-4566-9c7b-2629ed8b780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vt:i4>
      </vt:variant>
      <vt:variant>
        <vt:lpstr>Intervalli denominati</vt:lpstr>
      </vt:variant>
      <vt:variant>
        <vt:i4>1</vt:i4>
      </vt:variant>
    </vt:vector>
  </HeadingPairs>
  <TitlesOfParts>
    <vt:vector size="8" baseType="lpstr">
      <vt:lpstr>MOD.504 info</vt:lpstr>
      <vt:lpstr>1-START</vt:lpstr>
      <vt:lpstr>2-SCOPE SUMMARY</vt:lpstr>
      <vt:lpstr>3-TECHNICAL TABULATION</vt:lpstr>
      <vt:lpstr>4-Technical Review</vt:lpstr>
      <vt:lpstr>5-Job Report</vt:lpstr>
      <vt:lpstr>6-Pump configuration</vt:lpstr>
      <vt:lpstr>'1-START'!Area_stampa</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Matteo Toselli</dc:creator>
  <cp:keywords/>
  <dc:description/>
  <cp:lastModifiedBy>Tommaso Morelli Stefani</cp:lastModifiedBy>
  <cp:revision/>
  <dcterms:created xsi:type="dcterms:W3CDTF">2019-09-20T16:14:04Z</dcterms:created>
  <dcterms:modified xsi:type="dcterms:W3CDTF">2025-05-20T12:47:22Z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0x0101003FF5BB9810E8454BA2B38D00B6D18848</vt:lpwstr>
  </property>
</Properties>
</file>