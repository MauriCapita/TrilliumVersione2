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110453\Downloads\"/>
    </mc:Choice>
  </mc:AlternateContent>
  <xr:revisionPtr revIDLastSave="0" documentId="13_ncr:1_{4381868B-0989-419B-9D8D-E88E70F44F12}" xr6:coauthVersionLast="47" xr6:coauthVersionMax="47" xr10:uidLastSave="{00000000-0000-0000-0000-000000000000}"/>
  <bookViews>
    <workbookView xWindow="-120" yWindow="-120" windowWidth="19440" windowHeight="14880" xr2:uid="{68B2E326-5770-4F5D-8396-00ACEF92D5BB}"/>
  </bookViews>
  <sheets>
    <sheet name="Cover" sheetId="3" r:id="rId1"/>
    <sheet name="BB5" sheetId="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bga2">#REF!</definedName>
    <definedName name="a">#REF!</definedName>
    <definedName name="Ac">#REF!</definedName>
    <definedName name="adsv">#REF!</definedName>
    <definedName name="_xlnm.Print_Area" localSheetId="0">Cover!$A$1:$AD$48</definedName>
    <definedName name="asdfg">[1]DAF!$F$17:$F$20</definedName>
    <definedName name="bga">#REF!</definedName>
    <definedName name="bp">#REF!</definedName>
    <definedName name="CK">#REF!</definedName>
    <definedName name="d">#REF!</definedName>
    <definedName name="das">#REF!</definedName>
    <definedName name="ddd">'[2]From RPI'!$AB$90</definedName>
    <definedName name="Doc_type">#REF!</definedName>
    <definedName name="DOCID">[3]listes!$C$2:$C$150</definedName>
    <definedName name="dpt_code">#REF!</definedName>
    <definedName name="EQPT_LIST_UNIT_31">#REF!</definedName>
    <definedName name="FACTORS">#REF!</definedName>
    <definedName name="fm">#REF!</definedName>
    <definedName name="Impeller_Eye_Area" localSheetId="0">#REF!</definedName>
    <definedName name="Impeller_Eye_Area">#REF!</definedName>
    <definedName name="Impeller_Eye_Diameter" localSheetId="0">#REF!</definedName>
    <definedName name="Impeller_Eye_Diameter">#REF!</definedName>
    <definedName name="Impeller_Hub_Diameter" localSheetId="0">#REF!</definedName>
    <definedName name="Impeller_Hub_Diameter">#REF!</definedName>
    <definedName name="Impeller_Inlet_Diameter" localSheetId="0">#REF!</definedName>
    <definedName name="Impeller_Inlet_Diameter">#REF!</definedName>
    <definedName name="INT_DIAM">#REF!</definedName>
    <definedName name="kl">#REF!</definedName>
    <definedName name="KR">#REF!</definedName>
    <definedName name="Language">#REF!</definedName>
    <definedName name="Larghezza">#REF!</definedName>
    <definedName name="LENGHTS">#REF!</definedName>
    <definedName name="LINE_LIST_UNIT_31">#REF!</definedName>
    <definedName name="Number">#REF!</definedName>
    <definedName name="pipesize">#REF!</definedName>
    <definedName name="Portata">#REF!</definedName>
    <definedName name="portatacalcolo">'[4]Basi di progetto'!$D$16</definedName>
    <definedName name="portataminima">'[4]Basi di progetto'!$D$10</definedName>
    <definedName name="portatanera">'[4]Basi di progetto'!$D$14</definedName>
    <definedName name="portcalcolo">#REF!</definedName>
    <definedName name="portnera">#REF!</definedName>
    <definedName name="Print_Area_MI">#REF!</definedName>
    <definedName name="prtpioggia">'[4]Basi di progetto'!$D$12</definedName>
    <definedName name="pump">#REF!</definedName>
    <definedName name="PUMPCALC">'[5]PUMP CALCULATION'!$J$4</definedName>
    <definedName name="PUMPDATA">'[5]PUMP CALCULATION'!$J$12</definedName>
    <definedName name="q">#REF!</definedName>
    <definedName name="references">#REF!</definedName>
    <definedName name="rev">#REF!</definedName>
    <definedName name="RevTable">#REF!</definedName>
    <definedName name="Rgas">#REF!</definedName>
    <definedName name="rhokl">#REF!</definedName>
    <definedName name="ROUGHNESS">#REF!</definedName>
    <definedName name="s">'[2]From RPI'!$AB$88</definedName>
    <definedName name="solub">#REF!</definedName>
    <definedName name="Suction_Diameter" localSheetId="0">#REF!</definedName>
    <definedName name="Suction_Diameter">#REF!</definedName>
    <definedName name="Sup">#REF!</definedName>
    <definedName name="title">#REF!</definedName>
    <definedName name="uh">#REF!</definedName>
    <definedName name="UNIT">[3]listes!$D$2:$D$150</definedName>
    <definedName name="Unit_number">#REF!</definedName>
    <definedName name="units">#REF!</definedName>
    <definedName name="velocita_di_progetto">#REF!</definedName>
    <definedName name="velocità_di_progetto">#REF!</definedName>
    <definedName name="velocitamassima">#REF!</definedName>
    <definedName name="velocitaminima">#REF!</definedName>
    <definedName name="VH">#REF!</definedName>
    <definedName name="vt">#REF!</definedName>
    <definedName name="WC">[3]listes!$A$2:$A$25</definedName>
    <definedName name="work_cent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4" l="1"/>
  <c r="W18" i="4"/>
  <c r="T18" i="4"/>
  <c r="Z18" i="4" s="1"/>
  <c r="Z17" i="4"/>
  <c r="Y17" i="4"/>
  <c r="W17" i="4"/>
  <c r="T17" i="4"/>
  <c r="X17" i="4" s="1"/>
  <c r="Z16" i="4"/>
  <c r="Y16" i="4"/>
  <c r="W16" i="4"/>
  <c r="T16" i="4"/>
  <c r="X16" i="4" s="1"/>
  <c r="Y15" i="4"/>
  <c r="W15" i="4"/>
  <c r="T15" i="4"/>
  <c r="X15" i="4" s="1"/>
  <c r="Y14" i="4"/>
  <c r="W14" i="4"/>
  <c r="T14" i="4"/>
  <c r="Z14" i="4" s="1"/>
  <c r="Z13" i="4"/>
  <c r="Y13" i="4"/>
  <c r="T13" i="4"/>
  <c r="X13" i="4" s="1"/>
  <c r="Z12" i="4"/>
  <c r="Y12" i="4"/>
  <c r="X12" i="4"/>
  <c r="T12" i="4"/>
  <c r="Y11" i="4"/>
  <c r="T11" i="4"/>
  <c r="X11" i="4" s="1"/>
  <c r="Z10" i="4"/>
  <c r="Y10" i="4"/>
  <c r="X10" i="4"/>
  <c r="T10" i="4"/>
  <c r="Z9" i="4"/>
  <c r="Y9" i="4"/>
  <c r="X9" i="4"/>
  <c r="S9" i="4"/>
  <c r="Z8" i="4"/>
  <c r="Y8" i="4"/>
  <c r="X8" i="4"/>
  <c r="Z7" i="4"/>
  <c r="Y7" i="4"/>
  <c r="X7" i="4"/>
  <c r="Z6" i="4"/>
  <c r="Y6" i="4"/>
  <c r="X6" i="4"/>
  <c r="Z5" i="4"/>
  <c r="Y5" i="4"/>
  <c r="X5" i="4"/>
  <c r="Z4" i="4"/>
  <c r="Y4" i="4"/>
  <c r="X4" i="4"/>
  <c r="Z3" i="4"/>
  <c r="Y3" i="4"/>
  <c r="X3" i="4"/>
  <c r="Z2" i="4"/>
  <c r="Y2" i="4"/>
  <c r="X2" i="4"/>
  <c r="Z15" i="4" l="1"/>
  <c r="Z11" i="4"/>
  <c r="X18" i="4"/>
  <c r="X14" i="4"/>
  <c r="B1" i="4" a="1"/>
  <c r="B1" i="4" l="1"/>
  <c r="O5" i="4" a="1"/>
  <c r="O5" i="4" l="1"/>
  <c r="P5" i="4" s="1" a="1"/>
  <c r="P5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matplotlib.patches import Ellipse
# database from cells
df = xl(%P2%, headers = True)
# show grid lines
plt.grid(True,linestyle="dotted")
# plot dashed lines
plt.plot(df['n'],df['rho1'], color = 'black', linewidth = 0.5, linestyle="dashdot")
plt.plot(df['n'][5:],df['rho2'][5:], color = 'black', linewidth = 0.5, linestyle="dashdot")
plt.plot(df['n'][9:],df['rho3'][9:], color = 'black', linewidth = 0.5, linestyle="dashdot")
plt.plot(df['n'],df['rho4'], color = 'black', linewidth = 0.5, linestyle="dashdot")
# plot axes labels
plt.xlabel('number of stages [-]')
plt.ylabel('fluid density [kg/m$^3$]')
# add text to the graph
plt.text(4, 710, 'no swirl brakes', fontsize=8, color='grey')
plt.text(4, 660, 'radial bores for in line pumps\nslots for back to back pump', fontsize=8, color='grey')
plt.text(12.2, 580, 'radial slots', fontsize=8, color='grey')
plt.text(12.2, 550, 'radial bores', fontsize=8, color='grey')
plt.text(11.75, 750, 'BACK TO BACK', fontsize=14, color='red')
plt.text(4.5, 900, 'IN-LINE', fontsize=14, color='blue')
# define limits for x and y axes and thicks
plt.xlim(2.8,16.2)
plt.ylim(450,max(1025,xl(%P3%)+25))
plt.xticks(range(3,17))
plt.yticks(range(450,max(1025,xl(%P4%)+25),50))
# fill between lines
plt.fill_between(df['n'][0:8],df['rho1'][0:8],df['rho4'][0:8],color = 'cyan',alpha=0.2)
plt.fill_between(df['n'][7:17],df['rho1'][7:17],df['rho4'][7:17],color = 'bisque',alpha=0.2)
plt.fill_between(df['n'][6:17],df['rho6'][6:17],df['rho5'][6:17],color = 'coral',alpha=0.2)
plt.fill_between(df['n'][6:17],df['rho2'][6:17],df['rho3'][6:17],color = 'orange',alpha=0.2)
plt.fill_between(df['n'][0:17],df['rho7'][0:17],df['rho8'][0:17],color = 'aquamarine',alpha=0.2)
# plot marker (red cross)
plt.plot(xl(%P5%),xl(%P6%),marker = "x", color = 'red',markersize = 10.0,markeredgewidth = 3.0)
# plot ellipse
ax = plt.gca()
ellipse1 = Ellipse(xy=(6, 850), width=1, height=50,edgecolor='steelblue', facecolor='steelblue', lw=1,alpha=0.5)
ax.add_patch(ellipse1)
plt.text(5.72, 843, '1-1', fontsize=10, color='w')
ellipse2 = Ellipse(xy=(5.5, 575), width=1, height=50,edgecolor='steelblue', facecolor='steelblue', lw=1,alpha=0.5)
ax.add_patch(ellipse2)
plt.text(5.22, 568, '1-2', fontsize=10, color='w')
ellipse3 = Ellipse(xy=(10.5, 850), width=1, height=50,edgecolor='tomato', facecolor='tomato', lw=1,alpha=0.5)
ax.add_patch(ellipse3)
plt.text(10.22, 843, '2-1', fontsize=10, color='w')
ellipse4 = Ellipse(xy=(13.5, 700), width=1, height=50,edgecolor='tomato', facecolor='tomato', lw=1,alpha=0.5)
ax.add_patch(ellipse4)
plt.text(13.22, 693, '2-2', fontsize=10, color='w')
ellipse5 = Ellipse(xy=(14.5, 525), width=1, height=50,edgecolor='tomato', facecolor='tomato', lw=1,alpha=0.5)
ax.add_patch(ellipse5)
plt.text(14.22, 518, '2-3', fontsize=10, color='w')</code>
    </pythonScript>
    <pythonScript>
      <code>n = xl(%P2%)
rho =xl(%P3%)
if n &lt;= 7:
    if rho &lt;= 475: x="not available"
    elif rho &lt;= 700: x = "1-2"
    else: x = "1-1"
elif n == 8:
    if rho &lt;= 550: x = "not available"
    elif rho &lt;= 700: x = "1-2"
    else: x = "1-1"
elif n == 9:
    if rho &lt;= 475: x = "not available"
    elif rho &lt;= 700: x = "2-2"
    elif rho &lt;= 775: x = "2-1"
    else: x = "1-1"
elif n == 10:
    if rho &lt;= 475: x="not available"
    elif rho &lt;= 500: x = "2-3"
    elif rho &lt;= 700: x = "2-2"
    elif rho &lt;= 1000: x = "2-1"
    else: x = "1-1"
elif n == 11:
    if rho &lt;= 475: x="not available"
    elif rho &lt;= 500: x = "2-3"
    elif rho &lt;= 700: x = "2-2"
    elif rho &lt;= 1250: x = "2-1"
    else: x = "1-1"
elif n == 12:
    if rho &lt;= 475: x="not available"
    elif rho &lt;= 570: x = "2-3"
    elif rho &lt;= 1000: x = "2-2"
    elif rho &lt;= 1450: x = "2-1"
    else: x = "1-1"
elif n == 13:
    if rho &lt;= 475: x="not available"
    elif rho &lt;= 570: x = "2-3"
    elif rho &lt;= 1300: x = "2-2"
    elif rho &lt;= 1675: x = "2-1"
    else: x = "1-1"
elif n == 14:
    if rho &lt;= 475: x="not available"
    elif rho &lt;= 570: x = "2-3"
    elif rho &lt;= 1600: x = "2-2"
    elif rho &lt;= 1900: x = "2-1"
    else: x = "1-1"
elif n == 15:
    if rho &lt;= 475: x="not available"
    elif rho &lt;= 570: x = "2-3"
    elif rho &lt;= 1900: x = "2-2"
    elif rho &lt;= 2125: x = "2-1"
    else: x = "1-1"
elif n == 16:
    if rho &lt;= 475: x="not available"
    elif rho &lt;= 570: x = "2-3"
    elif rho &lt;= 2200: x = "2-2"
    elif rho &lt;= 2350: x = "2-1"
    else: x = "1-1"
else: x = "not available"
x</code>
    </pythonScript>
  </pythonScripts>
</python>
</file>

<file path=xl/sharedStrings.xml><?xml version="1.0" encoding="utf-8"?>
<sst xmlns="http://schemas.openxmlformats.org/spreadsheetml/2006/main" count="32" uniqueCount="32">
  <si>
    <t>First issue</t>
  </si>
  <si>
    <t>Fabrizio Cademartori</t>
  </si>
  <si>
    <t>Rev.</t>
  </si>
  <si>
    <t>Date</t>
  </si>
  <si>
    <t>Description</t>
  </si>
  <si>
    <t>Prepared</t>
  </si>
  <si>
    <t>Checked</t>
  </si>
  <si>
    <t>Approved</t>
  </si>
  <si>
    <t>n</t>
  </si>
  <si>
    <t>rho1</t>
  </si>
  <si>
    <t>rho2</t>
  </si>
  <si>
    <t>rho3</t>
  </si>
  <si>
    <t>rho4</t>
  </si>
  <si>
    <t>rho5</t>
  </si>
  <si>
    <t>rho6</t>
  </si>
  <si>
    <t>rho7</t>
  </si>
  <si>
    <t>rho8</t>
  </si>
  <si>
    <t>BB5 configuration</t>
  </si>
  <si>
    <t>n [-]</t>
  </si>
  <si>
    <t>(n° of stages)</t>
  </si>
  <si>
    <r>
      <rPr>
        <b/>
        <sz val="11"/>
        <color theme="0"/>
        <rFont val="Calibri"/>
        <family val="2"/>
      </rPr>
      <t>ρ</t>
    </r>
    <r>
      <rPr>
        <b/>
        <sz val="11"/>
        <color theme="0"/>
        <rFont val="Aptos Narrow"/>
        <family val="2"/>
      </rPr>
      <t xml:space="preserve"> [kg/m</t>
    </r>
    <r>
      <rPr>
        <b/>
        <vertAlign val="superscript"/>
        <sz val="11"/>
        <color theme="0"/>
        <rFont val="Aptos Narrow"/>
        <family val="2"/>
      </rPr>
      <t>3</t>
    </r>
    <r>
      <rPr>
        <b/>
        <sz val="11"/>
        <color theme="0"/>
        <rFont val="Aptos Narrow"/>
        <family val="2"/>
      </rPr>
      <t>]</t>
    </r>
  </si>
  <si>
    <t>(fluid density)</t>
  </si>
  <si>
    <t>BB5 zone</t>
  </si>
  <si>
    <t>Legend</t>
  </si>
  <si>
    <t>input data</t>
  </si>
  <si>
    <t>descriptor</t>
  </si>
  <si>
    <t>calculated</t>
  </si>
  <si>
    <t>annotation</t>
  </si>
  <si>
    <t>BB5 configurator
(linked to SOP-532)</t>
  </si>
  <si>
    <t>QA/HSEM C.Delli Quadri - M.Tremolada</t>
  </si>
  <si>
    <t>R&amp;D Manager / M.Borghetti</t>
  </si>
  <si>
    <t>Mod.524-0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</si>
</sst>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&quot;$&quot;#,##0.00;[Red]\-&quot;$&quot;#,##0.00"/>
  </numFmts>
  <fonts count="2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0"/>
      <name val="Calibri"/>
      <family val="2"/>
    </font>
    <font>
      <b/>
      <vertAlign val="superscript"/>
      <sz val="11"/>
      <color theme="0"/>
      <name val="Aptos Narrow"/>
      <family val="2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1" fillId="0" borderId="0"/>
    <xf numFmtId="164" fontId="12" fillId="0" borderId="0"/>
    <xf numFmtId="165" fontId="18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3" xfId="1" applyBorder="1" applyAlignment="1">
      <alignment horizontal="center" vertical="center"/>
    </xf>
    <xf numFmtId="0" fontId="11" fillId="0" borderId="2" xfId="1" applyBorder="1" applyAlignment="1">
      <alignment horizontal="center" vertical="center"/>
    </xf>
    <xf numFmtId="0" fontId="11" fillId="0" borderId="6" xfId="1" applyBorder="1" applyAlignment="1">
      <alignment horizontal="center" vertical="center"/>
    </xf>
    <xf numFmtId="164" fontId="12" fillId="0" borderId="0" xfId="2"/>
    <xf numFmtId="0" fontId="11" fillId="0" borderId="4" xfId="1" applyBorder="1" applyAlignment="1">
      <alignment horizontal="center" vertical="center"/>
    </xf>
    <xf numFmtId="0" fontId="11" fillId="0" borderId="0" xfId="1" applyAlignment="1">
      <alignment horizontal="center" vertical="center"/>
    </xf>
    <xf numFmtId="0" fontId="11" fillId="0" borderId="7" xfId="1" applyBorder="1" applyAlignment="1">
      <alignment horizontal="center" vertical="center"/>
    </xf>
    <xf numFmtId="0" fontId="13" fillId="0" borderId="0" xfId="1" applyFont="1" applyAlignment="1">
      <alignment horizontal="center" vertical="top"/>
    </xf>
    <xf numFmtId="0" fontId="11" fillId="0" borderId="0" xfId="1" applyAlignment="1">
      <alignment horizontal="center"/>
    </xf>
    <xf numFmtId="0" fontId="14" fillId="0" borderId="0" xfId="1" applyFont="1" applyAlignment="1">
      <alignment horizontal="center" vertical="top"/>
    </xf>
    <xf numFmtId="0" fontId="15" fillId="0" borderId="7" xfId="1" applyFont="1" applyBorder="1" applyAlignment="1">
      <alignment horizontal="center" vertical="top"/>
    </xf>
    <xf numFmtId="0" fontId="16" fillId="0" borderId="4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5" borderId="9" xfId="0" applyFill="1" applyBorder="1" applyAlignment="1">
      <alignment vertical="center"/>
    </xf>
    <xf numFmtId="0" fontId="16" fillId="0" borderId="3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1" fillId="0" borderId="10" xfId="1" applyBorder="1" applyAlignment="1">
      <alignment horizontal="center" vertical="center"/>
    </xf>
    <xf numFmtId="0" fontId="11" fillId="0" borderId="11" xfId="1" applyBorder="1" applyAlignment="1">
      <alignment horizontal="center" vertical="center"/>
    </xf>
    <xf numFmtId="0" fontId="11" fillId="0" borderId="12" xfId="1" applyBorder="1" applyAlignment="1">
      <alignment horizontal="center" vertical="center"/>
    </xf>
    <xf numFmtId="0" fontId="11" fillId="0" borderId="13" xfId="1" applyBorder="1" applyAlignment="1">
      <alignment horizontal="center" vertical="center"/>
    </xf>
    <xf numFmtId="0" fontId="11" fillId="0" borderId="14" xfId="1" applyBorder="1" applyAlignment="1">
      <alignment horizontal="center" vertical="center"/>
    </xf>
    <xf numFmtId="0" fontId="11" fillId="0" borderId="17" xfId="1" applyBorder="1" applyAlignment="1">
      <alignment horizontal="center" vertical="center"/>
    </xf>
    <xf numFmtId="0" fontId="11" fillId="0" borderId="18" xfId="1" applyBorder="1" applyAlignment="1">
      <alignment horizontal="center" vertical="center"/>
    </xf>
    <xf numFmtId="0" fontId="11" fillId="0" borderId="19" xfId="1" applyBorder="1" applyAlignment="1">
      <alignment horizontal="center" vertical="center"/>
    </xf>
    <xf numFmtId="0" fontId="11" fillId="0" borderId="15" xfId="1" applyBorder="1" applyAlignment="1">
      <alignment horizontal="center" vertical="center"/>
    </xf>
    <xf numFmtId="0" fontId="11" fillId="0" borderId="16" xfId="1" applyBorder="1" applyAlignment="1">
      <alignment horizontal="center" vertical="center"/>
    </xf>
    <xf numFmtId="0" fontId="18" fillId="0" borderId="17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14" fontId="18" fillId="0" borderId="17" xfId="1" applyNumberFormat="1" applyFont="1" applyBorder="1" applyAlignment="1">
      <alignment horizontal="center" vertical="center"/>
    </xf>
    <xf numFmtId="14" fontId="18" fillId="0" borderId="18" xfId="1" applyNumberFormat="1" applyFont="1" applyBorder="1" applyAlignment="1">
      <alignment horizontal="center" vertical="center"/>
    </xf>
    <xf numFmtId="14" fontId="18" fillId="0" borderId="16" xfId="1" applyNumberFormat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 wrapText="1"/>
    </xf>
    <xf numFmtId="165" fontId="11" fillId="0" borderId="5" xfId="3" applyFont="1" applyBorder="1" applyAlignment="1">
      <alignment horizontal="right" vertical="center"/>
    </xf>
    <xf numFmtId="165" fontId="12" fillId="0" borderId="1" xfId="3" applyFont="1" applyBorder="1" applyAlignment="1">
      <alignment horizontal="right" vertical="center"/>
    </xf>
    <xf numFmtId="165" fontId="12" fillId="0" borderId="8" xfId="3" applyFont="1" applyBorder="1" applyAlignment="1">
      <alignment horizontal="right" vertical="center"/>
    </xf>
    <xf numFmtId="165" fontId="11" fillId="0" borderId="20" xfId="3" applyFont="1" applyBorder="1" applyAlignment="1">
      <alignment horizontal="center" vertical="center"/>
    </xf>
    <xf numFmtId="165" fontId="11" fillId="0" borderId="21" xfId="3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center" vertical="center"/>
    </xf>
  </cellXfs>
  <cellStyles count="4">
    <cellStyle name="Normale" xfId="0" builtinId="0"/>
    <cellStyle name="Normale 3" xfId="2" xr:uid="{404C2980-BE77-426A-8341-8AB84E69EFDC}"/>
    <cellStyle name="Normale 4" xfId="1" xr:uid="{C13E39B7-6E24-41A2-80D6-8737D3DB5062}"/>
    <cellStyle name="Valuta 2" xfId="3" xr:uid="{3380D6EA-84A0-482F-B621-B727BECA6F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5.xml"/><Relationship Id="rId12" Type="http://schemas.microsoft.com/office/2022/10/relationships/richValueRel" Target="richData/richValueRel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eetMetadata" Target="metadata.xml"/><Relationship Id="rId24" Type="http://schemas.microsoft.com/office/2023/09/relationships/Python" Target="python.xml"/><Relationship Id="rId5" Type="http://schemas.openxmlformats.org/officeDocument/2006/relationships/externalLink" Target="externalLinks/externalLink3.xml"/><Relationship Id="rId15" Type="http://schemas.microsoft.com/office/2017/06/relationships/rdArray" Target="richData/rdarray.xml"/><Relationship Id="rId23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19" Type="http://schemas.microsoft.com/office/2017/06/relationships/rdRichValueTypes" Target="richData/rdRichValueType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Scroll" dx="26" fmlaLink="$O$3" horiz="1" max="16" min="3" page="10" val="9"/>
</file>

<file path=xl/ctrlProps/ctrlProp2.xml><?xml version="1.0" encoding="utf-8"?>
<formControlPr xmlns="http://schemas.microsoft.com/office/spreadsheetml/2009/9/main" objectType="Scroll" dx="26" fmlaLink="$O$4" horiz="1" max="1300" min="450" page="5" val="82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D53ED7B0-5FBF-4627-A9C8-C52604E51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304800"/>
          <a:ext cx="26289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30</xdr:row>
      <xdr:rowOff>57150</xdr:rowOff>
    </xdr:from>
    <xdr:to>
      <xdr:col>29</xdr:col>
      <xdr:colOff>19050</xdr:colOff>
      <xdr:row>38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2CCD50-C74F-48CC-96BB-B112EDBAB0A4}"/>
            </a:ext>
          </a:extLst>
        </xdr:cNvPr>
        <xdr:cNvSpPr txBox="1"/>
      </xdr:nvSpPr>
      <xdr:spPr>
        <a:xfrm>
          <a:off x="95250" y="5772150"/>
          <a:ext cx="6553200" cy="1514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58420</xdr:colOff>
      <xdr:row>23</xdr:row>
      <xdr:rowOff>96520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9012898-BF20-4019-BF75-3EB7319FF62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BB5'!B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90500"/>
          <a:ext cx="6744970" cy="43446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</xdr:row>
          <xdr:rowOff>19050</xdr:rowOff>
        </xdr:from>
        <xdr:to>
          <xdr:col>15</xdr:col>
          <xdr:colOff>714375</xdr:colOff>
          <xdr:row>2</xdr:row>
          <xdr:rowOff>200025</xdr:rowOff>
        </xdr:to>
        <xdr:sp macro="" textlink="">
          <xdr:nvSpPr>
            <xdr:cNvPr id="4097" name="Scroll Ba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3</xdr:row>
          <xdr:rowOff>19050</xdr:rowOff>
        </xdr:from>
        <xdr:to>
          <xdr:col>15</xdr:col>
          <xdr:colOff>714375</xdr:colOff>
          <xdr:row>3</xdr:row>
          <xdr:rowOff>200025</xdr:rowOff>
        </xdr:to>
        <xdr:sp macro="" textlink="">
          <xdr:nvSpPr>
            <xdr:cNvPr id="4098" name="Scroll Bar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absolute">
    <xdr:from>
      <xdr:col>13</xdr:col>
      <xdr:colOff>0</xdr:colOff>
      <xdr:row>13</xdr:row>
      <xdr:rowOff>0</xdr:rowOff>
    </xdr:from>
    <xdr:to>
      <xdr:col>17</xdr:col>
      <xdr:colOff>3810</xdr:colOff>
      <xdr:row>23</xdr:row>
      <xdr:rowOff>96520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56E4B2A6-6D22-4387-91FE-3EA7A9960FF7}"/>
            </a:ext>
          </a:extLst>
        </xdr:cNvPr>
        <xdr:cNvSpPr txBox="1"/>
      </xdr:nvSpPr>
      <xdr:spPr>
        <a:xfrm>
          <a:off x="7067550" y="2533650"/>
          <a:ext cx="2966085" cy="20015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it-IT" sz="1100" b="0" u="none" baseline="0">
              <a:effectLst/>
            </a:rPr>
            <a:t>1) Define the number of stages.</a:t>
          </a:r>
        </a:p>
        <a:p>
          <a:r>
            <a:rPr lang="it-IT" sz="1100" b="0" u="none" baseline="0">
              <a:effectLst/>
            </a:rPr>
            <a:t>2) Define the fluid density.</a:t>
          </a:r>
        </a:p>
        <a:p>
          <a:r>
            <a:rPr lang="it-IT" sz="1100" b="0" u="none" baseline="0">
              <a:effectLst/>
            </a:rPr>
            <a:t>3) Calculate the BB5 configuration.</a:t>
          </a:r>
          <a:endParaRPr lang="it-IT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as\FWENVI\WWT%20Area\1-BH-0267A%20-%20prolungamento%20studio%20di%20fattibilit&#224;%20KRC\09%20Design%20calculations\calcoli%20finali\pfd%20nuovo%20impianto%20-%20falda%20+%20processo%20con%20biologi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milfs002\b1h00\PROJECTS\1-BH-0389A%20KJO-RWTF2\09%20Design%20calculations\Linee\Linee%2010_12_16%20sketch%20Bottazzi\Design%20flowrate\line%2012%20polli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wfsc003/1cd1213a/ZoneExchange/Equipment%20list/front%20pag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Backup%2029-09-06\Seam%201-025%20Politecnico%20Merone\09.0%20-%20Design%20Calculation\Linea%20fanghi\Progettazione%20impianto%20civile\progetto%20impianto%20di%20depurazione%20civ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AS\DIP110\APPLICAT\pumps\PU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medie inquinanti "/>
      <sheetName val="Schema a blocchi"/>
      <sheetName val="calcolo servizi"/>
      <sheetName val="API"/>
      <sheetName val="DAF"/>
      <sheetName val="Caldensitàmiscela"/>
      <sheetName val="Basi di progetto biologico"/>
      <sheetName val="Biologico tradizionale"/>
      <sheetName val="Calcolo ossigeno"/>
      <sheetName val="Sedimentazione Secondaria"/>
      <sheetName val="Valutazione fanghi prodotti"/>
      <sheetName val="Ispessitore"/>
      <sheetName val="Ricalcolo acqua in ingresso API"/>
      <sheetName val="Calcolo apparecchiature"/>
      <sheetName val="Compressori"/>
      <sheetName val="CP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RPI"/>
      <sheetName val="From Surge Tank"/>
      <sheetName val="From CPI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rev1"/>
      <sheetName val="liste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 di progetto"/>
      <sheetName val="Canaletta in ingresso"/>
      <sheetName val="Griglia grossolana"/>
      <sheetName val="Dissabbiatore"/>
      <sheetName val="Vasca di compenso"/>
      <sheetName val="Sedimentazione Primaria"/>
      <sheetName val="Biologico tradizionale"/>
      <sheetName val="Nitro"/>
      <sheetName val="Denitro"/>
      <sheetName val=" nitro denitro (T perm) e dim."/>
      <sheetName val="Sedimentazione Secondaria"/>
      <sheetName val="ossigeno in nitro"/>
      <sheetName val="Filtrazione"/>
      <sheetName val="Disinfezione"/>
      <sheetName val="Valutazione fanghi prodotti"/>
      <sheetName val="vasca di miscelazione fanghi"/>
      <sheetName val="Ispessitore"/>
      <sheetName val="Digestione Anaerobica"/>
      <sheetName val="Dimensionamento dig. anaer."/>
      <sheetName val="Filtropressatura"/>
      <sheetName val="Gasometr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MP CALCULATION"/>
    </sheetNames>
    <sheetDataSet>
      <sheetData sheetId="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589</v>
    <v>432</v>
  </a>
</arrayData>
</file>

<file path=xl/richData/rdrichvalue.xml><?xml version="1.0" encoding="utf-8"?>
<rvData xmlns="http://schemas.microsoft.com/office/spreadsheetml/2017/richdata" count="4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size=589x432 at 0x7FCB37733470&gt;</v>
    <v>2</v>
    <v>1</v>
    <v>2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  <k n="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1">
      <v>https://www.anaconda.com/excel</v>
      <v>https://res.cdn.office.net/officepysvc/prod-service/anacondalogo.png</v>
      <v>Python fornito da Anaconda</v>
    </spb>
    <spb s="2">
      <v>https://www.anaconda.com/excel</v>
      <v>https://res.cdn.office.net/officepysvc/prod-service/anacondalogo.png</v>
      <v>Python fornito da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image" t="i"/>
  </s>
  <s>
    <k n="link" t="s"/>
    <k n="logo" t="s"/>
    <k n="name" t="s"/>
  </s>
  <s>
    <k n="url" t="s"/>
    <k n="logoUrl" t="s"/>
    <k n="descriptio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F85A-9BD9-4E8C-B22A-03CF68F4542F}">
  <dimension ref="A1:AD48"/>
  <sheetViews>
    <sheetView tabSelected="1" topLeftCell="A29" zoomScaleNormal="100" zoomScaleSheetLayoutView="100" workbookViewId="0"/>
  </sheetViews>
  <sheetFormatPr defaultRowHeight="12" x14ac:dyDescent="0.2"/>
  <cols>
    <col min="1" max="30" width="3.42578125" style="6" customWidth="1"/>
    <col min="31" max="256" width="8.85546875" style="6"/>
    <col min="257" max="286" width="3.42578125" style="6" customWidth="1"/>
    <col min="287" max="512" width="8.85546875" style="6"/>
    <col min="513" max="542" width="3.42578125" style="6" customWidth="1"/>
    <col min="543" max="768" width="8.85546875" style="6"/>
    <col min="769" max="798" width="3.42578125" style="6" customWidth="1"/>
    <col min="799" max="1024" width="8.85546875" style="6"/>
    <col min="1025" max="1054" width="3.42578125" style="6" customWidth="1"/>
    <col min="1055" max="1280" width="8.85546875" style="6"/>
    <col min="1281" max="1310" width="3.42578125" style="6" customWidth="1"/>
    <col min="1311" max="1536" width="8.85546875" style="6"/>
    <col min="1537" max="1566" width="3.42578125" style="6" customWidth="1"/>
    <col min="1567" max="1792" width="8.85546875" style="6"/>
    <col min="1793" max="1822" width="3.42578125" style="6" customWidth="1"/>
    <col min="1823" max="2048" width="8.85546875" style="6"/>
    <col min="2049" max="2078" width="3.42578125" style="6" customWidth="1"/>
    <col min="2079" max="2304" width="8.85546875" style="6"/>
    <col min="2305" max="2334" width="3.42578125" style="6" customWidth="1"/>
    <col min="2335" max="2560" width="8.85546875" style="6"/>
    <col min="2561" max="2590" width="3.42578125" style="6" customWidth="1"/>
    <col min="2591" max="2816" width="8.85546875" style="6"/>
    <col min="2817" max="2846" width="3.42578125" style="6" customWidth="1"/>
    <col min="2847" max="3072" width="8.85546875" style="6"/>
    <col min="3073" max="3102" width="3.42578125" style="6" customWidth="1"/>
    <col min="3103" max="3328" width="8.85546875" style="6"/>
    <col min="3329" max="3358" width="3.42578125" style="6" customWidth="1"/>
    <col min="3359" max="3584" width="8.85546875" style="6"/>
    <col min="3585" max="3614" width="3.42578125" style="6" customWidth="1"/>
    <col min="3615" max="3840" width="8.85546875" style="6"/>
    <col min="3841" max="3870" width="3.42578125" style="6" customWidth="1"/>
    <col min="3871" max="4096" width="8.85546875" style="6"/>
    <col min="4097" max="4126" width="3.42578125" style="6" customWidth="1"/>
    <col min="4127" max="4352" width="8.85546875" style="6"/>
    <col min="4353" max="4382" width="3.42578125" style="6" customWidth="1"/>
    <col min="4383" max="4608" width="8.85546875" style="6"/>
    <col min="4609" max="4638" width="3.42578125" style="6" customWidth="1"/>
    <col min="4639" max="4864" width="8.85546875" style="6"/>
    <col min="4865" max="4894" width="3.42578125" style="6" customWidth="1"/>
    <col min="4895" max="5120" width="8.85546875" style="6"/>
    <col min="5121" max="5150" width="3.42578125" style="6" customWidth="1"/>
    <col min="5151" max="5376" width="8.85546875" style="6"/>
    <col min="5377" max="5406" width="3.42578125" style="6" customWidth="1"/>
    <col min="5407" max="5632" width="8.85546875" style="6"/>
    <col min="5633" max="5662" width="3.42578125" style="6" customWidth="1"/>
    <col min="5663" max="5888" width="8.85546875" style="6"/>
    <col min="5889" max="5918" width="3.42578125" style="6" customWidth="1"/>
    <col min="5919" max="6144" width="8.85546875" style="6"/>
    <col min="6145" max="6174" width="3.42578125" style="6" customWidth="1"/>
    <col min="6175" max="6400" width="8.85546875" style="6"/>
    <col min="6401" max="6430" width="3.42578125" style="6" customWidth="1"/>
    <col min="6431" max="6656" width="8.85546875" style="6"/>
    <col min="6657" max="6686" width="3.42578125" style="6" customWidth="1"/>
    <col min="6687" max="6912" width="8.85546875" style="6"/>
    <col min="6913" max="6942" width="3.42578125" style="6" customWidth="1"/>
    <col min="6943" max="7168" width="8.85546875" style="6"/>
    <col min="7169" max="7198" width="3.42578125" style="6" customWidth="1"/>
    <col min="7199" max="7424" width="8.85546875" style="6"/>
    <col min="7425" max="7454" width="3.42578125" style="6" customWidth="1"/>
    <col min="7455" max="7680" width="8.85546875" style="6"/>
    <col min="7681" max="7710" width="3.42578125" style="6" customWidth="1"/>
    <col min="7711" max="7936" width="8.85546875" style="6"/>
    <col min="7937" max="7966" width="3.42578125" style="6" customWidth="1"/>
    <col min="7967" max="8192" width="8.85546875" style="6"/>
    <col min="8193" max="8222" width="3.42578125" style="6" customWidth="1"/>
    <col min="8223" max="8448" width="8.85546875" style="6"/>
    <col min="8449" max="8478" width="3.42578125" style="6" customWidth="1"/>
    <col min="8479" max="8704" width="8.85546875" style="6"/>
    <col min="8705" max="8734" width="3.42578125" style="6" customWidth="1"/>
    <col min="8735" max="8960" width="8.85546875" style="6"/>
    <col min="8961" max="8990" width="3.42578125" style="6" customWidth="1"/>
    <col min="8991" max="9216" width="8.85546875" style="6"/>
    <col min="9217" max="9246" width="3.42578125" style="6" customWidth="1"/>
    <col min="9247" max="9472" width="8.85546875" style="6"/>
    <col min="9473" max="9502" width="3.42578125" style="6" customWidth="1"/>
    <col min="9503" max="9728" width="8.85546875" style="6"/>
    <col min="9729" max="9758" width="3.42578125" style="6" customWidth="1"/>
    <col min="9759" max="9984" width="8.85546875" style="6"/>
    <col min="9985" max="10014" width="3.42578125" style="6" customWidth="1"/>
    <col min="10015" max="10240" width="8.85546875" style="6"/>
    <col min="10241" max="10270" width="3.42578125" style="6" customWidth="1"/>
    <col min="10271" max="10496" width="8.85546875" style="6"/>
    <col min="10497" max="10526" width="3.42578125" style="6" customWidth="1"/>
    <col min="10527" max="10752" width="8.85546875" style="6"/>
    <col min="10753" max="10782" width="3.42578125" style="6" customWidth="1"/>
    <col min="10783" max="11008" width="8.85546875" style="6"/>
    <col min="11009" max="11038" width="3.42578125" style="6" customWidth="1"/>
    <col min="11039" max="11264" width="8.85546875" style="6"/>
    <col min="11265" max="11294" width="3.42578125" style="6" customWidth="1"/>
    <col min="11295" max="11520" width="8.85546875" style="6"/>
    <col min="11521" max="11550" width="3.42578125" style="6" customWidth="1"/>
    <col min="11551" max="11776" width="8.85546875" style="6"/>
    <col min="11777" max="11806" width="3.42578125" style="6" customWidth="1"/>
    <col min="11807" max="12032" width="8.85546875" style="6"/>
    <col min="12033" max="12062" width="3.42578125" style="6" customWidth="1"/>
    <col min="12063" max="12288" width="8.85546875" style="6"/>
    <col min="12289" max="12318" width="3.42578125" style="6" customWidth="1"/>
    <col min="12319" max="12544" width="8.85546875" style="6"/>
    <col min="12545" max="12574" width="3.42578125" style="6" customWidth="1"/>
    <col min="12575" max="12800" width="8.85546875" style="6"/>
    <col min="12801" max="12830" width="3.42578125" style="6" customWidth="1"/>
    <col min="12831" max="13056" width="8.85546875" style="6"/>
    <col min="13057" max="13086" width="3.42578125" style="6" customWidth="1"/>
    <col min="13087" max="13312" width="8.85546875" style="6"/>
    <col min="13313" max="13342" width="3.42578125" style="6" customWidth="1"/>
    <col min="13343" max="13568" width="8.85546875" style="6"/>
    <col min="13569" max="13598" width="3.42578125" style="6" customWidth="1"/>
    <col min="13599" max="13824" width="8.85546875" style="6"/>
    <col min="13825" max="13854" width="3.42578125" style="6" customWidth="1"/>
    <col min="13855" max="14080" width="8.85546875" style="6"/>
    <col min="14081" max="14110" width="3.42578125" style="6" customWidth="1"/>
    <col min="14111" max="14336" width="8.85546875" style="6"/>
    <col min="14337" max="14366" width="3.42578125" style="6" customWidth="1"/>
    <col min="14367" max="14592" width="8.85546875" style="6"/>
    <col min="14593" max="14622" width="3.42578125" style="6" customWidth="1"/>
    <col min="14623" max="14848" width="8.85546875" style="6"/>
    <col min="14849" max="14878" width="3.42578125" style="6" customWidth="1"/>
    <col min="14879" max="15104" width="8.85546875" style="6"/>
    <col min="15105" max="15134" width="3.42578125" style="6" customWidth="1"/>
    <col min="15135" max="15360" width="8.85546875" style="6"/>
    <col min="15361" max="15390" width="3.42578125" style="6" customWidth="1"/>
    <col min="15391" max="15616" width="8.85546875" style="6"/>
    <col min="15617" max="15646" width="3.42578125" style="6" customWidth="1"/>
    <col min="15647" max="15872" width="8.85546875" style="6"/>
    <col min="15873" max="15902" width="3.42578125" style="6" customWidth="1"/>
    <col min="15903" max="16128" width="8.85546875" style="6"/>
    <col min="16129" max="16158" width="3.42578125" style="6" customWidth="1"/>
    <col min="16159" max="16384" width="8.85546875" style="6"/>
  </cols>
  <sheetData>
    <row r="1" spans="1:30" ht="15" customHeight="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spans="1:30" ht="15" customHeight="1" x14ac:dyDescent="0.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</row>
    <row r="3" spans="1:30" ht="15" customHeight="1" x14ac:dyDescent="0.2">
      <c r="A3" s="7"/>
      <c r="B3" s="8"/>
      <c r="C3" s="8"/>
      <c r="D3" s="8"/>
      <c r="E3" s="8"/>
      <c r="F3" s="8"/>
      <c r="G3" s="8"/>
      <c r="H3" s="10"/>
      <c r="I3" s="10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2"/>
      <c r="Y3" s="12"/>
      <c r="Z3" s="12"/>
      <c r="AA3" s="12"/>
      <c r="AB3" s="12"/>
      <c r="AC3" s="12"/>
      <c r="AD3" s="13"/>
    </row>
    <row r="4" spans="1:30" ht="15" customHeight="1" x14ac:dyDescent="0.2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</row>
    <row r="5" spans="1:30" ht="15" customHeight="1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</row>
    <row r="6" spans="1:30" ht="15" customHeight="1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</row>
    <row r="7" spans="1:30" ht="15" customHeight="1" thickBot="1" x14ac:dyDescent="0.25">
      <c r="A7" s="14"/>
      <c r="B7" s="15"/>
      <c r="C7" s="15"/>
      <c r="D7" s="15"/>
      <c r="E7" s="15"/>
      <c r="F7" s="16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15"/>
      <c r="AB7" s="15"/>
      <c r="AC7" s="15"/>
      <c r="AD7" s="17"/>
    </row>
    <row r="8" spans="1:30" ht="15" customHeight="1" x14ac:dyDescent="0.2">
      <c r="A8" s="23" t="s">
        <v>28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5"/>
    </row>
    <row r="9" spans="1:30" ht="15" customHeight="1" x14ac:dyDescent="0.2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8"/>
    </row>
    <row r="10" spans="1:30" ht="15" customHeight="1" x14ac:dyDescent="0.2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8"/>
    </row>
    <row r="11" spans="1:30" ht="15" customHeight="1" x14ac:dyDescent="0.2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8"/>
    </row>
    <row r="12" spans="1:30" ht="15" customHeight="1" x14ac:dyDescent="0.2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8"/>
    </row>
    <row r="13" spans="1:30" ht="15" customHeight="1" x14ac:dyDescent="0.2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8"/>
    </row>
    <row r="14" spans="1:30" ht="15" customHeight="1" x14ac:dyDescent="0.2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8"/>
    </row>
    <row r="15" spans="1:30" ht="15" customHeight="1" x14ac:dyDescent="0.2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8"/>
    </row>
    <row r="16" spans="1:30" ht="15" customHeight="1" x14ac:dyDescent="0.2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8"/>
    </row>
    <row r="17" spans="1:30" ht="15" customHeight="1" x14ac:dyDescent="0.2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8"/>
    </row>
    <row r="18" spans="1:30" ht="15" customHeight="1" x14ac:dyDescent="0.2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8"/>
    </row>
    <row r="19" spans="1:30" ht="15" customHeight="1" x14ac:dyDescent="0.2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8"/>
    </row>
    <row r="20" spans="1:30" ht="15" customHeight="1" x14ac:dyDescent="0.2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8"/>
    </row>
    <row r="21" spans="1:30" ht="1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8"/>
    </row>
    <row r="22" spans="1:30" ht="15" customHeight="1" x14ac:dyDescent="0.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8"/>
    </row>
    <row r="23" spans="1:30" ht="1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8"/>
    </row>
    <row r="24" spans="1:30" ht="15" customHeight="1" x14ac:dyDescent="0.2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8"/>
    </row>
    <row r="25" spans="1:30" ht="15" customHeight="1" x14ac:dyDescent="0.2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8"/>
    </row>
    <row r="26" spans="1:30" ht="15" customHeight="1" x14ac:dyDescent="0.2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8"/>
    </row>
    <row r="27" spans="1:30" ht="15" customHeight="1" x14ac:dyDescent="0.2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8"/>
    </row>
    <row r="28" spans="1:30" ht="15" customHeight="1" x14ac:dyDescent="0.2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8"/>
    </row>
    <row r="29" spans="1:30" ht="1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8"/>
    </row>
    <row r="30" spans="1:30" ht="15" customHeight="1" x14ac:dyDescent="0.2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8"/>
    </row>
    <row r="31" spans="1:30" ht="1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8"/>
    </row>
    <row r="32" spans="1:30" ht="15" customHeight="1" x14ac:dyDescent="0.2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8"/>
    </row>
    <row r="33" spans="1:30" ht="1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8"/>
    </row>
    <row r="34" spans="1:30" ht="15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8"/>
    </row>
    <row r="35" spans="1:30" ht="15" customHeight="1" x14ac:dyDescent="0.2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8"/>
    </row>
    <row r="36" spans="1:30" ht="15" customHeight="1" x14ac:dyDescent="0.2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8"/>
    </row>
    <row r="37" spans="1:30" ht="15" customHeight="1" x14ac:dyDescent="0.2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8"/>
    </row>
    <row r="38" spans="1:30" ht="15" customHeight="1" x14ac:dyDescent="0.2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8"/>
    </row>
    <row r="39" spans="1:30" ht="15" customHeight="1" thickBot="1" x14ac:dyDescent="0.25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1"/>
    </row>
    <row r="40" spans="1:30" ht="30" customHeight="1" x14ac:dyDescent="0.2">
      <c r="A40" s="32"/>
      <c r="B40" s="33"/>
      <c r="C40" s="34"/>
      <c r="D40" s="35"/>
      <c r="E40" s="35"/>
      <c r="F40" s="33"/>
      <c r="G40" s="34"/>
      <c r="H40" s="35"/>
      <c r="I40" s="35"/>
      <c r="J40" s="35"/>
      <c r="K40" s="35"/>
      <c r="L40" s="35"/>
      <c r="M40" s="35"/>
      <c r="N40" s="35"/>
      <c r="O40" s="35"/>
      <c r="P40" s="34"/>
      <c r="Q40" s="35"/>
      <c r="R40" s="35"/>
      <c r="S40" s="35"/>
      <c r="T40" s="33"/>
      <c r="U40" s="34"/>
      <c r="V40" s="35"/>
      <c r="W40" s="35"/>
      <c r="X40" s="35"/>
      <c r="Y40" s="33"/>
      <c r="Z40" s="34"/>
      <c r="AA40" s="35"/>
      <c r="AB40" s="35"/>
      <c r="AC40" s="35"/>
      <c r="AD40" s="36"/>
    </row>
    <row r="41" spans="1:30" ht="30" customHeight="1" x14ac:dyDescent="0.2">
      <c r="A41" s="40"/>
      <c r="B41" s="41"/>
      <c r="C41" s="37"/>
      <c r="D41" s="38"/>
      <c r="E41" s="38"/>
      <c r="F41" s="41"/>
      <c r="G41" s="37"/>
      <c r="H41" s="38"/>
      <c r="I41" s="38"/>
      <c r="J41" s="38"/>
      <c r="K41" s="38"/>
      <c r="L41" s="38"/>
      <c r="M41" s="38"/>
      <c r="N41" s="38"/>
      <c r="O41" s="38"/>
      <c r="P41" s="37"/>
      <c r="Q41" s="38"/>
      <c r="R41" s="38"/>
      <c r="S41" s="38"/>
      <c r="T41" s="41"/>
      <c r="U41" s="37"/>
      <c r="V41" s="38"/>
      <c r="W41" s="38"/>
      <c r="X41" s="38"/>
      <c r="Y41" s="41"/>
      <c r="Z41" s="37"/>
      <c r="AA41" s="38"/>
      <c r="AB41" s="38"/>
      <c r="AC41" s="38"/>
      <c r="AD41" s="39"/>
    </row>
    <row r="42" spans="1:30" ht="30" customHeight="1" x14ac:dyDescent="0.2">
      <c r="A42" s="40"/>
      <c r="B42" s="41"/>
      <c r="C42" s="37"/>
      <c r="D42" s="38"/>
      <c r="E42" s="38"/>
      <c r="F42" s="41"/>
      <c r="G42" s="37"/>
      <c r="H42" s="38"/>
      <c r="I42" s="38"/>
      <c r="J42" s="38"/>
      <c r="K42" s="38"/>
      <c r="L42" s="38"/>
      <c r="M42" s="38"/>
      <c r="N42" s="38"/>
      <c r="O42" s="38"/>
      <c r="P42" s="37"/>
      <c r="Q42" s="38"/>
      <c r="R42" s="38"/>
      <c r="S42" s="38"/>
      <c r="T42" s="41"/>
      <c r="U42" s="37"/>
      <c r="V42" s="38"/>
      <c r="W42" s="38"/>
      <c r="X42" s="38"/>
      <c r="Y42" s="41"/>
      <c r="Z42" s="37"/>
      <c r="AA42" s="38"/>
      <c r="AB42" s="38"/>
      <c r="AC42" s="38"/>
      <c r="AD42" s="39"/>
    </row>
    <row r="43" spans="1:30" ht="30" customHeight="1" x14ac:dyDescent="0.2">
      <c r="A43" s="40"/>
      <c r="B43" s="41"/>
      <c r="C43" s="37"/>
      <c r="D43" s="38"/>
      <c r="E43" s="38"/>
      <c r="F43" s="41"/>
      <c r="G43" s="37"/>
      <c r="H43" s="38"/>
      <c r="I43" s="38"/>
      <c r="J43" s="38"/>
      <c r="K43" s="38"/>
      <c r="L43" s="38"/>
      <c r="M43" s="38"/>
      <c r="N43" s="38"/>
      <c r="O43" s="38"/>
      <c r="P43" s="37"/>
      <c r="Q43" s="38"/>
      <c r="R43" s="38"/>
      <c r="S43" s="38"/>
      <c r="T43" s="41"/>
      <c r="U43" s="37"/>
      <c r="V43" s="38"/>
      <c r="W43" s="38"/>
      <c r="X43" s="38"/>
      <c r="Y43" s="41"/>
      <c r="Z43" s="37"/>
      <c r="AA43" s="38"/>
      <c r="AB43" s="38"/>
      <c r="AC43" s="38"/>
      <c r="AD43" s="39"/>
    </row>
    <row r="44" spans="1:30" ht="30" customHeight="1" x14ac:dyDescent="0.2">
      <c r="A44" s="40"/>
      <c r="B44" s="41"/>
      <c r="C44" s="37"/>
      <c r="D44" s="38"/>
      <c r="E44" s="38"/>
      <c r="F44" s="41"/>
      <c r="G44" s="37"/>
      <c r="H44" s="38"/>
      <c r="I44" s="38"/>
      <c r="J44" s="38"/>
      <c r="K44" s="38"/>
      <c r="L44" s="38"/>
      <c r="M44" s="38"/>
      <c r="N44" s="38"/>
      <c r="O44" s="38"/>
      <c r="P44" s="37"/>
      <c r="Q44" s="38"/>
      <c r="R44" s="38"/>
      <c r="S44" s="38"/>
      <c r="T44" s="41"/>
      <c r="U44" s="37"/>
      <c r="V44" s="38"/>
      <c r="W44" s="38"/>
      <c r="X44" s="38"/>
      <c r="Y44" s="41"/>
      <c r="Z44" s="37"/>
      <c r="AA44" s="38"/>
      <c r="AB44" s="38"/>
      <c r="AC44" s="38"/>
      <c r="AD44" s="39"/>
    </row>
    <row r="45" spans="1:30" ht="30" customHeight="1" x14ac:dyDescent="0.2">
      <c r="A45" s="40"/>
      <c r="B45" s="41"/>
      <c r="C45" s="37"/>
      <c r="D45" s="38"/>
      <c r="E45" s="38"/>
      <c r="F45" s="41"/>
      <c r="G45" s="37"/>
      <c r="H45" s="38"/>
      <c r="I45" s="38"/>
      <c r="J45" s="38"/>
      <c r="K45" s="38"/>
      <c r="L45" s="38"/>
      <c r="M45" s="38"/>
      <c r="N45" s="38"/>
      <c r="O45" s="38"/>
      <c r="P45" s="37"/>
      <c r="Q45" s="38"/>
      <c r="R45" s="38"/>
      <c r="S45" s="38"/>
      <c r="T45" s="41"/>
      <c r="U45" s="37"/>
      <c r="V45" s="38"/>
      <c r="W45" s="38"/>
      <c r="X45" s="38"/>
      <c r="Y45" s="41"/>
      <c r="Z45" s="37"/>
      <c r="AA45" s="38"/>
      <c r="AB45" s="38"/>
      <c r="AC45" s="38"/>
      <c r="AD45" s="39"/>
    </row>
    <row r="46" spans="1:30" ht="30" customHeight="1" x14ac:dyDescent="0.2">
      <c r="A46" s="45">
        <v>0</v>
      </c>
      <c r="B46" s="46"/>
      <c r="C46" s="47">
        <v>45664</v>
      </c>
      <c r="D46" s="48"/>
      <c r="E46" s="48"/>
      <c r="F46" s="49"/>
      <c r="G46" s="50" t="s">
        <v>0</v>
      </c>
      <c r="H46" s="51"/>
      <c r="I46" s="51"/>
      <c r="J46" s="51"/>
      <c r="K46" s="51"/>
      <c r="L46" s="51"/>
      <c r="M46" s="51"/>
      <c r="N46" s="51"/>
      <c r="O46" s="51"/>
      <c r="P46" s="42" t="s">
        <v>1</v>
      </c>
      <c r="Q46" s="43"/>
      <c r="R46" s="43"/>
      <c r="S46" s="43"/>
      <c r="T46" s="52"/>
      <c r="U46" s="42" t="s">
        <v>29</v>
      </c>
      <c r="V46" s="43"/>
      <c r="W46" s="43"/>
      <c r="X46" s="43"/>
      <c r="Y46" s="52"/>
      <c r="Z46" s="42" t="s">
        <v>30</v>
      </c>
      <c r="AA46" s="43"/>
      <c r="AB46" s="43"/>
      <c r="AC46" s="43"/>
      <c r="AD46" s="44"/>
    </row>
    <row r="47" spans="1:30" ht="15" customHeight="1" thickBot="1" x14ac:dyDescent="0.25">
      <c r="A47" s="56" t="s">
        <v>2</v>
      </c>
      <c r="B47" s="57"/>
      <c r="C47" s="58" t="s">
        <v>3</v>
      </c>
      <c r="D47" s="59"/>
      <c r="E47" s="59"/>
      <c r="F47" s="60"/>
      <c r="G47" s="58" t="s">
        <v>4</v>
      </c>
      <c r="H47" s="59"/>
      <c r="I47" s="59"/>
      <c r="J47" s="59"/>
      <c r="K47" s="59"/>
      <c r="L47" s="59"/>
      <c r="M47" s="59"/>
      <c r="N47" s="59"/>
      <c r="O47" s="59"/>
      <c r="P47" s="58" t="s">
        <v>5</v>
      </c>
      <c r="Q47" s="59"/>
      <c r="R47" s="59"/>
      <c r="S47" s="59"/>
      <c r="T47" s="60"/>
      <c r="U47" s="58" t="s">
        <v>6</v>
      </c>
      <c r="V47" s="59"/>
      <c r="W47" s="59"/>
      <c r="X47" s="59"/>
      <c r="Y47" s="59"/>
      <c r="Z47" s="58" t="s">
        <v>7</v>
      </c>
      <c r="AA47" s="59"/>
      <c r="AB47" s="59"/>
      <c r="AC47" s="59"/>
      <c r="AD47" s="61"/>
    </row>
    <row r="48" spans="1:30" ht="15" customHeight="1" thickBot="1" x14ac:dyDescent="0.25">
      <c r="A48" s="53" t="s">
        <v>31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5"/>
    </row>
  </sheetData>
  <mergeCells count="50">
    <mergeCell ref="A48:AD48"/>
    <mergeCell ref="A47:B47"/>
    <mergeCell ref="C47:F47"/>
    <mergeCell ref="G47:O47"/>
    <mergeCell ref="P47:T47"/>
    <mergeCell ref="U47:Y47"/>
    <mergeCell ref="Z47:AD47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A8:AD39"/>
    <mergeCell ref="A40:B40"/>
    <mergeCell ref="C40:F40"/>
    <mergeCell ref="G40:O40"/>
    <mergeCell ref="P40:T40"/>
    <mergeCell ref="U40:Y40"/>
    <mergeCell ref="Z40:AD4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9E6C-2599-4485-90C9-1BD725FA2F11}">
  <dimension ref="B1:AA33"/>
  <sheetViews>
    <sheetView zoomScaleNormal="100" workbookViewId="0"/>
  </sheetViews>
  <sheetFormatPr defaultRowHeight="15" x14ac:dyDescent="0.25"/>
  <cols>
    <col min="1" max="1" width="2.85546875" customWidth="1"/>
    <col min="2" max="2" width="8.85546875" bestFit="1" customWidth="1"/>
    <col min="13" max="13" width="2.85546875" customWidth="1"/>
    <col min="14" max="15" width="8.85546875" customWidth="1"/>
    <col min="16" max="16" width="10.85546875" customWidth="1"/>
    <col min="17" max="17" width="15.85546875" bestFit="1" customWidth="1"/>
    <col min="18" max="18" width="2.85546875" customWidth="1"/>
    <col min="19" max="19" width="8.85546875" hidden="1" customWidth="1"/>
    <col min="20" max="27" width="5.85546875" hidden="1" customWidth="1"/>
  </cols>
  <sheetData>
    <row r="1" spans="2:27" x14ac:dyDescent="0.25">
      <c r="B1" t="e" cm="1" vm="1">
        <f t="array" ref="B1">_xlfn._xlws.PY(0,1,S1:AA18,O4,O4,O3,O4)</f>
        <v>#VALUE!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</row>
    <row r="2" spans="2:27" ht="16.5" customHeight="1" x14ac:dyDescent="0.25">
      <c r="N2" s="65" t="s">
        <v>17</v>
      </c>
      <c r="O2" s="65"/>
      <c r="P2" s="65"/>
      <c r="Q2" s="65"/>
      <c r="S2" s="1">
        <v>3</v>
      </c>
      <c r="T2" s="1">
        <v>475</v>
      </c>
      <c r="U2" s="1">
        <v>475</v>
      </c>
      <c r="V2" s="1">
        <v>475</v>
      </c>
      <c r="W2" s="1">
        <v>700</v>
      </c>
      <c r="X2" s="1">
        <f>MIN(T2,W2)</f>
        <v>475</v>
      </c>
      <c r="Y2" s="1">
        <f>MAX(U2,V2)</f>
        <v>475</v>
      </c>
      <c r="Z2" s="1">
        <f>MAX(T2,W2)</f>
        <v>700</v>
      </c>
      <c r="AA2" s="1">
        <v>3000</v>
      </c>
    </row>
    <row r="3" spans="2:27" ht="16.5" customHeight="1" x14ac:dyDescent="0.25">
      <c r="N3" s="18" t="s">
        <v>18</v>
      </c>
      <c r="O3" s="19">
        <v>9</v>
      </c>
      <c r="P3" s="22"/>
      <c r="Q3" s="21" t="s">
        <v>19</v>
      </c>
      <c r="R3" s="1"/>
      <c r="S3" s="1">
        <v>4</v>
      </c>
      <c r="T3" s="1">
        <v>475</v>
      </c>
      <c r="U3" s="1">
        <v>475</v>
      </c>
      <c r="V3" s="1">
        <v>475</v>
      </c>
      <c r="W3" s="1">
        <v>700</v>
      </c>
      <c r="X3" s="1">
        <f t="shared" ref="X3:X18" si="0">MIN(T3,W3)</f>
        <v>475</v>
      </c>
      <c r="Y3" s="1">
        <f t="shared" ref="Y3:Y18" si="1">MAX(U3,V3)</f>
        <v>475</v>
      </c>
      <c r="Z3" s="1">
        <f t="shared" ref="Z3:Z18" si="2">MAX(T3,W3)</f>
        <v>700</v>
      </c>
      <c r="AA3" s="1">
        <v>3000</v>
      </c>
    </row>
    <row r="4" spans="2:27" ht="16.5" x14ac:dyDescent="0.25">
      <c r="N4" s="20" t="s">
        <v>20</v>
      </c>
      <c r="O4" s="19">
        <v>825</v>
      </c>
      <c r="P4" s="22"/>
      <c r="Q4" s="21" t="s">
        <v>21</v>
      </c>
      <c r="R4" s="2"/>
      <c r="S4" s="1">
        <v>5</v>
      </c>
      <c r="T4" s="1">
        <v>475</v>
      </c>
      <c r="U4" s="1">
        <v>475</v>
      </c>
      <c r="V4" s="1">
        <v>475</v>
      </c>
      <c r="W4" s="1">
        <v>700</v>
      </c>
      <c r="X4" s="1">
        <f t="shared" si="0"/>
        <v>475</v>
      </c>
      <c r="Y4" s="1">
        <f t="shared" si="1"/>
        <v>475</v>
      </c>
      <c r="Z4" s="1">
        <f t="shared" si="2"/>
        <v>700</v>
      </c>
      <c r="AA4" s="1">
        <v>3000</v>
      </c>
    </row>
    <row r="5" spans="2:27" x14ac:dyDescent="0.25">
      <c r="N5" s="62" t="s">
        <v>22</v>
      </c>
      <c r="O5" s="66" t="str" cm="1">
        <f t="array" ref="O5">_xlfn._xlws.PY(1,0,O3,O4)</f>
        <v>1-1</v>
      </c>
      <c r="P5" s="67" t="str" cm="1">
        <f t="array" ref="P5">_xlfn.IFS(O5="1-1","in-line pump without swirl brakes",O5="1-2","in-line pump with radial bores at balance piston",O5="2-1","back-to-back pump without swirl brakes",O5="2-2","back-to-back pump with radial slots at center bushing",O5="2-3","back-to-back pump with radial bore at center bushing")</f>
        <v>in-line pump without swirl brakes</v>
      </c>
      <c r="Q5" s="67"/>
      <c r="R5" s="2"/>
      <c r="S5" s="1">
        <v>6</v>
      </c>
      <c r="T5" s="1">
        <v>475</v>
      </c>
      <c r="U5" s="1">
        <v>475</v>
      </c>
      <c r="V5" s="1">
        <v>475</v>
      </c>
      <c r="W5" s="1">
        <v>700</v>
      </c>
      <c r="X5" s="1">
        <f t="shared" si="0"/>
        <v>475</v>
      </c>
      <c r="Y5" s="1">
        <f t="shared" si="1"/>
        <v>475</v>
      </c>
      <c r="Z5" s="1">
        <f t="shared" si="2"/>
        <v>700</v>
      </c>
      <c r="AA5" s="1">
        <v>3000</v>
      </c>
    </row>
    <row r="6" spans="2:27" x14ac:dyDescent="0.25">
      <c r="N6" s="62"/>
      <c r="O6" s="66"/>
      <c r="P6" s="67"/>
      <c r="Q6" s="67"/>
      <c r="S6" s="1">
        <v>7</v>
      </c>
      <c r="T6" s="1">
        <v>475</v>
      </c>
      <c r="U6" s="1">
        <v>475</v>
      </c>
      <c r="V6" s="1">
        <v>475</v>
      </c>
      <c r="W6" s="1">
        <v>700</v>
      </c>
      <c r="X6" s="1">
        <f t="shared" si="0"/>
        <v>475</v>
      </c>
      <c r="Y6" s="1">
        <f t="shared" si="1"/>
        <v>475</v>
      </c>
      <c r="Z6" s="1">
        <f t="shared" si="2"/>
        <v>700</v>
      </c>
      <c r="AA6" s="1">
        <v>3000</v>
      </c>
    </row>
    <row r="7" spans="2:27" x14ac:dyDescent="0.25">
      <c r="S7" s="1">
        <v>8</v>
      </c>
      <c r="T7" s="1">
        <v>550</v>
      </c>
      <c r="U7" s="1">
        <v>550</v>
      </c>
      <c r="V7" s="1">
        <v>550</v>
      </c>
      <c r="W7" s="1">
        <v>700</v>
      </c>
      <c r="X7" s="1">
        <f t="shared" si="0"/>
        <v>550</v>
      </c>
      <c r="Y7" s="1">
        <f t="shared" si="1"/>
        <v>550</v>
      </c>
      <c r="Z7" s="1">
        <f t="shared" si="2"/>
        <v>700</v>
      </c>
      <c r="AA7" s="1">
        <v>3000</v>
      </c>
    </row>
    <row r="8" spans="2:27" x14ac:dyDescent="0.25">
      <c r="N8" s="68" t="s">
        <v>23</v>
      </c>
      <c r="O8" s="68"/>
      <c r="S8" s="1">
        <v>8</v>
      </c>
      <c r="T8" s="1">
        <v>550</v>
      </c>
      <c r="U8" s="1">
        <v>475</v>
      </c>
      <c r="V8" s="1">
        <v>475</v>
      </c>
      <c r="W8" s="1">
        <v>700</v>
      </c>
      <c r="X8" s="1">
        <f t="shared" si="0"/>
        <v>550</v>
      </c>
      <c r="Y8" s="1">
        <f t="shared" si="1"/>
        <v>475</v>
      </c>
      <c r="Z8" s="1">
        <f t="shared" si="2"/>
        <v>700</v>
      </c>
      <c r="AA8" s="1">
        <v>3000</v>
      </c>
    </row>
    <row r="9" spans="2:27" x14ac:dyDescent="0.25">
      <c r="N9" s="69" t="s">
        <v>24</v>
      </c>
      <c r="O9" s="69"/>
      <c r="S9" s="1">
        <f>8+(T9-550)/225</f>
        <v>8.6666666666666661</v>
      </c>
      <c r="T9" s="1">
        <v>700</v>
      </c>
      <c r="U9" s="1">
        <v>475</v>
      </c>
      <c r="V9" s="1">
        <v>475</v>
      </c>
      <c r="W9" s="1">
        <v>700</v>
      </c>
      <c r="X9" s="1">
        <f t="shared" si="0"/>
        <v>700</v>
      </c>
      <c r="Y9" s="1">
        <f t="shared" si="1"/>
        <v>475</v>
      </c>
      <c r="Z9" s="1">
        <f t="shared" si="2"/>
        <v>700</v>
      </c>
      <c r="AA9" s="1">
        <v>3000</v>
      </c>
    </row>
    <row r="10" spans="2:27" x14ac:dyDescent="0.25">
      <c r="N10" s="62" t="s">
        <v>25</v>
      </c>
      <c r="O10" s="62"/>
      <c r="S10" s="1">
        <v>9</v>
      </c>
      <c r="T10" s="1">
        <f>550+225*(S10-8)</f>
        <v>775</v>
      </c>
      <c r="U10" s="1">
        <v>475</v>
      </c>
      <c r="V10" s="1">
        <v>475</v>
      </c>
      <c r="W10" s="1">
        <v>700</v>
      </c>
      <c r="X10" s="1">
        <f t="shared" si="0"/>
        <v>700</v>
      </c>
      <c r="Y10" s="1">
        <f t="shared" si="1"/>
        <v>475</v>
      </c>
      <c r="Z10" s="1">
        <f t="shared" si="2"/>
        <v>775</v>
      </c>
      <c r="AA10" s="1">
        <v>3000</v>
      </c>
    </row>
    <row r="11" spans="2:27" x14ac:dyDescent="0.25">
      <c r="N11" s="63" t="s">
        <v>26</v>
      </c>
      <c r="O11" s="63"/>
      <c r="S11" s="1">
        <v>10</v>
      </c>
      <c r="T11" s="1">
        <f>550+225*(S11-8)</f>
        <v>1000</v>
      </c>
      <c r="U11" s="1">
        <v>475</v>
      </c>
      <c r="V11" s="1">
        <v>475</v>
      </c>
      <c r="W11" s="1">
        <v>700</v>
      </c>
      <c r="X11" s="1">
        <f t="shared" si="0"/>
        <v>700</v>
      </c>
      <c r="Y11" s="1">
        <f t="shared" si="1"/>
        <v>475</v>
      </c>
      <c r="Z11" s="1">
        <f t="shared" si="2"/>
        <v>1000</v>
      </c>
      <c r="AA11" s="1">
        <v>3000</v>
      </c>
    </row>
    <row r="12" spans="2:27" x14ac:dyDescent="0.25">
      <c r="N12" s="64" t="s">
        <v>27</v>
      </c>
      <c r="O12" s="64"/>
      <c r="S12" s="1">
        <v>10</v>
      </c>
      <c r="T12" s="1">
        <f t="shared" ref="T12:T18" si="3">550+225*(S12-8)</f>
        <v>1000</v>
      </c>
      <c r="U12" s="1">
        <v>475</v>
      </c>
      <c r="V12" s="1">
        <v>500</v>
      </c>
      <c r="W12" s="1">
        <v>700</v>
      </c>
      <c r="X12" s="1">
        <f t="shared" si="0"/>
        <v>700</v>
      </c>
      <c r="Y12" s="1">
        <f t="shared" si="1"/>
        <v>500</v>
      </c>
      <c r="Z12" s="1">
        <f t="shared" si="2"/>
        <v>1000</v>
      </c>
      <c r="AA12" s="1">
        <v>3000</v>
      </c>
    </row>
    <row r="13" spans="2:27" x14ac:dyDescent="0.25">
      <c r="S13" s="1">
        <v>11</v>
      </c>
      <c r="T13" s="1">
        <f t="shared" si="3"/>
        <v>1225</v>
      </c>
      <c r="U13" s="1">
        <v>475</v>
      </c>
      <c r="V13" s="1">
        <v>500</v>
      </c>
      <c r="W13" s="1">
        <v>700</v>
      </c>
      <c r="X13" s="1">
        <f t="shared" si="0"/>
        <v>700</v>
      </c>
      <c r="Y13" s="1">
        <f t="shared" si="1"/>
        <v>500</v>
      </c>
      <c r="Z13" s="1">
        <f t="shared" si="2"/>
        <v>1225</v>
      </c>
      <c r="AA13" s="1">
        <v>3000</v>
      </c>
    </row>
    <row r="14" spans="2:27" x14ac:dyDescent="0.25">
      <c r="S14" s="1">
        <v>12</v>
      </c>
      <c r="T14" s="1">
        <f t="shared" si="3"/>
        <v>1450</v>
      </c>
      <c r="U14" s="1">
        <v>475</v>
      </c>
      <c r="V14" s="1">
        <v>570</v>
      </c>
      <c r="W14" s="1">
        <f>700+300*(S14-$S$13)</f>
        <v>1000</v>
      </c>
      <c r="X14" s="1">
        <f t="shared" si="0"/>
        <v>1000</v>
      </c>
      <c r="Y14" s="1">
        <f t="shared" si="1"/>
        <v>570</v>
      </c>
      <c r="Z14" s="1">
        <f t="shared" si="2"/>
        <v>1450</v>
      </c>
      <c r="AA14" s="1">
        <v>3000</v>
      </c>
    </row>
    <row r="15" spans="2:27" x14ac:dyDescent="0.25">
      <c r="S15" s="1">
        <v>13</v>
      </c>
      <c r="T15" s="1">
        <f t="shared" si="3"/>
        <v>1675</v>
      </c>
      <c r="U15" s="1">
        <v>475</v>
      </c>
      <c r="V15" s="1">
        <v>570</v>
      </c>
      <c r="W15" s="1">
        <f t="shared" ref="W15:W18" si="4">700+300*(S15-$S$13)</f>
        <v>1300</v>
      </c>
      <c r="X15" s="1">
        <f t="shared" si="0"/>
        <v>1300</v>
      </c>
      <c r="Y15" s="1">
        <f t="shared" si="1"/>
        <v>570</v>
      </c>
      <c r="Z15" s="1">
        <f t="shared" si="2"/>
        <v>1675</v>
      </c>
      <c r="AA15" s="1">
        <v>3000</v>
      </c>
    </row>
    <row r="16" spans="2:27" x14ac:dyDescent="0.25">
      <c r="S16" s="1">
        <v>14</v>
      </c>
      <c r="T16" s="1">
        <f t="shared" si="3"/>
        <v>1900</v>
      </c>
      <c r="U16" s="1">
        <v>475</v>
      </c>
      <c r="V16" s="1">
        <v>570</v>
      </c>
      <c r="W16" s="1">
        <f t="shared" si="4"/>
        <v>1600</v>
      </c>
      <c r="X16" s="1">
        <f t="shared" si="0"/>
        <v>1600</v>
      </c>
      <c r="Y16" s="1">
        <f t="shared" si="1"/>
        <v>570</v>
      </c>
      <c r="Z16" s="1">
        <f t="shared" si="2"/>
        <v>1900</v>
      </c>
      <c r="AA16" s="1">
        <v>3000</v>
      </c>
    </row>
    <row r="17" spans="19:27" x14ac:dyDescent="0.25">
      <c r="S17" s="1">
        <v>15</v>
      </c>
      <c r="T17" s="1">
        <f t="shared" si="3"/>
        <v>2125</v>
      </c>
      <c r="U17" s="1">
        <v>475</v>
      </c>
      <c r="V17" s="1">
        <v>570</v>
      </c>
      <c r="W17" s="1">
        <f t="shared" si="4"/>
        <v>1900</v>
      </c>
      <c r="X17" s="1">
        <f t="shared" si="0"/>
        <v>1900</v>
      </c>
      <c r="Y17" s="1">
        <f t="shared" si="1"/>
        <v>570</v>
      </c>
      <c r="Z17" s="1">
        <f t="shared" si="2"/>
        <v>2125</v>
      </c>
      <c r="AA17" s="1">
        <v>3000</v>
      </c>
    </row>
    <row r="18" spans="19:27" x14ac:dyDescent="0.25">
      <c r="S18" s="1">
        <v>16</v>
      </c>
      <c r="T18" s="1">
        <f t="shared" si="3"/>
        <v>2350</v>
      </c>
      <c r="U18" s="1">
        <v>475</v>
      </c>
      <c r="V18" s="1">
        <v>570</v>
      </c>
      <c r="W18" s="1">
        <f t="shared" si="4"/>
        <v>2200</v>
      </c>
      <c r="X18" s="1">
        <f t="shared" si="0"/>
        <v>2200</v>
      </c>
      <c r="Y18" s="1">
        <f t="shared" si="1"/>
        <v>570</v>
      </c>
      <c r="Z18" s="1">
        <f t="shared" si="2"/>
        <v>2350</v>
      </c>
      <c r="AA18" s="1">
        <v>3000</v>
      </c>
    </row>
    <row r="20" spans="19:27" x14ac:dyDescent="0.25">
      <c r="S20" s="1">
        <v>3</v>
      </c>
      <c r="T20" s="1">
        <v>475</v>
      </c>
      <c r="U20" s="1">
        <v>700</v>
      </c>
      <c r="V20" s="1"/>
    </row>
    <row r="21" spans="19:27" x14ac:dyDescent="0.25">
      <c r="S21" s="1">
        <v>4</v>
      </c>
      <c r="T21" s="1">
        <v>475</v>
      </c>
      <c r="U21" s="1">
        <v>700</v>
      </c>
      <c r="V21" s="1"/>
    </row>
    <row r="22" spans="19:27" x14ac:dyDescent="0.25">
      <c r="S22" s="1">
        <v>5</v>
      </c>
      <c r="T22" s="1">
        <v>475</v>
      </c>
      <c r="U22" s="1">
        <v>700</v>
      </c>
      <c r="V22" s="1"/>
    </row>
    <row r="23" spans="19:27" x14ac:dyDescent="0.25">
      <c r="S23" s="1">
        <v>6</v>
      </c>
      <c r="T23" s="1">
        <v>475</v>
      </c>
      <c r="U23" s="1">
        <v>700</v>
      </c>
      <c r="V23" s="1"/>
    </row>
    <row r="24" spans="19:27" x14ac:dyDescent="0.25">
      <c r="S24" s="1">
        <v>7</v>
      </c>
      <c r="T24" s="1">
        <v>475</v>
      </c>
      <c r="U24" s="1">
        <v>700</v>
      </c>
      <c r="V24" s="1"/>
    </row>
    <row r="25" spans="19:27" x14ac:dyDescent="0.25">
      <c r="S25" s="1">
        <v>8</v>
      </c>
      <c r="T25" s="1">
        <v>550</v>
      </c>
      <c r="U25" s="1">
        <v>700</v>
      </c>
      <c r="V25" s="1"/>
    </row>
    <row r="26" spans="19:27" x14ac:dyDescent="0.25">
      <c r="S26" s="1">
        <v>9</v>
      </c>
      <c r="T26" s="1">
        <v>475</v>
      </c>
      <c r="U26" s="1">
        <v>700</v>
      </c>
      <c r="V26" s="1">
        <v>775</v>
      </c>
      <c r="W26" s="1"/>
    </row>
    <row r="27" spans="19:27" x14ac:dyDescent="0.25">
      <c r="S27" s="1">
        <v>10</v>
      </c>
      <c r="T27" s="1">
        <v>475</v>
      </c>
      <c r="U27" s="1">
        <v>500</v>
      </c>
      <c r="V27" s="1">
        <v>700</v>
      </c>
      <c r="W27" s="1">
        <v>1000</v>
      </c>
    </row>
    <row r="28" spans="19:27" x14ac:dyDescent="0.25">
      <c r="S28" s="1">
        <v>11</v>
      </c>
      <c r="T28" s="1">
        <v>475</v>
      </c>
      <c r="U28" s="1">
        <v>500</v>
      </c>
      <c r="V28" s="1">
        <v>700</v>
      </c>
      <c r="W28" s="1">
        <v>1225</v>
      </c>
    </row>
    <row r="29" spans="19:27" x14ac:dyDescent="0.25">
      <c r="S29" s="1">
        <v>12</v>
      </c>
      <c r="T29" s="1">
        <v>475</v>
      </c>
      <c r="U29" s="1">
        <v>570</v>
      </c>
      <c r="V29" s="1">
        <v>1000</v>
      </c>
      <c r="W29" s="1">
        <v>1450</v>
      </c>
    </row>
    <row r="30" spans="19:27" x14ac:dyDescent="0.25">
      <c r="S30" s="1">
        <v>13</v>
      </c>
      <c r="T30" s="1">
        <v>475</v>
      </c>
      <c r="U30" s="1">
        <v>570</v>
      </c>
      <c r="V30" s="1">
        <v>1300</v>
      </c>
      <c r="W30" s="1">
        <v>1675</v>
      </c>
    </row>
    <row r="31" spans="19:27" x14ac:dyDescent="0.25">
      <c r="S31" s="1">
        <v>14</v>
      </c>
      <c r="T31" s="1">
        <v>475</v>
      </c>
      <c r="U31" s="1">
        <v>570</v>
      </c>
      <c r="V31" s="1">
        <v>1600</v>
      </c>
      <c r="W31" s="1">
        <v>1900</v>
      </c>
    </row>
    <row r="32" spans="19:27" x14ac:dyDescent="0.25">
      <c r="S32" s="1">
        <v>15</v>
      </c>
      <c r="T32" s="1">
        <v>475</v>
      </c>
      <c r="U32" s="1">
        <v>570</v>
      </c>
      <c r="V32" s="1">
        <v>1900</v>
      </c>
      <c r="W32" s="1">
        <v>2125</v>
      </c>
    </row>
    <row r="33" spans="19:23" x14ac:dyDescent="0.25">
      <c r="S33" s="1">
        <v>16</v>
      </c>
      <c r="T33" s="1">
        <v>475</v>
      </c>
      <c r="U33" s="1">
        <v>570</v>
      </c>
      <c r="V33" s="1">
        <v>2200</v>
      </c>
      <c r="W33" s="1">
        <v>2350</v>
      </c>
    </row>
  </sheetData>
  <mergeCells count="9">
    <mergeCell ref="N10:O10"/>
    <mergeCell ref="N11:O11"/>
    <mergeCell ref="N12:O12"/>
    <mergeCell ref="N2:Q2"/>
    <mergeCell ref="N5:N6"/>
    <mergeCell ref="O5:O6"/>
    <mergeCell ref="P5:Q6"/>
    <mergeCell ref="N8:O8"/>
    <mergeCell ref="N9:O9"/>
  </mergeCells>
  <dataValidations count="1">
    <dataValidation type="whole" allowBlank="1" showInputMessage="1" showErrorMessage="1" sqref="O3" xr:uid="{10666CBC-C4F6-4C36-BAE8-5B387D4DB5C4}">
      <formula1>3</formula1>
      <formula2>16</formula2>
    </dataValidation>
  </dataValidation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Scroll Bar 1">
              <controlPr defaultSize="0" autoPict="0">
                <anchor moveWithCells="1">
                  <from>
                    <xdr:col>15</xdr:col>
                    <xdr:colOff>19050</xdr:colOff>
                    <xdr:row>2</xdr:row>
                    <xdr:rowOff>19050</xdr:rowOff>
                  </from>
                  <to>
                    <xdr:col>15</xdr:col>
                    <xdr:colOff>714375</xdr:colOff>
                    <xdr:row>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Scroll Bar 2">
              <controlPr defaultSize="0" autoPict="0">
                <anchor moveWithCells="1">
                  <from>
                    <xdr:col>15</xdr:col>
                    <xdr:colOff>19050</xdr:colOff>
                    <xdr:row>3</xdr:row>
                    <xdr:rowOff>19050</xdr:rowOff>
                  </from>
                  <to>
                    <xdr:col>15</xdr:col>
                    <xdr:colOff>714375</xdr:colOff>
                    <xdr:row>3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B3CB18-3ACF-4394-B7B0-F264214816E0}">
  <ds:schemaRefs>
    <ds:schemaRef ds:uri="http://schemas.microsoft.com/office/2006/metadata/properties"/>
    <ds:schemaRef ds:uri="http://schemas.microsoft.com/office/infopath/2007/PartnerControls"/>
    <ds:schemaRef ds:uri="2710bc8b-17c9-4e36-a567-5a8748d28b44"/>
    <ds:schemaRef ds:uri="f16ae08e-32aa-43c4-955b-813e13c9303e"/>
  </ds:schemaRefs>
</ds:datastoreItem>
</file>

<file path=customXml/itemProps2.xml><?xml version="1.0" encoding="utf-8"?>
<ds:datastoreItem xmlns:ds="http://schemas.openxmlformats.org/officeDocument/2006/customXml" ds:itemID="{3E4FA7E1-0815-4334-9449-48BC5DF4EA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88BA2-D5BB-4D9B-85E2-E5F91442D9C6}"/>
</file>

<file path=docMetadata/LabelInfo.xml><?xml version="1.0" encoding="utf-8"?>
<clbl:labelList xmlns:clbl="http://schemas.microsoft.com/office/2020/mipLabelMetadata">
  <clbl:label id="{ac69433e-9fbc-4566-9c7b-2629ed8b780f}" enabled="0" method="" siteId="{ac69433e-9fbc-4566-9c7b-2629ed8b7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Cover</vt:lpstr>
      <vt:lpstr>BB5</vt:lpstr>
      <vt:lpstr>Cover!Area_stampa</vt:lpstr>
    </vt:vector>
  </TitlesOfParts>
  <Manager/>
  <Company>Trillium Flow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Fabrizio Cademartori</dc:creator>
  <cp:keywords/>
  <dc:description/>
  <cp:lastModifiedBy>Carmine Delli Quadri</cp:lastModifiedBy>
  <cp:revision/>
  <dcterms:created xsi:type="dcterms:W3CDTF">2025-01-08T16:30:37Z</dcterms:created>
  <dcterms:modified xsi:type="dcterms:W3CDTF">2025-02-10T07:54:22Z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  <property fmtid="{D5CDD505-2E9C-101B-9397-08002B2CF9AE}" pid="3" name="MediaServiceImageTags">
    <vt:lpwstr/>
  </property>
</Properties>
</file>