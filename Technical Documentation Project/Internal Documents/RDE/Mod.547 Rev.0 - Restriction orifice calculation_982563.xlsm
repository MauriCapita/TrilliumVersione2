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1\4. José\Da controllare con Ary\"/>
    </mc:Choice>
  </mc:AlternateContent>
  <xr:revisionPtr revIDLastSave="0" documentId="13_ncr:1_{2111E718-7C5F-47B0-9735-0BB65AEF08F8}" xr6:coauthVersionLast="47" xr6:coauthVersionMax="47" xr10:uidLastSave="{00000000-0000-0000-0000-000000000000}"/>
  <bookViews>
    <workbookView xWindow="-120" yWindow="-120" windowWidth="19440" windowHeight="14880" tabRatio="545" xr2:uid="{00000000-000D-0000-FFFF-FFFF00000000}"/>
  </bookViews>
  <sheets>
    <sheet name="content" sheetId="6" r:id="rId1"/>
    <sheet name="ISO_5167-2" sheetId="3" r:id="rId2"/>
    <sheet name="idelchik_IV_4.14" sheetId="8" r:id="rId3"/>
    <sheet name="pipe_ASTM" sheetId="7" r:id="rId4"/>
  </sheets>
  <definedNames>
    <definedName name="pipe_DN_ASTM">pipe_ASTM!$A$3:$A$26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" i="8" l="1"/>
  <c r="C29" i="3"/>
  <c r="C29" i="8"/>
  <c r="C31" i="8" s="1"/>
  <c r="C47" i="8" l="1"/>
  <c r="C46" i="3"/>
  <c r="C19" i="8"/>
  <c r="C18" i="8" s="1"/>
  <c r="C17" i="8"/>
  <c r="C16" i="3"/>
  <c r="A30" i="7"/>
  <c r="M30" i="7" s="1" a="1"/>
  <c r="M30" i="7" s="1"/>
  <c r="O30" i="7" l="1" a="1"/>
  <c r="O30" i="7" s="1"/>
  <c r="E30" i="7" a="1"/>
  <c r="E30" i="7" s="1"/>
  <c r="D30" i="7" a="1"/>
  <c r="D30" i="7" s="1"/>
  <c r="G30" i="7" a="1"/>
  <c r="G30" i="7" s="1"/>
  <c r="J30" i="7" a="1"/>
  <c r="J30" i="7" s="1"/>
  <c r="H30" i="7" a="1"/>
  <c r="H30" i="7" s="1"/>
  <c r="K30" i="7" a="1"/>
  <c r="K30" i="7" s="1"/>
  <c r="N30" i="7" a="1"/>
  <c r="N30" i="7" s="1"/>
  <c r="B30" i="7" a="1"/>
  <c r="B30" i="7" s="1"/>
  <c r="C30" i="7" a="1"/>
  <c r="C30" i="7" s="1"/>
  <c r="F30" i="7" a="1"/>
  <c r="F30" i="7" s="1"/>
  <c r="I30" i="7" a="1"/>
  <c r="I30" i="7" s="1"/>
  <c r="L30" i="7" a="1"/>
  <c r="L30" i="7" s="1"/>
  <c r="CO17" i="8"/>
  <c r="CO16" i="8"/>
  <c r="CO15" i="8"/>
  <c r="CO14" i="8"/>
  <c r="CO13" i="8"/>
  <c r="CY2" i="8" l="1"/>
  <c r="CX2" i="8"/>
  <c r="CW2" i="8"/>
  <c r="CV2" i="8"/>
  <c r="CU2" i="8"/>
  <c r="CT2" i="8"/>
  <c r="CS2" i="8"/>
  <c r="CR2" i="8"/>
  <c r="CQ2" i="8"/>
  <c r="CP2" i="8"/>
  <c r="BY2" i="8" l="1"/>
  <c r="BZ2" i="8"/>
  <c r="CA2" i="8"/>
  <c r="CB2" i="8"/>
  <c r="CC2" i="8"/>
  <c r="CD2" i="8"/>
  <c r="CE2" i="8"/>
  <c r="CF2" i="8"/>
  <c r="CG2" i="8"/>
  <c r="CH2" i="8"/>
  <c r="CI2" i="8"/>
  <c r="CJ2" i="8"/>
  <c r="CK2" i="8"/>
  <c r="CL2" i="8"/>
  <c r="BX2" i="8"/>
  <c r="C37" i="8" l="1"/>
  <c r="BT4" i="8"/>
  <c r="BT5" i="8" s="1"/>
  <c r="BT6" i="8" s="1"/>
  <c r="BT7" i="8" s="1"/>
  <c r="BT8" i="8" s="1"/>
  <c r="BT9" i="8" s="1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AX3" i="8"/>
  <c r="C35" i="8" l="1"/>
  <c r="BQ4" i="8" l="1"/>
  <c r="E13" i="8"/>
  <c r="C33" i="8"/>
  <c r="E19" i="8"/>
  <c r="E14" i="8" a="1"/>
  <c r="E14" i="8" s="1"/>
  <c r="E12" i="8"/>
  <c r="BO17" i="8" a="1"/>
  <c r="BC5" i="8" a="1"/>
  <c r="BK6" i="8" a="1"/>
  <c r="AX23" i="8" a="1"/>
  <c r="AY9" i="8" a="1"/>
  <c r="BO28" i="8" a="1"/>
  <c r="AX31" i="8" a="1"/>
  <c r="BH13" i="8" a="1"/>
  <c r="BA25" i="8" a="1"/>
  <c r="BK5" i="8" a="1"/>
  <c r="BG5" i="8" a="1"/>
  <c r="BI47" i="8" a="1"/>
  <c r="BN34" i="8" a="1"/>
  <c r="BD12" i="8" a="1"/>
  <c r="BP35" i="8" a="1"/>
  <c r="BL28" i="8" a="1"/>
  <c r="BK45" i="8" a="1"/>
  <c r="BI38" i="8" a="1"/>
  <c r="BP22" i="8" a="1"/>
  <c r="BL24" i="8" a="1"/>
  <c r="BO10" i="8" a="1"/>
  <c r="BA18" i="8" a="1"/>
  <c r="BE11" i="8" a="1"/>
  <c r="BF38" i="8" a="1"/>
  <c r="BK18" i="8" a="1"/>
  <c r="BH36" i="8" a="1"/>
  <c r="BM46" i="8" a="1"/>
  <c r="BK20" i="8" a="1"/>
  <c r="BG44" i="8" a="1"/>
  <c r="BA48" i="8" a="1"/>
  <c r="AY50" i="8" a="1"/>
  <c r="BI19" i="8" a="1"/>
  <c r="AZ43" i="8" a="1"/>
  <c r="BP21" i="8" a="1"/>
  <c r="BI50" i="8" a="1"/>
  <c r="BA23" i="8" a="1"/>
  <c r="BF36" i="8" a="1"/>
  <c r="BM21" i="8" a="1"/>
  <c r="BH6" i="8" a="1"/>
  <c r="BL48" i="8" a="1"/>
  <c r="BP16" i="8" a="1"/>
  <c r="BA32" i="8" a="1"/>
  <c r="BG8" i="8" a="1"/>
  <c r="BF28" i="8" a="1"/>
  <c r="BA22" i="8" a="1"/>
  <c r="BF43" i="8" a="1"/>
  <c r="BD40" i="8" a="1"/>
  <c r="AX37" i="8" a="1"/>
  <c r="BB8" i="8" a="1"/>
  <c r="BJ5" i="8" a="1"/>
  <c r="BJ29" i="8" a="1"/>
  <c r="BG22" i="8" a="1"/>
  <c r="BG30" i="8" a="1"/>
  <c r="BC42" i="8" a="1"/>
  <c r="BI6" i="8" a="1"/>
  <c r="BO32" i="8" a="1"/>
  <c r="BP27" i="8" a="1"/>
  <c r="BF47" i="8" a="1"/>
  <c r="BG6" i="8" a="1"/>
  <c r="BK21" i="8" a="1"/>
  <c r="BJ35" i="8" a="1"/>
  <c r="AY38" i="8" a="1"/>
  <c r="BF34" i="8" a="1"/>
  <c r="BL7" i="8" a="1"/>
  <c r="BE37" i="8" a="1"/>
  <c r="BJ21" i="8" a="1"/>
  <c r="BJ38" i="8" a="1"/>
  <c r="BL34" i="8" a="1"/>
  <c r="BK31" i="8" a="1"/>
  <c r="AY41" i="8" a="1"/>
  <c r="BH29" i="8" a="1"/>
  <c r="BD38" i="8" a="1"/>
  <c r="AX49" i="8" a="1"/>
  <c r="BI44" i="8" a="1"/>
  <c r="BI20" i="8" a="1"/>
  <c r="AY40" i="8" a="1"/>
  <c r="BC17" i="8" a="1"/>
  <c r="BN7" i="8" a="1"/>
  <c r="BC40" i="8" a="1"/>
  <c r="BJ10" i="8" a="1"/>
  <c r="BO50" i="8" a="1"/>
  <c r="BN20" i="8" a="1"/>
  <c r="BE41" i="8" a="1"/>
  <c r="BJ47" i="8" a="1"/>
  <c r="AZ31" i="8" a="1"/>
  <c r="BP41" i="8" a="1"/>
  <c r="BB6" i="8" a="1"/>
  <c r="BG27" i="8" a="1"/>
  <c r="BI40" i="8" a="1"/>
  <c r="BN39" i="8" a="1"/>
  <c r="BI48" i="8" a="1"/>
  <c r="BG47" i="8" a="1"/>
  <c r="BM34" i="8" a="1"/>
  <c r="AX50" i="8" a="1"/>
  <c r="BO42" i="8" a="1"/>
  <c r="BI33" i="8" a="1"/>
  <c r="AX35" i="8" a="1"/>
  <c r="BE27" i="8" a="1"/>
  <c r="BD13" i="8" a="1"/>
  <c r="BK34" i="8" a="1"/>
  <c r="BP46" i="8" a="1"/>
  <c r="BN44" i="8" a="1"/>
  <c r="BK39" i="8" a="1"/>
  <c r="BF14" i="8" a="1"/>
  <c r="AY44" i="8" a="1"/>
  <c r="BG51" i="8" a="1"/>
  <c r="BD23" i="8" a="1"/>
  <c r="BF35" i="8" a="1"/>
  <c r="AY11" i="8" a="1"/>
  <c r="AX18" i="8" a="1"/>
  <c r="AX41" i="8" a="1"/>
  <c r="BJ30" i="8" a="1"/>
  <c r="AX39" i="8" a="1"/>
  <c r="AY17" i="8" a="1"/>
  <c r="AX13" i="8" a="1"/>
  <c r="BC39" i="8" a="1"/>
  <c r="AZ40" i="8" a="1"/>
  <c r="BG40" i="8" a="1"/>
  <c r="BH26" i="8" a="1"/>
  <c r="BN10" i="8" a="1"/>
  <c r="AZ27" i="8" a="1"/>
  <c r="BN42" i="8" a="1"/>
  <c r="AZ47" i="8" a="1"/>
  <c r="BH30" i="8" a="1"/>
  <c r="BI16" i="8" a="1"/>
  <c r="BH47" i="8" a="1"/>
  <c r="BO47" i="8" a="1"/>
  <c r="BL30" i="8" a="1"/>
  <c r="BC32" i="8" a="1"/>
  <c r="BD5" i="8" a="1"/>
  <c r="BB44" i="8" a="1"/>
  <c r="BG16" i="8" a="1"/>
  <c r="BA49" i="8" a="1"/>
  <c r="BD44" i="8" a="1"/>
  <c r="BO9" i="8" a="1"/>
  <c r="BE8" i="8" a="1"/>
  <c r="BB51" i="8" a="1"/>
  <c r="BN17" i="8" a="1"/>
  <c r="BO36" i="8" a="1"/>
  <c r="BI26" i="8" a="1"/>
  <c r="AZ29" i="8" a="1"/>
  <c r="BK36" i="8" a="1"/>
  <c r="AX44" i="8" a="1"/>
  <c r="AY5" i="8" a="1"/>
  <c r="BC35" i="8" a="1"/>
  <c r="BB49" i="8" a="1"/>
  <c r="BA43" i="8" a="1"/>
  <c r="BH14" i="8" a="1"/>
  <c r="BE15" i="8" a="1"/>
  <c r="BK49" i="8" a="1"/>
  <c r="AX9" i="8" a="1"/>
  <c r="AY37" i="8" a="1"/>
  <c r="AY31" i="8" a="1"/>
  <c r="BP19" i="8" a="1"/>
  <c r="BN16" i="8" a="1"/>
  <c r="BK44" i="8" a="1"/>
  <c r="BG14" i="8" a="1"/>
  <c r="BI36" i="8" a="1"/>
  <c r="BE29" i="8" a="1"/>
  <c r="BK41" i="8" a="1"/>
  <c r="BG49" i="8" a="1"/>
  <c r="BE23" i="8" a="1"/>
  <c r="BD36" i="8" a="1"/>
  <c r="BK32" i="8" a="1"/>
  <c r="BK25" i="8" a="1"/>
  <c r="BP8" i="8" a="1"/>
  <c r="BM35" i="8" a="1"/>
  <c r="BJ15" i="8" a="1"/>
  <c r="BH32" i="8" a="1"/>
  <c r="BG42" i="8" a="1"/>
  <c r="BA46" i="8" a="1"/>
  <c r="BP39" i="8" a="1"/>
  <c r="BD10" i="8" a="1"/>
  <c r="BD18" i="8" a="1"/>
  <c r="BJ22" i="8" a="1"/>
  <c r="BG23" i="8" a="1"/>
  <c r="BN47" i="8" a="1"/>
  <c r="AZ49" i="8" a="1"/>
  <c r="BA15" i="8" a="1"/>
  <c r="BJ41" i="8" a="1"/>
  <c r="BP31" i="8" a="1"/>
  <c r="BC15" i="8" a="1"/>
  <c r="BG34" i="8" a="1"/>
  <c r="BM14" i="8" a="1"/>
  <c r="BE18" i="8" a="1"/>
  <c r="BM9" i="8" a="1"/>
  <c r="BL6" i="8" a="1"/>
  <c r="BE19" i="8" a="1"/>
  <c r="BB42" i="8" a="1"/>
  <c r="AZ26" i="8" a="1"/>
  <c r="BB45" i="8" a="1"/>
  <c r="BF30" i="8" a="1"/>
  <c r="BJ8" i="8" a="1"/>
  <c r="AY7" i="8" a="1"/>
  <c r="BJ18" i="8" a="1"/>
  <c r="BN29" i="8" a="1"/>
  <c r="BJ19" i="8" a="1"/>
  <c r="AX32" i="8" a="1"/>
  <c r="AZ34" i="8" a="1"/>
  <c r="AZ32" i="8" a="1"/>
  <c r="AX14" i="8" a="1"/>
  <c r="BF23" i="8" a="1"/>
  <c r="BN43" i="8" a="1"/>
  <c r="BD34" i="8" a="1"/>
  <c r="BE13" i="8" a="1"/>
  <c r="BF8" i="8" a="1"/>
  <c r="BH38" i="8" a="1"/>
  <c r="BD24" i="8" a="1"/>
  <c r="BG28" i="8" a="1"/>
  <c r="AZ7" i="8" a="1"/>
  <c r="AZ15" i="8" a="1"/>
  <c r="AZ44" i="8" a="1"/>
  <c r="BF6" i="8" a="1"/>
  <c r="BL46" i="8" a="1"/>
  <c r="BN40" i="8" a="1"/>
  <c r="AX19" i="8" a="1"/>
  <c r="BI10" i="8" a="1"/>
  <c r="BM49" i="8" a="1"/>
  <c r="BD19" i="8" a="1"/>
  <c r="BI27" i="8" a="1"/>
  <c r="BO44" i="8" a="1"/>
  <c r="BN49" i="8" a="1"/>
  <c r="BD11" i="8" a="1"/>
  <c r="BO22" i="8" a="1"/>
  <c r="BE16" i="8" a="1"/>
  <c r="BG31" i="8" a="1"/>
  <c r="BC19" i="8" a="1"/>
  <c r="BO33" i="8" a="1"/>
  <c r="AX16" i="8" a="1"/>
  <c r="BN27" i="8" a="1"/>
  <c r="BE10" i="8" a="1"/>
  <c r="AX7" i="8" a="1"/>
  <c r="BC33" i="8" a="1"/>
  <c r="BE22" i="8" a="1"/>
  <c r="AX12" i="8" a="1"/>
  <c r="BO38" i="8" a="1"/>
  <c r="BC25" i="8" a="1"/>
  <c r="BJ6" i="8" a="1"/>
  <c r="BK12" i="8" a="1"/>
  <c r="BS7" i="8" a="1"/>
  <c r="BJ36" i="8" a="1"/>
  <c r="BF7" i="8" a="1"/>
  <c r="BL9" i="8" a="1"/>
  <c r="BL11" i="8" a="1"/>
  <c r="BF21" i="8" a="1"/>
  <c r="BA11" i="8" a="1"/>
  <c r="BI15" i="8" a="1"/>
  <c r="BC8" i="8" a="1"/>
  <c r="BS8" i="8" a="1"/>
  <c r="BE42" i="8" a="1"/>
  <c r="BP25" i="8" a="1"/>
  <c r="BM12" i="8" a="1"/>
  <c r="BL13" i="8" a="1"/>
  <c r="BB50" i="8" a="1"/>
  <c r="BN8" i="8" a="1"/>
  <c r="BI31" i="8" a="1"/>
  <c r="BA13" i="8" a="1"/>
  <c r="BO35" i="8" a="1"/>
  <c r="BH21" i="8" a="1"/>
  <c r="BM38" i="8" a="1"/>
  <c r="BA16" i="8" a="1"/>
  <c r="BF20" i="8" a="1"/>
  <c r="BM50" i="8" a="1"/>
  <c r="BL16" i="8" a="1"/>
  <c r="BA5" i="8" a="1"/>
  <c r="BD31" i="8" a="1"/>
  <c r="BP24" i="8" a="1"/>
  <c r="BD26" i="8" a="1"/>
  <c r="BG45" i="8" a="1"/>
  <c r="BO6" i="8" a="1"/>
  <c r="BP13" i="8" a="1"/>
  <c r="BC18" i="8" a="1"/>
  <c r="BF9" i="8" a="1"/>
  <c r="BD17" i="8" a="1"/>
  <c r="BF24" i="8" a="1"/>
  <c r="BK24" i="8" a="1"/>
  <c r="BL35" i="8" a="1"/>
  <c r="BC20" i="8" a="1"/>
  <c r="BA50" i="8" a="1"/>
  <c r="BP43" i="8" a="1"/>
  <c r="BO13" i="8" a="1"/>
  <c r="BH37" i="8" a="1"/>
  <c r="AY48" i="8" a="1"/>
  <c r="AZ13" i="8" a="1"/>
  <c r="BE28" i="8" a="1"/>
  <c r="BF44" i="8" a="1"/>
  <c r="BI51" i="8" a="1"/>
  <c r="BM45" i="8" a="1"/>
  <c r="AX25" i="8" a="1"/>
  <c r="AX45" i="8" a="1"/>
  <c r="AZ37" i="8" a="1"/>
  <c r="BK43" i="8" a="1"/>
  <c r="BP5" i="8" a="1"/>
  <c r="BC44" i="8" a="1"/>
  <c r="BH9" i="8" a="1"/>
  <c r="BE50" i="8" a="1"/>
  <c r="BJ27" i="8" a="1"/>
  <c r="BG19" i="8" a="1"/>
  <c r="BG26" i="8" a="1"/>
  <c r="BH51" i="8" a="1"/>
  <c r="BB34" i="8" a="1"/>
  <c r="BC22" i="8" a="1"/>
  <c r="BF40" i="8" a="1"/>
  <c r="BB21" i="8" a="1"/>
  <c r="BL32" i="8" a="1"/>
  <c r="BD27" i="8" a="1"/>
  <c r="BK13" i="8" a="1"/>
  <c r="BL21" i="8" a="1"/>
  <c r="BB23" i="8" a="1"/>
  <c r="BO12" i="8" a="1"/>
  <c r="BG21" i="8" a="1"/>
  <c r="BL37" i="8" a="1"/>
  <c r="BK19" i="8" a="1"/>
  <c r="AZ19" i="8" a="1"/>
  <c r="AX36" i="8" a="1"/>
  <c r="BJ34" i="8" a="1"/>
  <c r="BO14" i="8" a="1"/>
  <c r="BC49" i="8" a="1"/>
  <c r="BN13" i="8" a="1"/>
  <c r="BA29" i="8" a="1"/>
  <c r="BI29" i="8" a="1"/>
  <c r="BB26" i="8" a="1"/>
  <c r="BB19" i="8" a="1"/>
  <c r="BC13" i="8" a="1"/>
  <c r="AZ12" i="8" a="1"/>
  <c r="BC24" i="8" a="1"/>
  <c r="BN25" i="8" a="1"/>
  <c r="BC12" i="8" a="1"/>
  <c r="BD30" i="8" a="1"/>
  <c r="BG37" i="8" a="1"/>
  <c r="BL47" i="8" a="1"/>
  <c r="BP12" i="8" a="1"/>
  <c r="BA27" i="8" a="1"/>
  <c r="BA9" i="8" a="1"/>
  <c r="BP15" i="8" a="1"/>
  <c r="BO24" i="8" a="1"/>
  <c r="BL41" i="8" a="1"/>
  <c r="BD20" i="8" a="1"/>
  <c r="BJ23" i="8" a="1"/>
  <c r="BB43" i="8" a="1"/>
  <c r="AX28" i="8" a="1"/>
  <c r="BE9" i="8" a="1"/>
  <c r="AZ9" i="8" a="1"/>
  <c r="BK42" i="8" a="1"/>
  <c r="BD25" i="8" a="1"/>
  <c r="AX43" i="8" a="1"/>
  <c r="AY15" i="8" a="1"/>
  <c r="BJ20" i="8" a="1"/>
  <c r="BF39" i="8" a="1"/>
  <c r="BG20" i="8" a="1"/>
  <c r="BM8" i="8" a="1"/>
  <c r="BH8" i="8" a="1"/>
  <c r="AY18" i="8" a="1"/>
  <c r="BH39" i="8" a="1"/>
  <c r="BI41" i="8" a="1"/>
  <c r="BH25" i="8" a="1"/>
  <c r="AY33" i="8" a="1"/>
  <c r="BH23" i="8" a="1"/>
  <c r="BG33" i="8" a="1"/>
  <c r="BF25" i="8" a="1"/>
  <c r="AZ48" i="8" a="1"/>
  <c r="BL20" i="8" a="1"/>
  <c r="BE45" i="8" a="1"/>
  <c r="BM20" i="8" a="1"/>
  <c r="BJ16" i="8" a="1"/>
  <c r="BD39" i="8" a="1"/>
  <c r="AY12" i="8" a="1"/>
  <c r="BF46" i="8" a="1"/>
  <c r="BK23" i="8" a="1"/>
  <c r="BC23" i="8" a="1"/>
  <c r="BG38" i="8" a="1"/>
  <c r="BO39" i="8" a="1"/>
  <c r="AX11" i="8" a="1"/>
  <c r="BG12" i="8" a="1"/>
  <c r="BG13" i="8" a="1"/>
  <c r="BG39" i="8" a="1"/>
  <c r="BG43" i="8" a="1"/>
  <c r="BD9" i="8" a="1"/>
  <c r="BO5" i="8" a="1"/>
  <c r="BM41" i="8" a="1"/>
  <c r="BE36" i="8" a="1"/>
  <c r="BL42" i="8" a="1"/>
  <c r="AZ14" i="8" a="1"/>
  <c r="BJ43" i="8" a="1"/>
  <c r="BG17" i="8" a="1"/>
  <c r="BD49" i="8" a="1"/>
  <c r="BC27" i="8" a="1"/>
  <c r="BD51" i="8" a="1"/>
  <c r="BA24" i="8" a="1"/>
  <c r="BH34" i="8" a="1"/>
  <c r="BH35" i="8" a="1"/>
  <c r="AY10" i="8" a="1"/>
  <c r="BF48" i="8" a="1"/>
  <c r="BK9" i="8" a="1"/>
  <c r="BD41" i="8" a="1"/>
  <c r="BD22" i="8" a="1"/>
  <c r="BA17" i="8" a="1"/>
  <c r="BP29" i="8" a="1"/>
  <c r="BL49" i="8" a="1"/>
  <c r="BF27" i="8" a="1"/>
  <c r="BF22" i="8" a="1"/>
  <c r="BJ42" i="8" a="1"/>
  <c r="BM43" i="8" a="1"/>
  <c r="BC16" i="8" a="1"/>
  <c r="BI46" i="8" a="1"/>
  <c r="BM13" i="8" a="1"/>
  <c r="BH40" i="8" a="1"/>
  <c r="BM16" i="8" a="1"/>
  <c r="AZ11" i="8" a="1"/>
  <c r="AX47" i="8" a="1"/>
  <c r="BA14" i="8" a="1"/>
  <c r="BB27" i="8" a="1"/>
  <c r="BF13" i="8" a="1"/>
  <c r="AY19" i="8" a="1"/>
  <c r="BH43" i="8" a="1"/>
  <c r="BA8" i="8" a="1"/>
  <c r="BJ39" i="8" a="1"/>
  <c r="BB14" i="8" a="1"/>
  <c r="AY45" i="8" a="1"/>
  <c r="BH18" i="8" a="1"/>
  <c r="AX5" i="8" a="1"/>
  <c r="BD29" i="8" a="1"/>
  <c r="BM17" i="8" a="1"/>
  <c r="BD42" i="8" a="1"/>
  <c r="AZ20" i="8" a="1"/>
  <c r="AX42" i="8" a="1"/>
  <c r="BN46" i="8" a="1"/>
  <c r="BE51" i="8" a="1"/>
  <c r="BB18" i="8" a="1"/>
  <c r="BC10" i="8" a="1"/>
  <c r="BG25" i="8" a="1"/>
  <c r="BM23" i="8" a="1"/>
  <c r="BC21" i="8" a="1"/>
  <c r="BP48" i="8" a="1"/>
  <c r="BO7" i="8" a="1"/>
  <c r="BB40" i="8" a="1"/>
  <c r="AZ30" i="8" a="1"/>
  <c r="BK51" i="8" a="1"/>
  <c r="BI42" i="8" a="1"/>
  <c r="AY51" i="8" a="1"/>
  <c r="BF32" i="8" a="1"/>
  <c r="BP47" i="8" a="1"/>
  <c r="BE32" i="8" a="1"/>
  <c r="BB41" i="8" a="1"/>
  <c r="BP28" i="8" a="1"/>
  <c r="AX51" i="8" a="1"/>
  <c r="BN14" i="8" a="1"/>
  <c r="BC48" i="8" a="1"/>
  <c r="BM42" i="8" a="1"/>
  <c r="AY35" i="8" a="1"/>
  <c r="BK38" i="8" a="1"/>
  <c r="BN11" i="8" a="1"/>
  <c r="BM39" i="8" a="1"/>
  <c r="BM19" i="8" a="1"/>
  <c r="AY6" i="8" a="1"/>
  <c r="BP11" i="8" a="1"/>
  <c r="BS6" i="8" a="1"/>
  <c r="AX17" i="8" a="1"/>
  <c r="BJ37" i="8" a="1"/>
  <c r="BK16" i="8" a="1"/>
  <c r="BE17" i="8" a="1"/>
  <c r="AZ18" i="8" a="1"/>
  <c r="BN18" i="8" a="1"/>
  <c r="BF10" i="8" a="1"/>
  <c r="BE6" i="8" a="1"/>
  <c r="BL26" i="8" a="1"/>
  <c r="AZ8" i="8" a="1"/>
  <c r="BN9" i="8" a="1"/>
  <c r="BL31" i="8" a="1"/>
  <c r="BD14" i="8" a="1"/>
  <c r="BB31" i="8" a="1"/>
  <c r="BB7" i="8" a="1"/>
  <c r="BP23" i="8" a="1"/>
  <c r="BA33" i="8" a="1"/>
  <c r="BB30" i="8" a="1"/>
  <c r="BD33" i="8" a="1"/>
  <c r="BB9" i="8" a="1"/>
  <c r="AX30" i="8" a="1"/>
  <c r="BA31" i="8" a="1"/>
  <c r="BN23" i="8" a="1"/>
  <c r="BE24" i="8" a="1"/>
  <c r="BK17" i="8" a="1"/>
  <c r="BJ11" i="8" a="1"/>
  <c r="BL50" i="8" a="1"/>
  <c r="BJ26" i="8" a="1"/>
  <c r="BD46" i="8" a="1"/>
  <c r="AX21" i="8" a="1"/>
  <c r="BA19" i="8" a="1"/>
  <c r="BA35" i="8" a="1"/>
  <c r="BA39" i="8" a="1"/>
  <c r="BK33" i="8" a="1"/>
  <c r="BC41" i="8" a="1"/>
  <c r="BD7" i="8" a="1"/>
  <c r="BM18" i="8" a="1"/>
  <c r="BL39" i="8" a="1"/>
  <c r="AX34" i="8" a="1"/>
  <c r="AX48" i="8" a="1"/>
  <c r="BF12" i="8" a="1"/>
  <c r="BL19" i="8" a="1"/>
  <c r="BH50" i="8" a="1"/>
  <c r="BP49" i="8" a="1"/>
  <c r="BF19" i="8" a="1"/>
  <c r="BC30" i="8" a="1"/>
  <c r="BL22" i="8" a="1"/>
  <c r="AZ25" i="8" a="1"/>
  <c r="AY14" i="8" a="1"/>
  <c r="BN19" i="8" a="1"/>
  <c r="AZ21" i="8" a="1"/>
  <c r="BG48" i="8" a="1"/>
  <c r="BL44" i="8" a="1"/>
  <c r="BK40" i="8" a="1"/>
  <c r="BJ17" i="8" a="1"/>
  <c r="BI8" i="8" a="1"/>
  <c r="BI22" i="8" a="1"/>
  <c r="BM32" i="8" a="1"/>
  <c r="BJ44" i="8" a="1"/>
  <c r="BN31" i="8" a="1"/>
  <c r="AY28" i="8" a="1"/>
  <c r="BK10" i="8" a="1"/>
  <c r="BK27" i="8" a="1"/>
  <c r="BD47" i="8" a="1"/>
  <c r="BE12" i="8" a="1"/>
  <c r="AX15" i="8" a="1"/>
  <c r="BM22" i="8" a="1"/>
  <c r="BF42" i="8" a="1"/>
  <c r="AZ6" i="8" a="1"/>
  <c r="BB32" i="8" a="1"/>
  <c r="BG36" i="8" a="1"/>
  <c r="BA26" i="8" a="1"/>
  <c r="AZ51" i="8" a="1"/>
  <c r="BI30" i="8" a="1"/>
  <c r="BH20" i="8" a="1"/>
  <c r="BP36" i="8" a="1"/>
  <c r="BI34" i="8" a="1"/>
  <c r="BK26" i="8" a="1"/>
  <c r="BD43" i="8" a="1"/>
  <c r="AY26" i="8" a="1"/>
  <c r="BE35" i="8" a="1"/>
  <c r="BE21" i="8" a="1"/>
  <c r="BB29" i="8" a="1"/>
  <c r="BG11" i="8" a="1"/>
  <c r="BH15" i="8" a="1"/>
  <c r="BF50" i="8" a="1"/>
  <c r="BC51" i="8" a="1"/>
  <c r="BO48" i="8" a="1"/>
  <c r="AY36" i="8" a="1"/>
  <c r="BB39" i="8" a="1"/>
  <c r="BM33" i="8" a="1"/>
  <c r="BG18" i="8" a="1"/>
  <c r="BK37" i="8" a="1"/>
  <c r="BG15" i="8" a="1"/>
  <c r="BI5" i="8" a="1"/>
  <c r="BG29" i="8" a="1"/>
  <c r="BJ50" i="8" a="1"/>
  <c r="BO49" i="8" a="1"/>
  <c r="BN41" i="8" a="1"/>
  <c r="BE46" i="8" a="1"/>
  <c r="BP51" i="8" a="1"/>
  <c r="BE48" i="8" a="1"/>
  <c r="BC26" i="8" a="1"/>
  <c r="BA44" i="8" a="1"/>
  <c r="BB17" i="8" a="1"/>
  <c r="AY24" i="8" a="1"/>
  <c r="BE14" i="8" a="1"/>
  <c r="BI25" i="8" a="1"/>
  <c r="BO34" i="8" a="1"/>
  <c r="BK30" i="8" a="1"/>
  <c r="BN35" i="8" a="1"/>
  <c r="BP6" i="8" a="1"/>
  <c r="BN50" i="8" a="1"/>
  <c r="BH48" i="8" a="1"/>
  <c r="AX26" i="8" a="1"/>
  <c r="AY27" i="8" a="1"/>
  <c r="BO16" i="8" a="1"/>
  <c r="BN36" i="8" a="1"/>
  <c r="BA41" i="8" a="1"/>
  <c r="BF45" i="8" a="1"/>
  <c r="BM28" i="8" a="1"/>
  <c r="BO31" i="8" a="1"/>
  <c r="BL38" i="8" a="1"/>
  <c r="BL36" i="8" a="1"/>
  <c r="AY8" i="8" a="1"/>
  <c r="BP38" i="8" a="1"/>
  <c r="AY47" i="8" a="1"/>
  <c r="BP18" i="8" a="1"/>
  <c r="BC11" i="8" a="1"/>
  <c r="AY34" i="8" a="1"/>
  <c r="BF31" i="8" a="1"/>
  <c r="AX33" i="8" a="1"/>
  <c r="BI49" i="8" a="1"/>
  <c r="AY25" i="8" a="1"/>
  <c r="BM15" i="8" a="1"/>
  <c r="BJ40" i="8" a="1"/>
  <c r="BP34" i="8" a="1"/>
  <c r="BN15" i="8" a="1"/>
  <c r="AX6" i="8" a="1"/>
  <c r="BA42" i="8" a="1"/>
  <c r="AZ28" i="8" a="1"/>
  <c r="BA6" i="8" a="1"/>
  <c r="BJ51" i="8" a="1"/>
  <c r="BC31" i="8" a="1"/>
  <c r="AZ22" i="8" a="1"/>
  <c r="BD50" i="8" a="1"/>
  <c r="BD15" i="8" a="1"/>
  <c r="BE33" i="8" a="1"/>
  <c r="BB22" i="8" a="1"/>
  <c r="BM5" i="8" a="1"/>
  <c r="BA37" i="8" a="1"/>
  <c r="BN48" i="8" a="1"/>
  <c r="AZ10" i="8" a="1"/>
  <c r="BC43" i="8" a="1"/>
  <c r="BN21" i="8" a="1"/>
  <c r="BH24" i="8" a="1"/>
  <c r="BB11" i="8" a="1"/>
  <c r="BH28" i="8" a="1"/>
  <c r="AZ50" i="8" a="1"/>
  <c r="BC14" i="8" a="1"/>
  <c r="BD16" i="8" a="1"/>
  <c r="BL40" i="8" a="1"/>
  <c r="BC28" i="8" a="1"/>
  <c r="BE34" i="8" a="1"/>
  <c r="BB10" i="8" a="1"/>
  <c r="BE26" i="8" a="1"/>
  <c r="BA28" i="8" a="1"/>
  <c r="BG32" i="8" a="1"/>
  <c r="BL18" i="8" a="1"/>
  <c r="BP14" i="8" a="1"/>
  <c r="BH27" i="8" a="1"/>
  <c r="BI24" i="8" a="1"/>
  <c r="BC37" i="8" a="1"/>
  <c r="AZ36" i="8" a="1"/>
  <c r="BD35" i="8" a="1"/>
  <c r="BO8" i="8" a="1"/>
  <c r="BG50" i="8" a="1"/>
  <c r="BE40" i="8" a="1"/>
  <c r="BH33" i="8" a="1"/>
  <c r="AX38" i="8" a="1"/>
  <c r="AZ35" i="8" a="1"/>
  <c r="BP33" i="8" a="1"/>
  <c r="BO15" i="8" a="1"/>
  <c r="BA30" i="8" a="1"/>
  <c r="BJ14" i="8" a="1"/>
  <c r="BM24" i="8" a="1"/>
  <c r="BF51" i="8" a="1"/>
  <c r="BA20" i="8" a="1"/>
  <c r="BA38" i="8" a="1"/>
  <c r="BI43" i="8" a="1"/>
  <c r="AZ16" i="8" a="1"/>
  <c r="AZ17" i="8" a="1"/>
  <c r="BP40" i="8" a="1"/>
  <c r="BN6" i="8" a="1"/>
  <c r="BB28" i="8" a="1"/>
  <c r="BA7" i="8" a="1"/>
  <c r="BF37" i="8" a="1"/>
  <c r="AZ23" i="8" a="1"/>
  <c r="AZ45" i="8" a="1"/>
  <c r="BK48" i="8" a="1"/>
  <c r="BN45" i="8" a="1"/>
  <c r="BL5" i="8" a="1"/>
  <c r="BJ7" i="8" a="1"/>
  <c r="BL43" i="8" a="1"/>
  <c r="BH44" i="8" a="1"/>
  <c r="BE43" i="8" a="1"/>
  <c r="BP45" i="8" a="1"/>
  <c r="BK22" i="8" a="1"/>
  <c r="BI39" i="8" a="1"/>
  <c r="BN28" i="8" a="1"/>
  <c r="BB36" i="8" a="1"/>
  <c r="BH16" i="8" a="1"/>
  <c r="BC46" i="8" a="1"/>
  <c r="BK35" i="8" a="1"/>
  <c r="BO51" i="8" a="1"/>
  <c r="BB38" i="8" a="1"/>
  <c r="BL33" i="8" a="1"/>
  <c r="BG46" i="8" a="1"/>
  <c r="BN12" i="8" a="1"/>
  <c r="BP44" i="8" a="1"/>
  <c r="BH46" i="8" a="1"/>
  <c r="BI14" i="8" a="1"/>
  <c r="BE20" i="8" a="1"/>
  <c r="BL12" i="8" a="1"/>
  <c r="AX20" i="8" a="1"/>
  <c r="BC50" i="8" a="1"/>
  <c r="AY22" i="8" a="1"/>
  <c r="AX22" i="8" a="1"/>
  <c r="BB15" i="8" a="1"/>
  <c r="BM37" i="8" a="1"/>
  <c r="BG41" i="8" a="1"/>
  <c r="BD48" i="8" a="1"/>
  <c r="BI45" i="8" a="1"/>
  <c r="BA36" i="8" a="1"/>
  <c r="BB37" i="8" a="1"/>
  <c r="BD28" i="8" a="1"/>
  <c r="BC6" i="8" a="1"/>
  <c r="BO45" i="8" a="1"/>
  <c r="BP7" i="8" a="1"/>
  <c r="BM51" i="8" a="1"/>
  <c r="BD6" i="8" a="1"/>
  <c r="BH5" i="8" a="1"/>
  <c r="AY30" i="8" a="1"/>
  <c r="BE44" i="8" a="1"/>
  <c r="BJ12" i="8" a="1"/>
  <c r="BO25" i="8" a="1"/>
  <c r="BF5" i="8" a="1"/>
  <c r="BE39" i="8" a="1"/>
  <c r="BK8" i="8" a="1"/>
  <c r="BF18" i="8" a="1"/>
  <c r="BO27" i="8" a="1"/>
  <c r="BG10" i="8" a="1"/>
  <c r="BO43" i="8" a="1"/>
  <c r="BF16" i="8" a="1"/>
  <c r="BM30" i="8" a="1"/>
  <c r="BA45" i="8" a="1"/>
  <c r="BM29" i="8" a="1"/>
  <c r="AX46" i="8" a="1"/>
  <c r="BI13" i="8" a="1"/>
  <c r="BL8" i="8" a="1"/>
  <c r="BF29" i="8" a="1"/>
  <c r="BH11" i="8" a="1"/>
  <c r="BE31" i="8" a="1"/>
  <c r="AZ24" i="8" a="1"/>
  <c r="BF41" i="8" a="1"/>
  <c r="AY32" i="8" a="1"/>
  <c r="BM11" i="8" a="1"/>
  <c r="BK14" i="8" a="1"/>
  <c r="BB20" i="8" a="1"/>
  <c r="BA12" i="8" a="1"/>
  <c r="BG7" i="8" a="1"/>
  <c r="BG9" i="8" a="1"/>
  <c r="BD21" i="8" a="1"/>
  <c r="AZ41" i="8" a="1"/>
  <c r="BM26" i="8" a="1"/>
  <c r="BJ32" i="8" a="1"/>
  <c r="BB47" i="8" a="1"/>
  <c r="BE7" i="8" a="1"/>
  <c r="BJ13" i="8" a="1"/>
  <c r="BH49" i="8" a="1"/>
  <c r="BI37" i="8" a="1"/>
  <c r="BO46" i="8" a="1"/>
  <c r="BJ48" i="8" a="1"/>
  <c r="AZ33" i="8" a="1"/>
  <c r="BM6" i="8" a="1"/>
  <c r="BN26" i="8" a="1"/>
  <c r="BM10" i="8" a="1"/>
  <c r="BC9" i="8" a="1"/>
  <c r="BB13" i="8" a="1"/>
  <c r="BC45" i="8" a="1"/>
  <c r="BF26" i="8" a="1"/>
  <c r="BM7" i="8" a="1"/>
  <c r="BN24" i="8" a="1"/>
  <c r="BH12" i="8" a="1"/>
  <c r="BP17" i="8" a="1"/>
  <c r="BK7" i="8" a="1"/>
  <c r="BK46" i="8" a="1"/>
  <c r="BP30" i="8" a="1"/>
  <c r="BI18" i="8" a="1"/>
  <c r="BJ9" i="8" a="1"/>
  <c r="BE49" i="8" a="1"/>
  <c r="BC34" i="8" a="1"/>
  <c r="BP37" i="8" a="1"/>
  <c r="BH31" i="8" a="1"/>
  <c r="BO18" i="8" a="1"/>
  <c r="BA47" i="8" a="1"/>
  <c r="BA34" i="8" a="1"/>
  <c r="BE38" i="8" a="1"/>
  <c r="BB46" i="8" a="1"/>
  <c r="BA40" i="8" a="1"/>
  <c r="BJ46" i="8" a="1"/>
  <c r="BL14" i="8" a="1"/>
  <c r="BO11" i="8" a="1"/>
  <c r="BI35" i="8" a="1"/>
  <c r="BO29" i="8" a="1"/>
  <c r="BF15" i="8" a="1"/>
  <c r="AX40" i="8" a="1"/>
  <c r="BG24" i="8" a="1"/>
  <c r="BC38" i="8" a="1"/>
  <c r="BH10" i="8" a="1"/>
  <c r="BJ24" i="8" a="1"/>
  <c r="AZ46" i="8" a="1"/>
  <c r="BK28" i="8" a="1"/>
  <c r="AY20" i="8" a="1"/>
  <c r="AX29" i="8" a="1"/>
  <c r="AZ39" i="8" a="1"/>
  <c r="BB12" i="8" a="1"/>
  <c r="BO26" i="8" a="1"/>
  <c r="AY46" i="8" a="1"/>
  <c r="BK15" i="8" a="1"/>
  <c r="BN38" i="8" a="1"/>
  <c r="AY49" i="8" a="1"/>
  <c r="AX8" i="8" a="1"/>
  <c r="BO30" i="8" a="1"/>
  <c r="BJ28" i="8" a="1"/>
  <c r="BH7" i="8" a="1"/>
  <c r="BJ25" i="8" a="1"/>
  <c r="BD45" i="8" a="1"/>
  <c r="BA10" i="8" a="1"/>
  <c r="BK50" i="8" a="1"/>
  <c r="BL17" i="8" a="1"/>
  <c r="BP26" i="8" a="1"/>
  <c r="BM25" i="8" a="1"/>
  <c r="BP50" i="8" a="1"/>
  <c r="BH17" i="8" a="1"/>
  <c r="BL29" i="8" a="1"/>
  <c r="AY42" i="8" a="1"/>
  <c r="BL51" i="8" a="1"/>
  <c r="BH41" i="8" a="1"/>
  <c r="AZ42" i="8" a="1"/>
  <c r="BL10" i="8" a="1"/>
  <c r="BO41" i="8" a="1"/>
  <c r="BP42" i="8" a="1"/>
  <c r="BI11" i="8" a="1"/>
  <c r="BF17" i="8" a="1"/>
  <c r="BC29" i="8" a="1"/>
  <c r="BO40" i="8" a="1"/>
  <c r="BN32" i="8" a="1"/>
  <c r="BM48" i="8" a="1"/>
  <c r="BE30" i="8" a="1"/>
  <c r="BE5" i="8" a="1"/>
  <c r="BJ31" i="8" a="1"/>
  <c r="BJ49" i="8" a="1"/>
  <c r="BH45" i="8" a="1"/>
  <c r="BA51" i="8" a="1"/>
  <c r="AZ5" i="8" a="1"/>
  <c r="BL25" i="8" a="1"/>
  <c r="AX27" i="8" a="1"/>
  <c r="BO37" i="8" a="1"/>
  <c r="BJ45" i="8" a="1"/>
  <c r="BO23" i="8" a="1"/>
  <c r="BP10" i="8" a="1"/>
  <c r="BO19" i="8" a="1"/>
  <c r="BP32" i="8" a="1"/>
  <c r="BK29" i="8" a="1"/>
  <c r="BI12" i="8" a="1"/>
  <c r="BD37" i="8" a="1"/>
  <c r="BM44" i="8" a="1"/>
  <c r="BN5" i="8" a="1"/>
  <c r="BI32" i="8" a="1"/>
  <c r="BJ33" i="8" a="1"/>
  <c r="BL27" i="8" a="1"/>
  <c r="AY21" i="8" a="1"/>
  <c r="BC7" i="8" a="1"/>
  <c r="BH42" i="8" a="1"/>
  <c r="BI21" i="8" a="1"/>
  <c r="AY39" i="8" a="1"/>
  <c r="AY29" i="8" a="1"/>
  <c r="BK11" i="8" a="1"/>
  <c r="BL23" i="8" a="1"/>
  <c r="AY23" i="8" a="1"/>
  <c r="BC36" i="8" a="1"/>
  <c r="BF33" i="8" a="1"/>
  <c r="BA21" i="8" a="1"/>
  <c r="BB48" i="8" a="1"/>
  <c r="BN22" i="8" a="1"/>
  <c r="BN37" i="8" a="1"/>
  <c r="BM27" i="8" a="1"/>
  <c r="BI28" i="8" a="1"/>
  <c r="AX24" i="8" a="1"/>
  <c r="BI17" i="8" a="1"/>
  <c r="BE47" i="8" a="1"/>
  <c r="BI23" i="8" a="1"/>
  <c r="BD32" i="8" a="1"/>
  <c r="BL45" i="8" a="1"/>
  <c r="BE25" i="8" a="1"/>
  <c r="BG35" i="8" a="1"/>
  <c r="BH19" i="8" a="1"/>
  <c r="BI9" i="8" a="1"/>
  <c r="BN51" i="8" a="1"/>
  <c r="AY16" i="8" a="1"/>
  <c r="BL15" i="8" a="1"/>
  <c r="BB5" i="8" a="1"/>
  <c r="BP9" i="8" a="1"/>
  <c r="BB24" i="8" a="1"/>
  <c r="BN30" i="8" a="1"/>
  <c r="BB25" i="8" a="1"/>
  <c r="BM36" i="8" a="1"/>
  <c r="BK47" i="8" a="1"/>
  <c r="BC47" i="8" a="1"/>
  <c r="BF11" i="8" a="1"/>
  <c r="BF49" i="8" a="1"/>
  <c r="BM40" i="8" a="1"/>
  <c r="BI7" i="8" a="1"/>
  <c r="BH22" i="8" a="1"/>
  <c r="BM31" i="8" a="1"/>
  <c r="AZ38" i="8" a="1"/>
  <c r="BP20" i="8" a="1"/>
  <c r="AX10" i="8" a="1"/>
  <c r="BO21" i="8" a="1"/>
  <c r="BB33" i="8" a="1"/>
  <c r="BD8" i="8" a="1"/>
  <c r="BM47" i="8" a="1"/>
  <c r="BN33" i="8" a="1"/>
  <c r="BB35" i="8" a="1"/>
  <c r="BB16" i="8" a="1"/>
  <c r="AY13" i="8" a="1"/>
  <c r="AY43" i="8" a="1"/>
  <c r="BO20" i="8" a="1"/>
  <c r="BQ40" i="8" a="1"/>
  <c r="BQ49" i="8" a="1"/>
  <c r="BQ10" i="8" a="1"/>
  <c r="BQ39" i="8" a="1"/>
  <c r="BQ7" i="8" a="1"/>
  <c r="BQ33" i="8" a="1"/>
  <c r="BQ47" i="8" a="1"/>
  <c r="BQ23" i="8" a="1"/>
  <c r="BQ38" i="8" a="1"/>
  <c r="BQ13" i="8" a="1"/>
  <c r="C40" i="8" a="1"/>
  <c r="BQ11" i="8" a="1"/>
  <c r="BQ8" i="8" a="1"/>
  <c r="BQ22" i="8" a="1"/>
  <c r="BQ45" i="8" a="1"/>
  <c r="BQ26" i="8" a="1"/>
  <c r="BQ46" i="8" a="1"/>
  <c r="BQ50" i="8" a="1"/>
  <c r="BQ41" i="8" a="1"/>
  <c r="BQ30" i="8" a="1"/>
  <c r="BQ44" i="8" a="1"/>
  <c r="BQ19" i="8" a="1"/>
  <c r="BQ36" i="8" a="1"/>
  <c r="BQ17" i="8" a="1"/>
  <c r="BQ48" i="8" a="1"/>
  <c r="BQ35" i="8" a="1"/>
  <c r="BQ43" i="8" a="1"/>
  <c r="BQ20" i="8" a="1"/>
  <c r="BQ34" i="8" a="1"/>
  <c r="BQ25" i="8" a="1"/>
  <c r="BQ28" i="8" a="1"/>
  <c r="BQ51" i="8" a="1"/>
  <c r="BQ31" i="8" a="1"/>
  <c r="BQ16" i="8" a="1"/>
  <c r="BQ18" i="8" a="1"/>
  <c r="BQ24" i="8" a="1"/>
  <c r="BQ32" i="8" a="1"/>
  <c r="BQ27" i="8" a="1"/>
  <c r="BQ42" i="8" a="1"/>
  <c r="BQ6" i="8" a="1"/>
  <c r="BQ21" i="8" a="1"/>
  <c r="BQ12" i="8" a="1"/>
  <c r="BQ29" i="8" a="1"/>
  <c r="BQ9" i="8" a="1"/>
  <c r="BQ37" i="8" a="1"/>
  <c r="BQ14" i="8" a="1"/>
  <c r="BQ15" i="8" a="1"/>
  <c r="BQ5" i="8" a="1"/>
  <c r="C38" i="8" a="1"/>
  <c r="C36" i="8" a="1"/>
  <c r="BJ13" i="8" l="1"/>
  <c r="AY32" i="8"/>
  <c r="BI5" i="8"/>
  <c r="BL26" i="8"/>
  <c r="AX46" i="8"/>
  <c r="AZ35" i="8"/>
  <c r="BN51" i="8"/>
  <c r="AY29" i="8"/>
  <c r="BG15" i="8"/>
  <c r="BE6" i="8"/>
  <c r="BN32" i="8"/>
  <c r="AX38" i="8"/>
  <c r="BP9" i="8"/>
  <c r="BA34" i="8"/>
  <c r="BK37" i="8"/>
  <c r="BF10" i="8"/>
  <c r="BM29" i="8"/>
  <c r="BH33" i="8"/>
  <c r="BI9" i="8"/>
  <c r="AY39" i="8"/>
  <c r="BG18" i="8"/>
  <c r="BN18" i="8"/>
  <c r="BO40" i="8"/>
  <c r="BE40" i="8"/>
  <c r="BO20" i="8"/>
  <c r="BF41" i="8"/>
  <c r="BM33" i="8"/>
  <c r="AZ18" i="8"/>
  <c r="BA45" i="8"/>
  <c r="BG50" i="8"/>
  <c r="BN33" i="8"/>
  <c r="BI21" i="8"/>
  <c r="BB39" i="8"/>
  <c r="BE17" i="8"/>
  <c r="BC29" i="8"/>
  <c r="BO8" i="8"/>
  <c r="AZ46" i="8"/>
  <c r="AZ24" i="8"/>
  <c r="AY36" i="8"/>
  <c r="BK16" i="8"/>
  <c r="BM30" i="8"/>
  <c r="BD35" i="8"/>
  <c r="BH19" i="8"/>
  <c r="BH42" i="8"/>
  <c r="BO48" i="8"/>
  <c r="BJ37" i="8"/>
  <c r="BF17" i="8"/>
  <c r="AZ36" i="8"/>
  <c r="BE7" i="8"/>
  <c r="BA47" i="8"/>
  <c r="BC51" i="8"/>
  <c r="AX17" i="8"/>
  <c r="BF16" i="8"/>
  <c r="BC37" i="8"/>
  <c r="BG35" i="8"/>
  <c r="BC7" i="8"/>
  <c r="BF50" i="8"/>
  <c r="BS6" i="8"/>
  <c r="BI11" i="8"/>
  <c r="BI24" i="8"/>
  <c r="BB5" i="8"/>
  <c r="BE31" i="8"/>
  <c r="BH15" i="8"/>
  <c r="BP11" i="8"/>
  <c r="BO43" i="8"/>
  <c r="BH27" i="8"/>
  <c r="BM47" i="8"/>
  <c r="AY21" i="8"/>
  <c r="BG11" i="8"/>
  <c r="AY6" i="8"/>
  <c r="BP42" i="8"/>
  <c r="BP14" i="8"/>
  <c r="AY43" i="8"/>
  <c r="BH11" i="8"/>
  <c r="BB29" i="8"/>
  <c r="BM19" i="8"/>
  <c r="BG10" i="8"/>
  <c r="BL18" i="8"/>
  <c r="BE25" i="8"/>
  <c r="BL27" i="8"/>
  <c r="BE21" i="8"/>
  <c r="BM39" i="8"/>
  <c r="BO41" i="8"/>
  <c r="BG32" i="8"/>
  <c r="BJ24" i="8"/>
  <c r="BO18" i="8"/>
  <c r="BE35" i="8"/>
  <c r="BN11" i="8"/>
  <c r="BO27" i="8"/>
  <c r="BA28" i="8"/>
  <c r="BD8" i="8"/>
  <c r="BJ33" i="8"/>
  <c r="AY26" i="8"/>
  <c r="BK38" i="8"/>
  <c r="BL10" i="8"/>
  <c r="BE26" i="8"/>
  <c r="AY13" i="8"/>
  <c r="BF29" i="8"/>
  <c r="BD43" i="8"/>
  <c r="AY35" i="8"/>
  <c r="BF18" i="8"/>
  <c r="BB10" i="8"/>
  <c r="BL45" i="8"/>
  <c r="BC47" i="8"/>
  <c r="BK26" i="8"/>
  <c r="BM42" i="8"/>
  <c r="AZ42" i="8"/>
  <c r="BE34" i="8"/>
  <c r="BB47" i="8"/>
  <c r="BH31" i="8"/>
  <c r="BI34" i="8"/>
  <c r="BC48" i="8"/>
  <c r="BK8" i="8"/>
  <c r="BC28" i="8"/>
  <c r="BB33" i="8"/>
  <c r="BI32" i="8"/>
  <c r="BP36" i="8"/>
  <c r="BN14" i="8"/>
  <c r="BH41" i="8"/>
  <c r="BL40" i="8"/>
  <c r="BL15" i="8"/>
  <c r="BL8" i="8"/>
  <c r="BH20" i="8"/>
  <c r="AX51" i="8"/>
  <c r="BE39" i="8"/>
  <c r="BD16" i="8"/>
  <c r="BD32" i="8"/>
  <c r="BN5" i="8"/>
  <c r="BI30" i="8"/>
  <c r="BP28" i="8"/>
  <c r="BL51" i="8"/>
  <c r="BC14" i="8"/>
  <c r="BB16" i="8"/>
  <c r="BP37" i="8"/>
  <c r="AZ51" i="8"/>
  <c r="BB41" i="8"/>
  <c r="BF5" i="8"/>
  <c r="AZ50" i="8"/>
  <c r="BL13" i="8"/>
  <c r="BO21" i="8"/>
  <c r="BM44" i="8"/>
  <c r="BA26" i="8"/>
  <c r="BO5" i="8"/>
  <c r="BE32" i="8"/>
  <c r="BM12" i="8"/>
  <c r="BH47" i="8"/>
  <c r="AY42" i="8"/>
  <c r="BH28" i="8"/>
  <c r="BD9" i="8"/>
  <c r="BH10" i="8"/>
  <c r="BP25" i="8"/>
  <c r="BI16" i="8"/>
  <c r="BC34" i="8"/>
  <c r="AZ8" i="8"/>
  <c r="BG43" i="8"/>
  <c r="BP47" i="8"/>
  <c r="BE42" i="8"/>
  <c r="BH30" i="8"/>
  <c r="BO25" i="8"/>
  <c r="BB11" i="8"/>
  <c r="BG39" i="8"/>
  <c r="BI23" i="8"/>
  <c r="BS8" i="8"/>
  <c r="AZ47" i="8"/>
  <c r="BD37" i="8"/>
  <c r="BG36" i="8"/>
  <c r="BG13" i="8"/>
  <c r="BF32" i="8"/>
  <c r="BC8" i="8"/>
  <c r="BN42" i="8"/>
  <c r="BL29" i="8"/>
  <c r="BH24" i="8"/>
  <c r="BG12" i="8"/>
  <c r="BJ32" i="8"/>
  <c r="BI15" i="8"/>
  <c r="AZ27" i="8"/>
  <c r="BE49" i="8"/>
  <c r="BB32" i="8"/>
  <c r="AX11" i="8"/>
  <c r="AY51" i="8"/>
  <c r="BA11" i="8"/>
  <c r="BN10" i="8"/>
  <c r="BJ12" i="8"/>
  <c r="BN21" i="8"/>
  <c r="BO39" i="8"/>
  <c r="BE47" i="8"/>
  <c r="BF21" i="8"/>
  <c r="BH26" i="8"/>
  <c r="BI12" i="8"/>
  <c r="AZ6" i="8"/>
  <c r="BG38" i="8"/>
  <c r="BI42" i="8"/>
  <c r="BL11" i="8"/>
  <c r="BG40" i="8"/>
  <c r="BH17" i="8"/>
  <c r="BC43" i="8"/>
  <c r="BC23" i="8"/>
  <c r="BM26" i="8"/>
  <c r="BL9" i="8"/>
  <c r="AZ40" i="8"/>
  <c r="BJ9" i="8"/>
  <c r="BF42" i="8"/>
  <c r="BK23" i="8"/>
  <c r="BK51" i="8"/>
  <c r="BF7" i="8"/>
  <c r="BC39" i="8"/>
  <c r="BE44" i="8"/>
  <c r="AZ10" i="8"/>
  <c r="BF46" i="8"/>
  <c r="AX10" i="8"/>
  <c r="BJ36" i="8"/>
  <c r="AX13" i="8"/>
  <c r="BK29" i="8"/>
  <c r="BM22" i="8"/>
  <c r="AY12" i="8"/>
  <c r="AZ30" i="8"/>
  <c r="BS7" i="8"/>
  <c r="AY17" i="8"/>
  <c r="BP50" i="8"/>
  <c r="BN48" i="8"/>
  <c r="BD39" i="8"/>
  <c r="BC38" i="8"/>
  <c r="BK12" i="8"/>
  <c r="AX39" i="8"/>
  <c r="BI13" i="8"/>
  <c r="AX15" i="8"/>
  <c r="BJ16" i="8"/>
  <c r="BB40" i="8"/>
  <c r="BJ6" i="8"/>
  <c r="BJ30" i="8"/>
  <c r="AY30" i="8"/>
  <c r="BA37" i="8"/>
  <c r="BM20" i="8"/>
  <c r="BI17" i="8"/>
  <c r="BC25" i="8"/>
  <c r="AX41" i="8"/>
  <c r="BP32" i="8"/>
  <c r="BE12" i="8"/>
  <c r="BE45" i="8"/>
  <c r="BO7" i="8"/>
  <c r="BO38" i="8"/>
  <c r="AX18" i="8"/>
  <c r="BM25" i="8"/>
  <c r="BM5" i="8"/>
  <c r="BL20" i="8"/>
  <c r="BB35" i="8"/>
  <c r="AX12" i="8"/>
  <c r="AY11" i="8"/>
  <c r="BI18" i="8"/>
  <c r="BD47" i="8"/>
  <c r="AZ48" i="8"/>
  <c r="BP48" i="8"/>
  <c r="BE22" i="8"/>
  <c r="BF35" i="8"/>
  <c r="BH5" i="8"/>
  <c r="BB22" i="8"/>
  <c r="BF25" i="8"/>
  <c r="BP20" i="8"/>
  <c r="BC33" i="8"/>
  <c r="BD23" i="8"/>
  <c r="BO19" i="8"/>
  <c r="BK27" i="8"/>
  <c r="BG33" i="8"/>
  <c r="BC21" i="8"/>
  <c r="AX7" i="8"/>
  <c r="BG51" i="8"/>
  <c r="BP26" i="8"/>
  <c r="BE33" i="8"/>
  <c r="BH23" i="8"/>
  <c r="AY16" i="8"/>
  <c r="BE10" i="8"/>
  <c r="AY44" i="8"/>
  <c r="BP30" i="8"/>
  <c r="BK10" i="8"/>
  <c r="AY33" i="8"/>
  <c r="BM23" i="8"/>
  <c r="BN27" i="8"/>
  <c r="BF14" i="8"/>
  <c r="BD6" i="8"/>
  <c r="BD15" i="8"/>
  <c r="BH25" i="8"/>
  <c r="AX24" i="8"/>
  <c r="AX16" i="8"/>
  <c r="BK39" i="8"/>
  <c r="BK47" i="8"/>
  <c r="AY28" i="8"/>
  <c r="BI41" i="8"/>
  <c r="BG25" i="8"/>
  <c r="BO33" i="8"/>
  <c r="BN44" i="8"/>
  <c r="BL17" i="8"/>
  <c r="BD50" i="8"/>
  <c r="BH39" i="8"/>
  <c r="AZ41" i="8"/>
  <c r="BC19" i="8"/>
  <c r="BP46" i="8"/>
  <c r="BK46" i="8"/>
  <c r="BN31" i="8"/>
  <c r="AY18" i="8"/>
  <c r="BC10" i="8"/>
  <c r="BG31" i="8"/>
  <c r="BK34" i="8"/>
  <c r="BM51" i="8"/>
  <c r="AZ22" i="8"/>
  <c r="BH8" i="8"/>
  <c r="AZ38" i="8"/>
  <c r="BE16" i="8"/>
  <c r="BD13" i="8"/>
  <c r="BP10" i="8"/>
  <c r="BJ44" i="8"/>
  <c r="BM8" i="8"/>
  <c r="BB18" i="8"/>
  <c r="BO22" i="8"/>
  <c r="BE27" i="8"/>
  <c r="BK50" i="8"/>
  <c r="BC31" i="8"/>
  <c r="BG20" i="8"/>
  <c r="BG24" i="8"/>
  <c r="BD11" i="8"/>
  <c r="AX35" i="8"/>
  <c r="BK7" i="8"/>
  <c r="BM32" i="8"/>
  <c r="BF39" i="8"/>
  <c r="BE51" i="8"/>
  <c r="BN49" i="8"/>
  <c r="BI33" i="8"/>
  <c r="BP7" i="8"/>
  <c r="BJ51" i="8"/>
  <c r="BJ20" i="8"/>
  <c r="BI28" i="8"/>
  <c r="BO44" i="8"/>
  <c r="BO42" i="8"/>
  <c r="BO23" i="8"/>
  <c r="BI22" i="8"/>
  <c r="AY15" i="8"/>
  <c r="BN46" i="8"/>
  <c r="BI27" i="8"/>
  <c r="AX50" i="8"/>
  <c r="BA10" i="8"/>
  <c r="BA6" i="8"/>
  <c r="AX43" i="8"/>
  <c r="BD21" i="8"/>
  <c r="BD19" i="8"/>
  <c r="BM34" i="8"/>
  <c r="BP17" i="8"/>
  <c r="BI8" i="8"/>
  <c r="BD25" i="8"/>
  <c r="AX42" i="8"/>
  <c r="BM49" i="8"/>
  <c r="BG47" i="8"/>
  <c r="BO45" i="8"/>
  <c r="AZ28" i="8"/>
  <c r="BK42" i="8"/>
  <c r="BM31" i="8"/>
  <c r="BI10" i="8"/>
  <c r="BI48" i="8"/>
  <c r="BJ45" i="8"/>
  <c r="BJ17" i="8"/>
  <c r="AZ9" i="8"/>
  <c r="AZ20" i="8"/>
  <c r="AX19" i="8"/>
  <c r="BN39" i="8"/>
  <c r="BD45" i="8"/>
  <c r="BA42" i="8"/>
  <c r="BE9" i="8"/>
  <c r="AX40" i="8"/>
  <c r="BN40" i="8"/>
  <c r="BI40" i="8"/>
  <c r="BH12" i="8"/>
  <c r="BK40" i="8"/>
  <c r="AX28" i="8"/>
  <c r="BD42" i="8"/>
  <c r="BL46" i="8"/>
  <c r="BG27" i="8"/>
  <c r="BC6" i="8"/>
  <c r="AX6" i="8"/>
  <c r="BB43" i="8"/>
  <c r="BM27" i="8"/>
  <c r="BF6" i="8"/>
  <c r="BB6" i="8"/>
  <c r="BO37" i="8"/>
  <c r="BL44" i="8"/>
  <c r="BJ23" i="8"/>
  <c r="BM17" i="8"/>
  <c r="AZ44" i="8"/>
  <c r="BP41" i="8"/>
  <c r="BJ25" i="8"/>
  <c r="BN15" i="8"/>
  <c r="BD20" i="8"/>
  <c r="BG9" i="8"/>
  <c r="AZ15" i="8"/>
  <c r="AZ31" i="8"/>
  <c r="BN24" i="8"/>
  <c r="BG48" i="8"/>
  <c r="BL41" i="8"/>
  <c r="BD29" i="8"/>
  <c r="AZ7" i="8"/>
  <c r="BJ47" i="8"/>
  <c r="BD28" i="8"/>
  <c r="BP34" i="8"/>
  <c r="BO24" i="8"/>
  <c r="BN37" i="8"/>
  <c r="BG28" i="8"/>
  <c r="BE41" i="8"/>
  <c r="AX27" i="8"/>
  <c r="AZ21" i="8"/>
  <c r="BP15" i="8"/>
  <c r="AX5" i="8"/>
  <c r="BD24" i="8"/>
  <c r="BN20" i="8"/>
  <c r="BI14" i="8"/>
  <c r="BJ40" i="8"/>
  <c r="BA9" i="8"/>
  <c r="BH7" i="8"/>
  <c r="BH38" i="8"/>
  <c r="BO50" i="8"/>
  <c r="BF15" i="8"/>
  <c r="BN19" i="8"/>
  <c r="BA27" i="8"/>
  <c r="BH18" i="8"/>
  <c r="BF8" i="8"/>
  <c r="BJ10" i="8"/>
  <c r="BH46" i="8"/>
  <c r="BM15" i="8"/>
  <c r="BP12" i="8"/>
  <c r="BM7" i="8"/>
  <c r="BE13" i="8"/>
  <c r="BC40" i="8"/>
  <c r="BB37" i="8"/>
  <c r="AY14" i="8"/>
  <c r="BL47" i="8"/>
  <c r="AY45" i="8"/>
  <c r="BD34" i="8"/>
  <c r="BN7" i="8"/>
  <c r="BP44" i="8"/>
  <c r="AY25" i="8"/>
  <c r="BG37" i="8"/>
  <c r="BH22" i="8"/>
  <c r="BN43" i="8"/>
  <c r="BC17" i="8"/>
  <c r="BL25" i="8"/>
  <c r="AZ25" i="8"/>
  <c r="BD30" i="8"/>
  <c r="BB14" i="8"/>
  <c r="BF23" i="8"/>
  <c r="AY40" i="8"/>
  <c r="BN12" i="8"/>
  <c r="BI49" i="8"/>
  <c r="BC12" i="8"/>
  <c r="BJ28" i="8"/>
  <c r="AX14" i="8"/>
  <c r="BI20" i="8"/>
  <c r="BG7" i="8"/>
  <c r="BL22" i="8"/>
  <c r="BN25" i="8"/>
  <c r="BJ39" i="8"/>
  <c r="AZ32" i="8"/>
  <c r="BI44" i="8"/>
  <c r="BG46" i="8"/>
  <c r="AX33" i="8"/>
  <c r="BC24" i="8"/>
  <c r="BF26" i="8"/>
  <c r="AZ34" i="8"/>
  <c r="AX49" i="8"/>
  <c r="BA36" i="8"/>
  <c r="BC30" i="8"/>
  <c r="AZ12" i="8"/>
  <c r="BA8" i="8"/>
  <c r="AX32" i="8"/>
  <c r="BD38" i="8"/>
  <c r="BL33" i="8"/>
  <c r="BF31" i="8"/>
  <c r="BC13" i="8"/>
  <c r="BN22" i="8"/>
  <c r="BJ19" i="8"/>
  <c r="BH29" i="8"/>
  <c r="BM36" i="8"/>
  <c r="BF19" i="8"/>
  <c r="BB19" i="8"/>
  <c r="BH43" i="8"/>
  <c r="BN29" i="8"/>
  <c r="AY41" i="8"/>
  <c r="BB38" i="8"/>
  <c r="AY34" i="8"/>
  <c r="BB26" i="8"/>
  <c r="BO30" i="8"/>
  <c r="BJ18" i="8"/>
  <c r="BK31" i="8"/>
  <c r="BO29" i="8"/>
  <c r="BP49" i="8"/>
  <c r="BI29" i="8"/>
  <c r="AY19" i="8"/>
  <c r="AY7" i="8"/>
  <c r="BL34" i="8"/>
  <c r="BO51" i="8"/>
  <c r="BC11" i="8"/>
  <c r="BA29" i="8"/>
  <c r="BC45" i="8"/>
  <c r="BJ8" i="8"/>
  <c r="BJ38" i="8"/>
  <c r="BI45" i="8"/>
  <c r="BH50" i="8"/>
  <c r="BN13" i="8"/>
  <c r="BF13" i="8"/>
  <c r="BF30" i="8"/>
  <c r="BJ21" i="8"/>
  <c r="BK35" i="8"/>
  <c r="BP18" i="8"/>
  <c r="BC49" i="8"/>
  <c r="BI7" i="8"/>
  <c r="BB45" i="8"/>
  <c r="BE37" i="8"/>
  <c r="AZ5" i="8"/>
  <c r="BL19" i="8"/>
  <c r="BO14" i="8"/>
  <c r="BB27" i="8"/>
  <c r="AZ26" i="8"/>
  <c r="BL7" i="8"/>
  <c r="BC46" i="8"/>
  <c r="AY47" i="8"/>
  <c r="BJ34" i="8"/>
  <c r="AX8" i="8"/>
  <c r="BB42" i="8"/>
  <c r="BF34" i="8"/>
  <c r="BA12" i="8"/>
  <c r="BF12" i="8"/>
  <c r="AX36" i="8"/>
  <c r="BA14" i="8"/>
  <c r="BE19" i="8"/>
  <c r="AY38" i="8"/>
  <c r="BH16" i="8"/>
  <c r="BP38" i="8"/>
  <c r="AZ19" i="8"/>
  <c r="BB13" i="8"/>
  <c r="BL6" i="8"/>
  <c r="BJ35" i="8"/>
  <c r="BD48" i="8"/>
  <c r="AX48" i="8"/>
  <c r="BK19" i="8"/>
  <c r="AX47" i="8"/>
  <c r="BM9" i="8"/>
  <c r="BK21" i="8"/>
  <c r="BB36" i="8"/>
  <c r="AY8" i="8"/>
  <c r="BL37" i="8"/>
  <c r="BB48" i="8"/>
  <c r="BE18" i="8"/>
  <c r="BG6" i="8"/>
  <c r="BA51" i="8"/>
  <c r="AX34" i="8"/>
  <c r="BG21" i="8"/>
  <c r="AZ11" i="8"/>
  <c r="BM14" i="8"/>
  <c r="BF47" i="8"/>
  <c r="BN28" i="8"/>
  <c r="BL36" i="8"/>
  <c r="BO12" i="8"/>
  <c r="AY49" i="8"/>
  <c r="BG34" i="8"/>
  <c r="BP27" i="8"/>
  <c r="BI35" i="8"/>
  <c r="BL39" i="8"/>
  <c r="BB23" i="8"/>
  <c r="BM16" i="8"/>
  <c r="BC15" i="8"/>
  <c r="BO32" i="8"/>
  <c r="BI39" i="8"/>
  <c r="BL38" i="8"/>
  <c r="BL21" i="8"/>
  <c r="BC9" i="8"/>
  <c r="BP31" i="8"/>
  <c r="BI6" i="8"/>
  <c r="BG41" i="8"/>
  <c r="BM18" i="8"/>
  <c r="BK13" i="8"/>
  <c r="BH40" i="8"/>
  <c r="BJ41" i="8"/>
  <c r="BC42" i="8"/>
  <c r="BK22" i="8"/>
  <c r="BO31" i="8"/>
  <c r="BD27" i="8"/>
  <c r="BM40" i="8"/>
  <c r="BA15" i="8"/>
  <c r="BG30" i="8"/>
  <c r="BH45" i="8"/>
  <c r="BD7" i="8"/>
  <c r="BL32" i="8"/>
  <c r="BM13" i="8"/>
  <c r="AZ49" i="8"/>
  <c r="BG22" i="8"/>
  <c r="BP45" i="8"/>
  <c r="BM28" i="8"/>
  <c r="BB21" i="8"/>
  <c r="BN38" i="8"/>
  <c r="BN47" i="8"/>
  <c r="BJ29" i="8"/>
  <c r="BB20" i="8"/>
  <c r="BC41" i="8"/>
  <c r="BF40" i="8"/>
  <c r="BI46" i="8"/>
  <c r="BG23" i="8"/>
  <c r="BJ5" i="8"/>
  <c r="BE43" i="8"/>
  <c r="BF45" i="8"/>
  <c r="BC22" i="8"/>
  <c r="BM10" i="8"/>
  <c r="BJ22" i="8"/>
  <c r="BB8" i="8"/>
  <c r="BM37" i="8"/>
  <c r="BK33" i="8"/>
  <c r="BB34" i="8"/>
  <c r="BC16" i="8"/>
  <c r="BD18" i="8"/>
  <c r="AX37" i="8"/>
  <c r="BH44" i="8"/>
  <c r="BA41" i="8"/>
  <c r="BH51" i="8"/>
  <c r="BA21" i="8"/>
  <c r="BD10" i="8"/>
  <c r="BD40" i="8"/>
  <c r="BJ49" i="8"/>
  <c r="BA39" i="8"/>
  <c r="BG26" i="8"/>
  <c r="BM43" i="8"/>
  <c r="BP39" i="8"/>
  <c r="BF43" i="8"/>
  <c r="BL43" i="8"/>
  <c r="BN36" i="8"/>
  <c r="BG19" i="8"/>
  <c r="BK15" i="8"/>
  <c r="BA46" i="8"/>
  <c r="BA22" i="8"/>
  <c r="BO11" i="8"/>
  <c r="BA35" i="8"/>
  <c r="BJ27" i="8"/>
  <c r="BJ42" i="8"/>
  <c r="BG42" i="8"/>
  <c r="BF28" i="8"/>
  <c r="BJ7" i="8"/>
  <c r="BO16" i="8"/>
  <c r="BE50" i="8"/>
  <c r="BN26" i="8"/>
  <c r="BH32" i="8"/>
  <c r="BG8" i="8"/>
  <c r="BB15" i="8"/>
  <c r="BA19" i="8"/>
  <c r="BH9" i="8"/>
  <c r="BF22" i="8"/>
  <c r="BJ15" i="8"/>
  <c r="BA32" i="8"/>
  <c r="BL5" i="8"/>
  <c r="AY27" i="8"/>
  <c r="BC44" i="8"/>
  <c r="BF49" i="8"/>
  <c r="BM35" i="8"/>
  <c r="BP16" i="8"/>
  <c r="BJ31" i="8"/>
  <c r="AX21" i="8"/>
  <c r="BP5" i="8"/>
  <c r="BF27" i="8"/>
  <c r="BP8" i="8"/>
  <c r="BL48" i="8"/>
  <c r="BN45" i="8"/>
  <c r="AX26" i="8"/>
  <c r="BK43" i="8"/>
  <c r="AY46" i="8"/>
  <c r="BK25" i="8"/>
  <c r="BH6" i="8"/>
  <c r="BL14" i="8"/>
  <c r="BD46" i="8"/>
  <c r="AZ37" i="8"/>
  <c r="BL49" i="8"/>
  <c r="BK32" i="8"/>
  <c r="BM21" i="8"/>
  <c r="BK48" i="8"/>
  <c r="BH48" i="8"/>
  <c r="AX45" i="8"/>
  <c r="BM6" i="8"/>
  <c r="BD36" i="8"/>
  <c r="BF36" i="8"/>
  <c r="AX22" i="8"/>
  <c r="BJ26" i="8"/>
  <c r="AX25" i="8"/>
  <c r="BP29" i="8"/>
  <c r="BE23" i="8"/>
  <c r="BA23" i="8"/>
  <c r="AZ45" i="8"/>
  <c r="BN50" i="8"/>
  <c r="BM45" i="8"/>
  <c r="BF33" i="8"/>
  <c r="BG49" i="8"/>
  <c r="BI50" i="8"/>
  <c r="BB25" i="8"/>
  <c r="BL50" i="8"/>
  <c r="BI51" i="8"/>
  <c r="BA17" i="8"/>
  <c r="BK41" i="8"/>
  <c r="BP21" i="8"/>
  <c r="AZ23" i="8"/>
  <c r="BP6" i="8"/>
  <c r="BF44" i="8"/>
  <c r="BO26" i="8"/>
  <c r="BE29" i="8"/>
  <c r="AZ43" i="8"/>
  <c r="BK14" i="8"/>
  <c r="BJ11" i="8"/>
  <c r="BE28" i="8"/>
  <c r="BD22" i="8"/>
  <c r="BI36" i="8"/>
  <c r="BI19" i="8"/>
  <c r="BF37" i="8"/>
  <c r="BN35" i="8"/>
  <c r="AZ13" i="8"/>
  <c r="AZ33" i="8"/>
  <c r="BG14" i="8"/>
  <c r="AY50" i="8"/>
  <c r="AY22" i="8"/>
  <c r="BK17" i="8"/>
  <c r="AY48" i="8"/>
  <c r="BD41" i="8"/>
  <c r="BK44" i="8"/>
  <c r="BA48" i="8"/>
  <c r="BA7" i="8"/>
  <c r="BK30" i="8"/>
  <c r="BH37" i="8"/>
  <c r="BC36" i="8"/>
  <c r="BN16" i="8"/>
  <c r="BG44" i="8"/>
  <c r="BE5" i="8"/>
  <c r="BE24" i="8"/>
  <c r="BO13" i="8"/>
  <c r="BK9" i="8"/>
  <c r="BP19" i="8"/>
  <c r="BK20" i="8"/>
  <c r="BB28" i="8"/>
  <c r="BO34" i="8"/>
  <c r="BP43" i="8"/>
  <c r="BB12" i="8"/>
  <c r="AY31" i="8"/>
  <c r="BM46" i="8"/>
  <c r="BJ46" i="8"/>
  <c r="BN23" i="8"/>
  <c r="BA50" i="8"/>
  <c r="BF48" i="8"/>
  <c r="AY37" i="8"/>
  <c r="BH36" i="8"/>
  <c r="BN6" i="8"/>
  <c r="BI25" i="8"/>
  <c r="BC20" i="8"/>
  <c r="BJ48" i="8"/>
  <c r="AX9" i="8"/>
  <c r="BK18" i="8"/>
  <c r="BC50" i="8"/>
  <c r="BA31" i="8"/>
  <c r="BL35" i="8"/>
  <c r="AY10" i="8"/>
  <c r="BK49" i="8"/>
  <c r="BF38" i="8"/>
  <c r="BP40" i="8"/>
  <c r="BE14" i="8"/>
  <c r="BK24" i="8"/>
  <c r="AY23" i="8"/>
  <c r="BE15" i="8"/>
  <c r="BE11" i="8"/>
  <c r="BE30" i="8"/>
  <c r="AX30" i="8"/>
  <c r="BF24" i="8"/>
  <c r="BH35" i="8"/>
  <c r="BH14" i="8"/>
  <c r="BA18" i="8"/>
  <c r="AZ17" i="8"/>
  <c r="AY24" i="8"/>
  <c r="BD17" i="8"/>
  <c r="AZ39" i="8"/>
  <c r="BA43" i="8"/>
  <c r="BO10" i="8"/>
  <c r="BA40" i="8"/>
  <c r="BB9" i="8"/>
  <c r="BF9" i="8"/>
  <c r="BH34" i="8"/>
  <c r="BB49" i="8"/>
  <c r="BL24" i="8"/>
  <c r="AZ16" i="8"/>
  <c r="BB17" i="8"/>
  <c r="BC18" i="8"/>
  <c r="BO46" i="8"/>
  <c r="BC35" i="8"/>
  <c r="BP22" i="8"/>
  <c r="AX20" i="8"/>
  <c r="BD33" i="8"/>
  <c r="BP13" i="8"/>
  <c r="BA24" i="8"/>
  <c r="AY5" i="8"/>
  <c r="BI38" i="8"/>
  <c r="BI43" i="8"/>
  <c r="BA44" i="8"/>
  <c r="BO6" i="8"/>
  <c r="BL23" i="8"/>
  <c r="AX44" i="8"/>
  <c r="BK45" i="8"/>
  <c r="BN30" i="8"/>
  <c r="BB30" i="8"/>
  <c r="BG45" i="8"/>
  <c r="BD51" i="8"/>
  <c r="BK36" i="8"/>
  <c r="BL28" i="8"/>
  <c r="BA38" i="8"/>
  <c r="BC26" i="8"/>
  <c r="BD26" i="8"/>
  <c r="AX29" i="8"/>
  <c r="AZ29" i="8"/>
  <c r="BP35" i="8"/>
  <c r="BB46" i="8"/>
  <c r="BA33" i="8"/>
  <c r="BP24" i="8"/>
  <c r="BC27" i="8"/>
  <c r="BI26" i="8"/>
  <c r="BD12" i="8"/>
  <c r="BA20" i="8"/>
  <c r="BE48" i="8"/>
  <c r="BD31" i="8"/>
  <c r="BI37" i="8"/>
  <c r="BO36" i="8"/>
  <c r="BN34" i="8"/>
  <c r="BL12" i="8"/>
  <c r="BP23" i="8"/>
  <c r="BA5" i="8"/>
  <c r="BD49" i="8"/>
  <c r="BN17" i="8"/>
  <c r="BI47" i="8"/>
  <c r="BF51" i="8"/>
  <c r="BP51" i="8"/>
  <c r="BL16" i="8"/>
  <c r="BF11" i="8"/>
  <c r="BB51" i="8"/>
  <c r="BG5" i="8"/>
  <c r="BM48" i="8"/>
  <c r="BB7" i="8"/>
  <c r="BM50" i="8"/>
  <c r="BG17" i="8"/>
  <c r="BE8" i="8"/>
  <c r="BK5" i="8"/>
  <c r="BM24" i="8"/>
  <c r="BE46" i="8"/>
  <c r="BF20" i="8"/>
  <c r="AY20" i="8"/>
  <c r="BO9" i="8"/>
  <c r="BA25" i="8"/>
  <c r="BE38" i="8"/>
  <c r="BB31" i="8"/>
  <c r="BA16" i="8"/>
  <c r="BJ43" i="8"/>
  <c r="BD44" i="8"/>
  <c r="BH13" i="8"/>
  <c r="BJ14" i="8"/>
  <c r="BN41" i="8"/>
  <c r="BM38" i="8"/>
  <c r="BH49" i="8"/>
  <c r="BA49" i="8"/>
  <c r="AX31" i="8"/>
  <c r="BE20" i="8"/>
  <c r="BD14" i="8"/>
  <c r="BH21" i="8"/>
  <c r="AZ14" i="8"/>
  <c r="BG16" i="8"/>
  <c r="BO28" i="8"/>
  <c r="BA30" i="8"/>
  <c r="BO49" i="8"/>
  <c r="BO35" i="8"/>
  <c r="BK11" i="8"/>
  <c r="BB44" i="8"/>
  <c r="AY9" i="8"/>
  <c r="BB24" i="8"/>
  <c r="BL31" i="8"/>
  <c r="BA13" i="8"/>
  <c r="BL42" i="8"/>
  <c r="BD5" i="8"/>
  <c r="C40" i="8"/>
  <c r="AX23" i="8"/>
  <c r="BO15" i="8"/>
  <c r="BJ50" i="8"/>
  <c r="BI31" i="8"/>
  <c r="BK28" i="8"/>
  <c r="BC32" i="8"/>
  <c r="BK6" i="8"/>
  <c r="BM11" i="8"/>
  <c r="BN9" i="8"/>
  <c r="BN8" i="8"/>
  <c r="BE36" i="8"/>
  <c r="BL30" i="8"/>
  <c r="BC5" i="8"/>
  <c r="BP33" i="8"/>
  <c r="BM41" i="8"/>
  <c r="BB50" i="8"/>
  <c r="BG29" i="8"/>
  <c r="BO47" i="8"/>
  <c r="BO17" i="8"/>
  <c r="C36" i="8"/>
  <c r="C38" i="8"/>
  <c r="BQ49" i="8"/>
  <c r="BQ43" i="8"/>
  <c r="BQ27" i="8"/>
  <c r="BQ16" i="8"/>
  <c r="BQ17" i="8"/>
  <c r="BQ26" i="8"/>
  <c r="BQ30" i="8"/>
  <c r="BQ19" i="8"/>
  <c r="BQ38" i="8"/>
  <c r="BQ41" i="8"/>
  <c r="BQ40" i="8"/>
  <c r="BQ47" i="8"/>
  <c r="BQ15" i="8"/>
  <c r="BQ6" i="8"/>
  <c r="BQ21" i="8"/>
  <c r="BQ10" i="8"/>
  <c r="BQ8" i="8"/>
  <c r="BQ25" i="8"/>
  <c r="BQ14" i="8"/>
  <c r="BQ46" i="8"/>
  <c r="BQ51" i="8"/>
  <c r="BQ35" i="8"/>
  <c r="BQ44" i="8"/>
  <c r="BQ37" i="8"/>
  <c r="BQ31" i="8"/>
  <c r="BQ20" i="8"/>
  <c r="BQ36" i="8"/>
  <c r="BQ12" i="8"/>
  <c r="BQ23" i="8"/>
  <c r="BQ7" i="8"/>
  <c r="BQ18" i="8"/>
  <c r="BQ34" i="8"/>
  <c r="BQ22" i="8"/>
  <c r="BQ5" i="8"/>
  <c r="BQ24" i="8"/>
  <c r="BQ11" i="8"/>
  <c r="BQ13" i="8"/>
  <c r="BQ29" i="8"/>
  <c r="BQ48" i="8"/>
  <c r="BQ50" i="8"/>
  <c r="BQ33" i="8"/>
  <c r="BQ28" i="8"/>
  <c r="BQ9" i="8"/>
  <c r="BQ32" i="8"/>
  <c r="BQ45" i="8"/>
  <c r="BQ39" i="8"/>
  <c r="BQ42" i="8"/>
  <c r="BQ3" i="8"/>
  <c r="E18" i="8"/>
  <c r="E17" i="8"/>
  <c r="C18" i="3"/>
  <c r="C17" i="3" s="1"/>
  <c r="E16" i="3"/>
  <c r="C37" i="3" l="1" a="1"/>
  <c r="C37" i="3" s="1"/>
  <c r="C39" i="3" s="1"/>
  <c r="C36" i="3" a="1"/>
  <c r="C36" i="3" s="1"/>
  <c r="C38" i="3" s="1"/>
  <c r="E17" i="3"/>
  <c r="C47" i="3"/>
  <c r="C30" i="8"/>
  <c r="E18" i="3"/>
  <c r="C41" i="8" l="1"/>
  <c r="CM3" i="8"/>
  <c r="CM2" i="8" s="1"/>
  <c r="CZ3" i="8"/>
  <c r="E12" i="3"/>
  <c r="E26" i="3"/>
  <c r="E13" i="3" a="1"/>
  <c r="E13" i="3" s="1"/>
  <c r="CZ4" i="8" a="1"/>
  <c r="CZ15" i="8" a="1"/>
  <c r="CZ5" i="8" a="1"/>
  <c r="CZ14" i="8" a="1"/>
  <c r="CZ8" i="8" a="1"/>
  <c r="CZ9" i="8" a="1"/>
  <c r="CZ10" i="8" a="1"/>
  <c r="CZ11" i="8" a="1"/>
  <c r="CZ6" i="8" a="1"/>
  <c r="CZ16" i="8" a="1"/>
  <c r="CZ7" i="8" a="1"/>
  <c r="CZ13" i="8" a="1"/>
  <c r="CZ12" i="8" a="1"/>
  <c r="C34" i="8" l="1"/>
  <c r="CZ9" i="8"/>
  <c r="CZ4" i="8"/>
  <c r="CZ6" i="8"/>
  <c r="CZ12" i="8"/>
  <c r="CZ15" i="8"/>
  <c r="CZ5" i="8"/>
  <c r="CZ11" i="8"/>
  <c r="CZ7" i="8"/>
  <c r="CZ10" i="8"/>
  <c r="CZ13" i="8"/>
  <c r="CZ16" i="8"/>
  <c r="CZ8" i="8"/>
  <c r="CZ14" i="8"/>
  <c r="CZ2" i="8"/>
  <c r="A29" i="7"/>
  <c r="B29" i="7" s="1" a="1"/>
  <c r="B29" i="7" s="1"/>
  <c r="C39" i="8" a="1"/>
  <c r="C39" i="8" l="1"/>
  <c r="C42" i="8" s="1"/>
  <c r="J29" i="7" a="1"/>
  <c r="J29" i="7" s="1"/>
  <c r="O29" i="7" a="1"/>
  <c r="O29" i="7" s="1"/>
  <c r="K29" i="7" a="1"/>
  <c r="K29" i="7" s="1"/>
  <c r="F29" i="7" a="1"/>
  <c r="F29" i="7" s="1"/>
  <c r="L29" i="7" a="1"/>
  <c r="L29" i="7" s="1"/>
  <c r="H29" i="7" a="1"/>
  <c r="H29" i="7" s="1"/>
  <c r="D29" i="7" a="1"/>
  <c r="D29" i="7" s="1"/>
  <c r="N29" i="7" a="1"/>
  <c r="N29" i="7" s="1"/>
  <c r="E29" i="7" a="1"/>
  <c r="E29" i="7" s="1"/>
  <c r="I29" i="7" a="1"/>
  <c r="I29" i="7" s="1"/>
  <c r="G29" i="7" a="1"/>
  <c r="G29" i="7" s="1"/>
  <c r="C29" i="7" a="1"/>
  <c r="C29" i="7" s="1"/>
  <c r="M29" i="7" a="1"/>
  <c r="M29" i="7" s="1"/>
  <c r="AC3" i="7" a="1"/>
  <c r="AC3" i="7" s="1"/>
  <c r="W3" i="7" a="1"/>
  <c r="W3" i="7" s="1"/>
  <c r="Y3" i="7" a="1"/>
  <c r="Y3" i="7" s="1"/>
  <c r="AD3" i="7" a="1"/>
  <c r="AD3" i="7" s="1"/>
  <c r="X3" i="7" a="1"/>
  <c r="X3" i="7" s="1"/>
  <c r="AB3" i="7" a="1"/>
  <c r="AB3" i="7" s="1"/>
  <c r="AA3" i="7" a="1"/>
  <c r="AA3" i="7" s="1"/>
  <c r="U3" i="7" a="1"/>
  <c r="U3" i="7" s="1"/>
  <c r="V3" i="7" a="1"/>
  <c r="V3" i="7" s="1"/>
  <c r="Z3" i="7" a="1"/>
  <c r="Z3" i="7" s="1"/>
  <c r="C31" i="3"/>
  <c r="C28" i="3" s="1"/>
  <c r="C43" i="8" l="1"/>
  <c r="C44" i="8" s="1"/>
  <c r="CC14" i="8"/>
  <c r="BY6" i="8"/>
  <c r="CJ13" i="8"/>
  <c r="BX11" i="8"/>
  <c r="CC7" i="8"/>
  <c r="BX13" i="8"/>
  <c r="CA4" i="8"/>
  <c r="BZ6" i="8"/>
  <c r="CG5" i="8"/>
  <c r="CB13" i="8"/>
  <c r="CK18" i="8"/>
  <c r="CJ14" i="8"/>
  <c r="CA9" i="8"/>
  <c r="CA5" i="8"/>
  <c r="CJ10" i="8"/>
  <c r="CJ15" i="8"/>
  <c r="CC11" i="8"/>
  <c r="CK16" i="8"/>
  <c r="CH11" i="8"/>
  <c r="CA7" i="8"/>
  <c r="CH4" i="8"/>
  <c r="BZ18" i="8"/>
  <c r="CC10" i="8"/>
  <c r="BY4" i="8"/>
  <c r="CG17" i="8"/>
  <c r="CD12" i="8"/>
  <c r="CE12" i="8"/>
  <c r="CF9" i="8"/>
  <c r="CB9" i="8"/>
  <c r="CE17" i="8"/>
  <c r="CE13" i="8"/>
  <c r="CF10" i="8"/>
  <c r="CC5" i="8"/>
  <c r="CG19" i="8"/>
  <c r="CD14" i="8"/>
  <c r="CG6" i="8"/>
  <c r="CD4" i="8"/>
  <c r="CK13" i="8"/>
  <c r="CH8" i="8"/>
  <c r="CL14" i="8"/>
  <c r="CI14" i="8"/>
  <c r="CJ12" i="8"/>
  <c r="CB15" i="8"/>
  <c r="CK8" i="8"/>
  <c r="CJ16" i="8"/>
  <c r="CL10" i="8"/>
  <c r="CC18" i="8"/>
  <c r="CI8" i="8"/>
  <c r="CD15" i="8"/>
  <c r="BY14" i="8"/>
  <c r="CI4" i="8"/>
  <c r="CD9" i="8"/>
  <c r="CF14" i="8"/>
  <c r="CF5" i="8"/>
  <c r="CC17" i="8"/>
  <c r="CD6" i="8"/>
  <c r="CD8" i="8"/>
  <c r="CA17" i="8"/>
  <c r="CH10" i="8"/>
  <c r="CD19" i="8"/>
  <c r="CK7" i="8"/>
  <c r="CA8" i="8"/>
  <c r="CI16" i="8"/>
  <c r="CL12" i="8"/>
  <c r="CI12" i="8"/>
  <c r="BX4" i="8"/>
  <c r="CH18" i="8"/>
  <c r="BX17" i="8"/>
  <c r="CE11" i="8"/>
  <c r="CE7" i="8"/>
  <c r="CF4" i="8"/>
  <c r="BX18" i="8"/>
  <c r="CG13" i="8"/>
  <c r="BY19" i="8"/>
  <c r="CL13" i="8"/>
  <c r="CE9" i="8"/>
  <c r="CL6" i="8"/>
  <c r="CJ4" i="8"/>
  <c r="CG12" i="8"/>
  <c r="CC6" i="8"/>
  <c r="CK19" i="8"/>
  <c r="CH14" i="8"/>
  <c r="CJ11" i="8"/>
  <c r="CB4" i="8"/>
  <c r="CI19" i="8"/>
  <c r="CI15" i="8"/>
  <c r="CC8" i="8"/>
  <c r="CH16" i="8"/>
  <c r="BY16" i="8"/>
  <c r="CE6" i="8"/>
  <c r="CA13" i="8"/>
  <c r="CE15" i="8"/>
  <c r="CC16" i="8"/>
  <c r="CJ19" i="8"/>
  <c r="BY9" i="8"/>
  <c r="BY8" i="8"/>
  <c r="CB7" i="8"/>
  <c r="CD13" i="8"/>
  <c r="CG11" i="8"/>
  <c r="CF15" i="8"/>
  <c r="BY10" i="8"/>
  <c r="CH6" i="8"/>
  <c r="CL17" i="8"/>
  <c r="CG7" i="8"/>
  <c r="CE19" i="8"/>
  <c r="BX19" i="8"/>
  <c r="CH19" i="8"/>
  <c r="CF7" i="8"/>
  <c r="CE5" i="8"/>
  <c r="CJ5" i="8"/>
  <c r="CB19" i="8"/>
  <c r="CI13" i="8"/>
  <c r="CI9" i="8"/>
  <c r="CJ6" i="8"/>
  <c r="BZ5" i="8"/>
  <c r="CK15" i="8"/>
  <c r="CL11" i="8"/>
  <c r="BZ16" i="8"/>
  <c r="CI11" i="8"/>
  <c r="BZ9" i="8"/>
  <c r="BZ8" i="8"/>
  <c r="CK14" i="8"/>
  <c r="CG8" i="8"/>
  <c r="BX16" i="8"/>
  <c r="CL16" i="8"/>
  <c r="CA19" i="8"/>
  <c r="BX14" i="8"/>
  <c r="CA6" i="8"/>
  <c r="CH15" i="8"/>
  <c r="CJ7" i="8"/>
  <c r="BX15" i="8"/>
  <c r="CG10" i="8"/>
  <c r="CD5" i="8"/>
  <c r="CL18" i="8"/>
  <c r="BY11" i="8"/>
  <c r="CK4" i="8"/>
  <c r="BZ13" i="8"/>
  <c r="BZ15" i="8"/>
  <c r="CJ18" i="8"/>
  <c r="CF12" i="8"/>
  <c r="CF13" i="8"/>
  <c r="CF17" i="8"/>
  <c r="CC15" i="8"/>
  <c r="CA15" i="8"/>
  <c r="BZ12" i="8"/>
  <c r="CL19" i="8"/>
  <c r="CD17" i="8"/>
  <c r="CJ8" i="8"/>
  <c r="CF11" i="8"/>
  <c r="CF16" i="8"/>
  <c r="CD7" i="8"/>
  <c r="CB14" i="8"/>
  <c r="CE10" i="8"/>
  <c r="BY5" i="8"/>
  <c r="CD10" i="8"/>
  <c r="CA12" i="8"/>
  <c r="BX8" i="8"/>
  <c r="CB6" i="8"/>
  <c r="CA18" i="8"/>
  <c r="CA14" i="8"/>
  <c r="BX9" i="8"/>
  <c r="CD16" i="8"/>
  <c r="BY18" i="8"/>
  <c r="CL4" i="8"/>
  <c r="CD18" i="8"/>
  <c r="CA16" i="8"/>
  <c r="CD11" i="8"/>
  <c r="CI5" i="8"/>
  <c r="BY17" i="8"/>
  <c r="CK10" i="8"/>
  <c r="CH5" i="8"/>
  <c r="BZ19" i="8"/>
  <c r="CH12" i="8"/>
  <c r="CB16" i="8"/>
  <c r="CE8" i="8"/>
  <c r="CE4" i="8"/>
  <c r="CB18" i="8"/>
  <c r="CB17" i="8"/>
  <c r="CK12" i="8"/>
  <c r="CH7" i="8"/>
  <c r="CL5" i="8"/>
  <c r="CC13" i="8"/>
  <c r="BY7" i="8"/>
  <c r="CH9" i="8"/>
  <c r="CE14" i="8"/>
  <c r="BY12" i="8"/>
  <c r="CF6" i="8"/>
  <c r="CI18" i="8"/>
  <c r="CL15" i="8"/>
  <c r="CA10" i="8"/>
  <c r="CB8" i="8"/>
  <c r="CK17" i="8"/>
  <c r="CG9" i="8"/>
  <c r="CJ17" i="8"/>
  <c r="BX12" i="8"/>
  <c r="CG4" i="8"/>
  <c r="CI7" i="8"/>
  <c r="CK9" i="8"/>
  <c r="CB5" i="8"/>
  <c r="CK11" i="8"/>
  <c r="CG16" i="8"/>
  <c r="CJ9" i="8"/>
  <c r="CB10" i="8"/>
  <c r="BZ14" i="8"/>
  <c r="CL8" i="8"/>
  <c r="CE16" i="8"/>
  <c r="CB11" i="8"/>
  <c r="CK6" i="8"/>
  <c r="CC12" i="8"/>
  <c r="BZ7" i="8"/>
  <c r="CF8" i="8"/>
  <c r="CE18" i="8"/>
  <c r="CH13" i="8"/>
  <c r="CK5" i="8"/>
  <c r="CC19" i="8"/>
  <c r="BY13" i="8"/>
  <c r="CL7" i="8"/>
  <c r="CB12" i="8"/>
  <c r="BX5" i="8"/>
  <c r="CF18" i="8"/>
  <c r="CI10" i="8"/>
  <c r="CI6" i="8"/>
  <c r="BX6" i="8"/>
  <c r="CF19" i="8"/>
  <c r="BY15" i="8"/>
  <c r="CL9" i="8"/>
  <c r="BZ11" i="8"/>
  <c r="CG15" i="8"/>
  <c r="CC9" i="8"/>
  <c r="BZ4" i="8"/>
  <c r="CH17" i="8"/>
  <c r="BX7" i="8"/>
  <c r="CG18" i="8"/>
  <c r="BZ17" i="8"/>
  <c r="CG14" i="8"/>
  <c r="BX10" i="8"/>
  <c r="BZ10" i="8"/>
  <c r="CA11" i="8"/>
  <c r="CC4" i="8"/>
  <c r="CI17" i="8"/>
  <c r="CM16" i="8"/>
  <c r="CM17" i="8"/>
  <c r="CM8" i="8"/>
  <c r="CM14" i="8"/>
  <c r="CM10" i="8"/>
  <c r="CM15" i="8"/>
  <c r="CM5" i="8"/>
  <c r="CM11" i="8"/>
  <c r="CM18" i="8"/>
  <c r="CM9" i="8"/>
  <c r="CM19" i="8"/>
  <c r="CM6" i="8"/>
  <c r="CM4" i="8"/>
  <c r="CM7" i="8"/>
  <c r="CM12" i="8"/>
  <c r="CM13" i="8"/>
  <c r="C32" i="3"/>
  <c r="E27" i="8" l="1"/>
  <c r="C30" i="3"/>
  <c r="C40" i="3" l="1"/>
  <c r="C48" i="3"/>
  <c r="E49" i="3" s="1"/>
  <c r="C34" i="3"/>
  <c r="C33" i="3"/>
  <c r="C35" i="3" l="1"/>
  <c r="C41" i="3" s="1"/>
  <c r="C49" i="3"/>
  <c r="C42" i="3" l="1"/>
  <c r="E42" i="3" s="1"/>
  <c r="C43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<sst xmlns="http://schemas.openxmlformats.org/spreadsheetml/2006/main" count="353" uniqueCount="160">
  <si>
    <t>Fluid density</t>
  </si>
  <si>
    <t>Fluid kinematic viscosity</t>
  </si>
  <si>
    <t>Orifice diameter</t>
  </si>
  <si>
    <t>Piping internal diameter</t>
  </si>
  <si>
    <t>Orifice area</t>
  </si>
  <si>
    <t>Pipe area</t>
  </si>
  <si>
    <t>Reynolds number referred to orifice diameter</t>
  </si>
  <si>
    <t>Reynolds number referred to piping diameter</t>
  </si>
  <si>
    <t>Distance of the upstream tapping point from the upstream face of the orifice plate</t>
  </si>
  <si>
    <t>Distance of the downstream tapping point from the downstream face of the orifice plate</t>
  </si>
  <si>
    <t>Discharge coefficient (ref. ISO 5167-2 sect. 5.3.2.1)</t>
  </si>
  <si>
    <t>Pressure drop across balancing orifice (ref. ISO 5167-2 sect. 4)</t>
  </si>
  <si>
    <t>Approved</t>
  </si>
  <si>
    <t>Date</t>
  </si>
  <si>
    <t>input data</t>
  </si>
  <si>
    <t>descriptor</t>
  </si>
  <si>
    <t>Legend</t>
  </si>
  <si>
    <t>calculated</t>
  </si>
  <si>
    <t>annotation</t>
  </si>
  <si>
    <r>
      <t>ρ [kg/m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</si>
  <si>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[m/s]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</si>
  <si>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pipe</t>
    </r>
    <r>
      <rPr>
        <b/>
        <sz val="11"/>
        <color theme="0"/>
        <rFont val="Calibri"/>
        <family val="2"/>
        <scheme val="minor"/>
      </rPr>
      <t xml:space="preserve"> [m/s]</t>
    </r>
  </si>
  <si>
    <r>
      <t>Re</t>
    </r>
    <r>
      <rPr>
        <b/>
        <vertAlign val="subscript"/>
        <sz val="11"/>
        <color theme="0"/>
        <rFont val="Calibri"/>
        <family val="2"/>
        <scheme val="minor"/>
      </rPr>
      <t>d</t>
    </r>
  </si>
  <si>
    <r>
      <t>Re</t>
    </r>
    <r>
      <rPr>
        <b/>
        <vertAlign val="subscript"/>
        <sz val="11"/>
        <color theme="0"/>
        <rFont val="Calibri"/>
        <family val="2"/>
        <scheme val="minor"/>
      </rPr>
      <t>D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</si>
  <si>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[mm]</t>
    </r>
  </si>
  <si>
    <t>First issue</t>
  </si>
  <si>
    <t>Rev.</t>
  </si>
  <si>
    <t>Description</t>
  </si>
  <si>
    <t>Prepared</t>
  </si>
  <si>
    <t>Checked</t>
  </si>
  <si>
    <r>
      <rPr>
        <b/>
        <sz val="11"/>
        <color theme="0"/>
        <rFont val="Calibri"/>
        <family val="2"/>
      </rPr>
      <t xml:space="preserve">ν </t>
    </r>
    <r>
      <rPr>
        <b/>
        <sz val="11"/>
        <color theme="0"/>
        <rFont val="Calibri"/>
        <family val="2"/>
        <scheme val="minor"/>
      </rPr>
      <t>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/s]</t>
    </r>
  </si>
  <si>
    <t>N/A</t>
  </si>
  <si>
    <t>DN</t>
  </si>
  <si>
    <t>D_ext</t>
  </si>
  <si>
    <t>Std</t>
  </si>
  <si>
    <t>XS</t>
  </si>
  <si>
    <t>XXS</t>
  </si>
  <si>
    <t>1/8"</t>
  </si>
  <si>
    <t>1/4"</t>
  </si>
  <si>
    <t>3/8"</t>
  </si>
  <si>
    <t>1/2"</t>
  </si>
  <si>
    <t>3/4"</t>
  </si>
  <si>
    <t>1"</t>
  </si>
  <si>
    <t>1"1/4</t>
  </si>
  <si>
    <t>1"1/2</t>
  </si>
  <si>
    <t>2"</t>
  </si>
  <si>
    <t>2"1/2</t>
  </si>
  <si>
    <t>3"</t>
  </si>
  <si>
    <t>3"1/2</t>
  </si>
  <si>
    <t>4"</t>
  </si>
  <si>
    <t>5"</t>
  </si>
  <si>
    <t>6"</t>
  </si>
  <si>
    <t>8"</t>
  </si>
  <si>
    <t>10"</t>
  </si>
  <si>
    <t>12"</t>
  </si>
  <si>
    <t>14"</t>
  </si>
  <si>
    <t>16"</t>
  </si>
  <si>
    <t>18"</t>
  </si>
  <si>
    <t>20"</t>
  </si>
  <si>
    <t>24"</t>
  </si>
  <si>
    <t>30"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</si>
  <si>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ext</t>
    </r>
    <r>
      <rPr>
        <b/>
        <sz val="11"/>
        <color theme="0"/>
        <rFont val="Calibri"/>
        <family val="2"/>
        <scheme val="minor"/>
      </rPr>
      <t xml:space="preserve"> [mm]</t>
    </r>
  </si>
  <si>
    <r>
      <t>D</t>
    </r>
    <r>
      <rPr>
        <b/>
        <vertAlign val="subscript"/>
        <sz val="11"/>
        <color theme="0"/>
        <rFont val="Calibri"/>
        <family val="2"/>
        <scheme val="minor"/>
      </rPr>
      <t>int</t>
    </r>
    <r>
      <rPr>
        <b/>
        <sz val="11"/>
        <color theme="0"/>
        <rFont val="Calibri"/>
        <family val="2"/>
        <scheme val="minor"/>
      </rPr>
      <t xml:space="preserve"> [mm]</t>
    </r>
  </si>
  <si>
    <t>Piping thickness</t>
  </si>
  <si>
    <t>type</t>
  </si>
  <si>
    <t>Piping type</t>
  </si>
  <si>
    <t>ASTM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</si>
  <si>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N</t>
    </r>
    <r>
      <rPr>
        <b/>
        <sz val="11"/>
        <color theme="0"/>
        <rFont val="Calibri"/>
        <family val="2"/>
        <scheme val="minor"/>
      </rPr>
      <t xml:space="preserve"> [inch]</t>
    </r>
  </si>
  <si>
    <t>Piping nominal diameter</t>
  </si>
  <si>
    <t>Schedule</t>
  </si>
  <si>
    <t>Selected DN</t>
  </si>
  <si>
    <t>Sch [-]</t>
  </si>
  <si>
    <t>Piping schedule</t>
  </si>
  <si>
    <t>result</t>
  </si>
  <si>
    <t>Result to be calculated</t>
  </si>
  <si>
    <t>Check of pressure calculation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</si>
  <si>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>check</t>
    </r>
    <r>
      <rPr>
        <b/>
        <sz val="11"/>
        <color theme="0"/>
        <rFont val="Calibri"/>
        <family val="2"/>
        <scheme val="minor"/>
      </rPr>
      <t xml:space="preserve"> [bar]</t>
    </r>
  </si>
  <si>
    <r>
      <t>Q [m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/h]</t>
    </r>
  </si>
  <si>
    <t>Flowrate</t>
  </si>
  <si>
    <t>∆p [bar]</t>
  </si>
  <si>
    <t>PIPE AND ORIFICE DATA</t>
  </si>
  <si>
    <r>
      <t>D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[mm]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</si>
  <si>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pipe</t>
    </r>
    <r>
      <rPr>
        <b/>
        <sz val="11"/>
        <color theme="0"/>
        <rFont val="Calibri"/>
        <family val="2"/>
        <scheme val="minor"/>
      </rPr>
      <t xml:space="preserve"> [mm]</t>
    </r>
  </si>
  <si>
    <r>
      <t>t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[mm]</t>
    </r>
  </si>
  <si>
    <t>FLUID DATA</t>
  </si>
  <si>
    <t>Fluid speed in piping</t>
  </si>
  <si>
    <r>
      <t>A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</si>
  <si>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r>
      <t>A</t>
    </r>
    <r>
      <rPr>
        <b/>
        <vertAlign val="subscript"/>
        <sz val="11"/>
        <color theme="0"/>
        <rFont val="Calibri"/>
        <family val="2"/>
        <scheme val="minor"/>
      </rPr>
      <t>pipe</t>
    </r>
    <r>
      <rPr>
        <b/>
        <sz val="11"/>
        <color theme="0"/>
        <rFont val="Calibri"/>
        <family val="2"/>
        <scheme val="minor"/>
      </rPr>
      <t xml:space="preserve"> [mm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]</t>
    </r>
  </si>
  <si>
    <r>
      <rPr>
        <b/>
        <sz val="11"/>
        <color theme="0"/>
        <rFont val="Aptos Narrow"/>
        <family val="2"/>
      </rPr>
      <t>ε</t>
    </r>
    <r>
      <rPr>
        <b/>
        <sz val="11"/>
        <color theme="0"/>
        <rFont val="Calibri"/>
        <family val="2"/>
        <scheme val="minor"/>
      </rPr>
      <t xml:space="preserve"> [mm]</t>
    </r>
  </si>
  <si>
    <t>Surface roughness</t>
  </si>
  <si>
    <t>epsilon/D [-]</t>
  </si>
  <si>
    <t>Re [-]</t>
  </si>
  <si>
    <r>
      <rPr>
        <b/>
        <sz val="11"/>
        <color theme="0"/>
        <rFont val="Aptos Narrow"/>
        <family val="2"/>
      </rPr>
      <t>ε/D</t>
    </r>
    <r>
      <rPr>
        <b/>
        <vertAlign val="subscript"/>
        <sz val="11"/>
        <color theme="0"/>
        <rFont val="Aptos Narrow"/>
        <family val="2"/>
      </rPr>
      <t>orifice</t>
    </r>
    <r>
      <rPr>
        <b/>
        <sz val="11"/>
        <color theme="0"/>
        <rFont val="Calibri"/>
        <family val="2"/>
        <scheme val="minor"/>
      </rPr>
      <t xml:space="preserve"> [-]</t>
    </r>
  </si>
  <si>
    <t>Relative surface roughness</t>
  </si>
  <si>
    <r>
      <rPr>
        <b/>
        <sz val="11"/>
        <color theme="0"/>
        <rFont val="Aptos Narrow"/>
        <family val="2"/>
      </rPr>
      <t>λ</t>
    </r>
    <r>
      <rPr>
        <b/>
        <sz val="11"/>
        <color theme="0"/>
        <rFont val="Calibri"/>
        <family val="2"/>
        <scheme val="minor"/>
      </rPr>
      <t xml:space="preserve"> [-]</t>
    </r>
  </si>
  <si>
    <t>laminar</t>
  </si>
  <si>
    <t>limit</t>
  </si>
  <si>
    <r>
      <rPr>
        <b/>
        <sz val="11"/>
        <color theme="1"/>
        <rFont val="Aptos Narrow"/>
        <family val="2"/>
      </rPr>
      <t>ε</t>
    </r>
    <r>
      <rPr>
        <b/>
        <sz val="9.35"/>
        <color theme="1"/>
        <rFont val="Calibri"/>
        <family val="2"/>
      </rPr>
      <t xml:space="preserve">/D = </t>
    </r>
  </si>
  <si>
    <t>t/D</t>
  </si>
  <si>
    <t>τ</t>
  </si>
  <si>
    <t>Idelchik 4.11</t>
  </si>
  <si>
    <t>Moody's chart</t>
  </si>
  <si>
    <r>
      <rPr>
        <b/>
        <sz val="11"/>
        <color theme="0"/>
        <rFont val="Aptos Narrow"/>
        <family val="2"/>
      </rPr>
      <t>t</t>
    </r>
    <r>
      <rPr>
        <b/>
        <vertAlign val="subscript"/>
        <sz val="11"/>
        <color theme="0"/>
        <rFont val="Aptos Narrow"/>
        <family val="2"/>
      </rPr>
      <t>orifice</t>
    </r>
    <r>
      <rPr>
        <b/>
        <sz val="11"/>
        <color theme="0"/>
        <rFont val="Aptos Narrow"/>
        <family val="2"/>
      </rPr>
      <t>/D</t>
    </r>
    <r>
      <rPr>
        <b/>
        <vertAlign val="subscript"/>
        <sz val="11"/>
        <color theme="0"/>
        <rFont val="Aptos Narrow"/>
        <family val="2"/>
      </rPr>
      <t>orifice</t>
    </r>
    <r>
      <rPr>
        <b/>
        <sz val="11"/>
        <color theme="0"/>
        <rFont val="Calibri"/>
        <family val="2"/>
        <scheme val="minor"/>
      </rPr>
      <t xml:space="preserve"> [-]</t>
    </r>
  </si>
  <si>
    <t>Friction factor from Moody's chart</t>
  </si>
  <si>
    <r>
      <rPr>
        <b/>
        <sz val="11"/>
        <color theme="0"/>
        <rFont val="Aptos Narrow"/>
        <family val="2"/>
      </rPr>
      <t>τ</t>
    </r>
    <r>
      <rPr>
        <b/>
        <sz val="11"/>
        <color theme="0"/>
        <rFont val="Calibri"/>
        <family val="2"/>
        <scheme val="minor"/>
      </rPr>
      <t xml:space="preserve"> [-]</t>
    </r>
  </si>
  <si>
    <t>Coefficient from Idelchik's chapter IV - Diagram 4.11</t>
  </si>
  <si>
    <r>
      <rPr>
        <b/>
        <sz val="11"/>
        <color theme="0"/>
        <rFont val="Aptos Narrow"/>
        <family val="2"/>
      </rPr>
      <t>ζ</t>
    </r>
    <r>
      <rPr>
        <b/>
        <sz val="11"/>
        <color theme="0"/>
        <rFont val="Calibri"/>
        <family val="2"/>
        <scheme val="minor"/>
      </rPr>
      <t xml:space="preserve"> [-]</t>
    </r>
  </si>
  <si>
    <t>l/D</t>
  </si>
  <si>
    <t xml:space="preserve">A0/A1 = </t>
  </si>
  <si>
    <t>Re</t>
  </si>
  <si>
    <r>
      <t>Idelchik's diagram 4.10 - ζ</t>
    </r>
    <r>
      <rPr>
        <b/>
        <vertAlign val="subscript"/>
        <sz val="11"/>
        <color theme="1"/>
        <rFont val="Aptos Narrow"/>
        <family val="2"/>
      </rPr>
      <t>ϕ</t>
    </r>
  </si>
  <si>
    <r>
      <rPr>
        <b/>
        <sz val="11"/>
        <color theme="1"/>
        <rFont val="Aptos Narrow"/>
        <family val="2"/>
      </rPr>
      <t>ε</t>
    </r>
    <r>
      <rPr>
        <b/>
        <vertAlign val="subscript"/>
        <sz val="11"/>
        <color theme="1"/>
        <rFont val="Calibri"/>
        <family val="2"/>
      </rPr>
      <t>0</t>
    </r>
    <r>
      <rPr>
        <b/>
        <vertAlign val="superscript"/>
        <sz val="11"/>
        <color theme="1"/>
        <rFont val="Calibri"/>
        <family val="2"/>
      </rPr>
      <t>Re</t>
    </r>
  </si>
  <si>
    <t>Coefficient from Idelchik's chapter IV - Diagram 4.10</t>
  </si>
  <si>
    <r>
      <rPr>
        <b/>
        <sz val="11"/>
        <color theme="0"/>
        <rFont val="Aptos Narrow"/>
        <family val="2"/>
      </rPr>
      <t>ε</t>
    </r>
    <r>
      <rPr>
        <b/>
        <vertAlign val="subscript"/>
        <sz val="11"/>
        <color theme="0"/>
        <rFont val="Calibri"/>
        <family val="2"/>
      </rPr>
      <t>0</t>
    </r>
    <r>
      <rPr>
        <b/>
        <vertAlign val="superscript"/>
        <sz val="11"/>
        <color theme="0"/>
        <rFont val="Calibri"/>
        <family val="2"/>
      </rPr>
      <t>Re</t>
    </r>
    <r>
      <rPr>
        <b/>
        <sz val="11"/>
        <color theme="0"/>
        <rFont val="Calibri"/>
        <family val="2"/>
      </rPr>
      <t xml:space="preserve"> [-]</t>
    </r>
  </si>
  <si>
    <r>
      <t xml:space="preserve"> ζ</t>
    </r>
    <r>
      <rPr>
        <b/>
        <vertAlign val="subscript"/>
        <sz val="11"/>
        <color theme="0"/>
        <rFont val="Aptos Narrow"/>
        <family val="2"/>
      </rPr>
      <t>ϕ</t>
    </r>
    <r>
      <rPr>
        <b/>
        <sz val="11"/>
        <color theme="0"/>
        <rFont val="Calibri"/>
        <family val="2"/>
        <scheme val="minor"/>
      </rPr>
      <t xml:space="preserve"> [-]</t>
    </r>
  </si>
  <si>
    <t>Coefficient from Idelchik's chapter IV - Diagram 4.14</t>
  </si>
  <si>
    <r>
      <rPr>
        <b/>
        <sz val="11"/>
        <color theme="0"/>
        <rFont val="Aptos Narrow"/>
        <family val="2"/>
      </rPr>
      <t>ζ</t>
    </r>
    <r>
      <rPr>
        <b/>
        <vertAlign val="subscript"/>
        <sz val="11"/>
        <color theme="0"/>
        <rFont val="Calibri"/>
        <family val="2"/>
        <scheme val="minor"/>
      </rPr>
      <t>0</t>
    </r>
    <r>
      <rPr>
        <b/>
        <sz val="11"/>
        <color theme="0"/>
        <rFont val="Calibri"/>
        <family val="2"/>
        <scheme val="minor"/>
      </rPr>
      <t xml:space="preserve"> [-]</t>
    </r>
  </si>
  <si>
    <r>
      <t xml:space="preserve">Idelchik's diagram 4.14 - </t>
    </r>
    <r>
      <rPr>
        <b/>
        <sz val="11"/>
        <color theme="1"/>
        <rFont val="Aptos Narrow"/>
        <family val="2"/>
      </rPr>
      <t>ζ</t>
    </r>
  </si>
  <si>
    <t>Restriction orifice area</t>
  </si>
  <si>
    <t>Restriction orifice and pipe diameters ratio</t>
  </si>
  <si>
    <t>Restriction orifice diameter</t>
  </si>
  <si>
    <t>Fluid speed in restriction orifice</t>
  </si>
  <si>
    <t>RESTRICTION ORIFICE PLATE'S CALCULATION AS PER ISO 5167-2</t>
  </si>
  <si>
    <t>RESTRICTION ORIFICE PLATE'S CALCULATION AS PER IDELCHIK'S METHOD</t>
  </si>
  <si>
    <t>Pressure drop across restriction orifice (Idelchik's chapter IV - Diagram 4.14)</t>
  </si>
  <si>
    <t>LIMITS OF USE</t>
  </si>
  <si>
    <t>d [mm]</t>
  </si>
  <si>
    <t>Criteria on orifice diameter d as per 5.3.1 from ISO 5167-2</t>
  </si>
  <si>
    <t>D [mm]</t>
  </si>
  <si>
    <t>β [-]</t>
  </si>
  <si>
    <t>Criteria on diameter ratio β as per 5.3.1 from ISO 5167-2</t>
  </si>
  <si>
    <t>Criteria on piping internal diameter D as per 5.3.1 from ISO 5167-2</t>
  </si>
  <si>
    <r>
      <t>Re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sz val="11"/>
        <color theme="0"/>
        <rFont val="Calibri"/>
        <family val="2"/>
        <scheme val="minor"/>
      </rPr>
      <t xml:space="preserve"> [-]</t>
    </r>
  </si>
  <si>
    <r>
      <t>Re</t>
    </r>
    <r>
      <rPr>
        <b/>
        <vertAlign val="subscript"/>
        <sz val="11"/>
        <color theme="0"/>
        <rFont val="Calibri"/>
        <family val="2"/>
        <scheme val="minor"/>
      </rPr>
      <t>D</t>
    </r>
    <r>
      <rPr>
        <b/>
        <sz val="11"/>
        <color theme="0"/>
        <rFont val="Calibri"/>
        <family val="2"/>
        <scheme val="minor"/>
      </rPr>
      <t xml:space="preserve"> [-]</t>
    </r>
  </si>
  <si>
    <t>A [-]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</si>
  <si>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1</t>
    </r>
    <r>
      <rPr>
        <b/>
        <sz val="11"/>
        <color theme="0"/>
        <rFont val="Calibri"/>
        <family val="2"/>
        <scheme val="minor"/>
      </rPr>
      <t xml:space="preserve"> [-]</t>
    </r>
  </si>
  <si>
    <t>Distance ratio of the upstream tapping point</t>
  </si>
  <si>
    <t>Distance ratio of the downstream tapping point</t>
  </si>
  <si>
    <t>C [-]</t>
  </si>
  <si>
    <r>
      <t>M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[-]</t>
    </r>
  </si>
  <si>
    <t>tappings</t>
  </si>
  <si>
    <t>Pressure tappings type</t>
  </si>
  <si>
    <t>corner</t>
  </si>
  <si>
    <t>Restriction orifice calculation - ISO 5167-2</t>
  </si>
  <si>
    <r>
      <t>l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vertAlign val="superscript"/>
        <sz val="11"/>
        <color theme="0"/>
        <rFont val="Calibri"/>
        <family val="2"/>
        <scheme val="minor"/>
      </rPr>
      <t>'</t>
    </r>
    <r>
      <rPr>
        <b/>
        <sz val="11"/>
        <color theme="0"/>
        <rFont val="Calibri"/>
        <family val="2"/>
        <scheme val="minor"/>
      </rPr>
      <t xml:space="preserve"> [mm]</t>
    </r>
  </si>
  <si>
    <r>
      <t>L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vertAlign val="superscript"/>
        <sz val="11"/>
        <color theme="0"/>
        <rFont val="Calibri"/>
        <family val="2"/>
        <scheme val="minor"/>
      </rPr>
      <t>'</t>
    </r>
    <r>
      <rPr>
        <b/>
        <sz val="11"/>
        <color theme="0"/>
        <rFont val="Calibri"/>
        <family val="2"/>
        <scheme val="minor"/>
      </rPr>
      <t xml:space="preserve"> [-]</t>
    </r>
  </si>
  <si>
    <t>Coefficient as per ISO 5167-2</t>
  </si>
  <si>
    <t>Restriction orifice calculation - Idelchik Chapter IV - Diagram 4.14</t>
  </si>
  <si>
    <r>
      <t>t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>/D</t>
    </r>
    <r>
      <rPr>
        <b/>
        <vertAlign val="subscript"/>
        <sz val="11"/>
        <color theme="0"/>
        <rFont val="Calibri"/>
        <family val="2"/>
        <scheme val="minor"/>
      </rPr>
      <t>orifice</t>
    </r>
    <r>
      <rPr>
        <b/>
        <sz val="11"/>
        <color theme="0"/>
        <rFont val="Calibri"/>
        <family val="2"/>
        <scheme val="minor"/>
      </rPr>
      <t xml:space="preserve"> [-]</t>
    </r>
  </si>
  <si>
    <t>Requirement as per Idelchik's chapter IV - Diagram 4.14</t>
  </si>
  <si>
    <t>Warnings legend</t>
  </si>
  <si>
    <t>= Acceptable data.</t>
  </si>
  <si>
    <t>= Not acceptable data. User shall modify input data to find an acceptable solution.</t>
  </si>
  <si>
    <t>Advance Mechanical Eng - M. Di Somma</t>
  </si>
  <si>
    <t>Client Qualification/ EHSS - A. Banfi/ T. Morelli Stefani</t>
  </si>
  <si>
    <t>R&amp;D &amp; Prod.Eng. Manager - M.Borghetti</t>
  </si>
  <si>
    <t xml:space="preserve">Restriction orifice calculation
(linked to SOP-570)
</t>
  </si>
  <si>
    <t>Mod.547-0</t>
  </si>
  <si>
    <t>flow</t>
  </si>
  <si>
    <t>orifice 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</si>
</sst>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General_)"/>
    <numFmt numFmtId="166" formatCode="&quot;$&quot;#,##0.00;[Red]\-&quot;$&quot;#,##0.00"/>
    <numFmt numFmtId="167" formatCode="0.000000"/>
    <numFmt numFmtId="168" formatCode="0.0000"/>
  </numFmts>
  <fonts count="3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sz val="11"/>
      <color theme="0"/>
      <name val="Aptos Narrow"/>
      <family val="2"/>
    </font>
    <font>
      <b/>
      <vertAlign val="subscript"/>
      <sz val="11"/>
      <color theme="0"/>
      <name val="Aptos Narrow"/>
      <family val="2"/>
    </font>
    <font>
      <b/>
      <sz val="11"/>
      <color theme="1"/>
      <name val="Aptos Narrow"/>
      <family val="2"/>
    </font>
    <font>
      <b/>
      <sz val="9.35"/>
      <color theme="1"/>
      <name val="Calibri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Aptos Narrow"/>
      <family val="2"/>
    </font>
    <font>
      <b/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b/>
      <vertAlign val="subscript"/>
      <sz val="11"/>
      <color theme="0"/>
      <name val="Calibri"/>
      <family val="2"/>
    </font>
    <font>
      <b/>
      <vertAlign val="superscript"/>
      <sz val="11"/>
      <color theme="0"/>
      <name val="Calibri"/>
      <family val="2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12" fillId="0" borderId="0"/>
    <xf numFmtId="165" fontId="13" fillId="0" borderId="0"/>
    <xf numFmtId="166" fontId="19" fillId="0" borderId="0" applyFont="0" applyFill="0" applyBorder="0" applyAlignment="0" applyProtection="0"/>
  </cellStyleXfs>
  <cellXfs count="126">
    <xf numFmtId="0" fontId="0" fillId="0" borderId="0" xfId="0"/>
    <xf numFmtId="0" fontId="1" fillId="4" borderId="3" xfId="0" applyFont="1" applyFill="1" applyBorder="1" applyAlignment="1" applyProtection="1">
      <alignment horizontal="center" vertical="center"/>
      <protection locked="0"/>
    </xf>
    <xf numFmtId="164" fontId="1" fillId="4" borderId="3" xfId="0" applyNumberFormat="1" applyFont="1" applyFill="1" applyBorder="1" applyAlignment="1" applyProtection="1">
      <alignment horizontal="center" vertical="center"/>
      <protection locked="0"/>
    </xf>
    <xf numFmtId="1" fontId="1" fillId="4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2" borderId="4" xfId="0" applyFont="1" applyFill="1" applyBorder="1" applyAlignment="1">
      <alignment horizontal="center" vertical="center"/>
    </xf>
    <xf numFmtId="2" fontId="1" fillId="4" borderId="4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2" fontId="7" fillId="0" borderId="3" xfId="0" applyNumberFormat="1" applyFont="1" applyBorder="1" applyAlignment="1">
      <alignment horizontal="center" vertical="center"/>
    </xf>
    <xf numFmtId="1" fontId="7" fillId="0" borderId="3" xfId="0" applyNumberFormat="1" applyFont="1" applyBorder="1" applyAlignment="1">
      <alignment horizontal="center" vertical="center"/>
    </xf>
    <xf numFmtId="164" fontId="7" fillId="0" borderId="3" xfId="0" applyNumberFormat="1" applyFont="1" applyBorder="1" applyAlignment="1">
      <alignment horizontal="center" vertical="center"/>
    </xf>
    <xf numFmtId="0" fontId="12" fillId="0" borderId="6" xfId="2" applyBorder="1" applyAlignment="1">
      <alignment horizontal="center" vertical="center"/>
    </xf>
    <xf numFmtId="0" fontId="12" fillId="0" borderId="7" xfId="2" applyBorder="1" applyAlignment="1">
      <alignment horizontal="center" vertical="center"/>
    </xf>
    <xf numFmtId="0" fontId="12" fillId="0" borderId="8" xfId="2" applyBorder="1" applyAlignment="1">
      <alignment horizontal="center" vertical="center"/>
    </xf>
    <xf numFmtId="165" fontId="13" fillId="0" borderId="0" xfId="3"/>
    <xf numFmtId="0" fontId="12" fillId="0" borderId="9" xfId="2" applyBorder="1" applyAlignment="1">
      <alignment horizontal="center" vertical="center"/>
    </xf>
    <xf numFmtId="0" fontId="12" fillId="0" borderId="0" xfId="2" applyAlignment="1">
      <alignment horizontal="center" vertical="center"/>
    </xf>
    <xf numFmtId="0" fontId="12" fillId="0" borderId="10" xfId="2" applyBorder="1" applyAlignment="1">
      <alignment horizontal="center" vertical="center"/>
    </xf>
    <xf numFmtId="0" fontId="14" fillId="0" borderId="0" xfId="2" applyFont="1" applyAlignment="1">
      <alignment horizontal="center" vertical="top"/>
    </xf>
    <xf numFmtId="0" fontId="12" fillId="0" borderId="0" xfId="2" applyAlignment="1">
      <alignment horizontal="center"/>
    </xf>
    <xf numFmtId="0" fontId="15" fillId="0" borderId="0" xfId="2" applyFont="1" applyAlignment="1">
      <alignment horizontal="center" vertical="top"/>
    </xf>
    <xf numFmtId="0" fontId="16" fillId="0" borderId="10" xfId="2" applyFont="1" applyBorder="1" applyAlignment="1">
      <alignment horizontal="center" vertical="top"/>
    </xf>
    <xf numFmtId="0" fontId="17" fillId="0" borderId="9" xfId="2" applyFont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7" fillId="0" borderId="10" xfId="2" applyFont="1" applyBorder="1" applyAlignment="1">
      <alignment horizontal="center" vertical="center"/>
    </xf>
    <xf numFmtId="0" fontId="0" fillId="0" borderId="0" xfId="0" applyAlignment="1">
      <alignment wrapText="1"/>
    </xf>
    <xf numFmtId="0" fontId="1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 wrapText="1"/>
    </xf>
    <xf numFmtId="167" fontId="7" fillId="0" borderId="3" xfId="0" applyNumberFormat="1" applyFont="1" applyBorder="1" applyAlignment="1">
      <alignment horizontal="center" vertical="center"/>
    </xf>
    <xf numFmtId="168" fontId="7" fillId="0" borderId="3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5" fillId="0" borderId="9" xfId="0" applyFon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26" xfId="0" applyFont="1" applyBorder="1" applyAlignment="1">
      <alignment horizontal="left" vertical="center"/>
    </xf>
    <xf numFmtId="0" fontId="5" fillId="0" borderId="27" xfId="0" applyFont="1" applyBorder="1" applyAlignment="1">
      <alignment horizontal="left" vertical="center"/>
    </xf>
    <xf numFmtId="0" fontId="5" fillId="0" borderId="28" xfId="0" applyFont="1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164" fontId="0" fillId="0" borderId="31" xfId="0" applyNumberFormat="1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5" fillId="0" borderId="34" xfId="0" applyFont="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164" fontId="0" fillId="0" borderId="36" xfId="0" applyNumberForma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1" fillId="3" borderId="3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1" fillId="0" borderId="0" xfId="1" applyFont="1" applyProtection="1"/>
    <xf numFmtId="166" fontId="12" fillId="0" borderId="11" xfId="4" applyFont="1" applyFill="1" applyBorder="1" applyAlignment="1">
      <alignment horizontal="right" vertical="center"/>
    </xf>
    <xf numFmtId="166" fontId="13" fillId="0" borderId="12" xfId="4" applyFont="1" applyFill="1" applyBorder="1" applyAlignment="1">
      <alignment horizontal="right" vertical="center"/>
    </xf>
    <xf numFmtId="166" fontId="13" fillId="0" borderId="13" xfId="4" applyFont="1" applyFill="1" applyBorder="1" applyAlignment="1">
      <alignment horizontal="right" vertical="center"/>
    </xf>
    <xf numFmtId="166" fontId="12" fillId="0" borderId="21" xfId="4" applyFont="1" applyBorder="1" applyAlignment="1">
      <alignment horizontal="center" vertical="center"/>
    </xf>
    <xf numFmtId="166" fontId="12" fillId="0" borderId="22" xfId="4" applyFont="1" applyBorder="1" applyAlignment="1">
      <alignment horizontal="center" vertical="center"/>
    </xf>
    <xf numFmtId="0" fontId="20" fillId="0" borderId="23" xfId="2" applyFont="1" applyBorder="1" applyAlignment="1">
      <alignment horizontal="center" vertical="center"/>
    </xf>
    <xf numFmtId="0" fontId="20" fillId="0" borderId="24" xfId="2" applyFont="1" applyBorder="1" applyAlignment="1">
      <alignment horizontal="center" vertical="center"/>
    </xf>
    <xf numFmtId="0" fontId="20" fillId="0" borderId="22" xfId="2" applyFont="1" applyBorder="1" applyAlignment="1">
      <alignment horizontal="center" vertical="center"/>
    </xf>
    <xf numFmtId="0" fontId="20" fillId="0" borderId="25" xfId="2" applyFont="1" applyBorder="1" applyAlignment="1">
      <alignment horizontal="center" vertical="center"/>
    </xf>
    <xf numFmtId="0" fontId="19" fillId="0" borderId="1" xfId="2" applyFont="1" applyBorder="1" applyAlignment="1">
      <alignment horizontal="center" vertical="center" wrapText="1"/>
    </xf>
    <xf numFmtId="0" fontId="19" fillId="0" borderId="2" xfId="2" applyFont="1" applyBorder="1" applyAlignment="1">
      <alignment horizontal="center" vertical="center" wrapText="1"/>
    </xf>
    <xf numFmtId="0" fontId="19" fillId="0" borderId="20" xfId="2" applyFont="1" applyBorder="1" applyAlignment="1">
      <alignment horizontal="center" vertical="center" wrapText="1"/>
    </xf>
    <xf numFmtId="0" fontId="12" fillId="0" borderId="19" xfId="2" applyBorder="1" applyAlignment="1">
      <alignment horizontal="center" vertical="center"/>
    </xf>
    <xf numFmtId="0" fontId="12" fillId="0" borderId="5" xfId="2" applyBorder="1" applyAlignment="1">
      <alignment horizontal="center" vertical="center"/>
    </xf>
    <xf numFmtId="0" fontId="12" fillId="0" borderId="1" xfId="2" applyBorder="1" applyAlignment="1">
      <alignment horizontal="center" vertical="center"/>
    </xf>
    <xf numFmtId="0" fontId="12" fillId="0" borderId="2" xfId="2" applyBorder="1" applyAlignment="1">
      <alignment horizontal="center" vertical="center"/>
    </xf>
    <xf numFmtId="0" fontId="12" fillId="0" borderId="20" xfId="2" applyBorder="1" applyAlignment="1">
      <alignment horizontal="center" vertical="center"/>
    </xf>
    <xf numFmtId="0" fontId="19" fillId="0" borderId="19" xfId="2" applyFont="1" applyBorder="1" applyAlignment="1">
      <alignment horizontal="center" vertical="center"/>
    </xf>
    <xf numFmtId="0" fontId="19" fillId="0" borderId="5" xfId="2" applyFont="1" applyBorder="1" applyAlignment="1">
      <alignment horizontal="center" vertical="center"/>
    </xf>
    <xf numFmtId="14" fontId="19" fillId="0" borderId="1" xfId="2" applyNumberFormat="1" applyFont="1" applyBorder="1" applyAlignment="1">
      <alignment horizontal="center" vertical="center"/>
    </xf>
    <xf numFmtId="14" fontId="19" fillId="0" borderId="2" xfId="2" applyNumberFormat="1" applyFont="1" applyBorder="1" applyAlignment="1">
      <alignment horizontal="center" vertical="center"/>
    </xf>
    <xf numFmtId="14" fontId="19" fillId="0" borderId="5" xfId="2" applyNumberFormat="1" applyFont="1" applyBorder="1" applyAlignment="1">
      <alignment horizontal="center" vertical="center"/>
    </xf>
    <xf numFmtId="0" fontId="19" fillId="0" borderId="1" xfId="2" applyFont="1" applyBorder="1" applyAlignment="1">
      <alignment horizontal="center" vertical="center"/>
    </xf>
    <xf numFmtId="0" fontId="19" fillId="0" borderId="2" xfId="2" applyFont="1" applyBorder="1" applyAlignment="1">
      <alignment horizontal="center" vertical="center"/>
    </xf>
    <xf numFmtId="0" fontId="19" fillId="0" borderId="5" xfId="2" applyFont="1" applyBorder="1" applyAlignment="1">
      <alignment horizontal="center" vertical="center" wrapText="1"/>
    </xf>
    <xf numFmtId="0" fontId="17" fillId="0" borderId="6" xfId="2" applyFont="1" applyBorder="1" applyAlignment="1">
      <alignment horizontal="center" vertical="center" wrapText="1"/>
    </xf>
    <xf numFmtId="0" fontId="17" fillId="0" borderId="7" xfId="2" applyFont="1" applyBorder="1" applyAlignment="1">
      <alignment horizontal="center" vertical="center" wrapText="1"/>
    </xf>
    <xf numFmtId="0" fontId="17" fillId="0" borderId="8" xfId="2" applyFont="1" applyBorder="1" applyAlignment="1">
      <alignment horizontal="center" vertical="center" wrapText="1"/>
    </xf>
    <xf numFmtId="0" fontId="17" fillId="0" borderId="9" xfId="2" applyFont="1" applyBorder="1" applyAlignment="1">
      <alignment horizontal="center" vertical="center" wrapText="1"/>
    </xf>
    <xf numFmtId="0" fontId="17" fillId="0" borderId="0" xfId="2" applyFont="1" applyAlignment="1">
      <alignment horizontal="center" vertical="center" wrapText="1"/>
    </xf>
    <xf numFmtId="0" fontId="17" fillId="0" borderId="10" xfId="2" applyFont="1" applyBorder="1" applyAlignment="1">
      <alignment horizontal="center" vertical="center" wrapText="1"/>
    </xf>
    <xf numFmtId="0" fontId="17" fillId="0" borderId="11" xfId="2" applyFont="1" applyBorder="1" applyAlignment="1">
      <alignment horizontal="center" vertical="center" wrapText="1"/>
    </xf>
    <xf numFmtId="0" fontId="17" fillId="0" borderId="12" xfId="2" applyFont="1" applyBorder="1" applyAlignment="1">
      <alignment horizontal="center" vertical="center" wrapText="1"/>
    </xf>
    <xf numFmtId="0" fontId="17" fillId="0" borderId="13" xfId="2" applyFont="1" applyBorder="1" applyAlignment="1">
      <alignment horizontal="center" vertical="center" wrapText="1"/>
    </xf>
    <xf numFmtId="0" fontId="12" fillId="0" borderId="14" xfId="2" applyBorder="1" applyAlignment="1">
      <alignment horizontal="center" vertical="center"/>
    </xf>
    <xf numFmtId="0" fontId="12" fillId="0" borderId="15" xfId="2" applyBorder="1" applyAlignment="1">
      <alignment horizontal="center" vertical="center"/>
    </xf>
    <xf numFmtId="0" fontId="12" fillId="0" borderId="16" xfId="2" applyBorder="1" applyAlignment="1">
      <alignment horizontal="center" vertical="center"/>
    </xf>
    <xf numFmtId="0" fontId="12" fillId="0" borderId="17" xfId="2" applyBorder="1" applyAlignment="1">
      <alignment horizontal="center" vertical="center"/>
    </xf>
    <xf numFmtId="0" fontId="12" fillId="0" borderId="18" xfId="2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0" borderId="4" xfId="0" quotePrefix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</cellXfs>
  <cellStyles count="5">
    <cellStyle name="Normale" xfId="0" builtinId="0"/>
    <cellStyle name="Normale 3" xfId="3" xr:uid="{646E99ED-4882-44F9-B182-E2611A2FDB36}"/>
    <cellStyle name="Normale 4" xfId="2" xr:uid="{87C670D8-73D8-4933-92AC-1B1F8D5D7CBB}"/>
    <cellStyle name="Titolo" xfId="1" builtinId="15"/>
    <cellStyle name="Valuta 2" xfId="4" xr:uid="{B7B78FCF-A5B0-4D63-AA76-13988AC6197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Moody's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idelchik_IV_4.14!$AX$3</c:f>
              <c:strCache>
                <c:ptCount val="1"/>
                <c:pt idx="0">
                  <c:v>ε/D = 0.05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769520887325715E-2"/>
                  <c:y val="-1.8638905282020418E-2"/>
                </c:manualLayout>
              </c:layout>
              <c:tx>
                <c:rich>
                  <a:bodyPr/>
                  <a:lstStyle/>
                  <a:p>
                    <a:fld id="{D2BA14B8-F905-4614-BC77-0597F3104F08}" type="SERIESNAME">
                      <a:rPr lang="el-GR" baseline="0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idelchik_IV_4.14!$AX$5:$AX$51</c:f>
              <c:numCache>
                <c:formatCode>General</c:formatCode>
                <c:ptCount val="47"/>
                <c:pt idx="0">
                  <c:v>8.1591856079101577E-2</c:v>
                </c:pt>
                <c:pt idx="1">
                  <c:v>8.1372129626464867E-2</c:v>
                </c:pt>
                <c:pt idx="2">
                  <c:v>7.9907286608886741E-2</c:v>
                </c:pt>
                <c:pt idx="3">
                  <c:v>7.8588927893066429E-2</c:v>
                </c:pt>
                <c:pt idx="4">
                  <c:v>7.6904358422851565E-2</c:v>
                </c:pt>
                <c:pt idx="5">
                  <c:v>7.5866761285400375E-2</c:v>
                </c:pt>
                <c:pt idx="6">
                  <c:v>7.5158753826904318E-2</c:v>
                </c:pt>
                <c:pt idx="7">
                  <c:v>7.464605877075195E-2</c:v>
                </c:pt>
                <c:pt idx="8">
                  <c:v>7.4261537478637701E-2</c:v>
                </c:pt>
                <c:pt idx="9">
                  <c:v>7.3956361849975588E-2</c:v>
                </c:pt>
                <c:pt idx="10">
                  <c:v>7.3718324859619155E-2</c:v>
                </c:pt>
                <c:pt idx="11">
                  <c:v>7.260138205871583E-2</c:v>
                </c:pt>
                <c:pt idx="12">
                  <c:v>7.2222964279174795E-2</c:v>
                </c:pt>
                <c:pt idx="13">
                  <c:v>7.2033755389404291E-2</c:v>
                </c:pt>
                <c:pt idx="14">
                  <c:v>7.1923892163085923E-2</c:v>
                </c:pt>
                <c:pt idx="15">
                  <c:v>7.1844546499633788E-2</c:v>
                </c:pt>
                <c:pt idx="16">
                  <c:v>7.1789614886474618E-2</c:v>
                </c:pt>
                <c:pt idx="17">
                  <c:v>7.1746890298461902E-2</c:v>
                </c:pt>
                <c:pt idx="18">
                  <c:v>7.1716372735595696E-2</c:v>
                </c:pt>
                <c:pt idx="19">
                  <c:v>7.1691958685302731E-2</c:v>
                </c:pt>
                <c:pt idx="20">
                  <c:v>7.1575991946411122E-2</c:v>
                </c:pt>
                <c:pt idx="21">
                  <c:v>7.1539370870971675E-2</c:v>
                </c:pt>
                <c:pt idx="22">
                  <c:v>7.1521060333251951E-2</c:v>
                </c:pt>
                <c:pt idx="23">
                  <c:v>7.1508853308105469E-2</c:v>
                </c:pt>
                <c:pt idx="24">
                  <c:v>7.1496646282958987E-2</c:v>
                </c:pt>
                <c:pt idx="25">
                  <c:v>7.1496646282958987E-2</c:v>
                </c:pt>
                <c:pt idx="26">
                  <c:v>7.1490542770385745E-2</c:v>
                </c:pt>
                <c:pt idx="27">
                  <c:v>7.148443925781249E-2</c:v>
                </c:pt>
                <c:pt idx="28">
                  <c:v>7.148443925781249E-2</c:v>
                </c:pt>
                <c:pt idx="29">
                  <c:v>7.1472232232665994E-2</c:v>
                </c:pt>
                <c:pt idx="30">
                  <c:v>7.1472232232665994E-2</c:v>
                </c:pt>
                <c:pt idx="31">
                  <c:v>7.1466128720092753E-2</c:v>
                </c:pt>
                <c:pt idx="32">
                  <c:v>7.1466128720092753E-2</c:v>
                </c:pt>
                <c:pt idx="33">
                  <c:v>7.1466128720092753E-2</c:v>
                </c:pt>
                <c:pt idx="34">
                  <c:v>7.1466128720092753E-2</c:v>
                </c:pt>
                <c:pt idx="35">
                  <c:v>7.1466128720092753E-2</c:v>
                </c:pt>
                <c:pt idx="36">
                  <c:v>7.1460025207519512E-2</c:v>
                </c:pt>
                <c:pt idx="37">
                  <c:v>7.1460025207519512E-2</c:v>
                </c:pt>
                <c:pt idx="38">
                  <c:v>7.1460025207519512E-2</c:v>
                </c:pt>
                <c:pt idx="39">
                  <c:v>7.1460025207519512E-2</c:v>
                </c:pt>
                <c:pt idx="40">
                  <c:v>7.1460025207519512E-2</c:v>
                </c:pt>
                <c:pt idx="41">
                  <c:v>7.1460025207519512E-2</c:v>
                </c:pt>
                <c:pt idx="42">
                  <c:v>7.1460025207519512E-2</c:v>
                </c:pt>
                <c:pt idx="43">
                  <c:v>7.1460025207519512E-2</c:v>
                </c:pt>
                <c:pt idx="44">
                  <c:v>7.1460025207519512E-2</c:v>
                </c:pt>
                <c:pt idx="45">
                  <c:v>7.1460025207519512E-2</c:v>
                </c:pt>
                <c:pt idx="46">
                  <c:v>7.1460025207519512E-2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B7-4B4C-B203-CCD112E0EF65}"/>
            </c:ext>
          </c:extLst>
        </c:ser>
        <c:ser>
          <c:idx val="1"/>
          <c:order val="1"/>
          <c:tx>
            <c:strRef>
              <c:f>idelchik_IV_4.14!$AY$3</c:f>
              <c:strCache>
                <c:ptCount val="1"/>
                <c:pt idx="0">
                  <c:v>ε/D = 0.04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6145343809303491E-2"/>
                  <c:y val="-1.5373120741976458E-2"/>
                </c:manualLayout>
              </c:layout>
              <c:tx>
                <c:rich>
                  <a:bodyPr/>
                  <a:lstStyle/>
                  <a:p>
                    <a:fld id="{D6B54755-3BC1-4EFB-87D3-5BB6EAAE4121}" type="SERIESNAME">
                      <a:rPr lang="el-GR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idelchik_IV_4.14!$AY$5:$AY$51</c:f>
              <c:numCache>
                <c:formatCode>General</c:formatCode>
                <c:ptCount val="47"/>
                <c:pt idx="0">
                  <c:v>7.5701966445922864E-2</c:v>
                </c:pt>
                <c:pt idx="1">
                  <c:v>7.5463929455566403E-2</c:v>
                </c:pt>
                <c:pt idx="2">
                  <c:v>7.3889223211669935E-2</c:v>
                </c:pt>
                <c:pt idx="3">
                  <c:v>7.2473208294677738E-2</c:v>
                </c:pt>
                <c:pt idx="4">
                  <c:v>7.0636051010131845E-2</c:v>
                </c:pt>
                <c:pt idx="5">
                  <c:v>6.9494694158935555E-2</c:v>
                </c:pt>
                <c:pt idx="6">
                  <c:v>6.871954806213379E-2</c:v>
                </c:pt>
                <c:pt idx="7">
                  <c:v>6.8151921392822251E-2</c:v>
                </c:pt>
                <c:pt idx="8">
                  <c:v>6.7724675512695315E-2</c:v>
                </c:pt>
                <c:pt idx="9">
                  <c:v>6.7388982321166996E-2</c:v>
                </c:pt>
                <c:pt idx="10">
                  <c:v>6.712042776794433E-2</c:v>
                </c:pt>
                <c:pt idx="11">
                  <c:v>6.587531120300294E-2</c:v>
                </c:pt>
                <c:pt idx="12">
                  <c:v>6.5454168835449217E-2</c:v>
                </c:pt>
                <c:pt idx="13">
                  <c:v>6.5240545895385749E-2</c:v>
                </c:pt>
                <c:pt idx="14">
                  <c:v>6.5112372131347657E-2</c:v>
                </c:pt>
                <c:pt idx="15">
                  <c:v>6.5026922955322253E-2</c:v>
                </c:pt>
                <c:pt idx="16">
                  <c:v>6.4965887829589841E-2</c:v>
                </c:pt>
                <c:pt idx="17">
                  <c:v>6.4917059729003884E-2</c:v>
                </c:pt>
                <c:pt idx="18">
                  <c:v>6.4880438653564437E-2</c:v>
                </c:pt>
                <c:pt idx="19">
                  <c:v>6.4856024603271473E-2</c:v>
                </c:pt>
                <c:pt idx="20">
                  <c:v>6.472174732666014E-2</c:v>
                </c:pt>
                <c:pt idx="21">
                  <c:v>6.4679022738647451E-2</c:v>
                </c:pt>
                <c:pt idx="22">
                  <c:v>6.4660712200927728E-2</c:v>
                </c:pt>
                <c:pt idx="23">
                  <c:v>6.4648505175781246E-2</c:v>
                </c:pt>
                <c:pt idx="24">
                  <c:v>6.4636298150634763E-2</c:v>
                </c:pt>
                <c:pt idx="25">
                  <c:v>6.4630194638061522E-2</c:v>
                </c:pt>
                <c:pt idx="26">
                  <c:v>6.4624091125488281E-2</c:v>
                </c:pt>
                <c:pt idx="27">
                  <c:v>6.4624091125488281E-2</c:v>
                </c:pt>
                <c:pt idx="28">
                  <c:v>6.461798761291504E-2</c:v>
                </c:pt>
                <c:pt idx="29">
                  <c:v>6.4605780587768558E-2</c:v>
                </c:pt>
                <c:pt idx="30">
                  <c:v>6.4599677075195316E-2</c:v>
                </c:pt>
                <c:pt idx="31">
                  <c:v>6.4599677075195316E-2</c:v>
                </c:pt>
                <c:pt idx="32">
                  <c:v>6.4599677075195316E-2</c:v>
                </c:pt>
                <c:pt idx="33">
                  <c:v>6.4599677075195316E-2</c:v>
                </c:pt>
                <c:pt idx="34">
                  <c:v>6.4599677075195316E-2</c:v>
                </c:pt>
                <c:pt idx="35">
                  <c:v>6.4599677075195316E-2</c:v>
                </c:pt>
                <c:pt idx="36">
                  <c:v>6.4599677075195316E-2</c:v>
                </c:pt>
                <c:pt idx="37">
                  <c:v>6.4599677075195316E-2</c:v>
                </c:pt>
                <c:pt idx="38">
                  <c:v>6.4593573562622075E-2</c:v>
                </c:pt>
                <c:pt idx="39">
                  <c:v>6.4593573562622075E-2</c:v>
                </c:pt>
                <c:pt idx="40">
                  <c:v>6.4593573562622075E-2</c:v>
                </c:pt>
                <c:pt idx="41">
                  <c:v>6.4593573562622075E-2</c:v>
                </c:pt>
                <c:pt idx="42">
                  <c:v>6.4593573562622075E-2</c:v>
                </c:pt>
                <c:pt idx="43">
                  <c:v>6.4593573562622075E-2</c:v>
                </c:pt>
                <c:pt idx="44">
                  <c:v>6.4593573562622075E-2</c:v>
                </c:pt>
                <c:pt idx="45">
                  <c:v>6.4593573562622075E-2</c:v>
                </c:pt>
                <c:pt idx="46">
                  <c:v>6.4593573562622075E-2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B7-4B4C-B203-CCD112E0EF65}"/>
            </c:ext>
          </c:extLst>
        </c:ser>
        <c:ser>
          <c:idx val="2"/>
          <c:order val="2"/>
          <c:tx>
            <c:strRef>
              <c:f>idelchik_IV_4.14!$AZ$3</c:f>
              <c:strCache>
                <c:ptCount val="1"/>
                <c:pt idx="0">
                  <c:v>ε/D = 0.03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5096598849962664E-2"/>
                  <c:y val="-1.604471353045327E-2"/>
                </c:manualLayout>
              </c:layout>
              <c:tx>
                <c:rich>
                  <a:bodyPr/>
                  <a:lstStyle/>
                  <a:p>
                    <a:fld id="{75DC6F02-E30A-4838-B5EC-4030EDF1A8CB}" type="SERIESNAME">
                      <a:rPr lang="el-GR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B237-4034-A6A1-17D32972A33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idelchik_IV_4.14!$AZ$5:$AZ$51</c:f>
              <c:numCache>
                <c:formatCode>General</c:formatCode>
                <c:ptCount val="47"/>
                <c:pt idx="0">
                  <c:v>6.9598453872680655E-2</c:v>
                </c:pt>
                <c:pt idx="1">
                  <c:v>6.9342106344604498E-2</c:v>
                </c:pt>
                <c:pt idx="2">
                  <c:v>6.7627019311523429E-2</c:v>
                </c:pt>
                <c:pt idx="3">
                  <c:v>6.6064520092773443E-2</c:v>
                </c:pt>
                <c:pt idx="4">
                  <c:v>6.4019843380737296E-2</c:v>
                </c:pt>
                <c:pt idx="5">
                  <c:v>6.2744209252929686E-2</c:v>
                </c:pt>
                <c:pt idx="6">
                  <c:v>6.1865303442382814E-2</c:v>
                </c:pt>
                <c:pt idx="7">
                  <c:v>6.123053813476563E-2</c:v>
                </c:pt>
                <c:pt idx="8">
                  <c:v>6.0742257128906248E-2</c:v>
                </c:pt>
                <c:pt idx="9">
                  <c:v>6.0357735836791993E-2</c:v>
                </c:pt>
                <c:pt idx="10">
                  <c:v>6.0046456695556638E-2</c:v>
                </c:pt>
                <c:pt idx="11">
                  <c:v>5.8612131240844731E-2</c:v>
                </c:pt>
                <c:pt idx="12">
                  <c:v>5.8117746722412114E-2</c:v>
                </c:pt>
                <c:pt idx="13">
                  <c:v>5.7867502706909185E-2</c:v>
                </c:pt>
                <c:pt idx="14">
                  <c:v>5.772101840515137E-2</c:v>
                </c:pt>
                <c:pt idx="15">
                  <c:v>5.7617258691406249E-2</c:v>
                </c:pt>
                <c:pt idx="16">
                  <c:v>5.7544016540527342E-2</c:v>
                </c:pt>
                <c:pt idx="17">
                  <c:v>5.7495188439941405E-2</c:v>
                </c:pt>
                <c:pt idx="18">
                  <c:v>5.7452463851928703E-2</c:v>
                </c:pt>
                <c:pt idx="19">
                  <c:v>5.7415842776489256E-2</c:v>
                </c:pt>
                <c:pt idx="20">
                  <c:v>5.72632549621582E-2</c:v>
                </c:pt>
                <c:pt idx="21">
                  <c:v>5.7214426861572271E-2</c:v>
                </c:pt>
                <c:pt idx="22">
                  <c:v>5.7186961054992685E-2</c:v>
                </c:pt>
                <c:pt idx="23">
                  <c:v>5.7171702273559569E-2</c:v>
                </c:pt>
                <c:pt idx="24">
                  <c:v>5.7159495248413086E-2</c:v>
                </c:pt>
                <c:pt idx="25">
                  <c:v>5.7153391735839845E-2</c:v>
                </c:pt>
                <c:pt idx="26">
                  <c:v>5.7147288223266604E-2</c:v>
                </c:pt>
                <c:pt idx="27">
                  <c:v>5.7144236466979983E-2</c:v>
                </c:pt>
                <c:pt idx="28">
                  <c:v>5.7141184710693363E-2</c:v>
                </c:pt>
                <c:pt idx="29">
                  <c:v>5.7122874172973639E-2</c:v>
                </c:pt>
                <c:pt idx="30">
                  <c:v>5.7122874172973639E-2</c:v>
                </c:pt>
                <c:pt idx="31">
                  <c:v>5.7116770660400398E-2</c:v>
                </c:pt>
                <c:pt idx="32">
                  <c:v>5.7116770660400398E-2</c:v>
                </c:pt>
                <c:pt idx="33">
                  <c:v>5.7116770660400398E-2</c:v>
                </c:pt>
                <c:pt idx="34">
                  <c:v>5.7116770660400398E-2</c:v>
                </c:pt>
                <c:pt idx="35">
                  <c:v>5.7113718904113778E-2</c:v>
                </c:pt>
                <c:pt idx="36">
                  <c:v>5.7110667147827157E-2</c:v>
                </c:pt>
                <c:pt idx="37">
                  <c:v>5.7110667147827157E-2</c:v>
                </c:pt>
                <c:pt idx="38">
                  <c:v>5.7110667147827157E-2</c:v>
                </c:pt>
                <c:pt idx="39">
                  <c:v>5.7110667147827157E-2</c:v>
                </c:pt>
                <c:pt idx="40">
                  <c:v>5.7110667147827157E-2</c:v>
                </c:pt>
                <c:pt idx="41">
                  <c:v>5.7110667147827157E-2</c:v>
                </c:pt>
                <c:pt idx="42">
                  <c:v>5.7110667147827157E-2</c:v>
                </c:pt>
                <c:pt idx="43">
                  <c:v>5.7110667147827157E-2</c:v>
                </c:pt>
                <c:pt idx="44">
                  <c:v>5.7110667147827157E-2</c:v>
                </c:pt>
                <c:pt idx="45">
                  <c:v>5.7110667147827157E-2</c:v>
                </c:pt>
                <c:pt idx="46">
                  <c:v>5.7110667147827157E-2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B7-4B4C-B203-CCD112E0EF65}"/>
            </c:ext>
          </c:extLst>
        </c:ser>
        <c:ser>
          <c:idx val="3"/>
          <c:order val="3"/>
          <c:tx>
            <c:strRef>
              <c:f>idelchik_IV_4.14!$BA$3</c:f>
              <c:strCache>
                <c:ptCount val="1"/>
                <c:pt idx="0">
                  <c:v>ε/D = 0.02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8183257372432599E-2"/>
                  <c:y val="-1.7452974441374922E-2"/>
                </c:manualLayout>
              </c:layout>
              <c:tx>
                <c:rich>
                  <a:bodyPr/>
                  <a:lstStyle/>
                  <a:p>
                    <a:fld id="{90AC836D-7999-40D5-B335-2DD117BE14B3}" type="SERIESNAME">
                      <a:rPr lang="el-GR" baseline="0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idelchik_IV_4.14!$BA$5:$BA$51</c:f>
              <c:numCache>
                <c:formatCode>General</c:formatCode>
                <c:ptCount val="47"/>
                <c:pt idx="0">
                  <c:v>6.3208076208496111E-2</c:v>
                </c:pt>
                <c:pt idx="1">
                  <c:v>6.2921211117553721E-2</c:v>
                </c:pt>
                <c:pt idx="2">
                  <c:v>6.1007759925842286E-2</c:v>
                </c:pt>
                <c:pt idx="3">
                  <c:v>5.9246896548461908E-2</c:v>
                </c:pt>
                <c:pt idx="4">
                  <c:v>5.6918406501770019E-2</c:v>
                </c:pt>
                <c:pt idx="5">
                  <c:v>5.5435252946472169E-2</c:v>
                </c:pt>
                <c:pt idx="6">
                  <c:v>5.4406811077880854E-2</c:v>
                </c:pt>
                <c:pt idx="7">
                  <c:v>5.3649975518798826E-2</c:v>
                </c:pt>
                <c:pt idx="8">
                  <c:v>5.3064038311767578E-2</c:v>
                </c:pt>
                <c:pt idx="9">
                  <c:v>5.2606274868774422E-2</c:v>
                </c:pt>
                <c:pt idx="10">
                  <c:v>5.2227857089233401E-2</c:v>
                </c:pt>
                <c:pt idx="11">
                  <c:v>5.0476148980712898E-2</c:v>
                </c:pt>
                <c:pt idx="12">
                  <c:v>4.9862745967102051E-2</c:v>
                </c:pt>
                <c:pt idx="13">
                  <c:v>4.9548415069580076E-2</c:v>
                </c:pt>
                <c:pt idx="14">
                  <c:v>4.9359206179809573E-2</c:v>
                </c:pt>
                <c:pt idx="15">
                  <c:v>4.9231032415771495E-2</c:v>
                </c:pt>
                <c:pt idx="16">
                  <c:v>4.914253148345947E-2</c:v>
                </c:pt>
                <c:pt idx="17">
                  <c:v>4.907234108886719E-2</c:v>
                </c:pt>
                <c:pt idx="18">
                  <c:v>4.9020461231994633E-2</c:v>
                </c:pt>
                <c:pt idx="19">
                  <c:v>4.8977736643981945E-2</c:v>
                </c:pt>
                <c:pt idx="20">
                  <c:v>4.87824242416382E-2</c:v>
                </c:pt>
                <c:pt idx="21">
                  <c:v>4.8718337359619154E-2</c:v>
                </c:pt>
                <c:pt idx="22">
                  <c:v>4.8684768040466314E-2</c:v>
                </c:pt>
                <c:pt idx="23">
                  <c:v>4.8666457502746591E-2</c:v>
                </c:pt>
                <c:pt idx="24">
                  <c:v>4.8651198721313488E-2</c:v>
                </c:pt>
                <c:pt idx="25">
                  <c:v>4.8645095208740247E-2</c:v>
                </c:pt>
                <c:pt idx="26">
                  <c:v>4.8635939939880385E-2</c:v>
                </c:pt>
                <c:pt idx="27">
                  <c:v>4.8632888183593757E-2</c:v>
                </c:pt>
                <c:pt idx="28">
                  <c:v>4.8626784671020509E-2</c:v>
                </c:pt>
                <c:pt idx="29">
                  <c:v>4.8608474133300786E-2</c:v>
                </c:pt>
                <c:pt idx="30">
                  <c:v>4.8602370620727545E-2</c:v>
                </c:pt>
                <c:pt idx="31">
                  <c:v>4.8596267108154304E-2</c:v>
                </c:pt>
                <c:pt idx="32">
                  <c:v>4.8596267108154304E-2</c:v>
                </c:pt>
                <c:pt idx="33">
                  <c:v>4.8593215351867683E-2</c:v>
                </c:pt>
                <c:pt idx="34">
                  <c:v>4.8593215351867683E-2</c:v>
                </c:pt>
                <c:pt idx="35">
                  <c:v>4.8590163595581062E-2</c:v>
                </c:pt>
                <c:pt idx="36">
                  <c:v>4.8590163595581062E-2</c:v>
                </c:pt>
                <c:pt idx="37">
                  <c:v>4.8590163595581062E-2</c:v>
                </c:pt>
                <c:pt idx="38">
                  <c:v>4.8590163595581062E-2</c:v>
                </c:pt>
                <c:pt idx="39">
                  <c:v>4.8590163595581062E-2</c:v>
                </c:pt>
                <c:pt idx="40">
                  <c:v>4.8590163595581062E-2</c:v>
                </c:pt>
                <c:pt idx="41">
                  <c:v>4.8590163595581062E-2</c:v>
                </c:pt>
                <c:pt idx="42">
                  <c:v>4.8587111839294442E-2</c:v>
                </c:pt>
                <c:pt idx="43">
                  <c:v>4.8587111839294442E-2</c:v>
                </c:pt>
                <c:pt idx="44">
                  <c:v>4.8587111839294442E-2</c:v>
                </c:pt>
                <c:pt idx="45">
                  <c:v>4.8587111839294442E-2</c:v>
                </c:pt>
                <c:pt idx="46">
                  <c:v>4.8587111839294442E-2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B7-4B4C-B203-CCD112E0EF65}"/>
            </c:ext>
          </c:extLst>
        </c:ser>
        <c:ser>
          <c:idx val="4"/>
          <c:order val="4"/>
          <c:tx>
            <c:strRef>
              <c:f>idelchik_IV_4.14!$BB$3</c:f>
              <c:strCache>
                <c:ptCount val="1"/>
                <c:pt idx="0">
                  <c:v>ε/D = 0.015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509000020298707E-2"/>
                  <c:y val="-1.4532255375555053E-2"/>
                </c:manualLayout>
              </c:layout>
              <c:tx>
                <c:rich>
                  <a:bodyPr/>
                  <a:lstStyle/>
                  <a:p>
                    <a:fld id="{430B8384-0C15-4FB7-89FB-2C034E4C7D19}" type="SERIESNAME">
                      <a:rPr lang="el-GR" baseline="0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idelchik_IV_4.14!$BB$5:$BB$51</c:f>
              <c:numCache>
                <c:formatCode>General</c:formatCode>
                <c:ptCount val="47"/>
                <c:pt idx="0">
                  <c:v>5.9869454830932617E-2</c:v>
                </c:pt>
                <c:pt idx="1">
                  <c:v>5.9567330958557124E-2</c:v>
                </c:pt>
                <c:pt idx="2">
                  <c:v>5.7525706002807611E-2</c:v>
                </c:pt>
                <c:pt idx="3">
                  <c:v>5.5639720617675789E-2</c:v>
                </c:pt>
                <c:pt idx="4">
                  <c:v>5.310676289978028E-2</c:v>
                </c:pt>
                <c:pt idx="5">
                  <c:v>5.1477125042724614E-2</c:v>
                </c:pt>
                <c:pt idx="6">
                  <c:v>5.0335768191528324E-2</c:v>
                </c:pt>
                <c:pt idx="7">
                  <c:v>4.9490431700134285E-2</c:v>
                </c:pt>
                <c:pt idx="8">
                  <c:v>4.883430409851075E-2</c:v>
                </c:pt>
                <c:pt idx="9">
                  <c:v>4.8315505529785162E-2</c:v>
                </c:pt>
                <c:pt idx="10">
                  <c:v>4.7888259649658205E-2</c:v>
                </c:pt>
                <c:pt idx="11">
                  <c:v>4.5874100500488291E-2</c:v>
                </c:pt>
                <c:pt idx="12">
                  <c:v>4.515693777313233E-2</c:v>
                </c:pt>
                <c:pt idx="13">
                  <c:v>4.4790727018737805E-2</c:v>
                </c:pt>
                <c:pt idx="14">
                  <c:v>4.4567948809814462E-2</c:v>
                </c:pt>
                <c:pt idx="15">
                  <c:v>4.4415360995483405E-2</c:v>
                </c:pt>
                <c:pt idx="16">
                  <c:v>4.4308549525451671E-2</c:v>
                </c:pt>
                <c:pt idx="17">
                  <c:v>4.4226152105712901E-2</c:v>
                </c:pt>
                <c:pt idx="18">
                  <c:v>4.4162065223693855E-2</c:v>
                </c:pt>
                <c:pt idx="19">
                  <c:v>4.4110185366821306E-2</c:v>
                </c:pt>
                <c:pt idx="20">
                  <c:v>4.3881303645324721E-2</c:v>
                </c:pt>
                <c:pt idx="21">
                  <c:v>4.3801957981872572E-2</c:v>
                </c:pt>
                <c:pt idx="22">
                  <c:v>4.376228515014649E-2</c:v>
                </c:pt>
                <c:pt idx="23">
                  <c:v>4.3740922856140146E-2</c:v>
                </c:pt>
                <c:pt idx="24">
                  <c:v>4.3725664074707044E-2</c:v>
                </c:pt>
                <c:pt idx="25">
                  <c:v>4.3713457049560561E-2</c:v>
                </c:pt>
                <c:pt idx="26">
                  <c:v>4.3704301780700699E-2</c:v>
                </c:pt>
                <c:pt idx="27">
                  <c:v>4.3698198268127444E-2</c:v>
                </c:pt>
                <c:pt idx="28">
                  <c:v>4.3695146511840824E-2</c:v>
                </c:pt>
                <c:pt idx="29">
                  <c:v>4.3670732461547859E-2</c:v>
                </c:pt>
                <c:pt idx="30">
                  <c:v>4.3661577192687998E-2</c:v>
                </c:pt>
                <c:pt idx="31">
                  <c:v>4.3658525436401377E-2</c:v>
                </c:pt>
                <c:pt idx="32">
                  <c:v>4.3655473680114756E-2</c:v>
                </c:pt>
                <c:pt idx="33">
                  <c:v>4.3655473680114756E-2</c:v>
                </c:pt>
                <c:pt idx="34">
                  <c:v>4.3652421923828136E-2</c:v>
                </c:pt>
                <c:pt idx="35">
                  <c:v>4.3652421923828136E-2</c:v>
                </c:pt>
                <c:pt idx="36">
                  <c:v>4.3652421923828136E-2</c:v>
                </c:pt>
                <c:pt idx="37">
                  <c:v>4.3652421923828136E-2</c:v>
                </c:pt>
                <c:pt idx="38">
                  <c:v>4.3649370167541515E-2</c:v>
                </c:pt>
                <c:pt idx="39">
                  <c:v>4.3649370167541515E-2</c:v>
                </c:pt>
                <c:pt idx="40">
                  <c:v>4.3646318411254895E-2</c:v>
                </c:pt>
                <c:pt idx="41">
                  <c:v>4.3646318411254895E-2</c:v>
                </c:pt>
                <c:pt idx="42">
                  <c:v>4.3646318411254895E-2</c:v>
                </c:pt>
                <c:pt idx="43">
                  <c:v>4.3646318411254895E-2</c:v>
                </c:pt>
                <c:pt idx="44">
                  <c:v>4.3646318411254895E-2</c:v>
                </c:pt>
                <c:pt idx="45">
                  <c:v>4.3646318411254895E-2</c:v>
                </c:pt>
                <c:pt idx="46">
                  <c:v>4.3646318411254895E-2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B7-4B4C-B203-CCD112E0EF65}"/>
            </c:ext>
          </c:extLst>
        </c:ser>
        <c:ser>
          <c:idx val="5"/>
          <c:order val="5"/>
          <c:tx>
            <c:strRef>
              <c:f>idelchik_IV_4.14!$BC$3</c:f>
              <c:strCache>
                <c:ptCount val="1"/>
                <c:pt idx="0">
                  <c:v>ε/D = 0.01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8541218259801046E-2"/>
                  <c:y val="-1.6840831614185349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D5E20BD-8703-41B2-85C0-063811C55635}" type="SERIESNAME">
                      <a:rPr lang="el-GR" baseline="0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idelchik_IV_4.14!$BC$5:$BC$51</c:f>
              <c:numCache>
                <c:formatCode>General</c:formatCode>
                <c:ptCount val="47"/>
                <c:pt idx="0">
                  <c:v>5.6414866714477541E-2</c:v>
                </c:pt>
                <c:pt idx="1">
                  <c:v>5.6091380548095704E-2</c:v>
                </c:pt>
                <c:pt idx="2">
                  <c:v>5.3900219534301755E-2</c:v>
                </c:pt>
                <c:pt idx="3">
                  <c:v>5.1846387553405773E-2</c:v>
                </c:pt>
                <c:pt idx="4">
                  <c:v>4.9060134063720701E-2</c:v>
                </c:pt>
                <c:pt idx="5">
                  <c:v>4.7235183804321304E-2</c:v>
                </c:pt>
                <c:pt idx="6">
                  <c:v>4.5938187382507323E-2</c:v>
                </c:pt>
                <c:pt idx="7">
                  <c:v>4.4967728883361813E-2</c:v>
                </c:pt>
                <c:pt idx="8">
                  <c:v>4.4207841567993178E-2</c:v>
                </c:pt>
                <c:pt idx="9">
                  <c:v>4.3600542066955572E-2</c:v>
                </c:pt>
                <c:pt idx="10">
                  <c:v>4.3100054035949714E-2</c:v>
                </c:pt>
                <c:pt idx="11">
                  <c:v>4.0673907788085946E-2</c:v>
                </c:pt>
                <c:pt idx="12">
                  <c:v>3.9791950221252453E-2</c:v>
                </c:pt>
                <c:pt idx="13">
                  <c:v>3.933113502197267E-2</c:v>
                </c:pt>
                <c:pt idx="14">
                  <c:v>3.9050373443603528E-2</c:v>
                </c:pt>
                <c:pt idx="15">
                  <c:v>3.885811279754639E-2</c:v>
                </c:pt>
                <c:pt idx="16">
                  <c:v>3.8720783764648443E-2</c:v>
                </c:pt>
                <c:pt idx="17">
                  <c:v>3.8617024050903323E-2</c:v>
                </c:pt>
                <c:pt idx="18">
                  <c:v>3.8534626631164554E-2</c:v>
                </c:pt>
                <c:pt idx="19">
                  <c:v>3.8470539749145508E-2</c:v>
                </c:pt>
                <c:pt idx="20">
                  <c:v>3.8171467633056649E-2</c:v>
                </c:pt>
                <c:pt idx="21">
                  <c:v>3.8070759675598143E-2</c:v>
                </c:pt>
                <c:pt idx="22">
                  <c:v>3.8021931575012213E-2</c:v>
                </c:pt>
                <c:pt idx="23">
                  <c:v>3.7991414012145994E-2</c:v>
                </c:pt>
                <c:pt idx="24">
                  <c:v>3.797005171813965E-2</c:v>
                </c:pt>
                <c:pt idx="25">
                  <c:v>3.7957844692993167E-2</c:v>
                </c:pt>
                <c:pt idx="26">
                  <c:v>3.7945637667846685E-2</c:v>
                </c:pt>
                <c:pt idx="27">
                  <c:v>3.7936482398986809E-2</c:v>
                </c:pt>
                <c:pt idx="28">
                  <c:v>3.7930378886413568E-2</c:v>
                </c:pt>
                <c:pt idx="29">
                  <c:v>3.7899861323547362E-2</c:v>
                </c:pt>
                <c:pt idx="30">
                  <c:v>3.7890706054687501E-2</c:v>
                </c:pt>
                <c:pt idx="31">
                  <c:v>3.788460254211426E-2</c:v>
                </c:pt>
                <c:pt idx="32">
                  <c:v>3.7881550785827639E-2</c:v>
                </c:pt>
                <c:pt idx="33">
                  <c:v>3.7878499029541018E-2</c:v>
                </c:pt>
                <c:pt idx="34">
                  <c:v>3.7878499029541018E-2</c:v>
                </c:pt>
                <c:pt idx="35">
                  <c:v>3.7875447273254398E-2</c:v>
                </c:pt>
                <c:pt idx="36">
                  <c:v>3.7875447273254398E-2</c:v>
                </c:pt>
                <c:pt idx="37">
                  <c:v>3.7875447273254398E-2</c:v>
                </c:pt>
                <c:pt idx="38">
                  <c:v>3.7872395516967777E-2</c:v>
                </c:pt>
                <c:pt idx="39">
                  <c:v>3.7872395516967777E-2</c:v>
                </c:pt>
                <c:pt idx="40">
                  <c:v>3.7869343760681157E-2</c:v>
                </c:pt>
                <c:pt idx="41">
                  <c:v>3.7869343760681157E-2</c:v>
                </c:pt>
                <c:pt idx="42">
                  <c:v>3.7869343760681157E-2</c:v>
                </c:pt>
                <c:pt idx="43">
                  <c:v>3.7869343760681157E-2</c:v>
                </c:pt>
                <c:pt idx="44">
                  <c:v>3.7869343760681157E-2</c:v>
                </c:pt>
                <c:pt idx="45">
                  <c:v>3.7869343760681157E-2</c:v>
                </c:pt>
                <c:pt idx="46">
                  <c:v>3.7869343760681157E-2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EB7-4B4C-B203-CCD112E0EF65}"/>
            </c:ext>
          </c:extLst>
        </c:ser>
        <c:ser>
          <c:idx val="6"/>
          <c:order val="6"/>
          <c:tx>
            <c:strRef>
              <c:f>idelchik_IV_4.14!$BD$3</c:f>
              <c:strCache>
                <c:ptCount val="1"/>
                <c:pt idx="0">
                  <c:v>ε/D = 0.008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7194133294399893E-2"/>
                  <c:y val="-1.2415231827571096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CBF22DE-EC17-4CFD-8BB1-7D6FEA0BB966}" type="SERIESNAME">
                      <a:rPr lang="el-GR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B237-4034-A6A1-17D32972A3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idelchik_IV_4.14!$BD$5:$BD$51</c:f>
              <c:numCache>
                <c:formatCode>General</c:formatCode>
                <c:ptCount val="47"/>
                <c:pt idx="0">
                  <c:v>5.4995800041198736E-2</c:v>
                </c:pt>
                <c:pt idx="1">
                  <c:v>5.4663158605957038E-2</c:v>
                </c:pt>
                <c:pt idx="2">
                  <c:v>5.2398755441284181E-2</c:v>
                </c:pt>
                <c:pt idx="3">
                  <c:v>5.0271681309509292E-2</c:v>
                </c:pt>
                <c:pt idx="4">
                  <c:v>4.7357254055786141E-2</c:v>
                </c:pt>
                <c:pt idx="5">
                  <c:v>4.5434647595214851E-2</c:v>
                </c:pt>
                <c:pt idx="6">
                  <c:v>4.4061357266235363E-2</c:v>
                </c:pt>
                <c:pt idx="7">
                  <c:v>4.3020708372497565E-2</c:v>
                </c:pt>
                <c:pt idx="8">
                  <c:v>4.2208941200256353E-2</c:v>
                </c:pt>
                <c:pt idx="9">
                  <c:v>4.1549761842346197E-2</c:v>
                </c:pt>
                <c:pt idx="10">
                  <c:v>4.1009600979614272E-2</c:v>
                </c:pt>
                <c:pt idx="11">
                  <c:v>3.8348469497680671E-2</c:v>
                </c:pt>
                <c:pt idx="12">
                  <c:v>3.7359700460815437E-2</c:v>
                </c:pt>
                <c:pt idx="13">
                  <c:v>3.6840901892089849E-2</c:v>
                </c:pt>
                <c:pt idx="14">
                  <c:v>3.6520467481994626E-2</c:v>
                </c:pt>
                <c:pt idx="15">
                  <c:v>3.6303792785644537E-2</c:v>
                </c:pt>
                <c:pt idx="16">
                  <c:v>3.614815321502686E-2</c:v>
                </c:pt>
                <c:pt idx="17">
                  <c:v>3.6029134719848629E-2</c:v>
                </c:pt>
                <c:pt idx="18">
                  <c:v>3.5934530274963378E-2</c:v>
                </c:pt>
                <c:pt idx="19">
                  <c:v>3.585976224594116E-2</c:v>
                </c:pt>
                <c:pt idx="20">
                  <c:v>3.5516439663696289E-2</c:v>
                </c:pt>
                <c:pt idx="21">
                  <c:v>3.5400472924804686E-2</c:v>
                </c:pt>
                <c:pt idx="22">
                  <c:v>3.5342489555358889E-2</c:v>
                </c:pt>
                <c:pt idx="23">
                  <c:v>3.5308920236206062E-2</c:v>
                </c:pt>
                <c:pt idx="24">
                  <c:v>3.5284506185913084E-2</c:v>
                </c:pt>
                <c:pt idx="25">
                  <c:v>3.5267721526336671E-2</c:v>
                </c:pt>
                <c:pt idx="26">
                  <c:v>3.5253988623046878E-2</c:v>
                </c:pt>
                <c:pt idx="27">
                  <c:v>3.5244833354187016E-2</c:v>
                </c:pt>
                <c:pt idx="28">
                  <c:v>3.5237203963470465E-2</c:v>
                </c:pt>
                <c:pt idx="29">
                  <c:v>3.5202108766174314E-2</c:v>
                </c:pt>
                <c:pt idx="30">
                  <c:v>3.5189901741027832E-2</c:v>
                </c:pt>
                <c:pt idx="31">
                  <c:v>3.5183798228454591E-2</c:v>
                </c:pt>
                <c:pt idx="32">
                  <c:v>3.518074647216797E-2</c:v>
                </c:pt>
                <c:pt idx="33">
                  <c:v>3.517769471588135E-2</c:v>
                </c:pt>
                <c:pt idx="34">
                  <c:v>3.517769471588135E-2</c:v>
                </c:pt>
                <c:pt idx="35">
                  <c:v>3.5174642959594729E-2</c:v>
                </c:pt>
                <c:pt idx="36">
                  <c:v>3.5174642959594729E-2</c:v>
                </c:pt>
                <c:pt idx="37">
                  <c:v>3.5174642959594729E-2</c:v>
                </c:pt>
                <c:pt idx="38">
                  <c:v>3.5170065325164798E-2</c:v>
                </c:pt>
                <c:pt idx="39">
                  <c:v>3.5168539447021488E-2</c:v>
                </c:pt>
                <c:pt idx="40">
                  <c:v>3.5168539447021488E-2</c:v>
                </c:pt>
                <c:pt idx="41">
                  <c:v>3.5168539447021488E-2</c:v>
                </c:pt>
                <c:pt idx="42">
                  <c:v>3.5168539447021488E-2</c:v>
                </c:pt>
                <c:pt idx="43">
                  <c:v>3.5168539447021488E-2</c:v>
                </c:pt>
                <c:pt idx="44">
                  <c:v>3.5168539447021488E-2</c:v>
                </c:pt>
                <c:pt idx="45">
                  <c:v>3.5167013568878178E-2</c:v>
                </c:pt>
                <c:pt idx="46">
                  <c:v>3.5167013568878178E-2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EB7-4B4C-B203-CCD112E0EF65}"/>
            </c:ext>
          </c:extLst>
        </c:ser>
        <c:ser>
          <c:idx val="7"/>
          <c:order val="7"/>
          <c:tx>
            <c:strRef>
              <c:f>idelchik_IV_4.14!$BE$3</c:f>
              <c:strCache>
                <c:ptCount val="1"/>
                <c:pt idx="0">
                  <c:v>ε/D = 0.006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6005389649161371E-2"/>
                  <c:y val="-1.4332426796002627E-2"/>
                </c:manualLayout>
              </c:layout>
              <c:tx>
                <c:rich>
                  <a:bodyPr/>
                  <a:lstStyle/>
                  <a:p>
                    <a:fld id="{49F2A67B-0303-4FD9-8639-570C64579184}" type="SERIESNAME">
                      <a:rPr lang="el-GR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idelchik_IV_4.14!$BE$5:$BE$51</c:f>
              <c:numCache>
                <c:formatCode>General</c:formatCode>
                <c:ptCount val="47"/>
                <c:pt idx="0">
                  <c:v>5.3552319317626954E-2</c:v>
                </c:pt>
                <c:pt idx="1">
                  <c:v>5.3210522613525393E-2</c:v>
                </c:pt>
                <c:pt idx="2">
                  <c:v>5.0866773785400402E-2</c:v>
                </c:pt>
                <c:pt idx="3">
                  <c:v>4.8654250477600108E-2</c:v>
                </c:pt>
                <c:pt idx="4">
                  <c:v>4.5599442434692397E-2</c:v>
                </c:pt>
                <c:pt idx="5">
                  <c:v>4.3563920991516125E-2</c:v>
                </c:pt>
                <c:pt idx="6">
                  <c:v>4.2096026217651378E-2</c:v>
                </c:pt>
                <c:pt idx="7">
                  <c:v>4.0979083416748066E-2</c:v>
                </c:pt>
                <c:pt idx="8">
                  <c:v>4.0097125849914567E-2</c:v>
                </c:pt>
                <c:pt idx="9">
                  <c:v>3.9379963122558606E-2</c:v>
                </c:pt>
                <c:pt idx="10">
                  <c:v>3.8784870646667483E-2</c:v>
                </c:pt>
                <c:pt idx="11">
                  <c:v>3.5815511779785154E-2</c:v>
                </c:pt>
                <c:pt idx="12">
                  <c:v>3.4683310197448733E-2</c:v>
                </c:pt>
                <c:pt idx="13">
                  <c:v>3.4082114208984368E-2</c:v>
                </c:pt>
                <c:pt idx="14">
                  <c:v>3.3706748185729982E-2</c:v>
                </c:pt>
                <c:pt idx="15">
                  <c:v>3.3450400657653812E-2</c:v>
                </c:pt>
                <c:pt idx="16">
                  <c:v>3.3265769402313239E-2</c:v>
                </c:pt>
                <c:pt idx="17">
                  <c:v>3.3123862734985354E-2</c:v>
                </c:pt>
                <c:pt idx="18">
                  <c:v>3.3013999508667E-2</c:v>
                </c:pt>
                <c:pt idx="19">
                  <c:v>3.2923972698211665E-2</c:v>
                </c:pt>
                <c:pt idx="20">
                  <c:v>3.2513511477661128E-2</c:v>
                </c:pt>
                <c:pt idx="21">
                  <c:v>3.237313068847656E-2</c:v>
                </c:pt>
                <c:pt idx="22">
                  <c:v>3.230294029388428E-2</c:v>
                </c:pt>
                <c:pt idx="23">
                  <c:v>3.2260215705871578E-2</c:v>
                </c:pt>
                <c:pt idx="24">
                  <c:v>3.2232749899291993E-2</c:v>
                </c:pt>
                <c:pt idx="25">
                  <c:v>3.2211387605285649E-2</c:v>
                </c:pt>
                <c:pt idx="26">
                  <c:v>3.2196128823852546E-2</c:v>
                </c:pt>
                <c:pt idx="27">
                  <c:v>3.2183921798706064E-2</c:v>
                </c:pt>
                <c:pt idx="28">
                  <c:v>3.2174766529846188E-2</c:v>
                </c:pt>
                <c:pt idx="29">
                  <c:v>3.21320419418335E-2</c:v>
                </c:pt>
                <c:pt idx="30">
                  <c:v>3.2116783160400397E-2</c:v>
                </c:pt>
                <c:pt idx="31">
                  <c:v>3.2110679647827156E-2</c:v>
                </c:pt>
                <c:pt idx="32">
                  <c:v>3.2106102013397225E-2</c:v>
                </c:pt>
                <c:pt idx="33">
                  <c:v>3.2103050257110591E-2</c:v>
                </c:pt>
                <c:pt idx="34">
                  <c:v>3.2101524378967281E-2</c:v>
                </c:pt>
                <c:pt idx="35">
                  <c:v>3.209847262268066E-2</c:v>
                </c:pt>
                <c:pt idx="36">
                  <c:v>3.209847262268066E-2</c:v>
                </c:pt>
                <c:pt idx="37">
                  <c:v>3.209694674453735E-2</c:v>
                </c:pt>
                <c:pt idx="38">
                  <c:v>3.2092369110107419E-2</c:v>
                </c:pt>
                <c:pt idx="39">
                  <c:v>3.2092369110107419E-2</c:v>
                </c:pt>
                <c:pt idx="40">
                  <c:v>3.2090843231964108E-2</c:v>
                </c:pt>
                <c:pt idx="41">
                  <c:v>3.2089317353820798E-2</c:v>
                </c:pt>
                <c:pt idx="42">
                  <c:v>3.2089317353820798E-2</c:v>
                </c:pt>
                <c:pt idx="43">
                  <c:v>3.2089317353820798E-2</c:v>
                </c:pt>
                <c:pt idx="44">
                  <c:v>3.2089317353820798E-2</c:v>
                </c:pt>
                <c:pt idx="45">
                  <c:v>3.2089317353820798E-2</c:v>
                </c:pt>
                <c:pt idx="46">
                  <c:v>3.2089317353820798E-2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EB7-4B4C-B203-CCD112E0EF65}"/>
            </c:ext>
          </c:extLst>
        </c:ser>
        <c:ser>
          <c:idx val="8"/>
          <c:order val="8"/>
          <c:tx>
            <c:strRef>
              <c:f>idelchik_IV_4.14!$BF$3</c:f>
              <c:strCache>
                <c:ptCount val="1"/>
                <c:pt idx="0">
                  <c:v>ε/D = 0.004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5988593214251833E-2"/>
                  <c:y val="-1.4071435764337946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30D79B0-EBAA-4D9E-B4DF-3D59518C93F1}" type="SERIESNAME">
                      <a:rPr lang="el-GR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5BDE-44B0-A78D-3E48889EEAC0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idelchik_IV_4.14!$BF$5:$BF$51</c:f>
              <c:numCache>
                <c:formatCode>General</c:formatCode>
                <c:ptCount val="47"/>
                <c:pt idx="0">
                  <c:v>5.2081372787475586E-2</c:v>
                </c:pt>
                <c:pt idx="1">
                  <c:v>5.1730420814514164E-2</c:v>
                </c:pt>
                <c:pt idx="2">
                  <c:v>4.9304274566650402E-2</c:v>
                </c:pt>
                <c:pt idx="3">
                  <c:v>4.6994095057678223E-2</c:v>
                </c:pt>
                <c:pt idx="4">
                  <c:v>4.3780595687866214E-2</c:v>
                </c:pt>
                <c:pt idx="5">
                  <c:v>4.1610796968078623E-2</c:v>
                </c:pt>
                <c:pt idx="6">
                  <c:v>4.00299872116089E-2</c:v>
                </c:pt>
                <c:pt idx="7">
                  <c:v>3.8815388209533702E-2</c:v>
                </c:pt>
                <c:pt idx="8">
                  <c:v>3.7847981466674813E-2</c:v>
                </c:pt>
                <c:pt idx="9">
                  <c:v>3.7056050710296634E-2</c:v>
                </c:pt>
                <c:pt idx="10">
                  <c:v>3.6395345474243168E-2</c:v>
                </c:pt>
                <c:pt idx="11">
                  <c:v>3.3003318361663814E-2</c:v>
                </c:pt>
                <c:pt idx="12">
                  <c:v>3.1659019717407227E-2</c:v>
                </c:pt>
                <c:pt idx="13">
                  <c:v>3.0926598208618164E-2</c:v>
                </c:pt>
                <c:pt idx="14">
                  <c:v>3.0465783009338381E-2</c:v>
                </c:pt>
                <c:pt idx="15">
                  <c:v>3.0146874477386475E-2</c:v>
                </c:pt>
                <c:pt idx="16">
                  <c:v>2.9913415121459966E-2</c:v>
                </c:pt>
                <c:pt idx="17">
                  <c:v>2.9734887378692627E-2</c:v>
                </c:pt>
                <c:pt idx="18">
                  <c:v>2.959450658950806E-2</c:v>
                </c:pt>
                <c:pt idx="19">
                  <c:v>2.9480065728759768E-2</c:v>
                </c:pt>
                <c:pt idx="20">
                  <c:v>2.8952111891174317E-2</c:v>
                </c:pt>
                <c:pt idx="21">
                  <c:v>2.8769006513977048E-2</c:v>
                </c:pt>
                <c:pt idx="22">
                  <c:v>2.8675927947235107E-2</c:v>
                </c:pt>
                <c:pt idx="23">
                  <c:v>2.8619470455932619E-2</c:v>
                </c:pt>
                <c:pt idx="24">
                  <c:v>2.8582849380493165E-2</c:v>
                </c:pt>
                <c:pt idx="25">
                  <c:v>2.855538357391358E-2</c:v>
                </c:pt>
                <c:pt idx="26">
                  <c:v>2.8535547158050539E-2</c:v>
                </c:pt>
                <c:pt idx="27">
                  <c:v>2.8520288376617436E-2</c:v>
                </c:pt>
                <c:pt idx="28">
                  <c:v>2.8506555473327637E-2</c:v>
                </c:pt>
                <c:pt idx="29">
                  <c:v>2.8450097982025149E-2</c:v>
                </c:pt>
                <c:pt idx="30">
                  <c:v>2.8431787444305419E-2</c:v>
                </c:pt>
                <c:pt idx="31">
                  <c:v>2.8421106297302247E-2</c:v>
                </c:pt>
                <c:pt idx="32">
                  <c:v>2.8416528662872316E-2</c:v>
                </c:pt>
                <c:pt idx="33">
                  <c:v>2.8411951028442385E-2</c:v>
                </c:pt>
                <c:pt idx="34">
                  <c:v>2.8408899272155765E-2</c:v>
                </c:pt>
                <c:pt idx="35">
                  <c:v>2.8407373394012454E-2</c:v>
                </c:pt>
                <c:pt idx="36">
                  <c:v>2.8405847515869144E-2</c:v>
                </c:pt>
                <c:pt idx="37">
                  <c:v>2.8404321637725834E-2</c:v>
                </c:pt>
                <c:pt idx="38">
                  <c:v>2.8399744003295903E-2</c:v>
                </c:pt>
                <c:pt idx="39">
                  <c:v>2.8396692247009282E-2</c:v>
                </c:pt>
                <c:pt idx="40">
                  <c:v>2.8396692247009282E-2</c:v>
                </c:pt>
                <c:pt idx="41">
                  <c:v>2.8395166368865972E-2</c:v>
                </c:pt>
                <c:pt idx="42">
                  <c:v>2.8395166368865972E-2</c:v>
                </c:pt>
                <c:pt idx="43">
                  <c:v>2.8395166368865972E-2</c:v>
                </c:pt>
                <c:pt idx="44">
                  <c:v>2.8393640490722658E-2</c:v>
                </c:pt>
                <c:pt idx="45">
                  <c:v>2.8393640490722658E-2</c:v>
                </c:pt>
                <c:pt idx="46">
                  <c:v>2.8393640490722658E-2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EB7-4B4C-B203-CCD112E0EF65}"/>
            </c:ext>
          </c:extLst>
        </c:ser>
        <c:ser>
          <c:idx val="9"/>
          <c:order val="9"/>
          <c:tx>
            <c:strRef>
              <c:f>idelchik_IV_4.14!$BG$3</c:f>
              <c:strCache>
                <c:ptCount val="1"/>
                <c:pt idx="0">
                  <c:v>ε/D = 0.002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3864949831103971E-2"/>
                  <c:y val="-1.7042165769775207E-2"/>
                </c:manualLayout>
              </c:layout>
              <c:tx>
                <c:rich>
                  <a:bodyPr/>
                  <a:lstStyle/>
                  <a:p>
                    <a:fld id="{1BB2E43A-AF85-456E-949E-EC27B522C02C}" type="SERIESNAME">
                      <a:rPr lang="el-GR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idelchik_IV_4.14!$BG$5:$BG$51</c:f>
              <c:numCache>
                <c:formatCode>General</c:formatCode>
                <c:ptCount val="47"/>
                <c:pt idx="0">
                  <c:v>5.0586012207031253E-2</c:v>
                </c:pt>
                <c:pt idx="1">
                  <c:v>5.0219801452636728E-2</c:v>
                </c:pt>
                <c:pt idx="2">
                  <c:v>4.7699050759887701E-2</c:v>
                </c:pt>
                <c:pt idx="3">
                  <c:v>4.5285111537170422E-2</c:v>
                </c:pt>
                <c:pt idx="4">
                  <c:v>4.1885455033874516E-2</c:v>
                </c:pt>
                <c:pt idx="5">
                  <c:v>3.9560016743469248E-2</c:v>
                </c:pt>
                <c:pt idx="6">
                  <c:v>3.7841877954101565E-2</c:v>
                </c:pt>
                <c:pt idx="7">
                  <c:v>3.6505208700561523E-2</c:v>
                </c:pt>
                <c:pt idx="8">
                  <c:v>3.5427938731384279E-2</c:v>
                </c:pt>
                <c:pt idx="9">
                  <c:v>3.4538351773834228E-2</c:v>
                </c:pt>
                <c:pt idx="10">
                  <c:v>3.3786093849182131E-2</c:v>
                </c:pt>
                <c:pt idx="11">
                  <c:v>2.9779137844848633E-2</c:v>
                </c:pt>
                <c:pt idx="12">
                  <c:v>2.8082361349487307E-2</c:v>
                </c:pt>
                <c:pt idx="13">
                  <c:v>2.7119532241058349E-2</c:v>
                </c:pt>
                <c:pt idx="14">
                  <c:v>2.6493922202301026E-2</c:v>
                </c:pt>
                <c:pt idx="15">
                  <c:v>2.6049891662597659E-2</c:v>
                </c:pt>
                <c:pt idx="16">
                  <c:v>2.5720301983642582E-2</c:v>
                </c:pt>
                <c:pt idx="17">
                  <c:v>2.5463954455566411E-2</c:v>
                </c:pt>
                <c:pt idx="18">
                  <c:v>2.5259486784362795E-2</c:v>
                </c:pt>
                <c:pt idx="19">
                  <c:v>2.5093166066741945E-2</c:v>
                </c:pt>
                <c:pt idx="20">
                  <c:v>2.4293605919647222E-2</c:v>
                </c:pt>
                <c:pt idx="21">
                  <c:v>2.400826670684815E-2</c:v>
                </c:pt>
                <c:pt idx="22">
                  <c:v>2.3861782405090334E-2</c:v>
                </c:pt>
                <c:pt idx="23">
                  <c:v>2.3773281472778324E-2</c:v>
                </c:pt>
                <c:pt idx="24">
                  <c:v>2.3712246347045905E-2</c:v>
                </c:pt>
                <c:pt idx="25">
                  <c:v>2.366952175903321E-2</c:v>
                </c:pt>
                <c:pt idx="26">
                  <c:v>2.3635952439880377E-2</c:v>
                </c:pt>
                <c:pt idx="27">
                  <c:v>2.3611538389587412E-2</c:v>
                </c:pt>
                <c:pt idx="28">
                  <c:v>2.3590176095581061E-2</c:v>
                </c:pt>
                <c:pt idx="29">
                  <c:v>2.3497097528839113E-2</c:v>
                </c:pt>
                <c:pt idx="30">
                  <c:v>2.3466579965972907E-2</c:v>
                </c:pt>
                <c:pt idx="31">
                  <c:v>2.3451321184539797E-2</c:v>
                </c:pt>
                <c:pt idx="32">
                  <c:v>2.3442165915679936E-2</c:v>
                </c:pt>
                <c:pt idx="33">
                  <c:v>2.3434536524963384E-2</c:v>
                </c:pt>
                <c:pt idx="34">
                  <c:v>2.3430721829605108E-2</c:v>
                </c:pt>
                <c:pt idx="35">
                  <c:v>2.3426907134246833E-2</c:v>
                </c:pt>
                <c:pt idx="36">
                  <c:v>2.3425381256103522E-2</c:v>
                </c:pt>
                <c:pt idx="37">
                  <c:v>2.3422329499816902E-2</c:v>
                </c:pt>
                <c:pt idx="38">
                  <c:v>2.3413174230957037E-2</c:v>
                </c:pt>
                <c:pt idx="39">
                  <c:v>2.3410122474670413E-2</c:v>
                </c:pt>
                <c:pt idx="40">
                  <c:v>2.3408596596527102E-2</c:v>
                </c:pt>
                <c:pt idx="41">
                  <c:v>2.3407070718383792E-2</c:v>
                </c:pt>
                <c:pt idx="42">
                  <c:v>2.3407070718383792E-2</c:v>
                </c:pt>
                <c:pt idx="43">
                  <c:v>2.3407070718383792E-2</c:v>
                </c:pt>
                <c:pt idx="44">
                  <c:v>2.3405544840240482E-2</c:v>
                </c:pt>
                <c:pt idx="45">
                  <c:v>2.3405544840240482E-2</c:v>
                </c:pt>
                <c:pt idx="46">
                  <c:v>2.3405544840240482E-2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EB7-4B4C-B203-CCD112E0EF65}"/>
            </c:ext>
          </c:extLst>
        </c:ser>
        <c:ser>
          <c:idx val="10"/>
          <c:order val="10"/>
          <c:tx>
            <c:strRef>
              <c:f>idelchik_IV_4.14!$BH$3</c:f>
              <c:strCache>
                <c:ptCount val="1"/>
                <c:pt idx="0">
                  <c:v>ε/D = 0.001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7254600843625039E-2"/>
                  <c:y val="-1.3715415995182381E-2"/>
                </c:manualLayout>
              </c:layout>
              <c:tx>
                <c:rich>
                  <a:bodyPr/>
                  <a:lstStyle/>
                  <a:p>
                    <a:fld id="{31A166BE-D3A6-4F5C-A820-A036FDCC7306}" type="SERIESNAME">
                      <a:rPr lang="el-GR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idelchik_IV_4.14!$BH$5:$BH$51</c:f>
              <c:numCache>
                <c:formatCode>General</c:formatCode>
                <c:ptCount val="47"/>
                <c:pt idx="0">
                  <c:v>4.9826124891662604E-2</c:v>
                </c:pt>
                <c:pt idx="1">
                  <c:v>4.9453810624694824E-2</c:v>
                </c:pt>
                <c:pt idx="2">
                  <c:v>4.6881180075073248E-2</c:v>
                </c:pt>
                <c:pt idx="3">
                  <c:v>4.4409257482910164E-2</c:v>
                </c:pt>
                <c:pt idx="4">
                  <c:v>4.0908893022155779E-2</c:v>
                </c:pt>
                <c:pt idx="5">
                  <c:v>3.8491902043151865E-2</c:v>
                </c:pt>
                <c:pt idx="6">
                  <c:v>3.669289171218873E-2</c:v>
                </c:pt>
                <c:pt idx="7">
                  <c:v>3.5284506185913084E-2</c:v>
                </c:pt>
                <c:pt idx="8">
                  <c:v>3.4140097578430173E-2</c:v>
                </c:pt>
                <c:pt idx="9">
                  <c:v>3.31879496170044E-2</c:v>
                </c:pt>
                <c:pt idx="10">
                  <c:v>3.2377708322906498E-2</c:v>
                </c:pt>
                <c:pt idx="11">
                  <c:v>2.7940454682159423E-2</c:v>
                </c:pt>
                <c:pt idx="12">
                  <c:v>2.5962916608428963E-2</c:v>
                </c:pt>
                <c:pt idx="13">
                  <c:v>2.4797145706939701E-2</c:v>
                </c:pt>
                <c:pt idx="14">
                  <c:v>2.4012844341278081E-2</c:v>
                </c:pt>
                <c:pt idx="15">
                  <c:v>2.3445217671966556E-2</c:v>
                </c:pt>
                <c:pt idx="16">
                  <c:v>2.3013394157409675E-2</c:v>
                </c:pt>
                <c:pt idx="17">
                  <c:v>2.2671597453308108E-2</c:v>
                </c:pt>
                <c:pt idx="18">
                  <c:v>2.2395413509368904E-2</c:v>
                </c:pt>
                <c:pt idx="19">
                  <c:v>2.2165005909729009E-2</c:v>
                </c:pt>
                <c:pt idx="20">
                  <c:v>2.1023649058532719E-2</c:v>
                </c:pt>
                <c:pt idx="21">
                  <c:v>2.0591825543975838E-2</c:v>
                </c:pt>
                <c:pt idx="22">
                  <c:v>2.0364469700622563E-2</c:v>
                </c:pt>
                <c:pt idx="23">
                  <c:v>2.0224088911437996E-2</c:v>
                </c:pt>
                <c:pt idx="24">
                  <c:v>2.0127958588409427E-2</c:v>
                </c:pt>
                <c:pt idx="25">
                  <c:v>2.0058531132888802E-2</c:v>
                </c:pt>
                <c:pt idx="26">
                  <c:v>2.000588833694459E-2</c:v>
                </c:pt>
                <c:pt idx="27">
                  <c:v>1.9964689627075205E-2</c:v>
                </c:pt>
                <c:pt idx="28">
                  <c:v>1.9931120307922372E-2</c:v>
                </c:pt>
                <c:pt idx="29">
                  <c:v>1.9778532493591315E-2</c:v>
                </c:pt>
                <c:pt idx="30">
                  <c:v>1.9727415575790413E-2</c:v>
                </c:pt>
                <c:pt idx="31">
                  <c:v>1.9701475647354132E-2</c:v>
                </c:pt>
                <c:pt idx="32">
                  <c:v>1.9685453926849374E-2</c:v>
                </c:pt>
                <c:pt idx="33">
                  <c:v>1.9674772779846202E-2</c:v>
                </c:pt>
                <c:pt idx="34">
                  <c:v>1.9667906328201305E-2</c:v>
                </c:pt>
                <c:pt idx="35">
                  <c:v>1.9662565754699712E-2</c:v>
                </c:pt>
                <c:pt idx="36">
                  <c:v>1.9657988120269781E-2</c:v>
                </c:pt>
                <c:pt idx="37">
                  <c:v>1.9654173424911506E-2</c:v>
                </c:pt>
                <c:pt idx="38">
                  <c:v>1.9638151704406748E-2</c:v>
                </c:pt>
                <c:pt idx="39">
                  <c:v>1.9633574069976817E-2</c:v>
                </c:pt>
                <c:pt idx="40">
                  <c:v>1.9630522313690196E-2</c:v>
                </c:pt>
                <c:pt idx="41">
                  <c:v>1.9628996435546883E-2</c:v>
                </c:pt>
                <c:pt idx="42">
                  <c:v>1.9627470557403569E-2</c:v>
                </c:pt>
                <c:pt idx="43">
                  <c:v>1.9627470557403569E-2</c:v>
                </c:pt>
                <c:pt idx="44">
                  <c:v>1.9626707618331914E-2</c:v>
                </c:pt>
                <c:pt idx="45">
                  <c:v>1.9625944679260258E-2</c:v>
                </c:pt>
                <c:pt idx="46">
                  <c:v>1.9625944679260258E-2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EB7-4B4C-B203-CCD112E0EF65}"/>
            </c:ext>
          </c:extLst>
        </c:ser>
        <c:ser>
          <c:idx val="13"/>
          <c:order val="13"/>
          <c:tx>
            <c:strRef>
              <c:f>idelchik_IV_4.14!$BK$3</c:f>
              <c:strCache>
                <c:ptCount val="1"/>
                <c:pt idx="0">
                  <c:v>ε/D = 0.0004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3436186769233602E-2"/>
                  <c:y val="-1.3977752507079753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C5D0D57-B734-4779-BA4E-758D51540F17}" type="SERIESNAME">
                      <a:rPr lang="el-GR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5BDE-44B0-A78D-3E48889EEA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idelchik_IV_4.14!$BK$5:$BK$51</c:f>
              <c:numCache>
                <c:formatCode>General</c:formatCode>
                <c:ptCount val="47"/>
                <c:pt idx="0">
                  <c:v>4.9365309692382821E-2</c:v>
                </c:pt>
                <c:pt idx="1">
                  <c:v>4.8989943669128427E-2</c:v>
                </c:pt>
                <c:pt idx="2">
                  <c:v>4.6386795556640631E-2</c:v>
                </c:pt>
                <c:pt idx="3">
                  <c:v>4.38782518890381E-2</c:v>
                </c:pt>
                <c:pt idx="4">
                  <c:v>4.0310748789978035E-2</c:v>
                </c:pt>
                <c:pt idx="5">
                  <c:v>3.7835774441528316E-2</c:v>
                </c:pt>
                <c:pt idx="6">
                  <c:v>3.5983358375549307E-2</c:v>
                </c:pt>
                <c:pt idx="7">
                  <c:v>3.4526144748687745E-2</c:v>
                </c:pt>
                <c:pt idx="8">
                  <c:v>3.3337485675048822E-2</c:v>
                </c:pt>
                <c:pt idx="9">
                  <c:v>3.2342613125610348E-2</c:v>
                </c:pt>
                <c:pt idx="10">
                  <c:v>3.1492698999786378E-2</c:v>
                </c:pt>
                <c:pt idx="11">
                  <c:v>2.6736536827087411E-2</c:v>
                </c:pt>
                <c:pt idx="12">
                  <c:v>2.4530117031860352E-2</c:v>
                </c:pt>
                <c:pt idx="13">
                  <c:v>2.3181240753173835E-2</c:v>
                </c:pt>
                <c:pt idx="14">
                  <c:v>2.2247403329467778E-2</c:v>
                </c:pt>
                <c:pt idx="15">
                  <c:v>2.1551602896118169E-2</c:v>
                </c:pt>
                <c:pt idx="16">
                  <c:v>2.1009916155242926E-2</c:v>
                </c:pt>
                <c:pt idx="17">
                  <c:v>2.0571989128112797E-2</c:v>
                </c:pt>
                <c:pt idx="18">
                  <c:v>2.0209593069076541E-2</c:v>
                </c:pt>
                <c:pt idx="19">
                  <c:v>1.990365450134278E-2</c:v>
                </c:pt>
                <c:pt idx="20">
                  <c:v>1.8284697791290286E-2</c:v>
                </c:pt>
                <c:pt idx="21">
                  <c:v>1.7614074347305296E-2</c:v>
                </c:pt>
                <c:pt idx="22">
                  <c:v>1.7240997141265868E-2</c:v>
                </c:pt>
                <c:pt idx="23">
                  <c:v>1.7001434272766111E-2</c:v>
                </c:pt>
                <c:pt idx="24">
                  <c:v>1.6833587677001955E-2</c:v>
                </c:pt>
                <c:pt idx="25">
                  <c:v>1.6710754486465453E-2</c:v>
                </c:pt>
                <c:pt idx="26">
                  <c:v>1.6615387102508546E-2</c:v>
                </c:pt>
                <c:pt idx="27">
                  <c:v>1.6540619073486331E-2</c:v>
                </c:pt>
                <c:pt idx="28">
                  <c:v>1.6479583947753909E-2</c:v>
                </c:pt>
                <c:pt idx="29">
                  <c:v>1.6192718856811526E-2</c:v>
                </c:pt>
                <c:pt idx="30">
                  <c:v>1.6092010899353033E-2</c:v>
                </c:pt>
                <c:pt idx="31">
                  <c:v>1.6040893981552125E-2</c:v>
                </c:pt>
                <c:pt idx="32">
                  <c:v>1.6009613479614257E-2</c:v>
                </c:pt>
                <c:pt idx="33">
                  <c:v>1.5989014124679568E-2</c:v>
                </c:pt>
                <c:pt idx="34">
                  <c:v>1.5974518282318113E-2</c:v>
                </c:pt>
                <c:pt idx="35">
                  <c:v>1.5963074196243286E-2</c:v>
                </c:pt>
                <c:pt idx="36">
                  <c:v>1.5953918927383424E-2</c:v>
                </c:pt>
                <c:pt idx="37">
                  <c:v>1.5947052475738528E-2</c:v>
                </c:pt>
                <c:pt idx="38">
                  <c:v>1.591577197380066E-2</c:v>
                </c:pt>
                <c:pt idx="39">
                  <c:v>1.5905090826797488E-2</c:v>
                </c:pt>
                <c:pt idx="40">
                  <c:v>1.5899750253295902E-2</c:v>
                </c:pt>
                <c:pt idx="41">
                  <c:v>1.5896698497009282E-2</c:v>
                </c:pt>
                <c:pt idx="42">
                  <c:v>1.5894409679794316E-2</c:v>
                </c:pt>
                <c:pt idx="43">
                  <c:v>1.5892883801650999E-2</c:v>
                </c:pt>
                <c:pt idx="44">
                  <c:v>1.5891357923507689E-2</c:v>
                </c:pt>
                <c:pt idx="45">
                  <c:v>1.5890594984436034E-2</c:v>
                </c:pt>
                <c:pt idx="46">
                  <c:v>1.5889832045364378E-2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EB7-4B4C-B203-CCD112E0EF65}"/>
            </c:ext>
          </c:extLst>
        </c:ser>
        <c:ser>
          <c:idx val="15"/>
          <c:order val="15"/>
          <c:tx>
            <c:strRef>
              <c:f>idelchik_IV_4.14!$BM$3</c:f>
              <c:strCache>
                <c:ptCount val="1"/>
                <c:pt idx="0">
                  <c:v>ε/D = 0.0001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3534416311654223E-2"/>
                  <c:y val="-1.7572002213328452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D428BAF-6A8F-42B5-9C5F-A7AF9C42D201}" type="SERIESNAME">
                      <a:rPr lang="el-GR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59-5BDE-44B0-A78D-3E48889EEA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idelchik_IV_4.14!$BM$5:$BM$51</c:f>
              <c:numCache>
                <c:formatCode>General</c:formatCode>
                <c:ptCount val="47"/>
                <c:pt idx="0">
                  <c:v>4.9133376214599608E-2</c:v>
                </c:pt>
                <c:pt idx="1">
                  <c:v>4.8754958435058601E-2</c:v>
                </c:pt>
                <c:pt idx="2">
                  <c:v>4.6136551541137702E-2</c:v>
                </c:pt>
                <c:pt idx="3">
                  <c:v>4.3609697335815434E-2</c:v>
                </c:pt>
                <c:pt idx="4">
                  <c:v>4.0008624917602556E-2</c:v>
                </c:pt>
                <c:pt idx="5">
                  <c:v>3.7503133006286632E-2</c:v>
                </c:pt>
                <c:pt idx="6">
                  <c:v>3.5623251133728023E-2</c:v>
                </c:pt>
                <c:pt idx="7">
                  <c:v>3.4140097578430173E-2</c:v>
                </c:pt>
                <c:pt idx="8">
                  <c:v>3.2927024454498285E-2</c:v>
                </c:pt>
                <c:pt idx="9">
                  <c:v>3.1909263732910156E-2</c:v>
                </c:pt>
                <c:pt idx="10">
                  <c:v>3.1036461434936526E-2</c:v>
                </c:pt>
                <c:pt idx="11">
                  <c:v>2.6100245641326909E-2</c:v>
                </c:pt>
                <c:pt idx="12">
                  <c:v>2.3751919178771973E-2</c:v>
                </c:pt>
                <c:pt idx="13">
                  <c:v>2.2284787343978887E-2</c:v>
                </c:pt>
                <c:pt idx="14">
                  <c:v>2.1246427267456063E-2</c:v>
                </c:pt>
                <c:pt idx="15">
                  <c:v>2.0459074145507822E-2</c:v>
                </c:pt>
                <c:pt idx="16">
                  <c:v>1.9832701167678837E-2</c:v>
                </c:pt>
                <c:pt idx="17">
                  <c:v>1.9317717294311532E-2</c:v>
                </c:pt>
                <c:pt idx="18">
                  <c:v>1.8884367901611333E-2</c:v>
                </c:pt>
                <c:pt idx="19">
                  <c:v>1.851205363464356E-2</c:v>
                </c:pt>
                <c:pt idx="20">
                  <c:v>1.6408630614089967E-2</c:v>
                </c:pt>
                <c:pt idx="21">
                  <c:v>1.542825390701294E-2</c:v>
                </c:pt>
                <c:pt idx="22">
                  <c:v>1.4833924370193485E-2</c:v>
                </c:pt>
                <c:pt idx="23">
                  <c:v>1.4427277845001224E-2</c:v>
                </c:pt>
                <c:pt idx="24">
                  <c:v>1.4128205728912355E-2</c:v>
                </c:pt>
                <c:pt idx="25">
                  <c:v>1.3897798129272464E-2</c:v>
                </c:pt>
                <c:pt idx="26">
                  <c:v>1.3713929813003543E-2</c:v>
                </c:pt>
                <c:pt idx="27">
                  <c:v>1.3563249346351627E-2</c:v>
                </c:pt>
                <c:pt idx="28">
                  <c:v>1.3437745869064332E-2</c:v>
                </c:pt>
                <c:pt idx="29">
                  <c:v>1.2798402927017213E-2</c:v>
                </c:pt>
                <c:pt idx="30">
                  <c:v>1.255044772872925E-2</c:v>
                </c:pt>
                <c:pt idx="31">
                  <c:v>1.2417696330261234E-2</c:v>
                </c:pt>
                <c:pt idx="32">
                  <c:v>1.2334535971450806E-2</c:v>
                </c:pt>
                <c:pt idx="33">
                  <c:v>1.2277697010612491E-2</c:v>
                </c:pt>
                <c:pt idx="34">
                  <c:v>1.2236116831207275E-2</c:v>
                </c:pt>
                <c:pt idx="35">
                  <c:v>1.2204836329269411E-2</c:v>
                </c:pt>
                <c:pt idx="36">
                  <c:v>1.2180422278976442E-2</c:v>
                </c:pt>
                <c:pt idx="37">
                  <c:v>1.2160585863113405E-2</c:v>
                </c:pt>
                <c:pt idx="38">
                  <c:v>1.2068651704978943E-2</c:v>
                </c:pt>
                <c:pt idx="39">
                  <c:v>1.2037371203041075E-2</c:v>
                </c:pt>
                <c:pt idx="40">
                  <c:v>1.2021730952072141E-2</c:v>
                </c:pt>
                <c:pt idx="41">
                  <c:v>1.2012194213676452E-2</c:v>
                </c:pt>
                <c:pt idx="42">
                  <c:v>1.2005709231567383E-2</c:v>
                </c:pt>
                <c:pt idx="43">
                  <c:v>1.2001131597137452E-2</c:v>
                </c:pt>
                <c:pt idx="44">
                  <c:v>1.1997698371315001E-2</c:v>
                </c:pt>
                <c:pt idx="45">
                  <c:v>1.1995028084564208E-2</c:v>
                </c:pt>
                <c:pt idx="46">
                  <c:v>1.1992739267349242E-2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EB7-4B4C-B203-CCD112E0EF65}"/>
            </c:ext>
          </c:extLst>
        </c:ser>
        <c:ser>
          <c:idx val="16"/>
          <c:order val="16"/>
          <c:tx>
            <c:strRef>
              <c:f>idelchik_IV_4.14!$BN$3</c:f>
              <c:strCache>
                <c:ptCount val="1"/>
                <c:pt idx="0">
                  <c:v>ε/D = 0.00005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5765605725669699E-2"/>
                  <c:y val="1.4388274645626304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29A4050-ABF4-4F9D-B5FB-DE06CC3C1BF7}" type="SERIESNAME">
                      <a:rPr lang="el-GR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5B-5BDE-44B0-A78D-3E48889EEA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idelchik_IV_4.14!$BN$5:$BN$51</c:f>
              <c:numCache>
                <c:formatCode>General</c:formatCode>
                <c:ptCount val="47"/>
                <c:pt idx="0">
                  <c:v>4.9096755139160161E-2</c:v>
                </c:pt>
                <c:pt idx="1">
                  <c:v>4.8718337359619154E-2</c:v>
                </c:pt>
                <c:pt idx="2">
                  <c:v>4.6096878709411634E-2</c:v>
                </c:pt>
                <c:pt idx="3">
                  <c:v>4.3563920991516125E-2</c:v>
                </c:pt>
                <c:pt idx="4">
                  <c:v>3.9956745060729992E-2</c:v>
                </c:pt>
                <c:pt idx="5">
                  <c:v>3.7448201393127448E-2</c:v>
                </c:pt>
                <c:pt idx="6">
                  <c:v>3.5563741886138908E-2</c:v>
                </c:pt>
                <c:pt idx="7">
                  <c:v>3.4076010696411127E-2</c:v>
                </c:pt>
                <c:pt idx="8">
                  <c:v>3.2858359938049309E-2</c:v>
                </c:pt>
                <c:pt idx="9">
                  <c:v>3.1836021582031249E-2</c:v>
                </c:pt>
                <c:pt idx="10">
                  <c:v>3.0960167527770997E-2</c:v>
                </c:pt>
                <c:pt idx="11">
                  <c:v>2.5991908293151858E-2</c:v>
                </c:pt>
                <c:pt idx="12">
                  <c:v>2.3618404841232309E-2</c:v>
                </c:pt>
                <c:pt idx="13">
                  <c:v>2.2128384834289555E-2</c:v>
                </c:pt>
                <c:pt idx="14">
                  <c:v>2.1070951280975352E-2</c:v>
                </c:pt>
                <c:pt idx="15">
                  <c:v>2.0264524682235725E-2</c:v>
                </c:pt>
                <c:pt idx="16">
                  <c:v>1.9621367044830328E-2</c:v>
                </c:pt>
                <c:pt idx="17">
                  <c:v>1.9090361450958257E-2</c:v>
                </c:pt>
                <c:pt idx="18">
                  <c:v>1.8641753276824956E-2</c:v>
                </c:pt>
                <c:pt idx="19">
                  <c:v>1.8255706106567383E-2</c:v>
                </c:pt>
                <c:pt idx="20">
                  <c:v>1.6034790468978884E-2</c:v>
                </c:pt>
                <c:pt idx="21">
                  <c:v>1.4967438707733156E-2</c:v>
                </c:pt>
                <c:pt idx="22">
                  <c:v>1.4302918776321415E-2</c:v>
                </c:pt>
                <c:pt idx="23">
                  <c:v>1.3836763003540042E-2</c:v>
                </c:pt>
                <c:pt idx="24">
                  <c:v>1.3486955439186099E-2</c:v>
                </c:pt>
                <c:pt idx="25">
                  <c:v>1.3211915903854371E-2</c:v>
                </c:pt>
                <c:pt idx="26">
                  <c:v>1.2989137694931034E-2</c:v>
                </c:pt>
                <c:pt idx="27">
                  <c:v>1.2803743500518799E-2</c:v>
                </c:pt>
                <c:pt idx="28">
                  <c:v>1.2646578051757814E-2</c:v>
                </c:pt>
                <c:pt idx="29">
                  <c:v>1.1806582133865359E-2</c:v>
                </c:pt>
                <c:pt idx="30">
                  <c:v>1.1454867221832275E-2</c:v>
                </c:pt>
                <c:pt idx="31">
                  <c:v>1.1258028941345213E-2</c:v>
                </c:pt>
                <c:pt idx="32">
                  <c:v>1.1131381055450439E-2</c:v>
                </c:pt>
                <c:pt idx="33">
                  <c:v>1.1042880123138428E-2</c:v>
                </c:pt>
                <c:pt idx="34">
                  <c:v>1.097803030204773E-2</c:v>
                </c:pt>
                <c:pt idx="35">
                  <c:v>1.0927676323318484E-2</c:v>
                </c:pt>
                <c:pt idx="36">
                  <c:v>1.0887622022056578E-2</c:v>
                </c:pt>
                <c:pt idx="37">
                  <c:v>1.0855197111511231E-2</c:v>
                </c:pt>
                <c:pt idx="38">
                  <c:v>1.0702990766716002E-2</c:v>
                </c:pt>
                <c:pt idx="39">
                  <c:v>1.0649966501235963E-2</c:v>
                </c:pt>
                <c:pt idx="40">
                  <c:v>1.0622882164192202E-2</c:v>
                </c:pt>
                <c:pt idx="41">
                  <c:v>1.0606478974151613E-2</c:v>
                </c:pt>
                <c:pt idx="42">
                  <c:v>1.059541635761261E-2</c:v>
                </c:pt>
                <c:pt idx="43">
                  <c:v>1.0587405497360231E-2</c:v>
                </c:pt>
                <c:pt idx="44">
                  <c:v>1.0581301984786989E-2</c:v>
                </c:pt>
                <c:pt idx="45">
                  <c:v>1.0576724350357055E-2</c:v>
                </c:pt>
                <c:pt idx="46">
                  <c:v>1.0572909654998779E-2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EB7-4B4C-B203-CCD112E0EF65}"/>
            </c:ext>
          </c:extLst>
        </c:ser>
        <c:ser>
          <c:idx val="18"/>
          <c:order val="18"/>
          <c:tx>
            <c:strRef>
              <c:f>idelchik_IV_4.14!$BP$3</c:f>
              <c:strCache>
                <c:ptCount val="1"/>
                <c:pt idx="0">
                  <c:v>ε/D = 0.000005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7157907153885924E-2"/>
                  <c:y val="1.4898327935142648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B9A347C-D343-4F34-99B0-F7B5EBEE4689}" type="SERIESNAME">
                      <a:rPr lang="el-GR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5A-5BDE-44B0-A78D-3E48889EEA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idelchik_IV_4.14!$BP$5:$BP$51</c:f>
              <c:numCache>
                <c:formatCode>General</c:formatCode>
                <c:ptCount val="47"/>
                <c:pt idx="0">
                  <c:v>4.9060134063720701E-2</c:v>
                </c:pt>
                <c:pt idx="1">
                  <c:v>4.8681716284179694E-2</c:v>
                </c:pt>
                <c:pt idx="2">
                  <c:v>4.6057205877685553E-2</c:v>
                </c:pt>
                <c:pt idx="3">
                  <c:v>4.3524248159790044E-2</c:v>
                </c:pt>
                <c:pt idx="4">
                  <c:v>3.991096871643067E-2</c:v>
                </c:pt>
                <c:pt idx="5">
                  <c:v>3.7399373292541505E-2</c:v>
                </c:pt>
                <c:pt idx="6">
                  <c:v>3.5508810272979738E-2</c:v>
                </c:pt>
                <c:pt idx="7">
                  <c:v>3.4016501448822012E-2</c:v>
                </c:pt>
                <c:pt idx="8">
                  <c:v>3.2795798934173587E-2</c:v>
                </c:pt>
                <c:pt idx="9">
                  <c:v>3.1768882943725582E-2</c:v>
                </c:pt>
                <c:pt idx="10">
                  <c:v>3.088997713317871E-2</c:v>
                </c:pt>
                <c:pt idx="11">
                  <c:v>2.5894252091979986E-2</c:v>
                </c:pt>
                <c:pt idx="12">
                  <c:v>2.3497097528839113E-2</c:v>
                </c:pt>
                <c:pt idx="13">
                  <c:v>2.1986478166961677E-2</c:v>
                </c:pt>
                <c:pt idx="14">
                  <c:v>2.0909208197784426E-2</c:v>
                </c:pt>
                <c:pt idx="15">
                  <c:v>2.0085996939468387E-2</c:v>
                </c:pt>
                <c:pt idx="16">
                  <c:v>1.9426054642486576E-2</c:v>
                </c:pt>
                <c:pt idx="17">
                  <c:v>1.8880553206253058E-2</c:v>
                </c:pt>
                <c:pt idx="18">
                  <c:v>1.8417449189758302E-2</c:v>
                </c:pt>
                <c:pt idx="19">
                  <c:v>1.8016906177139282E-2</c:v>
                </c:pt>
                <c:pt idx="20">
                  <c:v>1.5678497922515869E-2</c:v>
                </c:pt>
                <c:pt idx="21">
                  <c:v>1.4515778777313235E-2</c:v>
                </c:pt>
                <c:pt idx="22">
                  <c:v>1.3769242895698551E-2</c:v>
                </c:pt>
                <c:pt idx="23">
                  <c:v>1.3230989380645753E-2</c:v>
                </c:pt>
                <c:pt idx="24">
                  <c:v>1.281518758659363E-2</c:v>
                </c:pt>
                <c:pt idx="25">
                  <c:v>1.2480257334136963E-2</c:v>
                </c:pt>
                <c:pt idx="26">
                  <c:v>1.220178457298279E-2</c:v>
                </c:pt>
                <c:pt idx="27">
                  <c:v>1.1964510521697998E-2</c:v>
                </c:pt>
                <c:pt idx="28">
                  <c:v>1.1758898441886902E-2</c:v>
                </c:pt>
                <c:pt idx="29">
                  <c:v>1.0551547360992432E-2</c:v>
                </c:pt>
                <c:pt idx="30">
                  <c:v>9.953403128814698E-3</c:v>
                </c:pt>
                <c:pt idx="31">
                  <c:v>9.5738409406662013E-3</c:v>
                </c:pt>
                <c:pt idx="32">
                  <c:v>9.3041419788360592E-3</c:v>
                </c:pt>
                <c:pt idx="33">
                  <c:v>9.0992928380966218E-3</c:v>
                </c:pt>
                <c:pt idx="34">
                  <c:v>8.9371682853698758E-3</c:v>
                </c:pt>
                <c:pt idx="35">
                  <c:v>8.8044168869018564E-3</c:v>
                </c:pt>
                <c:pt idx="36">
                  <c:v>8.6934092519760156E-3</c:v>
                </c:pt>
                <c:pt idx="37">
                  <c:v>8.5988048070907604E-3</c:v>
                </c:pt>
                <c:pt idx="38">
                  <c:v>8.0822950555801409E-3</c:v>
                </c:pt>
                <c:pt idx="39">
                  <c:v>7.8595168466568006E-3</c:v>
                </c:pt>
                <c:pt idx="40">
                  <c:v>7.7328689607620241E-3</c:v>
                </c:pt>
                <c:pt idx="41">
                  <c:v>7.6508530105590831E-3</c:v>
                </c:pt>
                <c:pt idx="42">
                  <c:v>7.5928696411132817E-3</c:v>
                </c:pt>
                <c:pt idx="43">
                  <c:v>7.5499543183326721E-3</c:v>
                </c:pt>
                <c:pt idx="44">
                  <c:v>7.5165757339477543E-3</c:v>
                </c:pt>
                <c:pt idx="45">
                  <c:v>7.4902543359756484E-3</c:v>
                </c:pt>
                <c:pt idx="46">
                  <c:v>7.4685105724334733E-3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EB7-4B4C-B203-CCD112E0EF65}"/>
            </c:ext>
          </c:extLst>
        </c:ser>
        <c:ser>
          <c:idx val="19"/>
          <c:order val="19"/>
          <c:tx>
            <c:strRef>
              <c:f>idelchik_IV_4.14!$BS$4</c:f>
              <c:strCache>
                <c:ptCount val="1"/>
                <c:pt idx="0">
                  <c:v>laminar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idelchik_IV_4.14!$BR$6:$BR$8</c:f>
              <c:numCache>
                <c:formatCode>General</c:formatCode>
                <c:ptCount val="3"/>
                <c:pt idx="0">
                  <c:v>785</c:v>
                </c:pt>
                <c:pt idx="1">
                  <c:v>1000</c:v>
                </c:pt>
                <c:pt idx="2">
                  <c:v>2000</c:v>
                </c:pt>
              </c:numCache>
            </c:numRef>
          </c:xVal>
          <c:yVal>
            <c:numRef>
              <c:f>idelchik_IV_4.14!$BS$6:$BS$8</c:f>
              <c:numCache>
                <c:formatCode>General</c:formatCode>
                <c:ptCount val="3"/>
                <c:pt idx="0">
                  <c:v>8.1528662420382161E-2</c:v>
                </c:pt>
                <c:pt idx="1">
                  <c:v>6.4000000000000001E-2</c:v>
                </c:pt>
                <c:pt idx="2">
                  <c:v>3.2000000000000001E-2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EB7-4B4C-B203-CCD112E0EF65}"/>
            </c:ext>
          </c:extLst>
        </c:ser>
        <c:ser>
          <c:idx val="20"/>
          <c:order val="20"/>
          <c:tx>
            <c:strRef>
              <c:f>idelchik_IV_4.14!$BS$9</c:f>
              <c:strCache>
                <c:ptCount val="1"/>
                <c:pt idx="0">
                  <c:v>limit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idelchik_IV_4.14!$BR$10:$BR$11</c:f>
              <c:numCache>
                <c:formatCode>General</c:formatCode>
                <c:ptCount val="2"/>
                <c:pt idx="0">
                  <c:v>2000</c:v>
                </c:pt>
                <c:pt idx="1">
                  <c:v>2000</c:v>
                </c:pt>
              </c:numCache>
            </c:numRef>
          </c:xVal>
          <c:yVal>
            <c:numRef>
              <c:f>idelchik_IV_4.14!$BS$10:$BS$11</c:f>
              <c:numCache>
                <c:formatCode>General</c:formatCode>
                <c:ptCount val="2"/>
                <c:pt idx="0">
                  <c:v>1.0000000000000001E-5</c:v>
                </c:pt>
                <c:pt idx="1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EB7-4B4C-B203-CCD112E0EF65}"/>
            </c:ext>
          </c:extLst>
        </c:ser>
        <c:ser>
          <c:idx val="21"/>
          <c:order val="21"/>
          <c:tx>
            <c:strRef>
              <c:f>idelchik_IV_4.14!$BQ$3</c:f>
              <c:strCache>
                <c:ptCount val="1"/>
                <c:pt idx="0">
                  <c:v>ε/D = 0.0004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4.7022272570247901E-2"/>
                  <c:y val="-1.9195689328054346E-2"/>
                </c:manualLayout>
              </c:layout>
              <c:tx>
                <c:rich>
                  <a:bodyPr/>
                  <a:lstStyle/>
                  <a:p>
                    <a:fld id="{14D42B01-CF04-499E-BF3A-BA6C0EBE9FE7}" type="SERIESNAME">
                      <a:rPr lang="el-GR">
                        <a:solidFill>
                          <a:srgbClr val="FF0000"/>
                        </a:solidFill>
                      </a:rPr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BDE-44B0-A78D-3E48889EEA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idelchik_IV_4.14!$AW$5:$AW$51</c:f>
              <c:numCache>
                <c:formatCode>General</c:formatCode>
                <c:ptCount val="47"/>
                <c:pt idx="0">
                  <c:v>2050</c:v>
                </c:pt>
                <c:pt idx="1">
                  <c:v>2100</c:v>
                </c:pt>
                <c:pt idx="2">
                  <c:v>2500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20000</c:v>
                </c:pt>
                <c:pt idx="12">
                  <c:v>30000</c:v>
                </c:pt>
                <c:pt idx="13">
                  <c:v>40000</c:v>
                </c:pt>
                <c:pt idx="14">
                  <c:v>50000</c:v>
                </c:pt>
                <c:pt idx="15">
                  <c:v>60000</c:v>
                </c:pt>
                <c:pt idx="16">
                  <c:v>70000</c:v>
                </c:pt>
                <c:pt idx="17">
                  <c:v>80000</c:v>
                </c:pt>
                <c:pt idx="18">
                  <c:v>90000</c:v>
                </c:pt>
                <c:pt idx="19">
                  <c:v>100000</c:v>
                </c:pt>
                <c:pt idx="20">
                  <c:v>200000</c:v>
                </c:pt>
                <c:pt idx="21">
                  <c:v>300000</c:v>
                </c:pt>
                <c:pt idx="22">
                  <c:v>400000</c:v>
                </c:pt>
                <c:pt idx="23">
                  <c:v>500000</c:v>
                </c:pt>
                <c:pt idx="24">
                  <c:v>600000</c:v>
                </c:pt>
                <c:pt idx="25">
                  <c:v>700000</c:v>
                </c:pt>
                <c:pt idx="26">
                  <c:v>800000</c:v>
                </c:pt>
                <c:pt idx="27">
                  <c:v>900000</c:v>
                </c:pt>
                <c:pt idx="28">
                  <c:v>1000000</c:v>
                </c:pt>
                <c:pt idx="29">
                  <c:v>2000000</c:v>
                </c:pt>
                <c:pt idx="30">
                  <c:v>3000000</c:v>
                </c:pt>
                <c:pt idx="31">
                  <c:v>4000000</c:v>
                </c:pt>
                <c:pt idx="32">
                  <c:v>5000000</c:v>
                </c:pt>
                <c:pt idx="33">
                  <c:v>6000000</c:v>
                </c:pt>
                <c:pt idx="34">
                  <c:v>7000000</c:v>
                </c:pt>
                <c:pt idx="35">
                  <c:v>8000000</c:v>
                </c:pt>
                <c:pt idx="36">
                  <c:v>9000000</c:v>
                </c:pt>
                <c:pt idx="37">
                  <c:v>10000000</c:v>
                </c:pt>
                <c:pt idx="38">
                  <c:v>20000000</c:v>
                </c:pt>
                <c:pt idx="39">
                  <c:v>30000000</c:v>
                </c:pt>
                <c:pt idx="40">
                  <c:v>40000000</c:v>
                </c:pt>
                <c:pt idx="41">
                  <c:v>50000000</c:v>
                </c:pt>
                <c:pt idx="42">
                  <c:v>60000000</c:v>
                </c:pt>
                <c:pt idx="43">
                  <c:v>70000000</c:v>
                </c:pt>
                <c:pt idx="44">
                  <c:v>80000000</c:v>
                </c:pt>
                <c:pt idx="45">
                  <c:v>90000000</c:v>
                </c:pt>
                <c:pt idx="46">
                  <c:v>100000000</c:v>
                </c:pt>
              </c:numCache>
            </c:numRef>
          </c:xVal>
          <c:yVal>
            <c:numRef>
              <c:f>idelchik_IV_4.14!$BQ$5:$BQ$51</c:f>
              <c:numCache>
                <c:formatCode>General</c:formatCode>
                <c:ptCount val="47"/>
                <c:pt idx="0">
                  <c:v>4.9365309692382821E-2</c:v>
                </c:pt>
                <c:pt idx="1">
                  <c:v>4.8989943669128427E-2</c:v>
                </c:pt>
                <c:pt idx="2">
                  <c:v>4.6386795556640631E-2</c:v>
                </c:pt>
                <c:pt idx="3">
                  <c:v>4.38782518890381E-2</c:v>
                </c:pt>
                <c:pt idx="4">
                  <c:v>4.0310748789978035E-2</c:v>
                </c:pt>
                <c:pt idx="5">
                  <c:v>3.7835774441528316E-2</c:v>
                </c:pt>
                <c:pt idx="6">
                  <c:v>3.5983358375549307E-2</c:v>
                </c:pt>
                <c:pt idx="7">
                  <c:v>3.4526144748687745E-2</c:v>
                </c:pt>
                <c:pt idx="8">
                  <c:v>3.3337485675048822E-2</c:v>
                </c:pt>
                <c:pt idx="9">
                  <c:v>3.2342613125610348E-2</c:v>
                </c:pt>
                <c:pt idx="10">
                  <c:v>3.1492698999786378E-2</c:v>
                </c:pt>
                <c:pt idx="11">
                  <c:v>2.6736536827087411E-2</c:v>
                </c:pt>
                <c:pt idx="12">
                  <c:v>2.4530117031860352E-2</c:v>
                </c:pt>
                <c:pt idx="13">
                  <c:v>2.3181240753173835E-2</c:v>
                </c:pt>
                <c:pt idx="14">
                  <c:v>2.2247403329467778E-2</c:v>
                </c:pt>
                <c:pt idx="15">
                  <c:v>2.1551602896118169E-2</c:v>
                </c:pt>
                <c:pt idx="16">
                  <c:v>2.1009916155242926E-2</c:v>
                </c:pt>
                <c:pt idx="17">
                  <c:v>2.0571989128112797E-2</c:v>
                </c:pt>
                <c:pt idx="18">
                  <c:v>2.0209593069076541E-2</c:v>
                </c:pt>
                <c:pt idx="19">
                  <c:v>1.990365450134278E-2</c:v>
                </c:pt>
                <c:pt idx="20">
                  <c:v>1.8284697791290286E-2</c:v>
                </c:pt>
                <c:pt idx="21">
                  <c:v>1.7614074347305296E-2</c:v>
                </c:pt>
                <c:pt idx="22">
                  <c:v>1.7240997141265868E-2</c:v>
                </c:pt>
                <c:pt idx="23">
                  <c:v>1.7001434272766111E-2</c:v>
                </c:pt>
                <c:pt idx="24">
                  <c:v>1.6833587677001955E-2</c:v>
                </c:pt>
                <c:pt idx="25">
                  <c:v>1.6710754486465453E-2</c:v>
                </c:pt>
                <c:pt idx="26">
                  <c:v>1.6615387102508546E-2</c:v>
                </c:pt>
                <c:pt idx="27">
                  <c:v>1.6540619073486331E-2</c:v>
                </c:pt>
                <c:pt idx="28">
                  <c:v>1.6479583947753909E-2</c:v>
                </c:pt>
                <c:pt idx="29">
                  <c:v>1.6192718856811526E-2</c:v>
                </c:pt>
                <c:pt idx="30">
                  <c:v>1.6092010899353033E-2</c:v>
                </c:pt>
                <c:pt idx="31">
                  <c:v>1.6040893981552125E-2</c:v>
                </c:pt>
                <c:pt idx="32">
                  <c:v>1.6009613479614257E-2</c:v>
                </c:pt>
                <c:pt idx="33">
                  <c:v>1.5989014124679568E-2</c:v>
                </c:pt>
                <c:pt idx="34">
                  <c:v>1.5974518282318113E-2</c:v>
                </c:pt>
                <c:pt idx="35">
                  <c:v>1.5963074196243286E-2</c:v>
                </c:pt>
                <c:pt idx="36">
                  <c:v>1.5953918927383424E-2</c:v>
                </c:pt>
                <c:pt idx="37">
                  <c:v>1.5947052475738528E-2</c:v>
                </c:pt>
                <c:pt idx="38">
                  <c:v>1.591577197380066E-2</c:v>
                </c:pt>
                <c:pt idx="39">
                  <c:v>1.5905090826797488E-2</c:v>
                </c:pt>
                <c:pt idx="40">
                  <c:v>1.5899750253295902E-2</c:v>
                </c:pt>
                <c:pt idx="41">
                  <c:v>1.5896698497009282E-2</c:v>
                </c:pt>
                <c:pt idx="42">
                  <c:v>1.5894409679794316E-2</c:v>
                </c:pt>
                <c:pt idx="43">
                  <c:v>1.5892883801650999E-2</c:v>
                </c:pt>
                <c:pt idx="44">
                  <c:v>1.5891357923507689E-2</c:v>
                </c:pt>
                <c:pt idx="45">
                  <c:v>1.5890594984436034E-2</c:v>
                </c:pt>
                <c:pt idx="46">
                  <c:v>1.5889832045364378E-2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EB7-4B4C-B203-CCD112E0EF65}"/>
            </c:ext>
          </c:extLst>
        </c:ser>
        <c:ser>
          <c:idx val="22"/>
          <c:order val="22"/>
          <c:tx>
            <c:v>operating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1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0898780868795234E-3"/>
                  <c:y val="-2.5846887766261952E-2"/>
                </c:manualLayout>
              </c:layout>
              <c:tx>
                <c:rich>
                  <a:bodyPr/>
                  <a:lstStyle/>
                  <a:p>
                    <a:fld id="{BD85582C-4BDA-4D17-BA7B-EC1FF862AE5F}" type="XVALUE">
                      <a:rPr lang="en-US">
                        <a:solidFill>
                          <a:srgbClr val="FF0000"/>
                        </a:solidFill>
                      </a:rPr>
                      <a:pPr/>
                      <a:t>[VALORE X]</a:t>
                    </a:fld>
                    <a:r>
                      <a:rPr lang="en-US" baseline="0">
                        <a:solidFill>
                          <a:srgbClr val="FF0000"/>
                        </a:solidFill>
                      </a:rPr>
                      <a:t>; </a:t>
                    </a:r>
                    <a:fld id="{0754F298-7DE8-48C8-BECE-938B982701BC}" type="YVALUE">
                      <a:rPr lang="en-US" baseline="0">
                        <a:solidFill>
                          <a:srgbClr val="FF0000"/>
                        </a:solidFill>
                      </a:rPr>
                      <a:pPr/>
                      <a:t>[VALORE Y]</a:t>
                    </a:fld>
                    <a:endParaRPr lang="en-US" baseline="0">
                      <a:solidFill>
                        <a:srgbClr val="FF0000"/>
                      </a:solidFill>
                    </a:endParaRP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237-4034-A6A1-17D32972A33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idelchik_IV_4.14!$C$33</c:f>
              <c:numCache>
                <c:formatCode>0</c:formatCode>
                <c:ptCount val="1"/>
                <c:pt idx="0">
                  <c:v>353669.97403333901</c:v>
                </c:pt>
              </c:numCache>
            </c:numRef>
          </c:xVal>
          <c:yVal>
            <c:numRef>
              <c:f>idelchik_IV_4.14!$C$36</c:f>
              <c:numCache>
                <c:formatCode>0.0000</c:formatCode>
                <c:ptCount val="1"/>
                <c:pt idx="0">
                  <c:v>1.7391296138381959E-2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37-4034-A6A1-17D32972A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9967"/>
        <c:axId val="41830447"/>
        <c:extLst>
          <c:ext xmlns:c15="http://schemas.microsoft.com/office/drawing/2012/chart" uri="{02D57815-91ED-43cb-92C2-25804820EDAC}">
            <c15:filteredScatte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idelchik_IV_4.14!$BI$3</c15:sqref>
                        </c15:formulaRef>
                      </c:ext>
                    </c:extLst>
                    <c:strCache>
                      <c:ptCount val="1"/>
                      <c:pt idx="0">
                        <c:v>ε/D = 0.0008</c:v>
                      </c:pt>
                    </c:strCache>
                  </c:strRef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idelchik_IV_4.14!$AW$5:$AW$51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2050</c:v>
                      </c:pt>
                      <c:pt idx="1">
                        <c:v>2100</c:v>
                      </c:pt>
                      <c:pt idx="2">
                        <c:v>2500</c:v>
                      </c:pt>
                      <c:pt idx="3">
                        <c:v>3000</c:v>
                      </c:pt>
                      <c:pt idx="4">
                        <c:v>4000</c:v>
                      </c:pt>
                      <c:pt idx="5">
                        <c:v>5000</c:v>
                      </c:pt>
                      <c:pt idx="6">
                        <c:v>6000</c:v>
                      </c:pt>
                      <c:pt idx="7">
                        <c:v>7000</c:v>
                      </c:pt>
                      <c:pt idx="8">
                        <c:v>8000</c:v>
                      </c:pt>
                      <c:pt idx="9">
                        <c:v>9000</c:v>
                      </c:pt>
                      <c:pt idx="10">
                        <c:v>10000</c:v>
                      </c:pt>
                      <c:pt idx="11">
                        <c:v>20000</c:v>
                      </c:pt>
                      <c:pt idx="12">
                        <c:v>30000</c:v>
                      </c:pt>
                      <c:pt idx="13">
                        <c:v>40000</c:v>
                      </c:pt>
                      <c:pt idx="14">
                        <c:v>50000</c:v>
                      </c:pt>
                      <c:pt idx="15">
                        <c:v>60000</c:v>
                      </c:pt>
                      <c:pt idx="16">
                        <c:v>70000</c:v>
                      </c:pt>
                      <c:pt idx="17">
                        <c:v>80000</c:v>
                      </c:pt>
                      <c:pt idx="18">
                        <c:v>90000</c:v>
                      </c:pt>
                      <c:pt idx="19">
                        <c:v>100000</c:v>
                      </c:pt>
                      <c:pt idx="20">
                        <c:v>200000</c:v>
                      </c:pt>
                      <c:pt idx="21">
                        <c:v>300000</c:v>
                      </c:pt>
                      <c:pt idx="22">
                        <c:v>400000</c:v>
                      </c:pt>
                      <c:pt idx="23">
                        <c:v>500000</c:v>
                      </c:pt>
                      <c:pt idx="24">
                        <c:v>600000</c:v>
                      </c:pt>
                      <c:pt idx="25">
                        <c:v>700000</c:v>
                      </c:pt>
                      <c:pt idx="26">
                        <c:v>800000</c:v>
                      </c:pt>
                      <c:pt idx="27">
                        <c:v>900000</c:v>
                      </c:pt>
                      <c:pt idx="28">
                        <c:v>1000000</c:v>
                      </c:pt>
                      <c:pt idx="29">
                        <c:v>2000000</c:v>
                      </c:pt>
                      <c:pt idx="30">
                        <c:v>3000000</c:v>
                      </c:pt>
                      <c:pt idx="31">
                        <c:v>4000000</c:v>
                      </c:pt>
                      <c:pt idx="32">
                        <c:v>5000000</c:v>
                      </c:pt>
                      <c:pt idx="33">
                        <c:v>6000000</c:v>
                      </c:pt>
                      <c:pt idx="34">
                        <c:v>7000000</c:v>
                      </c:pt>
                      <c:pt idx="35">
                        <c:v>8000000</c:v>
                      </c:pt>
                      <c:pt idx="36">
                        <c:v>9000000</c:v>
                      </c:pt>
                      <c:pt idx="37">
                        <c:v>10000000</c:v>
                      </c:pt>
                      <c:pt idx="38">
                        <c:v>20000000</c:v>
                      </c:pt>
                      <c:pt idx="39">
                        <c:v>30000000</c:v>
                      </c:pt>
                      <c:pt idx="40">
                        <c:v>40000000</c:v>
                      </c:pt>
                      <c:pt idx="41">
                        <c:v>50000000</c:v>
                      </c:pt>
                      <c:pt idx="42">
                        <c:v>60000000</c:v>
                      </c:pt>
                      <c:pt idx="43">
                        <c:v>70000000</c:v>
                      </c:pt>
                      <c:pt idx="44">
                        <c:v>80000000</c:v>
                      </c:pt>
                      <c:pt idx="45">
                        <c:v>90000000</c:v>
                      </c:pt>
                      <c:pt idx="46">
                        <c:v>100000000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idelchik_IV_4.14!$BI$5:$BI$51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4.9673537077331548E-2</c:v>
                      </c:pt>
                      <c:pt idx="1">
                        <c:v>4.9298171054077161E-2</c:v>
                      </c:pt>
                      <c:pt idx="2">
                        <c:v>4.6716385235595709E-2</c:v>
                      </c:pt>
                      <c:pt idx="3">
                        <c:v>4.4232255618286143E-2</c:v>
                      </c:pt>
                      <c:pt idx="4">
                        <c:v>4.07105288635254E-2</c:v>
                      </c:pt>
                      <c:pt idx="5">
                        <c:v>3.8275227346801763E-2</c:v>
                      </c:pt>
                      <c:pt idx="6">
                        <c:v>3.6459432356262214E-2</c:v>
                      </c:pt>
                      <c:pt idx="7">
                        <c:v>3.5034262170410155E-2</c:v>
                      </c:pt>
                      <c:pt idx="8">
                        <c:v>3.3874594781494141E-2</c:v>
                      </c:pt>
                      <c:pt idx="9">
                        <c:v>3.2908713916778562E-2</c:v>
                      </c:pt>
                      <c:pt idx="10">
                        <c:v>3.2086265597534178E-2</c:v>
                      </c:pt>
                      <c:pt idx="11">
                        <c:v>2.7548303999328616E-2</c:v>
                      </c:pt>
                      <c:pt idx="12">
                        <c:v>2.5502101409149172E-2</c:v>
                      </c:pt>
                      <c:pt idx="13">
                        <c:v>2.4280635955429085E-2</c:v>
                      </c:pt>
                      <c:pt idx="14">
                        <c:v>2.3453610001754763E-2</c:v>
                      </c:pt>
                      <c:pt idx="15">
                        <c:v>2.2850125196075446E-2</c:v>
                      </c:pt>
                      <c:pt idx="16">
                        <c:v>2.2387784118652349E-2</c:v>
                      </c:pt>
                      <c:pt idx="17">
                        <c:v>2.2020047486114511E-2</c:v>
                      </c:pt>
                      <c:pt idx="18">
                        <c:v>2.1719449491882328E-2</c:v>
                      </c:pt>
                      <c:pt idx="19">
                        <c:v>2.1469968415451054E-2</c:v>
                      </c:pt>
                      <c:pt idx="20">
                        <c:v>2.0208830130004886E-2</c:v>
                      </c:pt>
                      <c:pt idx="21">
                        <c:v>1.9722075002288827E-2</c:v>
                      </c:pt>
                      <c:pt idx="22">
                        <c:v>1.946267571792603E-2</c:v>
                      </c:pt>
                      <c:pt idx="23">
                        <c:v>1.9300932634735112E-2</c:v>
                      </c:pt>
                      <c:pt idx="24">
                        <c:v>1.9190306469345095E-2</c:v>
                      </c:pt>
                      <c:pt idx="25">
                        <c:v>1.9110197866821291E-2</c:v>
                      </c:pt>
                      <c:pt idx="26">
                        <c:v>1.9048399802017217E-2</c:v>
                      </c:pt>
                      <c:pt idx="27">
                        <c:v>1.9000334640502929E-2</c:v>
                      </c:pt>
                      <c:pt idx="28">
                        <c:v>1.8962187686920165E-2</c:v>
                      </c:pt>
                      <c:pt idx="29">
                        <c:v>1.8783659944152833E-2</c:v>
                      </c:pt>
                      <c:pt idx="30">
                        <c:v>1.8722624818420415E-2</c:v>
                      </c:pt>
                      <c:pt idx="31">
                        <c:v>1.8692107255554202E-2</c:v>
                      </c:pt>
                      <c:pt idx="32">
                        <c:v>1.8673796717834472E-2</c:v>
                      </c:pt>
                      <c:pt idx="33">
                        <c:v>1.866158969268799E-2</c:v>
                      </c:pt>
                      <c:pt idx="34">
                        <c:v>1.8652434423828128E-2</c:v>
                      </c:pt>
                      <c:pt idx="35">
                        <c:v>1.8645567972183232E-2</c:v>
                      </c:pt>
                      <c:pt idx="36">
                        <c:v>1.8640227398681646E-2</c:v>
                      </c:pt>
                      <c:pt idx="37">
                        <c:v>1.863641270332337E-2</c:v>
                      </c:pt>
                      <c:pt idx="38">
                        <c:v>1.8617339226531984E-2</c:v>
                      </c:pt>
                      <c:pt idx="39">
                        <c:v>1.8611235713958743E-2</c:v>
                      </c:pt>
                      <c:pt idx="40">
                        <c:v>1.8608183957672123E-2</c:v>
                      </c:pt>
                      <c:pt idx="41">
                        <c:v>1.8606658079528812E-2</c:v>
                      </c:pt>
                      <c:pt idx="42">
                        <c:v>1.8605132201385502E-2</c:v>
                      </c:pt>
                      <c:pt idx="43">
                        <c:v>1.8604369262313847E-2</c:v>
                      </c:pt>
                      <c:pt idx="44">
                        <c:v>1.8603606323242192E-2</c:v>
                      </c:pt>
                      <c:pt idx="45">
                        <c:v>1.8603606323242192E-2</c:v>
                      </c:pt>
                      <c:pt idx="46">
                        <c:v>1.8602843384170537E-2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5EB7-4B4C-B203-CCD112E0EF6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idelchik_IV_4.14!$BJ$3</c15:sqref>
                        </c15:formulaRef>
                      </c:ext>
                    </c:extLst>
                    <c:strCache>
                      <c:ptCount val="1"/>
                      <c:pt idx="0">
                        <c:v>ε/D = 0.0006</c:v>
                      </c:pt>
                    </c:strCache>
                  </c:strRef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idelchik_IV_4.14!$AW$5:$AW$51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2050</c:v>
                      </c:pt>
                      <c:pt idx="1">
                        <c:v>2100</c:v>
                      </c:pt>
                      <c:pt idx="2">
                        <c:v>2500</c:v>
                      </c:pt>
                      <c:pt idx="3">
                        <c:v>3000</c:v>
                      </c:pt>
                      <c:pt idx="4">
                        <c:v>4000</c:v>
                      </c:pt>
                      <c:pt idx="5">
                        <c:v>5000</c:v>
                      </c:pt>
                      <c:pt idx="6">
                        <c:v>6000</c:v>
                      </c:pt>
                      <c:pt idx="7">
                        <c:v>7000</c:v>
                      </c:pt>
                      <c:pt idx="8">
                        <c:v>8000</c:v>
                      </c:pt>
                      <c:pt idx="9">
                        <c:v>9000</c:v>
                      </c:pt>
                      <c:pt idx="10">
                        <c:v>10000</c:v>
                      </c:pt>
                      <c:pt idx="11">
                        <c:v>20000</c:v>
                      </c:pt>
                      <c:pt idx="12">
                        <c:v>30000</c:v>
                      </c:pt>
                      <c:pt idx="13">
                        <c:v>40000</c:v>
                      </c:pt>
                      <c:pt idx="14">
                        <c:v>50000</c:v>
                      </c:pt>
                      <c:pt idx="15">
                        <c:v>60000</c:v>
                      </c:pt>
                      <c:pt idx="16">
                        <c:v>70000</c:v>
                      </c:pt>
                      <c:pt idx="17">
                        <c:v>80000</c:v>
                      </c:pt>
                      <c:pt idx="18">
                        <c:v>90000</c:v>
                      </c:pt>
                      <c:pt idx="19">
                        <c:v>100000</c:v>
                      </c:pt>
                      <c:pt idx="20">
                        <c:v>200000</c:v>
                      </c:pt>
                      <c:pt idx="21">
                        <c:v>300000</c:v>
                      </c:pt>
                      <c:pt idx="22">
                        <c:v>400000</c:v>
                      </c:pt>
                      <c:pt idx="23">
                        <c:v>500000</c:v>
                      </c:pt>
                      <c:pt idx="24">
                        <c:v>600000</c:v>
                      </c:pt>
                      <c:pt idx="25">
                        <c:v>700000</c:v>
                      </c:pt>
                      <c:pt idx="26">
                        <c:v>800000</c:v>
                      </c:pt>
                      <c:pt idx="27">
                        <c:v>900000</c:v>
                      </c:pt>
                      <c:pt idx="28">
                        <c:v>1000000</c:v>
                      </c:pt>
                      <c:pt idx="29">
                        <c:v>2000000</c:v>
                      </c:pt>
                      <c:pt idx="30">
                        <c:v>3000000</c:v>
                      </c:pt>
                      <c:pt idx="31">
                        <c:v>4000000</c:v>
                      </c:pt>
                      <c:pt idx="32">
                        <c:v>5000000</c:v>
                      </c:pt>
                      <c:pt idx="33">
                        <c:v>6000000</c:v>
                      </c:pt>
                      <c:pt idx="34">
                        <c:v>7000000</c:v>
                      </c:pt>
                      <c:pt idx="35">
                        <c:v>8000000</c:v>
                      </c:pt>
                      <c:pt idx="36">
                        <c:v>9000000</c:v>
                      </c:pt>
                      <c:pt idx="37">
                        <c:v>10000000</c:v>
                      </c:pt>
                      <c:pt idx="38">
                        <c:v>20000000</c:v>
                      </c:pt>
                      <c:pt idx="39">
                        <c:v>30000000</c:v>
                      </c:pt>
                      <c:pt idx="40">
                        <c:v>40000000</c:v>
                      </c:pt>
                      <c:pt idx="41">
                        <c:v>50000000</c:v>
                      </c:pt>
                      <c:pt idx="42">
                        <c:v>60000000</c:v>
                      </c:pt>
                      <c:pt idx="43">
                        <c:v>70000000</c:v>
                      </c:pt>
                      <c:pt idx="44">
                        <c:v>80000000</c:v>
                      </c:pt>
                      <c:pt idx="45">
                        <c:v>90000000</c:v>
                      </c:pt>
                      <c:pt idx="46">
                        <c:v>100000000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idelchik_IV_4.14!$BJ$5:$BJ$51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4.951789750671387E-2</c:v>
                      </c:pt>
                      <c:pt idx="1">
                        <c:v>4.9145583239746098E-2</c:v>
                      </c:pt>
                      <c:pt idx="2">
                        <c:v>4.655159039611817E-2</c:v>
                      </c:pt>
                      <c:pt idx="3">
                        <c:v>4.4055253753662121E-2</c:v>
                      </c:pt>
                      <c:pt idx="4">
                        <c:v>4.0509112948608414E-2</c:v>
                      </c:pt>
                      <c:pt idx="5">
                        <c:v>3.805550089416504E-2</c:v>
                      </c:pt>
                      <c:pt idx="6">
                        <c:v>3.6221395365905767E-2</c:v>
                      </c:pt>
                      <c:pt idx="7">
                        <c:v>3.4780966398620605E-2</c:v>
                      </c:pt>
                      <c:pt idx="8">
                        <c:v>3.3607566106414799E-2</c:v>
                      </c:pt>
                      <c:pt idx="9">
                        <c:v>3.2626426460266117E-2</c:v>
                      </c:pt>
                      <c:pt idx="10">
                        <c:v>3.179024523773194E-2</c:v>
                      </c:pt>
                      <c:pt idx="11">
                        <c:v>2.7148523925781251E-2</c:v>
                      </c:pt>
                      <c:pt idx="12">
                        <c:v>2.5024501550292972E-2</c:v>
                      </c:pt>
                      <c:pt idx="13">
                        <c:v>2.3742763909912111E-2</c:v>
                      </c:pt>
                      <c:pt idx="14">
                        <c:v>2.2866146916580204E-2</c:v>
                      </c:pt>
                      <c:pt idx="15">
                        <c:v>2.2220700461959841E-2</c:v>
                      </c:pt>
                      <c:pt idx="16">
                        <c:v>2.1721738309097294E-2</c:v>
                      </c:pt>
                      <c:pt idx="17">
                        <c:v>2.1322721174621591E-2</c:v>
                      </c:pt>
                      <c:pt idx="18">
                        <c:v>2.0994657373809816E-2</c:v>
                      </c:pt>
                      <c:pt idx="19">
                        <c:v>2.0719999308013923E-2</c:v>
                      </c:pt>
                      <c:pt idx="20">
                        <c:v>1.9306273208236698E-2</c:v>
                      </c:pt>
                      <c:pt idx="21">
                        <c:v>1.8744750051498414E-2</c:v>
                      </c:pt>
                      <c:pt idx="22">
                        <c:v>1.8439574422836308E-2</c:v>
                      </c:pt>
                      <c:pt idx="23">
                        <c:v>1.8248076715850832E-2</c:v>
                      </c:pt>
                      <c:pt idx="24">
                        <c:v>1.8115325317382816E-2</c:v>
                      </c:pt>
                      <c:pt idx="25">
                        <c:v>1.8019194994354247E-2</c:v>
                      </c:pt>
                      <c:pt idx="26">
                        <c:v>1.7945189904403691E-2</c:v>
                      </c:pt>
                      <c:pt idx="27">
                        <c:v>1.7886443595886231E-2</c:v>
                      </c:pt>
                      <c:pt idx="28">
                        <c:v>1.783990431251526E-2</c:v>
                      </c:pt>
                      <c:pt idx="29">
                        <c:v>1.7621703738021854E-2</c:v>
                      </c:pt>
                      <c:pt idx="30">
                        <c:v>1.7546935708999636E-2</c:v>
                      </c:pt>
                      <c:pt idx="31">
                        <c:v>1.7508788755416872E-2</c:v>
                      </c:pt>
                      <c:pt idx="32">
                        <c:v>1.7485900583267211E-2</c:v>
                      </c:pt>
                      <c:pt idx="33">
                        <c:v>1.7470641801834108E-2</c:v>
                      </c:pt>
                      <c:pt idx="34">
                        <c:v>1.7459960654830936E-2</c:v>
                      </c:pt>
                      <c:pt idx="35">
                        <c:v>1.7451568325042723E-2</c:v>
                      </c:pt>
                      <c:pt idx="36">
                        <c:v>1.7445464812469481E-2</c:v>
                      </c:pt>
                      <c:pt idx="37">
                        <c:v>1.7440124238967895E-2</c:v>
                      </c:pt>
                      <c:pt idx="38">
                        <c:v>1.7416473127746586E-2</c:v>
                      </c:pt>
                      <c:pt idx="39">
                        <c:v>1.7408843737030034E-2</c:v>
                      </c:pt>
                      <c:pt idx="40">
                        <c:v>1.7405029041671752E-2</c:v>
                      </c:pt>
                      <c:pt idx="41">
                        <c:v>1.7402740224456786E-2</c:v>
                      </c:pt>
                      <c:pt idx="42">
                        <c:v>1.7401214346313476E-2</c:v>
                      </c:pt>
                      <c:pt idx="43">
                        <c:v>1.7399688468170166E-2</c:v>
                      </c:pt>
                      <c:pt idx="44">
                        <c:v>1.7398925529098511E-2</c:v>
                      </c:pt>
                      <c:pt idx="45">
                        <c:v>1.7398162590026856E-2</c:v>
                      </c:pt>
                      <c:pt idx="46">
                        <c:v>1.7398162590026856E-2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EB7-4B4C-B203-CCD112E0EF6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idelchik_IV_4.14!$BL$3</c15:sqref>
                        </c15:formulaRef>
                      </c:ext>
                    </c:extLst>
                    <c:strCache>
                      <c:ptCount val="1"/>
                      <c:pt idx="0">
                        <c:v>ε/D = 0.0002</c:v>
                      </c:pt>
                    </c:strCache>
                  </c:strRef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idelchik_IV_4.14!$AW$5:$AW$51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2050</c:v>
                      </c:pt>
                      <c:pt idx="1">
                        <c:v>2100</c:v>
                      </c:pt>
                      <c:pt idx="2">
                        <c:v>2500</c:v>
                      </c:pt>
                      <c:pt idx="3">
                        <c:v>3000</c:v>
                      </c:pt>
                      <c:pt idx="4">
                        <c:v>4000</c:v>
                      </c:pt>
                      <c:pt idx="5">
                        <c:v>5000</c:v>
                      </c:pt>
                      <c:pt idx="6">
                        <c:v>6000</c:v>
                      </c:pt>
                      <c:pt idx="7">
                        <c:v>7000</c:v>
                      </c:pt>
                      <c:pt idx="8">
                        <c:v>8000</c:v>
                      </c:pt>
                      <c:pt idx="9">
                        <c:v>9000</c:v>
                      </c:pt>
                      <c:pt idx="10">
                        <c:v>10000</c:v>
                      </c:pt>
                      <c:pt idx="11">
                        <c:v>20000</c:v>
                      </c:pt>
                      <c:pt idx="12">
                        <c:v>30000</c:v>
                      </c:pt>
                      <c:pt idx="13">
                        <c:v>40000</c:v>
                      </c:pt>
                      <c:pt idx="14">
                        <c:v>50000</c:v>
                      </c:pt>
                      <c:pt idx="15">
                        <c:v>60000</c:v>
                      </c:pt>
                      <c:pt idx="16">
                        <c:v>70000</c:v>
                      </c:pt>
                      <c:pt idx="17">
                        <c:v>80000</c:v>
                      </c:pt>
                      <c:pt idx="18">
                        <c:v>90000</c:v>
                      </c:pt>
                      <c:pt idx="19">
                        <c:v>100000</c:v>
                      </c:pt>
                      <c:pt idx="20">
                        <c:v>200000</c:v>
                      </c:pt>
                      <c:pt idx="21">
                        <c:v>300000</c:v>
                      </c:pt>
                      <c:pt idx="22">
                        <c:v>400000</c:v>
                      </c:pt>
                      <c:pt idx="23">
                        <c:v>500000</c:v>
                      </c:pt>
                      <c:pt idx="24">
                        <c:v>600000</c:v>
                      </c:pt>
                      <c:pt idx="25">
                        <c:v>700000</c:v>
                      </c:pt>
                      <c:pt idx="26">
                        <c:v>800000</c:v>
                      </c:pt>
                      <c:pt idx="27">
                        <c:v>900000</c:v>
                      </c:pt>
                      <c:pt idx="28">
                        <c:v>1000000</c:v>
                      </c:pt>
                      <c:pt idx="29">
                        <c:v>2000000</c:v>
                      </c:pt>
                      <c:pt idx="30">
                        <c:v>3000000</c:v>
                      </c:pt>
                      <c:pt idx="31">
                        <c:v>4000000</c:v>
                      </c:pt>
                      <c:pt idx="32">
                        <c:v>5000000</c:v>
                      </c:pt>
                      <c:pt idx="33">
                        <c:v>6000000</c:v>
                      </c:pt>
                      <c:pt idx="34">
                        <c:v>7000000</c:v>
                      </c:pt>
                      <c:pt idx="35">
                        <c:v>8000000</c:v>
                      </c:pt>
                      <c:pt idx="36">
                        <c:v>9000000</c:v>
                      </c:pt>
                      <c:pt idx="37">
                        <c:v>10000000</c:v>
                      </c:pt>
                      <c:pt idx="38">
                        <c:v>20000000</c:v>
                      </c:pt>
                      <c:pt idx="39">
                        <c:v>30000000</c:v>
                      </c:pt>
                      <c:pt idx="40">
                        <c:v>40000000</c:v>
                      </c:pt>
                      <c:pt idx="41">
                        <c:v>50000000</c:v>
                      </c:pt>
                      <c:pt idx="42">
                        <c:v>60000000</c:v>
                      </c:pt>
                      <c:pt idx="43">
                        <c:v>70000000</c:v>
                      </c:pt>
                      <c:pt idx="44">
                        <c:v>80000000</c:v>
                      </c:pt>
                      <c:pt idx="45">
                        <c:v>90000000</c:v>
                      </c:pt>
                      <c:pt idx="46">
                        <c:v>100000000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idelchik_IV_4.14!$BL$5:$BL$51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4.9212721878051757E-2</c:v>
                      </c:pt>
                      <c:pt idx="1">
                        <c:v>4.883430409851075E-2</c:v>
                      </c:pt>
                      <c:pt idx="2">
                        <c:v>4.6222000717163092E-2</c:v>
                      </c:pt>
                      <c:pt idx="3">
                        <c:v>4.3698198268127444E-2</c:v>
                      </c:pt>
                      <c:pt idx="4">
                        <c:v>4.0109332875061049E-2</c:v>
                      </c:pt>
                      <c:pt idx="5">
                        <c:v>3.7616047988891607E-2</c:v>
                      </c:pt>
                      <c:pt idx="6">
                        <c:v>3.5745321385192874E-2</c:v>
                      </c:pt>
                      <c:pt idx="7">
                        <c:v>3.4268271342468265E-2</c:v>
                      </c:pt>
                      <c:pt idx="8">
                        <c:v>3.3064353487396239E-2</c:v>
                      </c:pt>
                      <c:pt idx="9">
                        <c:v>3.2054222156524662E-2</c:v>
                      </c:pt>
                      <c:pt idx="10">
                        <c:v>3.1189049249267579E-2</c:v>
                      </c:pt>
                      <c:pt idx="11">
                        <c:v>2.6315394459533695E-2</c:v>
                      </c:pt>
                      <c:pt idx="12">
                        <c:v>2.4016659036636356E-2</c:v>
                      </c:pt>
                      <c:pt idx="13">
                        <c:v>2.2590725911712649E-2</c:v>
                      </c:pt>
                      <c:pt idx="14">
                        <c:v>2.1591275727844243E-2</c:v>
                      </c:pt>
                      <c:pt idx="15">
                        <c:v>2.0836728985977181E-2</c:v>
                      </c:pt>
                      <c:pt idx="16">
                        <c:v>2.0241636510086064E-2</c:v>
                      </c:pt>
                      <c:pt idx="17">
                        <c:v>1.9755644321441661E-2</c:v>
                      </c:pt>
                      <c:pt idx="18">
                        <c:v>1.9349760735321048E-2</c:v>
                      </c:pt>
                      <c:pt idx="19">
                        <c:v>1.9002623457717895E-2</c:v>
                      </c:pt>
                      <c:pt idx="20">
                        <c:v>1.7094512839508059E-2</c:v>
                      </c:pt>
                      <c:pt idx="21">
                        <c:v>1.6248413409042359E-2</c:v>
                      </c:pt>
                      <c:pt idx="22">
                        <c:v>1.5755554768753052E-2</c:v>
                      </c:pt>
                      <c:pt idx="23">
                        <c:v>1.542825390701294E-2</c:v>
                      </c:pt>
                      <c:pt idx="24">
                        <c:v>1.51944130815506E-2</c:v>
                      </c:pt>
                      <c:pt idx="25">
                        <c:v>1.5017792686462403E-2</c:v>
                      </c:pt>
                      <c:pt idx="26">
                        <c:v>1.4879700714492801E-2</c:v>
                      </c:pt>
                      <c:pt idx="27">
                        <c:v>1.4769074549102784E-2</c:v>
                      </c:pt>
                      <c:pt idx="28">
                        <c:v>1.4677521860504153E-2</c:v>
                      </c:pt>
                      <c:pt idx="29">
                        <c:v>1.4233491320800783E-2</c:v>
                      </c:pt>
                      <c:pt idx="30">
                        <c:v>1.4071748237609864E-2</c:v>
                      </c:pt>
                      <c:pt idx="31">
                        <c:v>1.3987824939727785E-2</c:v>
                      </c:pt>
                      <c:pt idx="32">
                        <c:v>1.3936708021926883E-2</c:v>
                      </c:pt>
                      <c:pt idx="33">
                        <c:v>1.3901612824630739E-2</c:v>
                      </c:pt>
                      <c:pt idx="34">
                        <c:v>1.3876817304801944E-2</c:v>
                      </c:pt>
                      <c:pt idx="35">
                        <c:v>1.3858125297546389E-2</c:v>
                      </c:pt>
                      <c:pt idx="36">
                        <c:v>1.3842866516113283E-2</c:v>
                      </c:pt>
                      <c:pt idx="37">
                        <c:v>1.3831422430038456E-2</c:v>
                      </c:pt>
                      <c:pt idx="38">
                        <c:v>1.377725375595093E-2</c:v>
                      </c:pt>
                      <c:pt idx="39">
                        <c:v>1.3758943218231207E-2</c:v>
                      </c:pt>
                      <c:pt idx="40">
                        <c:v>1.3749787949371341E-2</c:v>
                      </c:pt>
                      <c:pt idx="41">
                        <c:v>1.3744447375869755E-2</c:v>
                      </c:pt>
                      <c:pt idx="42">
                        <c:v>1.374063268051148E-2</c:v>
                      </c:pt>
                      <c:pt idx="43">
                        <c:v>1.3737962393760683E-2</c:v>
                      </c:pt>
                      <c:pt idx="44">
                        <c:v>1.3736055046081545E-2</c:v>
                      </c:pt>
                      <c:pt idx="45">
                        <c:v>1.3734529167938235E-2</c:v>
                      </c:pt>
                      <c:pt idx="46">
                        <c:v>1.3733003289794925E-2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B7-4B4C-B203-CCD112E0EF6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idelchik_IV_4.14!$BO$3</c15:sqref>
                        </c15:formulaRef>
                      </c:ext>
                    </c:extLst>
                    <c:strCache>
                      <c:ptCount val="1"/>
                      <c:pt idx="0">
                        <c:v>ε/D = 0.00001</c:v>
                      </c:pt>
                    </c:strCache>
                  </c:strRef>
                </c:tx>
                <c:spPr>
                  <a:ln w="19050" cap="rnd">
                    <a:solidFill>
                      <a:schemeClr val="tx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idelchik_IV_4.14!$AW$5:$AW$51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2050</c:v>
                      </c:pt>
                      <c:pt idx="1">
                        <c:v>2100</c:v>
                      </c:pt>
                      <c:pt idx="2">
                        <c:v>2500</c:v>
                      </c:pt>
                      <c:pt idx="3">
                        <c:v>3000</c:v>
                      </c:pt>
                      <c:pt idx="4">
                        <c:v>4000</c:v>
                      </c:pt>
                      <c:pt idx="5">
                        <c:v>5000</c:v>
                      </c:pt>
                      <c:pt idx="6">
                        <c:v>6000</c:v>
                      </c:pt>
                      <c:pt idx="7">
                        <c:v>7000</c:v>
                      </c:pt>
                      <c:pt idx="8">
                        <c:v>8000</c:v>
                      </c:pt>
                      <c:pt idx="9">
                        <c:v>9000</c:v>
                      </c:pt>
                      <c:pt idx="10">
                        <c:v>10000</c:v>
                      </c:pt>
                      <c:pt idx="11">
                        <c:v>20000</c:v>
                      </c:pt>
                      <c:pt idx="12">
                        <c:v>30000</c:v>
                      </c:pt>
                      <c:pt idx="13">
                        <c:v>40000</c:v>
                      </c:pt>
                      <c:pt idx="14">
                        <c:v>50000</c:v>
                      </c:pt>
                      <c:pt idx="15">
                        <c:v>60000</c:v>
                      </c:pt>
                      <c:pt idx="16">
                        <c:v>70000</c:v>
                      </c:pt>
                      <c:pt idx="17">
                        <c:v>80000</c:v>
                      </c:pt>
                      <c:pt idx="18">
                        <c:v>90000</c:v>
                      </c:pt>
                      <c:pt idx="19">
                        <c:v>100000</c:v>
                      </c:pt>
                      <c:pt idx="20">
                        <c:v>200000</c:v>
                      </c:pt>
                      <c:pt idx="21">
                        <c:v>300000</c:v>
                      </c:pt>
                      <c:pt idx="22">
                        <c:v>400000</c:v>
                      </c:pt>
                      <c:pt idx="23">
                        <c:v>500000</c:v>
                      </c:pt>
                      <c:pt idx="24">
                        <c:v>600000</c:v>
                      </c:pt>
                      <c:pt idx="25">
                        <c:v>700000</c:v>
                      </c:pt>
                      <c:pt idx="26">
                        <c:v>800000</c:v>
                      </c:pt>
                      <c:pt idx="27">
                        <c:v>900000</c:v>
                      </c:pt>
                      <c:pt idx="28">
                        <c:v>1000000</c:v>
                      </c:pt>
                      <c:pt idx="29">
                        <c:v>2000000</c:v>
                      </c:pt>
                      <c:pt idx="30">
                        <c:v>3000000</c:v>
                      </c:pt>
                      <c:pt idx="31">
                        <c:v>4000000</c:v>
                      </c:pt>
                      <c:pt idx="32">
                        <c:v>5000000</c:v>
                      </c:pt>
                      <c:pt idx="33">
                        <c:v>6000000</c:v>
                      </c:pt>
                      <c:pt idx="34">
                        <c:v>7000000</c:v>
                      </c:pt>
                      <c:pt idx="35">
                        <c:v>8000000</c:v>
                      </c:pt>
                      <c:pt idx="36">
                        <c:v>9000000</c:v>
                      </c:pt>
                      <c:pt idx="37">
                        <c:v>10000000</c:v>
                      </c:pt>
                      <c:pt idx="38">
                        <c:v>20000000</c:v>
                      </c:pt>
                      <c:pt idx="39">
                        <c:v>30000000</c:v>
                      </c:pt>
                      <c:pt idx="40">
                        <c:v>40000000</c:v>
                      </c:pt>
                      <c:pt idx="41">
                        <c:v>50000000</c:v>
                      </c:pt>
                      <c:pt idx="42">
                        <c:v>60000000</c:v>
                      </c:pt>
                      <c:pt idx="43">
                        <c:v>70000000</c:v>
                      </c:pt>
                      <c:pt idx="44">
                        <c:v>80000000</c:v>
                      </c:pt>
                      <c:pt idx="45">
                        <c:v>90000000</c:v>
                      </c:pt>
                      <c:pt idx="46">
                        <c:v>100000000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idelchik_IV_4.14!$BO$5:$BO$51</c15:sqref>
                        </c15:formulaRef>
                      </c:ext>
                    </c:extLst>
                    <c:numCache>
                      <c:formatCode>General</c:formatCode>
                      <c:ptCount val="47"/>
                      <c:pt idx="0">
                        <c:v>4.9066237576293942E-2</c:v>
                      </c:pt>
                      <c:pt idx="1">
                        <c:v>4.8687819796752935E-2</c:v>
                      </c:pt>
                      <c:pt idx="2">
                        <c:v>4.6063309390258794E-2</c:v>
                      </c:pt>
                      <c:pt idx="3">
                        <c:v>4.3527299916076664E-2</c:v>
                      </c:pt>
                      <c:pt idx="4">
                        <c:v>3.9917072229003918E-2</c:v>
                      </c:pt>
                      <c:pt idx="5">
                        <c:v>3.7403950926971435E-2</c:v>
                      </c:pt>
                      <c:pt idx="6">
                        <c:v>3.5514913785552979E-2</c:v>
                      </c:pt>
                      <c:pt idx="7">
                        <c:v>3.4024130839538563E-2</c:v>
                      </c:pt>
                      <c:pt idx="8">
                        <c:v>3.2801902446746828E-2</c:v>
                      </c:pt>
                      <c:pt idx="9">
                        <c:v>3.1776512334442134E-2</c:v>
                      </c:pt>
                      <c:pt idx="10">
                        <c:v>3.0899132402038579E-2</c:v>
                      </c:pt>
                      <c:pt idx="11">
                        <c:v>2.5904933238983158E-2</c:v>
                      </c:pt>
                      <c:pt idx="12">
                        <c:v>2.3510067493057257E-2</c:v>
                      </c:pt>
                      <c:pt idx="13">
                        <c:v>2.200173694839478E-2</c:v>
                      </c:pt>
                      <c:pt idx="14">
                        <c:v>2.0927518735504157E-2</c:v>
                      </c:pt>
                      <c:pt idx="15">
                        <c:v>2.0106596294403083E-2</c:v>
                      </c:pt>
                      <c:pt idx="16">
                        <c:v>1.9448179875564582E-2</c:v>
                      </c:pt>
                      <c:pt idx="17">
                        <c:v>1.8904204317474367E-2</c:v>
                      </c:pt>
                      <c:pt idx="18">
                        <c:v>1.8442626179122928E-2</c:v>
                      </c:pt>
                      <c:pt idx="19">
                        <c:v>1.8043609044647219E-2</c:v>
                      </c:pt>
                      <c:pt idx="20">
                        <c:v>1.5718933693313598E-2</c:v>
                      </c:pt>
                      <c:pt idx="21">
                        <c:v>1.4567658634185795E-2</c:v>
                      </c:pt>
                      <c:pt idx="22">
                        <c:v>1.3831422430038456E-2</c:v>
                      </c:pt>
                      <c:pt idx="23">
                        <c:v>1.3302324183845523E-2</c:v>
                      </c:pt>
                      <c:pt idx="24">
                        <c:v>1.2895296189117434E-2</c:v>
                      </c:pt>
                      <c:pt idx="25">
                        <c:v>1.2568758266448977E-2</c:v>
                      </c:pt>
                      <c:pt idx="26">
                        <c:v>1.2297533426475528E-2</c:v>
                      </c:pt>
                      <c:pt idx="27">
                        <c:v>1.206750729637146E-2</c:v>
                      </c:pt>
                      <c:pt idx="28">
                        <c:v>1.1869143137741088E-2</c:v>
                      </c:pt>
                      <c:pt idx="29">
                        <c:v>1.0719775426292419E-2</c:v>
                      </c:pt>
                      <c:pt idx="30">
                        <c:v>1.0166644599342346E-2</c:v>
                      </c:pt>
                      <c:pt idx="31">
                        <c:v>9.8244664257049578E-3</c:v>
                      </c:pt>
                      <c:pt idx="32">
                        <c:v>9.5868109048843388E-3</c:v>
                      </c:pt>
                      <c:pt idx="33">
                        <c:v>9.4098090402603175E-3</c:v>
                      </c:pt>
                      <c:pt idx="34">
                        <c:v>9.2720985378265397E-3</c:v>
                      </c:pt>
                      <c:pt idx="35">
                        <c:v>9.1614723724365247E-3</c:v>
                      </c:pt>
                      <c:pt idx="36">
                        <c:v>9.0703011533737228E-3</c:v>
                      </c:pt>
                      <c:pt idx="37">
                        <c:v>8.9936257766723635E-3</c:v>
                      </c:pt>
                      <c:pt idx="38">
                        <c:v>8.5968974594116225E-3</c:v>
                      </c:pt>
                      <c:pt idx="39">
                        <c:v>8.4385876020431558E-3</c:v>
                      </c:pt>
                      <c:pt idx="40">
                        <c:v>8.3527569564819347E-3</c:v>
                      </c:pt>
                      <c:pt idx="41">
                        <c:v>8.2989697519302401E-3</c:v>
                      </c:pt>
                      <c:pt idx="42">
                        <c:v>8.2615857374191311E-3</c:v>
                      </c:pt>
                      <c:pt idx="43">
                        <c:v>8.23450140037537E-3</c:v>
                      </c:pt>
                      <c:pt idx="44">
                        <c:v>8.2139020454406741E-3</c:v>
                      </c:pt>
                      <c:pt idx="45">
                        <c:v>8.1974988554000885E-3</c:v>
                      </c:pt>
                      <c:pt idx="46">
                        <c:v>8.1845288911819476E-3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B7-4B4C-B203-CCD112E0EF65}"/>
                  </c:ext>
                </c:extLst>
              </c15:ser>
            </c15:filteredScatterSeries>
          </c:ext>
        </c:extLst>
      </c:scatterChart>
      <c:valAx>
        <c:axId val="41829967"/>
        <c:scaling>
          <c:logBase val="10"/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Reynolds number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830447"/>
        <c:crosses val="autoZero"/>
        <c:crossBetween val="midCat"/>
      </c:valAx>
      <c:valAx>
        <c:axId val="41830447"/>
        <c:scaling>
          <c:orientation val="minMax"/>
          <c:max val="9.000000000000002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λ [-]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829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Idelchik's</a:t>
            </a:r>
            <a:r>
              <a:rPr lang="it-IT" baseline="0"/>
              <a:t> Chapter 4.11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17"/>
          <c:order val="0"/>
          <c:tx>
            <c:strRef>
              <c:f>idelchik_IV_4.14!$BU$2</c:f>
              <c:strCache>
                <c:ptCount val="1"/>
                <c:pt idx="0">
                  <c:v>τ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idelchik_IV_4.14!$BT$3:$BT$20</c:f>
              <c:numCache>
                <c:formatCode>General</c:formatCode>
                <c:ptCount val="18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1.6</c:v>
                </c:pt>
                <c:pt idx="8">
                  <c:v>2</c:v>
                </c:pt>
                <c:pt idx="9">
                  <c:v>2.4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</c:numCache>
            </c:numRef>
          </c:xVal>
          <c:yVal>
            <c:numRef>
              <c:f>idelchik_IV_4.14!$BU$3:$BU$20</c:f>
              <c:numCache>
                <c:formatCode>General</c:formatCode>
                <c:ptCount val="18"/>
                <c:pt idx="0">
                  <c:v>1.35</c:v>
                </c:pt>
                <c:pt idx="1">
                  <c:v>1.22</c:v>
                </c:pt>
                <c:pt idx="2">
                  <c:v>1.1000000000000001</c:v>
                </c:pt>
                <c:pt idx="3">
                  <c:v>0.84</c:v>
                </c:pt>
                <c:pt idx="4">
                  <c:v>0.42</c:v>
                </c:pt>
                <c:pt idx="5">
                  <c:v>0.24</c:v>
                </c:pt>
                <c:pt idx="6">
                  <c:v>0.16</c:v>
                </c:pt>
                <c:pt idx="7">
                  <c:v>7.0000000000000007E-2</c:v>
                </c:pt>
                <c:pt idx="8">
                  <c:v>0.02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9A-4E2A-A0C6-98F3B2E295F7}"/>
            </c:ext>
          </c:extLst>
        </c:ser>
        <c:ser>
          <c:idx val="0"/>
          <c:order val="1"/>
          <c:tx>
            <c:v>operating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1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130250643569039E-2"/>
                  <c:y val="-6.376811594202903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4A9A-4E2A-A0C6-98F3B2E295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idelchik_IV_4.14!$C$37</c:f>
              <c:numCache>
                <c:formatCode>0.000</c:formatCode>
                <c:ptCount val="1"/>
                <c:pt idx="0">
                  <c:v>1</c:v>
                </c:pt>
              </c:numCache>
            </c:numRef>
          </c:xVal>
          <c:yVal>
            <c:numRef>
              <c:f>idelchik_IV_4.14!$C$40</c:f>
              <c:numCache>
                <c:formatCode>0.0000</c:formatCode>
                <c:ptCount val="1"/>
                <c:pt idx="0">
                  <c:v>0.24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4A9A-4E2A-A0C6-98F3B2E29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9967"/>
        <c:axId val="41830447"/>
        <c:extLst/>
      </c:scatterChart>
      <c:valAx>
        <c:axId val="41829967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  <a:r>
                  <a:rPr lang="it-IT" baseline="0"/>
                  <a:t> / D</a:t>
                </a:r>
                <a:r>
                  <a:rPr lang="it-IT"/>
                  <a:t>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830447"/>
        <c:crosses val="autoZero"/>
        <c:crossBetween val="midCat"/>
      </c:valAx>
      <c:valAx>
        <c:axId val="4183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τ [-]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829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Idelchik's</a:t>
            </a:r>
            <a:r>
              <a:rPr lang="it-IT" baseline="0"/>
              <a:t> Chapter IV - Diagram 4.14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17"/>
          <c:order val="0"/>
          <c:tx>
            <c:strRef>
              <c:f>idelchik_IV_4.14!$BX$2</c:f>
              <c:strCache>
                <c:ptCount val="1"/>
                <c:pt idx="0">
                  <c:v>A0/A1 = 0.02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8494044284316402E-2"/>
                  <c:y val="-2.593739986983646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18C4F32-4AFE-4358-87BD-ACEB296C26B0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idelchik_IV_4.14!$BX$4:$BX$19</c:f>
              <c:numCache>
                <c:formatCode>General</c:formatCode>
                <c:ptCount val="16"/>
                <c:pt idx="0">
                  <c:v>6900.2579502843082</c:v>
                </c:pt>
                <c:pt idx="1">
                  <c:v>6593.6546846224173</c:v>
                </c:pt>
                <c:pt idx="2">
                  <c:v>6311.3051815552253</c:v>
                </c:pt>
                <c:pt idx="3">
                  <c:v>5689.403002162253</c:v>
                </c:pt>
                <c:pt idx="4">
                  <c:v>4679.4406212541044</c:v>
                </c:pt>
                <c:pt idx="5">
                  <c:v>4251.5685426187201</c:v>
                </c:pt>
                <c:pt idx="6">
                  <c:v>3929.4071624313224</c:v>
                </c:pt>
                <c:pt idx="7">
                  <c:v>3761.464005881307</c:v>
                </c:pt>
                <c:pt idx="8">
                  <c:v>3756.4347210378646</c:v>
                </c:pt>
                <c:pt idx="9">
                  <c:v>3799.9129613838195</c:v>
                </c:pt>
                <c:pt idx="10">
                  <c:v>3843.3912017297744</c:v>
                </c:pt>
                <c:pt idx="11">
                  <c:v>3886.8694420757292</c:v>
                </c:pt>
                <c:pt idx="12">
                  <c:v>3930.3476824216841</c:v>
                </c:pt>
                <c:pt idx="13">
                  <c:v>3973.8259227676385</c:v>
                </c:pt>
                <c:pt idx="14">
                  <c:v>4017.3041631135943</c:v>
                </c:pt>
                <c:pt idx="15">
                  <c:v>4060.7824034595487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AE3-4825-BAEB-03C1BCAFA2A0}"/>
            </c:ext>
          </c:extLst>
        </c:ser>
        <c:ser>
          <c:idx val="1"/>
          <c:order val="1"/>
          <c:tx>
            <c:strRef>
              <c:f>idelchik_IV_4.14!$BY$2</c:f>
              <c:strCache>
                <c:ptCount val="1"/>
                <c:pt idx="0">
                  <c:v>A0/A1 = 0.04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2078370236930456E-2"/>
                  <c:y val="-4.0347066464190076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F188C8B-64E1-436B-9298-B1EB8535CBBE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idelchik_IV_4.14!$BY$4:$BY$19</c:f>
              <c:numCache>
                <c:formatCode>General</c:formatCode>
                <c:ptCount val="16"/>
                <c:pt idx="0">
                  <c:v>1669.6346766617498</c:v>
                </c:pt>
                <c:pt idx="1">
                  <c:v>1595.3845087042123</c:v>
                </c:pt>
                <c:pt idx="2">
                  <c:v>1527.0131161293543</c:v>
                </c:pt>
                <c:pt idx="3">
                  <c:v>1376.3388681969818</c:v>
                </c:pt>
                <c:pt idx="4">
                  <c:v>1131.6042141417354</c:v>
                </c:pt>
                <c:pt idx="5">
                  <c:v>1027.9601692707997</c:v>
                </c:pt>
                <c:pt idx="6">
                  <c:v>950.00513794788048</c:v>
                </c:pt>
                <c:pt idx="7">
                  <c:v>909.49667093833671</c:v>
                </c:pt>
                <c:pt idx="8">
                  <c:v>908.60868025946615</c:v>
                </c:pt>
                <c:pt idx="9">
                  <c:v>919.47824034595487</c:v>
                </c:pt>
                <c:pt idx="10">
                  <c:v>930.34780043244359</c:v>
                </c:pt>
                <c:pt idx="11">
                  <c:v>941.21736051893242</c:v>
                </c:pt>
                <c:pt idx="12">
                  <c:v>952.08692060542114</c:v>
                </c:pt>
                <c:pt idx="13">
                  <c:v>962.95648069190975</c:v>
                </c:pt>
                <c:pt idx="14">
                  <c:v>973.82604077839858</c:v>
                </c:pt>
                <c:pt idx="15">
                  <c:v>984.69560086488718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E3-4825-BAEB-03C1BCAFA2A0}"/>
            </c:ext>
          </c:extLst>
        </c:ser>
        <c:ser>
          <c:idx val="0"/>
          <c:order val="2"/>
          <c:tx>
            <c:strRef>
              <c:f>idelchik_IV_4.14!$BZ$2</c:f>
              <c:strCache>
                <c:ptCount val="1"/>
                <c:pt idx="0">
                  <c:v>A0/A1 = 0.06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5.7741066426474606E-2"/>
                  <c:y val="-2.5937399869836512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CA6496F-0DA3-4C79-B586-2942B4B02247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idelchik_IV_4.14!$BZ$4:$BZ$19</c:f>
              <c:numCache>
                <c:formatCode>General</c:formatCode>
                <c:ptCount val="16"/>
                <c:pt idx="0">
                  <c:v>717.7614299478513</c:v>
                </c:pt>
                <c:pt idx="1">
                  <c:v>685.81725314574601</c:v>
                </c:pt>
                <c:pt idx="2">
                  <c:v>656.40464249140268</c:v>
                </c:pt>
                <c:pt idx="3">
                  <c:v>591.55010576839334</c:v>
                </c:pt>
                <c:pt idx="4">
                  <c:v>486.19051068119427</c:v>
                </c:pt>
                <c:pt idx="5">
                  <c:v>441.58850314027967</c:v>
                </c:pt>
                <c:pt idx="6">
                  <c:v>408.0789433092117</c:v>
                </c:pt>
                <c:pt idx="7">
                  <c:v>390.7249634835137</c:v>
                </c:pt>
                <c:pt idx="8">
                  <c:v>390.49274678198503</c:v>
                </c:pt>
                <c:pt idx="9">
                  <c:v>395.32366237598001</c:v>
                </c:pt>
                <c:pt idx="10">
                  <c:v>400.15457796997504</c:v>
                </c:pt>
                <c:pt idx="11">
                  <c:v>404.98549356397001</c:v>
                </c:pt>
                <c:pt idx="12">
                  <c:v>409.81640915796498</c:v>
                </c:pt>
                <c:pt idx="13">
                  <c:v>414.64732475195996</c:v>
                </c:pt>
                <c:pt idx="14">
                  <c:v>419.47824034595499</c:v>
                </c:pt>
                <c:pt idx="15">
                  <c:v>424.3091559399499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AE3-4825-BAEB-03C1BCAFA2A0}"/>
            </c:ext>
          </c:extLst>
        </c:ser>
        <c:ser>
          <c:idx val="2"/>
          <c:order val="3"/>
          <c:tx>
            <c:strRef>
              <c:f>idelchik_IV_4.14!$CA$2</c:f>
              <c:strCache>
                <c:ptCount val="1"/>
                <c:pt idx="0">
                  <c:v>A0/A1 = 0.08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6.2552821962014157E-2"/>
                  <c:y val="-8.6457999566121532E-3"/>
                </c:manualLayout>
              </c:layout>
              <c:tx>
                <c:rich>
                  <a:bodyPr/>
                  <a:lstStyle/>
                  <a:p>
                    <a:fld id="{3EA9E770-8222-4FC5-A828-6FFFF81D0A6C}" type="SERIESNAME">
                      <a:rPr lang="en-US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65F5-42E7-AF92-8B86D039CB4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idelchik_IV_4.14!$CA$4:$CA$19</c:f>
              <c:numCache>
                <c:formatCode>General</c:formatCode>
                <c:ptCount val="16"/>
                <c:pt idx="0">
                  <c:v>390.263210998575</c:v>
                </c:pt>
                <c:pt idx="1">
                  <c:v>372.88226868451812</c:v>
                </c:pt>
                <c:pt idx="2">
                  <c:v>356.88012793341363</c:v>
                </c:pt>
                <c:pt idx="3">
                  <c:v>321.57476530097551</c:v>
                </c:pt>
                <c:pt idx="4">
                  <c:v>264.20857766129888</c:v>
                </c:pt>
                <c:pt idx="5">
                  <c:v>239.93362753247996</c:v>
                </c:pt>
                <c:pt idx="6">
                  <c:v>221.71736165979513</c:v>
                </c:pt>
                <c:pt idx="7">
                  <c:v>212.31738316914917</c:v>
                </c:pt>
                <c:pt idx="8">
                  <c:v>212.27717006486654</c:v>
                </c:pt>
                <c:pt idx="9">
                  <c:v>214.99456008648875</c:v>
                </c:pt>
                <c:pt idx="10">
                  <c:v>217.71195010811093</c:v>
                </c:pt>
                <c:pt idx="11">
                  <c:v>220.42934012973311</c:v>
                </c:pt>
                <c:pt idx="12">
                  <c:v>223.14673015135529</c:v>
                </c:pt>
                <c:pt idx="13">
                  <c:v>225.86412017297747</c:v>
                </c:pt>
                <c:pt idx="14">
                  <c:v>228.58151019459962</c:v>
                </c:pt>
                <c:pt idx="15">
                  <c:v>231.2989002162218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AE3-4825-BAEB-03C1BCAFA2A0}"/>
            </c:ext>
          </c:extLst>
        </c:ser>
        <c:ser>
          <c:idx val="3"/>
          <c:order val="4"/>
          <c:tx>
            <c:strRef>
              <c:f>idelchik_IV_4.14!$CB$2</c:f>
              <c:strCache>
                <c:ptCount val="1"/>
                <c:pt idx="0">
                  <c:v>A0/A1 = 0.1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5.9344984938321126E-2"/>
                  <c:y val="2.8819333188707177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36B4BE3-C8DB-4724-8F24-C760CE0E0784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idelchik_IV_4.14!$CB$4:$CB$19</c:f>
              <c:numCache>
                <c:formatCode>General</c:formatCode>
                <c:ptCount val="16"/>
                <c:pt idx="0">
                  <c:v>241.26502071313746</c:v>
                </c:pt>
                <c:pt idx="1">
                  <c:v>230.51325204871404</c:v>
                </c:pt>
                <c:pt idx="2">
                  <c:v>220.61529835253614</c:v>
                </c:pt>
                <c:pt idx="3">
                  <c:v>198.76393510092177</c:v>
                </c:pt>
                <c:pt idx="4">
                  <c:v>163.25153235738</c:v>
                </c:pt>
                <c:pt idx="5">
                  <c:v>148.2306888517293</c:v>
                </c:pt>
                <c:pt idx="6">
                  <c:v>136.97293114182813</c:v>
                </c:pt>
                <c:pt idx="7">
                  <c:v>131.18588916416735</c:v>
                </c:pt>
                <c:pt idx="8">
                  <c:v>131.21738884151461</c:v>
                </c:pt>
                <c:pt idx="9">
                  <c:v>132.95651845535278</c:v>
                </c:pt>
                <c:pt idx="10">
                  <c:v>134.69564806919098</c:v>
                </c:pt>
                <c:pt idx="11">
                  <c:v>136.43477768302918</c:v>
                </c:pt>
                <c:pt idx="12">
                  <c:v>138.17390729686738</c:v>
                </c:pt>
                <c:pt idx="13">
                  <c:v>139.91303691070556</c:v>
                </c:pt>
                <c:pt idx="14">
                  <c:v>141.65216652454379</c:v>
                </c:pt>
                <c:pt idx="15">
                  <c:v>143.39129613838196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AE3-4825-BAEB-03C1BCAFA2A0}"/>
            </c:ext>
          </c:extLst>
        </c:ser>
        <c:ser>
          <c:idx val="4"/>
          <c:order val="5"/>
          <c:tx>
            <c:strRef>
              <c:f>idelchik_IV_4.14!$CC$2</c:f>
              <c:strCache>
                <c:ptCount val="1"/>
                <c:pt idx="0">
                  <c:v>A0/A1 = 0.15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5.2929310890935055E-2"/>
                  <c:y val="3.1701266507577847E-2"/>
                </c:manualLayout>
              </c:layout>
              <c:tx>
                <c:rich>
                  <a:bodyPr/>
                  <a:lstStyle/>
                  <a:p>
                    <a:fld id="{5BD4555D-0A1A-4362-88B6-E69B77D22189}" type="SERIESNAME">
                      <a:rPr lang="en-US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65F5-42E7-AF92-8B86D039CB4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idelchik_IV_4.14!$CC$4:$CC$19</c:f>
              <c:numCache>
                <c:formatCode>General</c:formatCode>
                <c:ptCount val="16"/>
                <c:pt idx="0">
                  <c:v>98.01967673219373</c:v>
                </c:pt>
                <c:pt idx="1">
                  <c:v>93.646445308842189</c:v>
                </c:pt>
                <c:pt idx="2">
                  <c:v>89.621507787210561</c:v>
                </c:pt>
                <c:pt idx="3">
                  <c:v>80.720455641499626</c:v>
                </c:pt>
                <c:pt idx="4">
                  <c:v>66.246701068269417</c:v>
                </c:pt>
                <c:pt idx="5">
                  <c:v>60.132000136318084</c:v>
                </c:pt>
                <c:pt idx="6">
                  <c:v>55.565064110254411</c:v>
                </c:pt>
                <c:pt idx="7">
                  <c:v>53.242480793518311</c:v>
                </c:pt>
                <c:pt idx="8">
                  <c:v>53.3188394851176</c:v>
                </c:pt>
                <c:pt idx="9">
                  <c:v>54.0917859801568</c:v>
                </c:pt>
                <c:pt idx="10">
                  <c:v>54.864732475196</c:v>
                </c:pt>
                <c:pt idx="11">
                  <c:v>55.6376789702352</c:v>
                </c:pt>
                <c:pt idx="12">
                  <c:v>56.4106254652744</c:v>
                </c:pt>
                <c:pt idx="13">
                  <c:v>57.183571960313593</c:v>
                </c:pt>
                <c:pt idx="14">
                  <c:v>57.956518455352786</c:v>
                </c:pt>
                <c:pt idx="15">
                  <c:v>58.729464950391986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AE3-4825-BAEB-03C1BCAFA2A0}"/>
            </c:ext>
          </c:extLst>
        </c:ser>
        <c:ser>
          <c:idx val="5"/>
          <c:order val="6"/>
          <c:tx>
            <c:strRef>
              <c:f>idelchik_IV_4.14!$CD$2</c:f>
              <c:strCache>
                <c:ptCount val="1"/>
                <c:pt idx="0">
                  <c:v>A0/A1 = 0.2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4756050308987967"/>
                  <c:y val="3.4583199826448613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3B5C35C-8777-4E1B-A47E-CAC89C6CAF2D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idelchik_IV_4.14!$CD$4:$CD$19</c:f>
              <c:numCache>
                <c:formatCode>General</c:formatCode>
                <c:ptCount val="16"/>
                <c:pt idx="0">
                  <c:v>50.149534156997731</c:v>
                </c:pt>
                <c:pt idx="1">
                  <c:v>47.910979941089863</c:v>
                </c:pt>
                <c:pt idx="2">
                  <c:v>45.851311163381972</c:v>
                </c:pt>
                <c:pt idx="3">
                  <c:v>41.287246250874318</c:v>
                </c:pt>
                <c:pt idx="4">
                  <c:v>33.861014327166941</c:v>
                </c:pt>
                <c:pt idx="5">
                  <c:v>30.728032920259146</c:v>
                </c:pt>
                <c:pt idx="6">
                  <c:v>28.397549746843204</c:v>
                </c:pt>
                <c:pt idx="7">
                  <c:v>27.227335683319065</c:v>
                </c:pt>
                <c:pt idx="8">
                  <c:v>27.304347210378648</c:v>
                </c:pt>
                <c:pt idx="9">
                  <c:v>27.739129613838198</c:v>
                </c:pt>
                <c:pt idx="10">
                  <c:v>28.173912017297749</c:v>
                </c:pt>
                <c:pt idx="11">
                  <c:v>28.608694420757296</c:v>
                </c:pt>
                <c:pt idx="12">
                  <c:v>29.043476824216846</c:v>
                </c:pt>
                <c:pt idx="13">
                  <c:v>29.478259227676396</c:v>
                </c:pt>
                <c:pt idx="14">
                  <c:v>29.91304163113594</c:v>
                </c:pt>
                <c:pt idx="15">
                  <c:v>30.34782403459549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AE3-4825-BAEB-03C1BCAFA2A0}"/>
            </c:ext>
          </c:extLst>
        </c:ser>
        <c:ser>
          <c:idx val="6"/>
          <c:order val="7"/>
          <c:tx>
            <c:strRef>
              <c:f>idelchik_IV_4.14!$CE$2</c:f>
              <c:strCache>
                <c:ptCount val="1"/>
                <c:pt idx="0">
                  <c:v>A0/A1 = 0.25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5.9344984938321244E-2"/>
                  <c:y val="2.8819333188707073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AF8940B-5443-4B00-A3D3-61A2FCEA8A31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idelchik_IV_4.14!$CE$4:$CE$19</c:f>
              <c:numCache>
                <c:formatCode>General</c:formatCode>
                <c:ptCount val="16"/>
                <c:pt idx="0">
                  <c:v>29.029611541307908</c:v>
                </c:pt>
                <c:pt idx="1">
                  <c:v>27.734264059047003</c:v>
                </c:pt>
                <c:pt idx="2">
                  <c:v>26.542839625240237</c:v>
                </c:pt>
                <c:pt idx="3">
                  <c:v>23.896492513075607</c:v>
                </c:pt>
                <c:pt idx="4">
                  <c:v>19.587376625644861</c:v>
                </c:pt>
                <c:pt idx="5">
                  <c:v>17.772413901113293</c:v>
                </c:pt>
                <c:pt idx="6">
                  <c:v>16.428795518041085</c:v>
                </c:pt>
                <c:pt idx="7">
                  <c:v>15.764367573336488</c:v>
                </c:pt>
                <c:pt idx="8">
                  <c:v>15.834782214642335</c:v>
                </c:pt>
                <c:pt idx="9">
                  <c:v>16.113042952856446</c:v>
                </c:pt>
                <c:pt idx="10">
                  <c:v>16.391303691070558</c:v>
                </c:pt>
                <c:pt idx="11">
                  <c:v>16.669564429284669</c:v>
                </c:pt>
                <c:pt idx="12">
                  <c:v>16.947825167498781</c:v>
                </c:pt>
                <c:pt idx="13">
                  <c:v>17.226085905712893</c:v>
                </c:pt>
                <c:pt idx="14">
                  <c:v>17.504346643927001</c:v>
                </c:pt>
                <c:pt idx="15">
                  <c:v>17.782607382141112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AE3-4825-BAEB-03C1BCAFA2A0}"/>
            </c:ext>
          </c:extLst>
        </c:ser>
        <c:ser>
          <c:idx val="7"/>
          <c:order val="8"/>
          <c:tx>
            <c:strRef>
              <c:f>idelchik_IV_4.14!$CF$2</c:f>
              <c:strCache>
                <c:ptCount val="1"/>
                <c:pt idx="0">
                  <c:v>A0/A1 = 0.3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4916442160172619"/>
                  <c:y val="5.7638666377414355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CB3E459-F527-47DC-8B25-140B7912083A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idelchik_IV_4.14!$CF$4:$CF$19</c:f>
              <c:numCache>
                <c:formatCode>General</c:formatCode>
                <c:ptCount val="16"/>
                <c:pt idx="0">
                  <c:v>18.118263611941128</c:v>
                </c:pt>
                <c:pt idx="1">
                  <c:v>17.310954687641967</c:v>
                </c:pt>
                <c:pt idx="2">
                  <c:v>16.568719320962124</c:v>
                </c:pt>
                <c:pt idx="3">
                  <c:v>14.915454147611841</c:v>
                </c:pt>
                <c:pt idx="4">
                  <c:v>12.221012052352489</c:v>
                </c:pt>
                <c:pt idx="5">
                  <c:v>11.088335339956741</c:v>
                </c:pt>
                <c:pt idx="6">
                  <c:v>10.254600182790222</c:v>
                </c:pt>
                <c:pt idx="7">
                  <c:v>9.8499536960915659</c:v>
                </c:pt>
                <c:pt idx="8">
                  <c:v>9.9130432046127321</c:v>
                </c:pt>
                <c:pt idx="9">
                  <c:v>10.106279828372532</c:v>
                </c:pt>
                <c:pt idx="10">
                  <c:v>10.29951645213233</c:v>
                </c:pt>
                <c:pt idx="11">
                  <c:v>10.49275307589213</c:v>
                </c:pt>
                <c:pt idx="12">
                  <c:v>10.68598969965193</c:v>
                </c:pt>
                <c:pt idx="13">
                  <c:v>10.87922632341173</c:v>
                </c:pt>
                <c:pt idx="14">
                  <c:v>11.072462947171529</c:v>
                </c:pt>
                <c:pt idx="15">
                  <c:v>11.265699570931329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AE3-4825-BAEB-03C1BCAFA2A0}"/>
            </c:ext>
          </c:extLst>
        </c:ser>
        <c:ser>
          <c:idx val="8"/>
          <c:order val="9"/>
          <c:tx>
            <c:strRef>
              <c:f>idelchik_IV_4.14!$CG$2</c:f>
              <c:strCache>
                <c:ptCount val="1"/>
                <c:pt idx="0">
                  <c:v>A0/A1 = 0.4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6.2552821962014282E-2"/>
                  <c:y val="4.611093310193138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C4F0292-78D4-4729-A756-37BEDC131D53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idelchik_IV_4.14!$CG$4:$CG$19</c:f>
              <c:numCache>
                <c:formatCode>General</c:formatCode>
                <c:ptCount val="16"/>
                <c:pt idx="0">
                  <c:v>8.0463956380350101</c:v>
                </c:pt>
                <c:pt idx="1">
                  <c:v>7.6905188819527641</c:v>
                </c:pt>
                <c:pt idx="2">
                  <c:v>7.3636895009670749</c:v>
                </c:pt>
                <c:pt idx="3">
                  <c:v>6.6301968686296036</c:v>
                </c:pt>
                <c:pt idx="4">
                  <c:v>5.4319462347472456</c:v>
                </c:pt>
                <c:pt idx="5">
                  <c:v>4.9308326031822229</c:v>
                </c:pt>
                <c:pt idx="6">
                  <c:v>4.5676475921763977</c:v>
                </c:pt>
                <c:pt idx="7">
                  <c:v>4.4004859519228861</c:v>
                </c:pt>
                <c:pt idx="8">
                  <c:v>4.4510868025946611</c:v>
                </c:pt>
                <c:pt idx="9">
                  <c:v>4.5597824034595487</c:v>
                </c:pt>
                <c:pt idx="10">
                  <c:v>4.6684780043244354</c:v>
                </c:pt>
                <c:pt idx="11">
                  <c:v>4.777173605189323</c:v>
                </c:pt>
                <c:pt idx="12">
                  <c:v>4.8858692060542097</c:v>
                </c:pt>
                <c:pt idx="13">
                  <c:v>4.9945648069190973</c:v>
                </c:pt>
                <c:pt idx="14">
                  <c:v>5.1032604077839849</c:v>
                </c:pt>
                <c:pt idx="15">
                  <c:v>5.2119560086488725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AE3-4825-BAEB-03C1BCAFA2A0}"/>
            </c:ext>
          </c:extLst>
        </c:ser>
        <c:ser>
          <c:idx val="9"/>
          <c:order val="10"/>
          <c:tx>
            <c:strRef>
              <c:f>idelchik_IV_4.14!$CH$2</c:f>
              <c:strCache>
                <c:ptCount val="1"/>
                <c:pt idx="0">
                  <c:v>A0/A1 = 0.5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4435266606618663"/>
                  <c:y val="6.0520599696285073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103D21A-6955-4964-A176-C68DBE4DB88D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idelchik_IV_4.14!$CH$4:$CH$19</c:f>
              <c:numCache>
                <c:formatCode>General</c:formatCode>
                <c:ptCount val="16"/>
                <c:pt idx="0">
                  <c:v>3.9091883092036785</c:v>
                </c:pt>
                <c:pt idx="1">
                  <c:v>3.739253583005882</c:v>
                </c:pt>
                <c:pt idx="2">
                  <c:v>3.5834609924318164</c:v>
                </c:pt>
                <c:pt idx="3">
                  <c:v>3.2296785031255162</c:v>
                </c:pt>
                <c:pt idx="4">
                  <c:v>2.649621843839522</c:v>
                </c:pt>
                <c:pt idx="5">
                  <c:v>2.4089764395230708</c:v>
                </c:pt>
                <c:pt idx="6">
                  <c:v>2.238812614612248</c:v>
                </c:pt>
                <c:pt idx="7">
                  <c:v>2.1674146403545178</c:v>
                </c:pt>
                <c:pt idx="8">
                  <c:v>2.2086955536605837</c:v>
                </c:pt>
                <c:pt idx="9">
                  <c:v>2.2782607382141116</c:v>
                </c:pt>
                <c:pt idx="10">
                  <c:v>2.347825922767639</c:v>
                </c:pt>
                <c:pt idx="11">
                  <c:v>2.4173911073211669</c:v>
                </c:pt>
                <c:pt idx="12">
                  <c:v>2.4869562918746948</c:v>
                </c:pt>
                <c:pt idx="13">
                  <c:v>2.5565214764282227</c:v>
                </c:pt>
                <c:pt idx="14">
                  <c:v>2.6260866609817506</c:v>
                </c:pt>
                <c:pt idx="15">
                  <c:v>2.6956518455352785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AE3-4825-BAEB-03C1BCAFA2A0}"/>
            </c:ext>
          </c:extLst>
        </c:ser>
        <c:ser>
          <c:idx val="10"/>
          <c:order val="11"/>
          <c:tx>
            <c:strRef>
              <c:f>idelchik_IV_4.14!$CI$2</c:f>
              <c:strCache>
                <c:ptCount val="1"/>
                <c:pt idx="0">
                  <c:v>A0/A1 = 0.6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0746254029371663"/>
                  <c:y val="0.12392313271144076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8327390-D2C6-4CA8-AE45-8E691C373870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A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idelchik_IV_4.14!$CI$4:$CI$19</c:f>
              <c:numCache>
                <c:formatCode>General</c:formatCode>
                <c:ptCount val="16"/>
                <c:pt idx="0">
                  <c:v>1.9486832980505142</c:v>
                </c:pt>
                <c:pt idx="1">
                  <c:v>1.8669904412780842</c:v>
                </c:pt>
                <c:pt idx="2">
                  <c:v>1.7923248681949178</c:v>
                </c:pt>
                <c:pt idx="3">
                  <c:v>1.6192773234620677</c:v>
                </c:pt>
                <c:pt idx="4">
                  <c:v>1.333793239701009</c:v>
                </c:pt>
                <c:pt idx="5">
                  <c:v>1.2169639644822636</c:v>
                </c:pt>
                <c:pt idx="6">
                  <c:v>1.1379056552085607</c:v>
                </c:pt>
                <c:pt idx="7">
                  <c:v>1.1106728792584264</c:v>
                </c:pt>
                <c:pt idx="8">
                  <c:v>1.1449274678198498</c:v>
                </c:pt>
                <c:pt idx="9">
                  <c:v>1.1932366237597998</c:v>
                </c:pt>
                <c:pt idx="10">
                  <c:v>1.2415457796997498</c:v>
                </c:pt>
                <c:pt idx="11">
                  <c:v>1.2898549356396998</c:v>
                </c:pt>
                <c:pt idx="12">
                  <c:v>1.3381640915796496</c:v>
                </c:pt>
                <c:pt idx="13">
                  <c:v>1.3864732475195993</c:v>
                </c:pt>
                <c:pt idx="14">
                  <c:v>1.4347824034595491</c:v>
                </c:pt>
                <c:pt idx="15">
                  <c:v>1.4830915593994991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AE3-4825-BAEB-03C1BCAFA2A0}"/>
            </c:ext>
          </c:extLst>
        </c:ser>
        <c:ser>
          <c:idx val="11"/>
          <c:order val="12"/>
          <c:tx>
            <c:strRef>
              <c:f>idelchik_IV_4.14!$CK$2</c:f>
              <c:strCache>
                <c:ptCount val="1"/>
                <c:pt idx="0">
                  <c:v>A0/A1 = 0.8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2350172541218192"/>
                  <c:y val="0.12680506603031158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A9FF78C-AC54-4AAE-9F4E-7E6BA6C9C222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idelchik_IV_4.14!$CK$4:$CK$19</c:f>
              <c:numCache>
                <c:formatCode>General</c:formatCode>
                <c:ptCount val="16"/>
                <c:pt idx="0">
                  <c:v>0.40741823560154455</c:v>
                </c:pt>
                <c:pt idx="1">
                  <c:v>0.39468496332760322</c:v>
                </c:pt>
                <c:pt idx="2">
                  <c:v>0.38334923353959915</c:v>
                </c:pt>
                <c:pt idx="3">
                  <c:v>0.35244790894847194</c:v>
                </c:pt>
                <c:pt idx="4">
                  <c:v>0.29918590458234684</c:v>
                </c:pt>
                <c:pt idx="5">
                  <c:v>0.27946491987871863</c:v>
                </c:pt>
                <c:pt idx="6">
                  <c:v>0.27076888516208414</c:v>
                </c:pt>
                <c:pt idx="7">
                  <c:v>0.27589288540431828</c:v>
                </c:pt>
                <c:pt idx="8">
                  <c:v>0.30027170064866537</c:v>
                </c:pt>
                <c:pt idx="9">
                  <c:v>0.32744560086488717</c:v>
                </c:pt>
                <c:pt idx="10">
                  <c:v>0.35461950108110901</c:v>
                </c:pt>
                <c:pt idx="11">
                  <c:v>0.3817934012973308</c:v>
                </c:pt>
                <c:pt idx="12">
                  <c:v>0.40896730151355259</c:v>
                </c:pt>
                <c:pt idx="13">
                  <c:v>0.43614120172977444</c:v>
                </c:pt>
                <c:pt idx="14">
                  <c:v>0.46331510194599623</c:v>
                </c:pt>
                <c:pt idx="15">
                  <c:v>0.49048900216221802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AE3-4825-BAEB-03C1BCAFA2A0}"/>
            </c:ext>
          </c:extLst>
        </c:ser>
        <c:ser>
          <c:idx val="12"/>
          <c:order val="13"/>
          <c:tx>
            <c:strRef>
              <c:f>idelchik_IV_4.14!$CL$2</c:f>
              <c:strCache>
                <c:ptCount val="1"/>
                <c:pt idx="0">
                  <c:v>A0/A1 = 0.9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528620726062337E-2"/>
                  <c:y val="9.7985732841604403E-2"/>
                </c:manualLayout>
              </c:layout>
              <c:tx>
                <c:rich>
                  <a:bodyPr/>
                  <a:lstStyle/>
                  <a:p>
                    <a:fld id="{BE063611-927C-46B6-BDBA-6B0AFA5F008F}" type="SERIESNAME">
                      <a:rPr lang="en-US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65F5-42E7-AF92-8B86D039CB4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</c:numRef>
          </c:xVal>
          <c:yVal>
            <c:numRef>
              <c:f>idelchik_IV_4.14!$CL$4:$CL$19</c:f>
              <c:numCache>
                <c:formatCode>General</c:formatCode>
                <c:ptCount val="16"/>
                <c:pt idx="0">
                  <c:v>0.12677870174354705</c:v>
                </c:pt>
                <c:pt idx="1">
                  <c:v>0.12599758849596368</c:v>
                </c:pt>
                <c:pt idx="2">
                  <c:v>0.12560687989778388</c:v>
                </c:pt>
                <c:pt idx="3">
                  <c:v>0.11975050620795501</c:v>
                </c:pt>
                <c:pt idx="4">
                  <c:v>0.10764765812767006</c:v>
                </c:pt>
                <c:pt idx="5">
                  <c:v>0.10491452163306922</c:v>
                </c:pt>
                <c:pt idx="6">
                  <c:v>0.10803715093074456</c:v>
                </c:pt>
                <c:pt idx="7">
                  <c:v>0.11779635531950319</c:v>
                </c:pt>
                <c:pt idx="8">
                  <c:v>0.13848628199400725</c:v>
                </c:pt>
                <c:pt idx="9">
                  <c:v>0.15995701796731834</c:v>
                </c:pt>
                <c:pt idx="10">
                  <c:v>0.18142775394062938</c:v>
                </c:pt>
                <c:pt idx="11">
                  <c:v>0.20289848991394044</c:v>
                </c:pt>
                <c:pt idx="12">
                  <c:v>0.2243692258872515</c:v>
                </c:pt>
                <c:pt idx="13">
                  <c:v>0.24583996186056259</c:v>
                </c:pt>
                <c:pt idx="14">
                  <c:v>0.26731069783387368</c:v>
                </c:pt>
                <c:pt idx="15">
                  <c:v>0.28878143380718468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AE3-4825-BAEB-03C1BCAFA2A0}"/>
            </c:ext>
          </c:extLst>
        </c:ser>
        <c:ser>
          <c:idx val="13"/>
          <c:order val="14"/>
          <c:tx>
            <c:strRef>
              <c:f>idelchik_IV_4.14!$CM$2</c:f>
              <c:strCache>
                <c:ptCount val="1"/>
                <c:pt idx="0">
                  <c:v>A0/A1 = 0.114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14-AAE3-4825-BAEB-03C1BCAFA2A0}"/>
              </c:ext>
            </c:extLst>
          </c:dPt>
          <c:dLbls>
            <c:dLbl>
              <c:idx val="1"/>
              <c:layout>
                <c:manualLayout>
                  <c:x val="-9.6235110710791161E-3"/>
                  <c:y val="-9.5103799522733692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5DDCE58-B128-4693-ADC6-277662204601}" type="SERIESNAME">
                      <a:rPr lang="en-US">
                        <a:solidFill>
                          <a:srgbClr val="FF0000"/>
                        </a:solidFill>
                      </a:rPr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0-65F5-42E7-AF92-8B86D039CB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idelchik_IV_4.14!$BV$4:$BV$19</c:f>
              <c:numCache>
                <c:formatCode>General</c:formatCode>
                <c:ptCount val="1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1.4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</c:numCache>
              <c:extLst xmlns:c15="http://schemas.microsoft.com/office/drawing/2012/chart"/>
            </c:numRef>
          </c:xVal>
          <c:yVal>
            <c:numRef>
              <c:f>idelchik_IV_4.14!$CM$4:$CM$19</c:f>
              <c:numCache>
                <c:formatCode>General</c:formatCode>
                <c:ptCount val="16"/>
                <c:pt idx="0">
                  <c:v>181.12156823059206</c:v>
                </c:pt>
                <c:pt idx="1">
                  <c:v>173.04693916313786</c:v>
                </c:pt>
                <c:pt idx="2">
                  <c:v>165.61402315880545</c:v>
                </c:pt>
                <c:pt idx="3">
                  <c:v>149.19712427076706</c:v>
                </c:pt>
                <c:pt idx="4">
                  <c:v>122.51281637277896</c:v>
                </c:pt>
                <c:pt idx="5">
                  <c:v>111.22962198971543</c:v>
                </c:pt>
                <c:pt idx="6">
                  <c:v>102.78092061226926</c:v>
                </c:pt>
                <c:pt idx="7">
                  <c:v>98.450138366684143</c:v>
                </c:pt>
                <c:pt idx="8">
                  <c:v>98.504916006090014</c:v>
                </c:pt>
                <c:pt idx="9">
                  <c:v>99.843119771739595</c:v>
                </c:pt>
                <c:pt idx="10">
                  <c:v>101.18132353738918</c:v>
                </c:pt>
                <c:pt idx="11">
                  <c:v>102.51952730303876</c:v>
                </c:pt>
                <c:pt idx="12">
                  <c:v>103.85773106868834</c:v>
                </c:pt>
                <c:pt idx="13">
                  <c:v>105.19593483433792</c:v>
                </c:pt>
                <c:pt idx="14">
                  <c:v>106.53413859998749</c:v>
                </c:pt>
                <c:pt idx="15">
                  <c:v>107.87234236563707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AAE3-4825-BAEB-03C1BCAFA2A0}"/>
            </c:ext>
          </c:extLst>
        </c:ser>
        <c:ser>
          <c:idx val="14"/>
          <c:order val="15"/>
          <c:tx>
            <c:v>operating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1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9318762625648016E-2"/>
                  <c:y val="-5.2090181183139878E-2"/>
                </c:manualLayout>
              </c:layout>
              <c:tx>
                <c:rich>
                  <a:bodyPr/>
                  <a:lstStyle/>
                  <a:p>
                    <a:fld id="{32135E6F-90BC-49C4-BB33-176387BC93BB}" type="XVALUE">
                      <a:rPr lang="en-US">
                        <a:solidFill>
                          <a:srgbClr val="FF0000"/>
                        </a:solidFill>
                      </a:rPr>
                      <a:pPr/>
                      <a:t>[VALORE X]</a:t>
                    </a:fld>
                    <a:r>
                      <a:rPr lang="en-US" baseline="0">
                        <a:solidFill>
                          <a:srgbClr val="FF0000"/>
                        </a:solidFill>
                      </a:rPr>
                      <a:t>; </a:t>
                    </a:r>
                    <a:fld id="{88EEE54B-03AD-447C-9240-FC9FD3C22D6D}" type="YVALUE">
                      <a:rPr lang="en-US" baseline="0">
                        <a:solidFill>
                          <a:srgbClr val="FF0000"/>
                        </a:solidFill>
                      </a:rPr>
                      <a:pPr/>
                      <a:t>[VALORE Y]</a:t>
                    </a:fld>
                    <a:endParaRPr lang="en-US" baseline="0">
                      <a:solidFill>
                        <a:srgbClr val="FF0000"/>
                      </a:solidFill>
                    </a:endParaRP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65F5-42E7-AF92-8B86D039CB4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idelchik_IV_4.14!$C$37</c:f>
              <c:numCache>
                <c:formatCode>0.000</c:formatCode>
                <c:ptCount val="1"/>
                <c:pt idx="0">
                  <c:v>1</c:v>
                </c:pt>
              </c:numCache>
            </c:numRef>
          </c:xVal>
          <c:yVal>
            <c:numRef>
              <c:f>idelchik_IV_4.14!$C$42</c:f>
              <c:numCache>
                <c:formatCode>0.0000</c:formatCode>
                <c:ptCount val="1"/>
                <c:pt idx="0">
                  <c:v>109.29605720238791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AE3-4825-BAEB-03C1BCAFA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9967"/>
        <c:axId val="41830447"/>
        <c:extLst/>
      </c:scatterChart>
      <c:valAx>
        <c:axId val="41829967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  <a:r>
                  <a:rPr lang="it-IT" baseline="0"/>
                  <a:t> / D</a:t>
                </a:r>
                <a:r>
                  <a:rPr lang="it-IT"/>
                  <a:t>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830447"/>
        <c:crosses val="autoZero"/>
        <c:crossBetween val="midCat"/>
      </c:valAx>
      <c:valAx>
        <c:axId val="418304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τ [-]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829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Idelchik's</a:t>
            </a:r>
            <a:r>
              <a:rPr lang="it-IT" baseline="0"/>
              <a:t> Chapter IV - Diagram 4.10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17"/>
          <c:order val="0"/>
          <c:tx>
            <c:strRef>
              <c:f>idelchik_IV_4.14!$CP$2</c:f>
              <c:strCache>
                <c:ptCount val="1"/>
                <c:pt idx="0">
                  <c:v>A0/A1 = 0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1108288509747609"/>
                  <c:y val="1.4524590703895975E-2"/>
                </c:manualLayout>
              </c:layout>
              <c:tx>
                <c:rich>
                  <a:bodyPr/>
                  <a:lstStyle/>
                  <a:p>
                    <a:fld id="{5BD5345B-B967-48E8-958F-C3234CC4B003}" type="SERIESNAME">
                      <a:rPr lang="en-US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374C-45A0-A1BC-3FD0A4D9709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idelchik_IV_4.14!$CP$4:$CP$17</c:f>
              <c:numCache>
                <c:formatCode>General</c:formatCode>
                <c:ptCount val="14"/>
                <c:pt idx="0">
                  <c:v>1.94</c:v>
                </c:pt>
                <c:pt idx="1">
                  <c:v>1.38</c:v>
                </c:pt>
                <c:pt idx="2">
                  <c:v>1.1399999999999999</c:v>
                </c:pt>
                <c:pt idx="3">
                  <c:v>0.89</c:v>
                </c:pt>
                <c:pt idx="4">
                  <c:v>0.69</c:v>
                </c:pt>
                <c:pt idx="5">
                  <c:v>0.64</c:v>
                </c:pt>
                <c:pt idx="6">
                  <c:v>0.39</c:v>
                </c:pt>
                <c:pt idx="7">
                  <c:v>0.3</c:v>
                </c:pt>
                <c:pt idx="8">
                  <c:v>0.22</c:v>
                </c:pt>
                <c:pt idx="9">
                  <c:v>0.15</c:v>
                </c:pt>
                <c:pt idx="10">
                  <c:v>0.11</c:v>
                </c:pt>
                <c:pt idx="11">
                  <c:v>0.04</c:v>
                </c:pt>
                <c:pt idx="12">
                  <c:v>0.01</c:v>
                </c:pt>
                <c:pt idx="1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74C-45A0-A1BC-3FD0A4D9709F}"/>
            </c:ext>
          </c:extLst>
        </c:ser>
        <c:ser>
          <c:idx val="1"/>
          <c:order val="1"/>
          <c:tx>
            <c:strRef>
              <c:f>idelchik_IV_4.14!$CQ$2</c:f>
              <c:strCache>
                <c:ptCount val="1"/>
                <c:pt idx="0">
                  <c:v>A0/A1 = 0.2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1591257575388809"/>
                  <c:y val="5.8061765421684322E-3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E0E50AD-F132-4973-95FE-66BCDB22AD75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4-374C-45A0-A1BC-3FD0A4D97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idelchik_IV_4.14!$CQ$4:$CQ$17</c:f>
              <c:numCache>
                <c:formatCode>General</c:formatCode>
                <c:ptCount val="14"/>
                <c:pt idx="0">
                  <c:v>1.78</c:v>
                </c:pt>
                <c:pt idx="1">
                  <c:v>1.36</c:v>
                </c:pt>
                <c:pt idx="2">
                  <c:v>1.05</c:v>
                </c:pt>
                <c:pt idx="3">
                  <c:v>0.85</c:v>
                </c:pt>
                <c:pt idx="4">
                  <c:v>0.67</c:v>
                </c:pt>
                <c:pt idx="5">
                  <c:v>0.56999999999999995</c:v>
                </c:pt>
                <c:pt idx="6">
                  <c:v>0.36</c:v>
                </c:pt>
                <c:pt idx="7">
                  <c:v>0.26</c:v>
                </c:pt>
                <c:pt idx="8">
                  <c:v>0.2</c:v>
                </c:pt>
                <c:pt idx="9">
                  <c:v>0.13</c:v>
                </c:pt>
                <c:pt idx="10">
                  <c:v>0.09</c:v>
                </c:pt>
                <c:pt idx="11">
                  <c:v>0.03</c:v>
                </c:pt>
                <c:pt idx="12">
                  <c:v>0.01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4C-45A0-A1BC-3FD0A4D9709F}"/>
            </c:ext>
          </c:extLst>
        </c:ser>
        <c:ser>
          <c:idx val="0"/>
          <c:order val="2"/>
          <c:tx>
            <c:strRef>
              <c:f>idelchik_IV_4.14!$CR$2</c:f>
              <c:strCache>
                <c:ptCount val="1"/>
                <c:pt idx="0">
                  <c:v>A0/A1 = 0.3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1430267886841743"/>
                  <c:y val="-1.7418758360217196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131057D-9DCE-480F-A0E7-43E2069EA8FC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6-374C-45A0-A1BC-3FD0A4D97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idelchik_IV_4.14!$CR$4:$CR$17</c:f>
              <c:numCache>
                <c:formatCode>General</c:formatCode>
                <c:ptCount val="14"/>
                <c:pt idx="0">
                  <c:v>1.57</c:v>
                </c:pt>
                <c:pt idx="1">
                  <c:v>1.1599999999999999</c:v>
                </c:pt>
                <c:pt idx="2">
                  <c:v>0.88</c:v>
                </c:pt>
                <c:pt idx="3">
                  <c:v>0.75</c:v>
                </c:pt>
                <c:pt idx="4">
                  <c:v>0.56999999999999995</c:v>
                </c:pt>
                <c:pt idx="5">
                  <c:v>0.43</c:v>
                </c:pt>
                <c:pt idx="6">
                  <c:v>0.3</c:v>
                </c:pt>
                <c:pt idx="7">
                  <c:v>0.22</c:v>
                </c:pt>
                <c:pt idx="8">
                  <c:v>0.17</c:v>
                </c:pt>
                <c:pt idx="9">
                  <c:v>0.1</c:v>
                </c:pt>
                <c:pt idx="10">
                  <c:v>7.0000000000000007E-2</c:v>
                </c:pt>
                <c:pt idx="11">
                  <c:v>0.02</c:v>
                </c:pt>
                <c:pt idx="12">
                  <c:v>0.01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4C-45A0-A1BC-3FD0A4D9709F}"/>
            </c:ext>
          </c:extLst>
        </c:ser>
        <c:ser>
          <c:idx val="2"/>
          <c:order val="3"/>
          <c:tx>
            <c:strRef>
              <c:f>idelchik_IV_4.14!$CS$2</c:f>
              <c:strCache>
                <c:ptCount val="1"/>
                <c:pt idx="0">
                  <c:v>A0/A1 = 0.4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1108288509747609"/>
                  <c:y val="-1.7429508844675225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BCA8B66-DFD9-40F7-83DA-066A9EBB36E7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8-374C-45A0-A1BC-3FD0A4D97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idelchik_IV_4.14!$CS$4:$CS$17</c:f>
              <c:numCache>
                <c:formatCode>General</c:formatCode>
                <c:ptCount val="14"/>
                <c:pt idx="0">
                  <c:v>1.35</c:v>
                </c:pt>
                <c:pt idx="1">
                  <c:v>0.99</c:v>
                </c:pt>
                <c:pt idx="2">
                  <c:v>0.79</c:v>
                </c:pt>
                <c:pt idx="3">
                  <c:v>0.56999999999999995</c:v>
                </c:pt>
                <c:pt idx="4">
                  <c:v>0.4</c:v>
                </c:pt>
                <c:pt idx="5">
                  <c:v>0.28000000000000003</c:v>
                </c:pt>
                <c:pt idx="6">
                  <c:v>0.19</c:v>
                </c:pt>
                <c:pt idx="7">
                  <c:v>0.14000000000000001</c:v>
                </c:pt>
                <c:pt idx="8">
                  <c:v>0.1</c:v>
                </c:pt>
                <c:pt idx="9">
                  <c:v>0.06</c:v>
                </c:pt>
                <c:pt idx="10">
                  <c:v>0.04</c:v>
                </c:pt>
                <c:pt idx="11">
                  <c:v>0.02</c:v>
                </c:pt>
                <c:pt idx="12">
                  <c:v>0.01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4C-45A0-A1BC-3FD0A4D9709F}"/>
            </c:ext>
          </c:extLst>
        </c:ser>
        <c:ser>
          <c:idx val="3"/>
          <c:order val="4"/>
          <c:tx>
            <c:strRef>
              <c:f>idelchik_IV_4.14!$CT$2</c:f>
              <c:strCache>
                <c:ptCount val="1"/>
                <c:pt idx="0">
                  <c:v>A0/A1 = 0.5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0947298821200542"/>
                  <c:y val="-1.742950884467517E-2"/>
                </c:manualLayout>
              </c:layout>
              <c:tx>
                <c:rich>
                  <a:bodyPr/>
                  <a:lstStyle/>
                  <a:p>
                    <a:fld id="{18F15652-86E7-4441-9137-23DD8F2029C7}" type="SERIESNAME">
                      <a:rPr lang="en-US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9-374C-45A0-A1BC-3FD0A4D9709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idelchik_IV_4.14!$CT$4:$CT$17</c:f>
              <c:numCache>
                <c:formatCode>General</c:formatCode>
                <c:ptCount val="14"/>
                <c:pt idx="0">
                  <c:v>1.1000000000000001</c:v>
                </c:pt>
                <c:pt idx="1">
                  <c:v>0.75</c:v>
                </c:pt>
                <c:pt idx="2">
                  <c:v>0.55000000000000004</c:v>
                </c:pt>
                <c:pt idx="3">
                  <c:v>0.34</c:v>
                </c:pt>
                <c:pt idx="4">
                  <c:v>0.19</c:v>
                </c:pt>
                <c:pt idx="5">
                  <c:v>0.12</c:v>
                </c:pt>
                <c:pt idx="6">
                  <c:v>7.0000000000000007E-2</c:v>
                </c:pt>
                <c:pt idx="7">
                  <c:v>0.05</c:v>
                </c:pt>
                <c:pt idx="8">
                  <c:v>0.03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4C-45A0-A1BC-3FD0A4D9709F}"/>
            </c:ext>
          </c:extLst>
        </c:ser>
        <c:ser>
          <c:idx val="4"/>
          <c:order val="5"/>
          <c:tx>
            <c:strRef>
              <c:f>idelchik_IV_4.14!$CU$2</c:f>
              <c:strCache>
                <c:ptCount val="1"/>
                <c:pt idx="0">
                  <c:v>A0/A1 = 0.6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0625319444106411"/>
                  <c:y val="-2.6144263267012757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8738255-996F-4710-8C58-F40EDD949DA9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A-374C-45A0-A1BC-3FD0A4D97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idelchik_IV_4.14!$CU$4:$CU$17</c:f>
              <c:numCache>
                <c:formatCode>General</c:formatCode>
                <c:ptCount val="14"/>
                <c:pt idx="0">
                  <c:v>0.85</c:v>
                </c:pt>
                <c:pt idx="1">
                  <c:v>0.56000000000000005</c:v>
                </c:pt>
                <c:pt idx="2">
                  <c:v>0.3</c:v>
                </c:pt>
                <c:pt idx="3">
                  <c:v>0.19</c:v>
                </c:pt>
                <c:pt idx="4">
                  <c:v>0.1</c:v>
                </c:pt>
                <c:pt idx="5">
                  <c:v>0.06</c:v>
                </c:pt>
                <c:pt idx="6">
                  <c:v>0.03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4C-45A0-A1BC-3FD0A4D9709F}"/>
            </c:ext>
          </c:extLst>
        </c:ser>
        <c:ser>
          <c:idx val="5"/>
          <c:order val="6"/>
          <c:tx>
            <c:strRef>
              <c:f>idelchik_IV_4.14!$CV$2</c:f>
              <c:strCache>
                <c:ptCount val="1"/>
                <c:pt idx="0">
                  <c:v>A0/A1 = 0.7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0625319444106411"/>
                  <c:y val="-2.6144263267012864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1568A1C-CE8A-47F0-891D-2246A67C661F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B-374C-45A0-A1BC-3FD0A4D97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idelchik_IV_4.14!$CV$4:$CV$17</c:f>
              <c:numCache>
                <c:formatCode>General</c:formatCode>
                <c:ptCount val="14"/>
                <c:pt idx="0">
                  <c:v>0.57999999999999996</c:v>
                </c:pt>
                <c:pt idx="1">
                  <c:v>0.37</c:v>
                </c:pt>
                <c:pt idx="2">
                  <c:v>0.23</c:v>
                </c:pt>
                <c:pt idx="3">
                  <c:v>0.11</c:v>
                </c:pt>
                <c:pt idx="4">
                  <c:v>0.06</c:v>
                </c:pt>
                <c:pt idx="5">
                  <c:v>0.03</c:v>
                </c:pt>
                <c:pt idx="6">
                  <c:v>0.02</c:v>
                </c:pt>
                <c:pt idx="7">
                  <c:v>0.01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4C-45A0-A1BC-3FD0A4D9709F}"/>
            </c:ext>
          </c:extLst>
        </c:ser>
        <c:ser>
          <c:idx val="6"/>
          <c:order val="7"/>
          <c:tx>
            <c:strRef>
              <c:f>idelchik_IV_4.14!$CW$2</c:f>
              <c:strCache>
                <c:ptCount val="1"/>
                <c:pt idx="0">
                  <c:v>A0/A1 = 0.8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0464329755559341"/>
                  <c:y val="-2.323934512623356E-2"/>
                </c:manualLayout>
              </c:layout>
              <c:tx>
                <c:rich>
                  <a:bodyPr/>
                  <a:lstStyle/>
                  <a:p>
                    <a:fld id="{1AEB9C54-B86F-434E-81C5-28693655D389}" type="SERIESNAME">
                      <a:rPr lang="en-US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C-374C-45A0-A1BC-3FD0A4D9709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idelchik_IV_4.14!$CW$4:$CW$17</c:f>
              <c:numCache>
                <c:formatCode>General</c:formatCode>
                <c:ptCount val="14"/>
                <c:pt idx="0">
                  <c:v>0.4</c:v>
                </c:pt>
                <c:pt idx="1">
                  <c:v>0.24</c:v>
                </c:pt>
                <c:pt idx="2">
                  <c:v>0.13</c:v>
                </c:pt>
                <c:pt idx="3">
                  <c:v>0.06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74C-45A0-A1BC-3FD0A4D9709F}"/>
            </c:ext>
          </c:extLst>
        </c:ser>
        <c:ser>
          <c:idx val="7"/>
          <c:order val="8"/>
          <c:tx>
            <c:strRef>
              <c:f>idelchik_IV_4.14!$CX$2</c:f>
              <c:strCache>
                <c:ptCount val="1"/>
                <c:pt idx="0">
                  <c:v>A0/A1 = 0.9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0142350378465211"/>
                  <c:y val="-2.6144263267012757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00EBD6E-7505-4B32-92A3-6DBE7D34876E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D-374C-45A0-A1BC-3FD0A4D97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idelchik_IV_4.14!$CX$4:$CX$17</c:f>
              <c:numCache>
                <c:formatCode>General</c:formatCode>
                <c:ptCount val="14"/>
                <c:pt idx="0">
                  <c:v>0.2</c:v>
                </c:pt>
                <c:pt idx="1">
                  <c:v>0.13</c:v>
                </c:pt>
                <c:pt idx="2">
                  <c:v>0.08</c:v>
                </c:pt>
                <c:pt idx="3">
                  <c:v>0.03</c:v>
                </c:pt>
                <c:pt idx="4">
                  <c:v>0.01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74C-45A0-A1BC-3FD0A4D9709F}"/>
            </c:ext>
          </c:extLst>
        </c:ser>
        <c:ser>
          <c:idx val="8"/>
          <c:order val="9"/>
          <c:tx>
            <c:strRef>
              <c:f>idelchik_IV_4.14!$CY$2</c:f>
              <c:strCache>
                <c:ptCount val="1"/>
                <c:pt idx="0">
                  <c:v>A0/A1 = 0.95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10303340067012277"/>
                  <c:y val="-1.742950884467517E-2"/>
                </c:manualLayout>
              </c:layout>
              <c:tx>
                <c:rich>
                  <a:bodyPr rot="0" spcFirstLastPara="1" vertOverflow="clip" horzOverflow="clip" vert="horz" wrap="square" lIns="36576" tIns="18288" rIns="36576" bIns="18288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530DC85-4D9B-428F-B794-151C1A20356D}" type="SERIESNAME">
                      <a:rPr lang="en-US"/>
                      <a:pPr>
                        <a:defRPr/>
                      </a:pPr>
                      <a:t>[NOME SERIE]</a:t>
                    </a:fld>
                    <a:endParaRPr lang="it-IT"/>
                  </a:p>
                </c:rich>
              </c:tx>
              <c:spPr>
                <a:solidFill>
                  <a:schemeClr val="lt1"/>
                </a:solidFill>
                <a:ln>
                  <a:solidFill>
                    <a:schemeClr val="dk1">
                      <a:lumMod val="25000"/>
                      <a:lumOff val="75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E-374C-45A0-A1BC-3FD0A4D97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idelchik_IV_4.14!$CY$4:$CY$17</c:f>
              <c:numCache>
                <c:formatCode>General</c:formatCode>
                <c:ptCount val="14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74C-45A0-A1BC-3FD0A4D9709F}"/>
            </c:ext>
          </c:extLst>
        </c:ser>
        <c:ser>
          <c:idx val="13"/>
          <c:order val="10"/>
          <c:tx>
            <c:strRef>
              <c:f>idelchik_IV_4.14!$CZ$2</c:f>
              <c:strCache>
                <c:ptCount val="1"/>
                <c:pt idx="0">
                  <c:v>A0/A1 = 0.114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idelchik_IV_4.14!$CZ$4:$CZ$17</c:f>
              <c:numCache>
                <c:formatCode>General</c:formatCode>
                <c:ptCount val="14"/>
                <c:pt idx="0">
                  <c:v>1.8488</c:v>
                </c:pt>
                <c:pt idx="1">
                  <c:v>1.3686</c:v>
                </c:pt>
                <c:pt idx="2">
                  <c:v>1.0887</c:v>
                </c:pt>
                <c:pt idx="3">
                  <c:v>0.86719999999999997</c:v>
                </c:pt>
                <c:pt idx="4">
                  <c:v>0.67859999999999998</c:v>
                </c:pt>
                <c:pt idx="5">
                  <c:v>0.60009999999999997</c:v>
                </c:pt>
                <c:pt idx="6">
                  <c:v>0.37290000000000001</c:v>
                </c:pt>
                <c:pt idx="7">
                  <c:v>0.2772</c:v>
                </c:pt>
                <c:pt idx="8">
                  <c:v>0.20860000000000001</c:v>
                </c:pt>
                <c:pt idx="9">
                  <c:v>0.1386</c:v>
                </c:pt>
                <c:pt idx="10">
                  <c:v>9.8599999999999993E-2</c:v>
                </c:pt>
                <c:pt idx="11">
                  <c:v>3.4299999999999997E-2</c:v>
                </c:pt>
                <c:pt idx="12">
                  <c:v>0.01</c:v>
                </c:pt>
                <c:pt idx="1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374C-45A0-A1BC-3FD0A4D9709F}"/>
            </c:ext>
          </c:extLst>
        </c:ser>
        <c:ser>
          <c:idx val="14"/>
          <c:order val="11"/>
          <c:tx>
            <c:v>operating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1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0494844273534573E-3"/>
                  <c:y val="-6.3908199097142293E-2"/>
                </c:manualLayout>
              </c:layout>
              <c:tx>
                <c:rich>
                  <a:bodyPr/>
                  <a:lstStyle/>
                  <a:p>
                    <a:fld id="{CFF04709-B684-48C0-B009-0F22CED4BFB0}" type="XVALUE">
                      <a:rPr lang="en-US">
                        <a:solidFill>
                          <a:srgbClr val="FF0000"/>
                        </a:solidFill>
                      </a:rPr>
                      <a:pPr/>
                      <a:t>[VALORE X]</a:t>
                    </a:fld>
                    <a:r>
                      <a:rPr lang="en-US" baseline="0">
                        <a:solidFill>
                          <a:srgbClr val="FF0000"/>
                        </a:solidFill>
                      </a:rPr>
                      <a:t>; </a:t>
                    </a:r>
                    <a:fld id="{A05B3D76-A848-4DD9-A220-34FA2977450D}" type="YVALUE">
                      <a:rPr lang="en-US" baseline="0">
                        <a:solidFill>
                          <a:srgbClr val="FF0000"/>
                        </a:solidFill>
                      </a:rPr>
                      <a:pPr/>
                      <a:t>[VALORE Y]</a:t>
                    </a:fld>
                    <a:endParaRPr lang="en-US" baseline="0">
                      <a:solidFill>
                        <a:srgbClr val="FF0000"/>
                      </a:solidFill>
                    </a:endParaRP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0-374C-45A0-A1BC-3FD0A4D9709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idelchik_IV_4.14!$C$33</c:f>
              <c:numCache>
                <c:formatCode>0</c:formatCode>
                <c:ptCount val="1"/>
                <c:pt idx="0">
                  <c:v>353669.97403333901</c:v>
                </c:pt>
              </c:numCache>
            </c:numRef>
          </c:xVal>
          <c:yVal>
            <c:numRef>
              <c:f>idelchik_IV_4.14!$C$39</c:f>
              <c:numCache>
                <c:formatCode>0.0000</c:formatCode>
                <c:ptCount val="1"/>
                <c:pt idx="0">
                  <c:v>8.0791253245832625E-3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4C-45A0-A1BC-3FD0A4D9709F}"/>
            </c:ext>
          </c:extLst>
        </c:ser>
        <c:ser>
          <c:idx val="9"/>
          <c:order val="12"/>
          <c:tx>
            <c:strRef>
              <c:f>idelchik_IV_4.14!$CN$3</c:f>
              <c:strCache>
                <c:ptCount val="1"/>
                <c:pt idx="0">
                  <c:v>ε0Re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2"/>
              <c:layout>
                <c:manualLayout>
                  <c:x val="2.4148453282060018E-2"/>
                  <c:y val="-4.3573772111687926E-2"/>
                </c:manualLayout>
              </c:layout>
              <c:tx>
                <c:rich>
                  <a:bodyPr/>
                  <a:lstStyle/>
                  <a:p>
                    <a:fld id="{D000A48E-8BAD-4491-BE24-7ACE7AB3B90A}" type="SERIESNAME">
                      <a:rPr lang="el-GR"/>
                      <a:pPr/>
                      <a:t>[NOME SERIE]</a:t>
                    </a:fld>
                    <a:endParaRPr lang="it-IT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374C-45A0-A1BC-3FD0A4D9709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idelchik_IV_4.14!$CO$4:$CO$17</c:f>
              <c:numCache>
                <c:formatCode>General</c:formatCode>
                <c:ptCount val="14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200</c:v>
                </c:pt>
                <c:pt idx="5">
                  <c:v>400</c:v>
                </c:pt>
                <c:pt idx="6">
                  <c:v>1000</c:v>
                </c:pt>
                <c:pt idx="7">
                  <c:v>2000</c:v>
                </c:pt>
                <c:pt idx="8">
                  <c:v>4000</c:v>
                </c:pt>
                <c:pt idx="9">
                  <c:v>10000</c:v>
                </c:pt>
                <c:pt idx="10">
                  <c:v>20000</c:v>
                </c:pt>
                <c:pt idx="11">
                  <c:v>100000</c:v>
                </c:pt>
                <c:pt idx="12">
                  <c:v>200000</c:v>
                </c:pt>
                <c:pt idx="13">
                  <c:v>1000000</c:v>
                </c:pt>
              </c:numCache>
            </c:numRef>
          </c:xVal>
          <c:yVal>
            <c:numRef>
              <c:f>idelchik_IV_4.14!$CN$4:$CN$17</c:f>
              <c:numCache>
                <c:formatCode>General</c:formatCode>
                <c:ptCount val="14"/>
                <c:pt idx="0">
                  <c:v>0.34</c:v>
                </c:pt>
                <c:pt idx="1">
                  <c:v>0.36</c:v>
                </c:pt>
                <c:pt idx="2">
                  <c:v>0.37</c:v>
                </c:pt>
                <c:pt idx="3">
                  <c:v>0.4</c:v>
                </c:pt>
                <c:pt idx="4">
                  <c:v>0.42</c:v>
                </c:pt>
                <c:pt idx="5">
                  <c:v>0.46</c:v>
                </c:pt>
                <c:pt idx="6">
                  <c:v>0.53</c:v>
                </c:pt>
                <c:pt idx="7">
                  <c:v>0.59</c:v>
                </c:pt>
                <c:pt idx="8">
                  <c:v>0.64</c:v>
                </c:pt>
                <c:pt idx="9">
                  <c:v>0.74</c:v>
                </c:pt>
                <c:pt idx="10">
                  <c:v>0.81</c:v>
                </c:pt>
                <c:pt idx="11">
                  <c:v>0.94</c:v>
                </c:pt>
                <c:pt idx="12">
                  <c:v>0.96</c:v>
                </c:pt>
                <c:pt idx="13">
                  <c:v>0.98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74C-45A0-A1BC-3FD0A4D9709F}"/>
            </c:ext>
          </c:extLst>
        </c:ser>
        <c:ser>
          <c:idx val="10"/>
          <c:order val="13"/>
          <c:tx>
            <c:v>operating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1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805774112141595E-16"/>
                  <c:y val="6.3908199097142182E-2"/>
                </c:manualLayout>
              </c:layout>
              <c:tx>
                <c:rich>
                  <a:bodyPr/>
                  <a:lstStyle/>
                  <a:p>
                    <a:fld id="{B5D7C78A-FF6B-4389-9CB9-F432F057A208}" type="XVALUE">
                      <a:rPr lang="en-US">
                        <a:solidFill>
                          <a:srgbClr val="FF0000"/>
                        </a:solidFill>
                      </a:rPr>
                      <a:pPr/>
                      <a:t>[VALORE X]</a:t>
                    </a:fld>
                    <a:r>
                      <a:rPr lang="en-US" baseline="0">
                        <a:solidFill>
                          <a:srgbClr val="FF0000"/>
                        </a:solidFill>
                      </a:rPr>
                      <a:t>; </a:t>
                    </a:r>
                    <a:fld id="{1C146497-A767-4FB9-8185-36817E5869D5}" type="YVALUE">
                      <a:rPr lang="en-US" baseline="0">
                        <a:solidFill>
                          <a:srgbClr val="FF0000"/>
                        </a:solidFill>
                      </a:rPr>
                      <a:pPr/>
                      <a:t>[VALORE Y]</a:t>
                    </a:fld>
                    <a:endParaRPr lang="en-US" baseline="0">
                      <a:solidFill>
                        <a:srgbClr val="FF0000"/>
                      </a:solidFill>
                    </a:endParaRP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F-374C-45A0-A1BC-3FD0A4D9709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idelchik_IV_4.14!$C$33</c:f>
              <c:numCache>
                <c:formatCode>0</c:formatCode>
                <c:ptCount val="1"/>
                <c:pt idx="0">
                  <c:v>353669.97403333901</c:v>
                </c:pt>
              </c:numCache>
            </c:numRef>
          </c:xVal>
          <c:yVal>
            <c:numRef>
              <c:f>idelchik_IV_4.14!$C$38</c:f>
              <c:numCache>
                <c:formatCode>0.0000</c:formatCode>
                <c:ptCount val="1"/>
                <c:pt idx="0">
                  <c:v>0.96384174935083344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74C-45A0-A1BC-3FD0A4D97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29967"/>
        <c:axId val="41830447"/>
        <c:extLst/>
      </c:scatterChart>
      <c:valAx>
        <c:axId val="4182996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  <a:r>
                  <a:rPr lang="it-IT" baseline="0"/>
                  <a:t> / D</a:t>
                </a:r>
                <a:r>
                  <a:rPr lang="it-IT"/>
                  <a:t>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830447"/>
        <c:crosses val="autoZero"/>
        <c:crossBetween val="midCat"/>
      </c:valAx>
      <c:valAx>
        <c:axId val="41830447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τ [-]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829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2"/>
        <c:delete val="1"/>
      </c:legendEntry>
      <c:legendEntry>
        <c:idx val="1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A8F51A7D-4459-4FAB-A515-631B6C5B4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19</xdr:row>
      <xdr:rowOff>28575</xdr:rowOff>
    </xdr:from>
    <xdr:to>
      <xdr:col>29</xdr:col>
      <xdr:colOff>19050</xdr:colOff>
      <xdr:row>38</xdr:row>
      <xdr:rowOff>28574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D554BDE-E3B4-4C89-A008-A271A940A76B}"/>
            </a:ext>
          </a:extLst>
        </xdr:cNvPr>
        <xdr:cNvSpPr txBox="1"/>
      </xdr:nvSpPr>
      <xdr:spPr>
        <a:xfrm>
          <a:off x="95250" y="3648075"/>
          <a:ext cx="6276975" cy="3619499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worksheet provides the procedure to the flowrate or the pressure drop across the restriction orifice plate.</a:t>
          </a:r>
          <a:endParaRPr lang="it-IT">
            <a:effectLst/>
          </a:endParaRPr>
        </a:p>
        <a:p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it-IT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ISO_5167-2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calculates the flowrate or the pressure drop across the restriction orifice plate as per ISO 5167-2. </a:t>
          </a:r>
        </a:p>
        <a:p>
          <a:endParaRPr lang="it-IT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it-IT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idelchik_IV_4.14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calculates the flowrate or the pressure drop across the restriction orifice plate as per Chapter IV – Diagram 4.14 from I. E. Idelchik’s Handbook of Hydraulic Resistance. </a:t>
          </a:r>
          <a:endParaRPr lang="it-IT">
            <a:effectLst/>
          </a:endParaRPr>
        </a:p>
        <a:p>
          <a:pPr eaLnBrk="1" fontAlgn="auto" latinLnBrk="0" hangingPunct="1"/>
          <a:endParaRPr lang="it-IT">
            <a:effectLst/>
          </a:endParaRPr>
        </a:p>
        <a:p>
          <a:pPr eaLnBrk="1" fontAlgn="auto" latinLnBrk="0" hangingPunct="1"/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2</xdr:row>
      <xdr:rowOff>0</xdr:rowOff>
    </xdr:from>
    <xdr:to>
      <xdr:col>16</xdr:col>
      <xdr:colOff>0</xdr:colOff>
      <xdr:row>9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724901" y="381000"/>
          <a:ext cx="6095999" cy="1333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Follow the steps</a:t>
          </a:r>
          <a:r>
            <a:rPr lang="en-US" sz="1100" b="0" u="none" baseline="0"/>
            <a:t> to allow calculation to be performed:</a:t>
          </a:r>
        </a:p>
        <a:p>
          <a:r>
            <a:rPr lang="en-US" sz="1100" b="0" u="none" baseline="0"/>
            <a:t>1) Select which data shall be calculated (flowrate or pressure drop).</a:t>
          </a:r>
        </a:p>
        <a:p>
          <a:r>
            <a:rPr lang="en-US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the input data.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Check if the input data meet the limits of use. If not, the solution cannot be considered acceptable.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Check the results.</a:t>
          </a:r>
          <a:endParaRPr lang="it-IT">
            <a:effectLst/>
          </a:endParaRPr>
        </a:p>
      </xdr:txBody>
    </xdr:sp>
    <xdr:clientData/>
  </xdr:twoCellAnchor>
  <xdr:twoCellAnchor editAs="oneCell">
    <xdr:from>
      <xdr:col>6</xdr:col>
      <xdr:colOff>0</xdr:colOff>
      <xdr:row>10</xdr:row>
      <xdr:rowOff>11207</xdr:rowOff>
    </xdr:from>
    <xdr:to>
      <xdr:col>19</xdr:col>
      <xdr:colOff>0</xdr:colOff>
      <xdr:row>49</xdr:row>
      <xdr:rowOff>0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757C8158-2A2C-4997-C1A1-C087E43F19C6}"/>
            </a:ext>
          </a:extLst>
        </xdr:cNvPr>
        <xdr:cNvGrpSpPr/>
      </xdr:nvGrpSpPr>
      <xdr:grpSpPr>
        <a:xfrm>
          <a:off x="8724900" y="1916207"/>
          <a:ext cx="7924800" cy="6684868"/>
          <a:chOff x="9302494" y="2023881"/>
          <a:chExt cx="8008158" cy="7025697"/>
        </a:xfrm>
      </xdr:grpSpPr>
      <xdr:grpSp>
        <xdr:nvGrpSpPr>
          <xdr:cNvPr id="15" name="Gruppo 14">
            <a:extLst>
              <a:ext uri="{FF2B5EF4-FFF2-40B4-BE49-F238E27FC236}">
                <a16:creationId xmlns:a16="http://schemas.microsoft.com/office/drawing/2014/main" id="{7F7175D4-7B1F-4040-07B2-D49E0AE00CAA}"/>
              </a:ext>
            </a:extLst>
          </xdr:cNvPr>
          <xdr:cNvGrpSpPr/>
        </xdr:nvGrpSpPr>
        <xdr:grpSpPr>
          <a:xfrm>
            <a:off x="9302494" y="2023881"/>
            <a:ext cx="8008158" cy="7025697"/>
            <a:chOff x="9302494" y="2023881"/>
            <a:chExt cx="8008158" cy="7025697"/>
          </a:xfrm>
        </xdr:grpSpPr>
        <xdr:pic>
          <xdr:nvPicPr>
            <xdr:cNvPr id="2" name="Immagine 1">
              <a:extLst>
                <a:ext uri="{FF2B5EF4-FFF2-40B4-BE49-F238E27FC236}">
                  <a16:creationId xmlns:a16="http://schemas.microsoft.com/office/drawing/2014/main" id="{4AE94FF5-E5BB-DAD0-2FE1-1DC6EAEF53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302494" y="2023881"/>
              <a:ext cx="8008158" cy="7025697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</xdr:pic>
        <xdr:sp macro="" textlink="$E$13">
          <xdr:nvSpPr>
            <xdr:cNvPr id="4" name="CasellaDiTesto 3">
              <a:extLst>
                <a:ext uri="{FF2B5EF4-FFF2-40B4-BE49-F238E27FC236}">
                  <a16:creationId xmlns:a16="http://schemas.microsoft.com/office/drawing/2014/main" id="{08F38365-3AE0-B376-AA84-4BFA986CF951}"/>
                </a:ext>
              </a:extLst>
            </xdr:cNvPr>
            <xdr:cNvSpPr txBox="1"/>
          </xdr:nvSpPr>
          <xdr:spPr>
            <a:xfrm>
              <a:off x="14071324" y="4296190"/>
              <a:ext cx="1581564" cy="2439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9F53926-41F0-4087-894D-8A8C950C4345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ctr"/>
                <a:t>Piping 2"1/2 x Sch. 80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sp macro="" textlink="$E$26">
          <xdr:nvSpPr>
            <xdr:cNvPr id="5" name="CasellaDiTesto 4">
              <a:extLst>
                <a:ext uri="{FF2B5EF4-FFF2-40B4-BE49-F238E27FC236}">
                  <a16:creationId xmlns:a16="http://schemas.microsoft.com/office/drawing/2014/main" id="{B4AD3B68-B843-4B28-9C19-B707741105DB}"/>
                </a:ext>
              </a:extLst>
            </xdr:cNvPr>
            <xdr:cNvSpPr txBox="1"/>
          </xdr:nvSpPr>
          <xdr:spPr>
            <a:xfrm>
              <a:off x="14015003" y="5585378"/>
              <a:ext cx="1581564" cy="2439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E042797A-3A4C-402A-92FC-99F1BBD9E48A}" type="TxLink">
                <a:rPr lang="en-US" sz="1100" b="0" i="0" u="none" strike="noStrike">
                  <a:solidFill>
                    <a:schemeClr val="accent1">
                      <a:lumMod val="50000"/>
                    </a:schemeClr>
                  </a:solidFill>
                  <a:latin typeface="Calibri"/>
                  <a:ea typeface="Calibri"/>
                  <a:cs typeface="Calibri"/>
                </a:rPr>
                <a:pPr/>
                <a:t>Q [m3/h] = 20</a:t>
              </a:fld>
              <a:endParaRPr lang="it-IT" sz="1100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  <xdr:sp macro="" textlink="$E$42">
          <xdr:nvSpPr>
            <xdr:cNvPr id="6" name="CasellaDiTesto 5">
              <a:extLst>
                <a:ext uri="{FF2B5EF4-FFF2-40B4-BE49-F238E27FC236}">
                  <a16:creationId xmlns:a16="http://schemas.microsoft.com/office/drawing/2014/main" id="{1DF1D743-687F-4BA6-8840-B0FBA35B6308}"/>
                </a:ext>
              </a:extLst>
            </xdr:cNvPr>
            <xdr:cNvSpPr txBox="1"/>
          </xdr:nvSpPr>
          <xdr:spPr>
            <a:xfrm>
              <a:off x="11926958" y="8680173"/>
              <a:ext cx="1954694" cy="2439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BA34F60-453E-4A49-9127-49BCA1F7BB89}" type="TxLink">
                <a:rPr lang="en-US" sz="1100" b="0" i="0" u="none" strike="noStrike">
                  <a:solidFill>
                    <a:schemeClr val="accent6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 algn="ctr"/>
                <a:t>∆p [bar] = 4.25</a:t>
              </a:fld>
              <a:endParaRPr lang="it-IT" sz="1100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  <xdr:sp macro="" textlink="$E$18">
          <xdr:nvSpPr>
            <xdr:cNvPr id="7" name="CasellaDiTesto 6">
              <a:extLst>
                <a:ext uri="{FF2B5EF4-FFF2-40B4-BE49-F238E27FC236}">
                  <a16:creationId xmlns:a16="http://schemas.microsoft.com/office/drawing/2014/main" id="{A472B448-3FF8-4784-8EF3-03A3C6DC9E3C}"/>
                </a:ext>
              </a:extLst>
            </xdr:cNvPr>
            <xdr:cNvSpPr txBox="1"/>
          </xdr:nvSpPr>
          <xdr:spPr>
            <a:xfrm rot="16200000">
              <a:off x="15227581" y="4329740"/>
              <a:ext cx="1581564" cy="2439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0DF1F65-D7E2-4899-A64D-41C63DAE419C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/>
                <a:t>tpipe [mm] = 7.01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sp macro="" textlink="$E$17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D171719B-7CE6-496B-A663-E8859B41D898}"/>
                </a:ext>
              </a:extLst>
            </xdr:cNvPr>
            <xdr:cNvSpPr txBox="1"/>
          </xdr:nvSpPr>
          <xdr:spPr>
            <a:xfrm rot="16200000">
              <a:off x="15711287" y="4457282"/>
              <a:ext cx="1581564" cy="2439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6B29E975-B469-4DA0-A40B-E3AE5ABBE4EE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/>
                <a:t>Dint [mm] = 59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sp macro="" textlink="$E$16">
          <xdr:nvSpPr>
            <xdr:cNvPr id="9" name="CasellaDiTesto 8">
              <a:extLst>
                <a:ext uri="{FF2B5EF4-FFF2-40B4-BE49-F238E27FC236}">
                  <a16:creationId xmlns:a16="http://schemas.microsoft.com/office/drawing/2014/main" id="{656A9DF9-F1CA-45F6-B24B-681A14C124D7}"/>
                </a:ext>
              </a:extLst>
            </xdr:cNvPr>
            <xdr:cNvSpPr txBox="1"/>
          </xdr:nvSpPr>
          <xdr:spPr>
            <a:xfrm rot="16200000">
              <a:off x="16194992" y="4468881"/>
              <a:ext cx="1581564" cy="2439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B6621C0-EB5D-4251-B34D-2F45B3FCFFA9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/>
                <a:t>Dext [mm] = 73.02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sp macro="" textlink="$E$12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DB14C7C7-7DF8-4614-873E-E316F3371779}"/>
                </a:ext>
              </a:extLst>
            </xdr:cNvPr>
            <xdr:cNvSpPr txBox="1"/>
          </xdr:nvSpPr>
          <xdr:spPr>
            <a:xfrm rot="16200000">
              <a:off x="8671067" y="4763750"/>
              <a:ext cx="1581564" cy="2439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A9721733-F4CC-49B9-8FA7-6EA3A33AB17F}" type="TxLink">
                <a:rPr lang="en-US" sz="1100" b="0" i="0" u="none" strike="noStrike">
                  <a:solidFill>
                    <a:schemeClr val="accent2">
                      <a:lumMod val="75000"/>
                    </a:schemeClr>
                  </a:solidFill>
                  <a:latin typeface="Calibri"/>
                  <a:ea typeface="Calibri"/>
                  <a:cs typeface="Calibri"/>
                </a:rPr>
                <a:pPr/>
                <a:t>d [mm] = 20.003</a:t>
              </a:fld>
              <a:endParaRPr lang="it-IT" sz="1100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cxnSp macro="">
          <xdr:nvCxnSpPr>
            <xdr:cNvPr id="12" name="Connettore diritto 11">
              <a:extLst>
                <a:ext uri="{FF2B5EF4-FFF2-40B4-BE49-F238E27FC236}">
                  <a16:creationId xmlns:a16="http://schemas.microsoft.com/office/drawing/2014/main" id="{BF7F4011-9350-4BA8-A13F-ACD7769C7738}"/>
                </a:ext>
              </a:extLst>
            </xdr:cNvPr>
            <xdr:cNvCxnSpPr>
              <a:stCxn id="4" idx="2"/>
            </xdr:cNvCxnSpPr>
          </xdr:nvCxnSpPr>
          <xdr:spPr>
            <a:xfrm flipH="1">
              <a:off x="14188109" y="4540113"/>
              <a:ext cx="674997" cy="893278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" name="Ovale 13">
            <a:extLst>
              <a:ext uri="{FF2B5EF4-FFF2-40B4-BE49-F238E27FC236}">
                <a16:creationId xmlns:a16="http://schemas.microsoft.com/office/drawing/2014/main" id="{86752CFC-8957-AC92-2115-52CF6DFE4FB8}"/>
              </a:ext>
            </a:extLst>
          </xdr:cNvPr>
          <xdr:cNvSpPr/>
        </xdr:nvSpPr>
        <xdr:spPr>
          <a:xfrm>
            <a:off x="14164778" y="5426219"/>
            <a:ext cx="55426" cy="59120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1</xdr:row>
      <xdr:rowOff>190499</xdr:rowOff>
    </xdr:from>
    <xdr:to>
      <xdr:col>17</xdr:col>
      <xdr:colOff>0</xdr:colOff>
      <xdr:row>8</xdr:row>
      <xdr:rowOff>190498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474B21-DB0D-47A7-946C-DC736847DB62}"/>
            </a:ext>
          </a:extLst>
        </xdr:cNvPr>
        <xdr:cNvSpPr txBox="1"/>
      </xdr:nvSpPr>
      <xdr:spPr>
        <a:xfrm>
          <a:off x="8729383" y="414617"/>
          <a:ext cx="6846793" cy="1367116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</a:t>
          </a:r>
          <a:endParaRPr lang="it-IT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Follow the steps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allow calculation to be performed: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Select which data shall be calculated (flowrate or pressure drop).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the input data.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Check if the input data meet the limits of use. If not, the solution cannot be considered acceptable.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Check the results.</a:t>
          </a:r>
          <a:endParaRPr lang="it-IT">
            <a:effectLst/>
          </a:endParaRPr>
        </a:p>
      </xdr:txBody>
    </xdr:sp>
    <xdr:clientData/>
  </xdr:twoCellAnchor>
  <xdr:twoCellAnchor editAs="oneCell">
    <xdr:from>
      <xdr:col>20</xdr:col>
      <xdr:colOff>0</xdr:colOff>
      <xdr:row>6</xdr:row>
      <xdr:rowOff>0</xdr:rowOff>
    </xdr:from>
    <xdr:to>
      <xdr:col>47</xdr:col>
      <xdr:colOff>0</xdr:colOff>
      <xdr:row>42</xdr:row>
      <xdr:rowOff>190498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9B2FA4FD-AC67-F47C-F6CE-47BF1EE8E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0</xdr:colOff>
      <xdr:row>44</xdr:row>
      <xdr:rowOff>0</xdr:rowOff>
    </xdr:from>
    <xdr:to>
      <xdr:col>33</xdr:col>
      <xdr:colOff>0</xdr:colOff>
      <xdr:row>66</xdr:row>
      <xdr:rowOff>152400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7CB97DF4-7C78-4A76-9606-F2229E526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34</xdr:col>
      <xdr:colOff>0</xdr:colOff>
      <xdr:row>44</xdr:row>
      <xdr:rowOff>0</xdr:rowOff>
    </xdr:from>
    <xdr:to>
      <xdr:col>47</xdr:col>
      <xdr:colOff>0</xdr:colOff>
      <xdr:row>66</xdr:row>
      <xdr:rowOff>180678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774F43CB-22FD-4ADC-9ECB-42BD6223C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17318</xdr:colOff>
      <xdr:row>44</xdr:row>
      <xdr:rowOff>0</xdr:rowOff>
    </xdr:from>
    <xdr:to>
      <xdr:col>19</xdr:col>
      <xdr:colOff>0</xdr:colOff>
      <xdr:row>67</xdr:row>
      <xdr:rowOff>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5F5378BA-4246-4C6A-B751-3FE458543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10</xdr:row>
      <xdr:rowOff>0</xdr:rowOff>
    </xdr:from>
    <xdr:to>
      <xdr:col>19</xdr:col>
      <xdr:colOff>0</xdr:colOff>
      <xdr:row>43</xdr:row>
      <xdr:rowOff>0</xdr:rowOff>
    </xdr:to>
    <xdr:grpSp>
      <xdr:nvGrpSpPr>
        <xdr:cNvPr id="23" name="Gruppo 22">
          <a:extLst>
            <a:ext uri="{FF2B5EF4-FFF2-40B4-BE49-F238E27FC236}">
              <a16:creationId xmlns:a16="http://schemas.microsoft.com/office/drawing/2014/main" id="{54EC24D4-EC9F-C928-8642-7FF48B7DFBB8}"/>
            </a:ext>
          </a:extLst>
        </xdr:cNvPr>
        <xdr:cNvGrpSpPr/>
      </xdr:nvGrpSpPr>
      <xdr:grpSpPr>
        <a:xfrm>
          <a:off x="8724900" y="1981200"/>
          <a:ext cx="8115300" cy="7143750"/>
          <a:chOff x="8724900" y="1811755"/>
          <a:chExt cx="8115300" cy="7417970"/>
        </a:xfrm>
      </xdr:grpSpPr>
      <xdr:grpSp>
        <xdr:nvGrpSpPr>
          <xdr:cNvPr id="21" name="Gruppo 20">
            <a:extLst>
              <a:ext uri="{FF2B5EF4-FFF2-40B4-BE49-F238E27FC236}">
                <a16:creationId xmlns:a16="http://schemas.microsoft.com/office/drawing/2014/main" id="{1AFD556F-0F35-9DAC-1A6A-C1E64C707DC6}"/>
              </a:ext>
            </a:extLst>
          </xdr:cNvPr>
          <xdr:cNvGrpSpPr/>
        </xdr:nvGrpSpPr>
        <xdr:grpSpPr>
          <a:xfrm>
            <a:off x="8724900" y="1811755"/>
            <a:ext cx="8115300" cy="7417970"/>
            <a:chOff x="8724900" y="1811755"/>
            <a:chExt cx="8115300" cy="7417970"/>
          </a:xfrm>
        </xdr:grpSpPr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583A8A86-A392-0F88-B94F-30DA26C91F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724900" y="1811755"/>
              <a:ext cx="8115300" cy="7417970"/>
            </a:xfrm>
            <a:prstGeom prst="rect">
              <a:avLst/>
            </a:prstGeom>
            <a:ln>
              <a:solidFill>
                <a:schemeClr val="accent1"/>
              </a:solidFill>
            </a:ln>
          </xdr:spPr>
        </xdr:pic>
        <xdr:grpSp>
          <xdr:nvGrpSpPr>
            <xdr:cNvPr id="3" name="Gruppo 2">
              <a:extLst>
                <a:ext uri="{FF2B5EF4-FFF2-40B4-BE49-F238E27FC236}">
                  <a16:creationId xmlns:a16="http://schemas.microsoft.com/office/drawing/2014/main" id="{E2E1D6BE-9157-4C5E-BE08-695FA422F3A9}"/>
                </a:ext>
              </a:extLst>
            </xdr:cNvPr>
            <xdr:cNvGrpSpPr/>
          </xdr:nvGrpSpPr>
          <xdr:grpSpPr>
            <a:xfrm>
              <a:off x="8781880" y="2967660"/>
              <a:ext cx="7936487" cy="3140076"/>
              <a:chOff x="9358667" y="2890996"/>
              <a:chExt cx="7824188" cy="3088186"/>
            </a:xfrm>
          </xdr:grpSpPr>
          <xdr:grpSp>
            <xdr:nvGrpSpPr>
              <xdr:cNvPr id="4" name="Gruppo 3">
                <a:extLst>
                  <a:ext uri="{FF2B5EF4-FFF2-40B4-BE49-F238E27FC236}">
                    <a16:creationId xmlns:a16="http://schemas.microsoft.com/office/drawing/2014/main" id="{D36184DE-037D-5992-933F-20AA3B7B8207}"/>
                  </a:ext>
                </a:extLst>
              </xdr:cNvPr>
              <xdr:cNvGrpSpPr/>
            </xdr:nvGrpSpPr>
            <xdr:grpSpPr>
              <a:xfrm>
                <a:off x="9358667" y="2890996"/>
                <a:ext cx="7824188" cy="3088186"/>
                <a:chOff x="9358667" y="2890996"/>
                <a:chExt cx="7824188" cy="3088186"/>
              </a:xfrm>
            </xdr:grpSpPr>
            <xdr:sp macro="" textlink="$E$14">
              <xdr:nvSpPr>
                <xdr:cNvPr id="7" name="CasellaDiTesto 6">
                  <a:extLst>
                    <a:ext uri="{FF2B5EF4-FFF2-40B4-BE49-F238E27FC236}">
                      <a16:creationId xmlns:a16="http://schemas.microsoft.com/office/drawing/2014/main" id="{10B49627-E0C8-6F1F-E941-E6DEF07E17A7}"/>
                    </a:ext>
                  </a:extLst>
                </xdr:cNvPr>
                <xdr:cNvSpPr txBox="1"/>
              </xdr:nvSpPr>
              <xdr:spPr>
                <a:xfrm>
                  <a:off x="14071324" y="4296190"/>
                  <a:ext cx="1581564" cy="243923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69F53926-41F0-4087-894D-8A8C950C4345}" type="TxLink">
                    <a:rPr lang="en-US" sz="1100" b="0" i="0" u="none" strike="noStrike">
                      <a:solidFill>
                        <a:schemeClr val="accent2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 algn="ctr"/>
                    <a:t>Piping 2"1/2 x Sch. 80</a:t>
                  </a:fld>
                  <a:endParaRPr lang="it-IT" sz="1100">
                    <a:solidFill>
                      <a:schemeClr val="accent2">
                        <a:lumMod val="75000"/>
                      </a:schemeClr>
                    </a:solidFill>
                  </a:endParaRPr>
                </a:p>
              </xdr:txBody>
            </xdr:sp>
            <xdr:sp macro="" textlink="#REF!">
              <xdr:nvSpPr>
                <xdr:cNvPr id="8" name="CasellaDiTesto 7">
                  <a:extLst>
                    <a:ext uri="{FF2B5EF4-FFF2-40B4-BE49-F238E27FC236}">
                      <a16:creationId xmlns:a16="http://schemas.microsoft.com/office/drawing/2014/main" id="{A6F02C53-4203-BE0B-EF2A-E95C1B8CC2F4}"/>
                    </a:ext>
                  </a:extLst>
                </xdr:cNvPr>
                <xdr:cNvSpPr txBox="1"/>
              </xdr:nvSpPr>
              <xdr:spPr>
                <a:xfrm>
                  <a:off x="14127685" y="5735259"/>
                  <a:ext cx="1581564" cy="243923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fld id="{E042797A-3A4C-402A-92FC-99F1BBD9E48A}" type="TxLink">
                    <a:rPr lang="en-US" sz="1100" b="0" i="0" u="none" strike="noStrike">
                      <a:solidFill>
                        <a:schemeClr val="accent1">
                          <a:lumMod val="50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/>
                    <a:t>Q [m3/h] = 1.435</a:t>
                  </a:fld>
                  <a:endParaRPr lang="it-IT" sz="1100">
                    <a:solidFill>
                      <a:schemeClr val="accent1">
                        <a:lumMod val="50000"/>
                      </a:schemeClr>
                    </a:solidFill>
                  </a:endParaRPr>
                </a:p>
              </xdr:txBody>
            </xdr:sp>
            <xdr:sp macro="" textlink="$E$27">
              <xdr:nvSpPr>
                <xdr:cNvPr id="9" name="CasellaDiTesto 8">
                  <a:extLst>
                    <a:ext uri="{FF2B5EF4-FFF2-40B4-BE49-F238E27FC236}">
                      <a16:creationId xmlns:a16="http://schemas.microsoft.com/office/drawing/2014/main" id="{EBD2456C-2848-BF3A-6886-7C1C24D0E55B}"/>
                    </a:ext>
                  </a:extLst>
                </xdr:cNvPr>
                <xdr:cNvSpPr txBox="1"/>
              </xdr:nvSpPr>
              <xdr:spPr>
                <a:xfrm>
                  <a:off x="11908177" y="2890996"/>
                  <a:ext cx="1954694" cy="243923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4BA34F60-453E-4A49-9127-49BCA1F7BB89}" type="TxLink">
                    <a:rPr lang="en-US" sz="1100" b="0" i="0" u="none" strike="noStrike">
                      <a:solidFill>
                        <a:schemeClr val="accent6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 algn="ctr"/>
                    <a:t>∆p [bar] = 2.256</a:t>
                  </a:fld>
                  <a:endParaRPr lang="it-IT" sz="1100">
                    <a:solidFill>
                      <a:schemeClr val="accent6">
                        <a:lumMod val="75000"/>
                      </a:schemeClr>
                    </a:solidFill>
                  </a:endParaRPr>
                </a:p>
              </xdr:txBody>
            </xdr:sp>
            <xdr:sp macro="" textlink="$E$19">
              <xdr:nvSpPr>
                <xdr:cNvPr id="10" name="CasellaDiTesto 9">
                  <a:extLst>
                    <a:ext uri="{FF2B5EF4-FFF2-40B4-BE49-F238E27FC236}">
                      <a16:creationId xmlns:a16="http://schemas.microsoft.com/office/drawing/2014/main" id="{BC6F81B7-D7E3-B85B-024D-2E264CE3EDCF}"/>
                    </a:ext>
                  </a:extLst>
                </xdr:cNvPr>
                <xdr:cNvSpPr txBox="1"/>
              </xdr:nvSpPr>
              <xdr:spPr>
                <a:xfrm rot="16200000">
                  <a:off x="15302703" y="4395315"/>
                  <a:ext cx="1581564" cy="243923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fld id="{30DF1F65-D7E2-4899-A64D-41C63DAE419C}" type="TxLink">
                    <a:rPr lang="en-US" sz="1100" b="0" i="0" u="none" strike="noStrike">
                      <a:solidFill>
                        <a:schemeClr val="accent2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/>
                    <a:t>tpipe [mm] = 7.01</a:t>
                  </a:fld>
                  <a:endParaRPr lang="it-IT" sz="1100">
                    <a:solidFill>
                      <a:schemeClr val="accent2">
                        <a:lumMod val="75000"/>
                      </a:schemeClr>
                    </a:solidFill>
                  </a:endParaRPr>
                </a:p>
              </xdr:txBody>
            </xdr:sp>
            <xdr:sp macro="" textlink="$E$18">
              <xdr:nvSpPr>
                <xdr:cNvPr id="11" name="CasellaDiTesto 10">
                  <a:extLst>
                    <a:ext uri="{FF2B5EF4-FFF2-40B4-BE49-F238E27FC236}">
                      <a16:creationId xmlns:a16="http://schemas.microsoft.com/office/drawing/2014/main" id="{AD679271-BABD-A754-D51A-91C5BA021C2F}"/>
                    </a:ext>
                  </a:extLst>
                </xdr:cNvPr>
                <xdr:cNvSpPr txBox="1"/>
              </xdr:nvSpPr>
              <xdr:spPr>
                <a:xfrm rot="16200000">
                  <a:off x="15777019" y="4579061"/>
                  <a:ext cx="1581564" cy="243923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fld id="{6B29E975-B469-4DA0-A40B-E3AE5ABBE4EE}" type="TxLink">
                    <a:rPr lang="en-US" sz="1100" b="0" i="0" u="none" strike="noStrike">
                      <a:solidFill>
                        <a:schemeClr val="accent2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/>
                    <a:t>Dint [mm] = 59</a:t>
                  </a:fld>
                  <a:endParaRPr lang="it-IT" sz="1100">
                    <a:solidFill>
                      <a:schemeClr val="accent2">
                        <a:lumMod val="75000"/>
                      </a:schemeClr>
                    </a:solidFill>
                  </a:endParaRPr>
                </a:p>
              </xdr:txBody>
            </xdr:sp>
            <xdr:sp macro="" textlink="$E$17">
              <xdr:nvSpPr>
                <xdr:cNvPr id="12" name="CasellaDiTesto 11">
                  <a:extLst>
                    <a:ext uri="{FF2B5EF4-FFF2-40B4-BE49-F238E27FC236}">
                      <a16:creationId xmlns:a16="http://schemas.microsoft.com/office/drawing/2014/main" id="{C66937C1-B08B-20A1-65AA-B6191BEF6BC5}"/>
                    </a:ext>
                  </a:extLst>
                </xdr:cNvPr>
                <xdr:cNvSpPr txBox="1"/>
              </xdr:nvSpPr>
              <xdr:spPr>
                <a:xfrm rot="16200000">
                  <a:off x="16270112" y="4571925"/>
                  <a:ext cx="1581564" cy="243923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fld id="{3B6621C0-EB5D-4251-B34D-2F45B3FCFFA9}" type="TxLink">
                    <a:rPr lang="en-US" sz="1100" b="0" i="0" u="none" strike="noStrike">
                      <a:solidFill>
                        <a:schemeClr val="accent2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/>
                    <a:t>Dext [mm] = 73.02</a:t>
                  </a:fld>
                  <a:endParaRPr lang="it-IT" sz="1100">
                    <a:solidFill>
                      <a:schemeClr val="accent2">
                        <a:lumMod val="75000"/>
                      </a:schemeClr>
                    </a:solidFill>
                  </a:endParaRPr>
                </a:p>
              </xdr:txBody>
            </xdr:sp>
            <xdr:sp macro="" textlink="$E$12">
              <xdr:nvSpPr>
                <xdr:cNvPr id="13" name="CasellaDiTesto 12">
                  <a:extLst>
                    <a:ext uri="{FF2B5EF4-FFF2-40B4-BE49-F238E27FC236}">
                      <a16:creationId xmlns:a16="http://schemas.microsoft.com/office/drawing/2014/main" id="{56B7A8B3-3C60-8F49-08F0-F880D2B74E7A}"/>
                    </a:ext>
                  </a:extLst>
                </xdr:cNvPr>
                <xdr:cNvSpPr txBox="1"/>
              </xdr:nvSpPr>
              <xdr:spPr>
                <a:xfrm rot="16200000">
                  <a:off x="8689847" y="4941734"/>
                  <a:ext cx="1581564" cy="243923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fld id="{A9721733-F4CC-49B9-8FA7-6EA3A33AB17F}" type="TxLink">
                    <a:rPr lang="en-US" sz="1100" b="0" i="0" u="none" strike="noStrike">
                      <a:solidFill>
                        <a:schemeClr val="accent2">
                          <a:lumMod val="75000"/>
                        </a:schemeClr>
                      </a:solidFill>
                      <a:latin typeface="Calibri"/>
                      <a:ea typeface="Calibri"/>
                      <a:cs typeface="Calibri"/>
                    </a:rPr>
                    <a:pPr/>
                    <a:t>Dorifice [mm] = 20</a:t>
                  </a:fld>
                  <a:endParaRPr lang="it-IT" sz="1100">
                    <a:solidFill>
                      <a:schemeClr val="accent2">
                        <a:lumMod val="75000"/>
                      </a:schemeClr>
                    </a:solidFill>
                  </a:endParaRPr>
                </a:p>
              </xdr:txBody>
            </xdr:sp>
            <xdr:cxnSp macro="">
              <xdr:nvCxnSpPr>
                <xdr:cNvPr id="14" name="Connettore diritto 13">
                  <a:extLst>
                    <a:ext uri="{FF2B5EF4-FFF2-40B4-BE49-F238E27FC236}">
                      <a16:creationId xmlns:a16="http://schemas.microsoft.com/office/drawing/2014/main" id="{F4FDD891-1557-CB10-882E-CE94F8C995F6}"/>
                    </a:ext>
                  </a:extLst>
                </xdr:cNvPr>
                <xdr:cNvCxnSpPr>
                  <a:stCxn id="7" idx="2"/>
                </xdr:cNvCxnSpPr>
              </xdr:nvCxnSpPr>
              <xdr:spPr>
                <a:xfrm flipH="1">
                  <a:off x="14188109" y="4540113"/>
                  <a:ext cx="674997" cy="893278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5" name="Ovale 4">
                <a:extLst>
                  <a:ext uri="{FF2B5EF4-FFF2-40B4-BE49-F238E27FC236}">
                    <a16:creationId xmlns:a16="http://schemas.microsoft.com/office/drawing/2014/main" id="{C67AFF4D-5F6C-5380-763B-40094C0C6AAF}"/>
                  </a:ext>
                </a:extLst>
              </xdr:cNvPr>
              <xdr:cNvSpPr/>
            </xdr:nvSpPr>
            <xdr:spPr>
              <a:xfrm>
                <a:off x="14164778" y="5426219"/>
                <a:ext cx="55426" cy="59120"/>
              </a:xfrm>
              <a:prstGeom prst="ellipse">
                <a:avLst/>
              </a:prstGeom>
              <a:solidFill>
                <a:schemeClr val="tx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</xdr:grpSp>
      <xdr:sp macro="" textlink="$E$13">
        <xdr:nvSpPr>
          <xdr:cNvPr id="22" name="CasellaDiTesto 21">
            <a:extLst>
              <a:ext uri="{FF2B5EF4-FFF2-40B4-BE49-F238E27FC236}">
                <a16:creationId xmlns:a16="http://schemas.microsoft.com/office/drawing/2014/main" id="{D78954F9-8A2A-492E-9622-1E0D7693EDF0}"/>
              </a:ext>
            </a:extLst>
          </xdr:cNvPr>
          <xdr:cNvSpPr txBox="1"/>
        </xdr:nvSpPr>
        <xdr:spPr>
          <a:xfrm>
            <a:off x="12753975" y="7983955"/>
            <a:ext cx="1604264" cy="2480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6654BE5C-C252-483D-A267-858019DD89FA}" type="TxLink">
              <a:rPr lang="en-US" sz="1100" b="0" i="0" u="none" strike="noStrike">
                <a:solidFill>
                  <a:schemeClr val="accent2">
                    <a:lumMod val="75000"/>
                  </a:schemeClr>
                </a:solidFill>
                <a:latin typeface="Calibri"/>
                <a:ea typeface="Calibri"/>
                <a:cs typeface="Calibri"/>
              </a:rPr>
              <a:pPr algn="l"/>
              <a:t>torifice [mm] = 20</a:t>
            </a:fld>
            <a:endParaRPr lang="it-IT" sz="1100">
              <a:solidFill>
                <a:schemeClr val="accent2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8E0DF-AA21-4DFE-AE32-21DB9FC14A98}">
  <sheetPr codeName="Foglio5"/>
  <dimension ref="A1:AD48"/>
  <sheetViews>
    <sheetView tabSelected="1" topLeftCell="A3" zoomScaleNormal="100" zoomScaleSheetLayoutView="100" workbookViewId="0">
      <selection activeCell="U46" sqref="U46:Y46"/>
    </sheetView>
  </sheetViews>
  <sheetFormatPr defaultRowHeight="12" x14ac:dyDescent="0.2"/>
  <cols>
    <col min="1" max="30" width="3.28515625" style="21" customWidth="1"/>
    <col min="31" max="256" width="9.140625" style="21"/>
    <col min="257" max="286" width="3.28515625" style="21" customWidth="1"/>
    <col min="287" max="512" width="9.140625" style="21"/>
    <col min="513" max="542" width="3.28515625" style="21" customWidth="1"/>
    <col min="543" max="768" width="9.140625" style="21"/>
    <col min="769" max="798" width="3.28515625" style="21" customWidth="1"/>
    <col min="799" max="1024" width="9.140625" style="21"/>
    <col min="1025" max="1054" width="3.28515625" style="21" customWidth="1"/>
    <col min="1055" max="1280" width="9.140625" style="21"/>
    <col min="1281" max="1310" width="3.28515625" style="21" customWidth="1"/>
    <col min="1311" max="1536" width="9.140625" style="21"/>
    <col min="1537" max="1566" width="3.28515625" style="21" customWidth="1"/>
    <col min="1567" max="1792" width="9.140625" style="21"/>
    <col min="1793" max="1822" width="3.28515625" style="21" customWidth="1"/>
    <col min="1823" max="2048" width="9.140625" style="21"/>
    <col min="2049" max="2078" width="3.28515625" style="21" customWidth="1"/>
    <col min="2079" max="2304" width="9.140625" style="21"/>
    <col min="2305" max="2334" width="3.28515625" style="21" customWidth="1"/>
    <col min="2335" max="2560" width="9.140625" style="21"/>
    <col min="2561" max="2590" width="3.28515625" style="21" customWidth="1"/>
    <col min="2591" max="2816" width="9.140625" style="21"/>
    <col min="2817" max="2846" width="3.28515625" style="21" customWidth="1"/>
    <col min="2847" max="3072" width="9.140625" style="21"/>
    <col min="3073" max="3102" width="3.28515625" style="21" customWidth="1"/>
    <col min="3103" max="3328" width="9.140625" style="21"/>
    <col min="3329" max="3358" width="3.28515625" style="21" customWidth="1"/>
    <col min="3359" max="3584" width="9.140625" style="21"/>
    <col min="3585" max="3614" width="3.28515625" style="21" customWidth="1"/>
    <col min="3615" max="3840" width="9.140625" style="21"/>
    <col min="3841" max="3870" width="3.28515625" style="21" customWidth="1"/>
    <col min="3871" max="4096" width="9.140625" style="21"/>
    <col min="4097" max="4126" width="3.28515625" style="21" customWidth="1"/>
    <col min="4127" max="4352" width="9.140625" style="21"/>
    <col min="4353" max="4382" width="3.28515625" style="21" customWidth="1"/>
    <col min="4383" max="4608" width="9.140625" style="21"/>
    <col min="4609" max="4638" width="3.28515625" style="21" customWidth="1"/>
    <col min="4639" max="4864" width="9.140625" style="21"/>
    <col min="4865" max="4894" width="3.28515625" style="21" customWidth="1"/>
    <col min="4895" max="5120" width="9.140625" style="21"/>
    <col min="5121" max="5150" width="3.28515625" style="21" customWidth="1"/>
    <col min="5151" max="5376" width="9.140625" style="21"/>
    <col min="5377" max="5406" width="3.28515625" style="21" customWidth="1"/>
    <col min="5407" max="5632" width="9.140625" style="21"/>
    <col min="5633" max="5662" width="3.28515625" style="21" customWidth="1"/>
    <col min="5663" max="5888" width="9.140625" style="21"/>
    <col min="5889" max="5918" width="3.28515625" style="21" customWidth="1"/>
    <col min="5919" max="6144" width="9.140625" style="21"/>
    <col min="6145" max="6174" width="3.28515625" style="21" customWidth="1"/>
    <col min="6175" max="6400" width="9.140625" style="21"/>
    <col min="6401" max="6430" width="3.28515625" style="21" customWidth="1"/>
    <col min="6431" max="6656" width="9.140625" style="21"/>
    <col min="6657" max="6686" width="3.28515625" style="21" customWidth="1"/>
    <col min="6687" max="6912" width="9.140625" style="21"/>
    <col min="6913" max="6942" width="3.28515625" style="21" customWidth="1"/>
    <col min="6943" max="7168" width="9.140625" style="21"/>
    <col min="7169" max="7198" width="3.28515625" style="21" customWidth="1"/>
    <col min="7199" max="7424" width="9.140625" style="21"/>
    <col min="7425" max="7454" width="3.28515625" style="21" customWidth="1"/>
    <col min="7455" max="7680" width="9.140625" style="21"/>
    <col min="7681" max="7710" width="3.28515625" style="21" customWidth="1"/>
    <col min="7711" max="7936" width="9.140625" style="21"/>
    <col min="7937" max="7966" width="3.28515625" style="21" customWidth="1"/>
    <col min="7967" max="8192" width="9.140625" style="21"/>
    <col min="8193" max="8222" width="3.28515625" style="21" customWidth="1"/>
    <col min="8223" max="8448" width="9.140625" style="21"/>
    <col min="8449" max="8478" width="3.28515625" style="21" customWidth="1"/>
    <col min="8479" max="8704" width="9.140625" style="21"/>
    <col min="8705" max="8734" width="3.28515625" style="21" customWidth="1"/>
    <col min="8735" max="8960" width="9.140625" style="21"/>
    <col min="8961" max="8990" width="3.28515625" style="21" customWidth="1"/>
    <col min="8991" max="9216" width="9.140625" style="21"/>
    <col min="9217" max="9246" width="3.28515625" style="21" customWidth="1"/>
    <col min="9247" max="9472" width="9.140625" style="21"/>
    <col min="9473" max="9502" width="3.28515625" style="21" customWidth="1"/>
    <col min="9503" max="9728" width="9.140625" style="21"/>
    <col min="9729" max="9758" width="3.28515625" style="21" customWidth="1"/>
    <col min="9759" max="9984" width="9.140625" style="21"/>
    <col min="9985" max="10014" width="3.28515625" style="21" customWidth="1"/>
    <col min="10015" max="10240" width="9.140625" style="21"/>
    <col min="10241" max="10270" width="3.28515625" style="21" customWidth="1"/>
    <col min="10271" max="10496" width="9.140625" style="21"/>
    <col min="10497" max="10526" width="3.28515625" style="21" customWidth="1"/>
    <col min="10527" max="10752" width="9.140625" style="21"/>
    <col min="10753" max="10782" width="3.28515625" style="21" customWidth="1"/>
    <col min="10783" max="11008" width="9.140625" style="21"/>
    <col min="11009" max="11038" width="3.28515625" style="21" customWidth="1"/>
    <col min="11039" max="11264" width="9.140625" style="21"/>
    <col min="11265" max="11294" width="3.28515625" style="21" customWidth="1"/>
    <col min="11295" max="11520" width="9.140625" style="21"/>
    <col min="11521" max="11550" width="3.28515625" style="21" customWidth="1"/>
    <col min="11551" max="11776" width="9.140625" style="21"/>
    <col min="11777" max="11806" width="3.28515625" style="21" customWidth="1"/>
    <col min="11807" max="12032" width="9.140625" style="21"/>
    <col min="12033" max="12062" width="3.28515625" style="21" customWidth="1"/>
    <col min="12063" max="12288" width="9.140625" style="21"/>
    <col min="12289" max="12318" width="3.28515625" style="21" customWidth="1"/>
    <col min="12319" max="12544" width="9.140625" style="21"/>
    <col min="12545" max="12574" width="3.28515625" style="21" customWidth="1"/>
    <col min="12575" max="12800" width="9.140625" style="21"/>
    <col min="12801" max="12830" width="3.28515625" style="21" customWidth="1"/>
    <col min="12831" max="13056" width="9.140625" style="21"/>
    <col min="13057" max="13086" width="3.28515625" style="21" customWidth="1"/>
    <col min="13087" max="13312" width="9.140625" style="21"/>
    <col min="13313" max="13342" width="3.28515625" style="21" customWidth="1"/>
    <col min="13343" max="13568" width="9.140625" style="21"/>
    <col min="13569" max="13598" width="3.28515625" style="21" customWidth="1"/>
    <col min="13599" max="13824" width="9.140625" style="21"/>
    <col min="13825" max="13854" width="3.28515625" style="21" customWidth="1"/>
    <col min="13855" max="14080" width="9.140625" style="21"/>
    <col min="14081" max="14110" width="3.28515625" style="21" customWidth="1"/>
    <col min="14111" max="14336" width="9.140625" style="21"/>
    <col min="14337" max="14366" width="3.28515625" style="21" customWidth="1"/>
    <col min="14367" max="14592" width="9.140625" style="21"/>
    <col min="14593" max="14622" width="3.28515625" style="21" customWidth="1"/>
    <col min="14623" max="14848" width="9.140625" style="21"/>
    <col min="14849" max="14878" width="3.28515625" style="21" customWidth="1"/>
    <col min="14879" max="15104" width="9.140625" style="21"/>
    <col min="15105" max="15134" width="3.28515625" style="21" customWidth="1"/>
    <col min="15135" max="15360" width="9.140625" style="21"/>
    <col min="15361" max="15390" width="3.28515625" style="21" customWidth="1"/>
    <col min="15391" max="15616" width="9.140625" style="21"/>
    <col min="15617" max="15646" width="3.28515625" style="21" customWidth="1"/>
    <col min="15647" max="15872" width="9.140625" style="21"/>
    <col min="15873" max="15902" width="3.28515625" style="21" customWidth="1"/>
    <col min="15903" max="16128" width="9.140625" style="21"/>
    <col min="16129" max="16158" width="3.28515625" style="21" customWidth="1"/>
    <col min="16159" max="16384" width="9.140625" style="21"/>
  </cols>
  <sheetData>
    <row r="1" spans="1:30" ht="15" customHeight="1" x14ac:dyDescent="0.2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20"/>
    </row>
    <row r="2" spans="1:30" ht="15" customHeight="1" x14ac:dyDescent="0.2">
      <c r="A2" s="22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4"/>
    </row>
    <row r="3" spans="1:30" ht="15" customHeight="1" x14ac:dyDescent="0.2">
      <c r="A3" s="22"/>
      <c r="B3" s="23"/>
      <c r="C3" s="23"/>
      <c r="D3" s="23"/>
      <c r="E3" s="23"/>
      <c r="F3" s="23"/>
      <c r="G3" s="23"/>
      <c r="H3" s="25"/>
      <c r="I3" s="25"/>
      <c r="J3" s="25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7"/>
      <c r="X3" s="27"/>
      <c r="Y3" s="27"/>
      <c r="Z3" s="27"/>
      <c r="AA3" s="27"/>
      <c r="AB3" s="27"/>
      <c r="AC3" s="27"/>
      <c r="AD3" s="28"/>
    </row>
    <row r="4" spans="1:30" ht="15" customHeight="1" x14ac:dyDescent="0.2">
      <c r="A4" s="22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4"/>
    </row>
    <row r="5" spans="1:30" ht="15" customHeight="1" x14ac:dyDescent="0.2">
      <c r="A5" s="22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4"/>
    </row>
    <row r="6" spans="1:30" ht="15" customHeight="1" x14ac:dyDescent="0.2">
      <c r="A6" s="22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4"/>
    </row>
    <row r="7" spans="1:30" ht="15" customHeight="1" thickBot="1" x14ac:dyDescent="0.25">
      <c r="A7" s="29"/>
      <c r="B7" s="30"/>
      <c r="C7" s="30"/>
      <c r="D7" s="30"/>
      <c r="E7" s="30"/>
      <c r="F7" s="31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30"/>
      <c r="AB7" s="30"/>
      <c r="AC7" s="30"/>
      <c r="AD7" s="32"/>
    </row>
    <row r="8" spans="1:30" ht="15" customHeight="1" x14ac:dyDescent="0.2">
      <c r="A8" s="102" t="s">
        <v>156</v>
      </c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4"/>
    </row>
    <row r="9" spans="1:30" ht="15" customHeight="1" x14ac:dyDescent="0.2">
      <c r="A9" s="105"/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7"/>
    </row>
    <row r="10" spans="1:30" ht="15" customHeight="1" x14ac:dyDescent="0.2">
      <c r="A10" s="105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7"/>
    </row>
    <row r="11" spans="1:30" ht="15" customHeight="1" x14ac:dyDescent="0.2">
      <c r="A11" s="105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7"/>
    </row>
    <row r="12" spans="1:30" ht="15" customHeight="1" x14ac:dyDescent="0.2">
      <c r="A12" s="105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7"/>
    </row>
    <row r="13" spans="1:30" ht="15" customHeight="1" x14ac:dyDescent="0.2">
      <c r="A13" s="105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106"/>
      <c r="AC13" s="106"/>
      <c r="AD13" s="107"/>
    </row>
    <row r="14" spans="1:30" ht="15" customHeight="1" x14ac:dyDescent="0.2">
      <c r="A14" s="105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7"/>
    </row>
    <row r="15" spans="1:30" ht="15" customHeight="1" x14ac:dyDescent="0.2">
      <c r="A15" s="105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106"/>
      <c r="AC15" s="106"/>
      <c r="AD15" s="107"/>
    </row>
    <row r="16" spans="1:30" ht="15" customHeight="1" x14ac:dyDescent="0.2">
      <c r="A16" s="105"/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106"/>
      <c r="AB16" s="106"/>
      <c r="AC16" s="106"/>
      <c r="AD16" s="107"/>
    </row>
    <row r="17" spans="1:30" ht="15" customHeight="1" x14ac:dyDescent="0.2">
      <c r="A17" s="105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7"/>
    </row>
    <row r="18" spans="1:30" ht="15" customHeight="1" x14ac:dyDescent="0.2">
      <c r="A18" s="105"/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  <c r="AC18" s="106"/>
      <c r="AD18" s="107"/>
    </row>
    <row r="19" spans="1:30" ht="15" customHeight="1" x14ac:dyDescent="0.2">
      <c r="A19" s="105"/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7"/>
    </row>
    <row r="20" spans="1:30" ht="15" customHeight="1" x14ac:dyDescent="0.2">
      <c r="A20" s="105"/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7"/>
    </row>
    <row r="21" spans="1:30" ht="15" customHeight="1" x14ac:dyDescent="0.2">
      <c r="A21" s="105"/>
      <c r="B21" s="106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7"/>
    </row>
    <row r="22" spans="1:30" ht="15" customHeight="1" x14ac:dyDescent="0.2">
      <c r="A22" s="105"/>
      <c r="B22" s="106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7"/>
    </row>
    <row r="23" spans="1:30" ht="15" customHeight="1" x14ac:dyDescent="0.2">
      <c r="A23" s="105"/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7"/>
    </row>
    <row r="24" spans="1:30" ht="15" customHeight="1" x14ac:dyDescent="0.2">
      <c r="A24" s="105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7"/>
    </row>
    <row r="25" spans="1:30" ht="15" customHeight="1" x14ac:dyDescent="0.2">
      <c r="A25" s="105"/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7"/>
    </row>
    <row r="26" spans="1:30" ht="15" customHeight="1" x14ac:dyDescent="0.2">
      <c r="A26" s="105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7"/>
    </row>
    <row r="27" spans="1:30" ht="15" customHeight="1" x14ac:dyDescent="0.2">
      <c r="A27" s="105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7"/>
    </row>
    <row r="28" spans="1:30" ht="15" customHeight="1" x14ac:dyDescent="0.2">
      <c r="A28" s="105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7"/>
    </row>
    <row r="29" spans="1:30" ht="15" customHeight="1" x14ac:dyDescent="0.2">
      <c r="A29" s="105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7"/>
    </row>
    <row r="30" spans="1:30" ht="15" customHeight="1" x14ac:dyDescent="0.2">
      <c r="A30" s="105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7"/>
    </row>
    <row r="31" spans="1:30" ht="15" customHeight="1" x14ac:dyDescent="0.2">
      <c r="A31" s="105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7"/>
    </row>
    <row r="32" spans="1:30" ht="15" customHeight="1" x14ac:dyDescent="0.2">
      <c r="A32" s="105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7"/>
    </row>
    <row r="33" spans="1:30" ht="15" customHeight="1" x14ac:dyDescent="0.2">
      <c r="A33" s="105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7"/>
    </row>
    <row r="34" spans="1:30" ht="15" customHeight="1" x14ac:dyDescent="0.2">
      <c r="A34" s="105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7"/>
    </row>
    <row r="35" spans="1:30" ht="15" customHeight="1" x14ac:dyDescent="0.2">
      <c r="A35" s="105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7"/>
    </row>
    <row r="36" spans="1:30" ht="15" customHeight="1" x14ac:dyDescent="0.2">
      <c r="A36" s="105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7"/>
    </row>
    <row r="37" spans="1:30" ht="15" customHeight="1" x14ac:dyDescent="0.2">
      <c r="A37" s="105"/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7"/>
    </row>
    <row r="38" spans="1:30" ht="15" customHeight="1" x14ac:dyDescent="0.2">
      <c r="A38" s="105"/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7"/>
    </row>
    <row r="39" spans="1:30" ht="15" customHeight="1" thickBot="1" x14ac:dyDescent="0.25">
      <c r="A39" s="108"/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10"/>
    </row>
    <row r="40" spans="1:30" ht="30" customHeight="1" x14ac:dyDescent="0.2">
      <c r="A40" s="111"/>
      <c r="B40" s="112"/>
      <c r="C40" s="113"/>
      <c r="D40" s="114"/>
      <c r="E40" s="114"/>
      <c r="F40" s="112"/>
      <c r="G40" s="113"/>
      <c r="H40" s="114"/>
      <c r="I40" s="114"/>
      <c r="J40" s="114"/>
      <c r="K40" s="114"/>
      <c r="L40" s="114"/>
      <c r="M40" s="114"/>
      <c r="N40" s="114"/>
      <c r="O40" s="114"/>
      <c r="P40" s="113"/>
      <c r="Q40" s="114"/>
      <c r="R40" s="114"/>
      <c r="S40" s="114"/>
      <c r="T40" s="112"/>
      <c r="U40" s="113"/>
      <c r="V40" s="114"/>
      <c r="W40" s="114"/>
      <c r="X40" s="114"/>
      <c r="Y40" s="112"/>
      <c r="Z40" s="113"/>
      <c r="AA40" s="114"/>
      <c r="AB40" s="114"/>
      <c r="AC40" s="114"/>
      <c r="AD40" s="115"/>
    </row>
    <row r="41" spans="1:30" ht="30" customHeight="1" x14ac:dyDescent="0.2">
      <c r="A41" s="89"/>
      <c r="B41" s="90"/>
      <c r="C41" s="91"/>
      <c r="D41" s="92"/>
      <c r="E41" s="92"/>
      <c r="F41" s="90"/>
      <c r="G41" s="91"/>
      <c r="H41" s="92"/>
      <c r="I41" s="92"/>
      <c r="J41" s="92"/>
      <c r="K41" s="92"/>
      <c r="L41" s="92"/>
      <c r="M41" s="92"/>
      <c r="N41" s="92"/>
      <c r="O41" s="92"/>
      <c r="P41" s="91"/>
      <c r="Q41" s="92"/>
      <c r="R41" s="92"/>
      <c r="S41" s="92"/>
      <c r="T41" s="90"/>
      <c r="U41" s="91"/>
      <c r="V41" s="92"/>
      <c r="W41" s="92"/>
      <c r="X41" s="92"/>
      <c r="Y41" s="90"/>
      <c r="Z41" s="91"/>
      <c r="AA41" s="92"/>
      <c r="AB41" s="92"/>
      <c r="AC41" s="92"/>
      <c r="AD41" s="93"/>
    </row>
    <row r="42" spans="1:30" ht="30" customHeight="1" x14ac:dyDescent="0.2">
      <c r="A42" s="89"/>
      <c r="B42" s="90"/>
      <c r="C42" s="91"/>
      <c r="D42" s="92"/>
      <c r="E42" s="92"/>
      <c r="F42" s="90"/>
      <c r="G42" s="91"/>
      <c r="H42" s="92"/>
      <c r="I42" s="92"/>
      <c r="J42" s="92"/>
      <c r="K42" s="92"/>
      <c r="L42" s="92"/>
      <c r="M42" s="92"/>
      <c r="N42" s="92"/>
      <c r="O42" s="92"/>
      <c r="P42" s="91"/>
      <c r="Q42" s="92"/>
      <c r="R42" s="92"/>
      <c r="S42" s="92"/>
      <c r="T42" s="90"/>
      <c r="U42" s="91"/>
      <c r="V42" s="92"/>
      <c r="W42" s="92"/>
      <c r="X42" s="92"/>
      <c r="Y42" s="90"/>
      <c r="Z42" s="91"/>
      <c r="AA42" s="92"/>
      <c r="AB42" s="92"/>
      <c r="AC42" s="92"/>
      <c r="AD42" s="93"/>
    </row>
    <row r="43" spans="1:30" ht="30" customHeight="1" x14ac:dyDescent="0.2">
      <c r="A43" s="89"/>
      <c r="B43" s="90"/>
      <c r="C43" s="91"/>
      <c r="D43" s="92"/>
      <c r="E43" s="92"/>
      <c r="F43" s="90"/>
      <c r="G43" s="91"/>
      <c r="H43" s="92"/>
      <c r="I43" s="92"/>
      <c r="J43" s="92"/>
      <c r="K43" s="92"/>
      <c r="L43" s="92"/>
      <c r="M43" s="92"/>
      <c r="N43" s="92"/>
      <c r="O43" s="92"/>
      <c r="P43" s="91"/>
      <c r="Q43" s="92"/>
      <c r="R43" s="92"/>
      <c r="S43" s="92"/>
      <c r="T43" s="90"/>
      <c r="U43" s="91"/>
      <c r="V43" s="92"/>
      <c r="W43" s="92"/>
      <c r="X43" s="92"/>
      <c r="Y43" s="90"/>
      <c r="Z43" s="91"/>
      <c r="AA43" s="92"/>
      <c r="AB43" s="92"/>
      <c r="AC43" s="92"/>
      <c r="AD43" s="93"/>
    </row>
    <row r="44" spans="1:30" ht="30" customHeight="1" x14ac:dyDescent="0.2">
      <c r="A44" s="89"/>
      <c r="B44" s="90"/>
      <c r="C44" s="91"/>
      <c r="D44" s="92"/>
      <c r="E44" s="92"/>
      <c r="F44" s="90"/>
      <c r="G44" s="91"/>
      <c r="H44" s="92"/>
      <c r="I44" s="92"/>
      <c r="J44" s="92"/>
      <c r="K44" s="92"/>
      <c r="L44" s="92"/>
      <c r="M44" s="92"/>
      <c r="N44" s="92"/>
      <c r="O44" s="92"/>
      <c r="P44" s="91"/>
      <c r="Q44" s="92"/>
      <c r="R44" s="92"/>
      <c r="S44" s="92"/>
      <c r="T44" s="90"/>
      <c r="U44" s="91"/>
      <c r="V44" s="92"/>
      <c r="W44" s="92"/>
      <c r="X44" s="92"/>
      <c r="Y44" s="90"/>
      <c r="Z44" s="91"/>
      <c r="AA44" s="92"/>
      <c r="AB44" s="92"/>
      <c r="AC44" s="92"/>
      <c r="AD44" s="93"/>
    </row>
    <row r="45" spans="1:30" ht="30" customHeight="1" x14ac:dyDescent="0.2">
      <c r="A45" s="89"/>
      <c r="B45" s="90"/>
      <c r="C45" s="91"/>
      <c r="D45" s="92"/>
      <c r="E45" s="92"/>
      <c r="F45" s="90"/>
      <c r="G45" s="91"/>
      <c r="H45" s="92"/>
      <c r="I45" s="92"/>
      <c r="J45" s="92"/>
      <c r="K45" s="92"/>
      <c r="L45" s="92"/>
      <c r="M45" s="92"/>
      <c r="N45" s="92"/>
      <c r="O45" s="92"/>
      <c r="P45" s="91"/>
      <c r="Q45" s="92"/>
      <c r="R45" s="92"/>
      <c r="S45" s="92"/>
      <c r="T45" s="90"/>
      <c r="U45" s="91"/>
      <c r="V45" s="92"/>
      <c r="W45" s="92"/>
      <c r="X45" s="92"/>
      <c r="Y45" s="90"/>
      <c r="Z45" s="91"/>
      <c r="AA45" s="92"/>
      <c r="AB45" s="92"/>
      <c r="AC45" s="92"/>
      <c r="AD45" s="93"/>
    </row>
    <row r="46" spans="1:30" ht="32.25" customHeight="1" x14ac:dyDescent="0.2">
      <c r="A46" s="94">
        <v>0</v>
      </c>
      <c r="B46" s="95"/>
      <c r="C46" s="96">
        <v>45862</v>
      </c>
      <c r="D46" s="97"/>
      <c r="E46" s="97"/>
      <c r="F46" s="98"/>
      <c r="G46" s="99" t="s">
        <v>25</v>
      </c>
      <c r="H46" s="100"/>
      <c r="I46" s="100"/>
      <c r="J46" s="100"/>
      <c r="K46" s="100"/>
      <c r="L46" s="100"/>
      <c r="M46" s="100"/>
      <c r="N46" s="100"/>
      <c r="O46" s="100"/>
      <c r="P46" s="86" t="s">
        <v>153</v>
      </c>
      <c r="Q46" s="87"/>
      <c r="R46" s="87"/>
      <c r="S46" s="87"/>
      <c r="T46" s="101"/>
      <c r="U46" s="86" t="s">
        <v>154</v>
      </c>
      <c r="V46" s="87"/>
      <c r="W46" s="87"/>
      <c r="X46" s="87"/>
      <c r="Y46" s="101"/>
      <c r="Z46" s="86" t="s">
        <v>155</v>
      </c>
      <c r="AA46" s="87"/>
      <c r="AB46" s="87"/>
      <c r="AC46" s="87"/>
      <c r="AD46" s="88"/>
    </row>
    <row r="47" spans="1:30" ht="15" customHeight="1" thickBot="1" x14ac:dyDescent="0.25">
      <c r="A47" s="80" t="s">
        <v>26</v>
      </c>
      <c r="B47" s="81"/>
      <c r="C47" s="82" t="s">
        <v>13</v>
      </c>
      <c r="D47" s="83"/>
      <c r="E47" s="83"/>
      <c r="F47" s="84"/>
      <c r="G47" s="82" t="s">
        <v>27</v>
      </c>
      <c r="H47" s="83"/>
      <c r="I47" s="83"/>
      <c r="J47" s="83"/>
      <c r="K47" s="83"/>
      <c r="L47" s="83"/>
      <c r="M47" s="83"/>
      <c r="N47" s="83"/>
      <c r="O47" s="83"/>
      <c r="P47" s="82" t="s">
        <v>28</v>
      </c>
      <c r="Q47" s="83"/>
      <c r="R47" s="83"/>
      <c r="S47" s="83"/>
      <c r="T47" s="84"/>
      <c r="U47" s="82" t="s">
        <v>29</v>
      </c>
      <c r="V47" s="83"/>
      <c r="W47" s="83"/>
      <c r="X47" s="83"/>
      <c r="Y47" s="83"/>
      <c r="Z47" s="82" t="s">
        <v>12</v>
      </c>
      <c r="AA47" s="83"/>
      <c r="AB47" s="83"/>
      <c r="AC47" s="83"/>
      <c r="AD47" s="85"/>
    </row>
    <row r="48" spans="1:30" ht="15" customHeight="1" thickBot="1" x14ac:dyDescent="0.25">
      <c r="A48" s="77" t="s">
        <v>157</v>
      </c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9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2:Z51"/>
  <sheetViews>
    <sheetView zoomScaleNormal="100" workbookViewId="0">
      <selection activeCell="C43" sqref="C43"/>
    </sheetView>
  </sheetViews>
  <sheetFormatPr defaultColWidth="9.140625" defaultRowHeight="15" outlineLevelRow="1" outlineLevelCol="1" x14ac:dyDescent="0.25"/>
  <cols>
    <col min="1" max="1" width="2.7109375" customWidth="1"/>
    <col min="2" max="2" width="22.7109375" style="5" customWidth="1"/>
    <col min="3" max="3" width="15.7109375" style="4" customWidth="1"/>
    <col min="4" max="4" width="87" style="5" bestFit="1" customWidth="1"/>
    <col min="5" max="5" width="19.28515625" style="5" hidden="1" customWidth="1" outlineLevel="1"/>
    <col min="6" max="6" width="2.7109375" customWidth="1" collapsed="1"/>
    <col min="7" max="16384" width="9.140625" style="5"/>
  </cols>
  <sheetData>
    <row r="2" spans="2:26" x14ac:dyDescent="0.25">
      <c r="B2" s="76" t="s">
        <v>143</v>
      </c>
    </row>
    <row r="3" spans="2:26" x14ac:dyDescent="0.25">
      <c r="E3"/>
      <c r="R3" s="119" t="s">
        <v>150</v>
      </c>
      <c r="S3" s="119"/>
      <c r="T3" s="119"/>
      <c r="U3" s="119"/>
      <c r="V3" s="119"/>
      <c r="W3" s="119"/>
      <c r="X3" s="119"/>
      <c r="Y3" s="119"/>
      <c r="Z3" s="119"/>
    </row>
    <row r="4" spans="2:26" x14ac:dyDescent="0.25">
      <c r="B4" s="6" t="s">
        <v>16</v>
      </c>
      <c r="C4" s="5"/>
      <c r="E4"/>
      <c r="R4" s="75">
        <v>1</v>
      </c>
      <c r="S4" s="120" t="s">
        <v>151</v>
      </c>
      <c r="T4" s="120"/>
      <c r="U4" s="120"/>
      <c r="V4" s="120"/>
      <c r="W4" s="120"/>
      <c r="X4" s="120"/>
      <c r="Y4" s="120"/>
      <c r="Z4" s="120"/>
    </row>
    <row r="5" spans="2:26" x14ac:dyDescent="0.25">
      <c r="B5" s="7" t="s">
        <v>14</v>
      </c>
      <c r="C5" s="5"/>
      <c r="E5"/>
      <c r="R5" s="75">
        <v>0</v>
      </c>
      <c r="S5" s="120" t="s">
        <v>152</v>
      </c>
      <c r="T5" s="120"/>
      <c r="U5" s="120"/>
      <c r="V5" s="120"/>
      <c r="W5" s="120"/>
      <c r="X5" s="120"/>
      <c r="Y5" s="120"/>
      <c r="Z5" s="120"/>
    </row>
    <row r="6" spans="2:26" x14ac:dyDescent="0.25">
      <c r="B6" s="8" t="s">
        <v>15</v>
      </c>
      <c r="C6" s="5"/>
      <c r="E6"/>
    </row>
    <row r="7" spans="2:26" x14ac:dyDescent="0.25">
      <c r="B7" s="9" t="s">
        <v>17</v>
      </c>
      <c r="C7" s="5"/>
      <c r="E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2:26" x14ac:dyDescent="0.25">
      <c r="B8" s="10" t="s">
        <v>18</v>
      </c>
      <c r="C8" s="5"/>
      <c r="E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2:26" x14ac:dyDescent="0.25">
      <c r="B9"/>
      <c r="C9" s="33"/>
      <c r="E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2:26" x14ac:dyDescent="0.25">
      <c r="B10" s="116" t="s">
        <v>80</v>
      </c>
      <c r="C10" s="117"/>
      <c r="D10" s="118"/>
      <c r="E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2:26" ht="18" customHeight="1" x14ac:dyDescent="0.25">
      <c r="B11" s="12" t="s">
        <v>73</v>
      </c>
      <c r="C11" s="1" t="s">
        <v>159</v>
      </c>
      <c r="D11" s="13" t="s">
        <v>74</v>
      </c>
    </row>
    <row r="12" spans="2:26" x14ac:dyDescent="0.25">
      <c r="B12" s="12" t="s">
        <v>126</v>
      </c>
      <c r="C12" s="17">
        <v>20.003296612543142</v>
      </c>
      <c r="D12" s="13" t="s">
        <v>120</v>
      </c>
      <c r="E12" s="5" t="str">
        <f>B12 &amp; " = " &amp; ROUND(C12,3)</f>
        <v>d [mm] = 20.003</v>
      </c>
    </row>
    <row r="13" spans="2:26" x14ac:dyDescent="0.25">
      <c r="B13" s="12" t="s">
        <v>64</v>
      </c>
      <c r="C13" s="1" t="s">
        <v>66</v>
      </c>
      <c r="D13" s="13" t="s">
        <v>65</v>
      </c>
      <c r="E13" t="str" cm="1">
        <f t="array" ref="E13">_xlfn.IFS(C13="ASTM","Piping " &amp; C14 &amp; " x Sch. " &amp;C15,C13="custom","Piping custom")</f>
        <v>Piping 2"1/2 x Sch. 80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2:26" ht="18" x14ac:dyDescent="0.25">
      <c r="B14" s="12" t="s">
        <v>67</v>
      </c>
      <c r="C14" s="2" t="s">
        <v>46</v>
      </c>
      <c r="D14" s="13" t="s">
        <v>68</v>
      </c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2:26" x14ac:dyDescent="0.25">
      <c r="B15" s="12" t="s">
        <v>71</v>
      </c>
      <c r="C15" s="3">
        <v>80</v>
      </c>
      <c r="D15" s="13" t="s">
        <v>72</v>
      </c>
      <c r="E15"/>
      <c r="H15"/>
      <c r="I15"/>
      <c r="J15"/>
      <c r="K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2:26" ht="18" x14ac:dyDescent="0.25">
      <c r="B16" s="12" t="s">
        <v>61</v>
      </c>
      <c r="C16" s="15">
        <f>INDEX(pipe_ASTM!$A$2:$B$26,MATCH(C14,pipe_ASTM!$A$2:$A$26,0),2)</f>
        <v>73.02</v>
      </c>
      <c r="D16" s="13" t="s">
        <v>3</v>
      </c>
      <c r="E16" s="5" t="str">
        <f>B16 &amp; " = " &amp; IFERROR(ROUND(C16,3),"N/A")</f>
        <v>Dext [mm] = 73.02</v>
      </c>
    </row>
    <row r="17" spans="2:26" ht="18" x14ac:dyDescent="0.25">
      <c r="B17" s="12" t="s">
        <v>62</v>
      </c>
      <c r="C17" s="15">
        <f>C16-2*C18</f>
        <v>59</v>
      </c>
      <c r="D17" s="13" t="s">
        <v>3</v>
      </c>
      <c r="E17" s="5" t="str">
        <f>B17 &amp; " = " &amp; IFERROR(ROUND(C17,3),"N/A")</f>
        <v>Dint [mm] = 59</v>
      </c>
    </row>
    <row r="18" spans="2:26" ht="18" x14ac:dyDescent="0.25">
      <c r="B18" s="12" t="s">
        <v>82</v>
      </c>
      <c r="C18" s="15">
        <f>INDEX(pipe_ASTM!$A$2:$O$26,MATCH(C14,pipe_ASTM!$A$2:$A$26,0),MATCH(C15,pipe_ASTM!$A$2:$O$2,0))</f>
        <v>7.01</v>
      </c>
      <c r="D18" s="13" t="s">
        <v>63</v>
      </c>
      <c r="E18" s="5" t="str">
        <f>B18 &amp; " = " &amp; IFERROR(ROUND(C18,3),"N/A")</f>
        <v>tpipe [mm] = 7.01</v>
      </c>
    </row>
    <row r="19" spans="2:26" x14ac:dyDescent="0.25">
      <c r="B19" s="12" t="s">
        <v>140</v>
      </c>
      <c r="C19" s="1" t="s">
        <v>142</v>
      </c>
      <c r="D19" s="13" t="s">
        <v>141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2:26" x14ac:dyDescent="0.25">
      <c r="E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2:26" x14ac:dyDescent="0.25">
      <c r="B21" s="116" t="s">
        <v>84</v>
      </c>
      <c r="C21" s="117"/>
      <c r="D21" s="118"/>
      <c r="E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2:26" ht="17.25" x14ac:dyDescent="0.25">
      <c r="B22" s="12" t="s">
        <v>19</v>
      </c>
      <c r="C22" s="1">
        <v>1000</v>
      </c>
      <c r="D22" s="13" t="s">
        <v>0</v>
      </c>
      <c r="E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2:26" ht="18" customHeight="1" x14ac:dyDescent="0.25">
      <c r="B23" s="12" t="s">
        <v>30</v>
      </c>
      <c r="C23" s="2">
        <v>1</v>
      </c>
      <c r="D23" s="13" t="s">
        <v>1</v>
      </c>
      <c r="E23"/>
    </row>
    <row r="24" spans="2:26" ht="18" customHeight="1" x14ac:dyDescent="0.25">
      <c r="B24" s="14"/>
    </row>
    <row r="25" spans="2:26" x14ac:dyDescent="0.25">
      <c r="B25" s="116" t="s">
        <v>122</v>
      </c>
      <c r="C25" s="117"/>
      <c r="D25" s="118"/>
    </row>
    <row r="26" spans="2:26" ht="18" customHeight="1" x14ac:dyDescent="0.25">
      <c r="B26" s="12" t="s">
        <v>77</v>
      </c>
      <c r="C26" s="2">
        <v>20</v>
      </c>
      <c r="D26" s="13" t="s">
        <v>78</v>
      </c>
      <c r="E26" s="5" t="str">
        <f>B26 &amp; " = " &amp; ROUND(C26,3)</f>
        <v>Q [m3/h] = 20</v>
      </c>
    </row>
    <row r="27" spans="2:26" x14ac:dyDescent="0.25">
      <c r="B27" s="12" t="s">
        <v>79</v>
      </c>
      <c r="C27" s="2">
        <v>4.25</v>
      </c>
      <c r="D27" s="13" t="s">
        <v>11</v>
      </c>
    </row>
    <row r="28" spans="2:26" ht="18" x14ac:dyDescent="0.25">
      <c r="B28" s="12" t="s">
        <v>20</v>
      </c>
      <c r="C28" s="17">
        <f>+C26/3600/(C31*10^-6)</f>
        <v>17.67805431590908</v>
      </c>
      <c r="D28" s="13" t="s">
        <v>121</v>
      </c>
    </row>
    <row r="29" spans="2:26" ht="18" x14ac:dyDescent="0.25">
      <c r="B29" s="12" t="s">
        <v>21</v>
      </c>
      <c r="C29" s="17">
        <f>+C26/3600/(C32*10^-6)</f>
        <v>2.0320462586344328</v>
      </c>
      <c r="D29" s="13" t="s">
        <v>85</v>
      </c>
    </row>
    <row r="30" spans="2:26" ht="18" customHeight="1" x14ac:dyDescent="0.25">
      <c r="B30" s="12" t="s">
        <v>129</v>
      </c>
      <c r="C30" s="17">
        <f>+C12/C17</f>
        <v>0.33903892563632443</v>
      </c>
      <c r="D30" s="13" t="s">
        <v>119</v>
      </c>
    </row>
    <row r="31" spans="2:26" ht="18" customHeight="1" x14ac:dyDescent="0.25">
      <c r="B31" s="12" t="s">
        <v>86</v>
      </c>
      <c r="C31" s="17">
        <f>+C12^2/4*PI()</f>
        <v>314.26284003188766</v>
      </c>
      <c r="D31" s="13" t="s">
        <v>118</v>
      </c>
    </row>
    <row r="32" spans="2:26" ht="15" customHeight="1" x14ac:dyDescent="0.25">
      <c r="B32" s="12" t="s">
        <v>87</v>
      </c>
      <c r="C32" s="17">
        <f>+C17^2/4*PI()</f>
        <v>2733.9710067865176</v>
      </c>
      <c r="D32" s="13" t="s">
        <v>5</v>
      </c>
    </row>
    <row r="33" spans="2:5" ht="18" customHeight="1" x14ac:dyDescent="0.25">
      <c r="B33" s="12" t="s">
        <v>132</v>
      </c>
      <c r="C33" s="16">
        <f>+C12/1000*C28/(C23*10^-6)</f>
        <v>353619.36401377775</v>
      </c>
      <c r="D33" s="13" t="s">
        <v>6</v>
      </c>
    </row>
    <row r="34" spans="2:5" ht="18" hidden="1" customHeight="1" outlineLevel="1" x14ac:dyDescent="0.25">
      <c r="B34" s="12" t="s">
        <v>133</v>
      </c>
      <c r="C34" s="16">
        <f>+C17/1000*C29/(C23*10^-6)</f>
        <v>119890.72925943154</v>
      </c>
      <c r="D34" s="13" t="s">
        <v>7</v>
      </c>
    </row>
    <row r="35" spans="2:5" ht="18" hidden="1" customHeight="1" outlineLevel="1" x14ac:dyDescent="0.25">
      <c r="B35" s="12" t="s">
        <v>134</v>
      </c>
      <c r="C35" s="17">
        <f>+(19000*C30/C34)^0.8</f>
        <v>9.6421536941324687E-2</v>
      </c>
      <c r="D35" s="13" t="s">
        <v>146</v>
      </c>
    </row>
    <row r="36" spans="2:5" ht="18" hidden="1" customHeight="1" outlineLevel="1" x14ac:dyDescent="0.25">
      <c r="B36" s="12" t="s">
        <v>24</v>
      </c>
      <c r="C36" s="17" cm="1">
        <f t="array" ref="C36">_xlfn.IFS(C19="corner",0,C19="flange",25.4,C19="D and D/2",C17)</f>
        <v>0</v>
      </c>
      <c r="D36" s="13" t="s">
        <v>8</v>
      </c>
    </row>
    <row r="37" spans="2:5" ht="15" hidden="1" customHeight="1" outlineLevel="1" x14ac:dyDescent="0.25">
      <c r="B37" s="12" t="s">
        <v>144</v>
      </c>
      <c r="C37" s="17" cm="1">
        <f t="array" ref="C37">_xlfn.IFS(C19="corner",0,C19="flange",25.4,C19="D and D/2",0.47*C17)</f>
        <v>0</v>
      </c>
      <c r="D37" s="13" t="s">
        <v>9</v>
      </c>
    </row>
    <row r="38" spans="2:5" ht="18" hidden="1" customHeight="1" outlineLevel="1" x14ac:dyDescent="0.25">
      <c r="B38" s="12" t="s">
        <v>135</v>
      </c>
      <c r="C38" s="17">
        <f>+C36/C17</f>
        <v>0</v>
      </c>
      <c r="D38" s="13" t="s">
        <v>136</v>
      </c>
    </row>
    <row r="39" spans="2:5" ht="18" hidden="1" customHeight="1" outlineLevel="1" x14ac:dyDescent="0.25">
      <c r="B39" s="12" t="s">
        <v>145</v>
      </c>
      <c r="C39" s="17">
        <f>C37/C17</f>
        <v>0</v>
      </c>
      <c r="D39" s="13" t="s">
        <v>137</v>
      </c>
    </row>
    <row r="40" spans="2:5" ht="18" hidden="1" customHeight="1" outlineLevel="1" x14ac:dyDescent="0.25">
      <c r="B40" s="12" t="s">
        <v>139</v>
      </c>
      <c r="C40" s="17">
        <f>2*C39/(1-C30)</f>
        <v>0</v>
      </c>
      <c r="D40" s="13" t="s">
        <v>146</v>
      </c>
    </row>
    <row r="41" spans="2:5" collapsed="1" x14ac:dyDescent="0.25">
      <c r="B41" s="12" t="s">
        <v>138</v>
      </c>
      <c r="C41" s="17">
        <f xml:space="preserve"> 0.5961+0.0261*C30^2-0.216*C30^8+0.000521*(C30*10^6/C33)^0.7+(0.0188+0.0063*C35)*C30^3.5*(10^6/C33)^0.3+(0.043+0.08*EXP(-10*C38)-0.123*EXP(-7*C38))*(1-0.11*C35)*C30^4/(1-C30^4)-0.031*(C40-0.8*C40^1.1)*C30^1.3+IF(C17&lt;71.12,0.011*(0.75-C30)*(2.8-C17/25.4),0)</f>
        <v>0.60232690894004215</v>
      </c>
      <c r="D41" s="13" t="s">
        <v>10</v>
      </c>
    </row>
    <row r="42" spans="2:5" x14ac:dyDescent="0.25">
      <c r="B42" s="12" t="s">
        <v>79</v>
      </c>
      <c r="C42" s="17">
        <f>IF(C12&lt;=C17,C26^2/(2*C$22)*(1-C30^4)/(C41^2*C31^2)*C$22^2/3600^2*10^12/10^5,0)</f>
        <v>4.2500874171836527</v>
      </c>
      <c r="D42" s="13" t="s">
        <v>11</v>
      </c>
      <c r="E42" s="5" t="str">
        <f>B42 &amp; " = " &amp; ROUND(C42,3)</f>
        <v>∆p [bar] = 4.25</v>
      </c>
    </row>
    <row r="43" spans="2:5" ht="18" x14ac:dyDescent="0.25">
      <c r="B43" s="12" t="s">
        <v>76</v>
      </c>
      <c r="C43" s="17">
        <f>+C42-C27</f>
        <v>8.7417183652682695E-5</v>
      </c>
      <c r="D43" s="13" t="s">
        <v>75</v>
      </c>
    </row>
    <row r="45" spans="2:5" x14ac:dyDescent="0.25">
      <c r="B45" s="116" t="s">
        <v>125</v>
      </c>
      <c r="C45" s="117"/>
      <c r="D45" s="118"/>
    </row>
    <row r="46" spans="2:5" x14ac:dyDescent="0.25">
      <c r="B46" s="12" t="s">
        <v>126</v>
      </c>
      <c r="C46" s="17">
        <f>C12</f>
        <v>20.003296612543142</v>
      </c>
      <c r="D46" s="13" t="s">
        <v>127</v>
      </c>
    </row>
    <row r="47" spans="2:5" x14ac:dyDescent="0.25">
      <c r="B47" s="12" t="s">
        <v>128</v>
      </c>
      <c r="C47" s="17">
        <f>C17</f>
        <v>59</v>
      </c>
      <c r="D47" s="13" t="s">
        <v>131</v>
      </c>
    </row>
    <row r="48" spans="2:5" x14ac:dyDescent="0.25">
      <c r="B48" s="12" t="s">
        <v>129</v>
      </c>
      <c r="C48" s="17">
        <f>C30</f>
        <v>0.33903892563632443</v>
      </c>
      <c r="D48" s="13" t="s">
        <v>130</v>
      </c>
    </row>
    <row r="49" spans="2:5" ht="18" x14ac:dyDescent="0.25">
      <c r="B49" s="12" t="s">
        <v>23</v>
      </c>
      <c r="C49" s="16">
        <f>C34</f>
        <v>119890.72925943154</v>
      </c>
      <c r="D49" s="13" t="s">
        <v>127</v>
      </c>
      <c r="E49" s="5">
        <f>IF(C19="flange",MAX(5000,170*C48^2*C47),IF(C48&gt;0.56,16000,5000))</f>
        <v>5000</v>
      </c>
    </row>
    <row r="50" spans="2:5" x14ac:dyDescent="0.25">
      <c r="B50" s="4"/>
      <c r="D50" s="4"/>
    </row>
    <row r="51" spans="2:5" x14ac:dyDescent="0.25">
      <c r="B51" s="4"/>
      <c r="D51" s="4"/>
    </row>
  </sheetData>
  <dataConsolidate/>
  <mergeCells count="7">
    <mergeCell ref="B45:D45"/>
    <mergeCell ref="R3:Z3"/>
    <mergeCell ref="S4:Z4"/>
    <mergeCell ref="S5:Z5"/>
    <mergeCell ref="B10:D10"/>
    <mergeCell ref="B25:D25"/>
    <mergeCell ref="B21:D21"/>
  </mergeCells>
  <phoneticPr fontId="2" type="noConversion"/>
  <conditionalFormatting sqref="R4:R5">
    <cfRule type="iconSet" priority="7">
      <iconSet iconSet="3Symbols">
        <cfvo type="percent" val="0"/>
        <cfvo type="num" val="0.5"/>
        <cfvo type="num" val="1"/>
      </iconSet>
    </cfRule>
  </conditionalFormatting>
  <dataValidations count="4">
    <dataValidation type="list" allowBlank="1" showInputMessage="1" showErrorMessage="1" sqref="C14" xr:uid="{91982898-6C99-41E3-8520-5483659AD7A8}">
      <formula1>pipe_DN_ASTM</formula1>
    </dataValidation>
    <dataValidation type="list" allowBlank="1" showInputMessage="1" showErrorMessage="1" sqref="C13" xr:uid="{6429E4FD-B970-4842-8FB3-4A3E5780C673}">
      <formula1>"ASTM, custom"</formula1>
    </dataValidation>
    <dataValidation type="list" allowBlank="1" showInputMessage="1" showErrorMessage="1" sqref="C11" xr:uid="{104E0323-2A1A-49DB-A8B0-AAB1190179A4}">
      <formula1>"flow, pressure drop, orifice diameter"</formula1>
    </dataValidation>
    <dataValidation type="list" allowBlank="1" showInputMessage="1" showErrorMessage="1" sqref="C19" xr:uid="{BE9B4090-578A-4A2F-BE1D-C7E33B94D83D}">
      <formula1>"corner, D and D/2, flange"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DD4D9CBB-F0AC-44FB-96EA-52E948228EFC}">
            <x14:iconSet iconSet="3Symbols" custom="1">
              <x14:cfvo type="percent">
                <xm:f>0</xm:f>
              </x14:cfvo>
              <x14:cfvo type="num">
                <xm:f>12.5</xm:f>
              </x14:cfvo>
              <x14:cfvo type="num">
                <xm:f>12.5</xm:f>
              </x14:cfvo>
              <x14:cfIcon iconSet="3Symbols" iconId="0"/>
              <x14:cfIcon iconSet="3Symbols" iconId="2"/>
              <x14:cfIcon iconSet="3Symbols" iconId="2"/>
            </x14:iconSet>
          </x14:cfRule>
          <xm:sqref>C46</xm:sqref>
        </x14:conditionalFormatting>
        <x14:conditionalFormatting xmlns:xm="http://schemas.microsoft.com/office/excel/2006/main">
          <x14:cfRule type="iconSet" priority="5" id="{A3FD8AA2-E95A-43F7-B527-D17C91182C8E}">
            <x14:iconSet iconSet="3Symbols" custom="1">
              <x14:cfvo type="percent">
                <xm:f>0</xm:f>
              </x14:cfvo>
              <x14:cfvo type="num">
                <xm:f>50</xm:f>
              </x14:cfvo>
              <x14:cfvo type="num" gte="0">
                <xm:f>1000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C47</xm:sqref>
        </x14:conditionalFormatting>
        <x14:conditionalFormatting xmlns:xm="http://schemas.microsoft.com/office/excel/2006/main">
          <x14:cfRule type="iconSet" priority="4" id="{7B894D8D-1C5D-42F6-8B87-8BF588ACF8C8}">
            <x14:iconSet iconSet="3Symbols" custom="1">
              <x14:cfvo type="percent">
                <xm:f>0</xm:f>
              </x14:cfvo>
              <x14:cfvo type="num">
                <xm:f>0.1</xm:f>
              </x14:cfvo>
              <x14:cfvo type="num">
                <xm:f>0.75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C48</xm:sqref>
        </x14:conditionalFormatting>
        <x14:conditionalFormatting xmlns:xm="http://schemas.microsoft.com/office/excel/2006/main">
          <x14:cfRule type="iconSet" priority="3" id="{221F6341-CD92-4713-BF8D-F45CA52DA564}">
            <x14:iconSet iconSet="3Symbols" custom="1">
              <x14:cfvo type="percent">
                <xm:f>0</xm:f>
              </x14:cfvo>
              <x14:cfvo type="formula">
                <xm:f>$E$49</xm:f>
              </x14:cfvo>
              <x14:cfvo type="formula">
                <xm:f>$E$49</xm:f>
              </x14:cfvo>
              <x14:cfIcon iconSet="3Symbols" iconId="0"/>
              <x14:cfIcon iconSet="3Symbols" iconId="2"/>
              <x14:cfIcon iconSet="3Symbols" iconId="2"/>
            </x14:iconSet>
          </x14:cfRule>
          <xm:sqref>C49</xm:sqref>
        </x14:conditionalFormatting>
        <x14:conditionalFormatting xmlns:xm="http://schemas.microsoft.com/office/excel/2006/main">
          <x14:cfRule type="iconSet" priority="1" id="{15FFFE41-AC32-425B-9C2E-97F2764A4DA9}">
            <x14:iconSet iconSet="3Symbols" custom="1">
              <x14:cfvo type="percent">
                <xm:f>0</xm:f>
              </x14:cfvo>
              <x14:cfvo type="num">
                <xm:f>-5.0000000000000001E-3</xm:f>
              </x14:cfvo>
              <x14:cfvo type="num">
                <xm:f>5.0000000000000001E-3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D78348-A35E-46E0-BE2E-EFAF26DDD470}">
          <x14:formula1>
            <xm:f>pipe_ASTM!$B$29:$O$29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DDD-E755-4B2A-B618-B1462E85B01D}">
  <sheetPr codeName="Foglio4"/>
  <dimension ref="A1:DA59"/>
  <sheetViews>
    <sheetView topLeftCell="A5" zoomScaleNormal="100" workbookViewId="0">
      <selection activeCell="C44" sqref="C44"/>
    </sheetView>
  </sheetViews>
  <sheetFormatPr defaultColWidth="9.140625" defaultRowHeight="15" outlineLevelCol="1" x14ac:dyDescent="0.25"/>
  <cols>
    <col min="1" max="1" width="2.7109375" customWidth="1"/>
    <col min="2" max="2" width="22.7109375" style="5" customWidth="1"/>
    <col min="3" max="3" width="15.7109375" style="4" customWidth="1"/>
    <col min="4" max="4" width="87" style="5" bestFit="1" customWidth="1"/>
    <col min="5" max="5" width="19.28515625" style="5" hidden="1" customWidth="1" outlineLevel="1"/>
    <col min="6" max="6" width="2.7109375" customWidth="1" collapsed="1"/>
    <col min="7" max="7" width="12" style="5" bestFit="1" customWidth="1"/>
    <col min="8" max="19" width="9.140625" style="5"/>
    <col min="20" max="20" width="2.7109375" customWidth="1" collapsed="1"/>
    <col min="34" max="34" width="2.7109375" customWidth="1" collapsed="1"/>
    <col min="49" max="70" width="9.140625" style="5" hidden="1" customWidth="1" outlineLevel="1"/>
    <col min="71" max="71" width="12.28515625" style="5" hidden="1" customWidth="1" outlineLevel="1"/>
    <col min="72" max="75" width="9.28515625" style="5" hidden="1" customWidth="1" outlineLevel="1"/>
    <col min="76" max="76" width="9.7109375" style="5" hidden="1" customWidth="1" outlineLevel="1"/>
    <col min="77" max="77" width="9.5703125" style="5" hidden="1" customWidth="1" outlineLevel="1"/>
    <col min="78" max="78" width="9.28515625" style="5" hidden="1" customWidth="1" outlineLevel="1"/>
    <col min="79" max="104" width="9.140625" style="5" hidden="1" customWidth="1" outlineLevel="1"/>
    <col min="105" max="105" width="9.140625" style="5" collapsed="1"/>
    <col min="106" max="16384" width="9.140625" style="5"/>
  </cols>
  <sheetData>
    <row r="1" spans="2:104" ht="18" x14ac:dyDescent="0.25">
      <c r="AW1" s="47" t="s">
        <v>101</v>
      </c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40"/>
      <c r="BT1" s="47" t="s">
        <v>100</v>
      </c>
      <c r="BU1" s="40"/>
      <c r="BV1" s="47" t="s">
        <v>117</v>
      </c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47" t="s">
        <v>110</v>
      </c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40"/>
    </row>
    <row r="2" spans="2:104" x14ac:dyDescent="0.25">
      <c r="B2" s="76" t="s">
        <v>147</v>
      </c>
      <c r="AW2" s="41"/>
      <c r="AX2" s="121" t="s">
        <v>90</v>
      </c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T2" s="63" t="s">
        <v>98</v>
      </c>
      <c r="BU2" s="64" t="s">
        <v>99</v>
      </c>
      <c r="BV2" s="41"/>
      <c r="BW2" s="14" t="s">
        <v>108</v>
      </c>
      <c r="BX2" s="14" t="str">
        <f t="shared" ref="BX2:CM2" si="0">$BW$2&amp;BX3</f>
        <v>A0/A1 = 0.02</v>
      </c>
      <c r="BY2" s="14" t="str">
        <f t="shared" si="0"/>
        <v>A0/A1 = 0.04</v>
      </c>
      <c r="BZ2" s="14" t="str">
        <f t="shared" si="0"/>
        <v>A0/A1 = 0.06</v>
      </c>
      <c r="CA2" s="14" t="str">
        <f t="shared" si="0"/>
        <v>A0/A1 = 0.08</v>
      </c>
      <c r="CB2" s="14" t="str">
        <f t="shared" si="0"/>
        <v>A0/A1 = 0.1</v>
      </c>
      <c r="CC2" s="14" t="str">
        <f t="shared" si="0"/>
        <v>A0/A1 = 0.15</v>
      </c>
      <c r="CD2" s="14" t="str">
        <f t="shared" si="0"/>
        <v>A0/A1 = 0.2</v>
      </c>
      <c r="CE2" s="14" t="str">
        <f t="shared" si="0"/>
        <v>A0/A1 = 0.25</v>
      </c>
      <c r="CF2" s="14" t="str">
        <f t="shared" si="0"/>
        <v>A0/A1 = 0.3</v>
      </c>
      <c r="CG2" s="14" t="str">
        <f t="shared" si="0"/>
        <v>A0/A1 = 0.4</v>
      </c>
      <c r="CH2" s="14" t="str">
        <f t="shared" si="0"/>
        <v>A0/A1 = 0.5</v>
      </c>
      <c r="CI2" s="14" t="str">
        <f t="shared" si="0"/>
        <v>A0/A1 = 0.6</v>
      </c>
      <c r="CJ2" s="14" t="str">
        <f t="shared" si="0"/>
        <v>A0/A1 = 0.7</v>
      </c>
      <c r="CK2" s="14" t="str">
        <f t="shared" si="0"/>
        <v>A0/A1 = 0.8</v>
      </c>
      <c r="CL2" s="14" t="str">
        <f t="shared" si="0"/>
        <v>A0/A1 = 0.9</v>
      </c>
      <c r="CM2" s="14" t="str">
        <f t="shared" si="0"/>
        <v>A0/A1 = 0.114</v>
      </c>
      <c r="CN2" s="63"/>
      <c r="CO2" s="14" t="s">
        <v>108</v>
      </c>
      <c r="CP2" s="14" t="str">
        <f t="shared" ref="CP2:CZ2" si="1">$CO$2&amp;CP3</f>
        <v>A0/A1 = 0</v>
      </c>
      <c r="CQ2" s="14" t="str">
        <f t="shared" si="1"/>
        <v>A0/A1 = 0.2</v>
      </c>
      <c r="CR2" s="14" t="str">
        <f t="shared" si="1"/>
        <v>A0/A1 = 0.3</v>
      </c>
      <c r="CS2" s="14" t="str">
        <f t="shared" si="1"/>
        <v>A0/A1 = 0.4</v>
      </c>
      <c r="CT2" s="14" t="str">
        <f t="shared" si="1"/>
        <v>A0/A1 = 0.5</v>
      </c>
      <c r="CU2" s="14" t="str">
        <f t="shared" si="1"/>
        <v>A0/A1 = 0.6</v>
      </c>
      <c r="CV2" s="14" t="str">
        <f t="shared" si="1"/>
        <v>A0/A1 = 0.7</v>
      </c>
      <c r="CW2" s="14" t="str">
        <f t="shared" si="1"/>
        <v>A0/A1 = 0.8</v>
      </c>
      <c r="CX2" s="14" t="str">
        <f t="shared" si="1"/>
        <v>A0/A1 = 0.9</v>
      </c>
      <c r="CY2" s="14" t="str">
        <f t="shared" si="1"/>
        <v>A0/A1 = 0.95</v>
      </c>
      <c r="CZ2" s="67" t="str">
        <f t="shared" si="1"/>
        <v>A0/A1 = 0.114</v>
      </c>
    </row>
    <row r="3" spans="2:104" ht="18" x14ac:dyDescent="0.25">
      <c r="E3"/>
      <c r="U3" s="119" t="s">
        <v>150</v>
      </c>
      <c r="V3" s="119"/>
      <c r="W3" s="119"/>
      <c r="X3" s="119"/>
      <c r="Y3" s="119"/>
      <c r="Z3" s="119"/>
      <c r="AA3" s="119"/>
      <c r="AB3" s="119"/>
      <c r="AC3" s="119"/>
      <c r="AW3" s="43" t="s">
        <v>97</v>
      </c>
      <c r="AX3" s="48" t="str">
        <f t="shared" ref="AX3:BQ3" si="2">+$AW$3&amp;AX4</f>
        <v>ε/D = 0.05</v>
      </c>
      <c r="AY3" s="49" t="str">
        <f t="shared" si="2"/>
        <v>ε/D = 0.04</v>
      </c>
      <c r="AZ3" s="49" t="str">
        <f t="shared" si="2"/>
        <v>ε/D = 0.03</v>
      </c>
      <c r="BA3" s="49" t="str">
        <f t="shared" si="2"/>
        <v>ε/D = 0.02</v>
      </c>
      <c r="BB3" s="49" t="str">
        <f t="shared" si="2"/>
        <v>ε/D = 0.015</v>
      </c>
      <c r="BC3" s="49" t="str">
        <f t="shared" si="2"/>
        <v>ε/D = 0.01</v>
      </c>
      <c r="BD3" s="49" t="str">
        <f t="shared" si="2"/>
        <v>ε/D = 0.008</v>
      </c>
      <c r="BE3" s="49" t="str">
        <f t="shared" si="2"/>
        <v>ε/D = 0.006</v>
      </c>
      <c r="BF3" s="49" t="str">
        <f t="shared" si="2"/>
        <v>ε/D = 0.004</v>
      </c>
      <c r="BG3" s="49" t="str">
        <f t="shared" si="2"/>
        <v>ε/D = 0.002</v>
      </c>
      <c r="BH3" s="49" t="str">
        <f t="shared" si="2"/>
        <v>ε/D = 0.001</v>
      </c>
      <c r="BI3" s="49" t="str">
        <f t="shared" si="2"/>
        <v>ε/D = 0.0008</v>
      </c>
      <c r="BJ3" s="49" t="str">
        <f t="shared" si="2"/>
        <v>ε/D = 0.0006</v>
      </c>
      <c r="BK3" s="49" t="str">
        <f t="shared" si="2"/>
        <v>ε/D = 0.0004</v>
      </c>
      <c r="BL3" s="49" t="str">
        <f t="shared" si="2"/>
        <v>ε/D = 0.0002</v>
      </c>
      <c r="BM3" s="49" t="str">
        <f t="shared" si="2"/>
        <v>ε/D = 0.0001</v>
      </c>
      <c r="BN3" s="49" t="str">
        <f t="shared" si="2"/>
        <v>ε/D = 0.00005</v>
      </c>
      <c r="BO3" s="49" t="str">
        <f t="shared" si="2"/>
        <v>ε/D = 0.00001</v>
      </c>
      <c r="BP3" s="49" t="str">
        <f t="shared" si="2"/>
        <v>ε/D = 0.000005</v>
      </c>
      <c r="BQ3" s="50" t="str">
        <f t="shared" si="2"/>
        <v>ε/D = 0.0004</v>
      </c>
      <c r="BT3" s="41">
        <v>0</v>
      </c>
      <c r="BU3" s="42">
        <v>1.35</v>
      </c>
      <c r="BV3" s="69" t="s">
        <v>107</v>
      </c>
      <c r="BW3" s="70" t="s">
        <v>99</v>
      </c>
      <c r="BX3" s="52">
        <v>0.02</v>
      </c>
      <c r="BY3" s="52">
        <v>0.04</v>
      </c>
      <c r="BZ3" s="52">
        <v>0.06</v>
      </c>
      <c r="CA3" s="52">
        <v>0.08</v>
      </c>
      <c r="CB3" s="52">
        <v>0.1</v>
      </c>
      <c r="CC3" s="52">
        <v>0.15</v>
      </c>
      <c r="CD3" s="52">
        <v>0.2</v>
      </c>
      <c r="CE3" s="52">
        <v>0.25</v>
      </c>
      <c r="CF3" s="52">
        <v>0.3</v>
      </c>
      <c r="CG3" s="52">
        <v>0.4</v>
      </c>
      <c r="CH3" s="52">
        <v>0.5</v>
      </c>
      <c r="CI3" s="52">
        <v>0.6</v>
      </c>
      <c r="CJ3" s="52">
        <v>0.7</v>
      </c>
      <c r="CK3" s="52">
        <v>0.8</v>
      </c>
      <c r="CL3" s="52">
        <v>0.9</v>
      </c>
      <c r="CM3" s="59">
        <f>TRUNC(C29/C30,3)</f>
        <v>0.114</v>
      </c>
      <c r="CN3" s="68" t="s">
        <v>111</v>
      </c>
      <c r="CO3" s="73" t="s">
        <v>109</v>
      </c>
      <c r="CP3" s="52">
        <v>0</v>
      </c>
      <c r="CQ3" s="52">
        <v>0.2</v>
      </c>
      <c r="CR3" s="52">
        <v>0.3</v>
      </c>
      <c r="CS3" s="52">
        <v>0.4</v>
      </c>
      <c r="CT3" s="52">
        <v>0.5</v>
      </c>
      <c r="CU3" s="52">
        <v>0.6</v>
      </c>
      <c r="CV3" s="52">
        <v>0.7</v>
      </c>
      <c r="CW3" s="52">
        <v>0.8</v>
      </c>
      <c r="CX3" s="52">
        <v>0.9</v>
      </c>
      <c r="CY3" s="52">
        <v>0.95</v>
      </c>
      <c r="CZ3" s="66">
        <f>TRUNC(C29/C30,3)</f>
        <v>0.114</v>
      </c>
    </row>
    <row r="4" spans="2:104" x14ac:dyDescent="0.25">
      <c r="B4" s="6" t="s">
        <v>16</v>
      </c>
      <c r="C4" s="5"/>
      <c r="E4"/>
      <c r="U4" s="75">
        <v>1</v>
      </c>
      <c r="V4" s="120" t="s">
        <v>151</v>
      </c>
      <c r="W4" s="120"/>
      <c r="X4" s="120"/>
      <c r="Y4" s="120"/>
      <c r="Z4" s="120"/>
      <c r="AA4" s="120"/>
      <c r="AB4" s="120"/>
      <c r="AC4" s="120"/>
      <c r="AW4" s="57" t="s">
        <v>91</v>
      </c>
      <c r="AX4" s="51">
        <v>0.05</v>
      </c>
      <c r="AY4" s="52">
        <v>0.04</v>
      </c>
      <c r="AZ4" s="52">
        <v>0.03</v>
      </c>
      <c r="BA4" s="52">
        <v>0.02</v>
      </c>
      <c r="BB4" s="52">
        <v>1.4999999999999999E-2</v>
      </c>
      <c r="BC4" s="52">
        <v>0.01</v>
      </c>
      <c r="BD4" s="52">
        <v>8.0000000000000002E-3</v>
      </c>
      <c r="BE4" s="52">
        <v>6.0000000000000001E-3</v>
      </c>
      <c r="BF4" s="52">
        <v>4.0000000000000001E-3</v>
      </c>
      <c r="BG4" s="52">
        <v>2E-3</v>
      </c>
      <c r="BH4" s="52">
        <v>1E-3</v>
      </c>
      <c r="BI4" s="52">
        <v>8.0000000000000004E-4</v>
      </c>
      <c r="BJ4" s="52">
        <v>5.9999999999999995E-4</v>
      </c>
      <c r="BK4" s="52">
        <v>4.0000000000000002E-4</v>
      </c>
      <c r="BL4" s="52">
        <v>2.0000000000000001E-4</v>
      </c>
      <c r="BM4" s="52">
        <v>1E-4</v>
      </c>
      <c r="BN4" s="52">
        <v>5.0000000000000002E-5</v>
      </c>
      <c r="BO4" s="52">
        <v>1.0000000000000001E-5</v>
      </c>
      <c r="BP4" s="52">
        <v>5.0000000000000004E-6</v>
      </c>
      <c r="BQ4" s="53">
        <f>+C35</f>
        <v>4.0000000000000002E-4</v>
      </c>
      <c r="BR4" s="48" t="s">
        <v>91</v>
      </c>
      <c r="BS4" s="56" t="s">
        <v>95</v>
      </c>
      <c r="BT4" s="41">
        <f t="shared" ref="BT4:BT9" si="3">+BT3+0.2</f>
        <v>0.2</v>
      </c>
      <c r="BU4" s="42">
        <v>1.22</v>
      </c>
      <c r="BV4" s="41">
        <v>0</v>
      </c>
      <c r="BW4" s="5">
        <v>1.35</v>
      </c>
      <c r="BX4" s="5">
        <f t="shared" ref="BX4:CM13" si="4">IF($C$33&gt;10^5,((0.5+$BW4*(1-BX$3)^0.5)*(1-BX$3)+(1-BX$3)^2+$C$36*$BV4)*(1/BX$3)^2,($C$39+$C$38*$C$41+$C$36*$BV4)*(1/BX$3)^2)</f>
        <v>6900.2579502843082</v>
      </c>
      <c r="BY4" s="5">
        <f t="shared" si="4"/>
        <v>1669.6346766617498</v>
      </c>
      <c r="BZ4" s="5">
        <f t="shared" si="4"/>
        <v>717.7614299478513</v>
      </c>
      <c r="CA4" s="5">
        <f t="shared" si="4"/>
        <v>390.263210998575</v>
      </c>
      <c r="CB4" s="5">
        <f t="shared" si="4"/>
        <v>241.26502071313746</v>
      </c>
      <c r="CC4" s="5">
        <f t="shared" si="4"/>
        <v>98.01967673219373</v>
      </c>
      <c r="CD4" s="5">
        <f t="shared" si="4"/>
        <v>50.149534156997731</v>
      </c>
      <c r="CE4" s="5">
        <f t="shared" si="4"/>
        <v>29.029611541307908</v>
      </c>
      <c r="CF4" s="5">
        <f t="shared" si="4"/>
        <v>18.118263611941128</v>
      </c>
      <c r="CG4" s="5">
        <f t="shared" si="4"/>
        <v>8.0463956380350101</v>
      </c>
      <c r="CH4" s="5">
        <f t="shared" si="4"/>
        <v>3.9091883092036785</v>
      </c>
      <c r="CI4" s="5">
        <f t="shared" si="4"/>
        <v>1.9486832980505142</v>
      </c>
      <c r="CJ4" s="5">
        <f t="shared" si="4"/>
        <v>0.94250537916243349</v>
      </c>
      <c r="CK4" s="5">
        <f t="shared" si="4"/>
        <v>0.40741823560154455</v>
      </c>
      <c r="CL4" s="5">
        <f t="shared" si="4"/>
        <v>0.12677870174354705</v>
      </c>
      <c r="CM4" s="5">
        <f t="shared" si="4"/>
        <v>181.12156823059206</v>
      </c>
      <c r="CN4" s="58">
        <v>0.34</v>
      </c>
      <c r="CO4" s="71">
        <v>25</v>
      </c>
      <c r="CP4" s="5">
        <v>1.94</v>
      </c>
      <c r="CQ4" s="5">
        <v>1.78</v>
      </c>
      <c r="CR4" s="5">
        <v>1.57</v>
      </c>
      <c r="CS4" s="5">
        <v>1.35</v>
      </c>
      <c r="CT4" s="5">
        <v>1.1000000000000001</v>
      </c>
      <c r="CU4" s="5">
        <v>0.85</v>
      </c>
      <c r="CV4" s="5">
        <v>0.57999999999999996</v>
      </c>
      <c r="CW4" s="5">
        <v>0.4</v>
      </c>
      <c r="CX4" s="5">
        <v>0.2</v>
      </c>
      <c r="CY4" s="5">
        <v>0.03</v>
      </c>
      <c r="CZ4" s="42" cm="1">
        <f t="array" ref="CZ4">+interp($CZ$3,$CP$3:$CY$3,CP4:CY4)</f>
        <v>1.8488</v>
      </c>
    </row>
    <row r="5" spans="2:104" x14ac:dyDescent="0.25">
      <c r="B5" s="7" t="s">
        <v>14</v>
      </c>
      <c r="C5" s="5"/>
      <c r="E5"/>
      <c r="U5" s="75">
        <v>0</v>
      </c>
      <c r="V5" s="120" t="s">
        <v>152</v>
      </c>
      <c r="W5" s="120"/>
      <c r="X5" s="120"/>
      <c r="Y5" s="120"/>
      <c r="Z5" s="120"/>
      <c r="AA5" s="120"/>
      <c r="AB5" s="120"/>
      <c r="AC5" s="120"/>
      <c r="AW5" s="58">
        <v>2050</v>
      </c>
      <c r="AX5" s="5" cm="1">
        <f t="array" ref="AX5">+moody(AX$4,$AW5)</f>
        <v>8.1591856079101577E-2</v>
      </c>
      <c r="AY5" s="5" cm="1">
        <f t="array" ref="AY5">+moody(AY$4,$AW5)</f>
        <v>7.5701966445922864E-2</v>
      </c>
      <c r="AZ5" s="5" cm="1">
        <f t="array" ref="AZ5">+moody(AZ$4,$AW5)</f>
        <v>6.9598453872680655E-2</v>
      </c>
      <c r="BA5" s="5" cm="1">
        <f t="array" ref="BA5">+moody(BA$4,$AW5)</f>
        <v>6.3208076208496111E-2</v>
      </c>
      <c r="BB5" s="5" cm="1">
        <f t="array" ref="BB5">+moody(BB$4,$AW5)</f>
        <v>5.9869454830932617E-2</v>
      </c>
      <c r="BC5" s="5" cm="1">
        <f t="array" ref="BC5">+moody(BC$4,$AW5)</f>
        <v>5.6414866714477541E-2</v>
      </c>
      <c r="BD5" s="5" cm="1">
        <f t="array" ref="BD5">+moody(BD$4,$AW5)</f>
        <v>5.4995800041198736E-2</v>
      </c>
      <c r="BE5" s="5" cm="1">
        <f t="array" ref="BE5">+moody(BE$4,$AW5)</f>
        <v>5.3552319317626954E-2</v>
      </c>
      <c r="BF5" s="5" cm="1">
        <f t="array" ref="BF5">+moody(BF$4,$AW5)</f>
        <v>5.2081372787475586E-2</v>
      </c>
      <c r="BG5" s="5" cm="1">
        <f t="array" ref="BG5">+moody(BG$4,$AW5)</f>
        <v>5.0586012207031253E-2</v>
      </c>
      <c r="BH5" s="5" cm="1">
        <f t="array" ref="BH5">+moody(BH$4,$AW5)</f>
        <v>4.9826124891662604E-2</v>
      </c>
      <c r="BI5" s="5" cm="1">
        <f t="array" ref="BI5">+moody(BI$4,$AW5)</f>
        <v>4.9673537077331548E-2</v>
      </c>
      <c r="BJ5" s="5" cm="1">
        <f t="array" ref="BJ5">+moody(BJ$4,$AW5)</f>
        <v>4.951789750671387E-2</v>
      </c>
      <c r="BK5" s="5" cm="1">
        <f t="array" ref="BK5">+moody(BK$4,$AW5)</f>
        <v>4.9365309692382821E-2</v>
      </c>
      <c r="BL5" s="5" cm="1">
        <f t="array" ref="BL5">+moody(BL$4,$AW5)</f>
        <v>4.9212721878051757E-2</v>
      </c>
      <c r="BM5" s="5" cm="1">
        <f t="array" ref="BM5">+moody(BM$4,$AW5)</f>
        <v>4.9133376214599608E-2</v>
      </c>
      <c r="BN5" s="5" cm="1">
        <f t="array" ref="BN5">+moody(BN$4,$AW5)</f>
        <v>4.9096755139160161E-2</v>
      </c>
      <c r="BO5" s="5" cm="1">
        <f t="array" ref="BO5">+moody(BO$4,$AW5)</f>
        <v>4.9066237576293942E-2</v>
      </c>
      <c r="BP5" s="5" cm="1">
        <f t="array" ref="BP5">+moody(BP$4,$AW5)</f>
        <v>4.9060134063720701E-2</v>
      </c>
      <c r="BQ5" s="61" cm="1">
        <f t="array" ref="BQ5">+moody(BQ$4,$AW5)</f>
        <v>4.9365309692382821E-2</v>
      </c>
      <c r="BR5" s="55"/>
      <c r="BS5" s="42"/>
      <c r="BT5" s="41">
        <f t="shared" si="3"/>
        <v>0.4</v>
      </c>
      <c r="BU5" s="42">
        <v>1.1000000000000001</v>
      </c>
      <c r="BV5" s="41">
        <v>0.2</v>
      </c>
      <c r="BW5" s="5">
        <v>1.22</v>
      </c>
      <c r="BX5" s="5">
        <f t="shared" si="4"/>
        <v>6593.6546846224173</v>
      </c>
      <c r="BY5" s="5">
        <f t="shared" si="4"/>
        <v>1595.3845087042123</v>
      </c>
      <c r="BZ5" s="5">
        <f t="shared" si="4"/>
        <v>685.81725314574601</v>
      </c>
      <c r="CA5" s="5">
        <f t="shared" si="4"/>
        <v>372.88226868451812</v>
      </c>
      <c r="CB5" s="5">
        <f t="shared" si="4"/>
        <v>230.51325204871404</v>
      </c>
      <c r="CC5" s="5">
        <f t="shared" si="4"/>
        <v>93.646445308842189</v>
      </c>
      <c r="CD5" s="5">
        <f t="shared" si="4"/>
        <v>47.910979941089863</v>
      </c>
      <c r="CE5" s="5">
        <f t="shared" si="4"/>
        <v>27.734264059047003</v>
      </c>
      <c r="CF5" s="5">
        <f t="shared" si="4"/>
        <v>17.310954687641967</v>
      </c>
      <c r="CG5" s="5">
        <f t="shared" si="4"/>
        <v>7.6905188819527641</v>
      </c>
      <c r="CH5" s="5">
        <f t="shared" si="4"/>
        <v>3.739253583005882</v>
      </c>
      <c r="CI5" s="5">
        <f t="shared" si="4"/>
        <v>1.8669904412780842</v>
      </c>
      <c r="CJ5" s="5">
        <f t="shared" si="4"/>
        <v>0.9060096230093212</v>
      </c>
      <c r="CK5" s="5">
        <f t="shared" si="4"/>
        <v>0.39468496332760322</v>
      </c>
      <c r="CL5" s="5">
        <f t="shared" si="4"/>
        <v>0.12599758849596368</v>
      </c>
      <c r="CM5" s="5">
        <f t="shared" si="4"/>
        <v>173.04693916313786</v>
      </c>
      <c r="CN5" s="58">
        <v>0.36</v>
      </c>
      <c r="CO5" s="71">
        <v>40</v>
      </c>
      <c r="CP5" s="5">
        <v>1.38</v>
      </c>
      <c r="CQ5" s="5">
        <v>1.36</v>
      </c>
      <c r="CR5" s="5">
        <v>1.1599999999999999</v>
      </c>
      <c r="CS5" s="5">
        <v>0.99</v>
      </c>
      <c r="CT5" s="5">
        <v>0.75</v>
      </c>
      <c r="CU5" s="5">
        <v>0.56000000000000005</v>
      </c>
      <c r="CV5" s="5">
        <v>0.37</v>
      </c>
      <c r="CW5" s="5">
        <v>0.24</v>
      </c>
      <c r="CX5" s="5">
        <v>0.13</v>
      </c>
      <c r="CY5" s="5">
        <v>0.03</v>
      </c>
      <c r="CZ5" s="42" cm="1">
        <f t="array" ref="CZ5">+interp($CZ$3,$CP$3:$CY$3,CP5:CY5)</f>
        <v>1.3686</v>
      </c>
    </row>
    <row r="6" spans="2:104" x14ac:dyDescent="0.25">
      <c r="B6" s="8" t="s">
        <v>15</v>
      </c>
      <c r="C6" s="5"/>
      <c r="E6"/>
      <c r="AW6" s="58">
        <v>2100</v>
      </c>
      <c r="AX6" s="5" cm="1">
        <f t="array" ref="AX6">+moody(AX$4,$AW6)</f>
        <v>8.1372129626464867E-2</v>
      </c>
      <c r="AY6" s="5" cm="1">
        <f t="array" ref="AY6">+moody(AY$4,$AW6)</f>
        <v>7.5463929455566403E-2</v>
      </c>
      <c r="AZ6" s="5" cm="1">
        <f t="array" ref="AZ6">+moody(AZ$4,$AW6)</f>
        <v>6.9342106344604498E-2</v>
      </c>
      <c r="BA6" s="5" cm="1">
        <f t="array" ref="BA6">+moody(BA$4,$AW6)</f>
        <v>6.2921211117553721E-2</v>
      </c>
      <c r="BB6" s="5" cm="1">
        <f t="array" ref="BB6">+moody(BB$4,$AW6)</f>
        <v>5.9567330958557124E-2</v>
      </c>
      <c r="BC6" s="5" cm="1">
        <f t="array" ref="BC6">+moody(BC$4,$AW6)</f>
        <v>5.6091380548095704E-2</v>
      </c>
      <c r="BD6" s="5" cm="1">
        <f t="array" ref="BD6">+moody(BD$4,$AW6)</f>
        <v>5.4663158605957038E-2</v>
      </c>
      <c r="BE6" s="5" cm="1">
        <f t="array" ref="BE6">+moody(BE$4,$AW6)</f>
        <v>5.3210522613525393E-2</v>
      </c>
      <c r="BF6" s="5" cm="1">
        <f t="array" ref="BF6">+moody(BF$4,$AW6)</f>
        <v>5.1730420814514164E-2</v>
      </c>
      <c r="BG6" s="5" cm="1">
        <f t="array" ref="BG6">+moody(BG$4,$AW6)</f>
        <v>5.0219801452636728E-2</v>
      </c>
      <c r="BH6" s="5" cm="1">
        <f t="array" ref="BH6">+moody(BH$4,$AW6)</f>
        <v>4.9453810624694824E-2</v>
      </c>
      <c r="BI6" s="5" cm="1">
        <f t="array" ref="BI6">+moody(BI$4,$AW6)</f>
        <v>4.9298171054077161E-2</v>
      </c>
      <c r="BJ6" s="5" cm="1">
        <f t="array" ref="BJ6">+moody(BJ$4,$AW6)</f>
        <v>4.9145583239746098E-2</v>
      </c>
      <c r="BK6" s="5" cm="1">
        <f t="array" ref="BK6">+moody(BK$4,$AW6)</f>
        <v>4.8989943669128427E-2</v>
      </c>
      <c r="BL6" s="5" cm="1">
        <f t="array" ref="BL6">+moody(BL$4,$AW6)</f>
        <v>4.883430409851075E-2</v>
      </c>
      <c r="BM6" s="5" cm="1">
        <f t="array" ref="BM6">+moody(BM$4,$AW6)</f>
        <v>4.8754958435058601E-2</v>
      </c>
      <c r="BN6" s="5" cm="1">
        <f t="array" ref="BN6">+moody(BN$4,$AW6)</f>
        <v>4.8718337359619154E-2</v>
      </c>
      <c r="BO6" s="5" cm="1">
        <f t="array" ref="BO6">+moody(BO$4,$AW6)</f>
        <v>4.8687819796752935E-2</v>
      </c>
      <c r="BP6" s="5" cm="1">
        <f t="array" ref="BP6">+moody(BP$4,$AW6)</f>
        <v>4.8681716284179694E-2</v>
      </c>
      <c r="BQ6" s="62" cm="1">
        <f t="array" ref="BQ6">+moody(BQ$4,$AW6)</f>
        <v>4.8989943669128427E-2</v>
      </c>
      <c r="BR6" s="55">
        <v>785</v>
      </c>
      <c r="BS6" s="42" cm="1">
        <f t="array" ref="BS6">+moody(BS$5,$BR6)</f>
        <v>8.1528662420382161E-2</v>
      </c>
      <c r="BT6" s="41">
        <f t="shared" si="3"/>
        <v>0.60000000000000009</v>
      </c>
      <c r="BU6" s="42">
        <v>0.84</v>
      </c>
      <c r="BV6" s="41">
        <v>0.4</v>
      </c>
      <c r="BW6" s="5">
        <v>1.1000000000000001</v>
      </c>
      <c r="BX6" s="5">
        <f t="shared" si="4"/>
        <v>6311.3051815552253</v>
      </c>
      <c r="BY6" s="5">
        <f t="shared" si="4"/>
        <v>1527.0131161293543</v>
      </c>
      <c r="BZ6" s="5">
        <f t="shared" si="4"/>
        <v>656.40464249140268</v>
      </c>
      <c r="CA6" s="5">
        <f t="shared" si="4"/>
        <v>356.88012793341363</v>
      </c>
      <c r="CB6" s="5">
        <f t="shared" si="4"/>
        <v>220.61529835253614</v>
      </c>
      <c r="CC6" s="5">
        <f t="shared" si="4"/>
        <v>89.621507787210561</v>
      </c>
      <c r="CD6" s="5">
        <f t="shared" si="4"/>
        <v>45.851311163381972</v>
      </c>
      <c r="CE6" s="5">
        <f t="shared" si="4"/>
        <v>26.542839625240237</v>
      </c>
      <c r="CF6" s="5">
        <f t="shared" si="4"/>
        <v>16.568719320962124</v>
      </c>
      <c r="CG6" s="5">
        <f t="shared" si="4"/>
        <v>7.3636895009670749</v>
      </c>
      <c r="CH6" s="5">
        <f t="shared" si="4"/>
        <v>3.5834609924318164</v>
      </c>
      <c r="CI6" s="5">
        <f t="shared" si="4"/>
        <v>1.7923248681949178</v>
      </c>
      <c r="CJ6" s="5">
        <f t="shared" si="4"/>
        <v>0.8728672702695055</v>
      </c>
      <c r="CK6" s="5">
        <f t="shared" si="4"/>
        <v>0.38334923353959915</v>
      </c>
      <c r="CL6" s="5">
        <f t="shared" si="4"/>
        <v>0.12560687989778388</v>
      </c>
      <c r="CM6" s="5">
        <f t="shared" si="4"/>
        <v>165.61402315880545</v>
      </c>
      <c r="CN6" s="58">
        <v>0.37</v>
      </c>
      <c r="CO6" s="71">
        <v>60</v>
      </c>
      <c r="CP6" s="5">
        <v>1.1399999999999999</v>
      </c>
      <c r="CQ6" s="5">
        <v>1.05</v>
      </c>
      <c r="CR6" s="5">
        <v>0.88</v>
      </c>
      <c r="CS6" s="5">
        <v>0.79</v>
      </c>
      <c r="CT6" s="5">
        <v>0.55000000000000004</v>
      </c>
      <c r="CU6" s="5">
        <v>0.3</v>
      </c>
      <c r="CV6" s="5">
        <v>0.23</v>
      </c>
      <c r="CW6" s="5">
        <v>0.13</v>
      </c>
      <c r="CX6" s="5">
        <v>0.08</v>
      </c>
      <c r="CY6" s="5">
        <v>0.02</v>
      </c>
      <c r="CZ6" s="42" cm="1">
        <f t="array" ref="CZ6">+interp($CZ$3,$CP$3:$CY$3,CP6:CY6)</f>
        <v>1.0887</v>
      </c>
    </row>
    <row r="7" spans="2:104" x14ac:dyDescent="0.25">
      <c r="B7" s="9" t="s">
        <v>17</v>
      </c>
      <c r="C7" s="5"/>
      <c r="E7"/>
      <c r="G7"/>
      <c r="H7"/>
      <c r="I7"/>
      <c r="J7"/>
      <c r="K7"/>
      <c r="L7"/>
      <c r="M7"/>
      <c r="N7"/>
      <c r="O7"/>
      <c r="P7"/>
      <c r="Q7"/>
      <c r="R7"/>
      <c r="S7"/>
      <c r="AW7" s="58">
        <v>2500</v>
      </c>
      <c r="AX7" s="5" cm="1">
        <f t="array" ref="AX7">+moody(AX$4,$AW7)</f>
        <v>7.9907286608886741E-2</v>
      </c>
      <c r="AY7" s="5" cm="1">
        <f t="array" ref="AY7">+moody(AY$4,$AW7)</f>
        <v>7.3889223211669935E-2</v>
      </c>
      <c r="AZ7" s="5" cm="1">
        <f t="array" ref="AZ7">+moody(AZ$4,$AW7)</f>
        <v>6.7627019311523429E-2</v>
      </c>
      <c r="BA7" s="5" cm="1">
        <f t="array" ref="BA7">+moody(BA$4,$AW7)</f>
        <v>6.1007759925842286E-2</v>
      </c>
      <c r="BB7" s="5" cm="1">
        <f t="array" ref="BB7">+moody(BB$4,$AW7)</f>
        <v>5.7525706002807611E-2</v>
      </c>
      <c r="BC7" s="5" cm="1">
        <f t="array" ref="BC7">+moody(BC$4,$AW7)</f>
        <v>5.3900219534301755E-2</v>
      </c>
      <c r="BD7" s="5" cm="1">
        <f t="array" ref="BD7">+moody(BD$4,$AW7)</f>
        <v>5.2398755441284181E-2</v>
      </c>
      <c r="BE7" s="5" cm="1">
        <f t="array" ref="BE7">+moody(BE$4,$AW7)</f>
        <v>5.0866773785400402E-2</v>
      </c>
      <c r="BF7" s="5" cm="1">
        <f t="array" ref="BF7">+moody(BF$4,$AW7)</f>
        <v>4.9304274566650402E-2</v>
      </c>
      <c r="BG7" s="5" cm="1">
        <f t="array" ref="BG7">+moody(BG$4,$AW7)</f>
        <v>4.7699050759887701E-2</v>
      </c>
      <c r="BH7" s="5" cm="1">
        <f t="array" ref="BH7">+moody(BH$4,$AW7)</f>
        <v>4.6881180075073248E-2</v>
      </c>
      <c r="BI7" s="5" cm="1">
        <f t="array" ref="BI7">+moody(BI$4,$AW7)</f>
        <v>4.6716385235595709E-2</v>
      </c>
      <c r="BJ7" s="5" cm="1">
        <f t="array" ref="BJ7">+moody(BJ$4,$AW7)</f>
        <v>4.655159039611817E-2</v>
      </c>
      <c r="BK7" s="5" cm="1">
        <f t="array" ref="BK7">+moody(BK$4,$AW7)</f>
        <v>4.6386795556640631E-2</v>
      </c>
      <c r="BL7" s="5" cm="1">
        <f t="array" ref="BL7">+moody(BL$4,$AW7)</f>
        <v>4.6222000717163092E-2</v>
      </c>
      <c r="BM7" s="5" cm="1">
        <f t="array" ref="BM7">+moody(BM$4,$AW7)</f>
        <v>4.6136551541137702E-2</v>
      </c>
      <c r="BN7" s="5" cm="1">
        <f t="array" ref="BN7">+moody(BN$4,$AW7)</f>
        <v>4.6096878709411634E-2</v>
      </c>
      <c r="BO7" s="5" cm="1">
        <f t="array" ref="BO7">+moody(BO$4,$AW7)</f>
        <v>4.6063309390258794E-2</v>
      </c>
      <c r="BP7" s="5" cm="1">
        <f t="array" ref="BP7">+moody(BP$4,$AW7)</f>
        <v>4.6057205877685553E-2</v>
      </c>
      <c r="BQ7" s="62" cm="1">
        <f t="array" ref="BQ7">+moody(BQ$4,$AW7)</f>
        <v>4.6386795556640631E-2</v>
      </c>
      <c r="BR7" s="55">
        <v>1000</v>
      </c>
      <c r="BS7" s="42" cm="1">
        <f t="array" ref="BS7">+moody(BS$5,$BR7)</f>
        <v>6.4000000000000001E-2</v>
      </c>
      <c r="BT7" s="41">
        <f t="shared" si="3"/>
        <v>0.8</v>
      </c>
      <c r="BU7" s="42">
        <v>0.42</v>
      </c>
      <c r="BV7" s="41">
        <v>0.60000000000000009</v>
      </c>
      <c r="BW7" s="5">
        <v>0.84</v>
      </c>
      <c r="BX7" s="5">
        <f t="shared" si="4"/>
        <v>5689.403002162253</v>
      </c>
      <c r="BY7" s="5">
        <f t="shared" si="4"/>
        <v>1376.3388681969818</v>
      </c>
      <c r="BZ7" s="5">
        <f t="shared" si="4"/>
        <v>591.55010576839334</v>
      </c>
      <c r="CA7" s="5">
        <f t="shared" si="4"/>
        <v>321.57476530097551</v>
      </c>
      <c r="CB7" s="5">
        <f t="shared" si="4"/>
        <v>198.76393510092177</v>
      </c>
      <c r="CC7" s="5">
        <f t="shared" si="4"/>
        <v>80.720455641499626</v>
      </c>
      <c r="CD7" s="5">
        <f t="shared" si="4"/>
        <v>41.287246250874318</v>
      </c>
      <c r="CE7" s="5">
        <f t="shared" si="4"/>
        <v>23.896492513075607</v>
      </c>
      <c r="CF7" s="5">
        <f t="shared" si="4"/>
        <v>14.915454147611841</v>
      </c>
      <c r="CG7" s="5">
        <f t="shared" si="4"/>
        <v>6.6301968686296036</v>
      </c>
      <c r="CH7" s="5">
        <f t="shared" si="4"/>
        <v>3.2296785031255162</v>
      </c>
      <c r="CI7" s="5">
        <f t="shared" si="4"/>
        <v>1.6192773234620677</v>
      </c>
      <c r="CJ7" s="5">
        <f t="shared" si="4"/>
        <v>0.79277726974353291</v>
      </c>
      <c r="CK7" s="5">
        <f t="shared" si="4"/>
        <v>0.35244790894847194</v>
      </c>
      <c r="CL7" s="5">
        <f t="shared" si="4"/>
        <v>0.11975050620795501</v>
      </c>
      <c r="CM7" s="5">
        <f t="shared" si="4"/>
        <v>149.19712427076706</v>
      </c>
      <c r="CN7" s="58">
        <v>0.4</v>
      </c>
      <c r="CO7" s="71">
        <v>100</v>
      </c>
      <c r="CP7" s="5">
        <v>0.89</v>
      </c>
      <c r="CQ7" s="5">
        <v>0.85</v>
      </c>
      <c r="CR7" s="5">
        <v>0.75</v>
      </c>
      <c r="CS7" s="5">
        <v>0.56999999999999995</v>
      </c>
      <c r="CT7" s="5">
        <v>0.34</v>
      </c>
      <c r="CU7" s="5">
        <v>0.19</v>
      </c>
      <c r="CV7" s="5">
        <v>0.11</v>
      </c>
      <c r="CW7" s="5">
        <v>0.06</v>
      </c>
      <c r="CX7" s="5">
        <v>0.03</v>
      </c>
      <c r="CY7" s="5">
        <v>0</v>
      </c>
      <c r="CZ7" s="42" cm="1">
        <f t="array" ref="CZ7">+interp($CZ$3,$CP$3:$CY$3,CP7:CY7)</f>
        <v>0.86719999999999997</v>
      </c>
    </row>
    <row r="8" spans="2:104" x14ac:dyDescent="0.25">
      <c r="B8" s="10" t="s">
        <v>18</v>
      </c>
      <c r="C8" s="5"/>
      <c r="E8"/>
      <c r="G8"/>
      <c r="H8"/>
      <c r="I8"/>
      <c r="J8"/>
      <c r="K8"/>
      <c r="L8"/>
      <c r="M8"/>
      <c r="N8"/>
      <c r="O8"/>
      <c r="P8"/>
      <c r="Q8"/>
      <c r="R8"/>
      <c r="S8"/>
      <c r="AW8" s="58">
        <v>3000</v>
      </c>
      <c r="AX8" s="5" cm="1">
        <f t="array" ref="AX8">+moody(AX$4,$AW8)</f>
        <v>7.8588927893066429E-2</v>
      </c>
      <c r="AY8" s="5" cm="1">
        <f t="array" ref="AY8">+moody(AY$4,$AW8)</f>
        <v>7.2473208294677738E-2</v>
      </c>
      <c r="AZ8" s="5" cm="1">
        <f t="array" ref="AZ8">+moody(AZ$4,$AW8)</f>
        <v>6.6064520092773443E-2</v>
      </c>
      <c r="BA8" s="5" cm="1">
        <f t="array" ref="BA8">+moody(BA$4,$AW8)</f>
        <v>5.9246896548461908E-2</v>
      </c>
      <c r="BB8" s="5" cm="1">
        <f t="array" ref="BB8">+moody(BB$4,$AW8)</f>
        <v>5.5639720617675789E-2</v>
      </c>
      <c r="BC8" s="5" cm="1">
        <f t="array" ref="BC8">+moody(BC$4,$AW8)</f>
        <v>5.1846387553405773E-2</v>
      </c>
      <c r="BD8" s="5" cm="1">
        <f t="array" ref="BD8">+moody(BD$4,$AW8)</f>
        <v>5.0271681309509292E-2</v>
      </c>
      <c r="BE8" s="5" cm="1">
        <f t="array" ref="BE8">+moody(BE$4,$AW8)</f>
        <v>4.8654250477600108E-2</v>
      </c>
      <c r="BF8" s="5" cm="1">
        <f t="array" ref="BF8">+moody(BF$4,$AW8)</f>
        <v>4.6994095057678223E-2</v>
      </c>
      <c r="BG8" s="5" cm="1">
        <f t="array" ref="BG8">+moody(BG$4,$AW8)</f>
        <v>4.5285111537170422E-2</v>
      </c>
      <c r="BH8" s="5" cm="1">
        <f t="array" ref="BH8">+moody(BH$4,$AW8)</f>
        <v>4.4409257482910164E-2</v>
      </c>
      <c r="BI8" s="5" cm="1">
        <f t="array" ref="BI8">+moody(BI$4,$AW8)</f>
        <v>4.4232255618286143E-2</v>
      </c>
      <c r="BJ8" s="5" cm="1">
        <f t="array" ref="BJ8">+moody(BJ$4,$AW8)</f>
        <v>4.4055253753662121E-2</v>
      </c>
      <c r="BK8" s="5" cm="1">
        <f t="array" ref="BK8">+moody(BK$4,$AW8)</f>
        <v>4.38782518890381E-2</v>
      </c>
      <c r="BL8" s="5" cm="1">
        <f t="array" ref="BL8">+moody(BL$4,$AW8)</f>
        <v>4.3698198268127444E-2</v>
      </c>
      <c r="BM8" s="5" cm="1">
        <f t="array" ref="BM8">+moody(BM$4,$AW8)</f>
        <v>4.3609697335815434E-2</v>
      </c>
      <c r="BN8" s="5" cm="1">
        <f t="array" ref="BN8">+moody(BN$4,$AW8)</f>
        <v>4.3563920991516125E-2</v>
      </c>
      <c r="BO8" s="5" cm="1">
        <f t="array" ref="BO8">+moody(BO$4,$AW8)</f>
        <v>4.3527299916076664E-2</v>
      </c>
      <c r="BP8" s="5" cm="1">
        <f t="array" ref="BP8">+moody(BP$4,$AW8)</f>
        <v>4.3524248159790044E-2</v>
      </c>
      <c r="BQ8" s="62" cm="1">
        <f t="array" ref="BQ8">+moody(BQ$4,$AW8)</f>
        <v>4.38782518890381E-2</v>
      </c>
      <c r="BR8" s="51">
        <v>2000</v>
      </c>
      <c r="BS8" s="59" cm="1">
        <f t="array" ref="BS8">+moody(BS$5,$BR8)</f>
        <v>3.2000000000000001E-2</v>
      </c>
      <c r="BT8" s="41">
        <f t="shared" si="3"/>
        <v>1</v>
      </c>
      <c r="BU8" s="42">
        <v>0.24</v>
      </c>
      <c r="BV8" s="41">
        <v>0.8</v>
      </c>
      <c r="BW8" s="5">
        <v>0.42</v>
      </c>
      <c r="BX8" s="5">
        <f t="shared" si="4"/>
        <v>4679.4406212541044</v>
      </c>
      <c r="BY8" s="5">
        <f t="shared" si="4"/>
        <v>1131.6042141417354</v>
      </c>
      <c r="BZ8" s="5">
        <f t="shared" si="4"/>
        <v>486.19051068119427</v>
      </c>
      <c r="CA8" s="5">
        <f t="shared" si="4"/>
        <v>264.20857766129888</v>
      </c>
      <c r="CB8" s="5">
        <f t="shared" si="4"/>
        <v>163.25153235738</v>
      </c>
      <c r="CC8" s="5">
        <f t="shared" si="4"/>
        <v>66.246701068269417</v>
      </c>
      <c r="CD8" s="5">
        <f t="shared" si="4"/>
        <v>33.861014327166941</v>
      </c>
      <c r="CE8" s="5">
        <f t="shared" si="4"/>
        <v>19.587376625644861</v>
      </c>
      <c r="CF8" s="5">
        <f t="shared" si="4"/>
        <v>12.221012052352489</v>
      </c>
      <c r="CG8" s="5">
        <f t="shared" si="4"/>
        <v>5.4319462347472456</v>
      </c>
      <c r="CH8" s="5">
        <f t="shared" si="4"/>
        <v>2.649621843839522</v>
      </c>
      <c r="CI8" s="5">
        <f t="shared" si="4"/>
        <v>1.333793239701009</v>
      </c>
      <c r="CJ8" s="5">
        <f t="shared" si="4"/>
        <v>0.65903281460480923</v>
      </c>
      <c r="CK8" s="5">
        <f t="shared" si="4"/>
        <v>0.29918590458234684</v>
      </c>
      <c r="CL8" s="5">
        <f t="shared" si="4"/>
        <v>0.10764765812767006</v>
      </c>
      <c r="CM8" s="5">
        <f t="shared" si="4"/>
        <v>122.51281637277896</v>
      </c>
      <c r="CN8" s="58">
        <v>0.42</v>
      </c>
      <c r="CO8" s="71">
        <v>200</v>
      </c>
      <c r="CP8" s="5">
        <v>0.69</v>
      </c>
      <c r="CQ8" s="5">
        <v>0.67</v>
      </c>
      <c r="CR8" s="5">
        <v>0.56999999999999995</v>
      </c>
      <c r="CS8" s="5">
        <v>0.4</v>
      </c>
      <c r="CT8" s="5">
        <v>0.19</v>
      </c>
      <c r="CU8" s="5">
        <v>0.1</v>
      </c>
      <c r="CV8" s="5">
        <v>0.06</v>
      </c>
      <c r="CW8" s="5">
        <v>0.03</v>
      </c>
      <c r="CX8" s="5">
        <v>0.01</v>
      </c>
      <c r="CY8" s="5">
        <v>0</v>
      </c>
      <c r="CZ8" s="42" cm="1">
        <f t="array" ref="CZ8">+interp($CZ$3,$CP$3:$CY$3,CP8:CY8)</f>
        <v>0.67859999999999998</v>
      </c>
    </row>
    <row r="9" spans="2:104" x14ac:dyDescent="0.25">
      <c r="B9"/>
      <c r="C9" s="33"/>
      <c r="E9"/>
      <c r="G9"/>
      <c r="H9"/>
      <c r="I9"/>
      <c r="J9"/>
      <c r="K9"/>
      <c r="L9"/>
      <c r="M9"/>
      <c r="N9"/>
      <c r="O9"/>
      <c r="P9"/>
      <c r="Q9"/>
      <c r="R9"/>
      <c r="S9"/>
      <c r="AW9" s="58">
        <v>4000</v>
      </c>
      <c r="AX9" s="5" cm="1">
        <f t="array" ref="AX9">+moody(AX$4,$AW9)</f>
        <v>7.6904358422851565E-2</v>
      </c>
      <c r="AY9" s="5" cm="1">
        <f t="array" ref="AY9">+moody(AY$4,$AW9)</f>
        <v>7.0636051010131845E-2</v>
      </c>
      <c r="AZ9" s="5" cm="1">
        <f t="array" ref="AZ9">+moody(AZ$4,$AW9)</f>
        <v>6.4019843380737296E-2</v>
      </c>
      <c r="BA9" s="5" cm="1">
        <f t="array" ref="BA9">+moody(BA$4,$AW9)</f>
        <v>5.6918406501770019E-2</v>
      </c>
      <c r="BB9" s="5" cm="1">
        <f t="array" ref="BB9">+moody(BB$4,$AW9)</f>
        <v>5.310676289978028E-2</v>
      </c>
      <c r="BC9" s="5" cm="1">
        <f t="array" ref="BC9">+moody(BC$4,$AW9)</f>
        <v>4.9060134063720701E-2</v>
      </c>
      <c r="BD9" s="5" cm="1">
        <f t="array" ref="BD9">+moody(BD$4,$AW9)</f>
        <v>4.7357254055786141E-2</v>
      </c>
      <c r="BE9" s="5" cm="1">
        <f t="array" ref="BE9">+moody(BE$4,$AW9)</f>
        <v>4.5599442434692397E-2</v>
      </c>
      <c r="BF9" s="5" cm="1">
        <f t="array" ref="BF9">+moody(BF$4,$AW9)</f>
        <v>4.3780595687866214E-2</v>
      </c>
      <c r="BG9" s="5" cm="1">
        <f t="array" ref="BG9">+moody(BG$4,$AW9)</f>
        <v>4.1885455033874516E-2</v>
      </c>
      <c r="BH9" s="5" cm="1">
        <f t="array" ref="BH9">+moody(BH$4,$AW9)</f>
        <v>4.0908893022155779E-2</v>
      </c>
      <c r="BI9" s="5" cm="1">
        <f t="array" ref="BI9">+moody(BI$4,$AW9)</f>
        <v>4.07105288635254E-2</v>
      </c>
      <c r="BJ9" s="5" cm="1">
        <f t="array" ref="BJ9">+moody(BJ$4,$AW9)</f>
        <v>4.0509112948608414E-2</v>
      </c>
      <c r="BK9" s="5" cm="1">
        <f t="array" ref="BK9">+moody(BK$4,$AW9)</f>
        <v>4.0310748789978035E-2</v>
      </c>
      <c r="BL9" s="5" cm="1">
        <f t="array" ref="BL9">+moody(BL$4,$AW9)</f>
        <v>4.0109332875061049E-2</v>
      </c>
      <c r="BM9" s="5" cm="1">
        <f t="array" ref="BM9">+moody(BM$4,$AW9)</f>
        <v>4.0008624917602556E-2</v>
      </c>
      <c r="BN9" s="5" cm="1">
        <f t="array" ref="BN9">+moody(BN$4,$AW9)</f>
        <v>3.9956745060729992E-2</v>
      </c>
      <c r="BO9" s="5" cm="1">
        <f t="array" ref="BO9">+moody(BO$4,$AW9)</f>
        <v>3.9917072229003918E-2</v>
      </c>
      <c r="BP9" s="5" cm="1">
        <f t="array" ref="BP9">+moody(BP$4,$AW9)</f>
        <v>3.991096871643067E-2</v>
      </c>
      <c r="BQ9" s="62" cm="1">
        <f t="array" ref="BQ9">+moody(BQ$4,$AW9)</f>
        <v>4.0310748789978035E-2</v>
      </c>
      <c r="BR9" s="54"/>
      <c r="BS9" s="56" t="s">
        <v>96</v>
      </c>
      <c r="BT9" s="41">
        <f t="shared" si="3"/>
        <v>1.2</v>
      </c>
      <c r="BU9" s="42">
        <v>0.16</v>
      </c>
      <c r="BV9" s="41">
        <v>1</v>
      </c>
      <c r="BW9" s="5">
        <v>0.24</v>
      </c>
      <c r="BX9" s="5">
        <f t="shared" si="4"/>
        <v>4251.5685426187201</v>
      </c>
      <c r="BY9" s="5">
        <f t="shared" si="4"/>
        <v>1027.9601692707997</v>
      </c>
      <c r="BZ9" s="5">
        <f t="shared" si="4"/>
        <v>441.58850314027967</v>
      </c>
      <c r="CA9" s="5">
        <f t="shared" si="4"/>
        <v>239.93362753247996</v>
      </c>
      <c r="CB9" s="5">
        <f t="shared" si="4"/>
        <v>148.2306888517293</v>
      </c>
      <c r="CC9" s="5">
        <f t="shared" si="4"/>
        <v>60.132000136318084</v>
      </c>
      <c r="CD9" s="5">
        <f t="shared" si="4"/>
        <v>30.728032920259146</v>
      </c>
      <c r="CE9" s="5">
        <f t="shared" si="4"/>
        <v>17.772413901113293</v>
      </c>
      <c r="CF9" s="5">
        <f t="shared" si="4"/>
        <v>11.088335339956741</v>
      </c>
      <c r="CG9" s="5">
        <f t="shared" si="4"/>
        <v>4.9308326031822229</v>
      </c>
      <c r="CH9" s="5">
        <f t="shared" si="4"/>
        <v>2.4089764395230708</v>
      </c>
      <c r="CI9" s="5">
        <f t="shared" si="4"/>
        <v>1.2169639644822636</v>
      </c>
      <c r="CJ9" s="5">
        <f t="shared" si="4"/>
        <v>0.60577004138521229</v>
      </c>
      <c r="CK9" s="5">
        <f t="shared" si="4"/>
        <v>0.27946491987871863</v>
      </c>
      <c r="CL9" s="5">
        <f t="shared" si="4"/>
        <v>0.10491452163306922</v>
      </c>
      <c r="CM9" s="5">
        <f t="shared" si="4"/>
        <v>111.22962198971543</v>
      </c>
      <c r="CN9" s="58">
        <v>0.46</v>
      </c>
      <c r="CO9" s="71">
        <v>400</v>
      </c>
      <c r="CP9" s="5">
        <v>0.64</v>
      </c>
      <c r="CQ9" s="5">
        <v>0.56999999999999995</v>
      </c>
      <c r="CR9" s="5">
        <v>0.43</v>
      </c>
      <c r="CS9" s="5">
        <v>0.28000000000000003</v>
      </c>
      <c r="CT9" s="5">
        <v>0.12</v>
      </c>
      <c r="CU9" s="5">
        <v>0.06</v>
      </c>
      <c r="CV9" s="5">
        <v>0.03</v>
      </c>
      <c r="CW9" s="5">
        <v>0.02</v>
      </c>
      <c r="CX9" s="5">
        <v>0</v>
      </c>
      <c r="CY9" s="5">
        <v>0</v>
      </c>
      <c r="CZ9" s="42" cm="1">
        <f t="array" ref="CZ9">+interp($CZ$3,$CP$3:$CY$3,CP9:CY9)</f>
        <v>0.60009999999999997</v>
      </c>
    </row>
    <row r="10" spans="2:104" x14ac:dyDescent="0.25">
      <c r="B10" s="116" t="s">
        <v>80</v>
      </c>
      <c r="C10" s="117"/>
      <c r="D10" s="118"/>
      <c r="E10"/>
      <c r="G10"/>
      <c r="H10"/>
      <c r="I10"/>
      <c r="J10"/>
      <c r="K10"/>
      <c r="L10"/>
      <c r="M10"/>
      <c r="N10"/>
      <c r="O10"/>
      <c r="P10"/>
      <c r="Q10"/>
      <c r="R10"/>
      <c r="S10"/>
      <c r="AW10" s="58">
        <v>5000</v>
      </c>
      <c r="AX10" s="5" cm="1">
        <f t="array" ref="AX10">+moody(AX$4,$AW10)</f>
        <v>7.5866761285400375E-2</v>
      </c>
      <c r="AY10" s="5" cm="1">
        <f t="array" ref="AY10">+moody(AY$4,$AW10)</f>
        <v>6.9494694158935555E-2</v>
      </c>
      <c r="AZ10" s="5" cm="1">
        <f t="array" ref="AZ10">+moody(AZ$4,$AW10)</f>
        <v>6.2744209252929686E-2</v>
      </c>
      <c r="BA10" s="5" cm="1">
        <f t="array" ref="BA10">+moody(BA$4,$AW10)</f>
        <v>5.5435252946472169E-2</v>
      </c>
      <c r="BB10" s="5" cm="1">
        <f t="array" ref="BB10">+moody(BB$4,$AW10)</f>
        <v>5.1477125042724614E-2</v>
      </c>
      <c r="BC10" s="5" cm="1">
        <f t="array" ref="BC10">+moody(BC$4,$AW10)</f>
        <v>4.7235183804321304E-2</v>
      </c>
      <c r="BD10" s="5" cm="1">
        <f t="array" ref="BD10">+moody(BD$4,$AW10)</f>
        <v>4.5434647595214851E-2</v>
      </c>
      <c r="BE10" s="5" cm="1">
        <f t="array" ref="BE10">+moody(BE$4,$AW10)</f>
        <v>4.3563920991516125E-2</v>
      </c>
      <c r="BF10" s="5" cm="1">
        <f t="array" ref="BF10">+moody(BF$4,$AW10)</f>
        <v>4.1610796968078623E-2</v>
      </c>
      <c r="BG10" s="5" cm="1">
        <f t="array" ref="BG10">+moody(BG$4,$AW10)</f>
        <v>3.9560016743469248E-2</v>
      </c>
      <c r="BH10" s="5" cm="1">
        <f t="array" ref="BH10">+moody(BH$4,$AW10)</f>
        <v>3.8491902043151865E-2</v>
      </c>
      <c r="BI10" s="5" cm="1">
        <f t="array" ref="BI10">+moody(BI$4,$AW10)</f>
        <v>3.8275227346801763E-2</v>
      </c>
      <c r="BJ10" s="5" cm="1">
        <f t="array" ref="BJ10">+moody(BJ$4,$AW10)</f>
        <v>3.805550089416504E-2</v>
      </c>
      <c r="BK10" s="5" cm="1">
        <f t="array" ref="BK10">+moody(BK$4,$AW10)</f>
        <v>3.7835774441528316E-2</v>
      </c>
      <c r="BL10" s="5" cm="1">
        <f t="array" ref="BL10">+moody(BL$4,$AW10)</f>
        <v>3.7616047988891607E-2</v>
      </c>
      <c r="BM10" s="5" cm="1">
        <f t="array" ref="BM10">+moody(BM$4,$AW10)</f>
        <v>3.7503133006286632E-2</v>
      </c>
      <c r="BN10" s="5" cm="1">
        <f t="array" ref="BN10">+moody(BN$4,$AW10)</f>
        <v>3.7448201393127448E-2</v>
      </c>
      <c r="BO10" s="5" cm="1">
        <f t="array" ref="BO10">+moody(BO$4,$AW10)</f>
        <v>3.7403950926971435E-2</v>
      </c>
      <c r="BP10" s="5" cm="1">
        <f t="array" ref="BP10">+moody(BP$4,$AW10)</f>
        <v>3.7399373292541505E-2</v>
      </c>
      <c r="BQ10" s="62" cm="1">
        <f t="array" ref="BQ10">+moody(BQ$4,$AW10)</f>
        <v>3.7835774441528316E-2</v>
      </c>
      <c r="BR10" s="55">
        <v>2000</v>
      </c>
      <c r="BS10" s="42">
        <v>1.0000000000000001E-5</v>
      </c>
      <c r="BT10" s="41">
        <v>1.6</v>
      </c>
      <c r="BU10" s="42">
        <v>7.0000000000000007E-2</v>
      </c>
      <c r="BV10" s="41">
        <v>1.4</v>
      </c>
      <c r="BW10" s="5">
        <v>0.1</v>
      </c>
      <c r="BX10" s="5">
        <f t="shared" si="4"/>
        <v>3929.4071624313224</v>
      </c>
      <c r="BY10" s="5">
        <f t="shared" si="4"/>
        <v>950.00513794788048</v>
      </c>
      <c r="BZ10" s="5">
        <f t="shared" si="4"/>
        <v>408.0789433092117</v>
      </c>
      <c r="CA10" s="5">
        <f t="shared" si="4"/>
        <v>221.71736165979513</v>
      </c>
      <c r="CB10" s="5">
        <f t="shared" si="4"/>
        <v>136.97293114182813</v>
      </c>
      <c r="CC10" s="5">
        <f t="shared" si="4"/>
        <v>55.565064110254411</v>
      </c>
      <c r="CD10" s="5">
        <f t="shared" si="4"/>
        <v>28.397549746843204</v>
      </c>
      <c r="CE10" s="5">
        <f t="shared" si="4"/>
        <v>16.428795518041085</v>
      </c>
      <c r="CF10" s="5">
        <f t="shared" si="4"/>
        <v>10.254600182790222</v>
      </c>
      <c r="CG10" s="5">
        <f t="shared" si="4"/>
        <v>4.5676475921763977</v>
      </c>
      <c r="CH10" s="5">
        <f t="shared" si="4"/>
        <v>2.238812614612248</v>
      </c>
      <c r="CI10" s="5">
        <f t="shared" si="4"/>
        <v>1.1379056552085607</v>
      </c>
      <c r="CJ10" s="5">
        <f t="shared" si="4"/>
        <v>0.57301937003855052</v>
      </c>
      <c r="CK10" s="5">
        <f t="shared" si="4"/>
        <v>0.27076888516208414</v>
      </c>
      <c r="CL10" s="5">
        <f t="shared" si="4"/>
        <v>0.10803715093074456</v>
      </c>
      <c r="CM10" s="5">
        <f t="shared" si="4"/>
        <v>102.78092061226926</v>
      </c>
      <c r="CN10" s="58">
        <v>0.53</v>
      </c>
      <c r="CO10" s="71">
        <v>1000</v>
      </c>
      <c r="CP10" s="5">
        <v>0.39</v>
      </c>
      <c r="CQ10" s="5">
        <v>0.36</v>
      </c>
      <c r="CR10" s="5">
        <v>0.3</v>
      </c>
      <c r="CS10" s="5">
        <v>0.19</v>
      </c>
      <c r="CT10" s="5">
        <v>7.0000000000000007E-2</v>
      </c>
      <c r="CU10" s="5">
        <v>0.03</v>
      </c>
      <c r="CV10" s="5">
        <v>0.02</v>
      </c>
      <c r="CW10" s="5">
        <v>0.01</v>
      </c>
      <c r="CX10" s="5">
        <v>0</v>
      </c>
      <c r="CY10" s="5">
        <v>0</v>
      </c>
      <c r="CZ10" s="42" cm="1">
        <f t="array" ref="CZ10">+interp($CZ$3,$CP$3:$CY$3,CP10:CY10)</f>
        <v>0.37290000000000001</v>
      </c>
    </row>
    <row r="11" spans="2:104" ht="18" customHeight="1" x14ac:dyDescent="0.25">
      <c r="B11" s="12" t="s">
        <v>73</v>
      </c>
      <c r="C11" s="1" t="s">
        <v>158</v>
      </c>
      <c r="D11" s="13" t="s">
        <v>74</v>
      </c>
      <c r="AW11" s="58">
        <v>6000</v>
      </c>
      <c r="AX11" s="5" cm="1">
        <f t="array" ref="AX11">+moody(AX$4,$AW11)</f>
        <v>7.5158753826904318E-2</v>
      </c>
      <c r="AY11" s="5" cm="1">
        <f t="array" ref="AY11">+moody(AY$4,$AW11)</f>
        <v>6.871954806213379E-2</v>
      </c>
      <c r="AZ11" s="5" cm="1">
        <f t="array" ref="AZ11">+moody(AZ$4,$AW11)</f>
        <v>6.1865303442382814E-2</v>
      </c>
      <c r="BA11" s="5" cm="1">
        <f t="array" ref="BA11">+moody(BA$4,$AW11)</f>
        <v>5.4406811077880854E-2</v>
      </c>
      <c r="BB11" s="5" cm="1">
        <f t="array" ref="BB11">+moody(BB$4,$AW11)</f>
        <v>5.0335768191528324E-2</v>
      </c>
      <c r="BC11" s="5" cm="1">
        <f t="array" ref="BC11">+moody(BC$4,$AW11)</f>
        <v>4.5938187382507323E-2</v>
      </c>
      <c r="BD11" s="5" cm="1">
        <f t="array" ref="BD11">+moody(BD$4,$AW11)</f>
        <v>4.4061357266235363E-2</v>
      </c>
      <c r="BE11" s="5" cm="1">
        <f t="array" ref="BE11">+moody(BE$4,$AW11)</f>
        <v>4.2096026217651378E-2</v>
      </c>
      <c r="BF11" s="5" cm="1">
        <f t="array" ref="BF11">+moody(BF$4,$AW11)</f>
        <v>4.00299872116089E-2</v>
      </c>
      <c r="BG11" s="5" cm="1">
        <f t="array" ref="BG11">+moody(BG$4,$AW11)</f>
        <v>3.7841877954101565E-2</v>
      </c>
      <c r="BH11" s="5" cm="1">
        <f t="array" ref="BH11">+moody(BH$4,$AW11)</f>
        <v>3.669289171218873E-2</v>
      </c>
      <c r="BI11" s="5" cm="1">
        <f t="array" ref="BI11">+moody(BI$4,$AW11)</f>
        <v>3.6459432356262214E-2</v>
      </c>
      <c r="BJ11" s="5" cm="1">
        <f t="array" ref="BJ11">+moody(BJ$4,$AW11)</f>
        <v>3.6221395365905767E-2</v>
      </c>
      <c r="BK11" s="5" cm="1">
        <f t="array" ref="BK11">+moody(BK$4,$AW11)</f>
        <v>3.5983358375549307E-2</v>
      </c>
      <c r="BL11" s="5" cm="1">
        <f t="array" ref="BL11">+moody(BL$4,$AW11)</f>
        <v>3.5745321385192874E-2</v>
      </c>
      <c r="BM11" s="5" cm="1">
        <f t="array" ref="BM11">+moody(BM$4,$AW11)</f>
        <v>3.5623251133728023E-2</v>
      </c>
      <c r="BN11" s="5" cm="1">
        <f t="array" ref="BN11">+moody(BN$4,$AW11)</f>
        <v>3.5563741886138908E-2</v>
      </c>
      <c r="BO11" s="5" cm="1">
        <f t="array" ref="BO11">+moody(BO$4,$AW11)</f>
        <v>3.5514913785552979E-2</v>
      </c>
      <c r="BP11" s="5" cm="1">
        <f t="array" ref="BP11">+moody(BP$4,$AW11)</f>
        <v>3.5508810272979738E-2</v>
      </c>
      <c r="BQ11" s="62" cm="1">
        <f t="array" ref="BQ11">+moody(BQ$4,$AW11)</f>
        <v>3.5983358375549307E-2</v>
      </c>
      <c r="BR11" s="51">
        <v>2000</v>
      </c>
      <c r="BS11" s="59">
        <v>0.1</v>
      </c>
      <c r="BT11" s="41">
        <v>2</v>
      </c>
      <c r="BU11" s="42">
        <v>0.02</v>
      </c>
      <c r="BV11" s="41">
        <v>2</v>
      </c>
      <c r="BW11" s="5">
        <v>0.02</v>
      </c>
      <c r="BX11" s="5">
        <f t="shared" si="4"/>
        <v>3761.464005881307</v>
      </c>
      <c r="BY11" s="5">
        <f t="shared" si="4"/>
        <v>909.49667093833671</v>
      </c>
      <c r="BZ11" s="5">
        <f t="shared" si="4"/>
        <v>390.7249634835137</v>
      </c>
      <c r="CA11" s="5">
        <f t="shared" si="4"/>
        <v>212.31738316914917</v>
      </c>
      <c r="CB11" s="5">
        <f t="shared" si="4"/>
        <v>131.18588916416735</v>
      </c>
      <c r="CC11" s="5">
        <f t="shared" si="4"/>
        <v>53.242480793518311</v>
      </c>
      <c r="CD11" s="5">
        <f t="shared" si="4"/>
        <v>27.227335683319065</v>
      </c>
      <c r="CE11" s="5">
        <f t="shared" si="4"/>
        <v>15.764367573336488</v>
      </c>
      <c r="CF11" s="5">
        <f t="shared" si="4"/>
        <v>9.8499536960915659</v>
      </c>
      <c r="CG11" s="5">
        <f t="shared" si="4"/>
        <v>4.4004859519228861</v>
      </c>
      <c r="CH11" s="5">
        <f t="shared" si="4"/>
        <v>2.1674146403545178</v>
      </c>
      <c r="CI11" s="5">
        <f t="shared" si="4"/>
        <v>1.1106728792584264</v>
      </c>
      <c r="CJ11" s="5">
        <f t="shared" si="4"/>
        <v>0.56748760739141824</v>
      </c>
      <c r="CK11" s="5">
        <f t="shared" si="4"/>
        <v>0.27589288540431828</v>
      </c>
      <c r="CL11" s="5">
        <f t="shared" si="4"/>
        <v>0.11779635531950319</v>
      </c>
      <c r="CM11" s="5">
        <f t="shared" si="4"/>
        <v>98.450138366684143</v>
      </c>
      <c r="CN11" s="58">
        <v>0.59</v>
      </c>
      <c r="CO11" s="71">
        <v>2000</v>
      </c>
      <c r="CP11" s="5">
        <v>0.3</v>
      </c>
      <c r="CQ11" s="5">
        <v>0.26</v>
      </c>
      <c r="CR11" s="5">
        <v>0.22</v>
      </c>
      <c r="CS11" s="5">
        <v>0.14000000000000001</v>
      </c>
      <c r="CT11" s="5">
        <v>0.05</v>
      </c>
      <c r="CU11" s="5">
        <v>0.02</v>
      </c>
      <c r="CV11" s="5">
        <v>0.01</v>
      </c>
      <c r="CW11" s="5">
        <v>0</v>
      </c>
      <c r="CX11" s="5">
        <v>0</v>
      </c>
      <c r="CY11" s="5">
        <v>0</v>
      </c>
      <c r="CZ11" s="42" cm="1">
        <f t="array" ref="CZ11">+interp($CZ$3,$CP$3:$CY$3,CP11:CY11)</f>
        <v>0.2772</v>
      </c>
    </row>
    <row r="12" spans="2:104" ht="18" x14ac:dyDescent="0.25">
      <c r="B12" s="12" t="s">
        <v>81</v>
      </c>
      <c r="C12" s="2">
        <v>20</v>
      </c>
      <c r="D12" s="13" t="s">
        <v>2</v>
      </c>
      <c r="E12" s="5" t="str">
        <f>B12 &amp; " = " &amp; ROUND(C12,3)</f>
        <v>Dorifice [mm] = 20</v>
      </c>
      <c r="AW12" s="58">
        <v>7000</v>
      </c>
      <c r="AX12" s="5" cm="1">
        <f t="array" ref="AX12">+moody(AX$4,$AW12)</f>
        <v>7.464605877075195E-2</v>
      </c>
      <c r="AY12" s="5" cm="1">
        <f t="array" ref="AY12">+moody(AY$4,$AW12)</f>
        <v>6.8151921392822251E-2</v>
      </c>
      <c r="AZ12" s="5" cm="1">
        <f t="array" ref="AZ12">+moody(AZ$4,$AW12)</f>
        <v>6.123053813476563E-2</v>
      </c>
      <c r="BA12" s="5" cm="1">
        <f t="array" ref="BA12">+moody(BA$4,$AW12)</f>
        <v>5.3649975518798826E-2</v>
      </c>
      <c r="BB12" s="5" cm="1">
        <f t="array" ref="BB12">+moody(BB$4,$AW12)</f>
        <v>4.9490431700134285E-2</v>
      </c>
      <c r="BC12" s="5" cm="1">
        <f t="array" ref="BC12">+moody(BC$4,$AW12)</f>
        <v>4.4967728883361813E-2</v>
      </c>
      <c r="BD12" s="5" cm="1">
        <f t="array" ref="BD12">+moody(BD$4,$AW12)</f>
        <v>4.3020708372497565E-2</v>
      </c>
      <c r="BE12" s="5" cm="1">
        <f t="array" ref="BE12">+moody(BE$4,$AW12)</f>
        <v>4.0979083416748066E-2</v>
      </c>
      <c r="BF12" s="5" cm="1">
        <f t="array" ref="BF12">+moody(BF$4,$AW12)</f>
        <v>3.8815388209533702E-2</v>
      </c>
      <c r="BG12" s="5" cm="1">
        <f t="array" ref="BG12">+moody(BG$4,$AW12)</f>
        <v>3.6505208700561523E-2</v>
      </c>
      <c r="BH12" s="5" cm="1">
        <f t="array" ref="BH12">+moody(BH$4,$AW12)</f>
        <v>3.5284506185913084E-2</v>
      </c>
      <c r="BI12" s="5" cm="1">
        <f t="array" ref="BI12">+moody(BI$4,$AW12)</f>
        <v>3.5034262170410155E-2</v>
      </c>
      <c r="BJ12" s="5" cm="1">
        <f t="array" ref="BJ12">+moody(BJ$4,$AW12)</f>
        <v>3.4780966398620605E-2</v>
      </c>
      <c r="BK12" s="5" cm="1">
        <f t="array" ref="BK12">+moody(BK$4,$AW12)</f>
        <v>3.4526144748687745E-2</v>
      </c>
      <c r="BL12" s="5" cm="1">
        <f t="array" ref="BL12">+moody(BL$4,$AW12)</f>
        <v>3.4268271342468265E-2</v>
      </c>
      <c r="BM12" s="5" cm="1">
        <f t="array" ref="BM12">+moody(BM$4,$AW12)</f>
        <v>3.4140097578430173E-2</v>
      </c>
      <c r="BN12" s="5" cm="1">
        <f t="array" ref="BN12">+moody(BN$4,$AW12)</f>
        <v>3.4076010696411127E-2</v>
      </c>
      <c r="BO12" s="5" cm="1">
        <f t="array" ref="BO12">+moody(BO$4,$AW12)</f>
        <v>3.4024130839538563E-2</v>
      </c>
      <c r="BP12" s="5" cm="1">
        <f t="array" ref="BP12">+moody(BP$4,$AW12)</f>
        <v>3.4016501448822012E-2</v>
      </c>
      <c r="BQ12" s="62" cm="1">
        <f t="array" ref="BQ12">+moody(BQ$4,$AW12)</f>
        <v>3.4526144748687745E-2</v>
      </c>
      <c r="BS12" s="42"/>
      <c r="BT12" s="41">
        <v>2.4</v>
      </c>
      <c r="BU12" s="42">
        <v>0</v>
      </c>
      <c r="BV12" s="41">
        <v>3</v>
      </c>
      <c r="BW12" s="5">
        <v>0</v>
      </c>
      <c r="BX12" s="5">
        <f t="shared" si="4"/>
        <v>3756.4347210378646</v>
      </c>
      <c r="BY12" s="5">
        <f t="shared" si="4"/>
        <v>908.60868025946615</v>
      </c>
      <c r="BZ12" s="5">
        <f t="shared" si="4"/>
        <v>390.49274678198503</v>
      </c>
      <c r="CA12" s="5">
        <f t="shared" si="4"/>
        <v>212.27717006486654</v>
      </c>
      <c r="CB12" s="5">
        <f t="shared" si="4"/>
        <v>131.21738884151461</v>
      </c>
      <c r="CC12" s="5">
        <f t="shared" si="4"/>
        <v>53.3188394851176</v>
      </c>
      <c r="CD12" s="5">
        <f t="shared" si="4"/>
        <v>27.304347210378648</v>
      </c>
      <c r="CE12" s="5">
        <f t="shared" si="4"/>
        <v>15.834782214642335</v>
      </c>
      <c r="CF12" s="5">
        <f t="shared" si="4"/>
        <v>9.9130432046127321</v>
      </c>
      <c r="CG12" s="5">
        <f t="shared" si="4"/>
        <v>4.4510868025946611</v>
      </c>
      <c r="CH12" s="5">
        <f t="shared" si="4"/>
        <v>2.2086955536605837</v>
      </c>
      <c r="CI12" s="5">
        <f t="shared" si="4"/>
        <v>1.1449274678198498</v>
      </c>
      <c r="CJ12" s="5">
        <f t="shared" si="4"/>
        <v>0.5962732416635631</v>
      </c>
      <c r="CK12" s="5">
        <f t="shared" si="4"/>
        <v>0.30027170064866537</v>
      </c>
      <c r="CL12" s="5">
        <f t="shared" si="4"/>
        <v>0.13848628199400725</v>
      </c>
      <c r="CM12" s="5">
        <f t="shared" si="4"/>
        <v>98.504916006090014</v>
      </c>
      <c r="CN12" s="58">
        <v>0.64</v>
      </c>
      <c r="CO12" s="71">
        <v>4000</v>
      </c>
      <c r="CP12" s="5">
        <v>0.22</v>
      </c>
      <c r="CQ12" s="5">
        <v>0.2</v>
      </c>
      <c r="CR12" s="5">
        <v>0.17</v>
      </c>
      <c r="CS12" s="5">
        <v>0.1</v>
      </c>
      <c r="CT12" s="5">
        <v>0.03</v>
      </c>
      <c r="CU12" s="5">
        <v>0.01</v>
      </c>
      <c r="CV12" s="5">
        <v>0</v>
      </c>
      <c r="CW12" s="5">
        <v>0</v>
      </c>
      <c r="CX12" s="5">
        <v>0</v>
      </c>
      <c r="CY12" s="5">
        <v>0</v>
      </c>
      <c r="CZ12" s="42" cm="1">
        <f t="array" ref="CZ12">+interp($CZ$3,$CP$3:$CY$3,CP12:CY12)</f>
        <v>0.20860000000000001</v>
      </c>
    </row>
    <row r="13" spans="2:104" ht="18" x14ac:dyDescent="0.25">
      <c r="B13" s="12" t="s">
        <v>83</v>
      </c>
      <c r="C13" s="2">
        <v>20</v>
      </c>
      <c r="D13" s="13" t="s">
        <v>63</v>
      </c>
      <c r="E13" s="5" t="str">
        <f>B13 &amp; " = " &amp; IFERROR(ROUND(C13,3),"N/A")</f>
        <v>torifice [mm] = 20</v>
      </c>
      <c r="G13"/>
      <c r="H13"/>
      <c r="I13"/>
      <c r="J13"/>
      <c r="K13"/>
      <c r="L13"/>
      <c r="M13"/>
      <c r="N13"/>
      <c r="O13"/>
      <c r="P13"/>
      <c r="Q13"/>
      <c r="R13"/>
      <c r="S13"/>
      <c r="AW13" s="58">
        <v>8000</v>
      </c>
      <c r="AX13" s="5" cm="1">
        <f t="array" ref="AX13">+moody(AX$4,$AW13)</f>
        <v>7.4261537478637701E-2</v>
      </c>
      <c r="AY13" s="5" cm="1">
        <f t="array" ref="AY13">+moody(AY$4,$AW13)</f>
        <v>6.7724675512695315E-2</v>
      </c>
      <c r="AZ13" s="5" cm="1">
        <f t="array" ref="AZ13">+moody(AZ$4,$AW13)</f>
        <v>6.0742257128906248E-2</v>
      </c>
      <c r="BA13" s="5" cm="1">
        <f t="array" ref="BA13">+moody(BA$4,$AW13)</f>
        <v>5.3064038311767578E-2</v>
      </c>
      <c r="BB13" s="5" cm="1">
        <f t="array" ref="BB13">+moody(BB$4,$AW13)</f>
        <v>4.883430409851075E-2</v>
      </c>
      <c r="BC13" s="5" cm="1">
        <f t="array" ref="BC13">+moody(BC$4,$AW13)</f>
        <v>4.4207841567993178E-2</v>
      </c>
      <c r="BD13" s="5" cm="1">
        <f t="array" ref="BD13">+moody(BD$4,$AW13)</f>
        <v>4.2208941200256353E-2</v>
      </c>
      <c r="BE13" s="5" cm="1">
        <f t="array" ref="BE13">+moody(BE$4,$AW13)</f>
        <v>4.0097125849914567E-2</v>
      </c>
      <c r="BF13" s="5" cm="1">
        <f t="array" ref="BF13">+moody(BF$4,$AW13)</f>
        <v>3.7847981466674813E-2</v>
      </c>
      <c r="BG13" s="5" cm="1">
        <f t="array" ref="BG13">+moody(BG$4,$AW13)</f>
        <v>3.5427938731384279E-2</v>
      </c>
      <c r="BH13" s="5" cm="1">
        <f t="array" ref="BH13">+moody(BH$4,$AW13)</f>
        <v>3.4140097578430173E-2</v>
      </c>
      <c r="BI13" s="5" cm="1">
        <f t="array" ref="BI13">+moody(BI$4,$AW13)</f>
        <v>3.3874594781494141E-2</v>
      </c>
      <c r="BJ13" s="5" cm="1">
        <f t="array" ref="BJ13">+moody(BJ$4,$AW13)</f>
        <v>3.3607566106414799E-2</v>
      </c>
      <c r="BK13" s="5" cm="1">
        <f t="array" ref="BK13">+moody(BK$4,$AW13)</f>
        <v>3.3337485675048822E-2</v>
      </c>
      <c r="BL13" s="5" cm="1">
        <f t="array" ref="BL13">+moody(BL$4,$AW13)</f>
        <v>3.3064353487396239E-2</v>
      </c>
      <c r="BM13" s="5" cm="1">
        <f t="array" ref="BM13">+moody(BM$4,$AW13)</f>
        <v>3.2927024454498285E-2</v>
      </c>
      <c r="BN13" s="5" cm="1">
        <f t="array" ref="BN13">+moody(BN$4,$AW13)</f>
        <v>3.2858359938049309E-2</v>
      </c>
      <c r="BO13" s="5" cm="1">
        <f t="array" ref="BO13">+moody(BO$4,$AW13)</f>
        <v>3.2801902446746828E-2</v>
      </c>
      <c r="BP13" s="5" cm="1">
        <f t="array" ref="BP13">+moody(BP$4,$AW13)</f>
        <v>3.2795798934173587E-2</v>
      </c>
      <c r="BQ13" s="62" cm="1">
        <f t="array" ref="BQ13">+moody(BQ$4,$AW13)</f>
        <v>3.3337485675048822E-2</v>
      </c>
      <c r="BS13" s="42"/>
      <c r="BT13" s="41">
        <v>3</v>
      </c>
      <c r="BU13" s="42">
        <v>0</v>
      </c>
      <c r="BV13" s="41">
        <v>4</v>
      </c>
      <c r="BW13" s="5">
        <v>0</v>
      </c>
      <c r="BX13" s="5">
        <f t="shared" si="4"/>
        <v>3799.9129613838195</v>
      </c>
      <c r="BY13" s="5">
        <f t="shared" si="4"/>
        <v>919.47824034595487</v>
      </c>
      <c r="BZ13" s="5">
        <f t="shared" si="4"/>
        <v>395.32366237598001</v>
      </c>
      <c r="CA13" s="5">
        <f t="shared" si="4"/>
        <v>214.99456008648875</v>
      </c>
      <c r="CB13" s="5">
        <f t="shared" si="4"/>
        <v>132.95651845535278</v>
      </c>
      <c r="CC13" s="5">
        <f t="shared" si="4"/>
        <v>54.0917859801568</v>
      </c>
      <c r="CD13" s="5">
        <f t="shared" si="4"/>
        <v>27.739129613838198</v>
      </c>
      <c r="CE13" s="5">
        <f t="shared" si="4"/>
        <v>16.113042952856446</v>
      </c>
      <c r="CF13" s="5">
        <f t="shared" si="4"/>
        <v>10.106279828372532</v>
      </c>
      <c r="CG13" s="5">
        <f t="shared" si="4"/>
        <v>4.5597824034595487</v>
      </c>
      <c r="CH13" s="5">
        <f t="shared" si="4"/>
        <v>2.2782607382141116</v>
      </c>
      <c r="CI13" s="5">
        <f t="shared" si="4"/>
        <v>1.1932366237597998</v>
      </c>
      <c r="CJ13" s="5">
        <f t="shared" si="4"/>
        <v>0.63176568276230183</v>
      </c>
      <c r="CK13" s="5">
        <f t="shared" si="4"/>
        <v>0.32744560086488717</v>
      </c>
      <c r="CL13" s="5">
        <f t="shared" si="4"/>
        <v>0.15995701796731834</v>
      </c>
      <c r="CM13" s="5">
        <f t="shared" si="4"/>
        <v>99.843119771739595</v>
      </c>
      <c r="CN13" s="58">
        <v>0.74</v>
      </c>
      <c r="CO13" s="71">
        <f>10^4</f>
        <v>10000</v>
      </c>
      <c r="CP13" s="5">
        <v>0.15</v>
      </c>
      <c r="CQ13" s="5">
        <v>0.13</v>
      </c>
      <c r="CR13" s="5">
        <v>0.1</v>
      </c>
      <c r="CS13" s="5">
        <v>0.06</v>
      </c>
      <c r="CT13" s="5">
        <v>0.02</v>
      </c>
      <c r="CU13" s="5">
        <v>0.01</v>
      </c>
      <c r="CV13" s="5">
        <v>0</v>
      </c>
      <c r="CW13" s="5">
        <v>0</v>
      </c>
      <c r="CX13" s="5">
        <v>0</v>
      </c>
      <c r="CY13" s="5">
        <v>0</v>
      </c>
      <c r="CZ13" s="42" cm="1">
        <f t="array" ref="CZ13">+interp($CZ$3,$CP$3:$CY$3,CP13:CY13)</f>
        <v>0.1386</v>
      </c>
    </row>
    <row r="14" spans="2:104" x14ac:dyDescent="0.25">
      <c r="B14" s="12" t="s">
        <v>64</v>
      </c>
      <c r="C14" s="1" t="s">
        <v>66</v>
      </c>
      <c r="D14" s="13" t="s">
        <v>65</v>
      </c>
      <c r="E14" t="str" cm="1">
        <f t="array" ref="E14">_xlfn.IFS(C14="ASTM","Piping " &amp; C15 &amp; " x Sch. " &amp;C16,C14="custom","Piping custom")</f>
        <v>Piping 2"1/2 x Sch. 80</v>
      </c>
      <c r="H14"/>
      <c r="I14"/>
      <c r="J14"/>
      <c r="K14"/>
      <c r="L14"/>
      <c r="M14"/>
      <c r="N14"/>
      <c r="O14"/>
      <c r="P14"/>
      <c r="Q14"/>
      <c r="R14"/>
      <c r="S14"/>
      <c r="AW14" s="58">
        <v>9000</v>
      </c>
      <c r="AX14" s="5" cm="1">
        <f t="array" ref="AX14">+moody(AX$4,$AW14)</f>
        <v>7.3956361849975588E-2</v>
      </c>
      <c r="AY14" s="5" cm="1">
        <f t="array" ref="AY14">+moody(AY$4,$AW14)</f>
        <v>6.7388982321166996E-2</v>
      </c>
      <c r="AZ14" s="5" cm="1">
        <f t="array" ref="AZ14">+moody(AZ$4,$AW14)</f>
        <v>6.0357735836791993E-2</v>
      </c>
      <c r="BA14" s="5" cm="1">
        <f t="array" ref="BA14">+moody(BA$4,$AW14)</f>
        <v>5.2606274868774422E-2</v>
      </c>
      <c r="BB14" s="5" cm="1">
        <f t="array" ref="BB14">+moody(BB$4,$AW14)</f>
        <v>4.8315505529785162E-2</v>
      </c>
      <c r="BC14" s="5" cm="1">
        <f t="array" ref="BC14">+moody(BC$4,$AW14)</f>
        <v>4.3600542066955572E-2</v>
      </c>
      <c r="BD14" s="5" cm="1">
        <f t="array" ref="BD14">+moody(BD$4,$AW14)</f>
        <v>4.1549761842346197E-2</v>
      </c>
      <c r="BE14" s="5" cm="1">
        <f t="array" ref="BE14">+moody(BE$4,$AW14)</f>
        <v>3.9379963122558606E-2</v>
      </c>
      <c r="BF14" s="5" cm="1">
        <f t="array" ref="BF14">+moody(BF$4,$AW14)</f>
        <v>3.7056050710296634E-2</v>
      </c>
      <c r="BG14" s="5" cm="1">
        <f t="array" ref="BG14">+moody(BG$4,$AW14)</f>
        <v>3.4538351773834228E-2</v>
      </c>
      <c r="BH14" s="5" cm="1">
        <f t="array" ref="BH14">+moody(BH$4,$AW14)</f>
        <v>3.31879496170044E-2</v>
      </c>
      <c r="BI14" s="5" cm="1">
        <f t="array" ref="BI14">+moody(BI$4,$AW14)</f>
        <v>3.2908713916778562E-2</v>
      </c>
      <c r="BJ14" s="5" cm="1">
        <f t="array" ref="BJ14">+moody(BJ$4,$AW14)</f>
        <v>3.2626426460266117E-2</v>
      </c>
      <c r="BK14" s="5" cm="1">
        <f t="array" ref="BK14">+moody(BK$4,$AW14)</f>
        <v>3.2342613125610348E-2</v>
      </c>
      <c r="BL14" s="5" cm="1">
        <f t="array" ref="BL14">+moody(BL$4,$AW14)</f>
        <v>3.2054222156524662E-2</v>
      </c>
      <c r="BM14" s="5" cm="1">
        <f t="array" ref="BM14">+moody(BM$4,$AW14)</f>
        <v>3.1909263732910156E-2</v>
      </c>
      <c r="BN14" s="5" cm="1">
        <f t="array" ref="BN14">+moody(BN$4,$AW14)</f>
        <v>3.1836021582031249E-2</v>
      </c>
      <c r="BO14" s="5" cm="1">
        <f t="array" ref="BO14">+moody(BO$4,$AW14)</f>
        <v>3.1776512334442134E-2</v>
      </c>
      <c r="BP14" s="5" cm="1">
        <f t="array" ref="BP14">+moody(BP$4,$AW14)</f>
        <v>3.1768882943725582E-2</v>
      </c>
      <c r="BQ14" s="62" cm="1">
        <f t="array" ref="BQ14">+moody(BQ$4,$AW14)</f>
        <v>3.2342613125610348E-2</v>
      </c>
      <c r="BS14" s="42"/>
      <c r="BT14" s="41">
        <v>4</v>
      </c>
      <c r="BU14" s="42">
        <v>0</v>
      </c>
      <c r="BV14" s="41">
        <v>5</v>
      </c>
      <c r="BW14" s="5">
        <v>0</v>
      </c>
      <c r="BX14" s="5">
        <f t="shared" ref="BX14:CM19" si="5">IF($C$33&gt;10^5,((0.5+$BW14*(1-BX$3)^0.5)*(1-BX$3)+(1-BX$3)^2+$C$36*$BV14)*(1/BX$3)^2,($C$39+$C$38*$C$41+$C$36*$BV14)*(1/BX$3)^2)</f>
        <v>3843.3912017297744</v>
      </c>
      <c r="BY14" s="5">
        <f t="shared" si="5"/>
        <v>930.34780043244359</v>
      </c>
      <c r="BZ14" s="5">
        <f t="shared" si="5"/>
        <v>400.15457796997504</v>
      </c>
      <c r="CA14" s="5">
        <f t="shared" si="5"/>
        <v>217.71195010811093</v>
      </c>
      <c r="CB14" s="5">
        <f t="shared" si="5"/>
        <v>134.69564806919098</v>
      </c>
      <c r="CC14" s="5">
        <f t="shared" si="5"/>
        <v>54.864732475196</v>
      </c>
      <c r="CD14" s="5">
        <f t="shared" si="5"/>
        <v>28.173912017297749</v>
      </c>
      <c r="CE14" s="5">
        <f t="shared" si="5"/>
        <v>16.391303691070558</v>
      </c>
      <c r="CF14" s="5">
        <f t="shared" si="5"/>
        <v>10.29951645213233</v>
      </c>
      <c r="CG14" s="5">
        <f t="shared" si="5"/>
        <v>4.6684780043244354</v>
      </c>
      <c r="CH14" s="5">
        <f t="shared" si="5"/>
        <v>2.347825922767639</v>
      </c>
      <c r="CI14" s="5">
        <f t="shared" si="5"/>
        <v>1.2415457796997498</v>
      </c>
      <c r="CJ14" s="5">
        <f t="shared" si="5"/>
        <v>0.66725812386104055</v>
      </c>
      <c r="CK14" s="5">
        <f t="shared" si="5"/>
        <v>0.35461950108110901</v>
      </c>
      <c r="CL14" s="5">
        <f t="shared" si="5"/>
        <v>0.18142775394062938</v>
      </c>
      <c r="CM14" s="5">
        <f t="shared" si="5"/>
        <v>101.18132353738918</v>
      </c>
      <c r="CN14" s="58">
        <v>0.81</v>
      </c>
      <c r="CO14" s="71">
        <f>2*10^4</f>
        <v>20000</v>
      </c>
      <c r="CP14" s="5">
        <v>0.11</v>
      </c>
      <c r="CQ14" s="5">
        <v>0.09</v>
      </c>
      <c r="CR14" s="5">
        <v>7.0000000000000007E-2</v>
      </c>
      <c r="CS14" s="5">
        <v>0.04</v>
      </c>
      <c r="CT14" s="5">
        <v>0.01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42" cm="1">
        <f t="array" ref="CZ14">+interp($CZ$3,$CP$3:$CY$3,CP14:CY14)</f>
        <v>9.8599999999999993E-2</v>
      </c>
    </row>
    <row r="15" spans="2:104" ht="18" x14ac:dyDescent="0.25">
      <c r="B15" s="12" t="s">
        <v>67</v>
      </c>
      <c r="C15" s="2" t="s">
        <v>46</v>
      </c>
      <c r="D15" s="13" t="s">
        <v>68</v>
      </c>
      <c r="E15"/>
      <c r="H15"/>
      <c r="I15"/>
      <c r="J15"/>
      <c r="K15"/>
      <c r="M15"/>
      <c r="N15"/>
      <c r="O15"/>
      <c r="P15"/>
      <c r="Q15"/>
      <c r="R15"/>
      <c r="S15"/>
      <c r="AW15" s="58">
        <v>10000</v>
      </c>
      <c r="AX15" s="5" cm="1">
        <f t="array" ref="AX15">+moody(AX$4,$AW15)</f>
        <v>7.3718324859619155E-2</v>
      </c>
      <c r="AY15" s="5" cm="1">
        <f t="array" ref="AY15">+moody(AY$4,$AW15)</f>
        <v>6.712042776794433E-2</v>
      </c>
      <c r="AZ15" s="5" cm="1">
        <f t="array" ref="AZ15">+moody(AZ$4,$AW15)</f>
        <v>6.0046456695556638E-2</v>
      </c>
      <c r="BA15" s="5" cm="1">
        <f t="array" ref="BA15">+moody(BA$4,$AW15)</f>
        <v>5.2227857089233401E-2</v>
      </c>
      <c r="BB15" s="5" cm="1">
        <f t="array" ref="BB15">+moody(BB$4,$AW15)</f>
        <v>4.7888259649658205E-2</v>
      </c>
      <c r="BC15" s="5" cm="1">
        <f t="array" ref="BC15">+moody(BC$4,$AW15)</f>
        <v>4.3100054035949714E-2</v>
      </c>
      <c r="BD15" s="5" cm="1">
        <f t="array" ref="BD15">+moody(BD$4,$AW15)</f>
        <v>4.1009600979614272E-2</v>
      </c>
      <c r="BE15" s="5" cm="1">
        <f t="array" ref="BE15">+moody(BE$4,$AW15)</f>
        <v>3.8784870646667483E-2</v>
      </c>
      <c r="BF15" s="5" cm="1">
        <f t="array" ref="BF15">+moody(BF$4,$AW15)</f>
        <v>3.6395345474243168E-2</v>
      </c>
      <c r="BG15" s="5" cm="1">
        <f t="array" ref="BG15">+moody(BG$4,$AW15)</f>
        <v>3.3786093849182131E-2</v>
      </c>
      <c r="BH15" s="5" cm="1">
        <f t="array" ref="BH15">+moody(BH$4,$AW15)</f>
        <v>3.2377708322906498E-2</v>
      </c>
      <c r="BI15" s="5" cm="1">
        <f t="array" ref="BI15">+moody(BI$4,$AW15)</f>
        <v>3.2086265597534178E-2</v>
      </c>
      <c r="BJ15" s="5" cm="1">
        <f t="array" ref="BJ15">+moody(BJ$4,$AW15)</f>
        <v>3.179024523773194E-2</v>
      </c>
      <c r="BK15" s="5" cm="1">
        <f t="array" ref="BK15">+moody(BK$4,$AW15)</f>
        <v>3.1492698999786378E-2</v>
      </c>
      <c r="BL15" s="5" cm="1">
        <f t="array" ref="BL15">+moody(BL$4,$AW15)</f>
        <v>3.1189049249267579E-2</v>
      </c>
      <c r="BM15" s="5" cm="1">
        <f t="array" ref="BM15">+moody(BM$4,$AW15)</f>
        <v>3.1036461434936526E-2</v>
      </c>
      <c r="BN15" s="5" cm="1">
        <f t="array" ref="BN15">+moody(BN$4,$AW15)</f>
        <v>3.0960167527770997E-2</v>
      </c>
      <c r="BO15" s="5" cm="1">
        <f t="array" ref="BO15">+moody(BO$4,$AW15)</f>
        <v>3.0899132402038579E-2</v>
      </c>
      <c r="BP15" s="5" cm="1">
        <f t="array" ref="BP15">+moody(BP$4,$AW15)</f>
        <v>3.088997713317871E-2</v>
      </c>
      <c r="BQ15" s="62" cm="1">
        <f t="array" ref="BQ15">+moody(BQ$4,$AW15)</f>
        <v>3.1492698999786378E-2</v>
      </c>
      <c r="BS15" s="42"/>
      <c r="BT15" s="41">
        <v>5</v>
      </c>
      <c r="BU15" s="42">
        <v>0</v>
      </c>
      <c r="BV15" s="41">
        <v>6</v>
      </c>
      <c r="BW15" s="5">
        <v>0</v>
      </c>
      <c r="BX15" s="5">
        <f t="shared" si="5"/>
        <v>3886.8694420757292</v>
      </c>
      <c r="BY15" s="5">
        <f t="shared" si="5"/>
        <v>941.21736051893242</v>
      </c>
      <c r="BZ15" s="5">
        <f t="shared" si="5"/>
        <v>404.98549356397001</v>
      </c>
      <c r="CA15" s="5">
        <f t="shared" si="5"/>
        <v>220.42934012973311</v>
      </c>
      <c r="CB15" s="5">
        <f t="shared" si="5"/>
        <v>136.43477768302918</v>
      </c>
      <c r="CC15" s="5">
        <f t="shared" si="5"/>
        <v>55.6376789702352</v>
      </c>
      <c r="CD15" s="5">
        <f t="shared" si="5"/>
        <v>28.608694420757296</v>
      </c>
      <c r="CE15" s="5">
        <f t="shared" si="5"/>
        <v>16.669564429284669</v>
      </c>
      <c r="CF15" s="5">
        <f t="shared" si="5"/>
        <v>10.49275307589213</v>
      </c>
      <c r="CG15" s="5">
        <f t="shared" si="5"/>
        <v>4.777173605189323</v>
      </c>
      <c r="CH15" s="5">
        <f t="shared" si="5"/>
        <v>2.4173911073211669</v>
      </c>
      <c r="CI15" s="5">
        <f t="shared" si="5"/>
        <v>1.2898549356396998</v>
      </c>
      <c r="CJ15" s="5">
        <f t="shared" si="5"/>
        <v>0.70275056495977928</v>
      </c>
      <c r="CK15" s="5">
        <f t="shared" si="5"/>
        <v>0.3817934012973308</v>
      </c>
      <c r="CL15" s="5">
        <f t="shared" si="5"/>
        <v>0.20289848991394044</v>
      </c>
      <c r="CM15" s="5">
        <f t="shared" si="5"/>
        <v>102.51952730303876</v>
      </c>
      <c r="CN15" s="58">
        <v>0.94</v>
      </c>
      <c r="CO15" s="71">
        <f>10^5</f>
        <v>100000</v>
      </c>
      <c r="CP15" s="5">
        <v>0.04</v>
      </c>
      <c r="CQ15" s="5">
        <v>0.03</v>
      </c>
      <c r="CR15" s="5">
        <v>0.02</v>
      </c>
      <c r="CS15" s="5">
        <v>0.02</v>
      </c>
      <c r="CT15" s="5">
        <v>0.01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42" cm="1">
        <f t="array" ref="CZ15">+interp($CZ$3,$CP$3:$CY$3,CP15:CY15)</f>
        <v>3.4299999999999997E-2</v>
      </c>
    </row>
    <row r="16" spans="2:104" x14ac:dyDescent="0.25">
      <c r="B16" s="12" t="s">
        <v>71</v>
      </c>
      <c r="C16" s="3">
        <v>80</v>
      </c>
      <c r="D16" s="13" t="s">
        <v>72</v>
      </c>
      <c r="E16"/>
      <c r="AW16" s="58">
        <v>20000</v>
      </c>
      <c r="AX16" s="5" cm="1">
        <f t="array" ref="AX16">+moody(AX$4,$AW16)</f>
        <v>7.260138205871583E-2</v>
      </c>
      <c r="AY16" s="5" cm="1">
        <f t="array" ref="AY16">+moody(AY$4,$AW16)</f>
        <v>6.587531120300294E-2</v>
      </c>
      <c r="AZ16" s="5" cm="1">
        <f t="array" ref="AZ16">+moody(AZ$4,$AW16)</f>
        <v>5.8612131240844731E-2</v>
      </c>
      <c r="BA16" s="5" cm="1">
        <f t="array" ref="BA16">+moody(BA$4,$AW16)</f>
        <v>5.0476148980712898E-2</v>
      </c>
      <c r="BB16" s="5" cm="1">
        <f t="array" ref="BB16">+moody(BB$4,$AW16)</f>
        <v>4.5874100500488291E-2</v>
      </c>
      <c r="BC16" s="5" cm="1">
        <f t="array" ref="BC16">+moody(BC$4,$AW16)</f>
        <v>4.0673907788085946E-2</v>
      </c>
      <c r="BD16" s="5" cm="1">
        <f t="array" ref="BD16">+moody(BD$4,$AW16)</f>
        <v>3.8348469497680671E-2</v>
      </c>
      <c r="BE16" s="5" cm="1">
        <f t="array" ref="BE16">+moody(BE$4,$AW16)</f>
        <v>3.5815511779785154E-2</v>
      </c>
      <c r="BF16" s="5" cm="1">
        <f t="array" ref="BF16">+moody(BF$4,$AW16)</f>
        <v>3.3003318361663814E-2</v>
      </c>
      <c r="BG16" s="5" cm="1">
        <f t="array" ref="BG16">+moody(BG$4,$AW16)</f>
        <v>2.9779137844848633E-2</v>
      </c>
      <c r="BH16" s="5" cm="1">
        <f t="array" ref="BH16">+moody(BH$4,$AW16)</f>
        <v>2.7940454682159423E-2</v>
      </c>
      <c r="BI16" s="5" cm="1">
        <f t="array" ref="BI16">+moody(BI$4,$AW16)</f>
        <v>2.7548303999328616E-2</v>
      </c>
      <c r="BJ16" s="5" cm="1">
        <f t="array" ref="BJ16">+moody(BJ$4,$AW16)</f>
        <v>2.7148523925781251E-2</v>
      </c>
      <c r="BK16" s="5" cm="1">
        <f t="array" ref="BK16">+moody(BK$4,$AW16)</f>
        <v>2.6736536827087411E-2</v>
      </c>
      <c r="BL16" s="5" cm="1">
        <f t="array" ref="BL16">+moody(BL$4,$AW16)</f>
        <v>2.6315394459533695E-2</v>
      </c>
      <c r="BM16" s="5" cm="1">
        <f t="array" ref="BM16">+moody(BM$4,$AW16)</f>
        <v>2.6100245641326909E-2</v>
      </c>
      <c r="BN16" s="5" cm="1">
        <f t="array" ref="BN16">+moody(BN$4,$AW16)</f>
        <v>2.5991908293151858E-2</v>
      </c>
      <c r="BO16" s="5" cm="1">
        <f t="array" ref="BO16">+moody(BO$4,$AW16)</f>
        <v>2.5904933238983158E-2</v>
      </c>
      <c r="BP16" s="5" cm="1">
        <f t="array" ref="BP16">+moody(BP$4,$AW16)</f>
        <v>2.5894252091979986E-2</v>
      </c>
      <c r="BQ16" s="62" cm="1">
        <f t="array" ref="BQ16">+moody(BQ$4,$AW16)</f>
        <v>2.6736536827087411E-2</v>
      </c>
      <c r="BS16" s="42"/>
      <c r="BT16" s="41">
        <v>6</v>
      </c>
      <c r="BU16" s="42">
        <v>0</v>
      </c>
      <c r="BV16" s="41">
        <v>7</v>
      </c>
      <c r="BW16" s="5">
        <v>0</v>
      </c>
      <c r="BX16" s="5">
        <f t="shared" si="5"/>
        <v>3930.3476824216841</v>
      </c>
      <c r="BY16" s="5">
        <f t="shared" si="5"/>
        <v>952.08692060542114</v>
      </c>
      <c r="BZ16" s="5">
        <f t="shared" si="5"/>
        <v>409.81640915796498</v>
      </c>
      <c r="CA16" s="5">
        <f t="shared" si="5"/>
        <v>223.14673015135529</v>
      </c>
      <c r="CB16" s="5">
        <f t="shared" si="5"/>
        <v>138.17390729686738</v>
      </c>
      <c r="CC16" s="5">
        <f t="shared" si="5"/>
        <v>56.4106254652744</v>
      </c>
      <c r="CD16" s="5">
        <f t="shared" si="5"/>
        <v>29.043476824216846</v>
      </c>
      <c r="CE16" s="5">
        <f t="shared" si="5"/>
        <v>16.947825167498781</v>
      </c>
      <c r="CF16" s="5">
        <f t="shared" si="5"/>
        <v>10.68598969965193</v>
      </c>
      <c r="CG16" s="5">
        <f t="shared" si="5"/>
        <v>4.8858692060542097</v>
      </c>
      <c r="CH16" s="5">
        <f t="shared" si="5"/>
        <v>2.4869562918746948</v>
      </c>
      <c r="CI16" s="5">
        <f t="shared" si="5"/>
        <v>1.3381640915796496</v>
      </c>
      <c r="CJ16" s="5">
        <f t="shared" si="5"/>
        <v>0.73824300605851789</v>
      </c>
      <c r="CK16" s="5">
        <f t="shared" si="5"/>
        <v>0.40896730151355259</v>
      </c>
      <c r="CL16" s="5">
        <f t="shared" si="5"/>
        <v>0.2243692258872515</v>
      </c>
      <c r="CM16" s="5">
        <f t="shared" si="5"/>
        <v>103.85773106868834</v>
      </c>
      <c r="CN16" s="58">
        <v>0.96</v>
      </c>
      <c r="CO16" s="71">
        <f>2*10^5</f>
        <v>200000</v>
      </c>
      <c r="CP16" s="5">
        <v>0.01</v>
      </c>
      <c r="CQ16" s="5">
        <v>0.01</v>
      </c>
      <c r="CR16" s="5">
        <v>0.01</v>
      </c>
      <c r="CS16" s="5">
        <v>0.01</v>
      </c>
      <c r="CT16" s="5">
        <v>0.01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42" cm="1">
        <f t="array" ref="CZ16">+interp($CZ$3,$CP$3:$CY$3,CP16:CY16)</f>
        <v>0.01</v>
      </c>
    </row>
    <row r="17" spans="2:104" ht="18.75" thickBot="1" x14ac:dyDescent="0.3">
      <c r="B17" s="12" t="s">
        <v>61</v>
      </c>
      <c r="C17" s="17">
        <f>INDEX(pipe_ASTM!$A$2:$B$26,MATCH(C15,pipe_ASTM!$A$2:$A$26,0),2)</f>
        <v>73.02</v>
      </c>
      <c r="D17" s="13" t="s">
        <v>3</v>
      </c>
      <c r="E17" s="5" t="str">
        <f>B17 &amp; " = " &amp; IFERROR(ROUND(C17,3),"N/A")</f>
        <v>Dext [mm] = 73.02</v>
      </c>
      <c r="AW17" s="58">
        <v>30000</v>
      </c>
      <c r="AX17" s="5" cm="1">
        <f t="array" ref="AX17">+moody(AX$4,$AW17)</f>
        <v>7.2222964279174795E-2</v>
      </c>
      <c r="AY17" s="5" cm="1">
        <f t="array" ref="AY17">+moody(AY$4,$AW17)</f>
        <v>6.5454168835449217E-2</v>
      </c>
      <c r="AZ17" s="5" cm="1">
        <f t="array" ref="AZ17">+moody(AZ$4,$AW17)</f>
        <v>5.8117746722412114E-2</v>
      </c>
      <c r="BA17" s="5" cm="1">
        <f t="array" ref="BA17">+moody(BA$4,$AW17)</f>
        <v>4.9862745967102051E-2</v>
      </c>
      <c r="BB17" s="5" cm="1">
        <f t="array" ref="BB17">+moody(BB$4,$AW17)</f>
        <v>4.515693777313233E-2</v>
      </c>
      <c r="BC17" s="5" cm="1">
        <f t="array" ref="BC17">+moody(BC$4,$AW17)</f>
        <v>3.9791950221252453E-2</v>
      </c>
      <c r="BD17" s="5" cm="1">
        <f t="array" ref="BD17">+moody(BD$4,$AW17)</f>
        <v>3.7359700460815437E-2</v>
      </c>
      <c r="BE17" s="5" cm="1">
        <f t="array" ref="BE17">+moody(BE$4,$AW17)</f>
        <v>3.4683310197448733E-2</v>
      </c>
      <c r="BF17" s="5" cm="1">
        <f t="array" ref="BF17">+moody(BF$4,$AW17)</f>
        <v>3.1659019717407227E-2</v>
      </c>
      <c r="BG17" s="5" cm="1">
        <f t="array" ref="BG17">+moody(BG$4,$AW17)</f>
        <v>2.8082361349487307E-2</v>
      </c>
      <c r="BH17" s="5" cm="1">
        <f t="array" ref="BH17">+moody(BH$4,$AW17)</f>
        <v>2.5962916608428963E-2</v>
      </c>
      <c r="BI17" s="5" cm="1">
        <f t="array" ref="BI17">+moody(BI$4,$AW17)</f>
        <v>2.5502101409149172E-2</v>
      </c>
      <c r="BJ17" s="5" cm="1">
        <f t="array" ref="BJ17">+moody(BJ$4,$AW17)</f>
        <v>2.5024501550292972E-2</v>
      </c>
      <c r="BK17" s="5" cm="1">
        <f t="array" ref="BK17">+moody(BK$4,$AW17)</f>
        <v>2.4530117031860352E-2</v>
      </c>
      <c r="BL17" s="5" cm="1">
        <f t="array" ref="BL17">+moody(BL$4,$AW17)</f>
        <v>2.4016659036636356E-2</v>
      </c>
      <c r="BM17" s="5" cm="1">
        <f t="array" ref="BM17">+moody(BM$4,$AW17)</f>
        <v>2.3751919178771973E-2</v>
      </c>
      <c r="BN17" s="5" cm="1">
        <f t="array" ref="BN17">+moody(BN$4,$AW17)</f>
        <v>2.3618404841232309E-2</v>
      </c>
      <c r="BO17" s="5" cm="1">
        <f t="array" ref="BO17">+moody(BO$4,$AW17)</f>
        <v>2.3510067493057257E-2</v>
      </c>
      <c r="BP17" s="5" cm="1">
        <f t="array" ref="BP17">+moody(BP$4,$AW17)</f>
        <v>2.3497097528839113E-2</v>
      </c>
      <c r="BQ17" s="62" cm="1">
        <f t="array" ref="BQ17">+moody(BQ$4,$AW17)</f>
        <v>2.4530117031860352E-2</v>
      </c>
      <c r="BS17" s="42"/>
      <c r="BT17" s="41">
        <v>7</v>
      </c>
      <c r="BU17" s="42">
        <v>0</v>
      </c>
      <c r="BV17" s="41">
        <v>8</v>
      </c>
      <c r="BW17" s="5">
        <v>0</v>
      </c>
      <c r="BX17" s="5">
        <f t="shared" si="5"/>
        <v>3973.8259227676385</v>
      </c>
      <c r="BY17" s="5">
        <f t="shared" si="5"/>
        <v>962.95648069190975</v>
      </c>
      <c r="BZ17" s="5">
        <f t="shared" si="5"/>
        <v>414.64732475195996</v>
      </c>
      <c r="CA17" s="5">
        <f t="shared" si="5"/>
        <v>225.86412017297747</v>
      </c>
      <c r="CB17" s="5">
        <f t="shared" si="5"/>
        <v>139.91303691070556</v>
      </c>
      <c r="CC17" s="5">
        <f t="shared" si="5"/>
        <v>57.183571960313593</v>
      </c>
      <c r="CD17" s="5">
        <f t="shared" si="5"/>
        <v>29.478259227676396</v>
      </c>
      <c r="CE17" s="5">
        <f t="shared" si="5"/>
        <v>17.226085905712893</v>
      </c>
      <c r="CF17" s="5">
        <f t="shared" si="5"/>
        <v>10.87922632341173</v>
      </c>
      <c r="CG17" s="5">
        <f t="shared" si="5"/>
        <v>4.9945648069190973</v>
      </c>
      <c r="CH17" s="5">
        <f t="shared" si="5"/>
        <v>2.5565214764282227</v>
      </c>
      <c r="CI17" s="5">
        <f t="shared" si="5"/>
        <v>1.3864732475195993</v>
      </c>
      <c r="CJ17" s="5">
        <f t="shared" si="5"/>
        <v>0.77373544715725662</v>
      </c>
      <c r="CK17" s="5">
        <f t="shared" si="5"/>
        <v>0.43614120172977444</v>
      </c>
      <c r="CL17" s="5">
        <f t="shared" si="5"/>
        <v>0.24583996186056259</v>
      </c>
      <c r="CM17" s="5">
        <f t="shared" si="5"/>
        <v>105.19593483433792</v>
      </c>
      <c r="CN17" s="60">
        <v>0.98</v>
      </c>
      <c r="CO17" s="72">
        <f>10^6</f>
        <v>1000000</v>
      </c>
      <c r="CP17" s="45">
        <v>0</v>
      </c>
      <c r="CQ17" s="45">
        <v>0</v>
      </c>
      <c r="CR17" s="45">
        <v>0</v>
      </c>
      <c r="CS17" s="45">
        <v>0</v>
      </c>
      <c r="CT17" s="45">
        <v>0</v>
      </c>
      <c r="CU17" s="45">
        <v>0</v>
      </c>
      <c r="CV17" s="45">
        <v>0</v>
      </c>
      <c r="CW17" s="45">
        <v>0</v>
      </c>
      <c r="CX17" s="45">
        <v>0</v>
      </c>
      <c r="CY17" s="45">
        <v>0</v>
      </c>
      <c r="CZ17" s="46">
        <v>0</v>
      </c>
    </row>
    <row r="18" spans="2:104" ht="18" x14ac:dyDescent="0.25">
      <c r="B18" s="12" t="s">
        <v>62</v>
      </c>
      <c r="C18" s="17">
        <f>C17-2*C19</f>
        <v>59</v>
      </c>
      <c r="D18" s="13" t="s">
        <v>3</v>
      </c>
      <c r="E18" s="5" t="str">
        <f>B18 &amp; " = " &amp; IFERROR(ROUND(C18,3),"N/A")</f>
        <v>Dint [mm] = 59</v>
      </c>
      <c r="AW18" s="58">
        <v>40000</v>
      </c>
      <c r="AX18" s="5" cm="1">
        <f t="array" ref="AX18">+moody(AX$4,$AW18)</f>
        <v>7.2033755389404291E-2</v>
      </c>
      <c r="AY18" s="5" cm="1">
        <f t="array" ref="AY18">+moody(AY$4,$AW18)</f>
        <v>6.5240545895385749E-2</v>
      </c>
      <c r="AZ18" s="5" cm="1">
        <f t="array" ref="AZ18">+moody(AZ$4,$AW18)</f>
        <v>5.7867502706909185E-2</v>
      </c>
      <c r="BA18" s="5" cm="1">
        <f t="array" ref="BA18">+moody(BA$4,$AW18)</f>
        <v>4.9548415069580076E-2</v>
      </c>
      <c r="BB18" s="5" cm="1">
        <f t="array" ref="BB18">+moody(BB$4,$AW18)</f>
        <v>4.4790727018737805E-2</v>
      </c>
      <c r="BC18" s="5" cm="1">
        <f t="array" ref="BC18">+moody(BC$4,$AW18)</f>
        <v>3.933113502197267E-2</v>
      </c>
      <c r="BD18" s="5" cm="1">
        <f t="array" ref="BD18">+moody(BD$4,$AW18)</f>
        <v>3.6840901892089849E-2</v>
      </c>
      <c r="BE18" s="5" cm="1">
        <f t="array" ref="BE18">+moody(BE$4,$AW18)</f>
        <v>3.4082114208984368E-2</v>
      </c>
      <c r="BF18" s="5" cm="1">
        <f t="array" ref="BF18">+moody(BF$4,$AW18)</f>
        <v>3.0926598208618164E-2</v>
      </c>
      <c r="BG18" s="5" cm="1">
        <f t="array" ref="BG18">+moody(BG$4,$AW18)</f>
        <v>2.7119532241058349E-2</v>
      </c>
      <c r="BH18" s="5" cm="1">
        <f t="array" ref="BH18">+moody(BH$4,$AW18)</f>
        <v>2.4797145706939701E-2</v>
      </c>
      <c r="BI18" s="5" cm="1">
        <f t="array" ref="BI18">+moody(BI$4,$AW18)</f>
        <v>2.4280635955429085E-2</v>
      </c>
      <c r="BJ18" s="5" cm="1">
        <f t="array" ref="BJ18">+moody(BJ$4,$AW18)</f>
        <v>2.3742763909912111E-2</v>
      </c>
      <c r="BK18" s="5" cm="1">
        <f t="array" ref="BK18">+moody(BK$4,$AW18)</f>
        <v>2.3181240753173835E-2</v>
      </c>
      <c r="BL18" s="5" cm="1">
        <f t="array" ref="BL18">+moody(BL$4,$AW18)</f>
        <v>2.2590725911712649E-2</v>
      </c>
      <c r="BM18" s="5" cm="1">
        <f t="array" ref="BM18">+moody(BM$4,$AW18)</f>
        <v>2.2284787343978887E-2</v>
      </c>
      <c r="BN18" s="5" cm="1">
        <f t="array" ref="BN18">+moody(BN$4,$AW18)</f>
        <v>2.2128384834289555E-2</v>
      </c>
      <c r="BO18" s="5" cm="1">
        <f t="array" ref="BO18">+moody(BO$4,$AW18)</f>
        <v>2.200173694839478E-2</v>
      </c>
      <c r="BP18" s="5" cm="1">
        <f t="array" ref="BP18">+moody(BP$4,$AW18)</f>
        <v>2.1986478166961677E-2</v>
      </c>
      <c r="BQ18" s="62" cm="1">
        <f t="array" ref="BQ18">+moody(BQ$4,$AW18)</f>
        <v>2.3181240753173835E-2</v>
      </c>
      <c r="BS18" s="42"/>
      <c r="BT18" s="41">
        <v>8</v>
      </c>
      <c r="BU18" s="42">
        <v>0</v>
      </c>
      <c r="BV18" s="41">
        <v>9</v>
      </c>
      <c r="BW18" s="5">
        <v>0</v>
      </c>
      <c r="BX18" s="5">
        <f t="shared" si="5"/>
        <v>4017.3041631135943</v>
      </c>
      <c r="BY18" s="5">
        <f t="shared" si="5"/>
        <v>973.82604077839858</v>
      </c>
      <c r="BZ18" s="5">
        <f t="shared" si="5"/>
        <v>419.47824034595499</v>
      </c>
      <c r="CA18" s="5">
        <f t="shared" si="5"/>
        <v>228.58151019459962</v>
      </c>
      <c r="CB18" s="5">
        <f t="shared" si="5"/>
        <v>141.65216652454379</v>
      </c>
      <c r="CC18" s="5">
        <f t="shared" si="5"/>
        <v>57.956518455352786</v>
      </c>
      <c r="CD18" s="5">
        <f t="shared" si="5"/>
        <v>29.91304163113594</v>
      </c>
      <c r="CE18" s="5">
        <f t="shared" si="5"/>
        <v>17.504346643927001</v>
      </c>
      <c r="CF18" s="5">
        <f t="shared" si="5"/>
        <v>11.072462947171529</v>
      </c>
      <c r="CG18" s="5">
        <f t="shared" si="5"/>
        <v>5.1032604077839849</v>
      </c>
      <c r="CH18" s="5">
        <f t="shared" si="5"/>
        <v>2.6260866609817506</v>
      </c>
      <c r="CI18" s="5">
        <f t="shared" si="5"/>
        <v>1.4347824034595491</v>
      </c>
      <c r="CJ18" s="5">
        <f t="shared" si="5"/>
        <v>0.80922788825599534</v>
      </c>
      <c r="CK18" s="5">
        <f t="shared" si="5"/>
        <v>0.46331510194599623</v>
      </c>
      <c r="CL18" s="5">
        <f t="shared" si="5"/>
        <v>0.26731069783387368</v>
      </c>
      <c r="CM18" s="42">
        <f t="shared" si="5"/>
        <v>106.53413859998749</v>
      </c>
    </row>
    <row r="19" spans="2:104" ht="18.75" thickBot="1" x14ac:dyDescent="0.3">
      <c r="B19" s="12" t="s">
        <v>82</v>
      </c>
      <c r="C19" s="17">
        <f>INDEX(pipe_ASTM!$A$2:$O$26,MATCH(C15,pipe_ASTM!$A$2:$A$26,0),MATCH(C16,pipe_ASTM!$A$2:$O$2,0))</f>
        <v>7.01</v>
      </c>
      <c r="D19" s="13" t="s">
        <v>63</v>
      </c>
      <c r="E19" s="5" t="str">
        <f>B19 &amp; " = " &amp; IFERROR(ROUND(C19,3),"N/A")</f>
        <v>tpipe [mm] = 7.01</v>
      </c>
      <c r="G19"/>
      <c r="H19"/>
      <c r="I19"/>
      <c r="J19"/>
      <c r="K19"/>
      <c r="L19"/>
      <c r="M19"/>
      <c r="N19"/>
      <c r="O19"/>
      <c r="P19"/>
      <c r="Q19"/>
      <c r="R19"/>
      <c r="S19"/>
      <c r="AW19" s="58">
        <v>50000</v>
      </c>
      <c r="AX19" s="5" cm="1">
        <f t="array" ref="AX19">+moody(AX$4,$AW19)</f>
        <v>7.1923892163085923E-2</v>
      </c>
      <c r="AY19" s="5" cm="1">
        <f t="array" ref="AY19">+moody(AY$4,$AW19)</f>
        <v>6.5112372131347657E-2</v>
      </c>
      <c r="AZ19" s="5" cm="1">
        <f t="array" ref="AZ19">+moody(AZ$4,$AW19)</f>
        <v>5.772101840515137E-2</v>
      </c>
      <c r="BA19" s="5" cm="1">
        <f t="array" ref="BA19">+moody(BA$4,$AW19)</f>
        <v>4.9359206179809573E-2</v>
      </c>
      <c r="BB19" s="5" cm="1">
        <f t="array" ref="BB19">+moody(BB$4,$AW19)</f>
        <v>4.4567948809814462E-2</v>
      </c>
      <c r="BC19" s="5" cm="1">
        <f t="array" ref="BC19">+moody(BC$4,$AW19)</f>
        <v>3.9050373443603528E-2</v>
      </c>
      <c r="BD19" s="5" cm="1">
        <f t="array" ref="BD19">+moody(BD$4,$AW19)</f>
        <v>3.6520467481994626E-2</v>
      </c>
      <c r="BE19" s="5" cm="1">
        <f t="array" ref="BE19">+moody(BE$4,$AW19)</f>
        <v>3.3706748185729982E-2</v>
      </c>
      <c r="BF19" s="5" cm="1">
        <f t="array" ref="BF19">+moody(BF$4,$AW19)</f>
        <v>3.0465783009338381E-2</v>
      </c>
      <c r="BG19" s="5" cm="1">
        <f t="array" ref="BG19">+moody(BG$4,$AW19)</f>
        <v>2.6493922202301026E-2</v>
      </c>
      <c r="BH19" s="5" cm="1">
        <f t="array" ref="BH19">+moody(BH$4,$AW19)</f>
        <v>2.4012844341278081E-2</v>
      </c>
      <c r="BI19" s="5" cm="1">
        <f t="array" ref="BI19">+moody(BI$4,$AW19)</f>
        <v>2.3453610001754763E-2</v>
      </c>
      <c r="BJ19" s="5" cm="1">
        <f t="array" ref="BJ19">+moody(BJ$4,$AW19)</f>
        <v>2.2866146916580204E-2</v>
      </c>
      <c r="BK19" s="5" cm="1">
        <f t="array" ref="BK19">+moody(BK$4,$AW19)</f>
        <v>2.2247403329467778E-2</v>
      </c>
      <c r="BL19" s="5" cm="1">
        <f t="array" ref="BL19">+moody(BL$4,$AW19)</f>
        <v>2.1591275727844243E-2</v>
      </c>
      <c r="BM19" s="5" cm="1">
        <f t="array" ref="BM19">+moody(BM$4,$AW19)</f>
        <v>2.1246427267456063E-2</v>
      </c>
      <c r="BN19" s="5" cm="1">
        <f t="array" ref="BN19">+moody(BN$4,$AW19)</f>
        <v>2.1070951280975352E-2</v>
      </c>
      <c r="BO19" s="5" cm="1">
        <f t="array" ref="BO19">+moody(BO$4,$AW19)</f>
        <v>2.0927518735504157E-2</v>
      </c>
      <c r="BP19" s="5" cm="1">
        <f t="array" ref="BP19">+moody(BP$4,$AW19)</f>
        <v>2.0909208197784426E-2</v>
      </c>
      <c r="BQ19" s="62" cm="1">
        <f t="array" ref="BQ19">+moody(BQ$4,$AW19)</f>
        <v>2.2247403329467778E-2</v>
      </c>
      <c r="BS19" s="42"/>
      <c r="BT19" s="41">
        <v>9</v>
      </c>
      <c r="BU19" s="42">
        <v>0</v>
      </c>
      <c r="BV19" s="44">
        <v>10</v>
      </c>
      <c r="BW19" s="45">
        <v>0</v>
      </c>
      <c r="BX19" s="45">
        <f t="shared" si="5"/>
        <v>4060.7824034595487</v>
      </c>
      <c r="BY19" s="45">
        <f t="shared" si="5"/>
        <v>984.69560086488718</v>
      </c>
      <c r="BZ19" s="45">
        <f t="shared" si="5"/>
        <v>424.3091559399499</v>
      </c>
      <c r="CA19" s="45">
        <f t="shared" si="5"/>
        <v>231.2989002162218</v>
      </c>
      <c r="CB19" s="45">
        <f t="shared" si="5"/>
        <v>143.39129613838196</v>
      </c>
      <c r="CC19" s="45">
        <f t="shared" si="5"/>
        <v>58.729464950391986</v>
      </c>
      <c r="CD19" s="45">
        <f t="shared" si="5"/>
        <v>30.34782403459549</v>
      </c>
      <c r="CE19" s="45">
        <f t="shared" si="5"/>
        <v>17.782607382141112</v>
      </c>
      <c r="CF19" s="45">
        <f t="shared" si="5"/>
        <v>11.265699570931329</v>
      </c>
      <c r="CG19" s="45">
        <f t="shared" si="5"/>
        <v>5.2119560086488725</v>
      </c>
      <c r="CH19" s="45">
        <f t="shared" si="5"/>
        <v>2.6956518455352785</v>
      </c>
      <c r="CI19" s="45">
        <f t="shared" si="5"/>
        <v>1.4830915593994991</v>
      </c>
      <c r="CJ19" s="45">
        <f t="shared" si="5"/>
        <v>0.84472032935473396</v>
      </c>
      <c r="CK19" s="45">
        <f t="shared" si="5"/>
        <v>0.49048900216221802</v>
      </c>
      <c r="CL19" s="45">
        <f t="shared" si="5"/>
        <v>0.28878143380718468</v>
      </c>
      <c r="CM19" s="46">
        <f t="shared" si="5"/>
        <v>107.87234236563707</v>
      </c>
    </row>
    <row r="20" spans="2:104" ht="15.75" thickBot="1" x14ac:dyDescent="0.3">
      <c r="B20" s="12" t="s">
        <v>88</v>
      </c>
      <c r="C20" s="2">
        <v>8.0000000000000002E-3</v>
      </c>
      <c r="D20" s="13" t="s">
        <v>89</v>
      </c>
      <c r="G20"/>
      <c r="H20"/>
      <c r="I20"/>
      <c r="J20"/>
      <c r="K20"/>
      <c r="L20"/>
      <c r="M20"/>
      <c r="N20"/>
      <c r="O20"/>
      <c r="P20"/>
      <c r="Q20"/>
      <c r="R20"/>
      <c r="S20"/>
      <c r="AW20" s="58">
        <v>60000</v>
      </c>
      <c r="AX20" s="5" cm="1">
        <f t="array" ref="AX20">+moody(AX$4,$AW20)</f>
        <v>7.1844546499633788E-2</v>
      </c>
      <c r="AY20" s="5" cm="1">
        <f t="array" ref="AY20">+moody(AY$4,$AW20)</f>
        <v>6.5026922955322253E-2</v>
      </c>
      <c r="AZ20" s="5" cm="1">
        <f t="array" ref="AZ20">+moody(AZ$4,$AW20)</f>
        <v>5.7617258691406249E-2</v>
      </c>
      <c r="BA20" s="5" cm="1">
        <f t="array" ref="BA20">+moody(BA$4,$AW20)</f>
        <v>4.9231032415771495E-2</v>
      </c>
      <c r="BB20" s="5" cm="1">
        <f t="array" ref="BB20">+moody(BB$4,$AW20)</f>
        <v>4.4415360995483405E-2</v>
      </c>
      <c r="BC20" s="5" cm="1">
        <f t="array" ref="BC20">+moody(BC$4,$AW20)</f>
        <v>3.885811279754639E-2</v>
      </c>
      <c r="BD20" s="5" cm="1">
        <f t="array" ref="BD20">+moody(BD$4,$AW20)</f>
        <v>3.6303792785644537E-2</v>
      </c>
      <c r="BE20" s="5" cm="1">
        <f t="array" ref="BE20">+moody(BE$4,$AW20)</f>
        <v>3.3450400657653812E-2</v>
      </c>
      <c r="BF20" s="5" cm="1">
        <f t="array" ref="BF20">+moody(BF$4,$AW20)</f>
        <v>3.0146874477386475E-2</v>
      </c>
      <c r="BG20" s="5" cm="1">
        <f t="array" ref="BG20">+moody(BG$4,$AW20)</f>
        <v>2.6049891662597659E-2</v>
      </c>
      <c r="BH20" s="5" cm="1">
        <f t="array" ref="BH20">+moody(BH$4,$AW20)</f>
        <v>2.3445217671966556E-2</v>
      </c>
      <c r="BI20" s="5" cm="1">
        <f t="array" ref="BI20">+moody(BI$4,$AW20)</f>
        <v>2.2850125196075446E-2</v>
      </c>
      <c r="BJ20" s="5" cm="1">
        <f t="array" ref="BJ20">+moody(BJ$4,$AW20)</f>
        <v>2.2220700461959841E-2</v>
      </c>
      <c r="BK20" s="5" cm="1">
        <f t="array" ref="BK20">+moody(BK$4,$AW20)</f>
        <v>2.1551602896118169E-2</v>
      </c>
      <c r="BL20" s="5" cm="1">
        <f t="array" ref="BL20">+moody(BL$4,$AW20)</f>
        <v>2.0836728985977181E-2</v>
      </c>
      <c r="BM20" s="5" cm="1">
        <f t="array" ref="BM20">+moody(BM$4,$AW20)</f>
        <v>2.0459074145507822E-2</v>
      </c>
      <c r="BN20" s="5" cm="1">
        <f t="array" ref="BN20">+moody(BN$4,$AW20)</f>
        <v>2.0264524682235725E-2</v>
      </c>
      <c r="BO20" s="5" cm="1">
        <f t="array" ref="BO20">+moody(BO$4,$AW20)</f>
        <v>2.0106596294403083E-2</v>
      </c>
      <c r="BP20" s="5" cm="1">
        <f t="array" ref="BP20">+moody(BP$4,$AW20)</f>
        <v>2.0085996939468387E-2</v>
      </c>
      <c r="BQ20" s="62" cm="1">
        <f t="array" ref="BQ20">+moody(BQ$4,$AW20)</f>
        <v>2.1551602896118169E-2</v>
      </c>
      <c r="BS20" s="42"/>
      <c r="BT20" s="44">
        <v>10</v>
      </c>
      <c r="BU20" s="46">
        <v>0</v>
      </c>
    </row>
    <row r="21" spans="2:104" x14ac:dyDescent="0.25">
      <c r="E21"/>
      <c r="G21"/>
      <c r="H21"/>
      <c r="I21"/>
      <c r="J21"/>
      <c r="K21"/>
      <c r="L21"/>
      <c r="M21"/>
      <c r="N21"/>
      <c r="O21"/>
      <c r="P21"/>
      <c r="Q21"/>
      <c r="R21"/>
      <c r="S21"/>
      <c r="AW21" s="58">
        <v>70000</v>
      </c>
      <c r="AX21" s="5" cm="1">
        <f t="array" ref="AX21">+moody(AX$4,$AW21)</f>
        <v>7.1789614886474618E-2</v>
      </c>
      <c r="AY21" s="5" cm="1">
        <f t="array" ref="AY21">+moody(AY$4,$AW21)</f>
        <v>6.4965887829589841E-2</v>
      </c>
      <c r="AZ21" s="5" cm="1">
        <f t="array" ref="AZ21">+moody(AZ$4,$AW21)</f>
        <v>5.7544016540527342E-2</v>
      </c>
      <c r="BA21" s="5" cm="1">
        <f t="array" ref="BA21">+moody(BA$4,$AW21)</f>
        <v>4.914253148345947E-2</v>
      </c>
      <c r="BB21" s="5" cm="1">
        <f t="array" ref="BB21">+moody(BB$4,$AW21)</f>
        <v>4.4308549525451671E-2</v>
      </c>
      <c r="BC21" s="5" cm="1">
        <f t="array" ref="BC21">+moody(BC$4,$AW21)</f>
        <v>3.8720783764648443E-2</v>
      </c>
      <c r="BD21" s="5" cm="1">
        <f t="array" ref="BD21">+moody(BD$4,$AW21)</f>
        <v>3.614815321502686E-2</v>
      </c>
      <c r="BE21" s="5" cm="1">
        <f t="array" ref="BE21">+moody(BE$4,$AW21)</f>
        <v>3.3265769402313239E-2</v>
      </c>
      <c r="BF21" s="5" cm="1">
        <f t="array" ref="BF21">+moody(BF$4,$AW21)</f>
        <v>2.9913415121459966E-2</v>
      </c>
      <c r="BG21" s="5" cm="1">
        <f t="array" ref="BG21">+moody(BG$4,$AW21)</f>
        <v>2.5720301983642582E-2</v>
      </c>
      <c r="BH21" s="5" cm="1">
        <f t="array" ref="BH21">+moody(BH$4,$AW21)</f>
        <v>2.3013394157409675E-2</v>
      </c>
      <c r="BI21" s="5" cm="1">
        <f t="array" ref="BI21">+moody(BI$4,$AW21)</f>
        <v>2.2387784118652349E-2</v>
      </c>
      <c r="BJ21" s="5" cm="1">
        <f t="array" ref="BJ21">+moody(BJ$4,$AW21)</f>
        <v>2.1721738309097294E-2</v>
      </c>
      <c r="BK21" s="5" cm="1">
        <f t="array" ref="BK21">+moody(BK$4,$AW21)</f>
        <v>2.1009916155242926E-2</v>
      </c>
      <c r="BL21" s="5" cm="1">
        <f t="array" ref="BL21">+moody(BL$4,$AW21)</f>
        <v>2.0241636510086064E-2</v>
      </c>
      <c r="BM21" s="5" cm="1">
        <f t="array" ref="BM21">+moody(BM$4,$AW21)</f>
        <v>1.9832701167678837E-2</v>
      </c>
      <c r="BN21" s="5" cm="1">
        <f t="array" ref="BN21">+moody(BN$4,$AW21)</f>
        <v>1.9621367044830328E-2</v>
      </c>
      <c r="BO21" s="5" cm="1">
        <f t="array" ref="BO21">+moody(BO$4,$AW21)</f>
        <v>1.9448179875564582E-2</v>
      </c>
      <c r="BP21" s="5" cm="1">
        <f t="array" ref="BP21">+moody(BP$4,$AW21)</f>
        <v>1.9426054642486576E-2</v>
      </c>
      <c r="BQ21" s="62" cm="1">
        <f t="array" ref="BQ21">+moody(BQ$4,$AW21)</f>
        <v>2.1009916155242926E-2</v>
      </c>
      <c r="BS21" s="42"/>
    </row>
    <row r="22" spans="2:104" x14ac:dyDescent="0.25">
      <c r="B22" s="116" t="s">
        <v>84</v>
      </c>
      <c r="C22" s="117"/>
      <c r="D22" s="118"/>
      <c r="E22"/>
      <c r="G22"/>
      <c r="H22"/>
      <c r="I22"/>
      <c r="J22"/>
      <c r="K22"/>
      <c r="L22"/>
      <c r="M22"/>
      <c r="N22"/>
      <c r="O22"/>
      <c r="P22"/>
      <c r="Q22"/>
      <c r="R22"/>
      <c r="S22"/>
      <c r="AW22" s="58">
        <v>80000</v>
      </c>
      <c r="AX22" s="5" cm="1">
        <f t="array" ref="AX22">+moody(AX$4,$AW22)</f>
        <v>7.1746890298461902E-2</v>
      </c>
      <c r="AY22" s="5" cm="1">
        <f t="array" ref="AY22">+moody(AY$4,$AW22)</f>
        <v>6.4917059729003884E-2</v>
      </c>
      <c r="AZ22" s="5" cm="1">
        <f t="array" ref="AZ22">+moody(AZ$4,$AW22)</f>
        <v>5.7495188439941405E-2</v>
      </c>
      <c r="BA22" s="5" cm="1">
        <f t="array" ref="BA22">+moody(BA$4,$AW22)</f>
        <v>4.907234108886719E-2</v>
      </c>
      <c r="BB22" s="5" cm="1">
        <f t="array" ref="BB22">+moody(BB$4,$AW22)</f>
        <v>4.4226152105712901E-2</v>
      </c>
      <c r="BC22" s="5" cm="1">
        <f t="array" ref="BC22">+moody(BC$4,$AW22)</f>
        <v>3.8617024050903323E-2</v>
      </c>
      <c r="BD22" s="5" cm="1">
        <f t="array" ref="BD22">+moody(BD$4,$AW22)</f>
        <v>3.6029134719848629E-2</v>
      </c>
      <c r="BE22" s="5" cm="1">
        <f t="array" ref="BE22">+moody(BE$4,$AW22)</f>
        <v>3.3123862734985354E-2</v>
      </c>
      <c r="BF22" s="5" cm="1">
        <f t="array" ref="BF22">+moody(BF$4,$AW22)</f>
        <v>2.9734887378692627E-2</v>
      </c>
      <c r="BG22" s="5" cm="1">
        <f t="array" ref="BG22">+moody(BG$4,$AW22)</f>
        <v>2.5463954455566411E-2</v>
      </c>
      <c r="BH22" s="5" cm="1">
        <f t="array" ref="BH22">+moody(BH$4,$AW22)</f>
        <v>2.2671597453308108E-2</v>
      </c>
      <c r="BI22" s="5" cm="1">
        <f t="array" ref="BI22">+moody(BI$4,$AW22)</f>
        <v>2.2020047486114511E-2</v>
      </c>
      <c r="BJ22" s="5" cm="1">
        <f t="array" ref="BJ22">+moody(BJ$4,$AW22)</f>
        <v>2.1322721174621591E-2</v>
      </c>
      <c r="BK22" s="5" cm="1">
        <f t="array" ref="BK22">+moody(BK$4,$AW22)</f>
        <v>2.0571989128112797E-2</v>
      </c>
      <c r="BL22" s="5" cm="1">
        <f t="array" ref="BL22">+moody(BL$4,$AW22)</f>
        <v>1.9755644321441661E-2</v>
      </c>
      <c r="BM22" s="5" cm="1">
        <f t="array" ref="BM22">+moody(BM$4,$AW22)</f>
        <v>1.9317717294311532E-2</v>
      </c>
      <c r="BN22" s="5" cm="1">
        <f t="array" ref="BN22">+moody(BN$4,$AW22)</f>
        <v>1.9090361450958257E-2</v>
      </c>
      <c r="BO22" s="5" cm="1">
        <f t="array" ref="BO22">+moody(BO$4,$AW22)</f>
        <v>1.8904204317474367E-2</v>
      </c>
      <c r="BP22" s="5" cm="1">
        <f t="array" ref="BP22">+moody(BP$4,$AW22)</f>
        <v>1.8880553206253058E-2</v>
      </c>
      <c r="BQ22" s="62" cm="1">
        <f t="array" ref="BQ22">+moody(BQ$4,$AW22)</f>
        <v>2.0571989128112797E-2</v>
      </c>
      <c r="BS22" s="42"/>
    </row>
    <row r="23" spans="2:104" ht="18" customHeight="1" x14ac:dyDescent="0.25">
      <c r="B23" s="12" t="s">
        <v>19</v>
      </c>
      <c r="C23" s="1">
        <v>1000</v>
      </c>
      <c r="D23" s="13" t="s">
        <v>0</v>
      </c>
      <c r="E23"/>
      <c r="AW23" s="58">
        <v>90000</v>
      </c>
      <c r="AX23" s="5" cm="1">
        <f t="array" ref="AX23">+moody(AX$4,$AW23)</f>
        <v>7.1716372735595696E-2</v>
      </c>
      <c r="AY23" s="5" cm="1">
        <f t="array" ref="AY23">+moody(AY$4,$AW23)</f>
        <v>6.4880438653564437E-2</v>
      </c>
      <c r="AZ23" s="5" cm="1">
        <f t="array" ref="AZ23">+moody(AZ$4,$AW23)</f>
        <v>5.7452463851928703E-2</v>
      </c>
      <c r="BA23" s="5" cm="1">
        <f t="array" ref="BA23">+moody(BA$4,$AW23)</f>
        <v>4.9020461231994633E-2</v>
      </c>
      <c r="BB23" s="5" cm="1">
        <f t="array" ref="BB23">+moody(BB$4,$AW23)</f>
        <v>4.4162065223693855E-2</v>
      </c>
      <c r="BC23" s="5" cm="1">
        <f t="array" ref="BC23">+moody(BC$4,$AW23)</f>
        <v>3.8534626631164554E-2</v>
      </c>
      <c r="BD23" s="5" cm="1">
        <f t="array" ref="BD23">+moody(BD$4,$AW23)</f>
        <v>3.5934530274963378E-2</v>
      </c>
      <c r="BE23" s="5" cm="1">
        <f t="array" ref="BE23">+moody(BE$4,$AW23)</f>
        <v>3.3013999508667E-2</v>
      </c>
      <c r="BF23" s="5" cm="1">
        <f t="array" ref="BF23">+moody(BF$4,$AW23)</f>
        <v>2.959450658950806E-2</v>
      </c>
      <c r="BG23" s="5" cm="1">
        <f t="array" ref="BG23">+moody(BG$4,$AW23)</f>
        <v>2.5259486784362795E-2</v>
      </c>
      <c r="BH23" s="5" cm="1">
        <f t="array" ref="BH23">+moody(BH$4,$AW23)</f>
        <v>2.2395413509368904E-2</v>
      </c>
      <c r="BI23" s="5" cm="1">
        <f t="array" ref="BI23">+moody(BI$4,$AW23)</f>
        <v>2.1719449491882328E-2</v>
      </c>
      <c r="BJ23" s="5" cm="1">
        <f t="array" ref="BJ23">+moody(BJ$4,$AW23)</f>
        <v>2.0994657373809816E-2</v>
      </c>
      <c r="BK23" s="5" cm="1">
        <f t="array" ref="BK23">+moody(BK$4,$AW23)</f>
        <v>2.0209593069076541E-2</v>
      </c>
      <c r="BL23" s="5" cm="1">
        <f t="array" ref="BL23">+moody(BL$4,$AW23)</f>
        <v>1.9349760735321048E-2</v>
      </c>
      <c r="BM23" s="5" cm="1">
        <f t="array" ref="BM23">+moody(BM$4,$AW23)</f>
        <v>1.8884367901611333E-2</v>
      </c>
      <c r="BN23" s="5" cm="1">
        <f t="array" ref="BN23">+moody(BN$4,$AW23)</f>
        <v>1.8641753276824956E-2</v>
      </c>
      <c r="BO23" s="5" cm="1">
        <f t="array" ref="BO23">+moody(BO$4,$AW23)</f>
        <v>1.8442626179122928E-2</v>
      </c>
      <c r="BP23" s="5" cm="1">
        <f t="array" ref="BP23">+moody(BP$4,$AW23)</f>
        <v>1.8417449189758302E-2</v>
      </c>
      <c r="BQ23" s="62" cm="1">
        <f t="array" ref="BQ23">+moody(BQ$4,$AW23)</f>
        <v>2.0209593069076541E-2</v>
      </c>
      <c r="BS23" s="42"/>
    </row>
    <row r="24" spans="2:104" ht="18" customHeight="1" x14ac:dyDescent="0.25">
      <c r="B24" s="12" t="s">
        <v>30</v>
      </c>
      <c r="C24" s="2">
        <v>1</v>
      </c>
      <c r="D24" s="13" t="s">
        <v>1</v>
      </c>
      <c r="E24"/>
      <c r="AW24" s="58">
        <v>100000</v>
      </c>
      <c r="AX24" s="5" cm="1">
        <f t="array" ref="AX24">+moody(AX$4,$AW24)</f>
        <v>7.1691958685302731E-2</v>
      </c>
      <c r="AY24" s="5" cm="1">
        <f t="array" ref="AY24">+moody(AY$4,$AW24)</f>
        <v>6.4856024603271473E-2</v>
      </c>
      <c r="AZ24" s="5" cm="1">
        <f t="array" ref="AZ24">+moody(AZ$4,$AW24)</f>
        <v>5.7415842776489256E-2</v>
      </c>
      <c r="BA24" s="5" cm="1">
        <f t="array" ref="BA24">+moody(BA$4,$AW24)</f>
        <v>4.8977736643981945E-2</v>
      </c>
      <c r="BB24" s="5" cm="1">
        <f t="array" ref="BB24">+moody(BB$4,$AW24)</f>
        <v>4.4110185366821306E-2</v>
      </c>
      <c r="BC24" s="5" cm="1">
        <f t="array" ref="BC24">+moody(BC$4,$AW24)</f>
        <v>3.8470539749145508E-2</v>
      </c>
      <c r="BD24" s="5" cm="1">
        <f t="array" ref="BD24">+moody(BD$4,$AW24)</f>
        <v>3.585976224594116E-2</v>
      </c>
      <c r="BE24" s="5" cm="1">
        <f t="array" ref="BE24">+moody(BE$4,$AW24)</f>
        <v>3.2923972698211665E-2</v>
      </c>
      <c r="BF24" s="5" cm="1">
        <f t="array" ref="BF24">+moody(BF$4,$AW24)</f>
        <v>2.9480065728759768E-2</v>
      </c>
      <c r="BG24" s="5" cm="1">
        <f t="array" ref="BG24">+moody(BG$4,$AW24)</f>
        <v>2.5093166066741945E-2</v>
      </c>
      <c r="BH24" s="5" cm="1">
        <f t="array" ref="BH24">+moody(BH$4,$AW24)</f>
        <v>2.2165005909729009E-2</v>
      </c>
      <c r="BI24" s="5" cm="1">
        <f t="array" ref="BI24">+moody(BI$4,$AW24)</f>
        <v>2.1469968415451054E-2</v>
      </c>
      <c r="BJ24" s="5" cm="1">
        <f t="array" ref="BJ24">+moody(BJ$4,$AW24)</f>
        <v>2.0719999308013923E-2</v>
      </c>
      <c r="BK24" s="5" cm="1">
        <f t="array" ref="BK24">+moody(BK$4,$AW24)</f>
        <v>1.990365450134278E-2</v>
      </c>
      <c r="BL24" s="5" cm="1">
        <f t="array" ref="BL24">+moody(BL$4,$AW24)</f>
        <v>1.9002623457717895E-2</v>
      </c>
      <c r="BM24" s="5" cm="1">
        <f t="array" ref="BM24">+moody(BM$4,$AW24)</f>
        <v>1.851205363464356E-2</v>
      </c>
      <c r="BN24" s="5" cm="1">
        <f t="array" ref="BN24">+moody(BN$4,$AW24)</f>
        <v>1.8255706106567383E-2</v>
      </c>
      <c r="BO24" s="5" cm="1">
        <f t="array" ref="BO24">+moody(BO$4,$AW24)</f>
        <v>1.8043609044647219E-2</v>
      </c>
      <c r="BP24" s="5" cm="1">
        <f t="array" ref="BP24">+moody(BP$4,$AW24)</f>
        <v>1.8016906177139282E-2</v>
      </c>
      <c r="BQ24" s="62" cm="1">
        <f t="array" ref="BQ24">+moody(BQ$4,$AW24)</f>
        <v>1.990365450134278E-2</v>
      </c>
      <c r="BS24" s="42"/>
    </row>
    <row r="25" spans="2:104" x14ac:dyDescent="0.25">
      <c r="B25" s="14"/>
      <c r="AW25" s="58">
        <v>200000</v>
      </c>
      <c r="AX25" s="5" cm="1">
        <f t="array" ref="AX25">+moody(AX$4,$AW25)</f>
        <v>7.1575991946411122E-2</v>
      </c>
      <c r="AY25" s="5" cm="1">
        <f t="array" ref="AY25">+moody(AY$4,$AW25)</f>
        <v>6.472174732666014E-2</v>
      </c>
      <c r="AZ25" s="5" cm="1">
        <f t="array" ref="AZ25">+moody(AZ$4,$AW25)</f>
        <v>5.72632549621582E-2</v>
      </c>
      <c r="BA25" s="5" cm="1">
        <f t="array" ref="BA25">+moody(BA$4,$AW25)</f>
        <v>4.87824242416382E-2</v>
      </c>
      <c r="BB25" s="5" cm="1">
        <f t="array" ref="BB25">+moody(BB$4,$AW25)</f>
        <v>4.3881303645324721E-2</v>
      </c>
      <c r="BC25" s="5" cm="1">
        <f t="array" ref="BC25">+moody(BC$4,$AW25)</f>
        <v>3.8171467633056649E-2</v>
      </c>
      <c r="BD25" s="5" cm="1">
        <f t="array" ref="BD25">+moody(BD$4,$AW25)</f>
        <v>3.5516439663696289E-2</v>
      </c>
      <c r="BE25" s="5" cm="1">
        <f t="array" ref="BE25">+moody(BE$4,$AW25)</f>
        <v>3.2513511477661128E-2</v>
      </c>
      <c r="BF25" s="5" cm="1">
        <f t="array" ref="BF25">+moody(BF$4,$AW25)</f>
        <v>2.8952111891174317E-2</v>
      </c>
      <c r="BG25" s="5" cm="1">
        <f t="array" ref="BG25">+moody(BG$4,$AW25)</f>
        <v>2.4293605919647222E-2</v>
      </c>
      <c r="BH25" s="5" cm="1">
        <f t="array" ref="BH25">+moody(BH$4,$AW25)</f>
        <v>2.1023649058532719E-2</v>
      </c>
      <c r="BI25" s="5" cm="1">
        <f t="array" ref="BI25">+moody(BI$4,$AW25)</f>
        <v>2.0208830130004886E-2</v>
      </c>
      <c r="BJ25" s="5" cm="1">
        <f t="array" ref="BJ25">+moody(BJ$4,$AW25)</f>
        <v>1.9306273208236698E-2</v>
      </c>
      <c r="BK25" s="5" cm="1">
        <f t="array" ref="BK25">+moody(BK$4,$AW25)</f>
        <v>1.8284697791290286E-2</v>
      </c>
      <c r="BL25" s="5" cm="1">
        <f t="array" ref="BL25">+moody(BL$4,$AW25)</f>
        <v>1.7094512839508059E-2</v>
      </c>
      <c r="BM25" s="5" cm="1">
        <f t="array" ref="BM25">+moody(BM$4,$AW25)</f>
        <v>1.6408630614089967E-2</v>
      </c>
      <c r="BN25" s="5" cm="1">
        <f t="array" ref="BN25">+moody(BN$4,$AW25)</f>
        <v>1.6034790468978884E-2</v>
      </c>
      <c r="BO25" s="5" cm="1">
        <f t="array" ref="BO25">+moody(BO$4,$AW25)</f>
        <v>1.5718933693313598E-2</v>
      </c>
      <c r="BP25" s="5" cm="1">
        <f t="array" ref="BP25">+moody(BP$4,$AW25)</f>
        <v>1.5678497922515869E-2</v>
      </c>
      <c r="BQ25" s="62" cm="1">
        <f t="array" ref="BQ25">+moody(BQ$4,$AW25)</f>
        <v>1.8284697791290286E-2</v>
      </c>
      <c r="BS25" s="42"/>
    </row>
    <row r="26" spans="2:104" ht="18" customHeight="1" x14ac:dyDescent="0.25">
      <c r="B26" s="116" t="s">
        <v>123</v>
      </c>
      <c r="C26" s="117"/>
      <c r="D26" s="118"/>
      <c r="AW26" s="58">
        <v>300000</v>
      </c>
      <c r="AX26" s="5" cm="1">
        <f t="array" ref="AX26">+moody(AX$4,$AW26)</f>
        <v>7.1539370870971675E-2</v>
      </c>
      <c r="AY26" s="5" cm="1">
        <f t="array" ref="AY26">+moody(AY$4,$AW26)</f>
        <v>6.4679022738647451E-2</v>
      </c>
      <c r="AZ26" s="5" cm="1">
        <f t="array" ref="AZ26">+moody(AZ$4,$AW26)</f>
        <v>5.7214426861572271E-2</v>
      </c>
      <c r="BA26" s="5" cm="1">
        <f t="array" ref="BA26">+moody(BA$4,$AW26)</f>
        <v>4.8718337359619154E-2</v>
      </c>
      <c r="BB26" s="5" cm="1">
        <f t="array" ref="BB26">+moody(BB$4,$AW26)</f>
        <v>4.3801957981872572E-2</v>
      </c>
      <c r="BC26" s="5" cm="1">
        <f t="array" ref="BC26">+moody(BC$4,$AW26)</f>
        <v>3.8070759675598143E-2</v>
      </c>
      <c r="BD26" s="5" cm="1">
        <f t="array" ref="BD26">+moody(BD$4,$AW26)</f>
        <v>3.5400472924804686E-2</v>
      </c>
      <c r="BE26" s="5" cm="1">
        <f t="array" ref="BE26">+moody(BE$4,$AW26)</f>
        <v>3.237313068847656E-2</v>
      </c>
      <c r="BF26" s="5" cm="1">
        <f t="array" ref="BF26">+moody(BF$4,$AW26)</f>
        <v>2.8769006513977048E-2</v>
      </c>
      <c r="BG26" s="5" cm="1">
        <f t="array" ref="BG26">+moody(BG$4,$AW26)</f>
        <v>2.400826670684815E-2</v>
      </c>
      <c r="BH26" s="5" cm="1">
        <f t="array" ref="BH26">+moody(BH$4,$AW26)</f>
        <v>2.0591825543975838E-2</v>
      </c>
      <c r="BI26" s="5" cm="1">
        <f t="array" ref="BI26">+moody(BI$4,$AW26)</f>
        <v>1.9722075002288827E-2</v>
      </c>
      <c r="BJ26" s="5" cm="1">
        <f t="array" ref="BJ26">+moody(BJ$4,$AW26)</f>
        <v>1.8744750051498414E-2</v>
      </c>
      <c r="BK26" s="5" cm="1">
        <f t="array" ref="BK26">+moody(BK$4,$AW26)</f>
        <v>1.7614074347305296E-2</v>
      </c>
      <c r="BL26" s="5" cm="1">
        <f t="array" ref="BL26">+moody(BL$4,$AW26)</f>
        <v>1.6248413409042359E-2</v>
      </c>
      <c r="BM26" s="5" cm="1">
        <f t="array" ref="BM26">+moody(BM$4,$AW26)</f>
        <v>1.542825390701294E-2</v>
      </c>
      <c r="BN26" s="5" cm="1">
        <f t="array" ref="BN26">+moody(BN$4,$AW26)</f>
        <v>1.4967438707733156E-2</v>
      </c>
      <c r="BO26" s="5" cm="1">
        <f t="array" ref="BO26">+moody(BO$4,$AW26)</f>
        <v>1.4567658634185795E-2</v>
      </c>
      <c r="BP26" s="5" cm="1">
        <f t="array" ref="BP26">+moody(BP$4,$AW26)</f>
        <v>1.4515778777313235E-2</v>
      </c>
      <c r="BQ26" s="62" cm="1">
        <f t="array" ref="BQ26">+moody(BQ$4,$AW26)</f>
        <v>1.7614074347305296E-2</v>
      </c>
      <c r="BS26" s="42"/>
    </row>
    <row r="27" spans="2:104" ht="17.25" x14ac:dyDescent="0.25">
      <c r="B27" s="12" t="s">
        <v>77</v>
      </c>
      <c r="C27" s="17">
        <v>19.999565859931753</v>
      </c>
      <c r="D27" s="13" t="s">
        <v>78</v>
      </c>
      <c r="E27" s="5" t="str">
        <f>B43 &amp; " = " &amp; ROUND(C43,3)</f>
        <v>∆p [bar] = 2.256</v>
      </c>
      <c r="AW27" s="58">
        <v>400000</v>
      </c>
      <c r="AX27" s="5" cm="1">
        <f t="array" ref="AX27">+moody(AX$4,$AW27)</f>
        <v>7.1521060333251951E-2</v>
      </c>
      <c r="AY27" s="5" cm="1">
        <f t="array" ref="AY27">+moody(AY$4,$AW27)</f>
        <v>6.4660712200927728E-2</v>
      </c>
      <c r="AZ27" s="5" cm="1">
        <f t="array" ref="AZ27">+moody(AZ$4,$AW27)</f>
        <v>5.7186961054992685E-2</v>
      </c>
      <c r="BA27" s="5" cm="1">
        <f t="array" ref="BA27">+moody(BA$4,$AW27)</f>
        <v>4.8684768040466314E-2</v>
      </c>
      <c r="BB27" s="5" cm="1">
        <f t="array" ref="BB27">+moody(BB$4,$AW27)</f>
        <v>4.376228515014649E-2</v>
      </c>
      <c r="BC27" s="5" cm="1">
        <f t="array" ref="BC27">+moody(BC$4,$AW27)</f>
        <v>3.8021931575012213E-2</v>
      </c>
      <c r="BD27" s="5" cm="1">
        <f t="array" ref="BD27">+moody(BD$4,$AW27)</f>
        <v>3.5342489555358889E-2</v>
      </c>
      <c r="BE27" s="5" cm="1">
        <f t="array" ref="BE27">+moody(BE$4,$AW27)</f>
        <v>3.230294029388428E-2</v>
      </c>
      <c r="BF27" s="5" cm="1">
        <f t="array" ref="BF27">+moody(BF$4,$AW27)</f>
        <v>2.8675927947235107E-2</v>
      </c>
      <c r="BG27" s="5" cm="1">
        <f t="array" ref="BG27">+moody(BG$4,$AW27)</f>
        <v>2.3861782405090334E-2</v>
      </c>
      <c r="BH27" s="5" cm="1">
        <f t="array" ref="BH27">+moody(BH$4,$AW27)</f>
        <v>2.0364469700622563E-2</v>
      </c>
      <c r="BI27" s="5" cm="1">
        <f t="array" ref="BI27">+moody(BI$4,$AW27)</f>
        <v>1.946267571792603E-2</v>
      </c>
      <c r="BJ27" s="5" cm="1">
        <f t="array" ref="BJ27">+moody(BJ$4,$AW27)</f>
        <v>1.8439574422836308E-2</v>
      </c>
      <c r="BK27" s="5" cm="1">
        <f t="array" ref="BK27">+moody(BK$4,$AW27)</f>
        <v>1.7240997141265868E-2</v>
      </c>
      <c r="BL27" s="5" cm="1">
        <f t="array" ref="BL27">+moody(BL$4,$AW27)</f>
        <v>1.5755554768753052E-2</v>
      </c>
      <c r="BM27" s="5" cm="1">
        <f t="array" ref="BM27">+moody(BM$4,$AW27)</f>
        <v>1.4833924370193485E-2</v>
      </c>
      <c r="BN27" s="5" cm="1">
        <f t="array" ref="BN27">+moody(BN$4,$AW27)</f>
        <v>1.4302918776321415E-2</v>
      </c>
      <c r="BO27" s="5" cm="1">
        <f t="array" ref="BO27">+moody(BO$4,$AW27)</f>
        <v>1.3831422430038456E-2</v>
      </c>
      <c r="BP27" s="5" cm="1">
        <f t="array" ref="BP27">+moody(BP$4,$AW27)</f>
        <v>1.3769242895698551E-2</v>
      </c>
      <c r="BQ27" s="62" cm="1">
        <f t="array" ref="BQ27">+moody(BQ$4,$AW27)</f>
        <v>1.7240997141265868E-2</v>
      </c>
      <c r="BS27" s="42"/>
    </row>
    <row r="28" spans="2:104" x14ac:dyDescent="0.25">
      <c r="B28" s="12" t="s">
        <v>79</v>
      </c>
      <c r="C28" s="2">
        <v>2.2570000000000001</v>
      </c>
      <c r="D28" s="13" t="s">
        <v>124</v>
      </c>
      <c r="AW28" s="58">
        <v>500000</v>
      </c>
      <c r="AX28" s="5" cm="1">
        <f t="array" ref="AX28">+moody(AX$4,$AW28)</f>
        <v>7.1508853308105469E-2</v>
      </c>
      <c r="AY28" s="5" cm="1">
        <f t="array" ref="AY28">+moody(AY$4,$AW28)</f>
        <v>6.4648505175781246E-2</v>
      </c>
      <c r="AZ28" s="5" cm="1">
        <f t="array" ref="AZ28">+moody(AZ$4,$AW28)</f>
        <v>5.7171702273559569E-2</v>
      </c>
      <c r="BA28" s="5" cm="1">
        <f t="array" ref="BA28">+moody(BA$4,$AW28)</f>
        <v>4.8666457502746591E-2</v>
      </c>
      <c r="BB28" s="5" cm="1">
        <f t="array" ref="BB28">+moody(BB$4,$AW28)</f>
        <v>4.3740922856140146E-2</v>
      </c>
      <c r="BC28" s="5" cm="1">
        <f t="array" ref="BC28">+moody(BC$4,$AW28)</f>
        <v>3.7991414012145994E-2</v>
      </c>
      <c r="BD28" s="5" cm="1">
        <f t="array" ref="BD28">+moody(BD$4,$AW28)</f>
        <v>3.5308920236206062E-2</v>
      </c>
      <c r="BE28" s="5" cm="1">
        <f t="array" ref="BE28">+moody(BE$4,$AW28)</f>
        <v>3.2260215705871578E-2</v>
      </c>
      <c r="BF28" s="5" cm="1">
        <f t="array" ref="BF28">+moody(BF$4,$AW28)</f>
        <v>2.8619470455932619E-2</v>
      </c>
      <c r="BG28" s="5" cm="1">
        <f t="array" ref="BG28">+moody(BG$4,$AW28)</f>
        <v>2.3773281472778324E-2</v>
      </c>
      <c r="BH28" s="5" cm="1">
        <f t="array" ref="BH28">+moody(BH$4,$AW28)</f>
        <v>2.0224088911437996E-2</v>
      </c>
      <c r="BI28" s="5" cm="1">
        <f t="array" ref="BI28">+moody(BI$4,$AW28)</f>
        <v>1.9300932634735112E-2</v>
      </c>
      <c r="BJ28" s="5" cm="1">
        <f t="array" ref="BJ28">+moody(BJ$4,$AW28)</f>
        <v>1.8248076715850832E-2</v>
      </c>
      <c r="BK28" s="5" cm="1">
        <f t="array" ref="BK28">+moody(BK$4,$AW28)</f>
        <v>1.7001434272766111E-2</v>
      </c>
      <c r="BL28" s="5" cm="1">
        <f t="array" ref="BL28">+moody(BL$4,$AW28)</f>
        <v>1.542825390701294E-2</v>
      </c>
      <c r="BM28" s="5" cm="1">
        <f t="array" ref="BM28">+moody(BM$4,$AW28)</f>
        <v>1.4427277845001224E-2</v>
      </c>
      <c r="BN28" s="5" cm="1">
        <f t="array" ref="BN28">+moody(BN$4,$AW28)</f>
        <v>1.3836763003540042E-2</v>
      </c>
      <c r="BO28" s="5" cm="1">
        <f t="array" ref="BO28">+moody(BO$4,$AW28)</f>
        <v>1.3302324183845523E-2</v>
      </c>
      <c r="BP28" s="5" cm="1">
        <f t="array" ref="BP28">+moody(BP$4,$AW28)</f>
        <v>1.3230989380645753E-2</v>
      </c>
      <c r="BQ28" s="62" cm="1">
        <f t="array" ref="BQ28">+moody(BQ$4,$AW28)</f>
        <v>1.7001434272766111E-2</v>
      </c>
      <c r="BS28" s="42"/>
    </row>
    <row r="29" spans="2:104" ht="18" x14ac:dyDescent="0.25">
      <c r="B29" s="12" t="s">
        <v>86</v>
      </c>
      <c r="C29" s="17">
        <f>+C12^2/4*PI()</f>
        <v>314.15926535897933</v>
      </c>
      <c r="D29" s="13" t="s">
        <v>4</v>
      </c>
      <c r="AW29" s="58">
        <v>600000</v>
      </c>
      <c r="AX29" s="5" cm="1">
        <f t="array" ref="AX29">+moody(AX$4,$AW29)</f>
        <v>7.1496646282958987E-2</v>
      </c>
      <c r="AY29" s="5" cm="1">
        <f t="array" ref="AY29">+moody(AY$4,$AW29)</f>
        <v>6.4636298150634763E-2</v>
      </c>
      <c r="AZ29" s="5" cm="1">
        <f t="array" ref="AZ29">+moody(AZ$4,$AW29)</f>
        <v>5.7159495248413086E-2</v>
      </c>
      <c r="BA29" s="5" cm="1">
        <f t="array" ref="BA29">+moody(BA$4,$AW29)</f>
        <v>4.8651198721313488E-2</v>
      </c>
      <c r="BB29" s="5" cm="1">
        <f t="array" ref="BB29">+moody(BB$4,$AW29)</f>
        <v>4.3725664074707044E-2</v>
      </c>
      <c r="BC29" s="5" cm="1">
        <f t="array" ref="BC29">+moody(BC$4,$AW29)</f>
        <v>3.797005171813965E-2</v>
      </c>
      <c r="BD29" s="5" cm="1">
        <f t="array" ref="BD29">+moody(BD$4,$AW29)</f>
        <v>3.5284506185913084E-2</v>
      </c>
      <c r="BE29" s="5" cm="1">
        <f t="array" ref="BE29">+moody(BE$4,$AW29)</f>
        <v>3.2232749899291993E-2</v>
      </c>
      <c r="BF29" s="5" cm="1">
        <f t="array" ref="BF29">+moody(BF$4,$AW29)</f>
        <v>2.8582849380493165E-2</v>
      </c>
      <c r="BG29" s="5" cm="1">
        <f t="array" ref="BG29">+moody(BG$4,$AW29)</f>
        <v>2.3712246347045905E-2</v>
      </c>
      <c r="BH29" s="5" cm="1">
        <f t="array" ref="BH29">+moody(BH$4,$AW29)</f>
        <v>2.0127958588409427E-2</v>
      </c>
      <c r="BI29" s="5" cm="1">
        <f t="array" ref="BI29">+moody(BI$4,$AW29)</f>
        <v>1.9190306469345095E-2</v>
      </c>
      <c r="BJ29" s="5" cm="1">
        <f t="array" ref="BJ29">+moody(BJ$4,$AW29)</f>
        <v>1.8115325317382816E-2</v>
      </c>
      <c r="BK29" s="5" cm="1">
        <f t="array" ref="BK29">+moody(BK$4,$AW29)</f>
        <v>1.6833587677001955E-2</v>
      </c>
      <c r="BL29" s="5" cm="1">
        <f t="array" ref="BL29">+moody(BL$4,$AW29)</f>
        <v>1.51944130815506E-2</v>
      </c>
      <c r="BM29" s="5" cm="1">
        <f t="array" ref="BM29">+moody(BM$4,$AW29)</f>
        <v>1.4128205728912355E-2</v>
      </c>
      <c r="BN29" s="5" cm="1">
        <f t="array" ref="BN29">+moody(BN$4,$AW29)</f>
        <v>1.3486955439186099E-2</v>
      </c>
      <c r="BO29" s="5" cm="1">
        <f t="array" ref="BO29">+moody(BO$4,$AW29)</f>
        <v>1.2895296189117434E-2</v>
      </c>
      <c r="BP29" s="5" cm="1">
        <f t="array" ref="BP29">+moody(BP$4,$AW29)</f>
        <v>1.281518758659363E-2</v>
      </c>
      <c r="BQ29" s="62" cm="1">
        <f t="array" ref="BQ29">+moody(BQ$4,$AW29)</f>
        <v>1.6833587677001955E-2</v>
      </c>
      <c r="BS29" s="42"/>
    </row>
    <row r="30" spans="2:104" ht="18" customHeight="1" x14ac:dyDescent="0.25">
      <c r="B30" s="12" t="s">
        <v>87</v>
      </c>
      <c r="C30" s="17">
        <f>+C18^2/4*PI()</f>
        <v>2733.9710067865176</v>
      </c>
      <c r="D30" s="13" t="s">
        <v>5</v>
      </c>
      <c r="AW30" s="58">
        <v>700000</v>
      </c>
      <c r="AX30" s="5" cm="1">
        <f t="array" ref="AX30">+moody(AX$4,$AW30)</f>
        <v>7.1496646282958987E-2</v>
      </c>
      <c r="AY30" s="5" cm="1">
        <f t="array" ref="AY30">+moody(AY$4,$AW30)</f>
        <v>6.4630194638061522E-2</v>
      </c>
      <c r="AZ30" s="5" cm="1">
        <f t="array" ref="AZ30">+moody(AZ$4,$AW30)</f>
        <v>5.7153391735839845E-2</v>
      </c>
      <c r="BA30" s="5" cm="1">
        <f t="array" ref="BA30">+moody(BA$4,$AW30)</f>
        <v>4.8645095208740247E-2</v>
      </c>
      <c r="BB30" s="5" cm="1">
        <f t="array" ref="BB30">+moody(BB$4,$AW30)</f>
        <v>4.3713457049560561E-2</v>
      </c>
      <c r="BC30" s="5" cm="1">
        <f t="array" ref="BC30">+moody(BC$4,$AW30)</f>
        <v>3.7957844692993167E-2</v>
      </c>
      <c r="BD30" s="5" cm="1">
        <f t="array" ref="BD30">+moody(BD$4,$AW30)</f>
        <v>3.5267721526336671E-2</v>
      </c>
      <c r="BE30" s="5" cm="1">
        <f t="array" ref="BE30">+moody(BE$4,$AW30)</f>
        <v>3.2211387605285649E-2</v>
      </c>
      <c r="BF30" s="5" cm="1">
        <f t="array" ref="BF30">+moody(BF$4,$AW30)</f>
        <v>2.855538357391358E-2</v>
      </c>
      <c r="BG30" s="5" cm="1">
        <f t="array" ref="BG30">+moody(BG$4,$AW30)</f>
        <v>2.366952175903321E-2</v>
      </c>
      <c r="BH30" s="5" cm="1">
        <f t="array" ref="BH30">+moody(BH$4,$AW30)</f>
        <v>2.0058531132888802E-2</v>
      </c>
      <c r="BI30" s="5" cm="1">
        <f t="array" ref="BI30">+moody(BI$4,$AW30)</f>
        <v>1.9110197866821291E-2</v>
      </c>
      <c r="BJ30" s="5" cm="1">
        <f t="array" ref="BJ30">+moody(BJ$4,$AW30)</f>
        <v>1.8019194994354247E-2</v>
      </c>
      <c r="BK30" s="5" cm="1">
        <f t="array" ref="BK30">+moody(BK$4,$AW30)</f>
        <v>1.6710754486465453E-2</v>
      </c>
      <c r="BL30" s="5" cm="1">
        <f t="array" ref="BL30">+moody(BL$4,$AW30)</f>
        <v>1.5017792686462403E-2</v>
      </c>
      <c r="BM30" s="5" cm="1">
        <f t="array" ref="BM30">+moody(BM$4,$AW30)</f>
        <v>1.3897798129272464E-2</v>
      </c>
      <c r="BN30" s="5" cm="1">
        <f t="array" ref="BN30">+moody(BN$4,$AW30)</f>
        <v>1.3211915903854371E-2</v>
      </c>
      <c r="BO30" s="5" cm="1">
        <f t="array" ref="BO30">+moody(BO$4,$AW30)</f>
        <v>1.2568758266448977E-2</v>
      </c>
      <c r="BP30" s="5" cm="1">
        <f t="array" ref="BP30">+moody(BP$4,$AW30)</f>
        <v>1.2480257334136963E-2</v>
      </c>
      <c r="BQ30" s="62" cm="1">
        <f t="array" ref="BQ30">+moody(BQ$4,$AW30)</f>
        <v>1.6710754486465453E-2</v>
      </c>
      <c r="BS30" s="42"/>
    </row>
    <row r="31" spans="2:104" ht="18" x14ac:dyDescent="0.25">
      <c r="B31" s="12" t="s">
        <v>20</v>
      </c>
      <c r="C31" s="17">
        <f>C27/3600/(C29*10^-6)</f>
        <v>17.683498701666949</v>
      </c>
      <c r="D31" s="13" t="s">
        <v>121</v>
      </c>
      <c r="AW31" s="58">
        <v>800000</v>
      </c>
      <c r="AX31" s="5" cm="1">
        <f t="array" ref="AX31">+moody(AX$4,$AW31)</f>
        <v>7.1490542770385745E-2</v>
      </c>
      <c r="AY31" s="5" cm="1">
        <f t="array" ref="AY31">+moody(AY$4,$AW31)</f>
        <v>6.4624091125488281E-2</v>
      </c>
      <c r="AZ31" s="5" cm="1">
        <f t="array" ref="AZ31">+moody(AZ$4,$AW31)</f>
        <v>5.7147288223266604E-2</v>
      </c>
      <c r="BA31" s="5" cm="1">
        <f t="array" ref="BA31">+moody(BA$4,$AW31)</f>
        <v>4.8635939939880385E-2</v>
      </c>
      <c r="BB31" s="5" cm="1">
        <f t="array" ref="BB31">+moody(BB$4,$AW31)</f>
        <v>4.3704301780700699E-2</v>
      </c>
      <c r="BC31" s="5" cm="1">
        <f t="array" ref="BC31">+moody(BC$4,$AW31)</f>
        <v>3.7945637667846685E-2</v>
      </c>
      <c r="BD31" s="5" cm="1">
        <f t="array" ref="BD31">+moody(BD$4,$AW31)</f>
        <v>3.5253988623046878E-2</v>
      </c>
      <c r="BE31" s="5" cm="1">
        <f t="array" ref="BE31">+moody(BE$4,$AW31)</f>
        <v>3.2196128823852546E-2</v>
      </c>
      <c r="BF31" s="5" cm="1">
        <f t="array" ref="BF31">+moody(BF$4,$AW31)</f>
        <v>2.8535547158050539E-2</v>
      </c>
      <c r="BG31" s="5" cm="1">
        <f t="array" ref="BG31">+moody(BG$4,$AW31)</f>
        <v>2.3635952439880377E-2</v>
      </c>
      <c r="BH31" s="5" cm="1">
        <f t="array" ref="BH31">+moody(BH$4,$AW31)</f>
        <v>2.000588833694459E-2</v>
      </c>
      <c r="BI31" s="5" cm="1">
        <f t="array" ref="BI31">+moody(BI$4,$AW31)</f>
        <v>1.9048399802017217E-2</v>
      </c>
      <c r="BJ31" s="5" cm="1">
        <f t="array" ref="BJ31">+moody(BJ$4,$AW31)</f>
        <v>1.7945189904403691E-2</v>
      </c>
      <c r="BK31" s="5" cm="1">
        <f t="array" ref="BK31">+moody(BK$4,$AW31)</f>
        <v>1.6615387102508546E-2</v>
      </c>
      <c r="BL31" s="5" cm="1">
        <f t="array" ref="BL31">+moody(BL$4,$AW31)</f>
        <v>1.4879700714492801E-2</v>
      </c>
      <c r="BM31" s="5" cm="1">
        <f t="array" ref="BM31">+moody(BM$4,$AW31)</f>
        <v>1.3713929813003543E-2</v>
      </c>
      <c r="BN31" s="5" cm="1">
        <f t="array" ref="BN31">+moody(BN$4,$AW31)</f>
        <v>1.2989137694931034E-2</v>
      </c>
      <c r="BO31" s="5" cm="1">
        <f t="array" ref="BO31">+moody(BO$4,$AW31)</f>
        <v>1.2297533426475528E-2</v>
      </c>
      <c r="BP31" s="5" cm="1">
        <f t="array" ref="BP31">+moody(BP$4,$AW31)</f>
        <v>1.220178457298279E-2</v>
      </c>
      <c r="BQ31" s="62" cm="1">
        <f t="array" ref="BQ31">+moody(BQ$4,$AW31)</f>
        <v>1.6615387102508546E-2</v>
      </c>
      <c r="BS31" s="42"/>
    </row>
    <row r="32" spans="2:104" ht="18" x14ac:dyDescent="0.25">
      <c r="B32" s="12" t="s">
        <v>21</v>
      </c>
      <c r="C32" s="17">
        <f>C27/3600/(C30*10^-6)</f>
        <v>2.032002148999362</v>
      </c>
      <c r="D32" s="13" t="s">
        <v>85</v>
      </c>
      <c r="AW32" s="58">
        <v>900000</v>
      </c>
      <c r="AX32" s="5" cm="1">
        <f t="array" ref="AX32">+moody(AX$4,$AW32)</f>
        <v>7.148443925781249E-2</v>
      </c>
      <c r="AY32" s="5" cm="1">
        <f t="array" ref="AY32">+moody(AY$4,$AW32)</f>
        <v>6.4624091125488281E-2</v>
      </c>
      <c r="AZ32" s="5" cm="1">
        <f t="array" ref="AZ32">+moody(AZ$4,$AW32)</f>
        <v>5.7144236466979983E-2</v>
      </c>
      <c r="BA32" s="5" cm="1">
        <f t="array" ref="BA32">+moody(BA$4,$AW32)</f>
        <v>4.8632888183593757E-2</v>
      </c>
      <c r="BB32" s="5" cm="1">
        <f t="array" ref="BB32">+moody(BB$4,$AW32)</f>
        <v>4.3698198268127444E-2</v>
      </c>
      <c r="BC32" s="5" cm="1">
        <f t="array" ref="BC32">+moody(BC$4,$AW32)</f>
        <v>3.7936482398986809E-2</v>
      </c>
      <c r="BD32" s="5" cm="1">
        <f t="array" ref="BD32">+moody(BD$4,$AW32)</f>
        <v>3.5244833354187016E-2</v>
      </c>
      <c r="BE32" s="5" cm="1">
        <f t="array" ref="BE32">+moody(BE$4,$AW32)</f>
        <v>3.2183921798706064E-2</v>
      </c>
      <c r="BF32" s="5" cm="1">
        <f t="array" ref="BF32">+moody(BF$4,$AW32)</f>
        <v>2.8520288376617436E-2</v>
      </c>
      <c r="BG32" s="5" cm="1">
        <f t="array" ref="BG32">+moody(BG$4,$AW32)</f>
        <v>2.3611538389587412E-2</v>
      </c>
      <c r="BH32" s="5" cm="1">
        <f t="array" ref="BH32">+moody(BH$4,$AW32)</f>
        <v>1.9964689627075205E-2</v>
      </c>
      <c r="BI32" s="5" cm="1">
        <f t="array" ref="BI32">+moody(BI$4,$AW32)</f>
        <v>1.9000334640502929E-2</v>
      </c>
      <c r="BJ32" s="5" cm="1">
        <f t="array" ref="BJ32">+moody(BJ$4,$AW32)</f>
        <v>1.7886443595886231E-2</v>
      </c>
      <c r="BK32" s="5" cm="1">
        <f t="array" ref="BK32">+moody(BK$4,$AW32)</f>
        <v>1.6540619073486331E-2</v>
      </c>
      <c r="BL32" s="5" cm="1">
        <f t="array" ref="BL32">+moody(BL$4,$AW32)</f>
        <v>1.4769074549102784E-2</v>
      </c>
      <c r="BM32" s="5" cm="1">
        <f t="array" ref="BM32">+moody(BM$4,$AW32)</f>
        <v>1.3563249346351627E-2</v>
      </c>
      <c r="BN32" s="5" cm="1">
        <f t="array" ref="BN32">+moody(BN$4,$AW32)</f>
        <v>1.2803743500518799E-2</v>
      </c>
      <c r="BO32" s="5" cm="1">
        <f t="array" ref="BO32">+moody(BO$4,$AW32)</f>
        <v>1.206750729637146E-2</v>
      </c>
      <c r="BP32" s="5" cm="1">
        <f t="array" ref="BP32">+moody(BP$4,$AW32)</f>
        <v>1.1964510521697998E-2</v>
      </c>
      <c r="BQ32" s="62" cm="1">
        <f t="array" ref="BQ32">+moody(BQ$4,$AW32)</f>
        <v>1.6540619073486331E-2</v>
      </c>
      <c r="BS32" s="42"/>
    </row>
    <row r="33" spans="2:71" ht="18" x14ac:dyDescent="0.25">
      <c r="B33" s="12" t="s">
        <v>22</v>
      </c>
      <c r="C33" s="16">
        <f>+C12/1000*C31/(C24*10^-6)</f>
        <v>353669.97403333901</v>
      </c>
      <c r="D33" s="13" t="s">
        <v>6</v>
      </c>
      <c r="AW33" s="58">
        <v>1000000</v>
      </c>
      <c r="AX33" s="5" cm="1">
        <f t="array" ref="AX33">+moody(AX$4,$AW33)</f>
        <v>7.148443925781249E-2</v>
      </c>
      <c r="AY33" s="5" cm="1">
        <f t="array" ref="AY33">+moody(AY$4,$AW33)</f>
        <v>6.461798761291504E-2</v>
      </c>
      <c r="AZ33" s="5" cm="1">
        <f t="array" ref="AZ33">+moody(AZ$4,$AW33)</f>
        <v>5.7141184710693363E-2</v>
      </c>
      <c r="BA33" s="5" cm="1">
        <f t="array" ref="BA33">+moody(BA$4,$AW33)</f>
        <v>4.8626784671020509E-2</v>
      </c>
      <c r="BB33" s="5" cm="1">
        <f t="array" ref="BB33">+moody(BB$4,$AW33)</f>
        <v>4.3695146511840824E-2</v>
      </c>
      <c r="BC33" s="5" cm="1">
        <f t="array" ref="BC33">+moody(BC$4,$AW33)</f>
        <v>3.7930378886413568E-2</v>
      </c>
      <c r="BD33" s="5" cm="1">
        <f t="array" ref="BD33">+moody(BD$4,$AW33)</f>
        <v>3.5237203963470465E-2</v>
      </c>
      <c r="BE33" s="5" cm="1">
        <f t="array" ref="BE33">+moody(BE$4,$AW33)</f>
        <v>3.2174766529846188E-2</v>
      </c>
      <c r="BF33" s="5" cm="1">
        <f t="array" ref="BF33">+moody(BF$4,$AW33)</f>
        <v>2.8506555473327637E-2</v>
      </c>
      <c r="BG33" s="5" cm="1">
        <f t="array" ref="BG33">+moody(BG$4,$AW33)</f>
        <v>2.3590176095581061E-2</v>
      </c>
      <c r="BH33" s="5" cm="1">
        <f t="array" ref="BH33">+moody(BH$4,$AW33)</f>
        <v>1.9931120307922372E-2</v>
      </c>
      <c r="BI33" s="5" cm="1">
        <f t="array" ref="BI33">+moody(BI$4,$AW33)</f>
        <v>1.8962187686920165E-2</v>
      </c>
      <c r="BJ33" s="5" cm="1">
        <f t="array" ref="BJ33">+moody(BJ$4,$AW33)</f>
        <v>1.783990431251526E-2</v>
      </c>
      <c r="BK33" s="5" cm="1">
        <f t="array" ref="BK33">+moody(BK$4,$AW33)</f>
        <v>1.6479583947753909E-2</v>
      </c>
      <c r="BL33" s="5" cm="1">
        <f t="array" ref="BL33">+moody(BL$4,$AW33)</f>
        <v>1.4677521860504153E-2</v>
      </c>
      <c r="BM33" s="5" cm="1">
        <f t="array" ref="BM33">+moody(BM$4,$AW33)</f>
        <v>1.3437745869064332E-2</v>
      </c>
      <c r="BN33" s="5" cm="1">
        <f t="array" ref="BN33">+moody(BN$4,$AW33)</f>
        <v>1.2646578051757814E-2</v>
      </c>
      <c r="BO33" s="5" cm="1">
        <f t="array" ref="BO33">+moody(BO$4,$AW33)</f>
        <v>1.1869143137741088E-2</v>
      </c>
      <c r="BP33" s="5" cm="1">
        <f t="array" ref="BP33">+moody(BP$4,$AW33)</f>
        <v>1.1758898441886902E-2</v>
      </c>
      <c r="BQ33" s="62" cm="1">
        <f t="array" ref="BQ33">+moody(BQ$4,$AW33)</f>
        <v>1.6479583947753909E-2</v>
      </c>
      <c r="BS33" s="42"/>
    </row>
    <row r="34" spans="2:71" ht="18" x14ac:dyDescent="0.25">
      <c r="B34" s="12" t="s">
        <v>23</v>
      </c>
      <c r="C34" s="16">
        <f>+C18/1000*C32/(C24*10^-6)</f>
        <v>119888.12679096236</v>
      </c>
      <c r="D34" s="13" t="s">
        <v>7</v>
      </c>
      <c r="AW34" s="58">
        <v>2000000</v>
      </c>
      <c r="AX34" s="5" cm="1">
        <f t="array" ref="AX34">+moody(AX$4,$AW34)</f>
        <v>7.1472232232665994E-2</v>
      </c>
      <c r="AY34" s="5" cm="1">
        <f t="array" ref="AY34">+moody(AY$4,$AW34)</f>
        <v>6.4605780587768558E-2</v>
      </c>
      <c r="AZ34" s="5" cm="1">
        <f t="array" ref="AZ34">+moody(AZ$4,$AW34)</f>
        <v>5.7122874172973639E-2</v>
      </c>
      <c r="BA34" s="5" cm="1">
        <f t="array" ref="BA34">+moody(BA$4,$AW34)</f>
        <v>4.8608474133300786E-2</v>
      </c>
      <c r="BB34" s="5" cm="1">
        <f t="array" ref="BB34">+moody(BB$4,$AW34)</f>
        <v>4.3670732461547859E-2</v>
      </c>
      <c r="BC34" s="5" cm="1">
        <f t="array" ref="BC34">+moody(BC$4,$AW34)</f>
        <v>3.7899861323547362E-2</v>
      </c>
      <c r="BD34" s="5" cm="1">
        <f t="array" ref="BD34">+moody(BD$4,$AW34)</f>
        <v>3.5202108766174314E-2</v>
      </c>
      <c r="BE34" s="5" cm="1">
        <f t="array" ref="BE34">+moody(BE$4,$AW34)</f>
        <v>3.21320419418335E-2</v>
      </c>
      <c r="BF34" s="5" cm="1">
        <f t="array" ref="BF34">+moody(BF$4,$AW34)</f>
        <v>2.8450097982025149E-2</v>
      </c>
      <c r="BG34" s="5" cm="1">
        <f t="array" ref="BG34">+moody(BG$4,$AW34)</f>
        <v>2.3497097528839113E-2</v>
      </c>
      <c r="BH34" s="5" cm="1">
        <f t="array" ref="BH34">+moody(BH$4,$AW34)</f>
        <v>1.9778532493591315E-2</v>
      </c>
      <c r="BI34" s="5" cm="1">
        <f t="array" ref="BI34">+moody(BI$4,$AW34)</f>
        <v>1.8783659944152833E-2</v>
      </c>
      <c r="BJ34" s="5" cm="1">
        <f t="array" ref="BJ34">+moody(BJ$4,$AW34)</f>
        <v>1.7621703738021854E-2</v>
      </c>
      <c r="BK34" s="5" cm="1">
        <f t="array" ref="BK34">+moody(BK$4,$AW34)</f>
        <v>1.6192718856811526E-2</v>
      </c>
      <c r="BL34" s="5" cm="1">
        <f t="array" ref="BL34">+moody(BL$4,$AW34)</f>
        <v>1.4233491320800783E-2</v>
      </c>
      <c r="BM34" s="5" cm="1">
        <f t="array" ref="BM34">+moody(BM$4,$AW34)</f>
        <v>1.2798402927017213E-2</v>
      </c>
      <c r="BN34" s="5" cm="1">
        <f t="array" ref="BN34">+moody(BN$4,$AW34)</f>
        <v>1.1806582133865359E-2</v>
      </c>
      <c r="BO34" s="5" cm="1">
        <f t="array" ref="BO34">+moody(BO$4,$AW34)</f>
        <v>1.0719775426292419E-2</v>
      </c>
      <c r="BP34" s="5" cm="1">
        <f t="array" ref="BP34">+moody(BP$4,$AW34)</f>
        <v>1.0551547360992432E-2</v>
      </c>
      <c r="BQ34" s="62" cm="1">
        <f t="array" ref="BQ34">+moody(BQ$4,$AW34)</f>
        <v>1.6192718856811526E-2</v>
      </c>
      <c r="BS34" s="42"/>
    </row>
    <row r="35" spans="2:71" ht="18" x14ac:dyDescent="0.25">
      <c r="B35" s="12" t="s">
        <v>92</v>
      </c>
      <c r="C35" s="37">
        <f>+C20/C12</f>
        <v>4.0000000000000002E-4</v>
      </c>
      <c r="D35" s="13" t="s">
        <v>93</v>
      </c>
      <c r="AW35" s="58">
        <v>3000000</v>
      </c>
      <c r="AX35" s="5" cm="1">
        <f t="array" ref="AX35">+moody(AX$4,$AW35)</f>
        <v>7.1472232232665994E-2</v>
      </c>
      <c r="AY35" s="5" cm="1">
        <f t="array" ref="AY35">+moody(AY$4,$AW35)</f>
        <v>6.4599677075195316E-2</v>
      </c>
      <c r="AZ35" s="5" cm="1">
        <f t="array" ref="AZ35">+moody(AZ$4,$AW35)</f>
        <v>5.7122874172973639E-2</v>
      </c>
      <c r="BA35" s="5" cm="1">
        <f t="array" ref="BA35">+moody(BA$4,$AW35)</f>
        <v>4.8602370620727545E-2</v>
      </c>
      <c r="BB35" s="5" cm="1">
        <f t="array" ref="BB35">+moody(BB$4,$AW35)</f>
        <v>4.3661577192687998E-2</v>
      </c>
      <c r="BC35" s="5" cm="1">
        <f t="array" ref="BC35">+moody(BC$4,$AW35)</f>
        <v>3.7890706054687501E-2</v>
      </c>
      <c r="BD35" s="5" cm="1">
        <f t="array" ref="BD35">+moody(BD$4,$AW35)</f>
        <v>3.5189901741027832E-2</v>
      </c>
      <c r="BE35" s="5" cm="1">
        <f t="array" ref="BE35">+moody(BE$4,$AW35)</f>
        <v>3.2116783160400397E-2</v>
      </c>
      <c r="BF35" s="5" cm="1">
        <f t="array" ref="BF35">+moody(BF$4,$AW35)</f>
        <v>2.8431787444305419E-2</v>
      </c>
      <c r="BG35" s="5" cm="1">
        <f t="array" ref="BG35">+moody(BG$4,$AW35)</f>
        <v>2.3466579965972907E-2</v>
      </c>
      <c r="BH35" s="5" cm="1">
        <f t="array" ref="BH35">+moody(BH$4,$AW35)</f>
        <v>1.9727415575790413E-2</v>
      </c>
      <c r="BI35" s="5" cm="1">
        <f t="array" ref="BI35">+moody(BI$4,$AW35)</f>
        <v>1.8722624818420415E-2</v>
      </c>
      <c r="BJ35" s="5" cm="1">
        <f t="array" ref="BJ35">+moody(BJ$4,$AW35)</f>
        <v>1.7546935708999636E-2</v>
      </c>
      <c r="BK35" s="5" cm="1">
        <f t="array" ref="BK35">+moody(BK$4,$AW35)</f>
        <v>1.6092010899353033E-2</v>
      </c>
      <c r="BL35" s="5" cm="1">
        <f t="array" ref="BL35">+moody(BL$4,$AW35)</f>
        <v>1.4071748237609864E-2</v>
      </c>
      <c r="BM35" s="5" cm="1">
        <f t="array" ref="BM35">+moody(BM$4,$AW35)</f>
        <v>1.255044772872925E-2</v>
      </c>
      <c r="BN35" s="5" cm="1">
        <f t="array" ref="BN35">+moody(BN$4,$AW35)</f>
        <v>1.1454867221832275E-2</v>
      </c>
      <c r="BO35" s="5" cm="1">
        <f t="array" ref="BO35">+moody(BO$4,$AW35)</f>
        <v>1.0166644599342346E-2</v>
      </c>
      <c r="BP35" s="5" cm="1">
        <f t="array" ref="BP35">+moody(BP$4,$AW35)</f>
        <v>9.953403128814698E-3</v>
      </c>
      <c r="BQ35" s="62" cm="1">
        <f t="array" ref="BQ35">+moody(BQ$4,$AW35)</f>
        <v>1.6092010899353033E-2</v>
      </c>
      <c r="BS35" s="42"/>
    </row>
    <row r="36" spans="2:71" x14ac:dyDescent="0.25">
      <c r="B36" s="12" t="s">
        <v>94</v>
      </c>
      <c r="C36" s="38" cm="1">
        <f t="array" ref="C36">moody(C35,C33)</f>
        <v>1.7391296138381959E-2</v>
      </c>
      <c r="D36" s="13" t="s">
        <v>103</v>
      </c>
      <c r="AW36" s="58">
        <v>4000000</v>
      </c>
      <c r="AX36" s="5" cm="1">
        <f t="array" ref="AX36">+moody(AX$4,$AW36)</f>
        <v>7.1466128720092753E-2</v>
      </c>
      <c r="AY36" s="5" cm="1">
        <f t="array" ref="AY36">+moody(AY$4,$AW36)</f>
        <v>6.4599677075195316E-2</v>
      </c>
      <c r="AZ36" s="5" cm="1">
        <f t="array" ref="AZ36">+moody(AZ$4,$AW36)</f>
        <v>5.7116770660400398E-2</v>
      </c>
      <c r="BA36" s="5" cm="1">
        <f t="array" ref="BA36">+moody(BA$4,$AW36)</f>
        <v>4.8596267108154304E-2</v>
      </c>
      <c r="BB36" s="5" cm="1">
        <f t="array" ref="BB36">+moody(BB$4,$AW36)</f>
        <v>4.3658525436401377E-2</v>
      </c>
      <c r="BC36" s="5" cm="1">
        <f t="array" ref="BC36">+moody(BC$4,$AW36)</f>
        <v>3.788460254211426E-2</v>
      </c>
      <c r="BD36" s="5" cm="1">
        <f t="array" ref="BD36">+moody(BD$4,$AW36)</f>
        <v>3.5183798228454591E-2</v>
      </c>
      <c r="BE36" s="5" cm="1">
        <f t="array" ref="BE36">+moody(BE$4,$AW36)</f>
        <v>3.2110679647827156E-2</v>
      </c>
      <c r="BF36" s="5" cm="1">
        <f t="array" ref="BF36">+moody(BF$4,$AW36)</f>
        <v>2.8421106297302247E-2</v>
      </c>
      <c r="BG36" s="5" cm="1">
        <f t="array" ref="BG36">+moody(BG$4,$AW36)</f>
        <v>2.3451321184539797E-2</v>
      </c>
      <c r="BH36" s="5" cm="1">
        <f t="array" ref="BH36">+moody(BH$4,$AW36)</f>
        <v>1.9701475647354132E-2</v>
      </c>
      <c r="BI36" s="5" cm="1">
        <f t="array" ref="BI36">+moody(BI$4,$AW36)</f>
        <v>1.8692107255554202E-2</v>
      </c>
      <c r="BJ36" s="5" cm="1">
        <f t="array" ref="BJ36">+moody(BJ$4,$AW36)</f>
        <v>1.7508788755416872E-2</v>
      </c>
      <c r="BK36" s="5" cm="1">
        <f t="array" ref="BK36">+moody(BK$4,$AW36)</f>
        <v>1.6040893981552125E-2</v>
      </c>
      <c r="BL36" s="5" cm="1">
        <f t="array" ref="BL36">+moody(BL$4,$AW36)</f>
        <v>1.3987824939727785E-2</v>
      </c>
      <c r="BM36" s="5" cm="1">
        <f t="array" ref="BM36">+moody(BM$4,$AW36)</f>
        <v>1.2417696330261234E-2</v>
      </c>
      <c r="BN36" s="5" cm="1">
        <f t="array" ref="BN36">+moody(BN$4,$AW36)</f>
        <v>1.1258028941345213E-2</v>
      </c>
      <c r="BO36" s="5" cm="1">
        <f t="array" ref="BO36">+moody(BO$4,$AW36)</f>
        <v>9.8244664257049578E-3</v>
      </c>
      <c r="BP36" s="5" cm="1">
        <f t="array" ref="BP36">+moody(BP$4,$AW36)</f>
        <v>9.5738409406662013E-3</v>
      </c>
      <c r="BQ36" s="62" cm="1">
        <f t="array" ref="BQ36">+moody(BQ$4,$AW36)</f>
        <v>1.6040893981552125E-2</v>
      </c>
      <c r="BS36" s="42"/>
    </row>
    <row r="37" spans="2:71" ht="18" x14ac:dyDescent="0.25">
      <c r="B37" s="12" t="s">
        <v>102</v>
      </c>
      <c r="C37" s="17">
        <f>+C13/C12</f>
        <v>1</v>
      </c>
      <c r="D37" s="13" t="s">
        <v>63</v>
      </c>
      <c r="AW37" s="58">
        <v>5000000</v>
      </c>
      <c r="AX37" s="5" cm="1">
        <f t="array" ref="AX37">+moody(AX$4,$AW37)</f>
        <v>7.1466128720092753E-2</v>
      </c>
      <c r="AY37" s="5" cm="1">
        <f t="array" ref="AY37">+moody(AY$4,$AW37)</f>
        <v>6.4599677075195316E-2</v>
      </c>
      <c r="AZ37" s="5" cm="1">
        <f t="array" ref="AZ37">+moody(AZ$4,$AW37)</f>
        <v>5.7116770660400398E-2</v>
      </c>
      <c r="BA37" s="5" cm="1">
        <f t="array" ref="BA37">+moody(BA$4,$AW37)</f>
        <v>4.8596267108154304E-2</v>
      </c>
      <c r="BB37" s="5" cm="1">
        <f t="array" ref="BB37">+moody(BB$4,$AW37)</f>
        <v>4.3655473680114756E-2</v>
      </c>
      <c r="BC37" s="5" cm="1">
        <f t="array" ref="BC37">+moody(BC$4,$AW37)</f>
        <v>3.7881550785827639E-2</v>
      </c>
      <c r="BD37" s="5" cm="1">
        <f t="array" ref="BD37">+moody(BD$4,$AW37)</f>
        <v>3.518074647216797E-2</v>
      </c>
      <c r="BE37" s="5" cm="1">
        <f t="array" ref="BE37">+moody(BE$4,$AW37)</f>
        <v>3.2106102013397225E-2</v>
      </c>
      <c r="BF37" s="5" cm="1">
        <f t="array" ref="BF37">+moody(BF$4,$AW37)</f>
        <v>2.8416528662872316E-2</v>
      </c>
      <c r="BG37" s="5" cm="1">
        <f t="array" ref="BG37">+moody(BG$4,$AW37)</f>
        <v>2.3442165915679936E-2</v>
      </c>
      <c r="BH37" s="5" cm="1">
        <f t="array" ref="BH37">+moody(BH$4,$AW37)</f>
        <v>1.9685453926849374E-2</v>
      </c>
      <c r="BI37" s="5" cm="1">
        <f t="array" ref="BI37">+moody(BI$4,$AW37)</f>
        <v>1.8673796717834472E-2</v>
      </c>
      <c r="BJ37" s="5" cm="1">
        <f t="array" ref="BJ37">+moody(BJ$4,$AW37)</f>
        <v>1.7485900583267211E-2</v>
      </c>
      <c r="BK37" s="5" cm="1">
        <f t="array" ref="BK37">+moody(BK$4,$AW37)</f>
        <v>1.6009613479614257E-2</v>
      </c>
      <c r="BL37" s="5" cm="1">
        <f t="array" ref="BL37">+moody(BL$4,$AW37)</f>
        <v>1.3936708021926883E-2</v>
      </c>
      <c r="BM37" s="5" cm="1">
        <f t="array" ref="BM37">+moody(BM$4,$AW37)</f>
        <v>1.2334535971450806E-2</v>
      </c>
      <c r="BN37" s="5" cm="1">
        <f t="array" ref="BN37">+moody(BN$4,$AW37)</f>
        <v>1.1131381055450439E-2</v>
      </c>
      <c r="BO37" s="5" cm="1">
        <f t="array" ref="BO37">+moody(BO$4,$AW37)</f>
        <v>9.5868109048843388E-3</v>
      </c>
      <c r="BP37" s="5" cm="1">
        <f t="array" ref="BP37">+moody(BP$4,$AW37)</f>
        <v>9.3041419788360592E-3</v>
      </c>
      <c r="BQ37" s="62" cm="1">
        <f t="array" ref="BQ37">+moody(BQ$4,$AW37)</f>
        <v>1.6009613479614257E-2</v>
      </c>
      <c r="BS37" s="42"/>
    </row>
    <row r="38" spans="2:71" ht="18" x14ac:dyDescent="0.25">
      <c r="B38" s="74" t="s">
        <v>113</v>
      </c>
      <c r="C38" s="38" cm="1">
        <f t="array" ref="C38">+interp(C33,CO4:CO17,CN4:CN17)</f>
        <v>0.96384174935083344</v>
      </c>
      <c r="D38" s="13" t="s">
        <v>112</v>
      </c>
      <c r="AW38" s="58">
        <v>6000000</v>
      </c>
      <c r="AX38" s="5" cm="1">
        <f t="array" ref="AX38">+moody(AX$4,$AW38)</f>
        <v>7.1466128720092753E-2</v>
      </c>
      <c r="AY38" s="5" cm="1">
        <f t="array" ref="AY38">+moody(AY$4,$AW38)</f>
        <v>6.4599677075195316E-2</v>
      </c>
      <c r="AZ38" s="5" cm="1">
        <f t="array" ref="AZ38">+moody(AZ$4,$AW38)</f>
        <v>5.7116770660400398E-2</v>
      </c>
      <c r="BA38" s="5" cm="1">
        <f t="array" ref="BA38">+moody(BA$4,$AW38)</f>
        <v>4.8593215351867683E-2</v>
      </c>
      <c r="BB38" s="5" cm="1">
        <f t="array" ref="BB38">+moody(BB$4,$AW38)</f>
        <v>4.3655473680114756E-2</v>
      </c>
      <c r="BC38" s="5" cm="1">
        <f t="array" ref="BC38">+moody(BC$4,$AW38)</f>
        <v>3.7878499029541018E-2</v>
      </c>
      <c r="BD38" s="5" cm="1">
        <f t="array" ref="BD38">+moody(BD$4,$AW38)</f>
        <v>3.517769471588135E-2</v>
      </c>
      <c r="BE38" s="5" cm="1">
        <f t="array" ref="BE38">+moody(BE$4,$AW38)</f>
        <v>3.2103050257110591E-2</v>
      </c>
      <c r="BF38" s="5" cm="1">
        <f t="array" ref="BF38">+moody(BF$4,$AW38)</f>
        <v>2.8411951028442385E-2</v>
      </c>
      <c r="BG38" s="5" cm="1">
        <f t="array" ref="BG38">+moody(BG$4,$AW38)</f>
        <v>2.3434536524963384E-2</v>
      </c>
      <c r="BH38" s="5" cm="1">
        <f t="array" ref="BH38">+moody(BH$4,$AW38)</f>
        <v>1.9674772779846202E-2</v>
      </c>
      <c r="BI38" s="5" cm="1">
        <f t="array" ref="BI38">+moody(BI$4,$AW38)</f>
        <v>1.866158969268799E-2</v>
      </c>
      <c r="BJ38" s="5" cm="1">
        <f t="array" ref="BJ38">+moody(BJ$4,$AW38)</f>
        <v>1.7470641801834108E-2</v>
      </c>
      <c r="BK38" s="5" cm="1">
        <f t="array" ref="BK38">+moody(BK$4,$AW38)</f>
        <v>1.5989014124679568E-2</v>
      </c>
      <c r="BL38" s="5" cm="1">
        <f t="array" ref="BL38">+moody(BL$4,$AW38)</f>
        <v>1.3901612824630739E-2</v>
      </c>
      <c r="BM38" s="5" cm="1">
        <f t="array" ref="BM38">+moody(BM$4,$AW38)</f>
        <v>1.2277697010612491E-2</v>
      </c>
      <c r="BN38" s="5" cm="1">
        <f t="array" ref="BN38">+moody(BN$4,$AW38)</f>
        <v>1.1042880123138428E-2</v>
      </c>
      <c r="BO38" s="5" cm="1">
        <f t="array" ref="BO38">+moody(BO$4,$AW38)</f>
        <v>9.4098090402603175E-3</v>
      </c>
      <c r="BP38" s="5" cm="1">
        <f t="array" ref="BP38">+moody(BP$4,$AW38)</f>
        <v>9.0992928380966218E-3</v>
      </c>
      <c r="BQ38" s="62" cm="1">
        <f t="array" ref="BQ38">+moody(BQ$4,$AW38)</f>
        <v>1.5989014124679568E-2</v>
      </c>
      <c r="BS38" s="42"/>
    </row>
    <row r="39" spans="2:71" ht="18" x14ac:dyDescent="0.25">
      <c r="B39" s="12" t="s">
        <v>114</v>
      </c>
      <c r="C39" s="38" cm="1">
        <f t="array" ref="C39">+interp(C33,CO4:CO17,CZ4:CZ17)</f>
        <v>8.0791253245832625E-3</v>
      </c>
      <c r="D39" s="13" t="s">
        <v>112</v>
      </c>
      <c r="AW39" s="58">
        <v>7000000</v>
      </c>
      <c r="AX39" s="5" cm="1">
        <f t="array" ref="AX39">+moody(AX$4,$AW39)</f>
        <v>7.1466128720092753E-2</v>
      </c>
      <c r="AY39" s="5" cm="1">
        <f t="array" ref="AY39">+moody(AY$4,$AW39)</f>
        <v>6.4599677075195316E-2</v>
      </c>
      <c r="AZ39" s="5" cm="1">
        <f t="array" ref="AZ39">+moody(AZ$4,$AW39)</f>
        <v>5.7116770660400398E-2</v>
      </c>
      <c r="BA39" s="5" cm="1">
        <f t="array" ref="BA39">+moody(BA$4,$AW39)</f>
        <v>4.8593215351867683E-2</v>
      </c>
      <c r="BB39" s="5" cm="1">
        <f t="array" ref="BB39">+moody(BB$4,$AW39)</f>
        <v>4.3652421923828136E-2</v>
      </c>
      <c r="BC39" s="5" cm="1">
        <f t="array" ref="BC39">+moody(BC$4,$AW39)</f>
        <v>3.7878499029541018E-2</v>
      </c>
      <c r="BD39" s="5" cm="1">
        <f t="array" ref="BD39">+moody(BD$4,$AW39)</f>
        <v>3.517769471588135E-2</v>
      </c>
      <c r="BE39" s="5" cm="1">
        <f t="array" ref="BE39">+moody(BE$4,$AW39)</f>
        <v>3.2101524378967281E-2</v>
      </c>
      <c r="BF39" s="5" cm="1">
        <f t="array" ref="BF39">+moody(BF$4,$AW39)</f>
        <v>2.8408899272155765E-2</v>
      </c>
      <c r="BG39" s="5" cm="1">
        <f t="array" ref="BG39">+moody(BG$4,$AW39)</f>
        <v>2.3430721829605108E-2</v>
      </c>
      <c r="BH39" s="5" cm="1">
        <f t="array" ref="BH39">+moody(BH$4,$AW39)</f>
        <v>1.9667906328201305E-2</v>
      </c>
      <c r="BI39" s="5" cm="1">
        <f t="array" ref="BI39">+moody(BI$4,$AW39)</f>
        <v>1.8652434423828128E-2</v>
      </c>
      <c r="BJ39" s="5" cm="1">
        <f t="array" ref="BJ39">+moody(BJ$4,$AW39)</f>
        <v>1.7459960654830936E-2</v>
      </c>
      <c r="BK39" s="5" cm="1">
        <f t="array" ref="BK39">+moody(BK$4,$AW39)</f>
        <v>1.5974518282318113E-2</v>
      </c>
      <c r="BL39" s="5" cm="1">
        <f t="array" ref="BL39">+moody(BL$4,$AW39)</f>
        <v>1.3876817304801944E-2</v>
      </c>
      <c r="BM39" s="5" cm="1">
        <f t="array" ref="BM39">+moody(BM$4,$AW39)</f>
        <v>1.2236116831207275E-2</v>
      </c>
      <c r="BN39" s="5" cm="1">
        <f t="array" ref="BN39">+moody(BN$4,$AW39)</f>
        <v>1.097803030204773E-2</v>
      </c>
      <c r="BO39" s="5" cm="1">
        <f t="array" ref="BO39">+moody(BO$4,$AW39)</f>
        <v>9.2720985378265397E-3</v>
      </c>
      <c r="BP39" s="5" cm="1">
        <f t="array" ref="BP39">+moody(BP$4,$AW39)</f>
        <v>8.9371682853698758E-3</v>
      </c>
      <c r="BQ39" s="62" cm="1">
        <f t="array" ref="BQ39">+moody(BQ$4,$AW39)</f>
        <v>1.5974518282318113E-2</v>
      </c>
      <c r="BS39" s="42"/>
    </row>
    <row r="40" spans="2:71" x14ac:dyDescent="0.25">
      <c r="B40" s="12" t="s">
        <v>104</v>
      </c>
      <c r="C40" s="38" cm="1">
        <f t="array" ref="C40">+interp(C37,BT3:BT14,BU3:BU14)</f>
        <v>0.24</v>
      </c>
      <c r="D40" s="13" t="s">
        <v>105</v>
      </c>
      <c r="AW40" s="58">
        <v>8000000</v>
      </c>
      <c r="AX40" s="5" cm="1">
        <f t="array" ref="AX40">+moody(AX$4,$AW40)</f>
        <v>7.1466128720092753E-2</v>
      </c>
      <c r="AY40" s="5" cm="1">
        <f t="array" ref="AY40">+moody(AY$4,$AW40)</f>
        <v>6.4599677075195316E-2</v>
      </c>
      <c r="AZ40" s="5" cm="1">
        <f t="array" ref="AZ40">+moody(AZ$4,$AW40)</f>
        <v>5.7113718904113778E-2</v>
      </c>
      <c r="BA40" s="5" cm="1">
        <f t="array" ref="BA40">+moody(BA$4,$AW40)</f>
        <v>4.8590163595581062E-2</v>
      </c>
      <c r="BB40" s="5" cm="1">
        <f t="array" ref="BB40">+moody(BB$4,$AW40)</f>
        <v>4.3652421923828136E-2</v>
      </c>
      <c r="BC40" s="5" cm="1">
        <f t="array" ref="BC40">+moody(BC$4,$AW40)</f>
        <v>3.7875447273254398E-2</v>
      </c>
      <c r="BD40" s="5" cm="1">
        <f t="array" ref="BD40">+moody(BD$4,$AW40)</f>
        <v>3.5174642959594729E-2</v>
      </c>
      <c r="BE40" s="5" cm="1">
        <f t="array" ref="BE40">+moody(BE$4,$AW40)</f>
        <v>3.209847262268066E-2</v>
      </c>
      <c r="BF40" s="5" cm="1">
        <f t="array" ref="BF40">+moody(BF$4,$AW40)</f>
        <v>2.8407373394012454E-2</v>
      </c>
      <c r="BG40" s="5" cm="1">
        <f t="array" ref="BG40">+moody(BG$4,$AW40)</f>
        <v>2.3426907134246833E-2</v>
      </c>
      <c r="BH40" s="5" cm="1">
        <f t="array" ref="BH40">+moody(BH$4,$AW40)</f>
        <v>1.9662565754699712E-2</v>
      </c>
      <c r="BI40" s="5" cm="1">
        <f t="array" ref="BI40">+moody(BI$4,$AW40)</f>
        <v>1.8645567972183232E-2</v>
      </c>
      <c r="BJ40" s="5" cm="1">
        <f t="array" ref="BJ40">+moody(BJ$4,$AW40)</f>
        <v>1.7451568325042723E-2</v>
      </c>
      <c r="BK40" s="5" cm="1">
        <f t="array" ref="BK40">+moody(BK$4,$AW40)</f>
        <v>1.5963074196243286E-2</v>
      </c>
      <c r="BL40" s="5" cm="1">
        <f t="array" ref="BL40">+moody(BL$4,$AW40)</f>
        <v>1.3858125297546389E-2</v>
      </c>
      <c r="BM40" s="5" cm="1">
        <f t="array" ref="BM40">+moody(BM$4,$AW40)</f>
        <v>1.2204836329269411E-2</v>
      </c>
      <c r="BN40" s="5" cm="1">
        <f t="array" ref="BN40">+moody(BN$4,$AW40)</f>
        <v>1.0927676323318484E-2</v>
      </c>
      <c r="BO40" s="5" cm="1">
        <f t="array" ref="BO40">+moody(BO$4,$AW40)</f>
        <v>9.1614723724365247E-3</v>
      </c>
      <c r="BP40" s="5" cm="1">
        <f t="array" ref="BP40">+moody(BP$4,$AW40)</f>
        <v>8.8044168869018564E-3</v>
      </c>
      <c r="BQ40" s="62" cm="1">
        <f t="array" ref="BQ40">+moody(BQ$4,$AW40)</f>
        <v>1.5963074196243286E-2</v>
      </c>
      <c r="BS40" s="42"/>
    </row>
    <row r="41" spans="2:71" ht="18" collapsed="1" x14ac:dyDescent="0.25">
      <c r="B41" s="12" t="s">
        <v>116</v>
      </c>
      <c r="C41" s="38">
        <f>(0.5+C40*(1-C29/C30)^0.5)*(1-C29/C30)+(1-C29/C30)^2</f>
        <v>1.4257751781774419</v>
      </c>
      <c r="D41" s="13" t="s">
        <v>115</v>
      </c>
      <c r="AW41" s="58">
        <v>9000000</v>
      </c>
      <c r="AX41" s="5" cm="1">
        <f t="array" ref="AX41">+moody(AX$4,$AW41)</f>
        <v>7.1460025207519512E-2</v>
      </c>
      <c r="AY41" s="5" cm="1">
        <f t="array" ref="AY41">+moody(AY$4,$AW41)</f>
        <v>6.4599677075195316E-2</v>
      </c>
      <c r="AZ41" s="5" cm="1">
        <f t="array" ref="AZ41">+moody(AZ$4,$AW41)</f>
        <v>5.7110667147827157E-2</v>
      </c>
      <c r="BA41" s="5" cm="1">
        <f t="array" ref="BA41">+moody(BA$4,$AW41)</f>
        <v>4.8590163595581062E-2</v>
      </c>
      <c r="BB41" s="5" cm="1">
        <f t="array" ref="BB41">+moody(BB$4,$AW41)</f>
        <v>4.3652421923828136E-2</v>
      </c>
      <c r="BC41" s="5" cm="1">
        <f t="array" ref="BC41">+moody(BC$4,$AW41)</f>
        <v>3.7875447273254398E-2</v>
      </c>
      <c r="BD41" s="5" cm="1">
        <f t="array" ref="BD41">+moody(BD$4,$AW41)</f>
        <v>3.5174642959594729E-2</v>
      </c>
      <c r="BE41" s="5" cm="1">
        <f t="array" ref="BE41">+moody(BE$4,$AW41)</f>
        <v>3.209847262268066E-2</v>
      </c>
      <c r="BF41" s="5" cm="1">
        <f t="array" ref="BF41">+moody(BF$4,$AW41)</f>
        <v>2.8405847515869144E-2</v>
      </c>
      <c r="BG41" s="5" cm="1">
        <f t="array" ref="BG41">+moody(BG$4,$AW41)</f>
        <v>2.3425381256103522E-2</v>
      </c>
      <c r="BH41" s="5" cm="1">
        <f t="array" ref="BH41">+moody(BH$4,$AW41)</f>
        <v>1.9657988120269781E-2</v>
      </c>
      <c r="BI41" s="5" cm="1">
        <f t="array" ref="BI41">+moody(BI$4,$AW41)</f>
        <v>1.8640227398681646E-2</v>
      </c>
      <c r="BJ41" s="5" cm="1">
        <f t="array" ref="BJ41">+moody(BJ$4,$AW41)</f>
        <v>1.7445464812469481E-2</v>
      </c>
      <c r="BK41" s="5" cm="1">
        <f t="array" ref="BK41">+moody(BK$4,$AW41)</f>
        <v>1.5953918927383424E-2</v>
      </c>
      <c r="BL41" s="5" cm="1">
        <f t="array" ref="BL41">+moody(BL$4,$AW41)</f>
        <v>1.3842866516113283E-2</v>
      </c>
      <c r="BM41" s="5" cm="1">
        <f t="array" ref="BM41">+moody(BM$4,$AW41)</f>
        <v>1.2180422278976442E-2</v>
      </c>
      <c r="BN41" s="5" cm="1">
        <f t="array" ref="BN41">+moody(BN$4,$AW41)</f>
        <v>1.0887622022056578E-2</v>
      </c>
      <c r="BO41" s="5" cm="1">
        <f t="array" ref="BO41">+moody(BO$4,$AW41)</f>
        <v>9.0703011533737228E-3</v>
      </c>
      <c r="BP41" s="5" cm="1">
        <f t="array" ref="BP41">+moody(BP$4,$AW41)</f>
        <v>8.6934092519760156E-3</v>
      </c>
      <c r="BQ41" s="62" cm="1">
        <f t="array" ref="BQ41">+moody(BQ$4,$AW41)</f>
        <v>1.5953918927383424E-2</v>
      </c>
      <c r="BS41" s="42"/>
    </row>
    <row r="42" spans="2:71" x14ac:dyDescent="0.25">
      <c r="B42" s="12" t="s">
        <v>106</v>
      </c>
      <c r="C42" s="38">
        <f>IF(C33&gt;10^5,((0.5+C40*(1-C29/C30)^0.5)*(1-C29/C30)+(1-C29/C30)^2+C36*C37)*(C30/C29)^2,(C39+C38*C41+C36*C37)*(C30/C29)^2)</f>
        <v>109.29605720238791</v>
      </c>
      <c r="D42" s="13" t="s">
        <v>115</v>
      </c>
      <c r="AW42" s="58">
        <v>10000000</v>
      </c>
      <c r="AX42" s="5" cm="1">
        <f t="array" ref="AX42">+moody(AX$4,$AW42)</f>
        <v>7.1460025207519512E-2</v>
      </c>
      <c r="AY42" s="5" cm="1">
        <f t="array" ref="AY42">+moody(AY$4,$AW42)</f>
        <v>6.4599677075195316E-2</v>
      </c>
      <c r="AZ42" s="5" cm="1">
        <f t="array" ref="AZ42">+moody(AZ$4,$AW42)</f>
        <v>5.7110667147827157E-2</v>
      </c>
      <c r="BA42" s="5" cm="1">
        <f t="array" ref="BA42">+moody(BA$4,$AW42)</f>
        <v>4.8590163595581062E-2</v>
      </c>
      <c r="BB42" s="5" cm="1">
        <f t="array" ref="BB42">+moody(BB$4,$AW42)</f>
        <v>4.3652421923828136E-2</v>
      </c>
      <c r="BC42" s="5" cm="1">
        <f t="array" ref="BC42">+moody(BC$4,$AW42)</f>
        <v>3.7875447273254398E-2</v>
      </c>
      <c r="BD42" s="5" cm="1">
        <f t="array" ref="BD42">+moody(BD$4,$AW42)</f>
        <v>3.5174642959594729E-2</v>
      </c>
      <c r="BE42" s="5" cm="1">
        <f t="array" ref="BE42">+moody(BE$4,$AW42)</f>
        <v>3.209694674453735E-2</v>
      </c>
      <c r="BF42" s="5" cm="1">
        <f t="array" ref="BF42">+moody(BF$4,$AW42)</f>
        <v>2.8404321637725834E-2</v>
      </c>
      <c r="BG42" s="5" cm="1">
        <f t="array" ref="BG42">+moody(BG$4,$AW42)</f>
        <v>2.3422329499816902E-2</v>
      </c>
      <c r="BH42" s="5" cm="1">
        <f t="array" ref="BH42">+moody(BH$4,$AW42)</f>
        <v>1.9654173424911506E-2</v>
      </c>
      <c r="BI42" s="5" cm="1">
        <f t="array" ref="BI42">+moody(BI$4,$AW42)</f>
        <v>1.863641270332337E-2</v>
      </c>
      <c r="BJ42" s="5" cm="1">
        <f t="array" ref="BJ42">+moody(BJ$4,$AW42)</f>
        <v>1.7440124238967895E-2</v>
      </c>
      <c r="BK42" s="5" cm="1">
        <f t="array" ref="BK42">+moody(BK$4,$AW42)</f>
        <v>1.5947052475738528E-2</v>
      </c>
      <c r="BL42" s="5" cm="1">
        <f t="array" ref="BL42">+moody(BL$4,$AW42)</f>
        <v>1.3831422430038456E-2</v>
      </c>
      <c r="BM42" s="5" cm="1">
        <f t="array" ref="BM42">+moody(BM$4,$AW42)</f>
        <v>1.2160585863113405E-2</v>
      </c>
      <c r="BN42" s="5" cm="1">
        <f t="array" ref="BN42">+moody(BN$4,$AW42)</f>
        <v>1.0855197111511231E-2</v>
      </c>
      <c r="BO42" s="5" cm="1">
        <f t="array" ref="BO42">+moody(BO$4,$AW42)</f>
        <v>8.9936257766723635E-3</v>
      </c>
      <c r="BP42" s="5" cm="1">
        <f t="array" ref="BP42">+moody(BP$4,$AW42)</f>
        <v>8.5988048070907604E-3</v>
      </c>
      <c r="BQ42" s="62" cm="1">
        <f t="array" ref="BQ42">+moody(BQ$4,$AW42)</f>
        <v>1.5947052475738528E-2</v>
      </c>
      <c r="BS42" s="42"/>
    </row>
    <row r="43" spans="2:71" x14ac:dyDescent="0.25">
      <c r="B43" s="12" t="s">
        <v>79</v>
      </c>
      <c r="C43" s="17">
        <f>C32^2*C23/2*C42*10^-5</f>
        <v>2.2564349891765207</v>
      </c>
      <c r="D43" s="13" t="s">
        <v>124</v>
      </c>
      <c r="AW43" s="58">
        <v>20000000</v>
      </c>
      <c r="AX43" s="5" cm="1">
        <f t="array" ref="AX43">+moody(AX$4,$AW43)</f>
        <v>7.1460025207519512E-2</v>
      </c>
      <c r="AY43" s="5" cm="1">
        <f t="array" ref="AY43">+moody(AY$4,$AW43)</f>
        <v>6.4593573562622075E-2</v>
      </c>
      <c r="AZ43" s="5" cm="1">
        <f t="array" ref="AZ43">+moody(AZ$4,$AW43)</f>
        <v>5.7110667147827157E-2</v>
      </c>
      <c r="BA43" s="5" cm="1">
        <f t="array" ref="BA43">+moody(BA$4,$AW43)</f>
        <v>4.8590163595581062E-2</v>
      </c>
      <c r="BB43" s="5" cm="1">
        <f t="array" ref="BB43">+moody(BB$4,$AW43)</f>
        <v>4.3649370167541515E-2</v>
      </c>
      <c r="BC43" s="5" cm="1">
        <f t="array" ref="BC43">+moody(BC$4,$AW43)</f>
        <v>3.7872395516967777E-2</v>
      </c>
      <c r="BD43" s="5" cm="1">
        <f t="array" ref="BD43">+moody(BD$4,$AW43)</f>
        <v>3.5170065325164798E-2</v>
      </c>
      <c r="BE43" s="5" cm="1">
        <f t="array" ref="BE43">+moody(BE$4,$AW43)</f>
        <v>3.2092369110107419E-2</v>
      </c>
      <c r="BF43" s="5" cm="1">
        <f t="array" ref="BF43">+moody(BF$4,$AW43)</f>
        <v>2.8399744003295903E-2</v>
      </c>
      <c r="BG43" s="5" cm="1">
        <f t="array" ref="BG43">+moody(BG$4,$AW43)</f>
        <v>2.3413174230957037E-2</v>
      </c>
      <c r="BH43" s="5" cm="1">
        <f t="array" ref="BH43">+moody(BH$4,$AW43)</f>
        <v>1.9638151704406748E-2</v>
      </c>
      <c r="BI43" s="5" cm="1">
        <f t="array" ref="BI43">+moody(BI$4,$AW43)</f>
        <v>1.8617339226531984E-2</v>
      </c>
      <c r="BJ43" s="5" cm="1">
        <f t="array" ref="BJ43">+moody(BJ$4,$AW43)</f>
        <v>1.7416473127746586E-2</v>
      </c>
      <c r="BK43" s="5" cm="1">
        <f t="array" ref="BK43">+moody(BK$4,$AW43)</f>
        <v>1.591577197380066E-2</v>
      </c>
      <c r="BL43" s="5" cm="1">
        <f t="array" ref="BL43">+moody(BL$4,$AW43)</f>
        <v>1.377725375595093E-2</v>
      </c>
      <c r="BM43" s="5" cm="1">
        <f t="array" ref="BM43">+moody(BM$4,$AW43)</f>
        <v>1.2068651704978943E-2</v>
      </c>
      <c r="BN43" s="5" cm="1">
        <f t="array" ref="BN43">+moody(BN$4,$AW43)</f>
        <v>1.0702990766716002E-2</v>
      </c>
      <c r="BO43" s="5" cm="1">
        <f t="array" ref="BO43">+moody(BO$4,$AW43)</f>
        <v>8.5968974594116225E-3</v>
      </c>
      <c r="BP43" s="5" cm="1">
        <f t="array" ref="BP43">+moody(BP$4,$AW43)</f>
        <v>8.0822950555801409E-3</v>
      </c>
      <c r="BQ43" s="62" cm="1">
        <f t="array" ref="BQ43">+moody(BQ$4,$AW43)</f>
        <v>1.591577197380066E-2</v>
      </c>
      <c r="BS43" s="42"/>
    </row>
    <row r="44" spans="2:71" ht="18" x14ac:dyDescent="0.25">
      <c r="B44" s="12" t="s">
        <v>76</v>
      </c>
      <c r="C44" s="17">
        <f>+C43-C28</f>
        <v>-5.650108234793727E-4</v>
      </c>
      <c r="D44" s="13" t="s">
        <v>75</v>
      </c>
      <c r="AW44" s="58">
        <v>30000000</v>
      </c>
      <c r="AX44" s="5" cm="1">
        <f t="array" ref="AX44">+moody(AX$4,$AW44)</f>
        <v>7.1460025207519512E-2</v>
      </c>
      <c r="AY44" s="5" cm="1">
        <f t="array" ref="AY44">+moody(AY$4,$AW44)</f>
        <v>6.4593573562622075E-2</v>
      </c>
      <c r="AZ44" s="5" cm="1">
        <f t="array" ref="AZ44">+moody(AZ$4,$AW44)</f>
        <v>5.7110667147827157E-2</v>
      </c>
      <c r="BA44" s="5" cm="1">
        <f t="array" ref="BA44">+moody(BA$4,$AW44)</f>
        <v>4.8590163595581062E-2</v>
      </c>
      <c r="BB44" s="5" cm="1">
        <f t="array" ref="BB44">+moody(BB$4,$AW44)</f>
        <v>4.3649370167541515E-2</v>
      </c>
      <c r="BC44" s="5" cm="1">
        <f t="array" ref="BC44">+moody(BC$4,$AW44)</f>
        <v>3.7872395516967777E-2</v>
      </c>
      <c r="BD44" s="5" cm="1">
        <f t="array" ref="BD44">+moody(BD$4,$AW44)</f>
        <v>3.5168539447021488E-2</v>
      </c>
      <c r="BE44" s="5" cm="1">
        <f t="array" ref="BE44">+moody(BE$4,$AW44)</f>
        <v>3.2092369110107419E-2</v>
      </c>
      <c r="BF44" s="5" cm="1">
        <f t="array" ref="BF44">+moody(BF$4,$AW44)</f>
        <v>2.8396692247009282E-2</v>
      </c>
      <c r="BG44" s="5" cm="1">
        <f t="array" ref="BG44">+moody(BG$4,$AW44)</f>
        <v>2.3410122474670413E-2</v>
      </c>
      <c r="BH44" s="5" cm="1">
        <f t="array" ref="BH44">+moody(BH$4,$AW44)</f>
        <v>1.9633574069976817E-2</v>
      </c>
      <c r="BI44" s="5" cm="1">
        <f t="array" ref="BI44">+moody(BI$4,$AW44)</f>
        <v>1.8611235713958743E-2</v>
      </c>
      <c r="BJ44" s="5" cm="1">
        <f t="array" ref="BJ44">+moody(BJ$4,$AW44)</f>
        <v>1.7408843737030034E-2</v>
      </c>
      <c r="BK44" s="5" cm="1">
        <f t="array" ref="BK44">+moody(BK$4,$AW44)</f>
        <v>1.5905090826797488E-2</v>
      </c>
      <c r="BL44" s="5" cm="1">
        <f t="array" ref="BL44">+moody(BL$4,$AW44)</f>
        <v>1.3758943218231207E-2</v>
      </c>
      <c r="BM44" s="5" cm="1">
        <f t="array" ref="BM44">+moody(BM$4,$AW44)</f>
        <v>1.2037371203041075E-2</v>
      </c>
      <c r="BN44" s="5" cm="1">
        <f t="array" ref="BN44">+moody(BN$4,$AW44)</f>
        <v>1.0649966501235963E-2</v>
      </c>
      <c r="BO44" s="5" cm="1">
        <f t="array" ref="BO44">+moody(BO$4,$AW44)</f>
        <v>8.4385876020431558E-3</v>
      </c>
      <c r="BP44" s="5" cm="1">
        <f t="array" ref="BP44">+moody(BP$4,$AW44)</f>
        <v>7.8595168466568006E-3</v>
      </c>
      <c r="BQ44" s="62" cm="1">
        <f t="array" ref="BQ44">+moody(BQ$4,$AW44)</f>
        <v>1.5905090826797488E-2</v>
      </c>
      <c r="BS44" s="42"/>
    </row>
    <row r="45" spans="2:71" x14ac:dyDescent="0.25">
      <c r="AW45" s="58">
        <v>40000000</v>
      </c>
      <c r="AX45" s="5" cm="1">
        <f t="array" ref="AX45">+moody(AX$4,$AW45)</f>
        <v>7.1460025207519512E-2</v>
      </c>
      <c r="AY45" s="5" cm="1">
        <f t="array" ref="AY45">+moody(AY$4,$AW45)</f>
        <v>6.4593573562622075E-2</v>
      </c>
      <c r="AZ45" s="5" cm="1">
        <f t="array" ref="AZ45">+moody(AZ$4,$AW45)</f>
        <v>5.7110667147827157E-2</v>
      </c>
      <c r="BA45" s="5" cm="1">
        <f t="array" ref="BA45">+moody(BA$4,$AW45)</f>
        <v>4.8590163595581062E-2</v>
      </c>
      <c r="BB45" s="5" cm="1">
        <f t="array" ref="BB45">+moody(BB$4,$AW45)</f>
        <v>4.3646318411254895E-2</v>
      </c>
      <c r="BC45" s="5" cm="1">
        <f t="array" ref="BC45">+moody(BC$4,$AW45)</f>
        <v>3.7869343760681157E-2</v>
      </c>
      <c r="BD45" s="5" cm="1">
        <f t="array" ref="BD45">+moody(BD$4,$AW45)</f>
        <v>3.5168539447021488E-2</v>
      </c>
      <c r="BE45" s="5" cm="1">
        <f t="array" ref="BE45">+moody(BE$4,$AW45)</f>
        <v>3.2090843231964108E-2</v>
      </c>
      <c r="BF45" s="5" cm="1">
        <f t="array" ref="BF45">+moody(BF$4,$AW45)</f>
        <v>2.8396692247009282E-2</v>
      </c>
      <c r="BG45" s="5" cm="1">
        <f t="array" ref="BG45">+moody(BG$4,$AW45)</f>
        <v>2.3408596596527102E-2</v>
      </c>
      <c r="BH45" s="5" cm="1">
        <f t="array" ref="BH45">+moody(BH$4,$AW45)</f>
        <v>1.9630522313690196E-2</v>
      </c>
      <c r="BI45" s="5" cm="1">
        <f t="array" ref="BI45">+moody(BI$4,$AW45)</f>
        <v>1.8608183957672123E-2</v>
      </c>
      <c r="BJ45" s="5" cm="1">
        <f t="array" ref="BJ45">+moody(BJ$4,$AW45)</f>
        <v>1.7405029041671752E-2</v>
      </c>
      <c r="BK45" s="5" cm="1">
        <f t="array" ref="BK45">+moody(BK$4,$AW45)</f>
        <v>1.5899750253295902E-2</v>
      </c>
      <c r="BL45" s="5" cm="1">
        <f t="array" ref="BL45">+moody(BL$4,$AW45)</f>
        <v>1.3749787949371341E-2</v>
      </c>
      <c r="BM45" s="5" cm="1">
        <f t="array" ref="BM45">+moody(BM$4,$AW45)</f>
        <v>1.2021730952072141E-2</v>
      </c>
      <c r="BN45" s="5" cm="1">
        <f t="array" ref="BN45">+moody(BN$4,$AW45)</f>
        <v>1.0622882164192202E-2</v>
      </c>
      <c r="BO45" s="5" cm="1">
        <f t="array" ref="BO45">+moody(BO$4,$AW45)</f>
        <v>8.3527569564819347E-3</v>
      </c>
      <c r="BP45" s="5" cm="1">
        <f t="array" ref="BP45">+moody(BP$4,$AW45)</f>
        <v>7.7328689607620241E-3</v>
      </c>
      <c r="BQ45" s="62" cm="1">
        <f t="array" ref="BQ45">+moody(BQ$4,$AW45)</f>
        <v>1.5899750253295902E-2</v>
      </c>
      <c r="BS45" s="42"/>
    </row>
    <row r="46" spans="2:71" x14ac:dyDescent="0.25">
      <c r="B46" s="116" t="s">
        <v>125</v>
      </c>
      <c r="C46" s="117"/>
      <c r="D46" s="118"/>
      <c r="AW46" s="58">
        <v>50000000</v>
      </c>
      <c r="AX46" s="5" cm="1">
        <f t="array" ref="AX46">+moody(AX$4,$AW46)</f>
        <v>7.1460025207519512E-2</v>
      </c>
      <c r="AY46" s="5" cm="1">
        <f t="array" ref="AY46">+moody(AY$4,$AW46)</f>
        <v>6.4593573562622075E-2</v>
      </c>
      <c r="AZ46" s="5" cm="1">
        <f t="array" ref="AZ46">+moody(AZ$4,$AW46)</f>
        <v>5.7110667147827157E-2</v>
      </c>
      <c r="BA46" s="5" cm="1">
        <f t="array" ref="BA46">+moody(BA$4,$AW46)</f>
        <v>4.8590163595581062E-2</v>
      </c>
      <c r="BB46" s="5" cm="1">
        <f t="array" ref="BB46">+moody(BB$4,$AW46)</f>
        <v>4.3646318411254895E-2</v>
      </c>
      <c r="BC46" s="5" cm="1">
        <f t="array" ref="BC46">+moody(BC$4,$AW46)</f>
        <v>3.7869343760681157E-2</v>
      </c>
      <c r="BD46" s="5" cm="1">
        <f t="array" ref="BD46">+moody(BD$4,$AW46)</f>
        <v>3.5168539447021488E-2</v>
      </c>
      <c r="BE46" s="5" cm="1">
        <f t="array" ref="BE46">+moody(BE$4,$AW46)</f>
        <v>3.2089317353820798E-2</v>
      </c>
      <c r="BF46" s="5" cm="1">
        <f t="array" ref="BF46">+moody(BF$4,$AW46)</f>
        <v>2.8395166368865972E-2</v>
      </c>
      <c r="BG46" s="5" cm="1">
        <f t="array" ref="BG46">+moody(BG$4,$AW46)</f>
        <v>2.3407070718383792E-2</v>
      </c>
      <c r="BH46" s="5" cm="1">
        <f t="array" ref="BH46">+moody(BH$4,$AW46)</f>
        <v>1.9628996435546883E-2</v>
      </c>
      <c r="BI46" s="5" cm="1">
        <f t="array" ref="BI46">+moody(BI$4,$AW46)</f>
        <v>1.8606658079528812E-2</v>
      </c>
      <c r="BJ46" s="5" cm="1">
        <f t="array" ref="BJ46">+moody(BJ$4,$AW46)</f>
        <v>1.7402740224456786E-2</v>
      </c>
      <c r="BK46" s="5" cm="1">
        <f t="array" ref="BK46">+moody(BK$4,$AW46)</f>
        <v>1.5896698497009282E-2</v>
      </c>
      <c r="BL46" s="5" cm="1">
        <f t="array" ref="BL46">+moody(BL$4,$AW46)</f>
        <v>1.3744447375869755E-2</v>
      </c>
      <c r="BM46" s="5" cm="1">
        <f t="array" ref="BM46">+moody(BM$4,$AW46)</f>
        <v>1.2012194213676452E-2</v>
      </c>
      <c r="BN46" s="5" cm="1">
        <f t="array" ref="BN46">+moody(BN$4,$AW46)</f>
        <v>1.0606478974151613E-2</v>
      </c>
      <c r="BO46" s="5" cm="1">
        <f t="array" ref="BO46">+moody(BO$4,$AW46)</f>
        <v>8.2989697519302401E-3</v>
      </c>
      <c r="BP46" s="5" cm="1">
        <f t="array" ref="BP46">+moody(BP$4,$AW46)</f>
        <v>7.6508530105590831E-3</v>
      </c>
      <c r="BQ46" s="62" cm="1">
        <f t="array" ref="BQ46">+moody(BQ$4,$AW46)</f>
        <v>1.5896698497009282E-2</v>
      </c>
      <c r="BS46" s="42"/>
    </row>
    <row r="47" spans="2:71" ht="18" x14ac:dyDescent="0.25">
      <c r="B47" s="12" t="s">
        <v>148</v>
      </c>
      <c r="C47" s="17">
        <f>C13/C12</f>
        <v>1</v>
      </c>
      <c r="D47" s="13" t="s">
        <v>149</v>
      </c>
      <c r="AW47" s="58">
        <v>60000000</v>
      </c>
      <c r="AX47" s="5" cm="1">
        <f t="array" ref="AX47">+moody(AX$4,$AW47)</f>
        <v>7.1460025207519512E-2</v>
      </c>
      <c r="AY47" s="5" cm="1">
        <f t="array" ref="AY47">+moody(AY$4,$AW47)</f>
        <v>6.4593573562622075E-2</v>
      </c>
      <c r="AZ47" s="5" cm="1">
        <f t="array" ref="AZ47">+moody(AZ$4,$AW47)</f>
        <v>5.7110667147827157E-2</v>
      </c>
      <c r="BA47" s="5" cm="1">
        <f t="array" ref="BA47">+moody(BA$4,$AW47)</f>
        <v>4.8587111839294442E-2</v>
      </c>
      <c r="BB47" s="5" cm="1">
        <f t="array" ref="BB47">+moody(BB$4,$AW47)</f>
        <v>4.3646318411254895E-2</v>
      </c>
      <c r="BC47" s="5" cm="1">
        <f t="array" ref="BC47">+moody(BC$4,$AW47)</f>
        <v>3.7869343760681157E-2</v>
      </c>
      <c r="BD47" s="5" cm="1">
        <f t="array" ref="BD47">+moody(BD$4,$AW47)</f>
        <v>3.5168539447021488E-2</v>
      </c>
      <c r="BE47" s="5" cm="1">
        <f t="array" ref="BE47">+moody(BE$4,$AW47)</f>
        <v>3.2089317353820798E-2</v>
      </c>
      <c r="BF47" s="5" cm="1">
        <f t="array" ref="BF47">+moody(BF$4,$AW47)</f>
        <v>2.8395166368865972E-2</v>
      </c>
      <c r="BG47" s="5" cm="1">
        <f t="array" ref="BG47">+moody(BG$4,$AW47)</f>
        <v>2.3407070718383792E-2</v>
      </c>
      <c r="BH47" s="5" cm="1">
        <f t="array" ref="BH47">+moody(BH$4,$AW47)</f>
        <v>1.9627470557403569E-2</v>
      </c>
      <c r="BI47" s="5" cm="1">
        <f t="array" ref="BI47">+moody(BI$4,$AW47)</f>
        <v>1.8605132201385502E-2</v>
      </c>
      <c r="BJ47" s="5" cm="1">
        <f t="array" ref="BJ47">+moody(BJ$4,$AW47)</f>
        <v>1.7401214346313476E-2</v>
      </c>
      <c r="BK47" s="5" cm="1">
        <f t="array" ref="BK47">+moody(BK$4,$AW47)</f>
        <v>1.5894409679794316E-2</v>
      </c>
      <c r="BL47" s="5" cm="1">
        <f t="array" ref="BL47">+moody(BL$4,$AW47)</f>
        <v>1.374063268051148E-2</v>
      </c>
      <c r="BM47" s="5" cm="1">
        <f t="array" ref="BM47">+moody(BM$4,$AW47)</f>
        <v>1.2005709231567383E-2</v>
      </c>
      <c r="BN47" s="5" cm="1">
        <f t="array" ref="BN47">+moody(BN$4,$AW47)</f>
        <v>1.059541635761261E-2</v>
      </c>
      <c r="BO47" s="5" cm="1">
        <f t="array" ref="BO47">+moody(BO$4,$AW47)</f>
        <v>8.2615857374191311E-3</v>
      </c>
      <c r="BP47" s="5" cm="1">
        <f t="array" ref="BP47">+moody(BP$4,$AW47)</f>
        <v>7.5928696411132817E-3</v>
      </c>
      <c r="BQ47" s="62" cm="1">
        <f t="array" ref="BQ47">+moody(BQ$4,$AW47)</f>
        <v>1.5894409679794316E-2</v>
      </c>
      <c r="BS47" s="42"/>
    </row>
    <row r="48" spans="2:71" x14ac:dyDescent="0.25">
      <c r="B48" s="4"/>
      <c r="D48" s="4"/>
      <c r="AW48" s="58">
        <v>70000000</v>
      </c>
      <c r="AX48" s="5" cm="1">
        <f t="array" ref="AX48">+moody(AX$4,$AW48)</f>
        <v>7.1460025207519512E-2</v>
      </c>
      <c r="AY48" s="5" cm="1">
        <f t="array" ref="AY48">+moody(AY$4,$AW48)</f>
        <v>6.4593573562622075E-2</v>
      </c>
      <c r="AZ48" s="5" cm="1">
        <f t="array" ref="AZ48">+moody(AZ$4,$AW48)</f>
        <v>5.7110667147827157E-2</v>
      </c>
      <c r="BA48" s="5" cm="1">
        <f t="array" ref="BA48">+moody(BA$4,$AW48)</f>
        <v>4.8587111839294442E-2</v>
      </c>
      <c r="BB48" s="5" cm="1">
        <f t="array" ref="BB48">+moody(BB$4,$AW48)</f>
        <v>4.3646318411254895E-2</v>
      </c>
      <c r="BC48" s="5" cm="1">
        <f t="array" ref="BC48">+moody(BC$4,$AW48)</f>
        <v>3.7869343760681157E-2</v>
      </c>
      <c r="BD48" s="5" cm="1">
        <f t="array" ref="BD48">+moody(BD$4,$AW48)</f>
        <v>3.5168539447021488E-2</v>
      </c>
      <c r="BE48" s="5" cm="1">
        <f t="array" ref="BE48">+moody(BE$4,$AW48)</f>
        <v>3.2089317353820798E-2</v>
      </c>
      <c r="BF48" s="5" cm="1">
        <f t="array" ref="BF48">+moody(BF$4,$AW48)</f>
        <v>2.8395166368865972E-2</v>
      </c>
      <c r="BG48" s="5" cm="1">
        <f t="array" ref="BG48">+moody(BG$4,$AW48)</f>
        <v>2.3407070718383792E-2</v>
      </c>
      <c r="BH48" s="5" cm="1">
        <f t="array" ref="BH48">+moody(BH$4,$AW48)</f>
        <v>1.9627470557403569E-2</v>
      </c>
      <c r="BI48" s="5" cm="1">
        <f t="array" ref="BI48">+moody(BI$4,$AW48)</f>
        <v>1.8604369262313847E-2</v>
      </c>
      <c r="BJ48" s="5" cm="1">
        <f t="array" ref="BJ48">+moody(BJ$4,$AW48)</f>
        <v>1.7399688468170166E-2</v>
      </c>
      <c r="BK48" s="5" cm="1">
        <f t="array" ref="BK48">+moody(BK$4,$AW48)</f>
        <v>1.5892883801650999E-2</v>
      </c>
      <c r="BL48" s="5" cm="1">
        <f t="array" ref="BL48">+moody(BL$4,$AW48)</f>
        <v>1.3737962393760683E-2</v>
      </c>
      <c r="BM48" s="5" cm="1">
        <f t="array" ref="BM48">+moody(BM$4,$AW48)</f>
        <v>1.2001131597137452E-2</v>
      </c>
      <c r="BN48" s="5" cm="1">
        <f t="array" ref="BN48">+moody(BN$4,$AW48)</f>
        <v>1.0587405497360231E-2</v>
      </c>
      <c r="BO48" s="5" cm="1">
        <f t="array" ref="BO48">+moody(BO$4,$AW48)</f>
        <v>8.23450140037537E-3</v>
      </c>
      <c r="BP48" s="5" cm="1">
        <f t="array" ref="BP48">+moody(BP$4,$AW48)</f>
        <v>7.5499543183326721E-3</v>
      </c>
      <c r="BQ48" s="62" cm="1">
        <f t="array" ref="BQ48">+moody(BQ$4,$AW48)</f>
        <v>1.5892883801650999E-2</v>
      </c>
      <c r="BS48" s="42"/>
    </row>
    <row r="49" spans="2:71" x14ac:dyDescent="0.25">
      <c r="B49" s="4"/>
      <c r="D49" s="4"/>
      <c r="AW49" s="58">
        <v>80000000</v>
      </c>
      <c r="AX49" s="5" cm="1">
        <f t="array" ref="AX49">+moody(AX$4,$AW49)</f>
        <v>7.1460025207519512E-2</v>
      </c>
      <c r="AY49" s="5" cm="1">
        <f t="array" ref="AY49">+moody(AY$4,$AW49)</f>
        <v>6.4593573562622075E-2</v>
      </c>
      <c r="AZ49" s="5" cm="1">
        <f t="array" ref="AZ49">+moody(AZ$4,$AW49)</f>
        <v>5.7110667147827157E-2</v>
      </c>
      <c r="BA49" s="5" cm="1">
        <f t="array" ref="BA49">+moody(BA$4,$AW49)</f>
        <v>4.8587111839294442E-2</v>
      </c>
      <c r="BB49" s="5" cm="1">
        <f t="array" ref="BB49">+moody(BB$4,$AW49)</f>
        <v>4.3646318411254895E-2</v>
      </c>
      <c r="BC49" s="5" cm="1">
        <f t="array" ref="BC49">+moody(BC$4,$AW49)</f>
        <v>3.7869343760681157E-2</v>
      </c>
      <c r="BD49" s="5" cm="1">
        <f t="array" ref="BD49">+moody(BD$4,$AW49)</f>
        <v>3.5168539447021488E-2</v>
      </c>
      <c r="BE49" s="5" cm="1">
        <f t="array" ref="BE49">+moody(BE$4,$AW49)</f>
        <v>3.2089317353820798E-2</v>
      </c>
      <c r="BF49" s="5" cm="1">
        <f t="array" ref="BF49">+moody(BF$4,$AW49)</f>
        <v>2.8393640490722658E-2</v>
      </c>
      <c r="BG49" s="5" cm="1">
        <f t="array" ref="BG49">+moody(BG$4,$AW49)</f>
        <v>2.3405544840240482E-2</v>
      </c>
      <c r="BH49" s="5" cm="1">
        <f t="array" ref="BH49">+moody(BH$4,$AW49)</f>
        <v>1.9626707618331914E-2</v>
      </c>
      <c r="BI49" s="5" cm="1">
        <f t="array" ref="BI49">+moody(BI$4,$AW49)</f>
        <v>1.8603606323242192E-2</v>
      </c>
      <c r="BJ49" s="5" cm="1">
        <f t="array" ref="BJ49">+moody(BJ$4,$AW49)</f>
        <v>1.7398925529098511E-2</v>
      </c>
      <c r="BK49" s="5" cm="1">
        <f t="array" ref="BK49">+moody(BK$4,$AW49)</f>
        <v>1.5891357923507689E-2</v>
      </c>
      <c r="BL49" s="5" cm="1">
        <f t="array" ref="BL49">+moody(BL$4,$AW49)</f>
        <v>1.3736055046081545E-2</v>
      </c>
      <c r="BM49" s="5" cm="1">
        <f t="array" ref="BM49">+moody(BM$4,$AW49)</f>
        <v>1.1997698371315001E-2</v>
      </c>
      <c r="BN49" s="5" cm="1">
        <f t="array" ref="BN49">+moody(BN$4,$AW49)</f>
        <v>1.0581301984786989E-2</v>
      </c>
      <c r="BO49" s="5" cm="1">
        <f t="array" ref="BO49">+moody(BO$4,$AW49)</f>
        <v>8.2139020454406741E-3</v>
      </c>
      <c r="BP49" s="5" cm="1">
        <f t="array" ref="BP49">+moody(BP$4,$AW49)</f>
        <v>7.5165757339477543E-3</v>
      </c>
      <c r="BQ49" s="62" cm="1">
        <f t="array" ref="BQ49">+moody(BQ$4,$AW49)</f>
        <v>1.5891357923507689E-2</v>
      </c>
      <c r="BS49" s="42"/>
    </row>
    <row r="50" spans="2:71" x14ac:dyDescent="0.25">
      <c r="AW50" s="58">
        <v>90000000</v>
      </c>
      <c r="AX50" s="5" cm="1">
        <f t="array" ref="AX50">+moody(AX$4,$AW50)</f>
        <v>7.1460025207519512E-2</v>
      </c>
      <c r="AY50" s="5" cm="1">
        <f t="array" ref="AY50">+moody(AY$4,$AW50)</f>
        <v>6.4593573562622075E-2</v>
      </c>
      <c r="AZ50" s="5" cm="1">
        <f t="array" ref="AZ50">+moody(AZ$4,$AW50)</f>
        <v>5.7110667147827157E-2</v>
      </c>
      <c r="BA50" s="5" cm="1">
        <f t="array" ref="BA50">+moody(BA$4,$AW50)</f>
        <v>4.8587111839294442E-2</v>
      </c>
      <c r="BB50" s="5" cm="1">
        <f t="array" ref="BB50">+moody(BB$4,$AW50)</f>
        <v>4.3646318411254895E-2</v>
      </c>
      <c r="BC50" s="5" cm="1">
        <f t="array" ref="BC50">+moody(BC$4,$AW50)</f>
        <v>3.7869343760681157E-2</v>
      </c>
      <c r="BD50" s="5" cm="1">
        <f t="array" ref="BD50">+moody(BD$4,$AW50)</f>
        <v>3.5167013568878178E-2</v>
      </c>
      <c r="BE50" s="5" cm="1">
        <f t="array" ref="BE50">+moody(BE$4,$AW50)</f>
        <v>3.2089317353820798E-2</v>
      </c>
      <c r="BF50" s="5" cm="1">
        <f t="array" ref="BF50">+moody(BF$4,$AW50)</f>
        <v>2.8393640490722658E-2</v>
      </c>
      <c r="BG50" s="5" cm="1">
        <f t="array" ref="BG50">+moody(BG$4,$AW50)</f>
        <v>2.3405544840240482E-2</v>
      </c>
      <c r="BH50" s="5" cm="1">
        <f t="array" ref="BH50">+moody(BH$4,$AW50)</f>
        <v>1.9625944679260258E-2</v>
      </c>
      <c r="BI50" s="5" cm="1">
        <f t="array" ref="BI50">+moody(BI$4,$AW50)</f>
        <v>1.8603606323242192E-2</v>
      </c>
      <c r="BJ50" s="5" cm="1">
        <f t="array" ref="BJ50">+moody(BJ$4,$AW50)</f>
        <v>1.7398162590026856E-2</v>
      </c>
      <c r="BK50" s="5" cm="1">
        <f t="array" ref="BK50">+moody(BK$4,$AW50)</f>
        <v>1.5890594984436034E-2</v>
      </c>
      <c r="BL50" s="5" cm="1">
        <f t="array" ref="BL50">+moody(BL$4,$AW50)</f>
        <v>1.3734529167938235E-2</v>
      </c>
      <c r="BM50" s="5" cm="1">
        <f t="array" ref="BM50">+moody(BM$4,$AW50)</f>
        <v>1.1995028084564208E-2</v>
      </c>
      <c r="BN50" s="5" cm="1">
        <f t="array" ref="BN50">+moody(BN$4,$AW50)</f>
        <v>1.0576724350357055E-2</v>
      </c>
      <c r="BO50" s="5" cm="1">
        <f t="array" ref="BO50">+moody(BO$4,$AW50)</f>
        <v>8.1974988554000885E-3</v>
      </c>
      <c r="BP50" s="5" cm="1">
        <f t="array" ref="BP50">+moody(BP$4,$AW50)</f>
        <v>7.4902543359756484E-3</v>
      </c>
      <c r="BQ50" s="62" cm="1">
        <f t="array" ref="BQ50">+moody(BQ$4,$AW50)</f>
        <v>1.5890594984436034E-2</v>
      </c>
      <c r="BS50" s="42"/>
    </row>
    <row r="51" spans="2:71" ht="15.75" thickBot="1" x14ac:dyDescent="0.3">
      <c r="B51" s="4"/>
      <c r="D51" s="4"/>
      <c r="AW51" s="60">
        <v>100000000</v>
      </c>
      <c r="AX51" s="45" cm="1">
        <f t="array" ref="AX51">+moody(AX$4,$AW51)</f>
        <v>7.1460025207519512E-2</v>
      </c>
      <c r="AY51" s="45" cm="1">
        <f t="array" ref="AY51">+moody(AY$4,$AW51)</f>
        <v>6.4593573562622075E-2</v>
      </c>
      <c r="AZ51" s="45" cm="1">
        <f t="array" ref="AZ51">+moody(AZ$4,$AW51)</f>
        <v>5.7110667147827157E-2</v>
      </c>
      <c r="BA51" s="45" cm="1">
        <f t="array" ref="BA51">+moody(BA$4,$AW51)</f>
        <v>4.8587111839294442E-2</v>
      </c>
      <c r="BB51" s="45" cm="1">
        <f t="array" ref="BB51">+moody(BB$4,$AW51)</f>
        <v>4.3646318411254895E-2</v>
      </c>
      <c r="BC51" s="45" cm="1">
        <f t="array" ref="BC51">+moody(BC$4,$AW51)</f>
        <v>3.7869343760681157E-2</v>
      </c>
      <c r="BD51" s="45" cm="1">
        <f t="array" ref="BD51">+moody(BD$4,$AW51)</f>
        <v>3.5167013568878178E-2</v>
      </c>
      <c r="BE51" s="45" cm="1">
        <f t="array" ref="BE51">+moody(BE$4,$AW51)</f>
        <v>3.2089317353820798E-2</v>
      </c>
      <c r="BF51" s="45" cm="1">
        <f t="array" ref="BF51">+moody(BF$4,$AW51)</f>
        <v>2.8393640490722658E-2</v>
      </c>
      <c r="BG51" s="45" cm="1">
        <f t="array" ref="BG51">+moody(BG$4,$AW51)</f>
        <v>2.3405544840240482E-2</v>
      </c>
      <c r="BH51" s="45" cm="1">
        <f t="array" ref="BH51">+moody(BH$4,$AW51)</f>
        <v>1.9625944679260258E-2</v>
      </c>
      <c r="BI51" s="45" cm="1">
        <f t="array" ref="BI51">+moody(BI$4,$AW51)</f>
        <v>1.8602843384170537E-2</v>
      </c>
      <c r="BJ51" s="45" cm="1">
        <f t="array" ref="BJ51">+moody(BJ$4,$AW51)</f>
        <v>1.7398162590026856E-2</v>
      </c>
      <c r="BK51" s="45" cm="1">
        <f t="array" ref="BK51">+moody(BK$4,$AW51)</f>
        <v>1.5889832045364378E-2</v>
      </c>
      <c r="BL51" s="45" cm="1">
        <f t="array" ref="BL51">+moody(BL$4,$AW51)</f>
        <v>1.3733003289794925E-2</v>
      </c>
      <c r="BM51" s="45" cm="1">
        <f t="array" ref="BM51">+moody(BM$4,$AW51)</f>
        <v>1.1992739267349242E-2</v>
      </c>
      <c r="BN51" s="45" cm="1">
        <f t="array" ref="BN51">+moody(BN$4,$AW51)</f>
        <v>1.0572909654998779E-2</v>
      </c>
      <c r="BO51" s="45" cm="1">
        <f t="array" ref="BO51">+moody(BO$4,$AW51)</f>
        <v>8.1845288911819476E-3</v>
      </c>
      <c r="BP51" s="45" cm="1">
        <f t="array" ref="BP51">+moody(BP$4,$AW51)</f>
        <v>7.4685105724334733E-3</v>
      </c>
      <c r="BQ51" s="65" cm="1">
        <f t="array" ref="BQ51">+moody(BQ$4,$AW51)</f>
        <v>1.5889832045364378E-2</v>
      </c>
      <c r="BR51" s="45"/>
      <c r="BS51" s="46"/>
    </row>
    <row r="52" spans="2:71" x14ac:dyDescent="0.25">
      <c r="B52" s="4"/>
      <c r="D52" s="4"/>
    </row>
    <row r="53" spans="2:71" x14ac:dyDescent="0.25">
      <c r="B53" s="4"/>
      <c r="D53" s="4"/>
    </row>
    <row r="54" spans="2:71" x14ac:dyDescent="0.25">
      <c r="B54" s="4"/>
      <c r="D54" s="4"/>
    </row>
    <row r="55" spans="2:71" x14ac:dyDescent="0.25">
      <c r="B55" s="4"/>
      <c r="D55" s="4"/>
    </row>
    <row r="56" spans="2:71" x14ac:dyDescent="0.25">
      <c r="B56" s="4"/>
      <c r="D56" s="4"/>
    </row>
    <row r="57" spans="2:71" x14ac:dyDescent="0.25">
      <c r="B57" s="4"/>
      <c r="D57" s="4"/>
    </row>
    <row r="58" spans="2:71" x14ac:dyDescent="0.25">
      <c r="B58" s="4"/>
      <c r="D58" s="4"/>
    </row>
    <row r="59" spans="2:71" x14ac:dyDescent="0.25">
      <c r="B59" s="4"/>
      <c r="D59" s="4"/>
    </row>
  </sheetData>
  <dataConsolidate/>
  <mergeCells count="8">
    <mergeCell ref="B10:D10"/>
    <mergeCell ref="B22:D22"/>
    <mergeCell ref="B26:D26"/>
    <mergeCell ref="AX2:BP2"/>
    <mergeCell ref="B46:D46"/>
    <mergeCell ref="U3:AC3"/>
    <mergeCell ref="V4:AC4"/>
    <mergeCell ref="V5:AC5"/>
  </mergeCells>
  <conditionalFormatting sqref="U4:U5">
    <cfRule type="iconSet" priority="2">
      <iconSet iconSet="3Symbols">
        <cfvo type="percent" val="0"/>
        <cfvo type="num" val="0.5"/>
        <cfvo type="num" val="1"/>
      </iconSet>
    </cfRule>
  </conditionalFormatting>
  <dataValidations count="3">
    <dataValidation type="list" allowBlank="1" showInputMessage="1" showErrorMessage="1" sqref="C11" xr:uid="{CD9D7CAD-9918-4E26-A26E-6ABA9F1D788D}">
      <formula1>"flow, pressure drop, orifice diameter"</formula1>
    </dataValidation>
    <dataValidation type="list" allowBlank="1" showInputMessage="1" showErrorMessage="1" sqref="C14" xr:uid="{5CA8D935-63F7-42DB-AB65-EE69146BD80F}">
      <formula1>"ASTM, custom"</formula1>
    </dataValidation>
    <dataValidation type="list" allowBlank="1" showInputMessage="1" showErrorMessage="1" sqref="C15" xr:uid="{7DF9F74E-1FB1-4827-88E6-08E73322B7F5}">
      <formula1>pipe_DN_ASTM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69F6252-0CA3-4CC5-B223-A7BEB2FDF2DA}">
            <x14:iconSet iconSet="3Symbols" custom="1">
              <x14:cfvo type="percent">
                <xm:f>0</xm:f>
              </x14:cfvo>
              <x14:cfvo type="num">
                <xm:f>1.4999999999999999E-2</xm:f>
              </x14:cfvo>
              <x14:cfvo type="num">
                <xm:f>1.4999999999999999E-2</xm:f>
              </x14:cfvo>
              <x14:cfIcon iconSet="3Symbols" iconId="0"/>
              <x14:cfIcon iconSet="3Symbols" iconId="2"/>
              <x14:cfIcon iconSet="3Symbols" iconId="2"/>
            </x14:iconSet>
          </x14:cfRule>
          <xm:sqref>C47</xm:sqref>
        </x14:conditionalFormatting>
        <x14:conditionalFormatting xmlns:xm="http://schemas.microsoft.com/office/excel/2006/main">
          <x14:cfRule type="iconSet" priority="1" id="{E500B08F-87EE-4B5D-BD03-B72D6CFA3917}">
            <x14:iconSet iconSet="3Symbols" custom="1">
              <x14:cfvo type="percent">
                <xm:f>0</xm:f>
              </x14:cfvo>
              <x14:cfvo type="num">
                <xm:f>-5.0000000000000001E-3</xm:f>
              </x14:cfvo>
              <x14:cfvo type="num">
                <xm:f>5.0000000000000001E-3</xm:f>
              </x14:cfvo>
              <x14:cfIcon iconSet="3Symbols" iconId="0"/>
              <x14:cfIcon iconSet="3Symbols" iconId="2"/>
              <x14:cfIcon iconSet="3Symbols" iconId="0"/>
            </x14:iconSet>
          </x14:cfRule>
          <xm:sqref>C44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2F94D4-5906-4C8E-82BD-66862EEAE1E1}">
          <x14:formula1>
            <xm:f>pipe_ASTM!$B$30:$O$30</xm:f>
          </x14:formula1>
          <xm:sqref>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96F1A-847B-4FE7-9B97-414DA0E2CA9C}">
  <sheetPr codeName="Foglio1"/>
  <dimension ref="A1:AD30"/>
  <sheetViews>
    <sheetView workbookViewId="0">
      <selection activeCell="F3" sqref="F3"/>
    </sheetView>
  </sheetViews>
  <sheetFormatPr defaultRowHeight="15" x14ac:dyDescent="0.25"/>
  <cols>
    <col min="1" max="1" width="11.85546875" bestFit="1" customWidth="1"/>
  </cols>
  <sheetData>
    <row r="1" spans="1:30" x14ac:dyDescent="0.25">
      <c r="A1" s="11"/>
      <c r="B1" s="11"/>
      <c r="C1" s="125" t="s">
        <v>69</v>
      </c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1"/>
    </row>
    <row r="2" spans="1:30" x14ac:dyDescent="0.25">
      <c r="A2" s="8" t="s">
        <v>32</v>
      </c>
      <c r="B2" s="8" t="s">
        <v>33</v>
      </c>
      <c r="C2" s="8" t="s">
        <v>34</v>
      </c>
      <c r="D2" s="8" t="s">
        <v>35</v>
      </c>
      <c r="E2" s="8" t="s">
        <v>36</v>
      </c>
      <c r="F2" s="8">
        <v>10</v>
      </c>
      <c r="G2" s="8">
        <v>20</v>
      </c>
      <c r="H2" s="8">
        <v>30</v>
      </c>
      <c r="I2" s="8">
        <v>40</v>
      </c>
      <c r="J2" s="8">
        <v>60</v>
      </c>
      <c r="K2" s="8">
        <v>80</v>
      </c>
      <c r="L2" s="8">
        <v>100</v>
      </c>
      <c r="M2" s="8">
        <v>120</v>
      </c>
      <c r="N2" s="8">
        <v>140</v>
      </c>
      <c r="O2" s="8">
        <v>160</v>
      </c>
      <c r="P2" s="11"/>
    </row>
    <row r="3" spans="1:30" x14ac:dyDescent="0.25">
      <c r="A3" s="8" t="s">
        <v>37</v>
      </c>
      <c r="B3" s="36">
        <v>10.29</v>
      </c>
      <c r="C3" s="34">
        <v>1.73</v>
      </c>
      <c r="D3" s="34">
        <v>2.41</v>
      </c>
      <c r="E3" s="34" t="s">
        <v>31</v>
      </c>
      <c r="F3" s="34" t="s">
        <v>31</v>
      </c>
      <c r="G3" s="34" t="s">
        <v>31</v>
      </c>
      <c r="H3" s="34" t="s">
        <v>31</v>
      </c>
      <c r="I3" s="34">
        <v>1.73</v>
      </c>
      <c r="J3" s="34" t="s">
        <v>31</v>
      </c>
      <c r="K3" s="34">
        <v>2.41</v>
      </c>
      <c r="L3" s="34" t="s">
        <v>31</v>
      </c>
      <c r="M3" s="34" t="s">
        <v>31</v>
      </c>
      <c r="N3" s="34" t="s">
        <v>31</v>
      </c>
      <c r="O3" s="34" t="s">
        <v>31</v>
      </c>
      <c r="P3" s="11"/>
      <c r="U3" t="str" cm="1">
        <f t="array" ref="U3">IFERROR(_xlfn.SINGLE(INDEX($A$2:$O$2,,_xlfn.AGGREGATE(15,6,(COLUMN($C$2:$O$2))/(INDEX($C$3:$O$26,MATCH($A$29,$A$3:$A$26),)&lt;&gt;"N/A"),COLUMN(U3)-COLUMN($A$29)))),"")</f>
        <v/>
      </c>
      <c r="V3" t="str" cm="1">
        <f t="array" ref="V3">IFERROR(_xlfn.SINGLE(INDEX($A$2:$O$2,,_xlfn.AGGREGATE(15,6,(COLUMN($C$2:$O$2))/(INDEX($C$3:$O$26,MATCH($A$29,$A$3:$A$26),)&lt;&gt;"N/A"),COLUMN(V3)-COLUMN($A$29)))),"")</f>
        <v/>
      </c>
      <c r="W3" t="str" cm="1">
        <f t="array" ref="W3">IFERROR(_xlfn.SINGLE(INDEX($A$2:$O$2,,_xlfn.AGGREGATE(15,6,(COLUMN($C$2:$O$2))/(INDEX($C$3:$O$26,MATCH($A$29,$A$3:$A$26),)&lt;&gt;"N/A"),COLUMN(W3)-COLUMN($A$29)))),"")</f>
        <v/>
      </c>
      <c r="X3" t="str" cm="1">
        <f t="array" ref="X3">IFERROR(_xlfn.SINGLE(INDEX($A$2:$O$2,,_xlfn.AGGREGATE(15,6,(COLUMN($C$2:$O$2))/(INDEX($C$3:$O$26,MATCH($A$29,$A$3:$A$26),)&lt;&gt;"N/A"),COLUMN(X3)-COLUMN($A$29)))),"")</f>
        <v/>
      </c>
      <c r="Y3" t="str" cm="1">
        <f t="array" ref="Y3">IFERROR(_xlfn.SINGLE(INDEX($A$2:$O$2,,_xlfn.AGGREGATE(15,6,(COLUMN($C$2:$O$2))/(INDEX($C$3:$O$26,MATCH($A$29,$A$3:$A$26),)&lt;&gt;"N/A"),COLUMN(Y3)-COLUMN($A$29)))),"")</f>
        <v/>
      </c>
      <c r="Z3" t="str" cm="1">
        <f t="array" ref="Z3">IFERROR(_xlfn.SINGLE(INDEX($A$2:$O$2,,_xlfn.AGGREGATE(15,6,(COLUMN($C$2:$O$2))/(INDEX($C$3:$O$26,MATCH($A$29,$A$3:$A$26),)&lt;&gt;"N/A"),COLUMN(Z3)-COLUMN($A$29)))),"")</f>
        <v/>
      </c>
      <c r="AA3" t="str" cm="1">
        <f t="array" ref="AA3">IFERROR(_xlfn.SINGLE(INDEX($A$2:$O$2,,_xlfn.AGGREGATE(15,6,(COLUMN($C$2:$O$2))/(INDEX($C$3:$O$26,MATCH($A$29,$A$3:$A$26),)&lt;&gt;"N/A"),COLUMN(AA3)-COLUMN($A$29)))),"")</f>
        <v/>
      </c>
      <c r="AB3" t="str" cm="1">
        <f t="array" ref="AB3">IFERROR(_xlfn.SINGLE(INDEX($A$2:$O$2,,_xlfn.AGGREGATE(15,6,(COLUMN($C$2:$O$2))/(INDEX($C$3:$O$26,MATCH($A$29,$A$3:$A$26),)&lt;&gt;"N/A"),COLUMN(AB3)-COLUMN($A$29)))),"")</f>
        <v/>
      </c>
      <c r="AC3" t="str" cm="1">
        <f t="array" ref="AC3">IFERROR(_xlfn.SINGLE(INDEX($A$2:$O$2,,_xlfn.AGGREGATE(15,6,(COLUMN($C$2:$O$2))/(INDEX($C$3:$O$26,MATCH($A$29,$A$3:$A$26),)&lt;&gt;"N/A"),COLUMN(AC3)-COLUMN($A$29)))),"")</f>
        <v/>
      </c>
      <c r="AD3" t="str" cm="1">
        <f t="array" ref="AD3">IFERROR(_xlfn.SINGLE(INDEX($A$2:$O$2,,_xlfn.AGGREGATE(15,6,(COLUMN($C$2:$O$2))/(INDEX($C$3:$O$26,MATCH($A$29,$A$3:$A$26),)&lt;&gt;"N/A"),COLUMN(AD3)-COLUMN($A$29)))),"")</f>
        <v/>
      </c>
    </row>
    <row r="4" spans="1:30" x14ac:dyDescent="0.25">
      <c r="A4" s="8" t="s">
        <v>38</v>
      </c>
      <c r="B4" s="36">
        <v>13.72</v>
      </c>
      <c r="C4" s="34">
        <v>2.23</v>
      </c>
      <c r="D4" s="34">
        <v>3.02</v>
      </c>
      <c r="E4" s="34" t="s">
        <v>31</v>
      </c>
      <c r="F4" s="34" t="s">
        <v>31</v>
      </c>
      <c r="G4" s="34" t="s">
        <v>31</v>
      </c>
      <c r="H4" s="34" t="s">
        <v>31</v>
      </c>
      <c r="I4" s="34">
        <v>2.23</v>
      </c>
      <c r="J4" s="34" t="s">
        <v>31</v>
      </c>
      <c r="K4" s="34">
        <v>3.02</v>
      </c>
      <c r="L4" s="34" t="s">
        <v>31</v>
      </c>
      <c r="M4" s="34" t="s">
        <v>31</v>
      </c>
      <c r="N4" s="34" t="s">
        <v>31</v>
      </c>
      <c r="O4" s="34" t="s">
        <v>31</v>
      </c>
      <c r="P4" s="11"/>
    </row>
    <row r="5" spans="1:30" x14ac:dyDescent="0.25">
      <c r="A5" s="8" t="s">
        <v>39</v>
      </c>
      <c r="B5" s="36">
        <v>17.14</v>
      </c>
      <c r="C5" s="34">
        <v>2.31</v>
      </c>
      <c r="D5" s="34">
        <v>3.2</v>
      </c>
      <c r="E5" s="34" t="s">
        <v>31</v>
      </c>
      <c r="F5" s="34" t="s">
        <v>31</v>
      </c>
      <c r="G5" s="34" t="s">
        <v>31</v>
      </c>
      <c r="H5" s="34" t="s">
        <v>31</v>
      </c>
      <c r="I5" s="34">
        <v>2.31</v>
      </c>
      <c r="J5" s="34" t="s">
        <v>31</v>
      </c>
      <c r="K5" s="34">
        <v>3.2</v>
      </c>
      <c r="L5" s="34" t="s">
        <v>31</v>
      </c>
      <c r="M5" s="34" t="s">
        <v>31</v>
      </c>
      <c r="N5" s="34" t="s">
        <v>31</v>
      </c>
      <c r="O5" s="34" t="s">
        <v>31</v>
      </c>
      <c r="P5" s="11"/>
    </row>
    <row r="6" spans="1:30" x14ac:dyDescent="0.25">
      <c r="A6" s="8" t="s">
        <v>40</v>
      </c>
      <c r="B6" s="36">
        <v>21.34</v>
      </c>
      <c r="C6" s="34">
        <v>2.77</v>
      </c>
      <c r="D6" s="34">
        <v>3.73</v>
      </c>
      <c r="E6" s="34">
        <v>7.47</v>
      </c>
      <c r="F6" s="34" t="s">
        <v>31</v>
      </c>
      <c r="G6" s="34" t="s">
        <v>31</v>
      </c>
      <c r="H6" s="34" t="s">
        <v>31</v>
      </c>
      <c r="I6" s="34">
        <v>2.77</v>
      </c>
      <c r="J6" s="34" t="s">
        <v>31</v>
      </c>
      <c r="K6" s="34">
        <v>3.73</v>
      </c>
      <c r="L6" s="34" t="s">
        <v>31</v>
      </c>
      <c r="M6" s="34" t="s">
        <v>31</v>
      </c>
      <c r="N6" s="34" t="s">
        <v>31</v>
      </c>
      <c r="O6" s="34">
        <v>4.75</v>
      </c>
      <c r="P6" s="11"/>
    </row>
    <row r="7" spans="1:30" x14ac:dyDescent="0.25">
      <c r="A7" s="8" t="s">
        <v>41</v>
      </c>
      <c r="B7" s="36">
        <v>26.67</v>
      </c>
      <c r="C7" s="34">
        <v>2.87</v>
      </c>
      <c r="D7" s="34">
        <v>3.91</v>
      </c>
      <c r="E7" s="34">
        <v>7.82</v>
      </c>
      <c r="F7" s="34" t="s">
        <v>31</v>
      </c>
      <c r="G7" s="34" t="s">
        <v>31</v>
      </c>
      <c r="H7" s="34" t="s">
        <v>31</v>
      </c>
      <c r="I7" s="34">
        <v>2.87</v>
      </c>
      <c r="J7" s="34" t="s">
        <v>31</v>
      </c>
      <c r="K7" s="34">
        <v>3.91</v>
      </c>
      <c r="L7" s="34" t="s">
        <v>31</v>
      </c>
      <c r="M7" s="34" t="s">
        <v>31</v>
      </c>
      <c r="N7" s="34" t="s">
        <v>31</v>
      </c>
      <c r="O7" s="34">
        <v>5.54</v>
      </c>
      <c r="P7" s="11"/>
    </row>
    <row r="8" spans="1:30" x14ac:dyDescent="0.25">
      <c r="A8" s="8" t="s">
        <v>42</v>
      </c>
      <c r="B8" s="36">
        <v>33.4</v>
      </c>
      <c r="C8" s="34">
        <v>3.38</v>
      </c>
      <c r="D8" s="34">
        <v>4.55</v>
      </c>
      <c r="E8" s="34">
        <v>9.09</v>
      </c>
      <c r="F8" s="34" t="s">
        <v>31</v>
      </c>
      <c r="G8" s="34" t="s">
        <v>31</v>
      </c>
      <c r="H8" s="34" t="s">
        <v>31</v>
      </c>
      <c r="I8" s="34">
        <v>3.38</v>
      </c>
      <c r="J8" s="34" t="s">
        <v>31</v>
      </c>
      <c r="K8" s="34">
        <v>4.55</v>
      </c>
      <c r="L8" s="34" t="s">
        <v>31</v>
      </c>
      <c r="M8" s="34" t="s">
        <v>31</v>
      </c>
      <c r="N8" s="34" t="s">
        <v>31</v>
      </c>
      <c r="O8" s="34">
        <v>6.35</v>
      </c>
      <c r="P8" s="11"/>
    </row>
    <row r="9" spans="1:30" x14ac:dyDescent="0.25">
      <c r="A9" s="8" t="s">
        <v>43</v>
      </c>
      <c r="B9" s="36">
        <v>42.16</v>
      </c>
      <c r="C9" s="34">
        <v>3.56</v>
      </c>
      <c r="D9" s="34">
        <v>4.8499999999999996</v>
      </c>
      <c r="E9" s="34">
        <v>9.6999999999999993</v>
      </c>
      <c r="F9" s="34" t="s">
        <v>31</v>
      </c>
      <c r="G9" s="34" t="s">
        <v>31</v>
      </c>
      <c r="H9" s="34" t="s">
        <v>31</v>
      </c>
      <c r="I9" s="34">
        <v>3.56</v>
      </c>
      <c r="J9" s="34" t="s">
        <v>31</v>
      </c>
      <c r="K9" s="34">
        <v>4.8499999999999996</v>
      </c>
      <c r="L9" s="34" t="s">
        <v>31</v>
      </c>
      <c r="M9" s="34" t="s">
        <v>31</v>
      </c>
      <c r="N9" s="34" t="s">
        <v>31</v>
      </c>
      <c r="O9" s="34">
        <v>6.35</v>
      </c>
      <c r="P9" s="11"/>
    </row>
    <row r="10" spans="1:30" x14ac:dyDescent="0.25">
      <c r="A10" s="8" t="s">
        <v>44</v>
      </c>
      <c r="B10" s="36">
        <v>48.26</v>
      </c>
      <c r="C10" s="34">
        <v>3.68</v>
      </c>
      <c r="D10" s="34">
        <v>5.08</v>
      </c>
      <c r="E10" s="34">
        <v>10.16</v>
      </c>
      <c r="F10" s="34" t="s">
        <v>31</v>
      </c>
      <c r="G10" s="34" t="s">
        <v>31</v>
      </c>
      <c r="H10" s="34" t="s">
        <v>31</v>
      </c>
      <c r="I10" s="34">
        <v>3.68</v>
      </c>
      <c r="J10" s="34" t="s">
        <v>31</v>
      </c>
      <c r="K10" s="34">
        <v>5.08</v>
      </c>
      <c r="L10" s="34" t="s">
        <v>31</v>
      </c>
      <c r="M10" s="34" t="s">
        <v>31</v>
      </c>
      <c r="N10" s="34" t="s">
        <v>31</v>
      </c>
      <c r="O10" s="34">
        <v>7.14</v>
      </c>
      <c r="P10" s="11"/>
    </row>
    <row r="11" spans="1:30" x14ac:dyDescent="0.25">
      <c r="A11" s="8" t="s">
        <v>45</v>
      </c>
      <c r="B11" s="36">
        <v>60.32</v>
      </c>
      <c r="C11" s="34">
        <v>3.91</v>
      </c>
      <c r="D11" s="34">
        <v>5.54</v>
      </c>
      <c r="E11" s="34">
        <v>11.07</v>
      </c>
      <c r="F11" s="34" t="s">
        <v>31</v>
      </c>
      <c r="G11" s="34" t="s">
        <v>31</v>
      </c>
      <c r="H11" s="34" t="s">
        <v>31</v>
      </c>
      <c r="I11" s="34">
        <v>3.91</v>
      </c>
      <c r="J11" s="34" t="s">
        <v>31</v>
      </c>
      <c r="K11" s="34">
        <v>5.54</v>
      </c>
      <c r="L11" s="34" t="s">
        <v>31</v>
      </c>
      <c r="M11" s="34" t="s">
        <v>31</v>
      </c>
      <c r="N11" s="34" t="s">
        <v>31</v>
      </c>
      <c r="O11" s="34">
        <v>8.7100000000000009</v>
      </c>
      <c r="P11" s="11"/>
    </row>
    <row r="12" spans="1:30" x14ac:dyDescent="0.25">
      <c r="A12" s="8" t="s">
        <v>46</v>
      </c>
      <c r="B12" s="36">
        <v>73.02</v>
      </c>
      <c r="C12" s="34">
        <v>5.16</v>
      </c>
      <c r="D12" s="34">
        <v>7.01</v>
      </c>
      <c r="E12" s="34">
        <v>14.02</v>
      </c>
      <c r="F12" s="34" t="s">
        <v>31</v>
      </c>
      <c r="G12" s="34" t="s">
        <v>31</v>
      </c>
      <c r="H12" s="34" t="s">
        <v>31</v>
      </c>
      <c r="I12" s="34">
        <v>5.16</v>
      </c>
      <c r="J12" s="34" t="s">
        <v>31</v>
      </c>
      <c r="K12" s="34">
        <v>7.01</v>
      </c>
      <c r="L12" s="34" t="s">
        <v>31</v>
      </c>
      <c r="M12" s="34" t="s">
        <v>31</v>
      </c>
      <c r="N12" s="34" t="s">
        <v>31</v>
      </c>
      <c r="O12" s="34">
        <v>9.52</v>
      </c>
      <c r="P12" s="11"/>
    </row>
    <row r="13" spans="1:30" x14ac:dyDescent="0.25">
      <c r="A13" s="8" t="s">
        <v>47</v>
      </c>
      <c r="B13" s="36">
        <v>88.9</v>
      </c>
      <c r="C13" s="34">
        <v>5.49</v>
      </c>
      <c r="D13" s="34">
        <v>7.62</v>
      </c>
      <c r="E13" s="34">
        <v>15.24</v>
      </c>
      <c r="F13" s="34" t="s">
        <v>31</v>
      </c>
      <c r="G13" s="34" t="s">
        <v>31</v>
      </c>
      <c r="H13" s="34" t="s">
        <v>31</v>
      </c>
      <c r="I13" s="34">
        <v>5.49</v>
      </c>
      <c r="J13" s="34" t="s">
        <v>31</v>
      </c>
      <c r="K13" s="34">
        <v>7.62</v>
      </c>
      <c r="L13" s="34" t="s">
        <v>31</v>
      </c>
      <c r="M13" s="34" t="s">
        <v>31</v>
      </c>
      <c r="N13" s="34" t="s">
        <v>31</v>
      </c>
      <c r="O13" s="34">
        <v>11.12</v>
      </c>
      <c r="P13" s="11"/>
    </row>
    <row r="14" spans="1:30" x14ac:dyDescent="0.25">
      <c r="A14" s="8" t="s">
        <v>48</v>
      </c>
      <c r="B14" s="36">
        <v>101.6</v>
      </c>
      <c r="C14" s="34">
        <v>5.74</v>
      </c>
      <c r="D14" s="34">
        <v>8.08</v>
      </c>
      <c r="E14" s="34" t="s">
        <v>31</v>
      </c>
      <c r="F14" s="34" t="s">
        <v>31</v>
      </c>
      <c r="G14" s="34" t="s">
        <v>31</v>
      </c>
      <c r="H14" s="34" t="s">
        <v>31</v>
      </c>
      <c r="I14" s="34">
        <v>5.74</v>
      </c>
      <c r="J14" s="34" t="s">
        <v>31</v>
      </c>
      <c r="K14" s="34">
        <v>8.07</v>
      </c>
      <c r="L14" s="34" t="s">
        <v>31</v>
      </c>
      <c r="M14" s="34" t="s">
        <v>31</v>
      </c>
      <c r="N14" s="34" t="s">
        <v>31</v>
      </c>
      <c r="O14" s="34" t="s">
        <v>31</v>
      </c>
      <c r="P14" s="11"/>
    </row>
    <row r="15" spans="1:30" x14ac:dyDescent="0.25">
      <c r="A15" s="8" t="s">
        <v>49</v>
      </c>
      <c r="B15" s="36">
        <v>114.3</v>
      </c>
      <c r="C15" s="34">
        <v>6.02</v>
      </c>
      <c r="D15" s="34">
        <v>8.56</v>
      </c>
      <c r="E15" s="34">
        <v>17.12</v>
      </c>
      <c r="F15" s="34" t="s">
        <v>31</v>
      </c>
      <c r="G15" s="34" t="s">
        <v>31</v>
      </c>
      <c r="H15" s="34" t="s">
        <v>31</v>
      </c>
      <c r="I15" s="34">
        <v>6.02</v>
      </c>
      <c r="J15" s="34" t="s">
        <v>31</v>
      </c>
      <c r="K15" s="34">
        <v>8.56</v>
      </c>
      <c r="L15" s="34" t="s">
        <v>31</v>
      </c>
      <c r="M15" s="34">
        <v>11.12</v>
      </c>
      <c r="N15" s="34" t="s">
        <v>31</v>
      </c>
      <c r="O15" s="34">
        <v>13.49</v>
      </c>
      <c r="P15" s="11"/>
    </row>
    <row r="16" spans="1:30" x14ac:dyDescent="0.25">
      <c r="A16" s="8" t="s">
        <v>50</v>
      </c>
      <c r="B16" s="36">
        <v>141.30000000000001</v>
      </c>
      <c r="C16" s="34">
        <v>6.55</v>
      </c>
      <c r="D16" s="34">
        <v>9.52</v>
      </c>
      <c r="E16" s="34">
        <v>19.05</v>
      </c>
      <c r="F16" s="34" t="s">
        <v>31</v>
      </c>
      <c r="G16" s="34" t="s">
        <v>31</v>
      </c>
      <c r="H16" s="34" t="s">
        <v>31</v>
      </c>
      <c r="I16" s="34">
        <v>6.55</v>
      </c>
      <c r="J16" s="34" t="s">
        <v>31</v>
      </c>
      <c r="K16" s="34">
        <v>9.52</v>
      </c>
      <c r="L16" s="34" t="s">
        <v>31</v>
      </c>
      <c r="M16" s="34">
        <v>12.7</v>
      </c>
      <c r="N16" s="34" t="s">
        <v>31</v>
      </c>
      <c r="O16" s="34">
        <v>15.87</v>
      </c>
      <c r="P16" s="11"/>
    </row>
    <row r="17" spans="1:16" x14ac:dyDescent="0.25">
      <c r="A17" s="8" t="s">
        <v>51</v>
      </c>
      <c r="B17" s="36">
        <v>168.27</v>
      </c>
      <c r="C17" s="34">
        <v>7.11</v>
      </c>
      <c r="D17" s="34">
        <v>10.97</v>
      </c>
      <c r="E17" s="34">
        <v>21.94</v>
      </c>
      <c r="F17" s="34" t="s">
        <v>31</v>
      </c>
      <c r="G17" s="34" t="s">
        <v>31</v>
      </c>
      <c r="H17" s="34" t="s">
        <v>31</v>
      </c>
      <c r="I17" s="34">
        <v>7.11</v>
      </c>
      <c r="J17" s="34" t="s">
        <v>31</v>
      </c>
      <c r="K17" s="34">
        <v>10.97</v>
      </c>
      <c r="L17" s="34" t="s">
        <v>31</v>
      </c>
      <c r="M17" s="34">
        <v>14.27</v>
      </c>
      <c r="N17" s="34" t="s">
        <v>31</v>
      </c>
      <c r="O17" s="34">
        <v>18.239999999999998</v>
      </c>
      <c r="P17" s="11"/>
    </row>
    <row r="18" spans="1:16" x14ac:dyDescent="0.25">
      <c r="A18" s="8" t="s">
        <v>52</v>
      </c>
      <c r="B18" s="36">
        <v>219.07</v>
      </c>
      <c r="C18" s="34">
        <v>8.18</v>
      </c>
      <c r="D18" s="34">
        <v>12.7</v>
      </c>
      <c r="E18" s="34">
        <v>22.22</v>
      </c>
      <c r="F18" s="34" t="s">
        <v>31</v>
      </c>
      <c r="G18" s="34">
        <v>6.35</v>
      </c>
      <c r="H18" s="34">
        <v>7.04</v>
      </c>
      <c r="I18" s="34">
        <v>8.18</v>
      </c>
      <c r="J18" s="34">
        <v>10.31</v>
      </c>
      <c r="K18" s="34">
        <v>12.7</v>
      </c>
      <c r="L18" s="34">
        <v>15.06</v>
      </c>
      <c r="M18" s="34">
        <v>18.239999999999998</v>
      </c>
      <c r="N18" s="34">
        <v>20.62</v>
      </c>
      <c r="O18" s="34">
        <v>23.01</v>
      </c>
      <c r="P18" s="11"/>
    </row>
    <row r="19" spans="1:16" x14ac:dyDescent="0.25">
      <c r="A19" s="8" t="s">
        <v>53</v>
      </c>
      <c r="B19" s="36">
        <v>273.05</v>
      </c>
      <c r="C19" s="34">
        <v>9.27</v>
      </c>
      <c r="D19" s="34">
        <v>12.7</v>
      </c>
      <c r="E19" s="34" t="s">
        <v>31</v>
      </c>
      <c r="F19" s="34" t="s">
        <v>31</v>
      </c>
      <c r="G19" s="34">
        <v>6.35</v>
      </c>
      <c r="H19" s="34">
        <v>7.8</v>
      </c>
      <c r="I19" s="34">
        <v>9.27</v>
      </c>
      <c r="J19" s="34">
        <v>12.7</v>
      </c>
      <c r="K19" s="34">
        <v>15.06</v>
      </c>
      <c r="L19" s="34">
        <v>18.239999999999998</v>
      </c>
      <c r="M19" s="34">
        <v>21.41</v>
      </c>
      <c r="N19" s="34">
        <v>25.4</v>
      </c>
      <c r="O19" s="34">
        <v>28.57</v>
      </c>
      <c r="P19" s="11"/>
    </row>
    <row r="20" spans="1:16" x14ac:dyDescent="0.25">
      <c r="A20" s="8" t="s">
        <v>54</v>
      </c>
      <c r="B20" s="36">
        <v>323.85000000000002</v>
      </c>
      <c r="C20" s="34">
        <v>9.52</v>
      </c>
      <c r="D20" s="34">
        <v>12.7</v>
      </c>
      <c r="E20" s="34" t="s">
        <v>31</v>
      </c>
      <c r="F20" s="34" t="s">
        <v>31</v>
      </c>
      <c r="G20" s="34">
        <v>6.35</v>
      </c>
      <c r="H20" s="34">
        <v>8.3800000000000008</v>
      </c>
      <c r="I20" s="34">
        <v>10.31</v>
      </c>
      <c r="J20" s="34">
        <v>14.27</v>
      </c>
      <c r="K20" s="34">
        <v>17.45</v>
      </c>
      <c r="L20" s="34">
        <v>21.41</v>
      </c>
      <c r="M20" s="34">
        <v>25.4</v>
      </c>
      <c r="N20" s="34">
        <v>28.57</v>
      </c>
      <c r="O20" s="34">
        <v>33.32</v>
      </c>
      <c r="P20" s="11"/>
    </row>
    <row r="21" spans="1:16" x14ac:dyDescent="0.25">
      <c r="A21" s="8" t="s">
        <v>55</v>
      </c>
      <c r="B21" s="36">
        <v>355.6</v>
      </c>
      <c r="C21" s="34">
        <v>9.52</v>
      </c>
      <c r="D21" s="34">
        <v>12.7</v>
      </c>
      <c r="E21" s="34" t="s">
        <v>31</v>
      </c>
      <c r="F21" s="34">
        <v>6.35</v>
      </c>
      <c r="G21" s="34">
        <v>7.92</v>
      </c>
      <c r="H21" s="34">
        <v>9.52</v>
      </c>
      <c r="I21" s="34">
        <v>11.12</v>
      </c>
      <c r="J21" s="34">
        <v>15.06</v>
      </c>
      <c r="K21" s="34">
        <v>19.05</v>
      </c>
      <c r="L21" s="34">
        <v>23.8</v>
      </c>
      <c r="M21" s="34">
        <v>27.76</v>
      </c>
      <c r="N21" s="34">
        <v>31.75</v>
      </c>
      <c r="O21" s="34">
        <v>35.71</v>
      </c>
      <c r="P21" s="11"/>
    </row>
    <row r="22" spans="1:16" x14ac:dyDescent="0.25">
      <c r="A22" s="8" t="s">
        <v>56</v>
      </c>
      <c r="B22" s="36">
        <v>406.4</v>
      </c>
      <c r="C22" s="34">
        <v>9.52</v>
      </c>
      <c r="D22" s="34">
        <v>12.7</v>
      </c>
      <c r="E22" s="34" t="s">
        <v>31</v>
      </c>
      <c r="F22" s="34">
        <v>6.35</v>
      </c>
      <c r="G22" s="34">
        <v>7.92</v>
      </c>
      <c r="H22" s="34">
        <v>9.52</v>
      </c>
      <c r="I22" s="34">
        <v>12.7</v>
      </c>
      <c r="J22" s="34">
        <v>16.66</v>
      </c>
      <c r="K22" s="34">
        <v>21.41</v>
      </c>
      <c r="L22" s="34">
        <v>26.19</v>
      </c>
      <c r="M22" s="34">
        <v>30.94</v>
      </c>
      <c r="N22" s="34">
        <v>36.520000000000003</v>
      </c>
      <c r="O22" s="34">
        <v>40.46</v>
      </c>
      <c r="P22" s="11"/>
    </row>
    <row r="23" spans="1:16" x14ac:dyDescent="0.25">
      <c r="A23" s="8" t="s">
        <v>57</v>
      </c>
      <c r="B23" s="36">
        <v>457.2</v>
      </c>
      <c r="C23" s="34">
        <v>9.52</v>
      </c>
      <c r="D23" s="34">
        <v>12.7</v>
      </c>
      <c r="E23" s="34" t="s">
        <v>31</v>
      </c>
      <c r="F23" s="34">
        <v>6.35</v>
      </c>
      <c r="G23" s="34">
        <v>7.92</v>
      </c>
      <c r="H23" s="34">
        <v>11.12</v>
      </c>
      <c r="I23" s="34">
        <v>14.27</v>
      </c>
      <c r="J23" s="34">
        <v>19.05</v>
      </c>
      <c r="K23" s="34">
        <v>23.8</v>
      </c>
      <c r="L23" s="34">
        <v>29.36</v>
      </c>
      <c r="M23" s="34">
        <v>34.92</v>
      </c>
      <c r="N23" s="34">
        <v>39.67</v>
      </c>
      <c r="O23" s="34">
        <v>45.24</v>
      </c>
      <c r="P23" s="11"/>
    </row>
    <row r="24" spans="1:16" x14ac:dyDescent="0.25">
      <c r="A24" s="8" t="s">
        <v>58</v>
      </c>
      <c r="B24" s="36">
        <v>508</v>
      </c>
      <c r="C24" s="34">
        <v>9.52</v>
      </c>
      <c r="D24" s="34">
        <v>12.7</v>
      </c>
      <c r="E24" s="34" t="s">
        <v>31</v>
      </c>
      <c r="F24" s="34">
        <v>6.35</v>
      </c>
      <c r="G24" s="34">
        <v>9.52</v>
      </c>
      <c r="H24" s="34">
        <v>12.7</v>
      </c>
      <c r="I24" s="34">
        <v>15.06</v>
      </c>
      <c r="J24" s="34">
        <v>20.62</v>
      </c>
      <c r="K24" s="34">
        <v>26.19</v>
      </c>
      <c r="L24" s="34">
        <v>32.54</v>
      </c>
      <c r="M24" s="34">
        <v>38.1</v>
      </c>
      <c r="N24" s="34">
        <v>44.45</v>
      </c>
      <c r="O24" s="34">
        <v>49.99</v>
      </c>
      <c r="P24" s="11"/>
    </row>
    <row r="25" spans="1:16" x14ac:dyDescent="0.25">
      <c r="A25" s="8" t="s">
        <v>59</v>
      </c>
      <c r="B25" s="36">
        <v>609.6</v>
      </c>
      <c r="C25" s="34">
        <v>9.52</v>
      </c>
      <c r="D25" s="34">
        <v>12.7</v>
      </c>
      <c r="E25" s="34" t="s">
        <v>31</v>
      </c>
      <c r="F25" s="34">
        <v>6.35</v>
      </c>
      <c r="G25" s="34">
        <v>9.52</v>
      </c>
      <c r="H25" s="34">
        <v>14.27</v>
      </c>
      <c r="I25" s="34">
        <v>17.45</v>
      </c>
      <c r="J25" s="34">
        <v>24.59</v>
      </c>
      <c r="K25" s="34">
        <v>30.94</v>
      </c>
      <c r="L25" s="34">
        <v>38.89</v>
      </c>
      <c r="M25" s="34">
        <v>46.02</v>
      </c>
      <c r="N25" s="34">
        <v>52.37</v>
      </c>
      <c r="O25" s="34">
        <v>59.51</v>
      </c>
      <c r="P25" s="11"/>
    </row>
    <row r="26" spans="1:16" x14ac:dyDescent="0.25">
      <c r="A26" s="8" t="s">
        <v>60</v>
      </c>
      <c r="B26" s="36">
        <v>762</v>
      </c>
      <c r="C26" s="34" t="s">
        <v>31</v>
      </c>
      <c r="D26" s="34" t="s">
        <v>31</v>
      </c>
      <c r="E26" s="34" t="s">
        <v>31</v>
      </c>
      <c r="F26" s="34">
        <v>7.92</v>
      </c>
      <c r="G26" s="34">
        <v>12.7</v>
      </c>
      <c r="H26" s="34">
        <v>15.87</v>
      </c>
      <c r="I26" s="34" t="s">
        <v>31</v>
      </c>
      <c r="J26" s="34" t="s">
        <v>31</v>
      </c>
      <c r="K26" s="34" t="s">
        <v>31</v>
      </c>
      <c r="L26" s="34" t="s">
        <v>31</v>
      </c>
      <c r="M26" s="34" t="s">
        <v>31</v>
      </c>
      <c r="N26" s="34" t="s">
        <v>31</v>
      </c>
      <c r="O26" s="34" t="s">
        <v>31</v>
      </c>
      <c r="P26" s="11"/>
    </row>
    <row r="27" spans="1:16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5">
      <c r="A28" s="8" t="s">
        <v>70</v>
      </c>
      <c r="B28" s="122" t="s">
        <v>69</v>
      </c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4"/>
      <c r="P28" s="11"/>
    </row>
    <row r="29" spans="1:16" x14ac:dyDescent="0.25">
      <c r="A29" s="8" t="str">
        <f>'ISO_5167-2'!C14</f>
        <v>2"1/2</v>
      </c>
      <c r="B29" s="35" t="str" cm="1">
        <f t="array" ref="B29">IFERROR(_xlfn.SINGLE(INDEX($A$2:$O$2,,_xlfn.AGGREGATE(15,6,(COLUMN($C$2:$O$2))/(INDEX($C$3:$O$26,MATCH($A29,$A$3:$A$26,0),)&lt;&gt;"N/A"),COLUMN(B29)-COLUMN($A29)))),"")</f>
        <v>Std</v>
      </c>
      <c r="C29" s="35" t="str" cm="1">
        <f t="array" ref="C29">IFERROR(_xlfn.SINGLE(INDEX($A$2:$O$2,,_xlfn.AGGREGATE(15,6,(COLUMN($C$2:$O$2))/(INDEX($C$3:$O$26,MATCH($A29,$A$3:$A$26,0),)&lt;&gt;"N/A"),COLUMN(C29)-COLUMN($A29)))),"")</f>
        <v>XS</v>
      </c>
      <c r="D29" s="35" t="str" cm="1">
        <f t="array" ref="D29">IFERROR(_xlfn.SINGLE(INDEX($A$2:$O$2,,_xlfn.AGGREGATE(15,6,(COLUMN($C$2:$O$2))/(INDEX($C$3:$O$26,MATCH($A29,$A$3:$A$26,0),)&lt;&gt;"N/A"),COLUMN(D29)-COLUMN($A29)))),"")</f>
        <v>XXS</v>
      </c>
      <c r="E29" s="35" cm="1">
        <f t="array" ref="E29">IFERROR(_xlfn.SINGLE(INDEX($A$2:$O$2,,_xlfn.AGGREGATE(15,6,(COLUMN($C$2:$O$2))/(INDEX($C$3:$O$26,MATCH($A29,$A$3:$A$26,0),)&lt;&gt;"N/A"),COLUMN(E29)-COLUMN($A29)))),"")</f>
        <v>40</v>
      </c>
      <c r="F29" s="35" cm="1">
        <f t="array" ref="F29">IFERROR(_xlfn.SINGLE(INDEX($A$2:$O$2,,_xlfn.AGGREGATE(15,6,(COLUMN($C$2:$O$2))/(INDEX($C$3:$O$26,MATCH($A29,$A$3:$A$26,0),)&lt;&gt;"N/A"),COLUMN(F29)-COLUMN($A29)))),"")</f>
        <v>80</v>
      </c>
      <c r="G29" s="35" cm="1">
        <f t="array" ref="G29">IFERROR(_xlfn.SINGLE(INDEX($A$2:$O$2,,_xlfn.AGGREGATE(15,6,(COLUMN($C$2:$O$2))/(INDEX($C$3:$O$26,MATCH($A29,$A$3:$A$26,0),)&lt;&gt;"N/A"),COLUMN(G29)-COLUMN($A29)))),"")</f>
        <v>160</v>
      </c>
      <c r="H29" s="35" t="str" cm="1">
        <f t="array" ref="H29">IFERROR(_xlfn.SINGLE(INDEX($A$2:$O$2,,_xlfn.AGGREGATE(15,6,(COLUMN($C$2:$O$2))/(INDEX($C$3:$O$26,MATCH($A29,$A$3:$A$26,0),)&lt;&gt;"N/A"),COLUMN(H29)-COLUMN($A29)))),"")</f>
        <v/>
      </c>
      <c r="I29" s="35" t="str" cm="1">
        <f t="array" ref="I29">IFERROR(_xlfn.SINGLE(INDEX($A$2:$O$2,,_xlfn.AGGREGATE(15,6,(COLUMN($C$2:$O$2))/(INDEX($C$3:$O$26,MATCH($A29,$A$3:$A$26,0),)&lt;&gt;"N/A"),COLUMN(I29)-COLUMN($A29)))),"")</f>
        <v/>
      </c>
      <c r="J29" s="35" t="str" cm="1">
        <f t="array" ref="J29">IFERROR(_xlfn.SINGLE(INDEX($A$2:$O$2,,_xlfn.AGGREGATE(15,6,(COLUMN($C$2:$O$2))/(INDEX($C$3:$O$26,MATCH($A29,$A$3:$A$26,0),)&lt;&gt;"N/A"),COLUMN(J29)-COLUMN($A29)))),"")</f>
        <v/>
      </c>
      <c r="K29" s="35" t="str" cm="1">
        <f t="array" ref="K29">IFERROR(_xlfn.SINGLE(INDEX($A$2:$O$2,,_xlfn.AGGREGATE(15,6,(COLUMN($C$2:$O$2))/(INDEX($C$3:$O$26,MATCH($A29,$A$3:$A$26,0),)&lt;&gt;"N/A"),COLUMN(K29)-COLUMN($A29)))),"")</f>
        <v/>
      </c>
      <c r="L29" s="35" t="str" cm="1">
        <f t="array" ref="L29">IFERROR(_xlfn.SINGLE(INDEX($A$2:$O$2,,_xlfn.AGGREGATE(15,6,(COLUMN($C$2:$O$2))/(INDEX($C$3:$O$26,MATCH($A29,$A$3:$A$26,0),)&lt;&gt;"N/A"),COLUMN(L29)-COLUMN($A29)))),"")</f>
        <v/>
      </c>
      <c r="M29" s="35" t="str" cm="1">
        <f t="array" ref="M29">IFERROR(_xlfn.SINGLE(INDEX($A$2:$O$2,,_xlfn.AGGREGATE(15,6,(COLUMN($C$2:$O$2))/(INDEX($C$3:$O$26,MATCH($A29,$A$3:$A$26,0),)&lt;&gt;"N/A"),COLUMN(M29)-COLUMN($A29)))),"")</f>
        <v/>
      </c>
      <c r="N29" s="35" t="str" cm="1">
        <f t="array" ref="N29">IFERROR(_xlfn.SINGLE(INDEX($A$2:$O$2,,_xlfn.AGGREGATE(15,6,(COLUMN($C$2:$O$2))/(INDEX($C$3:$O$26,MATCH($A29,$A$3:$A$26,0),)&lt;&gt;"N/A"),COLUMN(N29)-COLUMN($A29)))),"")</f>
        <v/>
      </c>
      <c r="O29" s="35" t="str" cm="1">
        <f t="array" ref="O29">IFERROR(_xlfn.SINGLE(INDEX($A$2:$O$2,,_xlfn.AGGREGATE(15,6,(COLUMN($C$2:$O$2))/(INDEX($C$3:$O$26,MATCH($A29,$A$3:$A$26,0),)&lt;&gt;"N/A"),COLUMN(O29)-COLUMN($A29)))),"")</f>
        <v/>
      </c>
    </row>
    <row r="30" spans="1:16" x14ac:dyDescent="0.25">
      <c r="A30" s="8" t="str">
        <f>idelchik_IV_4.14!C15</f>
        <v>2"1/2</v>
      </c>
      <c r="B30" s="35" t="str" cm="1">
        <f t="array" ref="B30">IFERROR(_xlfn.SINGLE(INDEX($A$2:$O$2,,_xlfn.AGGREGATE(15,6,(COLUMN($C$2:$O$2))/(INDEX($C$3:$O$26,MATCH($A30,$A$3:$A$26,0),)&lt;&gt;"N/A"),COLUMN(B30)-COLUMN($A30)))),"")</f>
        <v>Std</v>
      </c>
      <c r="C30" s="35" t="str" cm="1">
        <f t="array" ref="C30">IFERROR(_xlfn.SINGLE(INDEX($A$2:$O$2,,_xlfn.AGGREGATE(15,6,(COLUMN($C$2:$O$2))/(INDEX($C$3:$O$26,MATCH($A30,$A$3:$A$26,0),)&lt;&gt;"N/A"),COLUMN(C30)-COLUMN($A30)))),"")</f>
        <v>XS</v>
      </c>
      <c r="D30" s="35" t="str" cm="1">
        <f t="array" ref="D30">IFERROR(_xlfn.SINGLE(INDEX($A$2:$O$2,,_xlfn.AGGREGATE(15,6,(COLUMN($C$2:$O$2))/(INDEX($C$3:$O$26,MATCH($A30,$A$3:$A$26,0),)&lt;&gt;"N/A"),COLUMN(D30)-COLUMN($A30)))),"")</f>
        <v>XXS</v>
      </c>
      <c r="E30" s="35" cm="1">
        <f t="array" ref="E30">IFERROR(_xlfn.SINGLE(INDEX($A$2:$O$2,,_xlfn.AGGREGATE(15,6,(COLUMN($C$2:$O$2))/(INDEX($C$3:$O$26,MATCH($A30,$A$3:$A$26,0),)&lt;&gt;"N/A"),COLUMN(E30)-COLUMN($A30)))),"")</f>
        <v>40</v>
      </c>
      <c r="F30" s="35" cm="1">
        <f t="array" ref="F30">IFERROR(_xlfn.SINGLE(INDEX($A$2:$O$2,,_xlfn.AGGREGATE(15,6,(COLUMN($C$2:$O$2))/(INDEX($C$3:$O$26,MATCH($A30,$A$3:$A$26,0),)&lt;&gt;"N/A"),COLUMN(F30)-COLUMN($A30)))),"")</f>
        <v>80</v>
      </c>
      <c r="G30" s="35" cm="1">
        <f t="array" ref="G30">IFERROR(_xlfn.SINGLE(INDEX($A$2:$O$2,,_xlfn.AGGREGATE(15,6,(COLUMN($C$2:$O$2))/(INDEX($C$3:$O$26,MATCH($A30,$A$3:$A$26,0),)&lt;&gt;"N/A"),COLUMN(G30)-COLUMN($A30)))),"")</f>
        <v>160</v>
      </c>
      <c r="H30" s="35" t="str" cm="1">
        <f t="array" ref="H30">IFERROR(_xlfn.SINGLE(INDEX($A$2:$O$2,,_xlfn.AGGREGATE(15,6,(COLUMN($C$2:$O$2))/(INDEX($C$3:$O$26,MATCH($A30,$A$3:$A$26,0),)&lt;&gt;"N/A"),COLUMN(H30)-COLUMN($A30)))),"")</f>
        <v/>
      </c>
      <c r="I30" s="35" t="str" cm="1">
        <f t="array" ref="I30">IFERROR(_xlfn.SINGLE(INDEX($A$2:$O$2,,_xlfn.AGGREGATE(15,6,(COLUMN($C$2:$O$2))/(INDEX($C$3:$O$26,MATCH($A30,$A$3:$A$26,0),)&lt;&gt;"N/A"),COLUMN(I30)-COLUMN($A30)))),"")</f>
        <v/>
      </c>
      <c r="J30" s="35" t="str" cm="1">
        <f t="array" ref="J30">IFERROR(_xlfn.SINGLE(INDEX($A$2:$O$2,,_xlfn.AGGREGATE(15,6,(COLUMN($C$2:$O$2))/(INDEX($C$3:$O$26,MATCH($A30,$A$3:$A$26,0),)&lt;&gt;"N/A"),COLUMN(J30)-COLUMN($A30)))),"")</f>
        <v/>
      </c>
      <c r="K30" s="35" t="str" cm="1">
        <f t="array" ref="K30">IFERROR(_xlfn.SINGLE(INDEX($A$2:$O$2,,_xlfn.AGGREGATE(15,6,(COLUMN($C$2:$O$2))/(INDEX($C$3:$O$26,MATCH($A30,$A$3:$A$26,0),)&lt;&gt;"N/A"),COLUMN(K30)-COLUMN($A30)))),"")</f>
        <v/>
      </c>
      <c r="L30" s="35" t="str" cm="1">
        <f t="array" ref="L30">IFERROR(_xlfn.SINGLE(INDEX($A$2:$O$2,,_xlfn.AGGREGATE(15,6,(COLUMN($C$2:$O$2))/(INDEX($C$3:$O$26,MATCH($A30,$A$3:$A$26,0),)&lt;&gt;"N/A"),COLUMN(L30)-COLUMN($A30)))),"")</f>
        <v/>
      </c>
      <c r="M30" s="35" t="str" cm="1">
        <f t="array" ref="M30">IFERROR(_xlfn.SINGLE(INDEX($A$2:$O$2,,_xlfn.AGGREGATE(15,6,(COLUMN($C$2:$O$2))/(INDEX($C$3:$O$26,MATCH($A30,$A$3:$A$26,0),)&lt;&gt;"N/A"),COLUMN(M30)-COLUMN($A30)))),"")</f>
        <v/>
      </c>
      <c r="N30" s="35" t="str" cm="1">
        <f t="array" ref="N30">IFERROR(_xlfn.SINGLE(INDEX($A$2:$O$2,,_xlfn.AGGREGATE(15,6,(COLUMN($C$2:$O$2))/(INDEX($C$3:$O$26,MATCH($A30,$A$3:$A$26,0),)&lt;&gt;"N/A"),COLUMN(N30)-COLUMN($A30)))),"")</f>
        <v/>
      </c>
      <c r="O30" s="35" t="str" cm="1">
        <f t="array" ref="O30">IFERROR(_xlfn.SINGLE(INDEX($A$2:$O$2,,_xlfn.AGGREGATE(15,6,(COLUMN($C$2:$O$2))/(INDEX($C$3:$O$26,MATCH($A30,$A$3:$A$26,0),)&lt;&gt;"N/A"),COLUMN(O30)-COLUMN($A30)))),"")</f>
        <v/>
      </c>
    </row>
  </sheetData>
  <mergeCells count="2">
    <mergeCell ref="B28:O28"/>
    <mergeCell ref="C1:O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90B1E50-863A-4834-8590-0B70767C1E72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2.xml><?xml version="1.0" encoding="utf-8"?>
<ds:datastoreItem xmlns:ds="http://schemas.openxmlformats.org/officeDocument/2006/customXml" ds:itemID="{B4EF7634-C300-4DD1-93F0-E9366FCA1658}"/>
</file>

<file path=customXml/itemProps3.xml><?xml version="1.0" encoding="utf-8"?>
<ds:datastoreItem xmlns:ds="http://schemas.openxmlformats.org/officeDocument/2006/customXml" ds:itemID="{7262C4BC-864F-46EA-950B-391104E659B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1</vt:i4>
      </vt:variant>
    </vt:vector>
  </HeadingPairs>
  <TitlesOfParts>
    <vt:vector size="5" baseType="lpstr">
      <vt:lpstr>content</vt:lpstr>
      <vt:lpstr>ISO_5167-2</vt:lpstr>
      <vt:lpstr>idelchik_IV_4.14</vt:lpstr>
      <vt:lpstr>pipe_ASTM</vt:lpstr>
      <vt:lpstr>pipe_DN_ASTM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Giovanni Tellini</dc:creator>
  <cp:keywords/>
  <dc:description/>
  <cp:lastModifiedBy>Jose Omonte Rossi</cp:lastModifiedBy>
  <cp:revision/>
  <dcterms:created xsi:type="dcterms:W3CDTF">2021-08-25T06:52:22Z</dcterms:created>
  <dcterms:modified xsi:type="dcterms:W3CDTF">2025-09-25T08:20:09Z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